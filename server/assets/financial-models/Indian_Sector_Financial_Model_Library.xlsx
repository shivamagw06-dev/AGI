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drawings/charts/chart7.xml" ContentType="application/vnd.openxmlformats-officedocument.drawingml.chart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drawings/charts/chart8.xml" ContentType="application/vnd.openxmlformats-officedocument.drawingml.chart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drawings/charts/chart9.xml" ContentType="application/vnd.openxmlformats-officedocument.drawingml.chart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drawings/charts/chart10.xml" ContentType="application/vnd.openxmlformats-officedocument.drawingml.chart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drawings/charts/chart11.xml" ContentType="application/vnd.openxmlformats-officedocument.drawingml.chart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drawings/charts/chart12.xml" ContentType="application/vnd.openxmlformats-officedocument.drawingml.chart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drawings/charts/chart13.xml" ContentType="application/vnd.openxmlformats-officedocument.drawingml.chart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drawings/charts/chart14.xml" ContentType="application/vnd.openxmlformats-officedocument.drawingml.chart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drawings/charts/chart15.xml" ContentType="application/vnd.openxmlformats-officedocument.drawingml.chart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drawings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4a997bd5d24a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950453667ee404f"/>
    <x:sheet xmlns:r="http://schemas.openxmlformats.org/officeDocument/2006/relationships" name="Controls" sheetId="2" r:id="R97a09875267d4579"/>
    <x:sheet xmlns:r="http://schemas.openxmlformats.org/officeDocument/2006/relationships" name="IT Services" sheetId="3" r:id="R7120fb869ec646a9"/>
    <x:sheet xmlns:r="http://schemas.openxmlformats.org/officeDocument/2006/relationships" name="FMCG" sheetId="4" r:id="Rd33005f7b1ed4250"/>
    <x:sheet xmlns:r="http://schemas.openxmlformats.org/officeDocument/2006/relationships" name="Automobiles" sheetId="5" r:id="Re7769f6396524003"/>
    <x:sheet xmlns:r="http://schemas.openxmlformats.org/officeDocument/2006/relationships" name="Cement" sheetId="6" r:id="R21a43bc9f4c24357"/>
    <x:sheet xmlns:r="http://schemas.openxmlformats.org/officeDocument/2006/relationships" name="Steel" sheetId="7" r:id="Rda77b808cbc24f52"/>
    <x:sheet xmlns:r="http://schemas.openxmlformats.org/officeDocument/2006/relationships" name="Pharma" sheetId="8" r:id="Rdca0aed4f6f5464b"/>
    <x:sheet xmlns:r="http://schemas.openxmlformats.org/officeDocument/2006/relationships" name="Hospitals" sheetId="9" r:id="R98e7c18b41764675"/>
    <x:sheet xmlns:r="http://schemas.openxmlformats.org/officeDocument/2006/relationships" name="Telecom" sheetId="10" r:id="R171bc1f435b4479f"/>
    <x:sheet xmlns:r="http://schemas.openxmlformats.org/officeDocument/2006/relationships" name="Renewable Power" sheetId="11" r:id="R617bad7d8b174442"/>
    <x:sheet xmlns:r="http://schemas.openxmlformats.org/officeDocument/2006/relationships" name="Hotels" sheetId="12" r:id="Rb49023a3c8844fc4"/>
    <x:sheet xmlns:r="http://schemas.openxmlformats.org/officeDocument/2006/relationships" name="Retail" sheetId="13" r:id="R4fefed2e2445474b"/>
    <x:sheet xmlns:r="http://schemas.openxmlformats.org/officeDocument/2006/relationships" name="EPC" sheetId="14" r:id="Rc0d3e38adf684d98"/>
    <x:sheet xmlns:r="http://schemas.openxmlformats.org/officeDocument/2006/relationships" name="Banking" sheetId="15" r:id="Rd24e6571b0e94479"/>
    <x:sheet xmlns:r="http://schemas.openxmlformats.org/officeDocument/2006/relationships" name="NBFC" sheetId="16" r:id="Rd9eb313a56764300"/>
    <x:sheet xmlns:r="http://schemas.openxmlformats.org/officeDocument/2006/relationships" name="General Insurance" sheetId="17" r:id="Rf3003d0913eb4090"/>
    <x:sheet xmlns:r="http://schemas.openxmlformats.org/officeDocument/2006/relationships" name="Real Estate" sheetId="18" r:id="R35ec6ef9c5214604"/>
    <x:sheet xmlns:r="http://schemas.openxmlformats.org/officeDocument/2006/relationships" name="KPI Guide" sheetId="19" r:id="Rc588bfb6f58143b6"/>
    <x:sheet xmlns:r="http://schemas.openxmlformats.org/officeDocument/2006/relationships" name="Model Review" sheetId="20" r:id="Ra1e16d6524794160"/>
    <x:sheet xmlns:r="http://schemas.openxmlformats.org/officeDocument/2006/relationships" name="ReadMe" sheetId="21" r:id="Ra4f3db979c864a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;(#,##0.0);&quot;–&quot;"/>
    <x:numFmt numFmtId="201" formatCode="dd-mmm-yyyy"/>
    <x:numFmt numFmtId="202" formatCode="0.0%;(0.0%);&quot;–&quot;"/>
    <x:numFmt numFmtId="203" formatCode="0.0&quot;x&quot;"/>
    <x:numFmt numFmtId="204" formatCode="0.00"/>
    <x:numFmt numFmtId="205" formatCode="0"/>
    <x:numFmt numFmtId="206" formatCode="&quot;FY&quot;0&quot;E&quot;"/>
    <x:numFmt numFmtId="207" formatCode="0.0%"/>
    <x:numFmt numFmtId="208" formatCode="&quot;FY&quot;0&quot;A&quot;"/>
    <x:numFmt numFmtId="209" formatCode="0.00&quot;x&quot;"/>
  </x:numFmts>
  <x:fonts count="17">
    <x:font>
      <x:sz val="11"/>
      <x:name val="Carlito"/>
    </x:font>
    <x:font>
      <x:sz val="10"/>
      <x:color rgb="FF172B3A"/>
      <x:name val="Arial"/>
    </x:font>
    <x:font>
      <x:b/>
      <x:sz val="16"/>
      <x:color rgb="FF17324D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sz val="10"/>
      <x:color rgb="FF008000"/>
      <x:name val="Arial"/>
    </x:font>
    <x:font>
      <x:sz val="10"/>
      <x:color rgb="FFFFFFFF"/>
      <x:name val="Arial"/>
    </x:font>
    <x:font>
      <x:b/>
      <x:sz val="10"/>
      <x:color rgb="FF172B3A"/>
      <x:name val="Arial"/>
    </x:font>
    <x:font>
      <x:i/>
      <x:sz val="10"/>
      <x:color rgb="FF172B3A"/>
      <x:name val="Arial"/>
    </x:font>
    <x:font>
      <x:i/>
      <x:sz val="10"/>
      <x:color rgb="FF0000FF"/>
      <x:name val="Arial"/>
    </x:font>
    <x:font>
      <x:i/>
      <x:sz val="10"/>
      <x:color rgb="FF008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FFFFFF"/>
      <x:name val="Arial"/>
    </x:font>
    <x:font>
      <x:sz val="10"/>
      <x:color rgb="FF17324D"/>
      <x:name val="Arial"/>
    </x:font>
    <x:font>
      <x:b/>
      <x:sz val="10"/>
      <x:color rgb="FF008000"/>
      <x:name val="Arial"/>
    </x:font>
    <x:font>
      <x:b/>
      <x:sz val="16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24D"/>
      </x:patternFill>
    </x:fill>
    <x:fill>
      <x:patternFill patternType="solid">
        <x:fgColor rgb="FFE5ECF3"/>
      </x:patternFill>
    </x:fill>
    <x:fill>
      <x:patternFill patternType="solid">
        <x:fgColor rgb="FFEDF2F7"/>
      </x:patternFill>
    </x:fill>
    <x:fill>
      <x:patternFill patternType="solid">
        <x:fgColor rgb="FFF2F5F8"/>
      </x:patternFill>
    </x:fill>
    <x:fill>
      <x:patternFill patternType="solid">
        <x:fgColor rgb="FF19354D"/>
      </x:patternFill>
    </x:fill>
    <x:fill>
      <x:patternFill patternType="solid">
        <x:fgColor rgb="FFFFF2CC"/>
      </x:patternFill>
    </x:fill>
  </x:fills>
  <x:borders count="3">
    <x:border/>
    <x:border>
      <x:bottom style="thin">
        <x:color rgb="FF17324D"/>
      </x:bottom>
    </x:border>
    <x:border>
      <x:top style="thin">
        <x:color rgb="FFA9BACB"/>
      </x:top>
    </x:border>
  </x:borders>
  <x:cellStyleXfs count="1">
    <x:xf numFmtId="0" fontId="0" fillId="0" borderId="0"/>
  </x:cellStyleXfs>
  <x:cellXfs count="93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2" borderId="0" xfId="0" applyNumberFormat="1" applyFont="1" applyFill="1" applyBorder="1"/>
    <x:xf numFmtId="200" fontId="3" fillId="2" borderId="0" xfId="0" applyNumberFormat="1" applyFont="1" applyFill="1" applyBorder="1"/>
    <x:xf numFmtId="200" fontId="4" fillId="0" borderId="0" xfId="0" applyNumberFormat="1" applyFont="1" applyFill="1" applyBorder="1"/>
    <x:xf numFmtId="201" fontId="1" fillId="0" borderId="0" xfId="0" applyNumberFormat="1" applyFont="1" applyFill="1" applyBorder="1"/>
    <x:xf numFmtId="200" fontId="5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200" fontId="6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0" fontId="7" fillId="4" borderId="0" xfId="0" applyNumberFormat="1" applyFont="1" applyFill="1" applyBorder="1"/>
    <x:xf numFmtId="200" fontId="7" fillId="4" borderId="0" xfId="0" applyNumberFormat="1" applyFont="1" applyFill="1" applyBorder="1"/>
    <x:xf numFmtId="200" fontId="3" fillId="0" borderId="0" xfId="0" applyNumberFormat="1" applyFont="1" applyFill="1" applyBorder="1"/>
    <x:xf numFmtId="202" fontId="1" fillId="0" borderId="0" xfId="0" applyNumberFormat="1" applyFont="1" applyFill="1" applyBorder="1"/>
    <x:xf numFmtId="0" fontId="8" fillId="0" borderId="0" xfId="0" applyNumberFormat="1" applyFont="1" applyFill="1" applyBorder="1"/>
    <x:xf numFmtId="202" fontId="8" fillId="0" borderId="0" xfId="0" applyNumberFormat="1" applyFont="1" applyFill="1" applyBorder="1"/>
    <x:xf numFmtId="202" fontId="3" fillId="2" borderId="0" xfId="0" applyNumberFormat="1" applyFont="1" applyFill="1" applyBorder="1"/>
    <x:xf numFmtId="202" fontId="9" fillId="2" borderId="0" xfId="0" applyNumberFormat="1" applyFont="1" applyFill="1" applyBorder="1"/>
    <x:xf numFmtId="202" fontId="10" fillId="0" borderId="0" xfId="0" applyNumberFormat="1" applyFont="1" applyFill="1" applyBorder="1"/>
    <x:xf numFmtId="0" fontId="8" fillId="5" borderId="0" xfId="0" applyNumberFormat="1" applyFont="1" applyFill="1" applyBorder="1"/>
    <x:xf numFmtId="202" fontId="8" fillId="5" borderId="0" xfId="0" applyNumberFormat="1" applyFont="1" applyFill="1" applyBorder="1"/>
    <x:xf numFmtId="202" fontId="10" fillId="5" borderId="0" xfId="0" applyNumberFormat="1" applyFont="1" applyFill="1" applyBorder="1"/>
    <x:xf numFmtId="203" fontId="1" fillId="0" borderId="0" xfId="0" applyNumberFormat="1" applyFont="1" applyFill="1" applyBorder="1"/>
    <x:xf numFmtId="203" fontId="8" fillId="0" borderId="0" xfId="0" applyNumberFormat="1" applyFont="1" applyFill="1" applyBorder="1"/>
    <x:xf numFmtId="204" fontId="1" fillId="0" borderId="0" xfId="0" applyNumberFormat="1" applyFont="1" applyFill="1" applyBorder="1"/>
    <x:xf numFmtId="204" fontId="4" fillId="0" borderId="0" xfId="0" applyNumberFormat="1" applyFont="1" applyFill="1" applyBorder="1"/>
    <x:xf numFmtId="202" fontId="11" fillId="0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7" fillId="0" borderId="2" xfId="0" applyNumberFormat="1" applyFont="1" applyFill="1" applyBorder="1"/>
    <x:xf numFmtId="200" fontId="7" fillId="0" borderId="2" xfId="0" applyNumberFormat="1" applyFont="1" applyFill="1" applyBorder="1"/>
    <x:xf numFmtId="200" fontId="12" fillId="0" borderId="0" xfId="0" applyNumberFormat="1" applyFont="1" applyFill="1" applyBorder="1"/>
    <x:xf numFmtId="200" fontId="12" fillId="0" borderId="2" xfId="0" applyNumberFormat="1" applyFont="1" applyFill="1" applyBorder="1"/>
    <x:xf numFmtId="0" fontId="13" fillId="3" borderId="0" xfId="0" applyNumberFormat="1" applyFont="1" applyFill="1" applyBorder="1"/>
    <x:xf numFmtId="20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  <x:xf numFmtId="200" fontId="13" fillId="3" borderId="0" xfId="0" applyNumberFormat="1" applyFont="1" applyFill="1" applyBorder="1" applyAlignment="1">
      <x:alignment wrapText="1"/>
    </x:xf>
    <x:xf numFmtId="200" fontId="14" fillId="0" borderId="0" xfId="0" applyNumberFormat="1" applyFont="1" applyFill="1" applyBorder="1"/>
    <x:xf numFmtId="0" fontId="5" fillId="0" borderId="0" xfId="0" applyNumberFormat="1" applyFont="1" applyFill="1" applyBorder="1"/>
    <x:xf numFmtId="0" fontId="14" fillId="0" borderId="0" xfId="0" applyNumberFormat="1" applyFont="1" applyFill="1" applyBorder="1"/>
    <x:xf numFmtId="202" fontId="14" fillId="0" borderId="0" xfId="0" applyNumberFormat="1" applyFont="1" applyFill="1" applyBorder="1"/>
    <x:xf numFmtId="0" fontId="1" fillId="6" borderId="0" xfId="0" applyNumberFormat="1" applyFont="1" applyFill="1" applyBorder="1"/>
    <x:xf numFmtId="200" fontId="14" fillId="6" borderId="0" xfId="0" applyNumberFormat="1" applyFont="1" applyFill="1" applyBorder="1"/>
    <x:xf numFmtId="202" fontId="14" fillId="6" borderId="0" xfId="0" applyNumberFormat="1" applyFont="1" applyFill="1" applyBorder="1"/>
    <x:xf numFmtId="200" fontId="1" fillId="6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3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205" fontId="3" fillId="2" borderId="0" xfId="0" applyNumberFormat="1" applyFont="1" applyFill="1" applyBorder="1"/>
    <x:xf numFmtId="200" fontId="15" fillId="0" borderId="2" xfId="0" applyNumberFormat="1" applyFont="1" applyFill="1" applyBorder="1"/>
    <x:xf numFmtId="203" fontId="11" fillId="0" borderId="0" xfId="0" applyNumberFormat="1" applyFont="1" applyFill="1" applyBorder="1"/>
    <x:xf numFmtId="205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6" fontId="6" fillId="3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wrapText="1"/>
    </x:xf>
    <x:xf numFmtId="200" fontId="4" fillId="7" borderId="0" xfId="0" applyNumberFormat="1" applyFont="1" applyFill="1" applyBorder="1"/>
    <x:xf numFmtId="0" fontId="13" fillId="7" borderId="0" xfId="0" applyNumberFormat="1" applyFont="1" applyFill="1" applyBorder="1" applyAlignment="1">
      <x:alignment wrapText="1"/>
    </x:xf>
    <x:xf numFmtId="200" fontId="13" fillId="7" borderId="0" xfId="0" applyNumberFormat="1" applyFont="1" applyFill="1" applyBorder="1"/>
    <x:xf numFmtId="207" fontId="4" fillId="0" borderId="0" xfId="0" applyNumberFormat="1" applyFont="1" applyFill="1" applyBorder="1"/>
    <x:xf numFmtId="207" fontId="4" fillId="8" borderId="0" xfId="0" applyNumberFormat="1" applyFont="1" applyFill="1" applyBorder="1"/>
    <x:xf numFmtId="207" fontId="3" fillId="8" borderId="0" xfId="0" applyNumberFormat="1" applyFont="1" applyFill="1" applyBorder="1"/>
    <x:xf numFmtId="200" fontId="4" fillId="8" borderId="0" xfId="0" applyNumberFormat="1" applyFont="1" applyFill="1" applyBorder="1"/>
    <x:xf numFmtId="200" fontId="3" fillId="8" borderId="0" xfId="0" applyNumberFormat="1" applyFont="1" applyFill="1" applyBorder="1"/>
    <x:xf numFmtId="205" fontId="4" fillId="0" borderId="0" xfId="0" applyNumberFormat="1" applyFont="1" applyFill="1" applyBorder="1"/>
    <x:xf numFmtId="205" fontId="4" fillId="8" borderId="0" xfId="0" applyNumberFormat="1" applyFont="1" applyFill="1" applyBorder="1"/>
    <x:xf numFmtId="205" fontId="3" fillId="8" borderId="0" xfId="0" applyNumberFormat="1" applyFont="1" applyFill="1" applyBorder="1"/>
    <x:xf numFmtId="203" fontId="4" fillId="0" borderId="0" xfId="0" applyNumberFormat="1" applyFont="1" applyFill="1" applyBorder="1"/>
    <x:xf numFmtId="203" fontId="4" fillId="8" borderId="0" xfId="0" applyNumberFormat="1" applyFont="1" applyFill="1" applyBorder="1"/>
    <x:xf numFmtId="203" fontId="3" fillId="8" borderId="0" xfId="0" applyNumberFormat="1" applyFont="1" applyFill="1" applyBorder="1"/>
    <x:xf numFmtId="0" fontId="4" fillId="7" borderId="0" xfId="0" applyNumberFormat="1" applyFont="1" applyFill="1" applyBorder="1"/>
    <x:xf numFmtId="0" fontId="13" fillId="7" borderId="0" xfId="0" applyNumberFormat="1" applyFont="1" applyFill="1" applyBorder="1"/>
    <x:xf numFmtId="202" fontId="4" fillId="0" borderId="0" xfId="0" applyNumberFormat="1" applyFont="1" applyFill="1" applyBorder="1"/>
    <x:xf numFmtId="202" fontId="4" fillId="8" borderId="0" xfId="0" applyNumberFormat="1" applyFont="1" applyFill="1" applyBorder="1"/>
    <x:xf numFmtId="202" fontId="3" fillId="8" borderId="0" xfId="0" applyNumberFormat="1" applyFont="1" applyFill="1" applyBorder="1"/>
    <x:xf numFmtId="0" fontId="16" fillId="7" borderId="0" xfId="0" applyNumberFormat="1" applyFont="1" applyFill="1" applyBorder="1"/>
    <x:xf numFmtId="201" fontId="4" fillId="0" borderId="0" xfId="0" applyNumberFormat="1" applyFont="1" applyFill="1" applyBorder="1"/>
    <x:xf numFmtId="208" fontId="4" fillId="0" borderId="0" xfId="0" applyNumberFormat="1" applyFont="1" applyFill="1" applyBorder="1"/>
    <x:xf numFmtId="206" fontId="4" fillId="0" borderId="0" xfId="0" applyNumberFormat="1" applyFont="1" applyFill="1" applyBorder="1"/>
    <x:xf numFmtId="0" fontId="4" fillId="8" borderId="0" xfId="0" applyNumberFormat="1" applyFont="1" applyFill="1" applyBorder="1"/>
    <x:xf numFmtId="0" fontId="3" fillId="8" borderId="0" xfId="0" applyNumberFormat="1" applyFont="1" applyFill="1" applyBorder="1"/>
    <x:xf numFmtId="209" fontId="4" fillId="0" borderId="0" xfId="0" applyNumberFormat="1" applyFont="1" applyFill="1" applyBorder="1"/>
  </x:cellXfs>
  <x:cellStyles count="1">
    <x:cellStyle name="Normal" xfId="0"/>
  </x:cellStyles>
  <x:dxfs count="92"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color rgb="FFA52828"/>
      </x:font>
      <x:fill>
        <x:patternFill patternType="solid">
          <x:bgColor rgb="FFFCE4D6"/>
        </x:patternFill>
      </x:fill>
    </x:dxf>
    <x:dxf>
      <x:font>
        <x:color rgb="FFA52828"/>
      </x:font>
      <x:fill>
        <x:patternFill patternType="solid">
          <x:bgColor rgb="FFFCE4D6"/>
        </x:patternFill>
      </x:fill>
    </x:dxf>
    <x:dxf>
      <x:font>
        <x:color rgb="FFA52828"/>
      </x:font>
      <x:fill>
        <x:patternFill patternType="solid">
          <x:bgColor rgb="FFFCE4D6"/>
        </x:patternFill>
      </x:fill>
    </x:dxf>
    <x:dxf>
      <x:font>
        <x:color rgb="FFA52828"/>
      </x:font>
      <x:fill>
        <x:patternFill patternType="solid">
          <x:bgColor rgb="FFFCE4D6"/>
        </x:patternFill>
      </x:fill>
    </x:dxf>
    <x:dxf>
      <x:font>
        <x:color rgb="FFA52828"/>
      </x:font>
      <x:fill>
        <x:patternFill patternType="solid">
          <x:bgColor rgb="FFFCE4D6"/>
        </x:patternFill>
      </x:fill>
    </x:dxf>
    <x:dxf>
      <x:font>
        <x:color rgb="FFA52828"/>
      </x:font>
      <x:fill>
        <x:patternFill patternType="solid">
          <x:bgColor rgb="FFFCE4D6"/>
        </x:patternFill>
      </x:fill>
    </x:dxf>
    <x:dxf>
      <x:font>
        <x:color rgb="FFA52828"/>
      </x:font>
      <x:fill>
        <x:patternFill patternType="solid">
          <x:bgColor rgb="FFFCE4D6"/>
        </x:patternFill>
      </x:fill>
    </x:dxf>
    <x:dxf>
      <x:font>
        <x:color rgb="FFA52828"/>
      </x:font>
      <x:fill>
        <x:patternFill patternType="solid">
          <x:bgColor rgb="FFFCE4D6"/>
        </x:patternFill>
      </x:fill>
    </x:dxf>
    <x:dxf>
      <x:font>
        <x:color rgb="FFA52828"/>
      </x:font>
      <x:fill>
        <x:patternFill patternType="solid">
          <x:bgColor rgb="FFFCE4D6"/>
        </x:patternFill>
      </x:fill>
    </x:dxf>
    <x:dxf>
      <x:font>
        <x:color rgb="FFA52828"/>
      </x:font>
      <x:fill>
        <x:patternFill patternType="solid">
          <x:bgColor rgb="FFFCE4D6"/>
        </x:patternFill>
      </x:fill>
    </x:dxf>
    <x:dxf>
      <x:font>
        <x:color rgb="FFA52828"/>
      </x:font>
      <x:fill>
        <x:patternFill patternType="solid">
          <x:bgColor rgb="FFFCE4D6"/>
        </x:patternFill>
      </x:fill>
    </x:dxf>
    <x:dxf>
      <x:font>
        <x:color rgb="FFA52828"/>
      </x:font>
      <x:fill>
        <x:patternFill patternType="solid">
          <x:bgColor rgb="FFFCE4D6"/>
        </x:patternFill>
      </x:fill>
    </x:dxf>
    <x:dxf>
      <x:font>
        <x:color rgb="FFA52828"/>
      </x:font>
      <x:fill>
        <x:patternFill patternType="solid">
          <x:bgColor rgb="FFFCE4D6"/>
        </x:patternFill>
      </x:fill>
    </x:dxf>
    <x:dxf>
      <x:font>
        <x:color rgb="FFA52828"/>
      </x:font>
      <x:fill>
        <x:patternFill patternType="solid">
          <x:bgColor rgb="FFFCE4D6"/>
        </x:patternFill>
      </x:fill>
    </x:dxf>
    <x:dxf>
      <x:font>
        <x:color rgb="FFA52828"/>
      </x:font>
      <x:fill>
        <x:patternFill patternType="solid">
          <x:bgColor rgb="FFFCE4D6"/>
        </x:patternFill>
      </x:fill>
    </x:dxf>
    <x:dxf>
      <x:font>
        <x:color rgb="FFA52828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f81a69d3c4bb5" /><Relationship Type="http://schemas.openxmlformats.org/officeDocument/2006/relationships/theme" Target="/xl/theme/theme1.xml" Id="R9d7ee1293a554ac4" /><Relationship Type="http://schemas.openxmlformats.org/officeDocument/2006/relationships/sharedStrings" Target="/xl/sharedStrings.xml" Id="Re84bd6b69489446b" /><Relationship Type="http://schemas.openxmlformats.org/officeDocument/2006/relationships/worksheet" Target="/xl/worksheets/sheet1.xml" Id="Rc950453667ee404f" /><Relationship Type="http://schemas.openxmlformats.org/officeDocument/2006/relationships/worksheet" Target="/xl/worksheets/sheet2.xml" Id="R97a09875267d4579" /><Relationship Type="http://schemas.openxmlformats.org/officeDocument/2006/relationships/worksheet" Target="/xl/worksheets/sheet3.xml" Id="R7120fb869ec646a9" /><Relationship Type="http://schemas.openxmlformats.org/officeDocument/2006/relationships/worksheet" Target="/xl/worksheets/sheet4.xml" Id="Rd33005f7b1ed4250" /><Relationship Type="http://schemas.openxmlformats.org/officeDocument/2006/relationships/worksheet" Target="/xl/worksheets/sheet5.xml" Id="Re7769f6396524003" /><Relationship Type="http://schemas.openxmlformats.org/officeDocument/2006/relationships/worksheet" Target="/xl/worksheets/sheet6.xml" Id="R21a43bc9f4c24357" /><Relationship Type="http://schemas.openxmlformats.org/officeDocument/2006/relationships/worksheet" Target="/xl/worksheets/sheet7.xml" Id="Rda77b808cbc24f52" /><Relationship Type="http://schemas.openxmlformats.org/officeDocument/2006/relationships/worksheet" Target="/xl/worksheets/sheet8.xml" Id="Rdca0aed4f6f5464b" /><Relationship Type="http://schemas.openxmlformats.org/officeDocument/2006/relationships/worksheet" Target="/xl/worksheets/sheet9.xml" Id="R98e7c18b41764675" /><Relationship Type="http://schemas.openxmlformats.org/officeDocument/2006/relationships/worksheet" Target="/xl/worksheets/sheet10.xml" Id="R171bc1f435b4479f" /><Relationship Type="http://schemas.openxmlformats.org/officeDocument/2006/relationships/worksheet" Target="/xl/worksheets/sheet11.xml" Id="R617bad7d8b174442" /><Relationship Type="http://schemas.openxmlformats.org/officeDocument/2006/relationships/worksheet" Target="/xl/worksheets/sheet12.xml" Id="Rb49023a3c8844fc4" /><Relationship Type="http://schemas.openxmlformats.org/officeDocument/2006/relationships/worksheet" Target="/xl/worksheets/sheet13.xml" Id="R4fefed2e2445474b" /><Relationship Type="http://schemas.openxmlformats.org/officeDocument/2006/relationships/worksheet" Target="/xl/worksheets/sheet14.xml" Id="Rc0d3e38adf684d98" /><Relationship Type="http://schemas.openxmlformats.org/officeDocument/2006/relationships/worksheet" Target="/xl/worksheets/sheet15.xml" Id="Rd24e6571b0e94479" /><Relationship Type="http://schemas.openxmlformats.org/officeDocument/2006/relationships/worksheet" Target="/xl/worksheets/sheet16.xml" Id="Rd9eb313a56764300" /><Relationship Type="http://schemas.openxmlformats.org/officeDocument/2006/relationships/worksheet" Target="/xl/worksheets/sheet17.xml" Id="Rf3003d0913eb4090" /><Relationship Type="http://schemas.openxmlformats.org/officeDocument/2006/relationships/worksheet" Target="/xl/worksheets/sheet18.xml" Id="R35ec6ef9c5214604" /><Relationship Type="http://schemas.openxmlformats.org/officeDocument/2006/relationships/worksheet" Target="/xl/worksheets/sheet19.xml" Id="Rc588bfb6f58143b6" /><Relationship Type="http://schemas.openxmlformats.org/officeDocument/2006/relationships/worksheet" Target="/xl/worksheets/sheet20.xml" Id="Ra1e16d6524794160" /><Relationship Type="http://schemas.openxmlformats.org/officeDocument/2006/relationships/worksheet" Target="/xl/worksheets/sheet21.xml" Id="Ra4f3db979c864a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4b9ffeabfb94d6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c56fd11ff7a471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3ca3619ba1940b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9dd919eea1db4b0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b09330beaf6a4a6c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f4335c053cba4e0f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60ac6dfeb1044f91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44fdc05ae5aa4ff5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b34e1111bd5f4c70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67fe4c791d39498d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9d211adbbe9d4e85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chart" Target="/xl/drawings/charts/chart12.xml" Id="R49e0e3f0e93d43c2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650b8fff306a4e8d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chart" Target="/xl/drawings/charts/chart14.xml" Id="Rb4ebc4e0ba384596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chart" Target="/xl/drawings/charts/chart15.xml" Id="R8c28bbfccfd74a75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chart" Target="/xl/drawings/charts/chart16.xml" Id="Rb8f0279125a34d4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Income and profit after tax (INR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Income</c:v>
          </c:tx>
          <c:spPr>
            <a:ln xmlns:a="http://schemas.openxmlformats.org/drawingml/2006/main" w="19050">
              <a:solidFill>
                <a:srgbClr val="19354D"/>
              </a:solidFill>
              <a:prstDash val="solid"/>
            </a:ln>
          </c:spPr>
          <c:marker>
            <c:symbol val="none"/>
          </c:marker>
          <c:cat>
            <c:strRef>
              <c:f>'IT Services'!$X$3:$X$7</c:f>
              <c:strCache>
                <c:ptCount val="0"/>
              </c:strCache>
            </c:strRef>
          </c:cat>
          <c:val>
            <c:numRef>
              <c:f>'IT Services'!$Y$3:$Y$7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 after tax</c:v>
          </c:tx>
          <c:spPr>
            <a:ln xmlns:a="http://schemas.openxmlformats.org/drawingml/2006/main" w="19050">
              <a:solidFill>
                <a:srgbClr val="BC6C25"/>
              </a:solidFill>
              <a:prstDash val="solid"/>
            </a:ln>
          </c:spPr>
          <c:marker>
            <c:symbol val="none"/>
          </c:marker>
          <c:cat>
            <c:strRef>
              <c:f>'IT Services'!$X$3:$X$7</c:f>
              <c:strCache>
                <c:ptCount val="0"/>
              </c:strCache>
            </c:strRef>
          </c:cat>
          <c:val>
            <c:numRef>
              <c:f>'IT Services'!$Z$3:$Z$7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Income and profit after tax (INR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Income</c:v>
          </c:tx>
          <c:spPr>
            <a:ln xmlns:a="http://schemas.openxmlformats.org/drawingml/2006/main" w="19050">
              <a:solidFill>
                <a:srgbClr val="19354D"/>
              </a:solidFill>
              <a:prstDash val="solid"/>
            </a:ln>
          </c:spPr>
          <c:marker>
            <c:symbol val="none"/>
          </c:marker>
          <c:cat>
            <c:strRef>
              <c:f>'FMCG'!$X$3:$X$7</c:f>
              <c:strCache>
                <c:ptCount val="0"/>
              </c:strCache>
            </c:strRef>
          </c:cat>
          <c:val>
            <c:numRef>
              <c:f>'FMCG'!$Y$3:$Y$7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 after tax</c:v>
          </c:tx>
          <c:spPr>
            <a:ln xmlns:a="http://schemas.openxmlformats.org/drawingml/2006/main" w="19050">
              <a:solidFill>
                <a:srgbClr val="BC6C25"/>
              </a:solidFill>
              <a:prstDash val="solid"/>
            </a:ln>
          </c:spPr>
          <c:marker>
            <c:symbol val="none"/>
          </c:marker>
          <c:cat>
            <c:strRef>
              <c:f>'FMCG'!$X$3:$X$7</c:f>
              <c:strCache>
                <c:ptCount val="0"/>
              </c:strCache>
            </c:strRef>
          </c:cat>
          <c:val>
            <c:numRef>
              <c:f>'FMCG'!$Z$3:$Z$7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Income and profit after tax (INR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Income</c:v>
          </c:tx>
          <c:spPr>
            <a:ln xmlns:a="http://schemas.openxmlformats.org/drawingml/2006/main" w="19050">
              <a:solidFill>
                <a:srgbClr val="19354D"/>
              </a:solidFill>
              <a:prstDash val="solid"/>
            </a:ln>
          </c:spPr>
          <c:marker>
            <c:symbol val="none"/>
          </c:marker>
          <c:cat>
            <c:strRef>
              <c:f>'Automobiles'!$X$3:$X$7</c:f>
              <c:strCache>
                <c:ptCount val="0"/>
              </c:strCache>
            </c:strRef>
          </c:cat>
          <c:val>
            <c:numRef>
              <c:f>'Automobiles'!$Y$3:$Y$7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 after tax</c:v>
          </c:tx>
          <c:spPr>
            <a:ln xmlns:a="http://schemas.openxmlformats.org/drawingml/2006/main" w="19050">
              <a:solidFill>
                <a:srgbClr val="BC6C25"/>
              </a:solidFill>
              <a:prstDash val="solid"/>
            </a:ln>
          </c:spPr>
          <c:marker>
            <c:symbol val="none"/>
          </c:marker>
          <c:cat>
            <c:strRef>
              <c:f>'Automobiles'!$X$3:$X$7</c:f>
              <c:strCache>
                <c:ptCount val="0"/>
              </c:strCache>
            </c:strRef>
          </c:cat>
          <c:val>
            <c:numRef>
              <c:f>'Automobiles'!$Z$3:$Z$7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Income and profit after tax (INR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Income</c:v>
          </c:tx>
          <c:spPr>
            <a:ln xmlns:a="http://schemas.openxmlformats.org/drawingml/2006/main" w="19050">
              <a:solidFill>
                <a:srgbClr val="19354D"/>
              </a:solidFill>
              <a:prstDash val="solid"/>
            </a:ln>
          </c:spPr>
          <c:marker>
            <c:symbol val="none"/>
          </c:marker>
          <c:cat>
            <c:strRef>
              <c:f>'Cement'!$X$3:$X$7</c:f>
              <c:strCache>
                <c:ptCount val="0"/>
              </c:strCache>
            </c:strRef>
          </c:cat>
          <c:val>
            <c:numRef>
              <c:f>'Cement'!$Y$3:$Y$7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 after tax</c:v>
          </c:tx>
          <c:spPr>
            <a:ln xmlns:a="http://schemas.openxmlformats.org/drawingml/2006/main" w="19050">
              <a:solidFill>
                <a:srgbClr val="BC6C25"/>
              </a:solidFill>
              <a:prstDash val="solid"/>
            </a:ln>
          </c:spPr>
          <c:marker>
            <c:symbol val="none"/>
          </c:marker>
          <c:cat>
            <c:strRef>
              <c:f>'Cement'!$X$3:$X$7</c:f>
              <c:strCache>
                <c:ptCount val="0"/>
              </c:strCache>
            </c:strRef>
          </c:cat>
          <c:val>
            <c:numRef>
              <c:f>'Cement'!$Z$3:$Z$7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Income and profit after tax (INR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Income</c:v>
          </c:tx>
          <c:spPr>
            <a:ln xmlns:a="http://schemas.openxmlformats.org/drawingml/2006/main" w="19050">
              <a:solidFill>
                <a:srgbClr val="19354D"/>
              </a:solidFill>
              <a:prstDash val="solid"/>
            </a:ln>
          </c:spPr>
          <c:marker>
            <c:symbol val="none"/>
          </c:marker>
          <c:cat>
            <c:strRef>
              <c:f>'Steel'!$X$3:$X$7</c:f>
              <c:strCache>
                <c:ptCount val="0"/>
              </c:strCache>
            </c:strRef>
          </c:cat>
          <c:val>
            <c:numRef>
              <c:f>'Steel'!$Y$3:$Y$7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 after tax</c:v>
          </c:tx>
          <c:spPr>
            <a:ln xmlns:a="http://schemas.openxmlformats.org/drawingml/2006/main" w="19050">
              <a:solidFill>
                <a:srgbClr val="BC6C25"/>
              </a:solidFill>
              <a:prstDash val="solid"/>
            </a:ln>
          </c:spPr>
          <c:marker>
            <c:symbol val="none"/>
          </c:marker>
          <c:cat>
            <c:strRef>
              <c:f>'Steel'!$X$3:$X$7</c:f>
              <c:strCache>
                <c:ptCount val="0"/>
              </c:strCache>
            </c:strRef>
          </c:cat>
          <c:val>
            <c:numRef>
              <c:f>'Steel'!$Z$3:$Z$7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Income and profit after tax (INR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Income</c:v>
          </c:tx>
          <c:spPr>
            <a:ln xmlns:a="http://schemas.openxmlformats.org/drawingml/2006/main" w="19050">
              <a:solidFill>
                <a:srgbClr val="19354D"/>
              </a:solidFill>
              <a:prstDash val="solid"/>
            </a:ln>
          </c:spPr>
          <c:marker>
            <c:symbol val="none"/>
          </c:marker>
          <c:cat>
            <c:strRef>
              <c:f>'Pharma'!$X$3:$X$7</c:f>
              <c:strCache>
                <c:ptCount val="0"/>
              </c:strCache>
            </c:strRef>
          </c:cat>
          <c:val>
            <c:numRef>
              <c:f>'Pharma'!$Y$3:$Y$7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 after tax</c:v>
          </c:tx>
          <c:spPr>
            <a:ln xmlns:a="http://schemas.openxmlformats.org/drawingml/2006/main" w="19050">
              <a:solidFill>
                <a:srgbClr val="BC6C25"/>
              </a:solidFill>
              <a:prstDash val="solid"/>
            </a:ln>
          </c:spPr>
          <c:marker>
            <c:symbol val="none"/>
          </c:marker>
          <c:cat>
            <c:strRef>
              <c:f>'Pharma'!$X$3:$X$7</c:f>
              <c:strCache>
                <c:ptCount val="0"/>
              </c:strCache>
            </c:strRef>
          </c:cat>
          <c:val>
            <c:numRef>
              <c:f>'Pharma'!$Z$3:$Z$7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Income and profit after tax (INR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Income</c:v>
          </c:tx>
          <c:spPr>
            <a:ln xmlns:a="http://schemas.openxmlformats.org/drawingml/2006/main" w="19050">
              <a:solidFill>
                <a:srgbClr val="19354D"/>
              </a:solidFill>
              <a:prstDash val="solid"/>
            </a:ln>
          </c:spPr>
          <c:marker>
            <c:symbol val="none"/>
          </c:marker>
          <c:cat>
            <c:strRef>
              <c:f>'Hospitals'!$X$3:$X$7</c:f>
              <c:strCache>
                <c:ptCount val="0"/>
              </c:strCache>
            </c:strRef>
          </c:cat>
          <c:val>
            <c:numRef>
              <c:f>'Hospitals'!$Y$3:$Y$7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 after tax</c:v>
          </c:tx>
          <c:spPr>
            <a:ln xmlns:a="http://schemas.openxmlformats.org/drawingml/2006/main" w="19050">
              <a:solidFill>
                <a:srgbClr val="BC6C25"/>
              </a:solidFill>
              <a:prstDash val="solid"/>
            </a:ln>
          </c:spPr>
          <c:marker>
            <c:symbol val="none"/>
          </c:marker>
          <c:cat>
            <c:strRef>
              <c:f>'Hospitals'!$X$3:$X$7</c:f>
              <c:strCache>
                <c:ptCount val="0"/>
              </c:strCache>
            </c:strRef>
          </c:cat>
          <c:val>
            <c:numRef>
              <c:f>'Hospitals'!$Z$3:$Z$7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Income and profit after tax (INR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Income</c:v>
          </c:tx>
          <c:spPr>
            <a:ln xmlns:a="http://schemas.openxmlformats.org/drawingml/2006/main" w="19050">
              <a:solidFill>
                <a:srgbClr val="19354D"/>
              </a:solidFill>
              <a:prstDash val="solid"/>
            </a:ln>
          </c:spPr>
          <c:marker>
            <c:symbol val="none"/>
          </c:marker>
          <c:cat>
            <c:strRef>
              <c:f>'Telecom'!$X$3:$X$7</c:f>
              <c:strCache>
                <c:ptCount val="0"/>
              </c:strCache>
            </c:strRef>
          </c:cat>
          <c:val>
            <c:numRef>
              <c:f>'Telecom'!$Y$3:$Y$7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 after tax</c:v>
          </c:tx>
          <c:spPr>
            <a:ln xmlns:a="http://schemas.openxmlformats.org/drawingml/2006/main" w="19050">
              <a:solidFill>
                <a:srgbClr val="BC6C25"/>
              </a:solidFill>
              <a:prstDash val="solid"/>
            </a:ln>
          </c:spPr>
          <c:marker>
            <c:symbol val="none"/>
          </c:marker>
          <c:cat>
            <c:strRef>
              <c:f>'Telecom'!$X$3:$X$7</c:f>
              <c:strCache>
                <c:ptCount val="0"/>
              </c:strCache>
            </c:strRef>
          </c:cat>
          <c:val>
            <c:numRef>
              <c:f>'Telecom'!$Z$3:$Z$7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Income and profit after tax (INR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Income</c:v>
          </c:tx>
          <c:spPr>
            <a:ln xmlns:a="http://schemas.openxmlformats.org/drawingml/2006/main" w="19050">
              <a:solidFill>
                <a:srgbClr val="19354D"/>
              </a:solidFill>
              <a:prstDash val="solid"/>
            </a:ln>
          </c:spPr>
          <c:marker>
            <c:symbol val="none"/>
          </c:marker>
          <c:cat>
            <c:strRef>
              <c:f>'Renewable Power'!$X$3:$X$7</c:f>
              <c:strCache>
                <c:ptCount val="0"/>
              </c:strCache>
            </c:strRef>
          </c:cat>
          <c:val>
            <c:numRef>
              <c:f>'Renewable Power'!$Y$3:$Y$7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 after tax</c:v>
          </c:tx>
          <c:spPr>
            <a:ln xmlns:a="http://schemas.openxmlformats.org/drawingml/2006/main" w="19050">
              <a:solidFill>
                <a:srgbClr val="BC6C25"/>
              </a:solidFill>
              <a:prstDash val="solid"/>
            </a:ln>
          </c:spPr>
          <c:marker>
            <c:symbol val="none"/>
          </c:marker>
          <c:cat>
            <c:strRef>
              <c:f>'Renewable Power'!$X$3:$X$7</c:f>
              <c:strCache>
                <c:ptCount val="0"/>
              </c:strCache>
            </c:strRef>
          </c:cat>
          <c:val>
            <c:numRef>
              <c:f>'Renewable Power'!$Z$3:$Z$7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Income and profit after tax (INR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Income</c:v>
          </c:tx>
          <c:spPr>
            <a:ln xmlns:a="http://schemas.openxmlformats.org/drawingml/2006/main" w="19050">
              <a:solidFill>
                <a:srgbClr val="19354D"/>
              </a:solidFill>
              <a:prstDash val="solid"/>
            </a:ln>
          </c:spPr>
          <c:marker>
            <c:symbol val="none"/>
          </c:marker>
          <c:cat>
            <c:strRef>
              <c:f>'Hotels'!$X$3:$X$7</c:f>
              <c:strCache>
                <c:ptCount val="0"/>
              </c:strCache>
            </c:strRef>
          </c:cat>
          <c:val>
            <c:numRef>
              <c:f>'Hotels'!$Y$3:$Y$7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 after tax</c:v>
          </c:tx>
          <c:spPr>
            <a:ln xmlns:a="http://schemas.openxmlformats.org/drawingml/2006/main" w="19050">
              <a:solidFill>
                <a:srgbClr val="BC6C25"/>
              </a:solidFill>
              <a:prstDash val="solid"/>
            </a:ln>
          </c:spPr>
          <c:marker>
            <c:symbol val="none"/>
          </c:marker>
          <c:cat>
            <c:strRef>
              <c:f>'Hotels'!$X$3:$X$7</c:f>
              <c:strCache>
                <c:ptCount val="0"/>
              </c:strCache>
            </c:strRef>
          </c:cat>
          <c:val>
            <c:numRef>
              <c:f>'Hotels'!$Z$3:$Z$7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Income and profit after tax (INR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Income</c:v>
          </c:tx>
          <c:spPr>
            <a:ln xmlns:a="http://schemas.openxmlformats.org/drawingml/2006/main" w="19050">
              <a:solidFill>
                <a:srgbClr val="19354D"/>
              </a:solidFill>
              <a:prstDash val="solid"/>
            </a:ln>
          </c:spPr>
          <c:marker>
            <c:symbol val="none"/>
          </c:marker>
          <c:cat>
            <c:strRef>
              <c:f>'Retail'!$X$3:$X$7</c:f>
              <c:strCache>
                <c:ptCount val="0"/>
              </c:strCache>
            </c:strRef>
          </c:cat>
          <c:val>
            <c:numRef>
              <c:f>'Retail'!$Y$3:$Y$7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 after tax</c:v>
          </c:tx>
          <c:spPr>
            <a:ln xmlns:a="http://schemas.openxmlformats.org/drawingml/2006/main" w="19050">
              <a:solidFill>
                <a:srgbClr val="BC6C25"/>
              </a:solidFill>
              <a:prstDash val="solid"/>
            </a:ln>
          </c:spPr>
          <c:marker>
            <c:symbol val="none"/>
          </c:marker>
          <c:cat>
            <c:strRef>
              <c:f>'Retail'!$X$3:$X$7</c:f>
              <c:strCache>
                <c:ptCount val="0"/>
              </c:strCache>
            </c:strRef>
          </c:cat>
          <c:val>
            <c:numRef>
              <c:f>'Retail'!$Z$3:$Z$7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Income and profit after tax (INR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Income</c:v>
          </c:tx>
          <c:spPr>
            <a:ln xmlns:a="http://schemas.openxmlformats.org/drawingml/2006/main" w="19050">
              <a:solidFill>
                <a:srgbClr val="19354D"/>
              </a:solidFill>
              <a:prstDash val="solid"/>
            </a:ln>
          </c:spPr>
          <c:marker>
            <c:symbol val="none"/>
          </c:marker>
          <c:cat>
            <c:strRef>
              <c:f>'EPC'!$X$3:$X$7</c:f>
              <c:strCache>
                <c:ptCount val="0"/>
              </c:strCache>
            </c:strRef>
          </c:cat>
          <c:val>
            <c:numRef>
              <c:f>'EPC'!$Y$3:$Y$7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 after tax</c:v>
          </c:tx>
          <c:spPr>
            <a:ln xmlns:a="http://schemas.openxmlformats.org/drawingml/2006/main" w="19050">
              <a:solidFill>
                <a:srgbClr val="BC6C25"/>
              </a:solidFill>
              <a:prstDash val="solid"/>
            </a:ln>
          </c:spPr>
          <c:marker>
            <c:symbol val="none"/>
          </c:marker>
          <c:cat>
            <c:strRef>
              <c:f>'EPC'!$X$3:$X$7</c:f>
              <c:strCache>
                <c:ptCount val="0"/>
              </c:strCache>
            </c:strRef>
          </c:cat>
          <c:val>
            <c:numRef>
              <c:f>'EPC'!$Z$3:$Z$7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Income and profit after tax (INR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Income</c:v>
          </c:tx>
          <c:spPr>
            <a:ln xmlns:a="http://schemas.openxmlformats.org/drawingml/2006/main" w="19050">
              <a:solidFill>
                <a:srgbClr val="19354D"/>
              </a:solidFill>
              <a:prstDash val="solid"/>
            </a:ln>
          </c:spPr>
          <c:marker>
            <c:symbol val="none"/>
          </c:marker>
          <c:cat>
            <c:strRef>
              <c:f>'Banking'!$X$3:$X$7</c:f>
              <c:strCache>
                <c:ptCount val="0"/>
              </c:strCache>
            </c:strRef>
          </c:cat>
          <c:val>
            <c:numRef>
              <c:f>'Banking'!$Y$3:$Y$7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 after tax</c:v>
          </c:tx>
          <c:spPr>
            <a:ln xmlns:a="http://schemas.openxmlformats.org/drawingml/2006/main" w="19050">
              <a:solidFill>
                <a:srgbClr val="BC6C25"/>
              </a:solidFill>
              <a:prstDash val="solid"/>
            </a:ln>
          </c:spPr>
          <c:marker>
            <c:symbol val="none"/>
          </c:marker>
          <c:cat>
            <c:strRef>
              <c:f>'Banking'!$X$3:$X$7</c:f>
              <c:strCache>
                <c:ptCount val="0"/>
              </c:strCache>
            </c:strRef>
          </c:cat>
          <c:val>
            <c:numRef>
              <c:f>'Banking'!$Z$3:$Z$7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Income and profit after tax (INR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Income</c:v>
          </c:tx>
          <c:spPr>
            <a:ln xmlns:a="http://schemas.openxmlformats.org/drawingml/2006/main" w="19050">
              <a:solidFill>
                <a:srgbClr val="19354D"/>
              </a:solidFill>
              <a:prstDash val="solid"/>
            </a:ln>
          </c:spPr>
          <c:marker>
            <c:symbol val="none"/>
          </c:marker>
          <c:cat>
            <c:strRef>
              <c:f>'NBFC'!$X$3:$X$7</c:f>
              <c:strCache>
                <c:ptCount val="0"/>
              </c:strCache>
            </c:strRef>
          </c:cat>
          <c:val>
            <c:numRef>
              <c:f>'NBFC'!$Y$3:$Y$7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 after tax</c:v>
          </c:tx>
          <c:spPr>
            <a:ln xmlns:a="http://schemas.openxmlformats.org/drawingml/2006/main" w="19050">
              <a:solidFill>
                <a:srgbClr val="BC6C25"/>
              </a:solidFill>
              <a:prstDash val="solid"/>
            </a:ln>
          </c:spPr>
          <c:marker>
            <c:symbol val="none"/>
          </c:marker>
          <c:cat>
            <c:strRef>
              <c:f>'NBFC'!$X$3:$X$7</c:f>
              <c:strCache>
                <c:ptCount val="0"/>
              </c:strCache>
            </c:strRef>
          </c:cat>
          <c:val>
            <c:numRef>
              <c:f>'NBFC'!$Z$3:$Z$7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Income and profit after tax (INR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Income</c:v>
          </c:tx>
          <c:spPr>
            <a:ln xmlns:a="http://schemas.openxmlformats.org/drawingml/2006/main" w="19050">
              <a:solidFill>
                <a:srgbClr val="19354D"/>
              </a:solidFill>
              <a:prstDash val="solid"/>
            </a:ln>
          </c:spPr>
          <c:marker>
            <c:symbol val="none"/>
          </c:marker>
          <c:cat>
            <c:strRef>
              <c:f>'General Insurance'!$X$3:$X$7</c:f>
              <c:strCache>
                <c:ptCount val="0"/>
              </c:strCache>
            </c:strRef>
          </c:cat>
          <c:val>
            <c:numRef>
              <c:f>'General Insurance'!$Y$3:$Y$7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 after tax</c:v>
          </c:tx>
          <c:spPr>
            <a:ln xmlns:a="http://schemas.openxmlformats.org/drawingml/2006/main" w="19050">
              <a:solidFill>
                <a:srgbClr val="BC6C25"/>
              </a:solidFill>
              <a:prstDash val="solid"/>
            </a:ln>
          </c:spPr>
          <c:marker>
            <c:symbol val="none"/>
          </c:marker>
          <c:cat>
            <c:strRef>
              <c:f>'General Insurance'!$X$3:$X$7</c:f>
              <c:strCache>
                <c:ptCount val="0"/>
              </c:strCache>
            </c:strRef>
          </c:cat>
          <c:val>
            <c:numRef>
              <c:f>'General Insurance'!$Z$3:$Z$7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Income and profit after tax (INR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Income</c:v>
          </c:tx>
          <c:spPr>
            <a:ln xmlns:a="http://schemas.openxmlformats.org/drawingml/2006/main" w="19050">
              <a:solidFill>
                <a:srgbClr val="19354D"/>
              </a:solidFill>
              <a:prstDash val="solid"/>
            </a:ln>
          </c:spPr>
          <c:marker>
            <c:symbol val="none"/>
          </c:marker>
          <c:cat>
            <c:strRef>
              <c:f>'Real Estate'!$X$3:$X$7</c:f>
              <c:strCache>
                <c:ptCount val="0"/>
              </c:strCache>
            </c:strRef>
          </c:cat>
          <c:val>
            <c:numRef>
              <c:f>'Real Estate'!$Y$3:$Y$7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 after tax</c:v>
          </c:tx>
          <c:spPr>
            <a:ln xmlns:a="http://schemas.openxmlformats.org/drawingml/2006/main" w="19050">
              <a:solidFill>
                <a:srgbClr val="BC6C25"/>
              </a:solidFill>
              <a:prstDash val="solid"/>
            </a:ln>
          </c:spPr>
          <c:marker>
            <c:symbol val="none"/>
          </c:marker>
          <c:cat>
            <c:strRef>
              <c:f>'Real Estate'!$X$3:$X$7</c:f>
              <c:strCache>
                <c:ptCount val="0"/>
              </c:strCache>
            </c:strRef>
          </c:cat>
          <c:val>
            <c:numRef>
              <c:f>'Real Estate'!$Z$3:$Z$7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11</xdr:row>
      <xdr:rowOff>0</xdr:rowOff>
    </xdr:from>
    <xdr:to>
      <xdr:col>21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b9ffeabfb94d6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0</xdr:colOff>
      <xdr:row>11</xdr:row>
      <xdr:rowOff>0</xdr:rowOff>
    </xdr:from>
    <xdr:to>
      <xdr:col>21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56fd11ff7a471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12</xdr:col>
      <xdr:colOff>0</xdr:colOff>
      <xdr:row>11</xdr:row>
      <xdr:rowOff>0</xdr:rowOff>
    </xdr:from>
    <xdr:to>
      <xdr:col>21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ca3619ba1940b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12</xdr:col>
      <xdr:colOff>0</xdr:colOff>
      <xdr:row>11</xdr:row>
      <xdr:rowOff>0</xdr:rowOff>
    </xdr:from>
    <xdr:to>
      <xdr:col>21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d919eea1db4b0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12</xdr:col>
      <xdr:colOff>0</xdr:colOff>
      <xdr:row>11</xdr:row>
      <xdr:rowOff>0</xdr:rowOff>
    </xdr:from>
    <xdr:to>
      <xdr:col>21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9330beaf6a4a6c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12</xdr:col>
      <xdr:colOff>0</xdr:colOff>
      <xdr:row>11</xdr:row>
      <xdr:rowOff>0</xdr:rowOff>
    </xdr:from>
    <xdr:to>
      <xdr:col>21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335c053cba4e0f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12</xdr:col>
      <xdr:colOff>0</xdr:colOff>
      <xdr:row>11</xdr:row>
      <xdr:rowOff>0</xdr:rowOff>
    </xdr:from>
    <xdr:to>
      <xdr:col>21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ac6dfeb1044f9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12</xdr:col>
      <xdr:colOff>0</xdr:colOff>
      <xdr:row>11</xdr:row>
      <xdr:rowOff>0</xdr:rowOff>
    </xdr:from>
    <xdr:to>
      <xdr:col>21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fdc05ae5aa4ff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12</xdr:col>
      <xdr:colOff>0</xdr:colOff>
      <xdr:row>11</xdr:row>
      <xdr:rowOff>0</xdr:rowOff>
    </xdr:from>
    <xdr:to>
      <xdr:col>21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4e1111bd5f4c70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>
  <xdr:twoCellAnchor>
    <xdr:from>
      <xdr:col>12</xdr:col>
      <xdr:colOff>0</xdr:colOff>
      <xdr:row>11</xdr:row>
      <xdr:rowOff>0</xdr:rowOff>
    </xdr:from>
    <xdr:to>
      <xdr:col>21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fe4c791d39498d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>
  <xdr:twoCellAnchor>
    <xdr:from>
      <xdr:col>12</xdr:col>
      <xdr:colOff>0</xdr:colOff>
      <xdr:row>11</xdr:row>
      <xdr:rowOff>0</xdr:rowOff>
    </xdr:from>
    <xdr:to>
      <xdr:col>21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211adbbe9d4e8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>
  <xdr:twoCellAnchor>
    <xdr:from>
      <xdr:col>12</xdr:col>
      <xdr:colOff>0</xdr:colOff>
      <xdr:row>11</xdr:row>
      <xdr:rowOff>0</xdr:rowOff>
    </xdr:from>
    <xdr:to>
      <xdr:col>21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e0e3f0e93d43c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>
  <xdr:twoCellAnchor>
    <xdr:from>
      <xdr:col>12</xdr:col>
      <xdr:colOff>0</xdr:colOff>
      <xdr:row>11</xdr:row>
      <xdr:rowOff>0</xdr:rowOff>
    </xdr:from>
    <xdr:to>
      <xdr:col>21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0b8fff306a4e8d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>
  <xdr:twoCellAnchor>
    <xdr:from>
      <xdr:col>12</xdr:col>
      <xdr:colOff>0</xdr:colOff>
      <xdr:row>11</xdr:row>
      <xdr:rowOff>0</xdr:rowOff>
    </xdr:from>
    <xdr:to>
      <xdr:col>21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ebc4e0ba38459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>
  <xdr:twoCellAnchor>
    <xdr:from>
      <xdr:col>12</xdr:col>
      <xdr:colOff>0</xdr:colOff>
      <xdr:row>11</xdr:row>
      <xdr:rowOff>0</xdr:rowOff>
    </xdr:from>
    <xdr:to>
      <xdr:col>21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28bbfccfd74a7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>
  <xdr:twoCellAnchor>
    <xdr:from>
      <xdr:col>12</xdr:col>
      <xdr:colOff>0</xdr:colOff>
      <xdr:row>11</xdr:row>
      <xdr:rowOff>0</xdr:rowOff>
    </xdr:from>
    <xdr:to>
      <xdr:col>21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f0279125a34d4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4f179ab9b9a41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758c19e348e24b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a4c3f8e8b2994d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78fae703e64b48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b3eb582df3fd4a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6.xml" Id="Rd200d70867bb4a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7.xml" Id="Rb4c5c5f64c0d42c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8.xml" Id="R46945876d9a140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9.xml" Id="R56ea073b6b414cb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0.xml" Id="Re77b0475d61e471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1.xml" Id="R367f02d5484e459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2.xml" Id="Rbb23060e8ada46f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3.xml" Id="R4ef38a3fc19745f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4.xml" Id="Rd93801a85ea148c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5.xml" Id="R1ec64d33c740430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6.xml" Id="Raab870826c6a4fdb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4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5" hidden="0" customWidth="1"/>
    <x:col min="11" max="11" width="42" hidden="0" customWidth="1"/>
  </x:cols>
  <x:sheetData>
    <x:row r="1" ht="18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  <x:c r="K1" s="1"/>
    </x:row>
    <x:row r="2" ht="18" customHeight="1">
      <x:c r="A2" s="1"/>
      <x:c r="B2" s="1"/>
      <x:c r="C2" s="3" t="str">
        <x:v>Indian sector financial model library</x:v>
      </x:c>
      <x:c r="D2" s="2"/>
      <x:c r="E2" s="2"/>
      <x:c r="F2" s="2"/>
      <x:c r="G2" s="2"/>
      <x:c r="H2" s="2"/>
      <x:c r="I2" s="2"/>
      <x:c r="J2" s="1"/>
      <x:c r="K2" s="1"/>
    </x:row>
    <x:row r="3" ht="18" customHeight="1">
      <x:c r="A3" s="1"/>
      <x:c r="B3" s="1"/>
      <x:c r="C3" s="4"/>
      <x:c r="D3" s="5"/>
      <x:c r="E3" s="5"/>
      <x:c r="F3" s="5"/>
      <x:c r="G3" s="5"/>
      <x:c r="H3" s="5"/>
      <x:c r="I3" s="5"/>
      <x:c r="J3" s="1"/>
      <x:c r="K3" s="1"/>
    </x:row>
    <x:row r="4" ht="18" customHeight="1">
      <x:c r="A4" s="1"/>
      <x:c r="B4" s="1"/>
      <x:c r="C4" s="1" t="str">
        <x:v>16 sector archetypes. Illustrative inputs only. FY:27E–FY:31E. INR crore.</x:v>
      </x:c>
      <x:c r="D4" s="2"/>
      <x:c r="E4" s="2"/>
      <x:c r="F4" s="2"/>
      <x:c r="G4" s="2"/>
      <x:c r="H4" s="2"/>
      <x:c r="I4" s="2"/>
      <x:c r="J4" s="1"/>
      <x:c r="K4" s="1"/>
    </x:row>
    <x:row r="5" ht="18" customHeight="1">
      <x:c r="A5" s="1"/>
      <x:c r="B5" s="1"/>
      <x:c r="C5" s="1" t="str">
        <x:v>Selected case</x:v>
      </x:c>
      <x:c r="D5" s="2"/>
      <x:c r="E5" s="10" t="str">
        <x:f>'Controls'!E6</x:f>
        <x:v>Base</x:v>
      </x:c>
      <x:c r="F5" s="2"/>
      <x:c r="G5" s="2"/>
      <x:c r="H5" s="2"/>
      <x:c r="I5" s="2"/>
      <x:c r="J5" s="1"/>
      <x:c r="K5" s="1"/>
    </x:row>
    <x:row r="6" ht="18" customHeight="1">
      <x:c r="A6" s="1"/>
      <x:c r="B6" s="1"/>
      <x:c r="C6" s="1"/>
      <x:c r="D6" s="2"/>
      <x:c r="E6" s="2"/>
      <x:c r="F6" s="2"/>
      <x:c r="G6" s="2"/>
      <x:c r="H6" s="2"/>
      <x:c r="I6" s="2"/>
      <x:c r="J6" s="1"/>
      <x:c r="K6" s="1"/>
    </x:row>
    <x:row r="7" ht="32" customHeight="1">
      <x:c r="A7" s="1"/>
      <x:c r="B7" s="1"/>
      <x:c r="C7" s="44" t="str">
        <x:v>Sector</x:v>
      </x:c>
      <x:c r="D7" s="45" t="str">
        <x:v>FY:27 income¹</x:v>
      </x:c>
      <x:c r="E7" s="45" t="str">
        <x:v>FY:31 income¹</x:v>
      </x:c>
      <x:c r="F7" s="45" t="str">
        <x:v>FY:27 PAT</x:v>
      </x:c>
      <x:c r="G7" s="45" t="str">
        <x:v>FY:31 PAT</x:v>
      </x:c>
      <x:c r="H7" s="45" t="str">
        <x:v>FY:27 key KPI</x:v>
      </x:c>
      <x:c r="I7" s="45" t="str">
        <x:v>KPI definition</x:v>
      </x:c>
      <x:c r="J7" s="44" t="str">
        <x:v>Equity value²</x:v>
      </x:c>
      <x:c r="K7" s="44" t="str">
        <x:v>Valuation method</x:v>
      </x:c>
    </x:row>
    <x:row r="8" ht="18" customHeight="1">
      <x:c r="A8" s="1"/>
      <x:c r="B8" s="1"/>
      <x:c r="C8" s="50" t="str">
        <x:v>IT Services</x:v>
      </x:c>
      <x:c r="D8" s="51" t="n">
        <x:f>'IT Services'!E47</x:f>
        <x:v>4992.569999999999</x:v>
      </x:c>
      <x:c r="E8" s="51" t="n">
        <x:f>'IT Services'!I47</x:f>
        <x:v>7497.468439385601</x:v>
      </x:c>
      <x:c r="F8" s="51" t="n">
        <x:f>'IT Services'!E58</x:f>
        <x:v>862.231875</x:v>
      </x:c>
      <x:c r="G8" s="51" t="n">
        <x:f>'IT Services'!I58</x:f>
        <x:v>1285.1602169935293</x:v>
      </x:c>
      <x:c r="H8" s="52" t="n">
        <x:f>'IT Services'!E80</x:f>
        <x:v>0.25000000000000006</x:v>
      </x:c>
      <x:c r="I8" s="53" t="str">
        <x:v>EBITDA margin</x:v>
      </x:c>
      <x:c r="J8" s="51" t="n">
        <x:f>'IT Services'!E93</x:f>
        <x:v>10377.362909621339</x:v>
      </x:c>
      <x:c r="K8" s="50" t="str">
        <x:v>DCF / forward EV-EBITDA</x:v>
      </x:c>
    </x:row>
    <x:row r="9" ht="18" customHeight="1">
      <x:c r="A9" s="1"/>
      <x:c r="B9" s="1"/>
      <x:c r="C9" s="1" t="str">
        <x:v>FMCG</x:v>
      </x:c>
      <x:c r="D9" s="46" t="n">
        <x:f>'FMCG'!E47</x:f>
        <x:v>1335.36</x:v>
      </x:c>
      <x:c r="E9" s="46" t="n">
        <x:f>'FMCG'!I47</x:f>
        <x:v>2047.7023607067588</x:v>
      </x:c>
      <x:c r="F9" s="46" t="n">
        <x:f>'FMCG'!E58</x:f>
        <x:v>121.22459999999994</x:v>
      </x:c>
      <x:c r="G9" s="46" t="n">
        <x:f>'FMCG'!I58</x:f>
        <x:v>266.0889901254061</x:v>
      </x:c>
      <x:c r="H9" s="49" t="n">
        <x:f>'FMCG'!E80</x:f>
        <x:v>0.22999999999999995</x:v>
      </x:c>
      <x:c r="I9" s="2" t="str">
        <x:v>EBITDA margin</x:v>
      </x:c>
      <x:c r="J9" s="46" t="n">
        <x:f>'FMCG'!E94</x:f>
        <x:v>2235.085992807321</x:v>
      </x:c>
      <x:c r="K9" s="1" t="str">
        <x:v>DCF / forward EV-EBITDA</x:v>
      </x:c>
    </x:row>
    <x:row r="10" ht="18" customHeight="1">
      <x:c r="A10" s="1"/>
      <x:c r="B10" s="1"/>
      <x:c r="C10" s="50" t="str">
        <x:v>Automobiles</x:v>
      </x:c>
      <x:c r="D10" s="51" t="n">
        <x:f>'Automobiles'!E47</x:f>
        <x:v>31435.600000000006</x:v>
      </x:c>
      <x:c r="E10" s="51" t="n">
        <x:f>'Automobiles'!I47</x:f>
        <x:v>49943.2321083501</x:v>
      </x:c>
      <x:c r="F10" s="51" t="n">
        <x:f>'Automobiles'!E58</x:f>
        <x:v>2597.13</x:v>
      </x:c>
      <x:c r="G10" s="51" t="n">
        <x:f>'Automobiles'!I58</x:f>
        <x:v>4275.254764294357</x:v>
      </x:c>
      <x:c r="H10" s="52" t="n">
        <x:f>'Automobiles'!E80</x:f>
        <x:v>0.14999999999999997</x:v>
      </x:c>
      <x:c r="I10" s="53" t="str">
        <x:v>EBITDA margin</x:v>
      </x:c>
      <x:c r="J10" s="51" t="n">
        <x:f>'Automobiles'!E94</x:f>
        <x:v>30124.771508856284</x:v>
      </x:c>
      <x:c r="K10" s="50" t="str">
        <x:v>DCF / forward EV-EBITDA</x:v>
      </x:c>
    </x:row>
    <x:row r="11" ht="18" customHeight="1">
      <x:c r="A11" s="1"/>
      <x:c r="B11" s="1"/>
      <x:c r="C11" s="1" t="str">
        <x:v>Cement</x:v>
      </x:c>
      <x:c r="D11" s="46" t="n">
        <x:f>'Cement'!E47</x:f>
        <x:v>4524.093749999999</x:v>
      </x:c>
      <x:c r="E11" s="46" t="n">
        <x:f>'Cement'!I47</x:f>
        <x:v>6545.791506861501</x:v>
      </x:c>
      <x:c r="F11" s="46" t="n">
        <x:f>'Cement'!E58</x:f>
        <x:v>96.03117187499976</x:v>
      </x:c>
      <x:c r="G11" s="46" t="n">
        <x:f>'Cement'!I58</x:f>
        <x:v>561.1658861949653</x:v>
      </x:c>
      <x:c r="H11" s="49" t="n">
        <x:f>'Cement'!E80</x:f>
        <x:v>0.23</x:v>
      </x:c>
      <x:c r="I11" s="2" t="str">
        <x:v>EBITDA margin</x:v>
      </x:c>
      <x:c r="J11" s="46" t="n">
        <x:f>'Cement'!E94</x:f>
        <x:v>3950.6138920021476</x:v>
      </x:c>
      <x:c r="K11" s="1" t="str">
        <x:v>DCF / forward EV-EBITDA</x:v>
      </x:c>
    </x:row>
    <x:row r="12" ht="18" customHeight="1">
      <x:c r="A12" s="1"/>
      <x:c r="B12" s="1"/>
      <x:c r="C12" s="50" t="str">
        <x:v>Steel</x:v>
      </x:c>
      <x:c r="D12" s="51" t="n">
        <x:f>'Steel'!E47</x:f>
        <x:v>23674.2</x:v>
      </x:c>
      <x:c r="E12" s="51" t="n">
        <x:f>'Steel'!I47</x:f>
        <x:v>31745.767979788274</x:v>
      </x:c>
      <x:c r="F12" s="51" t="n">
        <x:f>'Steel'!E58</x:f>
        <x:v>2031.8115000000016</x:v>
      </x:c>
      <x:c r="G12" s="51" t="n">
        <x:f>'Steel'!I58</x:f>
        <x:v>3356.889437457253</x:v>
      </x:c>
      <x:c r="H12" s="52" t="n">
        <x:f>'Steel'!E80</x:f>
        <x:v>0.21000000000000008</x:v>
      </x:c>
      <x:c r="I12" s="53" t="str">
        <x:v>EBITDA margin</x:v>
      </x:c>
      <x:c r="J12" s="51" t="n">
        <x:f>'Steel'!E94</x:f>
        <x:v>20020.9273167345</x:v>
      </x:c>
      <x:c r="K12" s="50" t="str">
        <x:v>DCF / forward EV-EBITDA</x:v>
      </x:c>
    </x:row>
    <x:row r="13" ht="18" customHeight="1">
      <x:c r="A13" s="1"/>
      <x:c r="B13" s="1"/>
      <x:c r="C13" s="1" t="str">
        <x:v>Pharma</x:v>
      </x:c>
      <x:c r="D13" s="46" t="n">
        <x:f>'Pharma'!E47</x:f>
        <x:v>5692.499999999999</x:v>
      </x:c>
      <x:c r="E13" s="46" t="n">
        <x:f>'Pharma'!I47</x:f>
        <x:v>9563.90336053674</x:v>
      </x:c>
      <x:c r="F13" s="46" t="n">
        <x:f>'Pharma'!E58</x:f>
        <x:v>1075.14375</x:v>
      </x:c>
      <x:c r="G13" s="46" t="n">
        <x:f>'Pharma'!I58</x:f>
        <x:v>2017.0110370491243</x:v>
      </x:c>
      <x:c r="H13" s="49" t="n">
        <x:f>'Pharma'!E80</x:f>
        <x:v>0.33</x:v>
      </x:c>
      <x:c r="I13" s="2" t="str">
        <x:v>EBITDA margin</x:v>
      </x:c>
      <x:c r="J13" s="46" t="n">
        <x:f>'Pharma'!E94</x:f>
        <x:v>15000.311269326807</x:v>
      </x:c>
      <x:c r="K13" s="1" t="str">
        <x:v>DCF / forward EV-EBITDA</x:v>
      </x:c>
    </x:row>
    <x:row r="14" ht="18" customHeight="1">
      <x:c r="A14" s="1"/>
      <x:c r="B14" s="1"/>
      <x:c r="C14" s="50" t="str">
        <x:v>Hospitals</x:v>
      </x:c>
      <x:c r="D14" s="51" t="n">
        <x:f>'Hospitals'!E48</x:f>
        <x:v>2545.1917200000003</x:v>
      </x:c>
      <x:c r="E14" s="51" t="n">
        <x:f>'Hospitals'!I48</x:f>
        <x:v>4289.68460438272</x:v>
      </x:c>
      <x:c r="F14" s="51" t="n">
        <x:f>'Hospitals'!E59</x:f>
        <x:v>236.43738539999998</x:v>
      </x:c>
      <x:c r="G14" s="51" t="n">
        <x:f>'Hospitals'!I59</x:f>
        <x:v>588.3336284583659</x:v>
      </x:c>
      <x:c r="H14" s="52" t="n">
        <x:f>'Hospitals'!E81</x:f>
        <x:v>0.25999999999999995</x:v>
      </x:c>
      <x:c r="I14" s="53" t="str">
        <x:v>EBITDA margin</x:v>
      </x:c>
      <x:c r="J14" s="51" t="n">
        <x:f>'Hospitals'!E95</x:f>
        <x:v>3955.0517209783484</x:v>
      </x:c>
      <x:c r="K14" s="50" t="str">
        <x:v>DCF / forward EV-EBITDA</x:v>
      </x:c>
    </x:row>
    <x:row r="15" ht="18" customHeight="1">
      <x:c r="A15" s="1"/>
      <x:c r="B15" s="1"/>
      <x:c r="C15" s="1" t="str">
        <x:v>Telecom</x:v>
      </x:c>
      <x:c r="D15" s="46" t="n">
        <x:f>'Telecom'!E47</x:f>
        <x:v>8898.119999999999</x:v>
      </x:c>
      <x:c r="E15" s="46" t="n">
        <x:f>'Telecom'!I47</x:f>
        <x:v>14177.20324161142</x:v>
      </x:c>
      <x:c r="F15" s="46" t="n">
        <x:f>'Telecom'!E58</x:f>
        <x:v>649.5731999999994</x:v>
      </x:c>
      <x:c r="G15" s="46" t="n">
        <x:f>'Telecom'!I58</x:f>
        <x:v>2918.5991042089076</x:v>
      </x:c>
      <x:c r="H15" s="49" t="n">
        <x:f>'Telecom'!E80</x:f>
        <x:v>0.48</x:v>
      </x:c>
      <x:c r="I15" s="2" t="str">
        <x:v>EBITDA margin</x:v>
      </x:c>
      <x:c r="J15" s="46" t="n">
        <x:f>'Telecom'!E93</x:f>
        <x:v>19329.440828302973</x:v>
      </x:c>
      <x:c r="K15" s="1" t="str">
        <x:v>DCF / forward EV-EBITDA</x:v>
      </x:c>
    </x:row>
    <x:row r="16" ht="18" customHeight="1">
      <x:c r="A16" s="1"/>
      <x:c r="B16" s="1"/>
      <x:c r="C16" s="50" t="str">
        <x:v>Renewable Power</x:v>
      </x:c>
      <x:c r="D16" s="51" t="n">
        <x:f>'Renewable Power'!E47</x:f>
        <x:v>1271.5315200000005</x:v>
      </x:c>
      <x:c r="E16" s="51" t="n">
        <x:f>'Renewable Power'!I47</x:f>
        <x:v>2000.779463570229</x:v>
      </x:c>
      <x:c r="F16" s="51" t="n">
        <x:f>'Renewable Power'!E58</x:f>
        <x:v>252.59593920000017</x:v>
      </x:c>
      <x:c r="G16" s="51" t="n">
        <x:f>'Renewable Power'!I58</x:f>
        <x:v>721.7173128403256</x:v>
      </x:c>
      <x:c r="H16" s="52" t="n">
        <x:f>'Renewable Power'!E80</x:f>
        <x:v>0.7799999999999999</x:v>
      </x:c>
      <x:c r="I16" s="53" t="str">
        <x:v>EBITDA margin</x:v>
      </x:c>
      <x:c r="J16" s="51" t="n">
        <x:f>'Renewable Power'!E93</x:f>
        <x:v>3536.3859298965253</x:v>
      </x:c>
      <x:c r="K16" s="50" t="str">
        <x:v>DCF / forward EV-EBITDA</x:v>
      </x:c>
    </x:row>
    <x:row r="17" ht="18" customHeight="1">
      <x:c r="A17" s="1"/>
      <x:c r="B17" s="1"/>
      <x:c r="C17" s="1" t="str">
        <x:v>Hotels</x:v>
      </x:c>
      <x:c r="D17" s="46" t="n">
        <x:f>'Hotels'!E48</x:f>
        <x:v>528.21167765625</x:v>
      </x:c>
      <x:c r="E17" s="46" t="n">
        <x:f>'Hotels'!I48</x:f>
        <x:v>825.9687677296018</x:v>
      </x:c>
      <x:c r="F17" s="46" t="n">
        <x:f>'Hotels'!E59</x:f>
        <x:v>-48.72226314999998</x:v>
      </x:c>
      <x:c r="G17" s="46" t="n">
        <x:f>'Hotels'!I59</x:f>
        <x:v>70.1143263345171</x:v>
      </x:c>
      <x:c r="H17" s="49" t="n">
        <x:f>'Hotels'!E81</x:f>
        <x:v>0.32000000000000006</x:v>
      </x:c>
      <x:c r="I17" s="2" t="str">
        <x:v>EBITDA margin</x:v>
      </x:c>
      <x:c r="J17" s="46" t="n">
        <x:f>'Hotels'!E95</x:f>
        <x:v>546.9478797602006</x:v>
      </x:c>
      <x:c r="K17" s="1" t="str">
        <x:v>DCF / forward EV-EBITDA</x:v>
      </x:c>
    </x:row>
    <x:row r="18" ht="18" customHeight="1">
      <x:c r="A18" s="1"/>
      <x:c r="B18" s="1"/>
      <x:c r="C18" s="50" t="str">
        <x:v>Retail</x:v>
      </x:c>
      <x:c r="D18" s="51" t="n">
        <x:f>'Retail'!E47</x:f>
        <x:v>2106.72</x:v>
      </x:c>
      <x:c r="E18" s="51" t="n">
        <x:f>'Retail'!I47</x:f>
        <x:v>3953.1570724386834</x:v>
      </x:c>
      <x:c r="F18" s="51" t="n">
        <x:f>'Retail'!E58</x:f>
        <x:v>70.59270000000001</x:v>
      </x:c>
      <x:c r="G18" s="51" t="n">
        <x:f>'Retail'!I58</x:f>
        <x:v>258.2146312414486</x:v>
      </x:c>
      <x:c r="H18" s="52" t="n">
        <x:f>'Retail'!E80</x:f>
        <x:v>0.13</x:v>
      </x:c>
      <x:c r="I18" s="53" t="str">
        <x:v>EBITDA margin</x:v>
      </x:c>
      <x:c r="J18" s="51" t="n">
        <x:f>'Retail'!E94</x:f>
        <x:v>1863.2107147222684</x:v>
      </x:c>
      <x:c r="K18" s="50" t="str">
        <x:v>DCF / forward EV-EBITDA</x:v>
      </x:c>
    </x:row>
    <x:row r="19" ht="18" customHeight="1">
      <x:c r="A19" s="1"/>
      <x:c r="B19" s="1"/>
      <x:c r="C19" s="1" t="str">
        <x:v>EPC</x:v>
      </x:c>
      <x:c r="D19" s="46" t="n">
        <x:f>'EPC'!E49</x:f>
        <x:v>3600</x:v>
      </x:c>
      <x:c r="E19" s="46" t="n">
        <x:f>'EPC'!I49</x:f>
        <x:v>6198.037440000001</x:v>
      </x:c>
      <x:c r="F19" s="46" t="n">
        <x:f>'EPC'!E61</x:f>
        <x:v>182.625</x:v>
      </x:c>
      <x:c r="G19" s="46" t="n">
        <x:f>'EPC'!I61</x:f>
        <x:v>437.68744415999976</x:v>
      </x:c>
      <x:c r="H19" s="49" t="n">
        <x:f>'EPC'!E83</x:f>
        <x:v>0.12</x:v>
      </x:c>
      <x:c r="I19" s="2" t="str">
        <x:v>EBITDA margin</x:v>
      </x:c>
      <x:c r="J19" s="46" t="n">
        <x:f>'EPC'!E97</x:f>
        <x:v>2895.1081274393564</x:v>
      </x:c>
      <x:c r="K19" s="1" t="str">
        <x:v>DCF / forward EV-EBITDA</x:v>
      </x:c>
    </x:row>
    <x:row r="20" ht="18" customHeight="1">
      <x:c r="A20" s="1"/>
      <x:c r="B20" s="1"/>
      <x:c r="C20" s="50" t="str">
        <x:v>Banking</x:v>
      </x:c>
      <x:c r="D20" s="51" t="n">
        <x:f>'Banking'!E56</x:f>
        <x:v>6927</x:v>
      </x:c>
      <x:c r="E20" s="51" t="n">
        <x:f>'Banking'!I56</x:f>
        <x:v>10746.761826269998</x:v>
      </x:c>
      <x:c r="F20" s="51" t="n">
        <x:f>'Banking'!E62</x:f>
        <x:v>2002.7925</x:v>
      </x:c>
      <x:c r="G20" s="51" t="n">
        <x:f>'Banking'!I62</x:f>
        <x:v>3031.4317255454243</x:v>
      </x:c>
      <x:c r="H20" s="52" t="n">
        <x:f>'Banking'!E77</x:f>
        <x:v>0.12675005823955357</x:v>
      </x:c>
      <x:c r="I20" s="53" t="str">
        <x:v>ROE</x:v>
      </x:c>
      <x:c r="J20" s="51" t="n">
        <x:f>'Banking'!E87</x:f>
        <x:v>26214.053684210525</x:v>
      </x:c>
      <x:c r="K20" s="50" t="str">
        <x:v>Forward P/B; P/E cross-check</x:v>
      </x:c>
    </x:row>
    <x:row r="21" ht="18" customHeight="1">
      <x:c r="A21" s="1"/>
      <x:c r="B21" s="1"/>
      <x:c r="C21" s="1" t="str">
        <x:v>NBFC</x:v>
      </x:c>
      <x:c r="D21" s="46" t="n">
        <x:f>'NBFC'!E56</x:f>
        <x:v>2495.8</x:v>
      </x:c>
      <x:c r="E21" s="46" t="n">
        <x:f>'NBFC'!I56</x:f>
        <x:v>4051.085073497996</x:v>
      </x:c>
      <x:c r="F21" s="46" t="n">
        <x:f>'NBFC'!E62</x:f>
        <x:v>817.3275000000001</x:v>
      </x:c>
      <x:c r="G21" s="46" t="n">
        <x:f>'NBFC'!I62</x:f>
        <x:v>1323.7335753365237</x:v>
      </x:c>
      <x:c r="H21" s="49" t="n">
        <x:f>'NBFC'!E77</x:f>
        <x:v>0.15343309308868466</x:v>
      </x:c>
      <x:c r="I21" s="2" t="str">
        <x:v>ROE</x:v>
      </x:c>
      <x:c r="J21" s="46" t="n">
        <x:f>'NBFC'!E87</x:f>
        <x:v>12398.820175438595</x:v>
      </x:c>
      <x:c r="K21" s="1" t="str">
        <x:v>Forward P/B; P/E cross-check</x:v>
      </x:c>
    </x:row>
    <x:row r="22" ht="18" customHeight="1">
      <x:c r="A22" s="1"/>
      <x:c r="B22" s="1"/>
      <x:c r="C22" s="50" t="str">
        <x:v>General Insurance</x:v>
      </x:c>
      <x:c r="D22" s="51" t="n">
        <x:f>'General Insurance'!E36</x:f>
        <x:v>7620.000000000001</x:v>
      </x:c>
      <x:c r="E22" s="51" t="n">
        <x:f>'General Insurance'!I36</x:f>
        <x:v>12580.287283200007</x:v>
      </x:c>
      <x:c r="F22" s="51" t="n">
        <x:f>'General Insurance'!E43</x:f>
        <x:v>535.5</x:v>
      </x:c>
      <x:c r="G22" s="51" t="n">
        <x:f>'General Insurance'!I43</x:f>
        <x:v>988.3278480228257</x:v>
      </x:c>
      <x:c r="H22" s="52" t="n">
        <x:f>'General Insurance'!E53</x:f>
        <x:v>0.98</x:v>
      </x:c>
      <x:c r="I22" s="53" t="str">
        <x:v>Combined ratio</x:v>
      </x:c>
      <x:c r="J22" s="51" t="n">
        <x:f>'General Insurance'!E58</x:f>
        <x:v>14214.802631578947</x:v>
      </x:c>
      <x:c r="K22" s="50" t="str">
        <x:v>Forward P/B</x:v>
      </x:c>
    </x:row>
    <x:row r="23" ht="18" customHeight="1">
      <x:c r="A23" s="1"/>
      <x:c r="B23" s="1"/>
      <x:c r="C23" s="1" t="str">
        <x:v>Real Estate</x:v>
      </x:c>
      <x:c r="D23" s="46" t="n">
        <x:f>'Real Estate'!E43</x:f>
        <x:v>1500</x:v>
      </x:c>
      <x:c r="E23" s="46" t="n">
        <x:f>'Real Estate'!I43</x:f>
        <x:v>2470.480348087501</x:v>
      </x:c>
      <x:c r="F23" s="46" t="n">
        <x:f>'Real Estate'!E55</x:f>
        <x:v>198.9449999999999</x:v>
      </x:c>
      <x:c r="G23" s="46" t="n">
        <x:f>'Real Estate'!I55</x:f>
        <x:v>358.9226817840282</x:v>
      </x:c>
      <x:c r="H23" s="49" t="n">
        <x:f>'Real Estate'!E64</x:f>
        <x:v>0.881000481000481</x:v>
      </x:c>
      <x:c r="I23" s="2" t="str">
        <x:v>Collections / bookings</x:v>
      </x:c>
      <x:c r="J23" s="46" t="n">
        <x:f>'Real Estate'!E69</x:f>
        <x:v>1398.4190104200998</x:v>
      </x:c>
      <x:c r="K23" s="1" t="str">
        <x:v>Dividend + residual book value</x:v>
      </x:c>
    </x:row>
    <x:row r="24" ht="18" customHeight="1">
      <x:c r="A24" s="1"/>
      <x:c r="B24" s="1"/>
      <x:c r="C24" s="1"/>
      <x:c r="D24" s="2"/>
      <x:c r="E24" s="2"/>
      <x:c r="F24" s="2"/>
      <x:c r="G24" s="2"/>
      <x:c r="H24" s="2"/>
      <x:c r="I24" s="2"/>
      <x:c r="J24" s="1"/>
      <x:c r="K24" s="1"/>
    </x:row>
    <x:row r="25" ht="18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1"/>
      <x:c r="K25" s="1"/>
    </x:row>
    <x:row r="26" ht="18" customHeight="1">
      <x:c r="A26" s="1"/>
      <x:c r="B26" s="1"/>
      <x:c r="C26" s="1" t="str">
        <x:v>¹ Income is revenue for operating models and real estate, net operating income for lenders, and net earned premium for insurance.</x:v>
      </x:c>
      <x:c r="D26" s="2"/>
      <x:c r="E26" s="2"/>
      <x:c r="F26" s="2"/>
      <x:c r="G26" s="2"/>
      <x:c r="H26" s="2"/>
      <x:c r="I26" s="2"/>
      <x:c r="J26" s="1"/>
      <x:c r="K26" s="1"/>
    </x:row>
    <x:row r="27" ht="18" customHeight="1">
      <x:c r="A27" s="1"/>
      <x:c r="B27" s="1"/>
      <x:c r="C27" s="1" t="str">
        <x:v>² Equity valuation is at 31 March 2026. Methods differ. Do not add or rank the synthetic examples as sector opportunities.</x:v>
      </x:c>
      <x:c r="D27" s="2"/>
      <x:c r="E27" s="2"/>
      <x:c r="F27" s="2"/>
      <x:c r="G27" s="2"/>
      <x:c r="H27" s="2"/>
      <x:c r="I27" s="2"/>
      <x:c r="J27" s="1"/>
      <x:c r="K27" s="1"/>
    </x:row>
    <x:row r="28" ht="18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1"/>
      <x:c r="K28" s="1"/>
    </x:row>
    <x:row r="29" ht="18" customHeight="1">
      <x:c r="A29" s="1"/>
      <x:c r="B29" s="1"/>
      <x:c r="C29" s="1" t="str">
        <x:v>Start with Controls, then edit amber input cells on a sector sheet. All forecast calculations and summary outputs update.</x:v>
      </x:c>
      <x:c r="D29" s="2"/>
      <x:c r="E29" s="2"/>
      <x:c r="F29" s="2"/>
      <x:c r="G29" s="2"/>
      <x:c r="H29" s="2"/>
      <x:c r="I29" s="2"/>
      <x:c r="J29" s="1"/>
      <x:c r="K29" s="1"/>
    </x:row>
    <x:row r="30" ht="18" customHeight="1">
      <x:c r="A30" s="1"/>
      <x:c r="B30" s="1"/>
      <x:c r="C30" s="1" t="str">
        <x:v>Model Review flags funding gaps and reconciliation issues. KPI Guide explains definitions and interpretation.</x:v>
      </x:c>
      <x:c r="D30" s="2"/>
      <x:c r="E30" s="2"/>
      <x:c r="F30" s="2"/>
      <x:c r="G30" s="2"/>
      <x:c r="H30" s="2"/>
      <x:c r="I30" s="2"/>
      <x:c r="J30" s="1"/>
      <x:c r="K30" s="1"/>
    </x:row>
    <x:row r="31" ht="18" customHeight="1">
      <x:c r="A31" s="1"/>
      <x:c r="B31" s="1"/>
      <x:c r="C31" s="1" t="str">
        <x:v>The examples represent individual business archetypes, not the aggregate Indian sector or a named listed company.</x:v>
      </x:c>
      <x:c r="D31" s="2"/>
      <x:c r="E31" s="2"/>
      <x:c r="F31" s="2"/>
      <x:c r="G31" s="2"/>
      <x:c r="H31" s="2"/>
      <x:c r="I31" s="2"/>
      <x:c r="J31" s="1"/>
      <x:c r="K31" s="1"/>
    </x:row>
    <x:row r="32" ht="18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1"/>
      <x:c r="K32" s="1"/>
    </x:row>
    <x:row r="33" ht="18" customHeight="1">
      <x:c r="A33" s="1"/>
      <x:c r="B33" s="1"/>
      <x:c r="C33" s="1" t="str">
        <x:v>Scope: 12 integrated operating models; lending and general-insurance balance-sheet models; a developer cash and recognition model.</x:v>
      </x:c>
      <x:c r="D33" s="2"/>
      <x:c r="E33" s="2"/>
      <x:c r="F33" s="2"/>
      <x:c r="G33" s="2"/>
      <x:c r="H33" s="2"/>
      <x:c r="I33" s="2"/>
      <x:c r="J33" s="1"/>
      <x:c r="K33" s="1"/>
    </x:row>
    <x:row r="34" ht="18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1"/>
      <x:c r="K34" s="1"/>
    </x:row>
    <x:row r="35" ht="18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1"/>
      <x:c r="K35" s="1"/>
    </x:row>
    <x:row r="36" ht="18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1"/>
      <x:c r="K36" s="1"/>
    </x:row>
    <x:row r="37" ht="18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1"/>
      <x:c r="K37" s="1"/>
    </x:row>
    <x:row r="38" ht="18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1"/>
      <x:c r="K3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26A93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88" hidden="0" customWidth="1"/>
  </x:cols>
  <x:sheetData>
    <x:row r="1" ht="18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  <x:c r="K1" s="1"/>
    </x:row>
    <x:row r="2" ht="18" customHeight="1">
      <x:c r="A2" s="1"/>
      <x:c r="B2" s="1"/>
      <x:c r="C2" s="3" t="str">
        <x:v>Model assumptions and scenario control</x:v>
      </x:c>
      <x:c r="D2" s="2"/>
      <x:c r="E2" s="2"/>
      <x:c r="F2" s="2"/>
      <x:c r="G2" s="2"/>
      <x:c r="H2" s="2"/>
      <x:c r="I2" s="2"/>
      <x:c r="J2" s="1"/>
      <x:c r="K2" s="1"/>
    </x:row>
    <x:row r="3" ht="18" customHeight="1">
      <x:c r="A3" s="1"/>
      <x:c r="B3" s="1"/>
      <x:c r="C3" s="4"/>
      <x:c r="D3" s="5"/>
      <x:c r="E3" s="5"/>
      <x:c r="F3" s="5"/>
      <x:c r="G3" s="5"/>
      <x:c r="H3" s="5"/>
      <x:c r="I3" s="5"/>
      <x:c r="J3" s="1"/>
      <x:c r="K3" s="1"/>
    </x:row>
    <x:row r="4" ht="18" customHeight="1">
      <x:c r="A4" s="1"/>
      <x:c r="B4" s="1"/>
      <x:c r="C4" s="1" t="str">
        <x:v>All financial and operating inputs are illustrative, not company data.</x:v>
      </x:c>
      <x:c r="D4" s="2"/>
      <x:c r="E4" s="2"/>
      <x:c r="F4" s="2"/>
      <x:c r="G4" s="2"/>
      <x:c r="H4" s="2"/>
      <x:c r="I4" s="2"/>
      <x:c r="J4" s="1"/>
      <x:c r="K4" s="1"/>
    </x:row>
    <x:row r="5" ht="18" customHeight="1">
      <x:c r="A5" s="1"/>
      <x:c r="B5" s="1"/>
      <x:c r="C5" s="1" t="str">
        <x:v>Scenario selector</x:v>
      </x:c>
      <x:c r="D5" s="2"/>
      <x:c r="E5" s="59" t="n">
        <x:v>1</x:v>
      </x:c>
      <x:c r="F5" s="2"/>
      <x:c r="G5" s="2" t="str">
        <x:v>1 Base / 2 Downside / 3 Upside</x:v>
      </x:c>
      <x:c r="H5" s="2"/>
      <x:c r="I5" s="2"/>
      <x:c r="J5" s="1"/>
      <x:c r="K5" s="1"/>
    </x:row>
    <x:row r="6" ht="18" customHeight="1">
      <x:c r="A6" s="1"/>
      <x:c r="B6" s="1"/>
      <x:c r="C6" s="1" t="str">
        <x:v>Selected case</x:v>
      </x:c>
      <x:c r="D6" s="2"/>
      <x:c r="E6" s="8" t="str">
        <x:f>CHOOSE(E5,"Base","Downside","Upside")</x:f>
        <x:v>Base</x:v>
      </x:c>
      <x:c r="F6" s="2"/>
      <x:c r="G6" s="2"/>
      <x:c r="H6" s="2"/>
      <x:c r="I6" s="2"/>
      <x:c r="J6" s="1"/>
      <x:c r="K6" s="1"/>
    </x:row>
    <x:row r="7" ht="18" customHeight="1">
      <x:c r="A7" s="1"/>
      <x:c r="B7" s="1"/>
      <x:c r="C7" s="1"/>
      <x:c r="D7" s="2"/>
      <x:c r="E7" s="2"/>
      <x:c r="F7" s="2"/>
      <x:c r="G7" s="2"/>
      <x:c r="H7" s="2"/>
      <x:c r="I7" s="2"/>
      <x:c r="J7" s="1"/>
      <x:c r="K7" s="1"/>
    </x:row>
    <x:row r="8" ht="18" customHeight="1">
      <x:c r="A8" s="1"/>
      <x:c r="B8" s="1"/>
      <x:c r="C8" s="1"/>
      <x:c r="D8" s="2"/>
      <x:c r="E8" s="2"/>
      <x:c r="F8" s="2"/>
      <x:c r="G8" s="2"/>
      <x:c r="H8" s="2"/>
      <x:c r="I8" s="2"/>
      <x:c r="J8" s="1"/>
      <x:c r="K8" s="1"/>
    </x:row>
    <x:row r="9" ht="18" customHeight="1">
      <x:c r="A9" s="1"/>
      <x:c r="B9" s="1"/>
      <x:c r="C9" s="1" t="str">
        <x:v>INR per crore</x:v>
      </x:c>
      <x:c r="D9" s="2"/>
      <x:c r="E9" s="2" t="n">
        <x:v>10000000</x:v>
      </x:c>
      <x:c r="F9" s="2"/>
      <x:c r="G9" s="2"/>
      <x:c r="H9" s="2"/>
      <x:c r="I9" s="2"/>
      <x:c r="J9" s="1"/>
      <x:c r="K9" s="1"/>
    </x:row>
    <x:row r="10" ht="18" customHeight="1">
      <x:c r="A10" s="1"/>
      <x:c r="B10" s="1"/>
      <x:c r="C10" s="1" t="str">
        <x:v>Months per year</x:v>
      </x:c>
      <x:c r="D10" s="2"/>
      <x:c r="E10" s="2" t="n">
        <x:v>12</x:v>
      </x:c>
      <x:c r="F10" s="2"/>
      <x:c r="G10" s="2"/>
      <x:c r="H10" s="2"/>
      <x:c r="I10" s="2"/>
      <x:c r="J10" s="1"/>
      <x:c r="K10" s="1"/>
    </x:row>
    <x:row r="11" ht="18" customHeight="1">
      <x:c r="A11" s="1"/>
      <x:c r="B11" s="1"/>
      <x:c r="C11" s="1" t="str">
        <x:v>Days for turnover ratios</x:v>
      </x:c>
      <x:c r="D11" s="2"/>
      <x:c r="E11" s="2" t="n">
        <x:v>365</x:v>
      </x:c>
      <x:c r="F11" s="2"/>
      <x:c r="G11" s="2"/>
      <x:c r="H11" s="2"/>
      <x:c r="I11" s="2"/>
      <x:c r="J11" s="1"/>
      <x:c r="K11" s="1"/>
    </x:row>
    <x:row r="12" ht="18" customHeight="1">
      <x:c r="A12" s="1"/>
      <x:c r="B12" s="1"/>
      <x:c r="C12" s="1" t="str">
        <x:v>Hours per year</x:v>
      </x:c>
      <x:c r="D12" s="2"/>
      <x:c r="E12" s="2" t="n">
        <x:v>8760</x:v>
      </x:c>
      <x:c r="F12" s="2"/>
      <x:c r="G12" s="2"/>
      <x:c r="H12" s="2"/>
      <x:c r="I12" s="2"/>
      <x:c r="J12" s="1"/>
      <x:c r="K12" s="1"/>
    </x:row>
    <x:row r="13" ht="18" customHeight="1">
      <x:c r="A13" s="1"/>
      <x:c r="B13" s="1"/>
      <x:c r="C13" s="1" t="str">
        <x:v>kWh per MWh</x:v>
      </x:c>
      <x:c r="D13" s="2"/>
      <x:c r="E13" s="2" t="n">
        <x:v>1000</x:v>
      </x:c>
      <x:c r="F13" s="2"/>
      <x:c r="G13" s="2"/>
      <x:c r="H13" s="2"/>
      <x:c r="I13" s="2"/>
      <x:c r="J13" s="1"/>
      <x:c r="K13" s="1"/>
    </x:row>
    <x:row r="14" ht="18" customHeight="1">
      <x:c r="A14" s="1"/>
      <x:c r="B14" s="1"/>
      <x:c r="C14" s="1" t="str">
        <x:v>Units per million</x:v>
      </x:c>
      <x:c r="D14" s="2"/>
      <x:c r="E14" s="2" t="n">
        <x:v>1000000</x:v>
      </x:c>
      <x:c r="F14" s="2"/>
      <x:c r="G14" s="2"/>
      <x:c r="H14" s="2"/>
      <x:c r="I14" s="2"/>
      <x:c r="J14" s="1"/>
      <x:c r="K14" s="1"/>
    </x:row>
    <x:row r="15" ht="18" customHeight="1">
      <x:c r="A15" s="1"/>
      <x:c r="B15" s="1"/>
      <x:c r="C15" s="1" t="str">
        <x:v>Units per lakh</x:v>
      </x:c>
      <x:c r="D15" s="2"/>
      <x:c r="E15" s="2" t="n">
        <x:v>100000</x:v>
      </x:c>
      <x:c r="F15" s="2"/>
      <x:c r="G15" s="2"/>
      <x:c r="H15" s="2"/>
      <x:c r="I15" s="2"/>
      <x:c r="J15" s="1"/>
      <x:c r="K15" s="1"/>
    </x:row>
    <x:row r="16" ht="18" customHeight="1">
      <x:c r="A16" s="1"/>
      <x:c r="B16" s="1"/>
      <x:c r="C16" s="1" t="str">
        <x:v>kg per tonne</x:v>
      </x:c>
      <x:c r="D16" s="2"/>
      <x:c r="E16" s="2" t="n">
        <x:v>1000</x:v>
      </x:c>
      <x:c r="F16" s="2"/>
      <x:c r="G16" s="2"/>
      <x:c r="H16" s="2"/>
      <x:c r="I16" s="2"/>
      <x:c r="J16" s="1"/>
      <x:c r="K16" s="1"/>
    </x:row>
    <x:row r="17" ht="18" customHeight="1">
      <x:c r="A17" s="1"/>
      <x:c r="B17" s="1"/>
      <x:c r="C17" s="1" t="str">
        <x:v>First forecast financial year (ending March)</x:v>
      </x:c>
      <x:c r="D17" s="2"/>
      <x:c r="E17" s="62" t="n">
        <x:v>2027</x:v>
      </x:c>
      <x:c r="F17" s="2"/>
      <x:c r="G17" s="2"/>
      <x:c r="H17" s="2"/>
      <x:c r="I17" s="2"/>
      <x:c r="J17" s="1"/>
      <x:c r="K17" s="1"/>
    </x:row>
    <x:row r="18" ht="18" customHeight="1">
      <x:c r="A18" s="1"/>
      <x:c r="B18" s="1"/>
      <x:c r="C18" s="1" t="str">
        <x:v>Opening balance / valuation date</x:v>
      </x:c>
      <x:c r="D18" s="2"/>
      <x:c r="E18" s="9" t="n">
        <x:f>DATE(E17-1,3,31)</x:f>
        <x:v>46112</x:v>
      </x:c>
      <x:c r="F18" s="2"/>
      <x:c r="G18" s="2"/>
      <x:c r="H18" s="2"/>
      <x:c r="I18" s="2"/>
      <x:c r="J18" s="1"/>
      <x:c r="K18" s="1"/>
    </x:row>
    <x:row r="19" ht="18" customHeight="1">
      <x:c r="A19" s="1"/>
      <x:c r="B19" s="1"/>
      <x:c r="C19" s="1" t="str">
        <x:v>Forecast year ends</x:v>
      </x:c>
      <x:c r="D19" s="2"/>
      <x:c r="E19" s="9" t="n">
        <x:f>DATE($E$17+0,3,31)</x:f>
        <x:v>46477</x:v>
      </x:c>
      <x:c r="F19" s="9" t="n">
        <x:f>DATE($E$17+1,3,31)</x:f>
        <x:v>46843</x:v>
      </x:c>
      <x:c r="G19" s="9" t="n">
        <x:f>DATE($E$17+2,3,31)</x:f>
        <x:v>47208</x:v>
      </x:c>
      <x:c r="H19" s="9" t="n">
        <x:f>DATE($E$17+3,3,31)</x:f>
        <x:v>47573</x:v>
      </x:c>
      <x:c r="I19" s="9" t="n">
        <x:f>DATE($E$17+4,3,31)</x:f>
        <x:v>47938</x:v>
      </x:c>
      <x:c r="J19" s="1"/>
      <x:c r="K19" s="1"/>
    </x:row>
    <x:row r="20" ht="18" customHeight="1">
      <x:c r="A20" s="1"/>
      <x:c r="B20" s="1"/>
      <x:c r="C20" s="1"/>
      <x:c r="D20" s="2"/>
      <x:c r="E20" s="2"/>
      <x:c r="F20" s="2"/>
      <x:c r="G20" s="2"/>
      <x:c r="H20" s="2"/>
      <x:c r="I20" s="2"/>
      <x:c r="J20" s="1"/>
      <x:c r="K20" s="1"/>
    </x:row>
    <x:row r="21" ht="18" customHeight="1">
      <x:c r="A21" s="1"/>
      <x:c r="B21" s="1"/>
      <x:c r="C21" s="1" t="str">
        <x:v>Tax, discount rates and multiples are editable on each model.</x:v>
      </x:c>
      <x:c r="D21" s="2"/>
      <x:c r="E21" s="2"/>
      <x:c r="F21" s="2"/>
      <x:c r="G21" s="2"/>
      <x:c r="H21" s="2"/>
      <x:c r="I21" s="2"/>
      <x:c r="J21" s="1"/>
      <x:c r="K21" s="1"/>
    </x:row>
    <x:row r="22" ht="18" customHeight="1">
      <x:c r="A22" s="1"/>
      <x:c r="B22" s="1"/>
      <x:c r="C22" s="1" t="str">
        <x:v>Annual drivers have independent Base / Downside / Upside inputs.</x:v>
      </x:c>
      <x:c r="D22" s="2"/>
      <x:c r="E22" s="2"/>
      <x:c r="F22" s="2"/>
      <x:c r="G22" s="2"/>
      <x:c r="H22" s="2"/>
      <x:c r="I22" s="2"/>
      <x:c r="J22" s="1"/>
      <x:c r="K22" s="1"/>
    </x:row>
    <x:row r="23" ht="18" customHeight="1">
      <x:c r="A23" s="1"/>
      <x:c r="B23" s="1"/>
      <x:c r="C23" s="1" t="str">
        <x:v>No probability weights, price targets or investment recommendations are implied.</x:v>
      </x:c>
      <x:c r="D23" s="2"/>
      <x:c r="E23" s="2"/>
      <x:c r="F23" s="2"/>
      <x:c r="G23" s="2"/>
      <x:c r="H23" s="2"/>
      <x:c r="I23" s="2"/>
      <x:c r="J23" s="1"/>
      <x:c r="K23" s="1"/>
    </x:row>
    <x:row r="24" ht="18" customHeight="1">
      <x:c r="A24" s="1"/>
      <x:c r="B24" s="1"/>
      <x:c r="C24" s="1"/>
      <x:c r="D24" s="2"/>
      <x:c r="E24" s="2"/>
      <x:c r="F24" s="2"/>
      <x:c r="G24" s="2"/>
      <x:c r="H24" s="2"/>
      <x:c r="I24" s="2"/>
      <x:c r="J24" s="1"/>
      <x:c r="K24" s="1"/>
    </x:row>
    <x:row r="25" ht="18" customHeight="1">
      <x:c r="A25" s="1"/>
      <x:c r="B25" s="1"/>
      <x:c r="C25" s="1" t="str">
        <x:v>Blue text + amber fill = input. Black = same-sheet formula. Green = linked formula.</x:v>
      </x:c>
      <x:c r="D25" s="2"/>
      <x:c r="E25" s="2"/>
      <x:c r="F25" s="2"/>
      <x:c r="G25" s="2"/>
      <x:c r="H25" s="2"/>
      <x:c r="I25" s="2"/>
      <x:c r="J25" s="1"/>
      <x:c r="K25" s="1"/>
    </x:row>
    <x:row r="26" ht="18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1"/>
      <x:c r="K26" s="1"/>
    </x:row>
    <x:row r="27" ht="18" customHeight="1">
      <x:c r="A27" s="1"/>
      <x:c r="B27" s="1"/>
      <x:c r="C27" s="1" t="str">
        <x:v>Opening balances and annual valuation date follow the selected first forecast year.</x:v>
      </x:c>
      <x:c r="D27" s="2"/>
      <x:c r="E27" s="2"/>
      <x:c r="F27" s="2"/>
      <x:c r="G27" s="2"/>
      <x:c r="H27" s="2"/>
      <x:c r="I27" s="2"/>
      <x:c r="J27" s="1"/>
      <x:c r="K27" s="1"/>
    </x:row>
    <x:row r="28" ht="18" customHeight="1">
      <x:c r="A28" s="1"/>
      <x:c r="B28" s="1"/>
      <x:c r="C28" s="1" t="str">
        <x:v>Amounts exclude GST. INR revenue uses nominal assumptions.</x:v>
      </x:c>
      <x:c r="D28" s="2"/>
      <x:c r="E28" s="2"/>
      <x:c r="F28" s="2"/>
      <x:c r="G28" s="2"/>
      <x:c r="H28" s="2"/>
      <x:c r="I28" s="2"/>
      <x:c r="J28" s="1"/>
      <x:c r="K28" s="1"/>
    </x:row>
    <x:row r="29" ht="18" customHeight="1">
      <x:c r="A29" s="1"/>
      <x:c r="B29" s="1"/>
      <x:c r="C29" s="1" t="str">
        <x:v>Replace illustrative inputs and add source references before company-specific use.</x:v>
      </x:c>
      <x:c r="D29" s="2"/>
      <x:c r="E29" s="2"/>
      <x:c r="F29" s="2"/>
      <x:c r="G29" s="2"/>
      <x:c r="H29" s="2"/>
      <x:c r="I29" s="2"/>
      <x:c r="J29" s="1"/>
      <x:c r="K29" s="1"/>
    </x:row>
    <x:row r="30" ht="18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1"/>
      <x:c r="K30" s="1"/>
    </x:row>
    <x:row r="31" ht="18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1"/>
      <x:c r="K31" s="1"/>
    </x:row>
    <x:row r="32" ht="18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1"/>
      <x:c r="K32" s="1"/>
    </x:row>
    <x:row r="33" ht="18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1"/>
      <x:c r="K33" s="1"/>
    </x:row>
    <x:row r="34" ht="18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1"/>
      <x:c r="K34" s="1"/>
    </x:row>
    <x:row r="35" ht="18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1"/>
      <x:c r="K35" s="1"/>
    </x:row>
    <x:row r="36" ht="18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1"/>
      <x:c r="K36" s="1"/>
    </x:row>
    <x:row r="37" ht="18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1"/>
      <x:c r="K37" s="1"/>
    </x:row>
    <x:row r="38" ht="18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1"/>
      <x:c r="K38" s="1"/>
    </x:row>
    <x:row r="39" ht="18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1"/>
      <x:c r="K39" s="1"/>
    </x:row>
    <x:row r="40" ht="18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1"/>
      <x:c r="K40" s="1"/>
    </x:row>
    <x:row r="41" ht="18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1"/>
      <x:c r="K41" s="1"/>
    </x:row>
    <x:row r="42" ht="18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1"/>
      <x:c r="K42" s="1"/>
    </x:row>
    <x:row r="43" ht="18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1"/>
      <x:c r="K43" s="1"/>
    </x:row>
    <x:row r="44" ht="18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1"/>
      <x:c r="K44" s="1"/>
    </x:row>
    <x:row r="45" ht="18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1"/>
      <x:c r="K45" s="1"/>
    </x:row>
  </x:sheetData>
  <x:dataValidations count="2">
    <x:dataValidation type="list" sqref="E5">
      <x:formula1>"1,2,3"</x:formula1>
    </x:dataValidation>
    <x:dataValidation type="whole" operator="between" sqref="E17">
      <x:formula1>2020</x:formula1>
      <x:formula2>2040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88" hidden="0" customWidth="1"/>
    <x:col min="13" max="13" width="3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45" hidden="0" customWidth="1"/>
  </x:cols>
  <x:sheetData>
    <x:row r="1" ht="18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  <x:c r="K1" s="1"/>
    </x:row>
    <x:row r="2" ht="32" customHeight="1">
      <x:c r="A2" s="1"/>
      <x:c r="B2" s="1"/>
      <x:c r="C2" s="3" t="str">
        <x:v>IT Services</x:v>
      </x:c>
      <x:c r="D2" s="2"/>
      <x:c r="E2" s="2"/>
      <x:c r="F2" s="2"/>
      <x:c r="G2" s="2"/>
      <x:c r="H2" s="2"/>
      <x:c r="I2" s="2"/>
      <x:c r="J2" s="1"/>
      <x:c r="K2" s="1"/>
      <x:c r="M2" s="86" t="str">
        <x:v>IT Services | Client summary</x:v>
      </x:c>
      <x:c r="N2" s="86"/>
      <x:c r="O2" s="86"/>
      <x:c r="P2" s="86"/>
      <x:c r="Q2" s="86"/>
      <x:c r="R2" s="86"/>
      <x:c r="S2" s="86"/>
      <x:c r="T2" s="86"/>
      <x:c r="U2" s="86"/>
      <x:c r="V2" s="63"/>
      <x:c r="X2" t="str">
        <x:v>Forecast year</x:v>
      </x:c>
      <x:c r="Y2" t="str">
        <x:v>Income</x:v>
      </x:c>
      <x:c r="Z2" t="str">
        <x:v>Profit after tax</x:v>
      </x:c>
    </x:row>
    <x:row r="3" ht="18" customHeight="1">
      <x:c r="A3" s="1"/>
      <x:c r="B3" s="1"/>
      <x:c r="C3" s="4"/>
      <x:c r="D3" s="5"/>
      <x:c r="E3" s="5"/>
      <x:c r="F3" s="5"/>
      <x:c r="G3" s="5"/>
      <x:c r="H3" s="5"/>
      <x:c r="I3" s="5"/>
      <x:c r="J3" s="1"/>
      <x:c r="K3" s="1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X3" t="n">
        <x:f>'Controls'!$E$17+0</x:f>
        <x:v>2027</x:v>
      </x:c>
      <x:c r="Y3" t="n">
        <x:f>E47</x:f>
        <x:v>4992.569999999999</x:v>
      </x:c>
      <x:c r="Z3" t="n">
        <x:f>E58</x:f>
        <x:v>862.231875</x:v>
      </x:c>
    </x:row>
    <x:row r="4" ht="18" customHeight="1">
      <x:c r="A4" s="1"/>
      <x:c r="B4" s="1"/>
      <x:c r="C4" s="1" t="str">
        <x:v>Illustrative assumptions. Financial amounts in INR crore.</x:v>
      </x:c>
      <x:c r="D4" s="2"/>
      <x:c r="E4" s="2"/>
      <x:c r="F4" s="2"/>
      <x:c r="G4" s="2"/>
      <x:c r="H4" s="2"/>
      <x:c r="I4" s="2"/>
      <x:c r="J4" s="1"/>
      <x:c r="K4" s="1"/>
      <x:c r="M4" s="63" t="str">
        <x:v>Company / model name</x:v>
      </x:c>
      <x:c r="N4" s="63" t="str">
        <x:v>Illustrative company</x:v>
      </x:c>
      <x:c r="O4" s="63"/>
      <x:c r="P4" s="63"/>
      <x:c r="Q4" s="63"/>
      <x:c r="R4" s="63"/>
      <x:c r="S4" s="63"/>
      <x:c r="T4" s="63"/>
      <x:c r="U4" s="63"/>
      <x:c r="V4" s="63"/>
      <x:c r="X4" t="n">
        <x:f>'Controls'!$E$17+1</x:f>
        <x:v>2028</x:v>
      </x:c>
      <x:c r="Y4" t="n">
        <x:f>F47</x:f>
        <x:v>5526.774989999998</x:v>
      </x:c>
      <x:c r="Z4" t="n">
        <x:f>F58</x:f>
        <x:v>951.5929173749996</x:v>
      </x:c>
    </x:row>
    <x:row r="5" ht="18" customHeight="1">
      <x:c r="A5" s="1"/>
      <x:c r="B5" s="1"/>
      <x:c r="C5" s="1" t="str">
        <x:v>Selected case</x:v>
      </x:c>
      <x:c r="D5" s="2"/>
      <x:c r="E5" s="10" t="str">
        <x:f>'Controls'!E6</x:f>
        <x:v>Base</x:v>
      </x:c>
      <x:c r="F5" s="2"/>
      <x:c r="G5" s="2"/>
      <x:c r="H5" s="2"/>
      <x:c r="I5" s="2"/>
      <x:c r="J5" s="1"/>
      <x:c r="K5" s="1"/>
      <x:c r="M5" s="63" t="str">
        <x:v>Valuation date</x:v>
      </x:c>
      <x:c r="N5" s="87" t="n">
        <x:f>'Controls'!E18</x:f>
        <x:v>46112</x:v>
      </x:c>
      <x:c r="O5" s="63"/>
      <x:c r="P5" s="63"/>
      <x:c r="Q5" s="63"/>
      <x:c r="R5" s="63"/>
      <x:c r="S5" s="63"/>
      <x:c r="T5" s="63"/>
      <x:c r="U5" s="63"/>
      <x:c r="V5" s="63"/>
      <x:c r="X5" t="n">
        <x:f>'Controls'!$E$17+2</x:f>
        <x:v>2029</x:v>
      </x:c>
      <x:c r="Y5" t="n">
        <x:f>G47</x:f>
        <x:v>6118.139913929998</x:v>
      </x:c>
      <x:c r="Z5" t="n">
        <x:f>G58</x:f>
        <x:v>1051.2065095691246</x:v>
      </x:c>
    </x:row>
    <x:row r="6" ht="18" customHeight="1">
      <x:c r="A6" s="1"/>
      <x:c r="B6" s="1"/>
      <x:c r="C6" s="1"/>
      <x:c r="D6" s="2"/>
      <x:c r="E6" s="2"/>
      <x:c r="F6" s="2"/>
      <x:c r="G6" s="2"/>
      <x:c r="H6" s="2"/>
      <x:c r="I6" s="2"/>
      <x:c r="J6" s="1"/>
      <x:c r="K6" s="1"/>
      <x:c r="M6" s="63" t="str">
        <x:v>Selected case</x:v>
      </x:c>
      <x:c r="N6" s="63" t="str">
        <x:f>'Controls'!E6</x:f>
        <x:v>Base</x:v>
      </x:c>
      <x:c r="O6" s="63"/>
      <x:c r="P6" s="63"/>
      <x:c r="Q6" s="63"/>
      <x:c r="R6" s="63"/>
      <x:c r="S6" s="63"/>
      <x:c r="T6" s="63"/>
      <x:c r="U6" s="63"/>
      <x:c r="V6" s="63"/>
      <x:c r="X6" t="n">
        <x:f>'Controls'!$E$17+3</x:f>
        <x:v>2030</x:v>
      </x:c>
      <x:c r="Y6" t="n">
        <x:f>H47</x:f>
        <x:v>6772.780884720509</x:v>
      </x:c>
      <x:c r="Z6" t="n">
        <x:f>H58</x:f>
        <x:v>1162.0330308717214</x:v>
      </x:c>
    </x:row>
    <x:row r="7" ht="18" customHeight="1">
      <x:c r="A7" s="1"/>
      <x:c r="B7" s="1"/>
      <x:c r="C7" s="15" t="str">
        <x:v>Metric</x:v>
      </x:c>
      <x:c r="D7" s="16" t="str">
        <x:v>Opening / seed</x:v>
      </x:c>
      <x:c r="E7" s="65" t="n">
        <x:f>'Controls'!$E$17+0</x:f>
        <x:v>2027</x:v>
      </x:c>
      <x:c r="F7" s="65" t="n">
        <x:f>'Controls'!$E$17+1</x:f>
        <x:v>2028</x:v>
      </x:c>
      <x:c r="G7" s="65" t="n">
        <x:f>'Controls'!$E$17+2</x:f>
        <x:v>2029</x:v>
      </x:c>
      <x:c r="H7" s="65" t="n">
        <x:f>'Controls'!$E$17+3</x:f>
        <x:v>2030</x:v>
      </x:c>
      <x:c r="I7" s="65" t="n">
        <x:f>'Controls'!$E$17+4</x:f>
        <x:v>2031</x:v>
      </x:c>
      <x:c r="J7" s="1"/>
      <x:c r="K7" s="1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X7" t="n">
        <x:f>'Controls'!$E$17+4</x:f>
        <x:v>2031</x:v>
      </x:c>
      <x:c r="Y7" t="n">
        <x:f>I47</x:f>
        <x:v>7497.468439385601</x:v>
      </x:c>
      <x:c r="Z7" t="n">
        <x:f>I58</x:f>
        <x:v>1285.1602169935293</x:v>
      </x:c>
    </x:row>
    <x:row r="8" ht="18" customHeight="1">
      <x:c r="A8" s="1"/>
      <x:c r="B8" s="1"/>
      <x:c r="C8" s="1"/>
      <x:c r="D8" s="2"/>
      <x:c r="E8" s="2"/>
      <x:c r="F8" s="2"/>
      <x:c r="G8" s="2"/>
      <x:c r="H8" s="2"/>
      <x:c r="I8" s="2"/>
      <x:c r="J8" s="1"/>
      <x:c r="K8" s="1"/>
      <x:c r="M8" s="63" t="str">
        <x:v>Equity value (INR crore)</x:v>
      </x:c>
      <x:c r="N8" s="8" t="n">
        <x:f>E93</x:f>
        <x:v>10377.362909621339</x:v>
      </x:c>
      <x:c r="O8" s="63"/>
      <x:c r="P8" s="63"/>
      <x:c r="Q8" s="63"/>
      <x:c r="R8" s="63"/>
      <x:c r="S8" s="63"/>
      <x:c r="T8" s="63"/>
      <x:c r="U8" s="63"/>
      <x:c r="V8" s="63"/>
    </x:row>
    <x:row r="9" ht="18" customHeight="1">
      <x:c r="A9" s="1"/>
      <x:c r="B9" s="1"/>
      <x:c r="C9" s="19" t="str">
        <x:v>OPERATING ASSUMPTIONS</x:v>
      </x:c>
      <x:c r="D9" s="20"/>
      <x:c r="E9" s="20"/>
      <x:c r="F9" s="20"/>
      <x:c r="G9" s="20"/>
      <x:c r="H9" s="20"/>
      <x:c r="I9" s="20"/>
      <x:c r="J9" s="1"/>
      <x:c r="K9" s="1"/>
      <x:c r="M9" s="63" t="str">
        <x:f>IF(MAX(E99,F99,G99,H99,I99,E100,F100,G100,H100,I100,E101,F101,G101,H101,I101,E102,F102,G102,H102,I102,E103,F103,G103,H103,I103,E180:I205)&gt;0.01,"ATTENTION: model checks contain exceptions",IF(MIN(E99,F99,G99,H99,I99,E100,F100,G100,H100,I100,E101,F101,G101,H101,I101,E102,F102,G102,H102,I102,E103,F103,G103,H103,I103,E180:I205)&lt;-0.01,"ATTENTION: model checks contain exceptions","Model checks clear; review company assumptions"))</x:f>
        <x:v>Model checks clear; review company assumptions</x:v>
      </x:c>
      <x:c r="N9" s="63"/>
      <x:c r="O9" s="63"/>
      <x:c r="P9" s="63"/>
      <x:c r="Q9" s="63"/>
      <x:c r="R9" s="63"/>
      <x:c r="S9" s="63"/>
      <x:c r="T9" s="63"/>
      <x:c r="U9" s="63"/>
      <x:c r="V9" s="63"/>
    </x:row>
    <x:row r="10" ht="18" customHeight="1">
      <x:c r="A10" s="1"/>
      <x:c r="B10" s="1"/>
      <x:c r="C10" s="1" t="str">
        <x:v>Average delivery FTE — seed</x:v>
      </x:c>
      <x:c r="D10" s="7" t="n">
        <x:v>10000</x:v>
      </x:c>
      <x:c r="E10" s="2"/>
      <x:c r="F10" s="2"/>
      <x:c r="G10" s="2"/>
      <x:c r="H10" s="2"/>
      <x:c r="I10" s="2"/>
      <x:c r="J10" s="1"/>
      <x:c r="K10" s="1" t="str">
        <x:v>Input provenance: all amber cells are constructed examples, not external observations.</x:v>
      </x:c>
      <x:c r="M10" s="63" t="str">
        <x:v>Illustrative inputs; replace with company evidence.</x:v>
      </x:c>
      <x:c r="N10" s="63"/>
      <x:c r="O10" s="63"/>
      <x:c r="P10" s="63"/>
      <x:c r="Q10" s="63"/>
      <x:c r="R10" s="63"/>
      <x:c r="S10" s="63"/>
      <x:c r="T10" s="63"/>
      <x:c r="U10" s="63"/>
      <x:c r="V10" s="63"/>
    </x:row>
    <x:row r="11" ht="30" customHeight="1">
      <x:c r="A11" s="1"/>
      <x:c r="B11" s="1"/>
      <x:c r="C11" s="56" t="str">
        <x:v>Annual billing per utilized FTE (INR lakh) — seed</x:v>
      </x:c>
      <x:c r="D11" s="7" t="n">
        <x:v>55</x:v>
      </x:c>
      <x:c r="E11" s="2"/>
      <x:c r="F11" s="2"/>
      <x:c r="G11" s="2"/>
      <x:c r="H11" s="2"/>
      <x:c r="I11" s="2"/>
      <x:c r="J11" s="1"/>
      <x:c r="K11" s="1" t="str">
        <x:v>Billing in INR; FX, onsite/offshore mix and fixed-price projects need separate company schedules.</x:v>
      </x:c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</x:row>
    <x:row r="12" ht="18" customHeight="1">
      <x:c r="A12" s="1"/>
      <x:c r="B12" s="1"/>
      <x:c r="C12" s="28" t="str">
        <x:v>Operating scale growth — active</x:v>
      </x:c>
      <x:c r="D12" s="29"/>
      <x:c r="E12" s="30" t="n">
        <x:f>IF(COUNT(INDEX(E13:E15,'Controls'!$E$5))=0,NA(),INDEX(E13:E15,'Controls'!$E$5))</x:f>
        <x:v>0.08</x:v>
      </x:c>
      <x:c r="F12" s="30" t="n">
        <x:f>IF(COUNT(INDEX(F13:F15,'Controls'!$E$5))=0,NA(),INDEX(F13:F15,'Controls'!$E$5))</x:f>
        <x:v>0.08</x:v>
      </x:c>
      <x:c r="G12" s="30" t="n">
        <x:f>IF(COUNT(INDEX(G13:G15,'Controls'!$E$5))=0,NA(),INDEX(G13:G15,'Controls'!$E$5))</x:f>
        <x:v>0.08</x:v>
      </x:c>
      <x:c r="H12" s="30" t="n">
        <x:f>IF(COUNT(INDEX(H13:H15,'Controls'!$E$5))=0,NA(),INDEX(H13:H15,'Controls'!$E$5))</x:f>
        <x:v>0.08</x:v>
      </x:c>
      <x:c r="I12" s="30" t="n">
        <x:f>IF(COUNT(INDEX(I13:I15,'Controls'!$E$5))=0,NA(),INDEX(I13:I15,'Controls'!$E$5))</x:f>
        <x:v>0.08</x:v>
      </x:c>
      <x:c r="J12" s="1"/>
      <x:c r="K12" s="1" t="str">
        <x:v>Five-year nominal INR model. Positive costs are subtracted. Discounting is end-of-year.</x:v>
      </x:c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</x:row>
    <x:row r="13" ht="18" customHeight="1">
      <x:c r="A13" s="1"/>
      <x:c r="B13" s="1"/>
      <x:c r="C13" s="23" t="str">
        <x:v>Base</x:v>
      </x:c>
      <x:c r="D13" s="24"/>
      <x:c r="E13" s="26" t="n">
        <x:v>0.08</x:v>
      </x:c>
      <x:c r="F13" s="26" t="n">
        <x:v>0.08</x:v>
      </x:c>
      <x:c r="G13" s="26" t="n">
        <x:v>0.08</x:v>
      </x:c>
      <x:c r="H13" s="26" t="n">
        <x:v>0.08</x:v>
      </x:c>
      <x:c r="I13" s="26" t="n">
        <x:v>0.08</x:v>
      </x:c>
      <x:c r="J13" s="1"/>
      <x:c r="K13" s="1" t="str">
        <x:v>Cash earns no interest; borrowing is explicit. Negative cash is an unfunded shortfall.</x:v>
      </x:c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</x:row>
    <x:row r="14" ht="18" customHeight="1">
      <x:c r="A14" s="1"/>
      <x:c r="B14" s="1"/>
      <x:c r="C14" s="23" t="str">
        <x:v>Downside</x:v>
      </x:c>
      <x:c r="D14" s="24"/>
      <x:c r="E14" s="26" t="n">
        <x:v>0.03</x:v>
      </x:c>
      <x:c r="F14" s="26" t="n">
        <x:v>0.03</x:v>
      </x:c>
      <x:c r="G14" s="26" t="n">
        <x:v>0.03</x:v>
      </x:c>
      <x:c r="H14" s="26" t="n">
        <x:v>0.03</x:v>
      </x:c>
      <x:c r="I14" s="26" t="n">
        <x:v>0.03</x:v>
      </x:c>
      <x:c r="J14" s="1"/>
      <x:c r="K14" s="1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</x:row>
    <x:row r="15" ht="18" customHeight="1">
      <x:c r="A15" s="1"/>
      <x:c r="B15" s="1"/>
      <x:c r="C15" s="23" t="str">
        <x:v>Upside</x:v>
      </x:c>
      <x:c r="D15" s="24"/>
      <x:c r="E15" s="26" t="n">
        <x:v>0.12</x:v>
      </x:c>
      <x:c r="F15" s="26" t="n">
        <x:v>0.12</x:v>
      </x:c>
      <x:c r="G15" s="26" t="n">
        <x:v>0.12</x:v>
      </x:c>
      <x:c r="H15" s="26" t="n">
        <x:v>0.12</x:v>
      </x:c>
      <x:c r="I15" s="26" t="n">
        <x:v>0.12</x:v>
      </x:c>
      <x:c r="J15" s="1"/>
      <x:c r="K15" s="1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</x:row>
    <x:row r="16" ht="18" customHeight="1">
      <x:c r="A16" s="1"/>
      <x:c r="B16" s="1"/>
      <x:c r="C16" s="28" t="str">
        <x:v>Realization growth — active</x:v>
      </x:c>
      <x:c r="D16" s="29"/>
      <x:c r="E16" s="30" t="n">
        <x:f>IF(COUNT(INDEX(E17:E19,'Controls'!$E$5))=0,NA(),INDEX(E17:E19,'Controls'!$E$5))</x:f>
        <x:v>0.025</x:v>
      </x:c>
      <x:c r="F16" s="30" t="n">
        <x:f>IF(COUNT(INDEX(F17:F19,'Controls'!$E$5))=0,NA(),INDEX(F17:F19,'Controls'!$E$5))</x:f>
        <x:v>0.025</x:v>
      </x:c>
      <x:c r="G16" s="30" t="n">
        <x:f>IF(COUNT(INDEX(G17:G19,'Controls'!$E$5))=0,NA(),INDEX(G17:G19,'Controls'!$E$5))</x:f>
        <x:v>0.025</x:v>
      </x:c>
      <x:c r="H16" s="30" t="n">
        <x:f>IF(COUNT(INDEX(H17:H19,'Controls'!$E$5))=0,NA(),INDEX(H17:H19,'Controls'!$E$5))</x:f>
        <x:v>0.025</x:v>
      </x:c>
      <x:c r="I16" s="30" t="n">
        <x:f>IF(COUNT(INDEX(I17:I19,'Controls'!$E$5))=0,NA(),INDEX(I17:I19,'Controls'!$E$5))</x:f>
        <x:v>0.025</x:v>
      </x:c>
      <x:c r="J16" s="1"/>
      <x:c r="K16" s="1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</x:row>
    <x:row r="17" ht="18" customHeight="1">
      <x:c r="A17" s="1"/>
      <x:c r="B17" s="1"/>
      <x:c r="C17" s="23" t="str">
        <x:v>Base</x:v>
      </x:c>
      <x:c r="D17" s="24"/>
      <x:c r="E17" s="26" t="n">
        <x:v>0.025</x:v>
      </x:c>
      <x:c r="F17" s="26" t="n">
        <x:v>0.025</x:v>
      </x:c>
      <x:c r="G17" s="26" t="n">
        <x:v>0.025</x:v>
      </x:c>
      <x:c r="H17" s="26" t="n">
        <x:v>0.025</x:v>
      </x:c>
      <x:c r="I17" s="26" t="n">
        <x:v>0.025</x:v>
      </x:c>
      <x:c r="J17" s="1"/>
      <x:c r="K17" s="1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</x:row>
    <x:row r="18" ht="18" customHeight="1">
      <x:c r="A18" s="1"/>
      <x:c r="B18" s="1"/>
      <x:c r="C18" s="23" t="str">
        <x:v>Downside</x:v>
      </x:c>
      <x:c r="D18" s="24"/>
      <x:c r="E18" s="26" t="n">
        <x:v>0</x:v>
      </x:c>
      <x:c r="F18" s="26" t="n">
        <x:v>0</x:v>
      </x:c>
      <x:c r="G18" s="26" t="n">
        <x:v>0</x:v>
      </x:c>
      <x:c r="H18" s="26" t="n">
        <x:v>0</x:v>
      </x:c>
      <x:c r="I18" s="26" t="n">
        <x:v>0</x:v>
      </x:c>
      <x:c r="J18" s="1"/>
      <x:c r="K18" s="1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</x:row>
    <x:row r="19" ht="18" customHeight="1">
      <x:c r="A19" s="1"/>
      <x:c r="B19" s="1"/>
      <x:c r="C19" s="23" t="str">
        <x:v>Upside</x:v>
      </x:c>
      <x:c r="D19" s="24"/>
      <x:c r="E19" s="26" t="n">
        <x:v>0.045</x:v>
      </x:c>
      <x:c r="F19" s="26" t="n">
        <x:v>0.045</x:v>
      </x:c>
      <x:c r="G19" s="26" t="n">
        <x:v>0.045</x:v>
      </x:c>
      <x:c r="H19" s="26" t="n">
        <x:v>0.045</x:v>
      </x:c>
      <x:c r="I19" s="26" t="n">
        <x:v>0.045</x:v>
      </x:c>
      <x:c r="J19" s="1"/>
      <x:c r="K19" s="1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</x:row>
    <x:row r="20" ht="18" customHeight="1">
      <x:c r="A20" s="1"/>
      <x:c r="B20" s="1"/>
      <x:c r="C20" s="23" t="str">
        <x:v>Billable utilization</x:v>
      </x:c>
      <x:c r="D20" s="24"/>
      <x:c r="E20" s="26" t="n">
        <x:f>E400</x:f>
        <x:v>0.82</x:v>
      </x:c>
      <x:c r="F20" s="26" t="n">
        <x:f>F400</x:f>
        <x:v>0.82</x:v>
      </x:c>
      <x:c r="G20" s="26" t="n">
        <x:f>G400</x:f>
        <x:v>0.82</x:v>
      </x:c>
      <x:c r="H20" s="26" t="n">
        <x:f>H400</x:f>
        <x:v>0.82</x:v>
      </x:c>
      <x:c r="I20" s="26" t="n">
        <x:f>I400</x:f>
        <x:v>0.82</x:v>
      </x:c>
      <x:c r="J20" s="1"/>
      <x:c r="K20" s="1" t="str">
        <x:v>Use 100% when volume already represents actual sales.</x:v>
      </x:c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</x:row>
    <x:row r="21" ht="18" customHeight="1">
      <x:c r="A21" s="1"/>
      <x:c r="B21" s="1"/>
      <x:c r="C21" s="23" t="str">
        <x:v>Employee delivery cost / revenue</x:v>
      </x:c>
      <x:c r="D21" s="24"/>
      <x:c r="E21" s="26" t="n">
        <x:f>E405</x:f>
        <x:v>0.6</x:v>
      </x:c>
      <x:c r="F21" s="26" t="n">
        <x:f>F405</x:f>
        <x:v>0.6</x:v>
      </x:c>
      <x:c r="G21" s="26" t="n">
        <x:f>G405</x:f>
        <x:v>0.6</x:v>
      </x:c>
      <x:c r="H21" s="26" t="n">
        <x:f>H405</x:f>
        <x:v>0.6</x:v>
      </x:c>
      <x:c r="I21" s="26" t="n">
        <x:f>I405</x:f>
        <x:v>0.6</x:v>
      </x:c>
      <x:c r="J21" s="1"/>
      <x:c r="K21" s="1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</x:row>
    <x:row r="22" ht="18" customHeight="1">
      <x:c r="A22" s="1"/>
      <x:c r="B22" s="1"/>
      <x:c r="C22" s="23" t="str">
        <x:v>Other cash operating costs / revenue</x:v>
      </x:c>
      <x:c r="D22" s="24"/>
      <x:c r="E22" s="26" t="n">
        <x:f>E410</x:f>
        <x:v>0.15</x:v>
      </x:c>
      <x:c r="F22" s="26" t="n">
        <x:f>F410</x:f>
        <x:v>0.15</x:v>
      </x:c>
      <x:c r="G22" s="26" t="n">
        <x:f>G410</x:f>
        <x:v>0.15</x:v>
      </x:c>
      <x:c r="H22" s="26" t="n">
        <x:f>H410</x:f>
        <x:v>0.15</x:v>
      </x:c>
      <x:c r="I22" s="26" t="n">
        <x:f>I410</x:f>
        <x:v>0.15</x:v>
      </x:c>
      <x:c r="J22" s="1"/>
      <x:c r="K22" s="1" t="str">
        <x:v>Includes fixed and selling costs, modeled as revenue share.</x:v>
      </x:c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</x:row>
    <x:row r="23" ht="18" customHeight="1">
      <x:c r="A23" s="1"/>
      <x:c r="B23" s="1"/>
      <x:c r="C23" s="23" t="str">
        <x:v>Cash capex / revenue</x:v>
      </x:c>
      <x:c r="D23" s="24"/>
      <x:c r="E23" s="26" t="n">
        <x:f>E415</x:f>
        <x:v>0.035</x:v>
      </x:c>
      <x:c r="F23" s="26" t="n">
        <x:f>F415</x:f>
        <x:v>0.035</x:v>
      </x:c>
      <x:c r="G23" s="26" t="n">
        <x:f>G415</x:f>
        <x:v>0.035</x:v>
      </x:c>
      <x:c r="H23" s="26" t="n">
        <x:f>H415</x:f>
        <x:v>0.035</x:v>
      </x:c>
      <x:c r="I23" s="26" t="n">
        <x:f>I415</x:f>
        <x:v>0.035</x:v>
      </x:c>
      <x:c r="J23" s="1"/>
      <x:c r="K23" s="1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</x:row>
    <x:row r="24" ht="18" customHeight="1">
      <x:c r="A24" s="1"/>
      <x:c r="B24" s="1"/>
      <x:c r="C24" s="23" t="str">
        <x:v>D&amp;A / opening net PP&amp;E</x:v>
      </x:c>
      <x:c r="D24" s="24"/>
      <x:c r="E24" s="26" t="n">
        <x:f>E420</x:f>
        <x:v>0.18</x:v>
      </x:c>
      <x:c r="F24" s="26" t="n">
        <x:f>F420</x:f>
        <x:v>0.18</x:v>
      </x:c>
      <x:c r="G24" s="26" t="n">
        <x:f>G420</x:f>
        <x:v>0.18</x:v>
      </x:c>
      <x:c r="H24" s="26" t="n">
        <x:f>H420</x:f>
        <x:v>0.18</x:v>
      </x:c>
      <x:c r="I24" s="26" t="n">
        <x:f>I420</x:f>
        <x:v>0.18</x:v>
      </x:c>
      <x:c r="J24" s="1"/>
      <x:c r="K24" s="1" t="str">
        <x:v>No disposals or impairments. Current-year capex begins depreciation next year.</x:v>
      </x:c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</x:row>
    <x:row r="25" ht="18" customHeight="1">
      <x:c r="A25" s="1"/>
      <x:c r="B25" s="1"/>
      <x:c r="C25" s="1" t="str">
        <x:v>Receivable days</x:v>
      </x:c>
      <x:c r="D25" s="2"/>
      <x:c r="E25" s="7" t="n">
        <x:f>E425</x:f>
        <x:v>65</x:v>
      </x:c>
      <x:c r="F25" s="7" t="n">
        <x:f>F425</x:f>
        <x:v>65</x:v>
      </x:c>
      <x:c r="G25" s="7" t="n">
        <x:f>G425</x:f>
        <x:v>65</x:v>
      </x:c>
      <x:c r="H25" s="7" t="n">
        <x:f>H425</x:f>
        <x:v>65</x:v>
      </x:c>
      <x:c r="I25" s="7" t="n">
        <x:f>I425</x:f>
        <x:v>65</x:v>
      </x:c>
      <x:c r="J25" s="1"/>
      <x:c r="K25" s="1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</x:row>
    <x:row r="26" ht="18" customHeight="1">
      <x:c r="A26" s="1"/>
      <x:c r="B26" s="1"/>
      <x:c r="C26" s="1" t="str">
        <x:v>Inventory days</x:v>
      </x:c>
      <x:c r="D26" s="2"/>
      <x:c r="E26" s="7" t="n">
        <x:f>E430</x:f>
        <x:v>0</x:v>
      </x:c>
      <x:c r="F26" s="7" t="n">
        <x:f>F430</x:f>
        <x:v>0</x:v>
      </x:c>
      <x:c r="G26" s="7" t="n">
        <x:f>G430</x:f>
        <x:v>0</x:v>
      </x:c>
      <x:c r="H26" s="7" t="n">
        <x:f>H430</x:f>
        <x:v>0</x:v>
      </x:c>
      <x:c r="I26" s="7" t="n">
        <x:f>I430</x:f>
        <x:v>0</x:v>
      </x:c>
      <x:c r="J26" s="1"/>
      <x:c r="K26" s="1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</x:row>
    <x:row r="27" ht="18" customHeight="1">
      <x:c r="A27" s="1"/>
      <x:c r="B27" s="1"/>
      <x:c r="C27" s="1" t="str">
        <x:v>Payable days</x:v>
      </x:c>
      <x:c r="D27" s="2"/>
      <x:c r="E27" s="7" t="n">
        <x:f>E435</x:f>
        <x:v>15</x:v>
      </x:c>
      <x:c r="F27" s="7" t="n">
        <x:f>F435</x:f>
        <x:v>15</x:v>
      </x:c>
      <x:c r="G27" s="7" t="n">
        <x:f>G435</x:f>
        <x:v>15</x:v>
      </x:c>
      <x:c r="H27" s="7" t="n">
        <x:f>H435</x:f>
        <x:v>15</x:v>
      </x:c>
      <x:c r="I27" s="7" t="n">
        <x:f>I435</x:f>
        <x:v>15</x:v>
      </x:c>
      <x:c r="J27" s="1"/>
      <x:c r="K27" s="1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</x:row>
    <x:row r="28" ht="18" customHeight="1">
      <x:c r="A28" s="1"/>
      <x:c r="B28" s="1"/>
      <x:c r="C28" s="23" t="str">
        <x:v>Effective cash tax rate</x:v>
      </x:c>
      <x:c r="D28" s="24"/>
      <x:c r="E28" s="26" t="n">
        <x:f>E440</x:f>
        <x:v>0.25</x:v>
      </x:c>
      <x:c r="F28" s="26" t="n">
        <x:f>F440</x:f>
        <x:v>0.25</x:v>
      </x:c>
      <x:c r="G28" s="26" t="n">
        <x:f>G440</x:f>
        <x:v>0.25</x:v>
      </x:c>
      <x:c r="H28" s="26" t="n">
        <x:f>H440</x:f>
        <x:v>0.25</x:v>
      </x:c>
      <x:c r="I28" s="26" t="n">
        <x:f>I440</x:f>
        <x:v>0.25</x:v>
      </x:c>
      <x:c r="J28" s="1"/>
      <x:c r="K28" s="1" t="str">
        <x:v>Illustrative assumption, not a statutory rate. No loss carryforwards or deferred tax.</x:v>
      </x:c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</x:row>
    <x:row r="29" ht="18" customHeight="1">
      <x:c r="A29" s="1"/>
      <x:c r="B29" s="1"/>
      <x:c r="C29" s="23" t="str">
        <x:v>Interest on opening debt</x:v>
      </x:c>
      <x:c r="D29" s="24"/>
      <x:c r="E29" s="26" t="n">
        <x:f>E445</x:f>
        <x:v>0.085</x:v>
      </x:c>
      <x:c r="F29" s="26" t="n">
        <x:f>F445</x:f>
        <x:v>0.085</x:v>
      </x:c>
      <x:c r="G29" s="26" t="n">
        <x:f>G445</x:f>
        <x:v>0.085</x:v>
      </x:c>
      <x:c r="H29" s="26" t="n">
        <x:f>H445</x:f>
        <x:v>0.085</x:v>
      </x:c>
      <x:c r="I29" s="26" t="n">
        <x:f>I445</x:f>
        <x:v>0.085</x:v>
      </x:c>
      <x:c r="J29" s="1"/>
      <x:c r="K29" s="1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</x:row>
    <x:row r="30" ht="18" customHeight="1">
      <x:c r="A30" s="1"/>
      <x:c r="B30" s="1"/>
      <x:c r="C30" s="1" t="str">
        <x:v>New borrowing</x:v>
      </x:c>
      <x:c r="D30" s="2"/>
      <x:c r="E30" s="7" t="n">
        <x:f>E450</x:f>
        <x:v>0</x:v>
      </x:c>
      <x:c r="F30" s="7" t="n">
        <x:f>F450</x:f>
        <x:v>0</x:v>
      </x:c>
      <x:c r="G30" s="7" t="n">
        <x:f>G450</x:f>
        <x:v>0</x:v>
      </x:c>
      <x:c r="H30" s="7" t="n">
        <x:f>H450</x:f>
        <x:v>0</x:v>
      </x:c>
      <x:c r="I30" s="7" t="n">
        <x:f>I450</x:f>
        <x:v>0</x:v>
      </x:c>
      <x:c r="J30" s="1"/>
      <x:c r="K30" s="1"/>
      <x:c r="M30" s="82" t="str">
        <x:v>Historical actuals and forecast | INR crore</x:v>
      </x:c>
      <x:c r="N30" s="82"/>
      <x:c r="O30" s="82"/>
      <x:c r="P30" s="82"/>
      <x:c r="Q30" s="82"/>
      <x:c r="R30" s="82"/>
      <x:c r="S30" s="82"/>
      <x:c r="T30" s="82"/>
      <x:c r="U30" s="82"/>
      <x:c r="V30" s="63"/>
    </x:row>
    <x:row r="31" ht="18" customHeight="1">
      <x:c r="A31" s="1"/>
      <x:c r="B31" s="1"/>
      <x:c r="C31" s="1" t="str">
        <x:v>Scheduled principal repayment</x:v>
      </x:c>
      <x:c r="D31" s="2"/>
      <x:c r="E31" s="7" t="n">
        <x:f>E455</x:f>
        <x:v>10</x:v>
      </x:c>
      <x:c r="F31" s="7" t="n">
        <x:f>F455</x:f>
        <x:v>10</x:v>
      </x:c>
      <x:c r="G31" s="7" t="n">
        <x:f>G455</x:f>
        <x:v>10</x:v>
      </x:c>
      <x:c r="H31" s="7" t="n">
        <x:f>H455</x:f>
        <x:v>10</x:v>
      </x:c>
      <x:c r="I31" s="7" t="n">
        <x:f>I455</x:f>
        <x:v>10</x:v>
      </x:c>
      <x:c r="J31" s="1"/>
      <x:c r="K31" s="1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</x:row>
    <x:row r="32" ht="18" customHeight="1">
      <x:c r="A32" s="1"/>
      <x:c r="B32" s="1"/>
      <x:c r="C32" s="23" t="str">
        <x:v>Dividend payout on positive PAT</x:v>
      </x:c>
      <x:c r="D32" s="24"/>
      <x:c r="E32" s="26" t="n">
        <x:f>E460</x:f>
        <x:v>0.25</x:v>
      </x:c>
      <x:c r="F32" s="26" t="n">
        <x:f>F460</x:f>
        <x:v>0.25</x:v>
      </x:c>
      <x:c r="G32" s="26" t="n">
        <x:f>G460</x:f>
        <x:v>0.25</x:v>
      </x:c>
      <x:c r="H32" s="26" t="n">
        <x:f>H460</x:f>
        <x:v>0.25</x:v>
      </x:c>
      <x:c r="I32" s="26" t="n">
        <x:f>I460</x:f>
        <x:v>0.25</x:v>
      </x:c>
      <x:c r="J32" s="1"/>
      <x:c r="K32" s="1"/>
      <x:c r="M32" s="63" t="str">
        <x:v>Metric</x:v>
      </x:c>
      <x:c r="N32" s="88" t="n">
        <x:f>'Controls'!$E$17+-3</x:f>
        <x:v>2024</x:v>
      </x:c>
      <x:c r="O32" s="88" t="n">
        <x:f>'Controls'!$E$17+-2</x:f>
        <x:v>2025</x:v>
      </x:c>
      <x:c r="P32" s="88" t="n">
        <x:f>'Controls'!$E$17+-1</x:f>
        <x:v>2026</x:v>
      </x:c>
      <x:c r="Q32" s="89" t="n">
        <x:f>'Controls'!$E$17+0</x:f>
        <x:v>2027</x:v>
      </x:c>
      <x:c r="R32" s="89" t="n">
        <x:f>'Controls'!$E$17+1</x:f>
        <x:v>2028</x:v>
      </x:c>
      <x:c r="S32" s="89" t="n">
        <x:f>'Controls'!$E$17+2</x:f>
        <x:v>2029</x:v>
      </x:c>
      <x:c r="T32" s="89" t="n">
        <x:f>'Controls'!$E$17+3</x:f>
        <x:v>2030</x:v>
      </x:c>
      <x:c r="U32" s="89" t="n">
        <x:f>'Controls'!$E$17+4</x:f>
        <x:v>2031</x:v>
      </x:c>
      <x:c r="V32" s="63" t="str">
        <x:v>Source / reporting date</x:v>
      </x:c>
    </x:row>
    <x:row r="33" ht="18" customHeight="1">
      <x:c r="A33" s="1"/>
      <x:c r="B33" s="1"/>
      <x:c r="C33" s="19" t="str">
        <x:v>OPENING BALANCE SHEET AND VALUATION INPUTS</x:v>
      </x:c>
      <x:c r="D33" s="20"/>
      <x:c r="E33" s="20"/>
      <x:c r="F33" s="20"/>
      <x:c r="G33" s="20"/>
      <x:c r="H33" s="20"/>
      <x:c r="I33" s="20"/>
      <x:c r="J33" s="1"/>
      <x:c r="K33" s="1"/>
      <x:c r="M33" s="63" t="str">
        <x:v>Income</x:v>
      </x:c>
      <x:c r="N33" s="74"/>
      <x:c r="O33" s="74"/>
      <x:c r="P33" s="74"/>
      <x:c r="Q33" s="8" t="n">
        <x:f>E47</x:f>
        <x:v>4992.569999999999</x:v>
      </x:c>
      <x:c r="R33" s="8" t="n">
        <x:f>F47</x:f>
        <x:v>5526.774989999998</x:v>
      </x:c>
      <x:c r="S33" s="8" t="n">
        <x:f>G47</x:f>
        <x:v>6118.139913929998</x:v>
      </x:c>
      <x:c r="T33" s="8" t="n">
        <x:f>H47</x:f>
        <x:v>6772.780884720509</x:v>
      </x:c>
      <x:c r="U33" s="8" t="n">
        <x:f>I47</x:f>
        <x:v>7497.468439385601</x:v>
      </x:c>
      <x:c r="V33" s="63"/>
    </x:row>
    <x:row r="34" ht="18" customHeight="1">
      <x:c r="A34" s="1"/>
      <x:c r="B34" s="1"/>
      <x:c r="C34" s="1" t="str">
        <x:v>Opening net PP&amp;E</x:v>
      </x:c>
      <x:c r="D34" s="7" t="n">
        <x:v>500</x:v>
      </x:c>
      <x:c r="E34" s="2"/>
      <x:c r="F34" s="2"/>
      <x:c r="G34" s="2"/>
      <x:c r="H34" s="2"/>
      <x:c r="I34" s="2"/>
      <x:c r="J34" s="1"/>
      <x:c r="K34" s="1"/>
      <x:c r="M34" s="63" t="str">
        <x:v>Profit after tax</x:v>
      </x:c>
      <x:c r="N34" s="74"/>
      <x:c r="O34" s="74"/>
      <x:c r="P34" s="74"/>
      <x:c r="Q34" s="8" t="n">
        <x:f>E58</x:f>
        <x:v>862.231875</x:v>
      </x:c>
      <x:c r="R34" s="8" t="n">
        <x:f>F58</x:f>
        <x:v>951.5929173749996</x:v>
      </x:c>
      <x:c r="S34" s="8" t="n">
        <x:f>G58</x:f>
        <x:v>1051.2065095691246</x:v>
      </x:c>
      <x:c r="T34" s="8" t="n">
        <x:f>H58</x:f>
        <x:v>1162.0330308717214</x:v>
      </x:c>
      <x:c r="U34" s="8" t="n">
        <x:f>I58</x:f>
        <x:v>1285.1602169935293</x:v>
      </x:c>
      <x:c r="V34" s="63"/>
    </x:row>
    <x:row r="35" ht="18" customHeight="1">
      <x:c r="A35" s="1"/>
      <x:c r="B35" s="1"/>
      <x:c r="C35" s="1" t="str">
        <x:v>Opening debt</x:v>
      </x:c>
      <x:c r="D35" s="7" t="n">
        <x:v>100</x:v>
      </x:c>
      <x:c r="E35" s="2"/>
      <x:c r="F35" s="2"/>
      <x:c r="G35" s="2"/>
      <x:c r="H35" s="2"/>
      <x:c r="I35" s="2"/>
      <x:c r="J35" s="1"/>
      <x:c r="K35" s="1"/>
      <x:c r="M35" s="63" t="str">
        <x:v>EBITDA</x:v>
      </x:c>
      <x:c r="N35" s="74"/>
      <x:c r="O35" s="74"/>
      <x:c r="P35" s="74"/>
      <x:c r="Q35" s="8" t="n">
        <x:f>E52</x:f>
        <x:v>1248.1425</x:v>
      </x:c>
      <x:c r="R35" s="8" t="n">
        <x:f>F52</x:f>
        <x:v>1381.6937474999995</x:v>
      </x:c>
      <x:c r="S35" s="8" t="n">
        <x:f>G52</x:f>
        <x:v>1529.5349784824994</x:v>
      </x:c>
      <x:c r="T35" s="8" t="n">
        <x:f>H52</x:f>
        <x:v>1693.1952211801276</x:v>
      </x:c>
      <x:c r="U35" s="8" t="n">
        <x:f>I52</x:f>
        <x:v>1874.3671098464008</x:v>
      </x:c>
      <x:c r="V35" s="63"/>
    </x:row>
    <x:row r="36" ht="18" customHeight="1">
      <x:c r="A36" s="1"/>
      <x:c r="B36" s="1"/>
      <x:c r="C36" s="1" t="str">
        <x:v>Opening cash</x:v>
      </x:c>
      <x:c r="D36" s="7" t="n">
        <x:v>400</x:v>
      </x:c>
      <x:c r="E36" s="2"/>
      <x:c r="F36" s="2"/>
      <x:c r="G36" s="2"/>
      <x:c r="H36" s="2"/>
      <x:c r="I36" s="2"/>
      <x:c r="J36" s="1"/>
      <x:c r="K36" s="1"/>
      <x:c r="M36" s="63" t="str">
        <x:v>Closing debt</x:v>
      </x:c>
      <x:c r="N36" s="74"/>
      <x:c r="O36" s="74"/>
      <x:c r="P36" s="74"/>
      <x:c r="Q36" s="8" t="n">
        <x:f>E67</x:f>
        <x:v>90</x:v>
      </x:c>
      <x:c r="R36" s="8" t="n">
        <x:f>F67</x:f>
        <x:v>80</x:v>
      </x:c>
      <x:c r="S36" s="8" t="n">
        <x:f>G67</x:f>
        <x:v>70</x:v>
      </x:c>
      <x:c r="T36" s="8" t="n">
        <x:f>H67</x:f>
        <x:v>60</x:v>
      </x:c>
      <x:c r="U36" s="8" t="n">
        <x:f>I67</x:f>
        <x:v>50</x:v>
      </x:c>
      <x:c r="V36" s="63"/>
    </x:row>
    <x:row r="37" ht="18" customHeight="1">
      <x:c r="A37" s="1"/>
      <x:c r="B37" s="1"/>
      <x:c r="C37" s="1" t="str">
        <x:v>Opening net working capital</x:v>
      </x:c>
      <x:c r="D37" s="7" t="n">
        <x:v>691.945205479452</x:v>
      </x:c>
      <x:c r="E37" s="2"/>
      <x:c r="F37" s="2"/>
      <x:c r="G37" s="2"/>
      <x:c r="H37" s="2"/>
      <x:c r="I37" s="2"/>
      <x:c r="J37" s="1"/>
      <x:c r="K37" s="1" t="str">
        <x:v>Illustrative opening net balance. Replace with receivables + inventory − payables.</x:v>
      </x:c>
      <x:c r="M37" s="63" t="str">
        <x:v>Closing cash / (funding gap)</x:v>
      </x:c>
      <x:c r="N37" s="74"/>
      <x:c r="O37" s="74"/>
      <x:c r="P37" s="74"/>
      <x:c r="Q37" s="8" t="n">
        <x:f>E72</x:f>
        <x:v>877.8958192636989</x:v>
      </x:c>
      <x:c r="R37" s="8" t="n">
        <x:f>F72</x:f>
        <x:v>1411.4463560011131</x:v>
      </x:c>
      <x:c r="S37" s="8" t="n">
        <x:f>G72</x:f>
        <x:v>2006.1126793156805</x:v>
      </x:c>
      <x:c r="T37" s="8" t="n">
        <x:f>H72</x:f>
        <x:v>2668.019901437332</x:v>
      </x:c>
      <x:c r="U37" s="8" t="n">
        <x:f>I72</x:f>
        <x:v>3404.013882765189</x:v>
      </x:c>
      <x:c r="V37" s="63"/>
    </x:row>
    <x:row r="38" ht="18" customHeight="1">
      <x:c r="A38" s="1"/>
      <x:c r="B38" s="1"/>
      <x:c r="C38" s="1" t="str">
        <x:v>Diluted shares (crore)</x:v>
      </x:c>
      <x:c r="D38" s="7" t="n">
        <x:v>100</x:v>
      </x:c>
      <x:c r="E38" s="2"/>
      <x:c r="F38" s="2"/>
      <x:c r="G38" s="2"/>
      <x:c r="H38" s="2"/>
      <x:c r="I38" s="2"/>
      <x:c r="J38" s="1"/>
      <x:c r="K38" s="1"/>
      <x:c r="M38" s="63" t="str">
        <x:v>Closing book equity</x:v>
      </x:c>
      <x:c r="N38" s="74"/>
      <x:c r="O38" s="74"/>
      <x:c r="P38" s="74"/>
      <x:c r="Q38" s="8" t="n">
        <x:f>E73</x:f>
        <x:v>2138.619111729452</x:v>
      </x:c>
      <x:c r="R38" s="8" t="n">
        <x:f>F73</x:f>
        <x:v>2852.313799760702</x:v>
      </x:c>
      <x:c r="S38" s="8" t="n">
        <x:f>G73</x:f>
        <x:v>3640.718681937545</x:v>
      </x:c>
      <x:c r="T38" s="8" t="n">
        <x:f>H73</x:f>
        <x:v>4512.243455091337</x:v>
      </x:c>
      <x:c r="U38" s="8" t="n">
        <x:f>I73</x:f>
        <x:v>5476.113617836484</x:v>
      </x:c>
      <x:c r="V38" s="63"/>
    </x:row>
    <x:row r="39" ht="18" customHeight="1">
      <x:c r="A39" s="1"/>
      <x:c r="B39" s="1"/>
      <x:c r="C39" s="1" t="str">
        <x:v>WACC</x:v>
      </x:c>
      <x:c r="D39" s="25" t="n">
        <x:v>0.12</x:v>
      </x:c>
      <x:c r="E39" s="2"/>
      <x:c r="F39" s="2"/>
      <x:c r="G39" s="2"/>
      <x:c r="H39" s="2"/>
      <x:c r="I39" s="2"/>
      <x:c r="J39" s="1"/>
      <x:c r="K39" s="1"/>
      <x:c r="M39" s="63" t="str">
        <x:v>Operating cash flow after interest</x:v>
      </x:c>
      <x:c r="N39" s="74"/>
      <x:c r="O39" s="74"/>
      <x:c r="P39" s="74"/>
      <x:c r="Q39" s="8" t="n">
        <x:f>E69</x:f>
        <x:v>878.1937380136987</x:v>
      </x:c>
      <x:c r="R39" s="8" t="n">
        <x:f>F69</x:f>
        <x:v>974.8858907311641</x:v>
      </x:c>
      <x:c r="S39" s="8" t="n">
        <x:f>G69</x:f>
        <x:v>1081.6028476943984</x:v>
      </x:c>
      <x:c r="T39" s="8" t="n">
        <x:f>H69</x:f>
        <x:v>1199.4628108047998</x:v>
      </x:c>
      <x:c r="U39" s="8" t="n">
        <x:f>I69</x:f>
        <x:v>1329.6954309547352</x:v>
      </x:c>
      <x:c r="V39" s="63"/>
    </x:row>
    <x:row r="40" ht="18" customHeight="1">
      <x:c r="A40" s="1"/>
      <x:c r="B40" s="1"/>
      <x:c r="C40" s="1" t="str">
        <x:v>Terminal growth</x:v>
      </x:c>
      <x:c r="D40" s="25" t="n">
        <x:v>0.04</x:v>
      </x:c>
      <x:c r="E40" s="2"/>
      <x:c r="F40" s="2"/>
      <x:c r="G40" s="2"/>
      <x:c r="H40" s="2"/>
      <x:c r="I40" s="2"/>
      <x:c r="J40" s="1"/>
      <x:c r="K40" s="1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</x:row>
    <x:row r="41" ht="18" customHeight="1">
      <x:c r="A41" s="1"/>
      <x:c r="B41" s="1"/>
      <x:c r="C41" s="1" t="str">
        <x:v>Terminal incremental ROIC</x:v>
      </x:c>
      <x:c r="D41" s="25" t="n">
        <x:v>0.15</x:v>
      </x:c>
      <x:c r="E41" s="2"/>
      <x:c r="F41" s="2"/>
      <x:c r="G41" s="2"/>
      <x:c r="H41" s="2"/>
      <x:c r="I41" s="2"/>
      <x:c r="J41" s="1"/>
      <x:c r="K41" s="1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</x:row>
    <x:row r="42" ht="18" customHeight="1">
      <x:c r="A42" s="1"/>
      <x:c r="B42" s="1"/>
      <x:c r="C42" s="1" t="str">
        <x:v>Forward EV / EBITDA</x:v>
      </x:c>
      <x:c r="D42" s="55" t="n">
        <x:v>16</x:v>
      </x:c>
      <x:c r="E42" s="2"/>
      <x:c r="F42" s="2"/>
      <x:c r="G42" s="2"/>
      <x:c r="H42" s="2"/>
      <x:c r="I42" s="2"/>
      <x:c r="J42" s="1"/>
      <x:c r="K42" s="1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</x:row>
    <x:row r="43" ht="18" customHeight="1">
      <x:c r="A43" s="1"/>
      <x:c r="B43" s="1"/>
      <x:c r="C43" s="19" t="str">
        <x:v>OPERATING BUILD</x:v>
      </x:c>
      <x:c r="D43" s="20"/>
      <x:c r="E43" s="20"/>
      <x:c r="F43" s="20"/>
      <x:c r="G43" s="20"/>
      <x:c r="H43" s="20"/>
      <x:c r="I43" s="20"/>
      <x:c r="J43" s="1"/>
      <x:c r="K43" s="1"/>
      <x:c r="M43" s="64" t="str">
        <x:v>Actuals are reference inputs. Calibrate the opening balances and forecast assumptions separately.</x:v>
      </x:c>
      <x:c r="N43" s="64"/>
      <x:c r="O43" s="64"/>
      <x:c r="P43" s="64"/>
      <x:c r="Q43" s="64"/>
      <x:c r="R43" s="64"/>
      <x:c r="S43" s="64"/>
      <x:c r="T43" s="64"/>
      <x:c r="U43" s="64"/>
      <x:c r="V43" s="63"/>
    </x:row>
    <x:row r="44" ht="18" customHeight="1">
      <x:c r="A44" s="1"/>
      <x:c r="B44" s="1"/>
      <x:c r="C44" s="1" t="str">
        <x:v>Average delivery FTE</x:v>
      </x:c>
      <x:c r="D44" s="2"/>
      <x:c r="E44" s="8" t="n">
        <x:f>IF($D$112=1,E164,$D10*(1+E12))</x:f>
        <x:v>10800</x:v>
      </x:c>
      <x:c r="F44" s="8" t="n">
        <x:f>IF($D$112=1,F164,E44*(1+F12))</x:f>
        <x:v>11664</x:v>
      </x:c>
      <x:c r="G44" s="8" t="n">
        <x:f>IF($D$112=1,G164,F44*(1+G12))</x:f>
        <x:v>12597.12</x:v>
      </x:c>
      <x:c r="H44" s="8" t="n">
        <x:f>IF($D$112=1,H164,G44*(1+H12))</x:f>
        <x:v>13604.889600000002</x:v>
      </x:c>
      <x:c r="I44" s="8" t="n">
        <x:f>IF($D$112=1,I164,H44*(1+I12))</x:f>
        <x:v>14693.280768000004</x:v>
      </x:c>
      <x:c r="J44" s="1"/>
      <x:c r="K44" s="1"/>
      <x:c r="M44" s="64"/>
      <x:c r="N44" s="64"/>
      <x:c r="O44" s="64"/>
      <x:c r="P44" s="64"/>
      <x:c r="Q44" s="64"/>
      <x:c r="R44" s="64"/>
      <x:c r="S44" s="64"/>
      <x:c r="T44" s="64"/>
      <x:c r="U44" s="64"/>
      <x:c r="V44" s="63"/>
    </x:row>
    <x:row r="45" ht="18" customHeight="1">
      <x:c r="A45" s="1"/>
      <x:c r="B45" s="1"/>
      <x:c r="C45" s="1" t="str">
        <x:v>Annual billing per utilized FTE (INR lakh)</x:v>
      </x:c>
      <x:c r="D45" s="2"/>
      <x:c r="E45" s="8" t="n">
        <x:f>$D11*(1+E16)</x:f>
        <x:v>56.37499999999999</x:v>
      </x:c>
      <x:c r="F45" s="8" t="n">
        <x:f>E45*(1+F16)</x:f>
        <x:v>57.78437499999999</x:v>
      </x:c>
      <x:c r="G45" s="8" t="n">
        <x:f>F45*(1+G16)</x:f>
        <x:v>59.22898437499998</x:v>
      </x:c>
      <x:c r="H45" s="8" t="n">
        <x:f>G45*(1+H16)</x:f>
        <x:v>60.70970898437498</x:v>
      </x:c>
      <x:c r="I45" s="8" t="n">
        <x:f>H45*(1+I16)</x:f>
        <x:v>62.22745170898435</x:v>
      </x:c>
      <x:c r="J45" s="1"/>
      <x:c r="K45" s="1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</x:row>
    <x:row r="46" ht="18" customHeight="1">
      <x:c r="A46" s="1"/>
      <x:c r="B46" s="1"/>
      <x:c r="C46" s="1" t="str">
        <x:v>Billable FTE</x:v>
      </x:c>
      <x:c r="D46" s="2"/>
      <x:c r="E46" s="8" t="n">
        <x:f>E44*E20</x:f>
        <x:v>8856</x:v>
      </x:c>
      <x:c r="F46" s="8" t="n">
        <x:f>F44*F20</x:f>
        <x:v>9564.48</x:v>
      </x:c>
      <x:c r="G46" s="8" t="n">
        <x:f>G44*G20</x:f>
        <x:v>10329.6384</x:v>
      </x:c>
      <x:c r="H46" s="8" t="n">
        <x:f>H44*H20</x:f>
        <x:v>11156.009472000002</x:v>
      </x:c>
      <x:c r="I46" s="8" t="n">
        <x:f>I44*I20</x:f>
        <x:v>12048.490229760002</x:v>
      </x:c>
      <x:c r="J46" s="1"/>
      <x:c r="K46" s="1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</x:row>
    <x:row r="47" ht="18" customHeight="1">
      <x:c r="A47" s="1"/>
      <x:c r="B47" s="1"/>
      <x:c r="C47" s="38" t="str">
        <x:v>Revenue</x:v>
      </x:c>
      <x:c r="D47" s="39"/>
      <x:c r="E47" s="60" t="n">
        <x:f>IF($D$112=1,E169,E46*E45*'Controls'!$E$15/'Controls'!$E$9)</x:f>
        <x:v>4992.569999999999</x:v>
      </x:c>
      <x:c r="F47" s="60" t="n">
        <x:f>IF($D$112=1,F169,F46*F45*'Controls'!$E$15/'Controls'!$E$9)</x:f>
        <x:v>5526.774989999998</x:v>
      </x:c>
      <x:c r="G47" s="60" t="n">
        <x:f>IF($D$112=1,G169,G46*G45*'Controls'!$E$15/'Controls'!$E$9)</x:f>
        <x:v>6118.139913929998</x:v>
      </x:c>
      <x:c r="H47" s="60" t="n">
        <x:f>IF($D$112=1,H169,H46*H45*'Controls'!$E$15/'Controls'!$E$9)</x:f>
        <x:v>6772.780884720509</x:v>
      </x:c>
      <x:c r="I47" s="60" t="n">
        <x:f>IF($D$112=1,I169,I46*I45*'Controls'!$E$15/'Controls'!$E$9)</x:f>
        <x:v>7497.468439385601</x:v>
      </x:c>
      <x:c r="J47" s="1"/>
      <x:c r="K47" s="1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</x:row>
    <x:row r="48" ht="25" customHeight="1">
      <x:c r="A48" s="1"/>
      <x:c r="B48" s="1"/>
      <x:c r="C48" s="19" t="str">
        <x:v>INCOME STATEMENT</x:v>
      </x:c>
      <x:c r="D48" s="20"/>
      <x:c r="E48" s="20"/>
      <x:c r="F48" s="20"/>
      <x:c r="G48" s="20"/>
      <x:c r="H48" s="20"/>
      <x:c r="I48" s="20"/>
      <x:c r="J48" s="1"/>
      <x:c r="K48" s="1"/>
      <x:c r="M48" s="82" t="str">
        <x:v>DCF equity value | rows WACC / columns terminal growth</x:v>
      </x:c>
      <x:c r="N48" s="82"/>
      <x:c r="O48" s="82"/>
      <x:c r="P48" s="82"/>
      <x:c r="Q48" s="82"/>
      <x:c r="R48" s="82"/>
      <x:c r="S48" s="63"/>
      <x:c r="T48" s="63"/>
      <x:c r="U48" s="63"/>
      <x:c r="V48" s="63"/>
    </x:row>
    <x:row r="49" ht="18" customHeight="1">
      <x:c r="A49" s="1"/>
      <x:c r="B49" s="1"/>
      <x:c r="C49" s="1" t="str">
        <x:v>Direct cash costs</x:v>
      </x:c>
      <x:c r="D49" s="2"/>
      <x:c r="E49" s="8" t="n">
        <x:f>E47*E21</x:f>
        <x:v>2995.541999999999</x:v>
      </x:c>
      <x:c r="F49" s="8" t="n">
        <x:f>F47*F21</x:f>
        <x:v>3316.064993999999</x:v>
      </x:c>
      <x:c r="G49" s="8" t="n">
        <x:f>G47*G21</x:f>
        <x:v>3670.883948357999</x:v>
      </x:c>
      <x:c r="H49" s="8" t="n">
        <x:f>H47*H21</x:f>
        <x:v>4063.668530832305</x:v>
      </x:c>
      <x:c r="I49" s="8" t="n">
        <x:f>I47*I21</x:f>
        <x:v>4498.4810636313605</x:v>
      </x:c>
      <x:c r="J49" s="1"/>
      <x:c r="K49" s="1"/>
      <x:c r="M49" s="63"/>
      <x:c r="N49" s="70" t="n">
        <x:f>$D$40+-0.01</x:f>
        <x:v>0.03</x:v>
      </x:c>
      <x:c r="O49" s="70" t="n">
        <x:f>$D$40+-0.005</x:f>
        <x:v>0.035</x:v>
      </x:c>
      <x:c r="P49" s="70" t="n">
        <x:f>$D$40+0</x:f>
        <x:v>0.04</x:v>
      </x:c>
      <x:c r="Q49" s="70" t="n">
        <x:f>$D$40+0.005</x:f>
        <x:v>0.045</x:v>
      </x:c>
      <x:c r="R49" s="70" t="n">
        <x:f>$D$40+0.01</x:f>
        <x:v>0.05</x:v>
      </x:c>
      <x:c r="S49" s="63"/>
      <x:c r="T49" s="63"/>
      <x:c r="U49" s="63"/>
      <x:c r="V49" s="63"/>
    </x:row>
    <x:row r="50" ht="18" customHeight="1">
      <x:c r="A50" s="1"/>
      <x:c r="B50" s="1"/>
      <x:c r="C50" s="1" t="str">
        <x:v>Gross profit</x:v>
      </x:c>
      <x:c r="D50" s="2"/>
      <x:c r="E50" s="8" t="n">
        <x:f>E47-E49</x:f>
        <x:v>1997.0279999999998</x:v>
      </x:c>
      <x:c r="F50" s="8" t="n">
        <x:f>F47-F49</x:f>
        <x:v>2210.709995999999</x:v>
      </x:c>
      <x:c r="G50" s="8" t="n">
        <x:f>G47-G49</x:f>
        <x:v>2447.2559655719992</x:v>
      </x:c>
      <x:c r="H50" s="8" t="n">
        <x:f>H47-H49</x:f>
        <x:v>2709.112353888204</x:v>
      </x:c>
      <x:c r="I50" s="8" t="n">
        <x:f>I47-I49</x:f>
        <x:v>2998.987375754241</x:v>
      </x:c>
      <x:c r="J50" s="1"/>
      <x:c r="K50" s="1"/>
      <x:c r="M50" s="70" t="n">
        <x:f>$D$39+-0.02</x:f>
        <x:v>0.09999999999999999</x:v>
      </x:c>
      <x:c r="N50" s="8" t="n">
        <x:f>IF($M50&lt;=N$49,"n/a",IF(N$49&gt;$D$41,"n/a",E77/(1+$M50)^1+F77/(1+$M50)^2+G77/(1+$M50)^3+H77/(1+$M50)^4+I77/(1+$M50)^5+I76*(1+N$49)*(1-N$49/D41)/($M50-N$49)/(1+$M50)^5-D35+D36))</x:f>
        <x:v>12998.26619760612</x:v>
      </x:c>
      <x:c r="O50" s="8" t="n">
        <x:f>IF($M50&lt;=O$49,"n/a",IF(O$49&gt;$D$41,"n/a",E77/(1+$M50)^1+F77/(1+$M50)^2+G77/(1+$M50)^3+H77/(1+$M50)^4+I77/(1+$M50)^5+I76*(1+O$49)*(1-O$49/D41)/($M50-O$49)/(1+$M50)^5-D35+D36))</x:f>
        <x:v>13347.433546305798</x:v>
      </x:c>
      <x:c r="P50" s="8" t="n">
        <x:f>IF($M50&lt;=P$49,"n/a",IF(P$49&gt;$D$41,"n/a",E77/(1+$M50)^1+F77/(1+$M50)^2+G77/(1+$M50)^3+H77/(1+$M50)^4+I77/(1+$M50)^5+I76*(1+P$49)*(1-P$49/D41)/($M50-P$49)/(1+$M50)^5-D35+D36))</x:f>
        <x:v>13750.34901753132</x:v>
      </x:c>
      <x:c r="Q50" s="8" t="n">
        <x:f>IF($M50&lt;=Q$49,"n/a",IF(Q$49&gt;$D$41,"n/a",E77/(1+$M50)^1+F77/(1+$M50)^2+G77/(1+$M50)^3+H77/(1+$M50)^4+I77/(1+$M50)^5+I76*(1+Q$49)*(1-Q$49/D41)/($M50-Q$49)/(1+$M50)^5-D35+D36))</x:f>
        <x:v>14221.67119015336</x:v>
      </x:c>
      <x:c r="R50" s="8" t="n">
        <x:f>IF($M50&lt;=R$49,"n/a",IF(R$49&gt;$D$41,"n/a",E77/(1+$M50)^1+F77/(1+$M50)^2+G77/(1+$M50)^3+H77/(1+$M50)^4+I77/(1+$M50)^5+I76*(1+R$49)*(1-R$49/D41)/($M50-R$49)/(1+$M50)^5-D35+D36))</x:f>
        <x:v>14781.922074590879</x:v>
      </x:c>
      <x:c r="S50" s="63"/>
      <x:c r="T50" s="63"/>
      <x:c r="U50" s="63"/>
      <x:c r="V50" s="63"/>
    </x:row>
    <x:row r="51" ht="18" customHeight="1">
      <x:c r="A51" s="1"/>
      <x:c r="B51" s="1"/>
      <x:c r="C51" s="1" t="str">
        <x:v>Other cash operating costs</x:v>
      </x:c>
      <x:c r="D51" s="2"/>
      <x:c r="E51" s="8" t="n">
        <x:f>E47*E22</x:f>
        <x:v>748.8854999999998</x:v>
      </x:c>
      <x:c r="F51" s="8" t="n">
        <x:f>F47*F22</x:f>
        <x:v>829.0162484999997</x:v>
      </x:c>
      <x:c r="G51" s="8" t="n">
        <x:f>G47*G22</x:f>
        <x:v>917.7209870894998</x:v>
      </x:c>
      <x:c r="H51" s="8" t="n">
        <x:f>H47*H22</x:f>
        <x:v>1015.9171327080762</x:v>
      </x:c>
      <x:c r="I51" s="8" t="n">
        <x:f>I47*I22</x:f>
        <x:v>1124.6202659078401</x:v>
      </x:c>
      <x:c r="J51" s="1"/>
      <x:c r="K51" s="1"/>
      <x:c r="M51" s="70" t="n">
        <x:f>$D$39+-0.01</x:f>
        <x:v>0.11</x:v>
      </x:c>
      <x:c r="N51" s="8" t="n">
        <x:f>IF($M51&lt;=N$49,"n/a",IF(N$49&gt;$D$41,"n/a",E77/(1+$M51)^1+F77/(1+$M51)^2+G77/(1+$M51)^3+H77/(1+$M51)^4+I77/(1+$M51)^5+I76*(1+N$49)*(1-N$49/D41)/($M51-N$49)/(1+$M51)^5-D35+D36))</x:f>
        <x:v>11367.946031042022</x:v>
      </x:c>
      <x:c r="O51" s="8" t="n">
        <x:f>IF($M51&lt;=O$49,"n/a",IF(O$49&gt;$D$41,"n/a",E77/(1+$M51)^1+F77/(1+$M51)^2+G77/(1+$M51)^3+H77/(1+$M51)^4+I77/(1+$M51)^5+I76*(1+O$49)*(1-O$49/D41)/($M51-O$49)/(1+$M51)^5-D35+D36))</x:f>
        <x:v>11582.132027926364</x:v>
      </x:c>
      <x:c r="P51" s="8" t="n">
        <x:f>IF($M51&lt;=P$49,"n/a",IF(P$49&gt;$D$41,"n/a",E77/(1+$M51)^1+F77/(1+$M51)^2+G77/(1+$M51)^3+H77/(1+$M51)^4+I77/(1+$M51)^5+I76*(1+P$49)*(1-P$49/D41)/($M51-P$49)/(1+$M51)^5-D35+D36))</x:f>
        <x:v>11823.273405370986</x:v>
      </x:c>
      <x:c r="Q51" s="8" t="n">
        <x:f>IF($M51&lt;=Q$49,"n/a",IF(Q$49&gt;$D$41,"n/a",E77/(1+$M51)^1+F77/(1+$M51)^2+G77/(1+$M51)^3+H77/(1+$M51)^4+I77/(1+$M51)^5+I76*(1+Q$49)*(1-Q$49/D41)/($M51-Q$49)/(1+$M51)^5-D35+D36))</x:f>
        <x:v>12097.590635812863</x:v>
      </x:c>
      <x:c r="R51" s="8" t="n">
        <x:f>IF($M51&lt;=R$49,"n/a",IF(R$49&gt;$D$41,"n/a",E77/(1+$M51)^1+F77/(1+$M51)^2+G77/(1+$M51)^3+H77/(1+$M51)^4+I77/(1+$M51)^5+I76*(1+R$49)*(1-R$49/D41)/($M51-R$49)/(1+$M51)^5-D35+D36))</x:f>
        <x:v>12413.377682501323</x:v>
      </x:c>
      <x:c r="S51" s="63"/>
      <x:c r="T51" s="63"/>
      <x:c r="U51" s="63"/>
      <x:c r="V51" s="63"/>
    </x:row>
    <x:row r="52" ht="18" customHeight="1">
      <x:c r="A52" s="1"/>
      <x:c r="B52" s="1"/>
      <x:c r="C52" s="38" t="str">
        <x:v>EBITDA</x:v>
      </x:c>
      <x:c r="D52" s="39"/>
      <x:c r="E52" s="41" t="n">
        <x:f>E50-E51</x:f>
        <x:v>1248.1425</x:v>
      </x:c>
      <x:c r="F52" s="41" t="n">
        <x:f>F50-F51</x:f>
        <x:v>1381.6937474999995</x:v>
      </x:c>
      <x:c r="G52" s="41" t="n">
        <x:f>G50-G51</x:f>
        <x:v>1529.5349784824994</x:v>
      </x:c>
      <x:c r="H52" s="41" t="n">
        <x:f>H50-H51</x:f>
        <x:v>1693.1952211801276</x:v>
      </x:c>
      <x:c r="I52" s="41" t="n">
        <x:f>I50-I51</x:f>
        <x:v>1874.3671098464008</x:v>
      </x:c>
      <x:c r="J52" s="1"/>
      <x:c r="K52" s="1"/>
      <x:c r="M52" s="70" t="n">
        <x:f>$D$39+0</x:f>
        <x:v>0.12</x:v>
      </x:c>
      <x:c r="N52" s="8" t="n">
        <x:f>IF($M52&lt;=N$49,"n/a",IF(N$49&gt;$D$41,"n/a",E77/(1+$M52)^1+F77/(1+$M52)^2+G77/(1+$M52)^3+H77/(1+$M52)^4+I77/(1+$M52)^5+I76*(1+N$49)*(1-N$49/D41)/($M52-N$49)/(1+$M52)^5-D35+D36))</x:f>
        <x:v>10101.054418761589</x:v>
      </x:c>
      <x:c r="O52" s="8" t="n">
        <x:f>IF($M52&lt;=O$49,"n/a",IF(O$49&gt;$D$41,"n/a",E77/(1+$M52)^1+F77/(1+$M52)^2+G77/(1+$M52)^3+H77/(1+$M52)^4+I77/(1+$M52)^5+I76*(1+O$49)*(1-O$49/D41)/($M52-O$49)/(1+$M52)^5-D35+D36))</x:f>
        <x:v>10232.516070987245</x:v>
      </x:c>
      <x:c r="P52" s="8" t="n">
        <x:f>IF($M52&lt;=P$49,"n/a",IF(P$49&gt;$D$41,"n/a",E77/(1+$M52)^1+F77/(1+$M52)^2+G77/(1+$M52)^3+H77/(1+$M52)^4+I77/(1+$M52)^5+I76*(1+P$49)*(1-P$49/D41)/($M52-P$49)/(1+$M52)^5-D35+D36))</x:f>
        <x:v>10377.362909621339</x:v>
      </x:c>
      <x:c r="Q52" s="8" t="n">
        <x:f>IF($M52&lt;=Q$49,"n/a",IF(Q$49&gt;$D$41,"n/a",E77/(1+$M52)^1+F77/(1+$M52)^2+G77/(1+$M52)^3+H77/(1+$M52)^4+I77/(1+$M52)^5+I76*(1+Q$49)*(1-Q$49/D41)/($M52-Q$49)/(1+$M52)^5-D35+D36))</x:f>
        <x:v>10538.271971945544</x:v>
      </x:c>
      <x:c r="R52" s="8" t="n">
        <x:f>IF($M52&lt;=R$49,"n/a",IF(R$49&gt;$D$41,"n/a",E77/(1+$M52)^1+F77/(1+$M52)^2+G77/(1+$M52)^3+H77/(1+$M52)^4+I77/(1+$M52)^5+I76*(1+R$49)*(1-R$49/D41)/($M52-R$49)/(1+$M52)^5-D35+D36))</x:f>
        <x:v>10718.68516303632</x:v>
      </x:c>
      <x:c r="S52" s="63"/>
      <x:c r="T52" s="63"/>
      <x:c r="U52" s="63"/>
      <x:c r="V52" s="63"/>
    </x:row>
    <x:row r="53" ht="18" customHeight="1">
      <x:c r="A53" s="1"/>
      <x:c r="B53" s="1"/>
      <x:c r="C53" s="1" t="str">
        <x:v>Depreciation and amortization</x:v>
      </x:c>
      <x:c r="D53" s="2"/>
      <x:c r="E53" s="8" t="n">
        <x:f>E134</x:f>
        <x:v>90</x:v>
      </x:c>
      <x:c r="F53" s="8" t="n">
        <x:f>F134</x:f>
        <x:v>105.25319099999997</x:v>
      </x:c>
      <x:c r="G53" s="8" t="n">
        <x:f>G134</x:f>
        <x:v>121.12629905699997</x:v>
      </x:c>
      <x:c r="H53" s="8" t="n">
        <x:f>H134</x:f>
        <x:v>137.86784668449897</x:v>
      </x:c>
      <x:c r="I53" s="8" t="n">
        <x:f>I134</x:f>
        <x:v>155.72015385502837</x:v>
      </x:c>
      <x:c r="J53" s="1"/>
      <x:c r="K53" s="1"/>
      <x:c r="M53" s="70" t="n">
        <x:f>$D$39+0.01</x:f>
        <x:v>0.13</x:v>
      </x:c>
      <x:c r="N53" s="8" t="n">
        <x:f>IF($M53&lt;=N$49,"n/a",IF(N$49&gt;$D$41,"n/a",E77/(1+$M53)^1+F77/(1+$M53)^2+G77/(1+$M53)^3+H77/(1+$M53)^4+I77/(1+$M53)^5+I76*(1+N$49)*(1-N$49/D41)/($M53-N$49)/(1+$M53)^5-D35+D36))</x:f>
        <x:v>9088.524745535706</x:v>
      </x:c>
      <x:c r="O53" s="8" t="n">
        <x:f>IF($M53&lt;=O$49,"n/a",IF(O$49&gt;$D$41,"n/a",E77/(1+$M53)^1+F77/(1+$M53)^2+G77/(1+$M53)^3+H77/(1+$M53)^4+I77/(1+$M53)^5+I76*(1+O$49)*(1-O$49/D41)/($M53-O$49)/(1+$M53)^5-D35+D36))</x:f>
        <x:v>9167.3228719832</x:v>
      </x:c>
      <x:c r="P53" s="8" t="n">
        <x:f>IF($M53&lt;=P$49,"n/a",IF(P$49&gt;$D$41,"n/a",E77/(1+$M53)^1+F77/(1+$M53)^2+G77/(1+$M53)^3+H77/(1+$M53)^4+I77/(1+$M53)^5+I76*(1+P$49)*(1-P$49/D41)/($M53-P$49)/(1+$M53)^5-D35+D36))</x:f>
        <x:v>9252.285199391978</x:v>
      </x:c>
      <x:c r="Q53" s="8" t="n">
        <x:f>IF($M53&lt;=Q$49,"n/a",IF(Q$49&gt;$D$41,"n/a",E77/(1+$M53)^1+F77/(1+$M53)^2+G77/(1+$M53)^3+H77/(1+$M53)^4+I77/(1+$M53)^5+I76*(1+Q$49)*(1-Q$49/D41)/($M53-Q$49)/(1+$M53)^5-D35+D36))</x:f>
        <x:v>9344.499527931668</x:v>
      </x:c>
      <x:c r="R53" s="8" t="n">
        <x:f>IF($M53&lt;=R$49,"n/a",IF(R$49&gt;$D$41,"n/a",E77/(1+$M53)^1+F77/(1+$M53)^2+G77/(1+$M53)^3+H77/(1+$M53)^4+I77/(1+$M53)^5+I76*(1+R$49)*(1-R$49/D41)/($M53-R$49)/(1+$M53)^5-D35+D36))</x:f>
        <x:v>9445.325607814322</x:v>
      </x:c>
      <x:c r="S53" s="63"/>
      <x:c r="T53" s="63"/>
      <x:c r="U53" s="63"/>
      <x:c r="V53" s="63"/>
    </x:row>
    <x:row r="54" ht="18" customHeight="1">
      <x:c r="A54" s="1"/>
      <x:c r="B54" s="1"/>
      <x:c r="C54" s="1" t="str">
        <x:v>EBIT</x:v>
      </x:c>
      <x:c r="D54" s="2"/>
      <x:c r="E54" s="8" t="n">
        <x:f>E52-E53</x:f>
        <x:v>1158.1425</x:v>
      </x:c>
      <x:c r="F54" s="8" t="n">
        <x:f>F52-F53</x:f>
        <x:v>1276.4405564999995</x:v>
      </x:c>
      <x:c r="G54" s="8" t="n">
        <x:f>G52-G53</x:f>
        <x:v>1408.4086794254995</x:v>
      </x:c>
      <x:c r="H54" s="8" t="n">
        <x:f>H52-H53</x:f>
        <x:v>1555.3273744956286</x:v>
      </x:c>
      <x:c r="I54" s="8" t="n">
        <x:f>I52-I53</x:f>
        <x:v>1718.6469559913724</x:v>
      </x:c>
      <x:c r="J54" s="1"/>
      <x:c r="K54" s="1"/>
      <x:c r="M54" s="70" t="n">
        <x:f>$D$39+0.02</x:f>
        <x:v>0.13999999999999999</x:v>
      </x:c>
      <x:c r="N54" s="8" t="n">
        <x:f>IF($M54&lt;=N$49,"n/a",IF(N$49&gt;$D$41,"n/a",E77/(1+$M54)^1+F77/(1+$M54)^2+G77/(1+$M54)^3+H77/(1+$M54)^4+I77/(1+$M54)^5+I76*(1+N$49)*(1-N$49/D41)/($M54-N$49)/(1+$M54)^5-D35+D36))</x:f>
        <x:v>8260.952458883497</x:v>
      </x:c>
      <x:c r="O54" s="8" t="n">
        <x:f>IF($M54&lt;=O$49,"n/a",IF(O$49&gt;$D$41,"n/a",E77/(1+$M54)^1+F77/(1+$M54)^2+G77/(1+$M54)^3+H77/(1+$M54)^4+I77/(1+$M54)^5+I76*(1+O$49)*(1-O$49/D41)/($M54-O$49)/(1+$M54)^5-D35+D36))</x:f>
        <x:v>8305.293218697785</x:v>
      </x:c>
      <x:c r="P54" s="8" t="n">
        <x:f>IF($M54&lt;=P$49,"n/a",IF(P$49&gt;$D$41,"n/a",E77/(1+$M54)^1+F77/(1+$M54)^2+G77/(1+$M54)^3+H77/(1+$M54)^4+I77/(1+$M54)^5+I76*(1+P$49)*(1-P$49/D41)/($M54-P$49)/(1+$M54)^5-D35+D36))</x:f>
        <x:v>8351.836526058409</x:v>
      </x:c>
      <x:c r="Q54" s="8" t="n">
        <x:f>IF($M54&lt;=Q$49,"n/a",IF(Q$49&gt;$D$41,"n/a",E77/(1+$M54)^1+F77/(1+$M54)^2+G77/(1+$M54)^3+H77/(1+$M54)^4+I77/(1+$M54)^5+I76*(1+Q$49)*(1-Q$49/D41)/($M54-Q$49)/(1+$M54)^5-D35+D36))</x:f>
        <x:v>8400.930151630568</x:v>
      </x:c>
      <x:c r="R54" s="8" t="n">
        <x:f>IF($M54&lt;=R$49,"n/a",IF(R$49&gt;$D$41,"n/a",E77/(1+$M54)^1+F77/(1+$M54)^2+G77/(1+$M54)^3+H77/(1+$M54)^4+I77/(1+$M54)^5+I76*(1+R$49)*(1-R$49/D41)/($M54-R$49)/(1+$M54)^5-D35+D36))</x:f>
        <x:v>8452.99914844953</x:v>
      </x:c>
      <x:c r="S54" s="63"/>
      <x:c r="T54" s="63"/>
      <x:c r="U54" s="63"/>
      <x:c r="V54" s="63"/>
    </x:row>
    <x:row r="55" ht="18" customHeight="1">
      <x:c r="A55" s="1"/>
      <x:c r="B55" s="1"/>
      <x:c r="C55" s="1" t="str">
        <x:v>Interest expense</x:v>
      </x:c>
      <x:c r="D55" s="2"/>
      <x:c r="E55" s="8" t="n">
        <x:f>E125</x:f>
        <x:v>8.5</x:v>
      </x:c>
      <x:c r="F55" s="8" t="n">
        <x:f>F125</x:f>
        <x:v>7.65</x:v>
      </x:c>
      <x:c r="G55" s="8" t="n">
        <x:f>G125</x:f>
        <x:v>6.800000000000001</x:v>
      </x:c>
      <x:c r="H55" s="8" t="n">
        <x:f>H125</x:f>
        <x:v>5.95</x:v>
      </x:c>
      <x:c r="I55" s="8" t="n">
        <x:f>I125</x:f>
        <x:v>5.1000000000000005</x:v>
      </x:c>
      <x:c r="J55" s="1"/>
      <x:c r="K55" s="1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</x:row>
    <x:row r="56" ht="18" customHeight="1">
      <x:c r="A56" s="1"/>
      <x:c r="B56" s="1"/>
      <x:c r="C56" s="1" t="str">
        <x:v>Profit before tax</x:v>
      </x:c>
      <x:c r="D56" s="2"/>
      <x:c r="E56" s="8" t="n">
        <x:f>E54-E55</x:f>
        <x:v>1149.6425</x:v>
      </x:c>
      <x:c r="F56" s="8" t="n">
        <x:f>F54-F55</x:f>
        <x:v>1268.7905564999994</x:v>
      </x:c>
      <x:c r="G56" s="8" t="n">
        <x:f>G54-G55</x:f>
        <x:v>1401.6086794254995</x:v>
      </x:c>
      <x:c r="H56" s="8" t="n">
        <x:f>H54-H55</x:f>
        <x:v>1549.3773744956286</x:v>
      </x:c>
      <x:c r="I56" s="8" t="n">
        <x:f>I54-I55</x:f>
        <x:v>1713.5469559913724</x:v>
      </x:c>
      <x:c r="J56" s="1"/>
      <x:c r="K56" s="1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</x:row>
    <x:row r="57" ht="18" customHeight="1">
      <x:c r="A57" s="1"/>
      <x:c r="B57" s="1"/>
      <x:c r="C57" s="1" t="str">
        <x:v>Cash income tax</x:v>
      </x:c>
      <x:c r="D57" s="2"/>
      <x:c r="E57" s="8" t="n">
        <x:f>E144</x:f>
        <x:v>287.410625</x:v>
      </x:c>
      <x:c r="F57" s="8" t="n">
        <x:f>F144</x:f>
        <x:v>317.19763912499985</x:v>
      </x:c>
      <x:c r="G57" s="8" t="n">
        <x:f>G144</x:f>
        <x:v>350.4021698563749</x:v>
      </x:c>
      <x:c r="H57" s="8" t="n">
        <x:f>H144</x:f>
        <x:v>387.34434362390715</x:v>
      </x:c>
      <x:c r="I57" s="8" t="n">
        <x:f>I144</x:f>
        <x:v>428.3867389978431</x:v>
      </x:c>
      <x:c r="J57" s="1"/>
      <x:c r="K57" s="1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</x:row>
    <x:row r="58" ht="25" customHeight="1">
      <x:c r="A58" s="1"/>
      <x:c r="B58" s="1"/>
      <x:c r="C58" s="38" t="str">
        <x:v>Profit after tax</x:v>
      </x:c>
      <x:c r="D58" s="39"/>
      <x:c r="E58" s="41" t="n">
        <x:f>E56-E57</x:f>
        <x:v>862.231875</x:v>
      </x:c>
      <x:c r="F58" s="41" t="n">
        <x:f>F56-F57</x:f>
        <x:v>951.5929173749996</x:v>
      </x:c>
      <x:c r="G58" s="41" t="n">
        <x:f>G56-G57</x:f>
        <x:v>1051.2065095691246</x:v>
      </x:c>
      <x:c r="H58" s="41" t="n">
        <x:f>H56-H57</x:f>
        <x:v>1162.0330308717214</x:v>
      </x:c>
      <x:c r="I58" s="41" t="n">
        <x:f>I56-I57</x:f>
        <x:v>1285.1602169935293</x:v>
      </x:c>
      <x:c r="J58" s="1"/>
      <x:c r="K58" s="1"/>
      <x:c r="M58" s="82" t="str">
        <x:v>Forward equity value | rows EBITDA / columns EV/EBITDA</x:v>
      </x:c>
      <x:c r="N58" s="82"/>
      <x:c r="O58" s="82"/>
      <x:c r="P58" s="82"/>
      <x:c r="Q58" s="82"/>
      <x:c r="R58" s="82"/>
      <x:c r="S58" s="63"/>
      <x:c r="T58" s="63"/>
      <x:c r="U58" s="63"/>
      <x:c r="V58" s="63"/>
    </x:row>
    <x:row r="59" ht="18" customHeight="1">
      <x:c r="A59" s="1"/>
      <x:c r="B59" s="1"/>
      <x:c r="C59" s="19" t="str">
        <x:v>WORKING CAPITAL AND ASSET SCHEDULES</x:v>
      </x:c>
      <x:c r="D59" s="20"/>
      <x:c r="E59" s="20"/>
      <x:c r="F59" s="20"/>
      <x:c r="G59" s="20"/>
      <x:c r="H59" s="20"/>
      <x:c r="I59" s="20"/>
      <x:c r="J59" s="1"/>
      <x:c r="K59" s="1"/>
      <x:c r="M59" s="63"/>
      <x:c r="N59" s="78" t="n">
        <x:f>MAX(0,D42+-2)</x:f>
        <x:v>14</x:v>
      </x:c>
      <x:c r="O59" s="78" t="n">
        <x:f>MAX(0,D42+-1)</x:f>
        <x:v>15</x:v>
      </x:c>
      <x:c r="P59" s="78" t="n">
        <x:f>MAX(0,D42+0)</x:f>
        <x:v>16</x:v>
      </x:c>
      <x:c r="Q59" s="78" t="n">
        <x:f>MAX(0,D42+1)</x:f>
        <x:v>17</x:v>
      </x:c>
      <x:c r="R59" s="78" t="n">
        <x:f>MAX(0,D42+2)</x:f>
        <x:v>18</x:v>
      </x:c>
      <x:c r="S59" s="63"/>
      <x:c r="T59" s="63"/>
      <x:c r="U59" s="63"/>
      <x:c r="V59" s="63"/>
    </x:row>
    <x:row r="60" ht="18" customHeight="1">
      <x:c r="A60" s="1"/>
      <x:c r="B60" s="1"/>
      <x:c r="C60" s="1" t="str">
        <x:v>Trade receivables</x:v>
      </x:c>
      <x:c r="D60" s="2"/>
      <x:c r="E60" s="10" t="n">
        <x:f>E47*E25/'Controls'!$E$11</x:f>
        <x:v>889.0878082191779</x:v>
      </x:c>
      <x:c r="F60" s="10" t="n">
        <x:f>F47*F25/'Controls'!$E$11</x:f>
        <x:v>984.2202036986298</x:v>
      </x:c>
      <x:c r="G60" s="10" t="n">
        <x:f>G47*G25/'Controls'!$E$11</x:f>
        <x:v>1089.5317654943833</x:v>
      </x:c>
      <x:c r="H60" s="10" t="n">
        <x:f>H47*H25/'Controls'!$E$11</x:f>
        <x:v>1206.1116644022823</x:v>
      </x:c>
      <x:c r="I60" s="10" t="n">
        <x:f>I47*I25/'Controls'!$E$11</x:f>
        <x:v>1335.1656124933263</x:v>
      </x:c>
      <x:c r="J60" s="1"/>
      <x:c r="K60" s="1"/>
      <x:c r="M60" s="8" t="n">
        <x:f>E52*0.8</x:f>
        <x:v>998.514</x:v>
      </x:c>
      <x:c r="N60" s="8" t="n">
        <x:f>$M60*N$59-D35+D36</x:f>
        <x:v>14279.196</x:v>
      </x:c>
      <x:c r="O60" s="8" t="n">
        <x:f>$M60*O$59-D35+D36</x:f>
        <x:v>15277.710000000001</x:v>
      </x:c>
      <x:c r="P60" s="8" t="n">
        <x:f>$M60*P$59-D35+D36</x:f>
        <x:v>16276.224</x:v>
      </x:c>
      <x:c r="Q60" s="8" t="n">
        <x:f>$M60*Q$59-D35+D36</x:f>
        <x:v>17274.738</x:v>
      </x:c>
      <x:c r="R60" s="8" t="n">
        <x:f>$M60*R$59-D35+D36</x:f>
        <x:v>18273.252</x:v>
      </x:c>
      <x:c r="S60" s="63"/>
      <x:c r="T60" s="63"/>
      <x:c r="U60" s="63"/>
      <x:c r="V60" s="63"/>
    </x:row>
    <x:row r="61" ht="18" customHeight="1">
      <x:c r="A61" s="1"/>
      <x:c r="B61" s="1"/>
      <x:c r="C61" s="1" t="str">
        <x:v>Inventory</x:v>
      </x:c>
      <x:c r="D61" s="2"/>
      <x:c r="E61" s="10" t="n">
        <x:f>E49*E26/'Controls'!$E$11</x:f>
        <x:v>0</x:v>
      </x:c>
      <x:c r="F61" s="10" t="n">
        <x:f>F49*F26/'Controls'!$E$11</x:f>
        <x:v>0</x:v>
      </x:c>
      <x:c r="G61" s="10" t="n">
        <x:f>G49*G26/'Controls'!$E$11</x:f>
        <x:v>0</x:v>
      </x:c>
      <x:c r="H61" s="10" t="n">
        <x:f>H49*H26/'Controls'!$E$11</x:f>
        <x:v>0</x:v>
      </x:c>
      <x:c r="I61" s="10" t="n">
        <x:f>I49*I26/'Controls'!$E$11</x:f>
        <x:v>0</x:v>
      </x:c>
      <x:c r="J61" s="1"/>
      <x:c r="K61" s="1"/>
      <x:c r="M61" s="8" t="n">
        <x:f>E52*0.9</x:f>
        <x:v>1123.32825</x:v>
      </x:c>
      <x:c r="N61" s="8" t="n">
        <x:f>$M61*N$59-D35+D36</x:f>
        <x:v>16026.5955</x:v>
      </x:c>
      <x:c r="O61" s="8" t="n">
        <x:f>$M61*O$59-D35+D36</x:f>
        <x:v>17149.92375</x:v>
      </x:c>
      <x:c r="P61" s="8" t="n">
        <x:f>$M61*P$59-D35+D36</x:f>
        <x:v>18273.252</x:v>
      </x:c>
      <x:c r="Q61" s="8" t="n">
        <x:f>$M61*Q$59-D35+D36</x:f>
        <x:v>19396.58025</x:v>
      </x:c>
      <x:c r="R61" s="8" t="n">
        <x:f>$M61*R$59-D35+D36</x:f>
        <x:v>20519.9085</x:v>
      </x:c>
      <x:c r="S61" s="63"/>
      <x:c r="T61" s="63"/>
      <x:c r="U61" s="63"/>
      <x:c r="V61" s="63"/>
    </x:row>
    <x:row r="62" ht="18" customHeight="1">
      <x:c r="A62" s="1"/>
      <x:c r="B62" s="1"/>
      <x:c r="C62" s="1" t="str">
        <x:v>Trade payables</x:v>
      </x:c>
      <x:c r="D62" s="2"/>
      <x:c r="E62" s="10" t="n">
        <x:f>E49*E27/'Controls'!$E$11</x:f>
        <x:v>123.1044657534246</x:v>
      </x:c>
      <x:c r="F62" s="10" t="n">
        <x:f>F49*F27/'Controls'!$E$11</x:f>
        <x:v>136.27664358904104</x:v>
      </x:c>
      <x:c r="G62" s="10" t="n">
        <x:f>G49*G27/'Controls'!$E$11</x:f>
        <x:v>150.85824445306844</x:v>
      </x:c>
      <x:c r="H62" s="10" t="n">
        <x:f>H49*H27/'Controls'!$E$11</x:f>
        <x:v>167.00007660954677</x:v>
      </x:c>
      <x:c r="I62" s="10" t="n">
        <x:f>I49*I27/'Controls'!$E$11</x:f>
        <x:v>184.86908480676823</x:v>
      </x:c>
      <x:c r="J62" s="1"/>
      <x:c r="K62" s="1"/>
      <x:c r="M62" s="8" t="n">
        <x:f>E52*1</x:f>
        <x:v>1248.1425</x:v>
      </x:c>
      <x:c r="N62" s="8" t="n">
        <x:f>$M62*N$59-D35+D36</x:f>
        <x:v>17773.995</x:v>
      </x:c>
      <x:c r="O62" s="8" t="n">
        <x:f>$M62*O$59-D35+D36</x:f>
        <x:v>19022.137499999997</x:v>
      </x:c>
      <x:c r="P62" s="8" t="n">
        <x:f>$M62*P$59-D35+D36</x:f>
        <x:v>20270.28</x:v>
      </x:c>
      <x:c r="Q62" s="8" t="n">
        <x:f>$M62*Q$59-D35+D36</x:f>
        <x:v>21518.4225</x:v>
      </x:c>
      <x:c r="R62" s="8" t="n">
        <x:f>$M62*R$59-D35+D36</x:f>
        <x:v>22766.565</x:v>
      </x:c>
      <x:c r="S62" s="63"/>
      <x:c r="T62" s="63"/>
      <x:c r="U62" s="63"/>
      <x:c r="V62" s="63"/>
    </x:row>
    <x:row r="63" ht="18" customHeight="1">
      <x:c r="A63" s="1"/>
      <x:c r="B63" s="1"/>
      <x:c r="C63" s="1" t="str">
        <x:v>Net working capital</x:v>
      </x:c>
      <x:c r="D63" s="2"/>
      <x:c r="E63" s="8" t="n">
        <x:f>E60+E61-E62</x:f>
        <x:v>765.9833424657533</x:v>
      </x:c>
      <x:c r="F63" s="8" t="n">
        <x:f>F60+F61-F62</x:f>
        <x:v>847.9435601095888</x:v>
      </x:c>
      <x:c r="G63" s="8" t="n">
        <x:f>G60+G61-G62</x:f>
        <x:v>938.6735210413149</x:v>
      </x:c>
      <x:c r="H63" s="8" t="n">
        <x:f>H60+H61-H62</x:f>
        <x:v>1039.1115877927355</x:v>
      </x:c>
      <x:c r="I63" s="8" t="n">
        <x:f>I60+I61-I62</x:f>
        <x:v>1150.296527686558</x:v>
      </x:c>
      <x:c r="J63" s="1"/>
      <x:c r="K63" s="1"/>
      <x:c r="M63" s="8" t="n">
        <x:f>E52*1.1</x:f>
        <x:v>1372.95675</x:v>
      </x:c>
      <x:c r="N63" s="8" t="n">
        <x:f>$M63*N$59-D35+D36</x:f>
        <x:v>19521.394500000002</x:v>
      </x:c>
      <x:c r="O63" s="8" t="n">
        <x:f>$M63*O$59-D35+D36</x:f>
        <x:v>20894.35125</x:v>
      </x:c>
      <x:c r="P63" s="8" t="n">
        <x:f>$M63*P$59-D35+D36</x:f>
        <x:v>22267.308</x:v>
      </x:c>
      <x:c r="Q63" s="8" t="n">
        <x:f>$M63*Q$59-D35+D36</x:f>
        <x:v>23640.264750000002</x:v>
      </x:c>
      <x:c r="R63" s="8" t="n">
        <x:f>$M63*R$59-D35+D36</x:f>
        <x:v>25013.2215</x:v>
      </x:c>
      <x:c r="S63" s="63"/>
      <x:c r="T63" s="63"/>
      <x:c r="U63" s="63"/>
      <x:c r="V63" s="63"/>
    </x:row>
    <x:row r="64" ht="18" customHeight="1">
      <x:c r="A64" s="1"/>
      <x:c r="B64" s="1"/>
      <x:c r="C64" s="1" t="str">
        <x:v>Increase in net working capital</x:v>
      </x:c>
      <x:c r="D64" s="2"/>
      <x:c r="E64" s="8" t="n">
        <x:f>E63-$D37</x:f>
        <x:v>74.0381369863012</x:v>
      </x:c>
      <x:c r="F64" s="8" t="n">
        <x:f>F63-E63</x:f>
        <x:v>81.96021764383556</x:v>
      </x:c>
      <x:c r="G64" s="8" t="n">
        <x:f>G63-F63</x:f>
        <x:v>90.72996093172605</x:v>
      </x:c>
      <x:c r="H64" s="8" t="n">
        <x:f>H63-G63</x:f>
        <x:v>100.43806675142059</x:v>
      </x:c>
      <x:c r="I64" s="8" t="n">
        <x:f>I63-H63</x:f>
        <x:v>111.1849398938225</x:v>
      </x:c>
      <x:c r="J64" s="1"/>
      <x:c r="K64" s="1"/>
      <x:c r="M64" s="8" t="n">
        <x:f>E52*1.2</x:f>
        <x:v>1497.771</x:v>
      </x:c>
      <x:c r="N64" s="8" t="n">
        <x:f>$M64*N$59-D35+D36</x:f>
        <x:v>21268.793999999998</x:v>
      </x:c>
      <x:c r="O64" s="8" t="n">
        <x:f>$M64*O$59-D35+D36</x:f>
        <x:v>22766.565</x:v>
      </x:c>
      <x:c r="P64" s="8" t="n">
        <x:f>$M64*P$59-D35+D36</x:f>
        <x:v>24264.336</x:v>
      </x:c>
      <x:c r="Q64" s="8" t="n">
        <x:f>$M64*Q$59-D35+D36</x:f>
        <x:v>25762.107</x:v>
      </x:c>
      <x:c r="R64" s="8" t="n">
        <x:f>$M64*R$59-D35+D36</x:f>
        <x:v>27259.878</x:v>
      </x:c>
      <x:c r="S64" s="63"/>
      <x:c r="T64" s="63"/>
      <x:c r="U64" s="63"/>
      <x:c r="V64" s="63"/>
    </x:row>
    <x:row r="65" ht="18" customHeight="1">
      <x:c r="A65" s="1"/>
      <x:c r="B65" s="1"/>
      <x:c r="C65" s="1" t="str">
        <x:v>Capital expenditure</x:v>
      </x:c>
      <x:c r="D65" s="2"/>
      <x:c r="E65" s="8" t="n">
        <x:f>E47*E23</x:f>
        <x:v>174.73994999999996</x:v>
      </x:c>
      <x:c r="F65" s="8" t="n">
        <x:f>F47*F23</x:f>
        <x:v>193.43712464999996</x:v>
      </x:c>
      <x:c r="G65" s="8" t="n">
        <x:f>G47*G23</x:f>
        <x:v>214.13489698754995</x:v>
      </x:c>
      <x:c r="H65" s="8" t="n">
        <x:f>H47*H23</x:f>
        <x:v>237.04733096521784</x:v>
      </x:c>
      <x:c r="I65" s="8" t="n">
        <x:f>I47*I23</x:f>
        <x:v>262.4113953784961</x:v>
      </x:c>
      <x:c r="J65" s="1"/>
      <x:c r="K65" s="1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</x:row>
    <x:row r="66" ht="18" customHeight="1">
      <x:c r="A66" s="1"/>
      <x:c r="B66" s="1"/>
      <x:c r="C66" s="1" t="str">
        <x:v>Closing net PP&amp;E</x:v>
      </x:c>
      <x:c r="D66" s="2"/>
      <x:c r="E66" s="8" t="n">
        <x:f>E135</x:f>
        <x:v>584.7399499999999</x:v>
      </x:c>
      <x:c r="F66" s="8" t="n">
        <x:f>F135</x:f>
        <x:v>672.9238836499999</x:v>
      </x:c>
      <x:c r="G66" s="8" t="n">
        <x:f>G135</x:f>
        <x:v>765.9324815805498</x:v>
      </x:c>
      <x:c r="H66" s="8" t="n">
        <x:f>H135</x:f>
        <x:v>865.1119658612687</x:v>
      </x:c>
      <x:c r="I66" s="8" t="n">
        <x:f>I135</x:f>
        <x:v>971.8032073847363</x:v>
      </x:c>
      <x:c r="J66" s="1"/>
      <x:c r="K66" s="1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</x:row>
    <x:row r="67" ht="18" customHeight="1">
      <x:c r="A67" s="1"/>
      <x:c r="B67" s="1"/>
      <x:c r="C67" s="1" t="str">
        <x:v>Closing debt</x:v>
      </x:c>
      <x:c r="D67" s="2"/>
      <x:c r="E67" s="8" t="n">
        <x:f>E123</x:f>
        <x:v>90</x:v>
      </x:c>
      <x:c r="F67" s="8" t="n">
        <x:f>F123</x:f>
        <x:v>80</x:v>
      </x:c>
      <x:c r="G67" s="8" t="n">
        <x:f>G123</x:f>
        <x:v>70</x:v>
      </x:c>
      <x:c r="H67" s="8" t="n">
        <x:f>H123</x:f>
        <x:v>60</x:v>
      </x:c>
      <x:c r="I67" s="8" t="n">
        <x:f>I123</x:f>
        <x:v>50</x:v>
      </x:c>
      <x:c r="J67" s="1"/>
      <x:c r="K67" s="1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</x:row>
    <x:row r="68" ht="25" customHeight="1">
      <x:c r="A68" s="1"/>
      <x:c r="B68" s="1"/>
      <x:c r="C68" s="19" t="str">
        <x:v>CASH FLOW AND BALANCE SHEET</x:v>
      </x:c>
      <x:c r="D68" s="20"/>
      <x:c r="E68" s="20"/>
      <x:c r="F68" s="20"/>
      <x:c r="G68" s="20"/>
      <x:c r="H68" s="20"/>
      <x:c r="I68" s="20"/>
      <x:c r="J68" s="1"/>
      <x:c r="K68" s="1"/>
      <x:c r="M68" s="82" t="str">
        <x:v>First-year EBITDA | rows revenue / columns EBITDA margin</x:v>
      </x:c>
      <x:c r="N68" s="82"/>
      <x:c r="O68" s="82"/>
      <x:c r="P68" s="82"/>
      <x:c r="Q68" s="82"/>
      <x:c r="R68" s="82"/>
      <x:c r="S68" s="63"/>
      <x:c r="T68" s="63"/>
      <x:c r="U68" s="63"/>
      <x:c r="V68" s="63"/>
    </x:row>
    <x:row r="69" ht="18" customHeight="1">
      <x:c r="A69" s="1"/>
      <x:c r="B69" s="1"/>
      <x:c r="C69" s="1" t="str">
        <x:v>Operating cash flow after interest</x:v>
      </x:c>
      <x:c r="D69" s="2"/>
      <x:c r="E69" s="8" t="n">
        <x:f>E58+E53-E64</x:f>
        <x:v>878.1937380136987</x:v>
      </x:c>
      <x:c r="F69" s="8" t="n">
        <x:f>F58+F53-F64</x:f>
        <x:v>974.8858907311641</x:v>
      </x:c>
      <x:c r="G69" s="8" t="n">
        <x:f>G58+G53-G64</x:f>
        <x:v>1081.6028476943984</x:v>
      </x:c>
      <x:c r="H69" s="8" t="n">
        <x:f>H58+H53-H64</x:f>
        <x:v>1199.4628108047998</x:v>
      </x:c>
      <x:c r="I69" s="8" t="n">
        <x:f>I58+I53-I64</x:f>
        <x:v>1329.6954309547352</x:v>
      </x:c>
      <x:c r="J69" s="1"/>
      <x:c r="K69" s="1"/>
      <x:c r="M69" s="63"/>
      <x:c r="N69" s="70" t="n">
        <x:f>E52/E47+-0.04</x:f>
        <x:v>0.21000000000000005</x:v>
      </x:c>
      <x:c r="O69" s="70" t="n">
        <x:f>E52/E47+-0.02</x:f>
        <x:v>0.23000000000000007</x:v>
      </x:c>
      <x:c r="P69" s="70" t="n">
        <x:f>E52/E47+0</x:f>
        <x:v>0.25000000000000006</x:v>
      </x:c>
      <x:c r="Q69" s="70" t="n">
        <x:f>E52/E47+0.02</x:f>
        <x:v>0.2700000000000001</x:v>
      </x:c>
      <x:c r="R69" s="70" t="n">
        <x:f>E52/E47+0.04</x:f>
        <x:v>0.29000000000000004</x:v>
      </x:c>
      <x:c r="S69" s="63"/>
      <x:c r="T69" s="63"/>
      <x:c r="U69" s="63"/>
      <x:c r="V69" s="63"/>
    </x:row>
    <x:row r="70" ht="18" customHeight="1">
      <x:c r="A70" s="1"/>
      <x:c r="B70" s="1"/>
      <x:c r="C70" s="1" t="str">
        <x:v>Dividends</x:v>
      </x:c>
      <x:c r="D70" s="2"/>
      <x:c r="E70" s="8" t="n">
        <x:f>MAX(0,E58)*E32</x:f>
        <x:v>215.55796875</x:v>
      </x:c>
      <x:c r="F70" s="8" t="n">
        <x:f>MAX(0,F58)*F32</x:f>
        <x:v>237.8982293437499</x:v>
      </x:c>
      <x:c r="G70" s="8" t="n">
        <x:f>MAX(0,G58)*G32</x:f>
        <x:v>262.80162739228115</x:v>
      </x:c>
      <x:c r="H70" s="8" t="n">
        <x:f>MAX(0,H58)*H32</x:f>
        <x:v>290.50825771793035</x:v>
      </x:c>
      <x:c r="I70" s="8" t="n">
        <x:f>MAX(0,I58)*I32</x:f>
        <x:v>321.2900542483823</x:v>
      </x:c>
      <x:c r="J70" s="1"/>
      <x:c r="K70" s="1"/>
      <x:c r="M70" s="8" t="n">
        <x:f>E47*0.8</x:f>
        <x:v>3994.055999999999</x:v>
      </x:c>
      <x:c r="N70" s="8" t="n">
        <x:f>$M70*N$69</x:f>
        <x:v>838.75176</x:v>
      </x:c>
      <x:c r="O70" s="8" t="n">
        <x:f>$M70*O$69</x:f>
        <x:v>918.6328800000001</x:v>
      </x:c>
      <x:c r="P70" s="8" t="n">
        <x:f>$M70*P$69</x:f>
        <x:v>998.514</x:v>
      </x:c>
      <x:c r="Q70" s="8" t="n">
        <x:f>$M70*Q$69</x:f>
        <x:v>1078.3951200000001</x:v>
      </x:c>
      <x:c r="R70" s="8" t="n">
        <x:f>$M70*R$69</x:f>
        <x:v>1158.27624</x:v>
      </x:c>
      <x:c r="S70" s="63"/>
      <x:c r="T70" s="63"/>
      <x:c r="U70" s="63"/>
      <x:c r="V70" s="63"/>
    </x:row>
    <x:row r="71" ht="18" customHeight="1">
      <x:c r="A71" s="1"/>
      <x:c r="B71" s="1"/>
      <x:c r="C71" s="1" t="str">
        <x:v>Change in cash</x:v>
      </x:c>
      <x:c r="D71" s="2"/>
      <x:c r="E71" s="8" t="n">
        <x:f>E69-E65+E30-E31-E70</x:f>
        <x:v>477.89581926369885</x:v>
      </x:c>
      <x:c r="F71" s="8" t="n">
        <x:f>F69-F65+F30-F31-F70</x:f>
        <x:v>533.5505367374142</x:v>
      </x:c>
      <x:c r="G71" s="8" t="n">
        <x:f>G69-G65+G30-G31-G70</x:f>
        <x:v>594.6663233145673</x:v>
      </x:c>
      <x:c r="H71" s="8" t="n">
        <x:f>H69-H65+H30-H31-H70</x:f>
        <x:v>661.9072221216516</x:v>
      </x:c>
      <x:c r="I71" s="8" t="n">
        <x:f>I69-I65+I30-I31-I70</x:f>
        <x:v>735.9939813278568</x:v>
      </x:c>
      <x:c r="J71" s="1"/>
      <x:c r="K71" s="1"/>
      <x:c r="M71" s="8" t="n">
        <x:f>E47*0.9</x:f>
        <x:v>4493.312999999999</x:v>
      </x:c>
      <x:c r="N71" s="8" t="n">
        <x:f>$M71*N$69</x:f>
        <x:v>943.59573</x:v>
      </x:c>
      <x:c r="O71" s="8" t="n">
        <x:f>$M71*O$69</x:f>
        <x:v>1033.46199</x:v>
      </x:c>
      <x:c r="P71" s="8" t="n">
        <x:f>$M71*P$69</x:f>
        <x:v>1123.32825</x:v>
      </x:c>
      <x:c r="Q71" s="8" t="n">
        <x:f>$M71*Q$69</x:f>
        <x:v>1213.19451</x:v>
      </x:c>
      <x:c r="R71" s="8" t="n">
        <x:f>$M71*R$69</x:f>
        <x:v>1303.0607699999998</x:v>
      </x:c>
      <x:c r="S71" s="63"/>
      <x:c r="T71" s="63"/>
      <x:c r="U71" s="63"/>
      <x:c r="V71" s="63"/>
    </x:row>
    <x:row r="72" ht="18" customHeight="1">
      <x:c r="A72" s="1"/>
      <x:c r="B72" s="1"/>
      <x:c r="C72" s="1" t="str">
        <x:v>Closing cash / (funding gap)</x:v>
      </x:c>
      <x:c r="D72" s="2"/>
      <x:c r="E72" s="8" t="n">
        <x:f>$D36+E71</x:f>
        <x:v>877.8958192636989</x:v>
      </x:c>
      <x:c r="F72" s="8" t="n">
        <x:f>E72+F71</x:f>
        <x:v>1411.4463560011131</x:v>
      </x:c>
      <x:c r="G72" s="8" t="n">
        <x:f>F72+G71</x:f>
        <x:v>2006.1126793156805</x:v>
      </x:c>
      <x:c r="H72" s="8" t="n">
        <x:f>G72+H71</x:f>
        <x:v>2668.019901437332</x:v>
      </x:c>
      <x:c r="I72" s="8" t="n">
        <x:f>H72+I71</x:f>
        <x:v>3404.013882765189</x:v>
      </x:c>
      <x:c r="J72" s="1"/>
      <x:c r="K72" s="1"/>
      <x:c r="M72" s="8" t="n">
        <x:f>E47*1</x:f>
        <x:v>4992.569999999999</x:v>
      </x:c>
      <x:c r="N72" s="8" t="n">
        <x:f>$M72*N$69</x:f>
        <x:v>1048.4397</x:v>
      </x:c>
      <x:c r="O72" s="8" t="n">
        <x:f>$M72*O$69</x:f>
        <x:v>1148.2911000000001</x:v>
      </x:c>
      <x:c r="P72" s="8" t="n">
        <x:f>$M72*P$69</x:f>
        <x:v>1248.1425</x:v>
      </x:c>
      <x:c r="Q72" s="8" t="n">
        <x:f>$M72*Q$69</x:f>
        <x:v>1347.9939</x:v>
      </x:c>
      <x:c r="R72" s="8" t="n">
        <x:f>$M72*R$69</x:f>
        <x:v>1447.8452999999997</x:v>
      </x:c>
      <x:c r="S72" s="63"/>
      <x:c r="T72" s="63"/>
      <x:c r="U72" s="63"/>
      <x:c r="V72" s="63"/>
    </x:row>
    <x:row r="73" ht="18" customHeight="1">
      <x:c r="A73" s="1"/>
      <x:c r="B73" s="1"/>
      <x:c r="C73" s="38" t="str">
        <x:v>Closing book equity</x:v>
      </x:c>
      <x:c r="D73" s="39"/>
      <x:c r="E73" s="41" t="n">
        <x:f>$D34+$D37+$D36-$D35+E58-E70</x:f>
        <x:v>2138.619111729452</x:v>
      </x:c>
      <x:c r="F73" s="41" t="n">
        <x:f>E73+F58-F70</x:f>
        <x:v>2852.313799760702</x:v>
      </x:c>
      <x:c r="G73" s="41" t="n">
        <x:f>F73+G58-G70</x:f>
        <x:v>3640.718681937545</x:v>
      </x:c>
      <x:c r="H73" s="41" t="n">
        <x:f>G73+H58-H70</x:f>
        <x:v>4512.243455091337</x:v>
      </x:c>
      <x:c r="I73" s="41" t="n">
        <x:f>H73+I58-I70</x:f>
        <x:v>5476.113617836484</x:v>
      </x:c>
      <x:c r="J73" s="1"/>
      <x:c r="K73" s="1"/>
      <x:c r="M73" s="8" t="n">
        <x:f>E47*1.1</x:f>
        <x:v>5491.826999999999</x:v>
      </x:c>
      <x:c r="N73" s="8" t="n">
        <x:f>$M73*N$69</x:f>
        <x:v>1153.28367</x:v>
      </x:c>
      <x:c r="O73" s="8" t="n">
        <x:f>$M73*O$69</x:f>
        <x:v>1263.1202100000003</x:v>
      </x:c>
      <x:c r="P73" s="8" t="n">
        <x:f>$M73*P$69</x:f>
        <x:v>1372.95675</x:v>
      </x:c>
      <x:c r="Q73" s="8" t="n">
        <x:f>$M73*Q$69</x:f>
        <x:v>1482.7932900000003</x:v>
      </x:c>
      <x:c r="R73" s="8" t="n">
        <x:f>$M73*R$69</x:f>
        <x:v>1592.62983</x:v>
      </x:c>
      <x:c r="S73" s="63"/>
      <x:c r="T73" s="63"/>
      <x:c r="U73" s="63"/>
      <x:c r="V73" s="63"/>
    </x:row>
    <x:row r="74" ht="18" customHeight="1">
      <x:c r="A74" s="1"/>
      <x:c r="B74" s="1"/>
      <x:c r="C74" s="1" t="str">
        <x:v>Total assets</x:v>
      </x:c>
      <x:c r="D74" s="2"/>
      <x:c r="E74" s="8" t="n">
        <x:f>E72+E60+E61+E66</x:f>
        <x:v>2351.723577482877</x:v>
      </x:c>
      <x:c r="F74" s="8" t="n">
        <x:f>F72+F60+F61+F66</x:f>
        <x:v>3068.5904433497426</x:v>
      </x:c>
      <x:c r="G74" s="8" t="n">
        <x:f>G72+G60+G61+G66</x:f>
        <x:v>3861.5769263906136</x:v>
      </x:c>
      <x:c r="H74" s="8" t="n">
        <x:f>H72+H60+H61+H66</x:f>
        <x:v>4739.243531700883</x:v>
      </x:c>
      <x:c r="I74" s="8" t="n">
        <x:f>I72+I60+I61+I66</x:f>
        <x:v>5710.982702643251</x:v>
      </x:c>
      <x:c r="J74" s="1"/>
      <x:c r="K74" s="1"/>
      <x:c r="M74" s="8" t="n">
        <x:f>E47*1.2</x:f>
        <x:v>5991.083999999998</x:v>
      </x:c>
      <x:c r="N74" s="8" t="n">
        <x:f>$M74*N$69</x:f>
        <x:v>1258.12764</x:v>
      </x:c>
      <x:c r="O74" s="8" t="n">
        <x:f>$M74*O$69</x:f>
        <x:v>1377.94932</x:v>
      </x:c>
      <x:c r="P74" s="8" t="n">
        <x:f>$M74*P$69</x:f>
        <x:v>1497.7709999999997</x:v>
      </x:c>
      <x:c r="Q74" s="8" t="n">
        <x:f>$M74*Q$69</x:f>
        <x:v>1617.59268</x:v>
      </x:c>
      <x:c r="R74" s="8" t="n">
        <x:f>$M74*R$69</x:f>
        <x:v>1737.4143599999995</x:v>
      </x:c>
      <x:c r="S74" s="63"/>
      <x:c r="T74" s="63"/>
      <x:c r="U74" s="63"/>
      <x:c r="V74" s="63"/>
    </x:row>
    <x:row r="75" ht="18" customHeight="1">
      <x:c r="A75" s="1"/>
      <x:c r="B75" s="1"/>
      <x:c r="C75" s="1" t="str">
        <x:v>Liabilities and equity</x:v>
      </x:c>
      <x:c r="D75" s="2"/>
      <x:c r="E75" s="8" t="n">
        <x:f>E62+E67+E73</x:f>
        <x:v>2351.723577482877</x:v>
      </x:c>
      <x:c r="F75" s="8" t="n">
        <x:f>F62+F67+F73</x:f>
        <x:v>3068.590443349743</x:v>
      </x:c>
      <x:c r="G75" s="8" t="n">
        <x:f>G62+G67+G73</x:f>
        <x:v>3861.5769263906136</x:v>
      </x:c>
      <x:c r="H75" s="8" t="n">
        <x:f>H62+H67+H73</x:f>
        <x:v>4739.243531700883</x:v>
      </x:c>
      <x:c r="I75" s="8" t="n">
        <x:f>I62+I67+I73</x:f>
        <x:v>5710.982702643252</x:v>
      </x:c>
      <x:c r="J75" s="1"/>
      <x:c r="K75" s="1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</x:row>
    <x:row r="76" ht="18" customHeight="1">
      <x:c r="A76" s="1"/>
      <x:c r="B76" s="1"/>
      <x:c r="C76" s="1" t="str">
        <x:v>Unlevered operating profit after tax</x:v>
      </x:c>
      <x:c r="D76" s="2"/>
      <x:c r="E76" s="8" t="n">
        <x:f>E54-MAX(0,E54)*E28</x:f>
        <x:v>868.606875</x:v>
      </x:c>
      <x:c r="F76" s="8" t="n">
        <x:f>F54-MAX(0,F54)*F28</x:f>
        <x:v>957.3304173749996</x:v>
      </x:c>
      <x:c r="G76" s="8" t="n">
        <x:f>G54-MAX(0,G54)*G28</x:f>
        <x:v>1056.3065095691245</x:v>
      </x:c>
      <x:c r="H76" s="8" t="n">
        <x:f>H54-MAX(0,H54)*H28</x:f>
        <x:v>1166.4955308717215</x:v>
      </x:c>
      <x:c r="I76" s="8" t="n">
        <x:f>I54-MAX(0,I54)*I28</x:f>
        <x:v>1288.9852169935293</x:v>
      </x:c>
      <x:c r="J76" s="1"/>
      <x:c r="K76" s="1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</x:row>
    <x:row r="77" ht="18" customHeight="1">
      <x:c r="A77" s="1"/>
      <x:c r="B77" s="1"/>
      <x:c r="C77" s="38" t="str">
        <x:v>Free cash flow to firm</x:v>
      </x:c>
      <x:c r="D77" s="39"/>
      <x:c r="E77" s="41" t="n">
        <x:f>E76+E53-E65-E64</x:f>
        <x:v>709.8287880136988</x:v>
      </x:c>
      <x:c r="F77" s="41" t="n">
        <x:f>F76+F53-F65-F64</x:f>
        <x:v>787.186266081164</x:v>
      </x:c>
      <x:c r="G77" s="41" t="n">
        <x:f>G76+G53-G65-G64</x:f>
        <x:v>872.5679507068484</x:v>
      </x:c>
      <x:c r="H77" s="41" t="n">
        <x:f>H76+H53-H65-H64</x:f>
        <x:v>966.8779798395822</x:v>
      </x:c>
      <x:c r="I77" s="41" t="n">
        <x:f>I76+I53-I65-I64</x:f>
        <x:v>1071.1090355762392</x:v>
      </x:c>
      <x:c r="J77" s="1"/>
      <x:c r="K77" s="1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</x:row>
    <x:row r="78" ht="18" customHeight="1">
      <x:c r="A78" s="1"/>
      <x:c r="B78" s="1"/>
      <x:c r="C78" s="19" t="str">
        <x:v>SECTOR KPIs AND RETURN METRICS</x:v>
      </x:c>
      <x:c r="D78" s="20"/>
      <x:c r="E78" s="20"/>
      <x:c r="F78" s="20"/>
      <x:c r="G78" s="20"/>
      <x:c r="H78" s="20"/>
      <x:c r="I78" s="20"/>
      <x:c r="J78" s="1"/>
      <x:c r="K78" s="1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</x:row>
    <x:row r="79" ht="18" customHeight="1">
      <x:c r="A79" s="1"/>
      <x:c r="B79" s="1"/>
      <x:c r="C79" s="23" t="str">
        <x:v>Gross margin</x:v>
      </x:c>
      <x:c r="D79" s="24"/>
      <x:c r="E79" s="35" t="n">
        <x:f>E50/E47</x:f>
        <x:v>0.4000000000000001</x:v>
      </x:c>
      <x:c r="F79" s="35" t="n">
        <x:f>F50/F47</x:f>
        <x:v>0.39999999999999997</x:v>
      </x:c>
      <x:c r="G79" s="35" t="n">
        <x:f>G50/G47</x:f>
        <x:v>0.39999999999999997</x:v>
      </x:c>
      <x:c r="H79" s="35" t="n">
        <x:f>H50/H47</x:f>
        <x:v>0.4000000000000001</x:v>
      </x:c>
      <x:c r="I79" s="35" t="n">
        <x:f>I50/I47</x:f>
        <x:v>0.4</x:v>
      </x:c>
      <x:c r="J79" s="1"/>
      <x:c r="K79" s="1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</x:row>
    <x:row r="80" ht="18" customHeight="1">
      <x:c r="A80" s="1"/>
      <x:c r="B80" s="1"/>
      <x:c r="C80" s="23" t="str">
        <x:v>EBITDA margin</x:v>
      </x:c>
      <x:c r="D80" s="24"/>
      <x:c r="E80" s="35" t="n">
        <x:f>E52/E47</x:f>
        <x:v>0.25000000000000006</x:v>
      </x:c>
      <x:c r="F80" s="35" t="n">
        <x:f>F52/F47</x:f>
        <x:v>0.25</x:v>
      </x:c>
      <x:c r="G80" s="35" t="n">
        <x:f>G52/G47</x:f>
        <x:v>0.24999999999999997</x:v>
      </x:c>
      <x:c r="H80" s="35" t="n">
        <x:f>H52/H47</x:f>
        <x:v>0.25000000000000006</x:v>
      </x:c>
      <x:c r="I80" s="35" t="n">
        <x:f>I52/I47</x:f>
        <x:v>0.25000000000000006</x:v>
      </x:c>
      <x:c r="J80" s="1"/>
      <x:c r="K80" s="1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</x:row>
    <x:row r="81" ht="18" customHeight="1">
      <x:c r="A81" s="1"/>
      <x:c r="B81" s="1"/>
      <x:c r="C81" s="23" t="str">
        <x:v>Net margin</x:v>
      </x:c>
      <x:c r="D81" s="24"/>
      <x:c r="E81" s="35" t="n">
        <x:f>E58/E47</x:f>
        <x:v>0.1727030116753496</x:v>
      </x:c>
      <x:c r="F81" s="35" t="n">
        <x:f>F58/F47</x:f>
        <x:v>0.17217869717815307</x:v>
      </x:c>
      <x:c r="G81" s="35" t="n">
        <x:f>G58/G47</x:f>
        <x:v>0.17181799114722765</x:v>
      </x:c>
      <x:c r="H81" s="35" t="n">
        <x:f>H58/H47</x:f>
        <x:v>0.17157398868362694</x:v>
      </x:c>
      <x:c r="I81" s="35" t="n">
        <x:f>I58/I47</x:f>
        <x:v>0.1714125544353535</x:v>
      </x:c>
      <x:c r="J81" s="1"/>
      <x:c r="K81" s="1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</x:row>
    <x:row r="82" ht="18" customHeight="1">
      <x:c r="A82" s="1"/>
      <x:c r="B82" s="1"/>
      <x:c r="C82" s="23" t="str">
        <x:v>Operating cash conversion</x:v>
      </x:c>
      <x:c r="D82" s="24"/>
      <x:c r="E82" s="35" t="n">
        <x:f>IF(E52=0,"n.a.",E69/E52)</x:f>
        <x:v>0.7036005408146095</x:v>
      </x:c>
      <x:c r="F82" s="35" t="n">
        <x:f>IF(F52=0,"n.a.",F69/F52)</x:f>
        <x:v>0.7055730638537643</x:v>
      </x:c>
      <x:c r="G82" s="35" t="n">
        <x:f>IF(G52=0,"n.a.",G69/G52)</x:f>
        <x:v>0.7071448923433521</x:v>
      </x:c>
      <x:c r="H82" s="35" t="n">
        <x:f>IF(H52=0,"n.a.",H69/H52)</x:f>
        <x:v>0.7084019584987932</x:v>
      </x:c>
      <x:c r="I82" s="35" t="n">
        <x:f>IF(I52=0,"n.a.",I69/I52)</x:f>
        <x:v>0.7094103518833619</x:v>
      </x:c>
      <x:c r="J82" s="1"/>
      <x:c r="K82" s="1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</x:row>
    <x:row r="83" ht="18" customHeight="1">
      <x:c r="A83" s="1"/>
      <x:c r="B83" s="1"/>
      <x:c r="C83" s="1" t="str">
        <x:v>Cash conversion cycle (days)</x:v>
      </x:c>
      <x:c r="D83" s="2"/>
      <x:c r="E83" s="8" t="n">
        <x:f>E25+E26-E27</x:f>
        <x:v>50</x:v>
      </x:c>
      <x:c r="F83" s="8" t="n">
        <x:f>F25+F26-F27</x:f>
        <x:v>50</x:v>
      </x:c>
      <x:c r="G83" s="8" t="n">
        <x:f>G25+G26-G27</x:f>
        <x:v>50</x:v>
      </x:c>
      <x:c r="H83" s="8" t="n">
        <x:f>H25+H26-H27</x:f>
        <x:v>50</x:v>
      </x:c>
      <x:c r="I83" s="8" t="n">
        <x:f>I25+I26-I27</x:f>
        <x:v>50</x:v>
      </x:c>
      <x:c r="J83" s="1"/>
      <x:c r="K83" s="1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</x:row>
    <x:row r="84" ht="18" customHeight="1">
      <x:c r="A84" s="1"/>
      <x:c r="B84" s="1"/>
      <x:c r="C84" s="23" t="str">
        <x:v>Net debt / EBITDA</x:v>
      </x:c>
      <x:c r="D84" s="32"/>
      <x:c r="E84" s="61" t="n">
        <x:f>IF(E52&lt;=0,"n.a.",(E67-E72)/E52)</x:f>
        <x:v>-0.631254699895003</x:v>
      </x:c>
      <x:c r="F84" s="61" t="n">
        <x:f>IF(F52&lt;=0,"n.a.",(F67-F72)/F52)</x:f>
        <x:v>-0.9636334813052438</x:v>
      </x:c>
      <x:c r="G84" s="61" t="n">
        <x:f>IF(G52&lt;=0,"n.a.",(G67-G72)/G52)</x:f>
        <x:v>-1.2658178508846916</x:v>
      </x:c>
      <x:c r="H84" s="61" t="n">
        <x:f>IF(H52&lt;=0,"n.a.",(H67-H72)/H52)</x:f>
        <x:v>-1.5402948631166036</x:v>
      </x:c>
      <x:c r="I84" s="61" t="n">
        <x:f>IF(I52&lt;=0,"n.a.",(I67-I72)/I52)</x:f>
        <x:v>-1.7894114045994123</x:v>
      </x:c>
      <x:c r="J84" s="1"/>
      <x:c r="K84" s="1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</x:row>
    <x:row r="85" ht="18" customHeight="1">
      <x:c r="A85" s="1"/>
      <x:c r="B85" s="1"/>
      <x:c r="C85" s="23" t="str">
        <x:v>EBIT / interest</x:v>
      </x:c>
      <x:c r="D85" s="32"/>
      <x:c r="E85" s="61" t="n">
        <x:f>IF(E55=0,"n.a.",E54/E55)</x:f>
        <x:v>136.2520588235294</x:v>
      </x:c>
      <x:c r="F85" s="61" t="n">
        <x:f>IF(F55=0,"n.a.",F54/F55)</x:f>
        <x:v>166.85497470588228</x:v>
      </x:c>
      <x:c r="G85" s="61" t="n">
        <x:f>IF(G55=0,"n.a.",G54/G55)</x:f>
        <x:v>207.11892344492637</x:v>
      </x:c>
      <x:c r="H85" s="61" t="n">
        <x:f>IF(H55=0,"n.a.",H54/H55)</x:f>
        <x:v>261.39955873876113</x:v>
      </x:c>
      <x:c r="I85" s="61" t="n">
        <x:f>IF(I55=0,"n.a.",I54/I55)</x:f>
        <x:v>336.98959921399455</x:v>
      </x:c>
      <x:c r="J85" s="1"/>
      <x:c r="K85" s="1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</x:row>
    <x:row r="86" ht="18" customHeight="1">
      <x:c r="A86" s="1"/>
      <x:c r="B86" s="1"/>
      <x:c r="C86" s="23" t="str">
        <x:v>ROIC on average invested capital</x:v>
      </x:c>
      <x:c r="D86" s="24"/>
      <x:c r="E86" s="35" t="n">
        <x:f>E76/(($D34+$D37+E66+E63)/2)</x:f>
        <x:v>0.6832246324693472</x:v>
      </x:c>
      <x:c r="F86" s="35" t="n">
        <x:f>F76/((E66+E63+F66+F63)/2)</x:f>
        <x:v>0.666759650181484</x:v>
      </x:c>
      <x:c r="G86" s="35" t="n">
        <x:f>G76/((F66+F63+G66+G63)/2)</x:f>
        <x:v>0.6549776503379112</x:v>
      </x:c>
      <x:c r="H86" s="35" t="n">
        <x:f>H76/((G66+G63+H66+H63)/2)</x:f>
        <x:v>0.6464675112423355</x:v>
      </x:c>
      <x:c r="I86" s="35" t="n">
        <x:f>I76/((H66+H63+I66+I63)/2)</x:f>
        <x:v>0.6402790459489465</x:v>
      </x:c>
      <x:c r="J86" s="1"/>
      <x:c r="K86" s="1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</x:row>
    <x:row r="87" ht="18" customHeight="1">
      <x:c r="A87" s="1"/>
      <x:c r="B87" s="1"/>
      <x:c r="C87" s="1" t="str">
        <x:v>Revenue per delivery FTE (INR lakh)</x:v>
      </x:c>
      <x:c r="D87" s="2"/>
      <x:c r="E87" s="10" t="n">
        <x:f>E47*'Controls'!$E$9/E44/'Controls'!$E$15</x:f>
        <x:v>46.22749999999998</x:v>
      </x:c>
      <x:c r="F87" s="10" t="n">
        <x:f>F47*'Controls'!$E$9/F44/'Controls'!$E$15</x:f>
        <x:v>47.383187499999984</x:v>
      </x:c>
      <x:c r="G87" s="10" t="n">
        <x:f>G47*'Controls'!$E$9/G44/'Controls'!$E$15</x:f>
        <x:v>48.56776718749998</x:v>
      </x:c>
      <x:c r="H87" s="10" t="n">
        <x:f>H47*'Controls'!$E$9/H44/'Controls'!$E$15</x:f>
        <x:v>49.781961367187485</x:v>
      </x:c>
      <x:c r="I87" s="10" t="n">
        <x:f>I47*'Controls'!$E$9/I44/'Controls'!$E$15</x:f>
        <x:v>51.026510401367155</x:v>
      </x:c>
      <x:c r="J87" s="1"/>
      <x:c r="K87" s="1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</x:row>
    <x:row r="88" ht="18" customHeight="1">
      <x:c r="A88" s="1"/>
      <x:c r="B88" s="1"/>
      <x:c r="C88" s="19" t="str">
        <x:v>VALUATION AT 31 MARCH 2026</x:v>
      </x:c>
      <x:c r="D88" s="20"/>
      <x:c r="E88" s="20"/>
      <x:c r="F88" s="20"/>
      <x:c r="G88" s="20"/>
      <x:c r="H88" s="20"/>
      <x:c r="I88" s="20"/>
      <x:c r="J88" s="1"/>
      <x:c r="K88" s="1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</x:row>
    <x:row r="89" ht="18" customHeight="1">
      <x:c r="A89" s="1"/>
      <x:c r="B89" s="1"/>
      <x:c r="C89" s="1" t="str">
        <x:v>PV of annual FCFF</x:v>
      </x:c>
      <x:c r="D89" s="2"/>
      <x:c r="E89" s="8" t="n">
        <x:f>E77/(1+$D39)^1</x:f>
        <x:v>633.7757035836596</x:v>
      </x:c>
      <x:c r="F89" s="8" t="n">
        <x:f>F77/(1+$D39)^2</x:f>
        <x:v>627.5400718121524</x:v>
      </x:c>
      <x:c r="G89" s="8" t="n">
        <x:f>G77/(1+$D39)^3</x:f>
        <x:v>621.0766321881606</x:v>
      </x:c>
      <x:c r="H89" s="8" t="n">
        <x:f>H77/(1+$D39)^4</x:f>
        <x:v>614.4684357995963</x:v>
      </x:c>
      <x:c r="I89" s="8" t="n">
        <x:f>I77/(1+$D39)^5</x:f>
        <x:v>607.7760321888065</x:v>
      </x:c>
      <x:c r="J89" s="1"/>
      <x:c r="K89" s="1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</x:row>
    <x:row r="90" ht="18" customHeight="1">
      <x:c r="A90" s="1"/>
      <x:c r="B90" s="1"/>
      <x:c r="C90" s="1" t="str">
        <x:v>Normalized terminal FCFF</x:v>
      </x:c>
      <x:c r="D90" s="2"/>
      <x:c r="E90" s="8" t="n">
        <x:f>I76*(1+$D40)*(1-$D40/$D41)</x:f>
        <x:v>983.0660588270651</x:v>
      </x:c>
      <x:c r="F90" s="2"/>
      <x:c r="G90" s="2"/>
      <x:c r="H90" s="2"/>
      <x:c r="I90" s="2"/>
      <x:c r="J90" s="1"/>
      <x:c r="K90" s="1" t="str">
        <x:v>Terminal reinvestment = terminal NOPAT × growth / incremental ROIC.</x:v>
      </x:c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</x:row>
    <x:row r="91" ht="18" customHeight="1">
      <x:c r="A91" s="1"/>
      <x:c r="B91" s="1"/>
      <x:c r="C91" s="1" t="str">
        <x:v>Terminal enterprise value</x:v>
      </x:c>
      <x:c r="D91" s="2"/>
      <x:c r="E91" s="8" t="n">
        <x:f>IF($D39&lt;=$D40,NA(),E90/($D39-$D40))</x:f>
        <x:v>12288.325735338316</x:v>
      </x:c>
      <x:c r="F91" s="2"/>
      <x:c r="G91" s="2"/>
      <x:c r="H91" s="2"/>
      <x:c r="I91" s="2"/>
      <x:c r="J91" s="1"/>
      <x:c r="K91" s="1"/>
    </x:row>
    <x:row r="92" ht="18" customHeight="1">
      <x:c r="A92" s="1"/>
      <x:c r="B92" s="1"/>
      <x:c r="C92" s="1" t="str">
        <x:v>DCF enterprise value</x:v>
      </x:c>
      <x:c r="D92" s="2"/>
      <x:c r="E92" s="8" t="n">
        <x:f>SUM(E89:I89)+E91/(1+$D39)^5</x:f>
        <x:v>10077.362909621339</x:v>
      </x:c>
      <x:c r="F92" s="2"/>
      <x:c r="G92" s="2"/>
      <x:c r="H92" s="2"/>
      <x:c r="I92" s="2"/>
      <x:c r="J92" s="1"/>
      <x:c r="K92" s="1"/>
    </x:row>
    <x:row r="93" ht="18" customHeight="1">
      <x:c r="A93" s="1"/>
      <x:c r="B93" s="1"/>
      <x:c r="C93" s="38" t="str">
        <x:v>DCF equity value</x:v>
      </x:c>
      <x:c r="D93" s="39"/>
      <x:c r="E93" s="41" t="n">
        <x:f>E92-$D35+$D36</x:f>
        <x:v>10377.362909621339</x:v>
      </x:c>
      <x:c r="F93" s="39"/>
      <x:c r="G93" s="39"/>
      <x:c r="H93" s="39"/>
      <x:c r="I93" s="39"/>
      <x:c r="J93" s="1"/>
      <x:c r="K93" s="1"/>
    </x:row>
    <x:row r="94" ht="18" customHeight="1">
      <x:c r="A94" s="1"/>
      <x:c r="B94" s="1"/>
      <x:c r="C94" s="1" t="str">
        <x:v>DCF value per share (INR)</x:v>
      </x:c>
      <x:c r="D94" s="33"/>
      <x:c r="E94" s="34" t="n">
        <x:f>E93/$D38</x:f>
        <x:v>103.77362909621338</x:v>
      </x:c>
      <x:c r="F94" s="33"/>
      <x:c r="G94" s="33"/>
      <x:c r="H94" s="33"/>
      <x:c r="I94" s="33"/>
      <x:c r="J94" s="1"/>
      <x:c r="K94" s="1"/>
    </x:row>
    <x:row r="95" ht="18" customHeight="1">
      <x:c r="A95" s="1"/>
      <x:c r="B95" s="1"/>
      <x:c r="C95" s="1" t="str">
        <x:v>Forward multiple enterprise value</x:v>
      </x:c>
      <x:c r="D95" s="2"/>
      <x:c r="E95" s="8" t="n">
        <x:f>E52*$D42</x:f>
        <x:v>19970.28</x:v>
      </x:c>
      <x:c r="F95" s="2"/>
      <x:c r="G95" s="2"/>
      <x:c r="H95" s="2"/>
      <x:c r="I95" s="2"/>
      <x:c r="J95" s="1"/>
      <x:c r="K95" s="1"/>
    </x:row>
    <x:row r="96" ht="18" customHeight="1">
      <x:c r="A96" s="1"/>
      <x:c r="B96" s="1"/>
      <x:c r="C96" s="1" t="str">
        <x:v>Forward multiple equity value</x:v>
      </x:c>
      <x:c r="D96" s="2"/>
      <x:c r="E96" s="8" t="n">
        <x:f>E95-$D35+$D36</x:f>
        <x:v>20270.28</x:v>
      </x:c>
      <x:c r="F96" s="2"/>
      <x:c r="G96" s="2"/>
      <x:c r="H96" s="2"/>
      <x:c r="I96" s="2"/>
      <x:c r="J96" s="1"/>
      <x:c r="K96" s="1"/>
    </x:row>
    <x:row r="97" ht="18" customHeight="1">
      <x:c r="A97" s="1"/>
      <x:c r="B97" s="1"/>
      <x:c r="C97" s="23" t="str">
        <x:v>Terminal value / DCF enterprise value</x:v>
      </x:c>
      <x:c r="D97" s="24"/>
      <x:c r="E97" s="35" t="n">
        <x:f>(E91/(1+$D39)^5)/E92</x:f>
        <x:v>0.6919197111966435</x:v>
      </x:c>
      <x:c r="F97" s="24"/>
      <x:c r="G97" s="24"/>
      <x:c r="H97" s="24"/>
      <x:c r="I97" s="24"/>
      <x:c r="J97" s="1"/>
      <x:c r="K97" s="1"/>
    </x:row>
    <x:row r="98" ht="18" customHeight="1">
      <x:c r="A98" s="1"/>
      <x:c r="B98" s="1"/>
      <x:c r="C98" s="19" t="str">
        <x:v>MODEL CHECKS</x:v>
      </x:c>
      <x:c r="D98" s="20"/>
      <x:c r="E98" s="20"/>
      <x:c r="F98" s="20"/>
      <x:c r="G98" s="20"/>
      <x:c r="H98" s="20"/>
      <x:c r="I98" s="20"/>
      <x:c r="J98" s="1"/>
      <x:c r="K98" s="1"/>
    </x:row>
    <x:row r="99" ht="18" customHeight="1">
      <x:c r="A99" s="1"/>
      <x:c r="B99" s="1"/>
      <x:c r="C99" s="1" t="str">
        <x:v>Assets less liabilities and equity</x:v>
      </x:c>
      <x:c r="D99" s="33"/>
      <x:c r="E99" s="34" t="n">
        <x:f>E74-E75</x:f>
        <x:v>0</x:v>
      </x:c>
      <x:c r="F99" s="34" t="n">
        <x:f>F74-F75</x:f>
        <x:v>-4.547473508864641e-13</x:v>
      </x:c>
      <x:c r="G99" s="34" t="n">
        <x:f>G74-G75</x:f>
        <x:v>0</x:v>
      </x:c>
      <x:c r="H99" s="34" t="n">
        <x:f>H74-H75</x:f>
        <x:v>0</x:v>
      </x:c>
      <x:c r="I99" s="34" t="n">
        <x:f>I74-I75</x:f>
        <x:v>-9.094947017729282e-13</x:v>
      </x:c>
      <x:c r="J99" s="1"/>
      <x:c r="K99" s="1"/>
    </x:row>
    <x:row r="100" ht="18" customHeight="1">
      <x:c r="A100" s="1"/>
      <x:c r="B100" s="1"/>
      <x:c r="C100" s="1" t="str">
        <x:v>Cash funding shortfall</x:v>
      </x:c>
      <x:c r="D100" s="33"/>
      <x:c r="E100" s="34" t="n">
        <x:f>MAX(0,-E72)</x:f>
        <x:v>0</x:v>
      </x:c>
      <x:c r="F100" s="34" t="n">
        <x:f>MAX(0,-F72)</x:f>
        <x:v>0</x:v>
      </x:c>
      <x:c r="G100" s="34" t="n">
        <x:f>MAX(0,-G72)</x:f>
        <x:v>0</x:v>
      </x:c>
      <x:c r="H100" s="34" t="n">
        <x:f>MAX(0,-H72)</x:f>
        <x:v>0</x:v>
      </x:c>
      <x:c r="I100" s="34" t="n">
        <x:f>MAX(0,-I72)</x:f>
        <x:v>0</x:v>
      </x:c>
      <x:c r="J100" s="1"/>
      <x:c r="K100" s="1"/>
    </x:row>
    <x:row r="101" ht="18" customHeight="1">
      <x:c r="A101" s="1"/>
      <x:c r="B101" s="1"/>
      <x:c r="C101" s="1" t="str">
        <x:v>Debt below zero</x:v>
      </x:c>
      <x:c r="D101" s="33"/>
      <x:c r="E101" s="34" t="n">
        <x:f>MAX(0,-E67)</x:f>
        <x:v>0</x:v>
      </x:c>
      <x:c r="F101" s="34" t="n">
        <x:f>MAX(0,-F67)</x:f>
        <x:v>0</x:v>
      </x:c>
      <x:c r="G101" s="34" t="n">
        <x:f>MAX(0,-G67)</x:f>
        <x:v>0</x:v>
      </x:c>
      <x:c r="H101" s="34" t="n">
        <x:f>MAX(0,-H67)</x:f>
        <x:v>0</x:v>
      </x:c>
      <x:c r="I101" s="34" t="n">
        <x:f>MAX(0,-I67)</x:f>
        <x:v>0</x:v>
      </x:c>
      <x:c r="J101" s="1"/>
      <x:c r="K101" s="1"/>
    </x:row>
    <x:row r="102" ht="18" customHeight="1">
      <x:c r="A102" s="1"/>
      <x:c r="B102" s="1"/>
      <x:c r="C102" s="1" t="str">
        <x:v>Utilization above 100%</x:v>
      </x:c>
      <x:c r="D102" s="33"/>
      <x:c r="E102" s="34" t="n">
        <x:f>MAX(0,E20-1)</x:f>
        <x:v>0</x:v>
      </x:c>
      <x:c r="F102" s="34" t="n">
        <x:f>MAX(0,F20-1)</x:f>
        <x:v>0</x:v>
      </x:c>
      <x:c r="G102" s="34" t="n">
        <x:f>MAX(0,G20-1)</x:f>
        <x:v>0</x:v>
      </x:c>
      <x:c r="H102" s="34" t="n">
        <x:f>MAX(0,H20-1)</x:f>
        <x:v>0</x:v>
      </x:c>
      <x:c r="I102" s="34" t="n">
        <x:f>MAX(0,I20-1)</x:f>
        <x:v>0</x:v>
      </x:c>
      <x:c r="J102" s="1"/>
      <x:c r="K102" s="1"/>
    </x:row>
    <x:row r="103" ht="18" customHeight="1">
      <x:c r="A103" s="1"/>
      <x:c r="B103" s="1"/>
      <x:c r="C103" s="1" t="str">
        <x:v>Net PP&amp;E below zero</x:v>
      </x:c>
      <x:c r="D103" s="33"/>
      <x:c r="E103" s="34" t="n">
        <x:f>MAX(0,-E66)</x:f>
        <x:v>0</x:v>
      </x:c>
      <x:c r="F103" s="34" t="n">
        <x:f>MAX(0,-F66)</x:f>
        <x:v>0</x:v>
      </x:c>
      <x:c r="G103" s="34" t="n">
        <x:f>MAX(0,-G66)</x:f>
        <x:v>0</x:v>
      </x:c>
      <x:c r="H103" s="34" t="n">
        <x:f>MAX(0,-H66)</x:f>
        <x:v>0</x:v>
      </x:c>
      <x:c r="I103" s="34" t="n">
        <x:f>MAX(0,-I66)</x:f>
        <x:v>0</x:v>
      </x:c>
      <x:c r="J103" s="1"/>
      <x:c r="K103" s="1"/>
    </x:row>
    <x:row r="104" ht="18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1"/>
      <x:c r="K104" s="1"/>
    </x:row>
    <x:row r="105" ht="18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1"/>
      <x:c r="K105" s="1"/>
    </x:row>
    <x:row r="106" ht="18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1"/>
      <x:c r="K106" s="1"/>
    </x:row>
    <x:row r="107" ht="18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1"/>
      <x:c r="K107" s="1"/>
    </x:row>
    <x:row r="108" ht="18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1"/>
      <x:c r="K108" s="1"/>
    </x:row>
    <x:row r="109" ht="18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1"/>
      <x:c r="K109" s="1"/>
    </x:row>
    <x:row r="110" ht="25" customHeight="1">
      <x:c r="A110" s="1"/>
      <x:c r="B110" s="1"/>
      <x:c r="C110" s="68" t="str">
        <x:v>SUPPORTING SCHEDULE ASSUMPTIONS</x:v>
      </x:c>
      <x:c r="D110" s="69"/>
      <x:c r="E110" s="69"/>
      <x:c r="F110" s="69"/>
      <x:c r="G110" s="69"/>
      <x:c r="H110" s="69"/>
      <x:c r="I110" s="69"/>
      <x:c r="J110" s="1"/>
      <x:c r="K110" s="1"/>
    </x:row>
    <x:row r="111" ht="30" customHeight="1">
      <x:c r="A111" s="1"/>
      <x:c r="B111" s="1"/>
      <x:c r="C111" s="64"/>
      <x:c r="D111" s="8"/>
      <x:c r="E111" s="8"/>
      <x:c r="F111" s="8"/>
      <x:c r="G111" s="8"/>
      <x:c r="H111" s="8"/>
      <x:c r="I111" s="8"/>
      <x:c r="J111" s="1"/>
      <x:c r="K111" s="1"/>
    </x:row>
    <x:row r="112" ht="30" customHeight="1">
      <x:c r="A112" s="1"/>
      <x:c r="B112" s="1"/>
      <x:c r="C112" s="64" t="str">
        <x:v>Detailed operating bridge (0 off / 1 on)</x:v>
      </x:c>
      <x:c r="D112" s="77" t="n">
        <x:v>0</x:v>
      </x:c>
      <x:c r="E112" s="8"/>
      <x:c r="F112" s="8"/>
      <x:c r="G112" s="8"/>
      <x:c r="H112" s="8"/>
      <x:c r="I112" s="8"/>
      <x:c r="J112" s="1"/>
      <x:c r="K112" s="1"/>
    </x:row>
    <x:row r="113" ht="30" customHeight="1">
      <x:c r="A113" s="1"/>
      <x:c r="B113" s="1"/>
      <x:c r="C113" s="64"/>
      <x:c r="D113" s="8"/>
      <x:c r="E113" s="8"/>
      <x:c r="F113" s="8"/>
      <x:c r="G113" s="8"/>
      <x:c r="H113" s="8"/>
      <x:c r="I113" s="8"/>
      <x:c r="J113" s="1"/>
      <x:c r="K113" s="1"/>
    </x:row>
    <x:row r="114" ht="30" customHeight="1">
      <x:c r="A114" s="1"/>
      <x:c r="B114" s="1"/>
      <x:c r="C114" s="64" t="str">
        <x:v>Current-year capex depreciation fraction</x:v>
      </x:c>
      <x:c r="D114" s="72" t="n">
        <x:v>0</x:v>
      </x:c>
      <x:c r="E114" s="8"/>
      <x:c r="F114" s="8"/>
      <x:c r="G114" s="8"/>
      <x:c r="H114" s="8"/>
      <x:c r="I114" s="8"/>
      <x:c r="J114" s="1"/>
      <x:c r="K114" s="1"/>
    </x:row>
    <x:row r="115" ht="30" customHeight="1">
      <x:c r="A115" s="1"/>
      <x:c r="B115" s="1"/>
      <x:c r="C115" s="64" t="str">
        <x:v>Debt movement interest weighting</x:v>
      </x:c>
      <x:c r="D115" s="72" t="n">
        <x:v>0</x:v>
      </x:c>
      <x:c r="E115" s="8"/>
      <x:c r="F115" s="8"/>
      <x:c r="G115" s="8"/>
      <x:c r="H115" s="8"/>
      <x:c r="I115" s="8"/>
      <x:c r="J115" s="1"/>
      <x:c r="K115" s="1" t="str">
        <x:v>0 = opening debt interest; 0.5 = mid-year movements; 1 = full-year movements.</x:v>
      </x:c>
    </x:row>
    <x:row r="116" ht="30" customHeight="1">
      <x:c r="A116" s="1"/>
      <x:c r="B116" s="1"/>
      <x:c r="C116" s="64" t="str">
        <x:v>Opening tax losses available for use</x:v>
      </x:c>
      <x:c r="D116" s="74" t="n">
        <x:v>0</x:v>
      </x:c>
      <x:c r="E116" s="8"/>
      <x:c r="F116" s="8"/>
      <x:c r="G116" s="8"/>
      <x:c r="H116" s="8"/>
      <x:c r="I116" s="8"/>
      <x:c r="J116" s="1"/>
      <x:c r="K116" s="1"/>
    </x:row>
    <x:row r="117" ht="30" customHeight="1">
      <x:c r="A117" s="1"/>
      <x:c r="B117" s="1"/>
      <x:c r="C117" s="64" t="str">
        <x:v>Tax loss utilization share of positive PBT</x:v>
      </x:c>
      <x:c r="D117" s="72" t="n">
        <x:v>1</x:v>
      </x:c>
      <x:c r="E117" s="8"/>
      <x:c r="F117" s="8"/>
      <x:c r="G117" s="8"/>
      <x:c r="H117" s="8"/>
      <x:c r="I117" s="8"/>
      <x:c r="J117" s="1"/>
      <x:c r="K117" s="1" t="str">
        <x:v>Simplified cash tax schedule. Check company-specific eligibility, expiry, MAT and deferred tax separately.</x:v>
      </x:c>
    </x:row>
    <x:row r="118" ht="30" customHeight="1">
      <x:c r="A118" s="1"/>
      <x:c r="B118" s="1"/>
      <x:c r="C118" s="64"/>
      <x:c r="D118" s="8"/>
      <x:c r="E118" s="8"/>
      <x:c r="F118" s="8"/>
      <x:c r="G118" s="8"/>
      <x:c r="H118" s="8"/>
      <x:c r="I118" s="8"/>
      <x:c r="J118" s="1"/>
      <x:c r="K118" s="1"/>
    </x:row>
    <x:row r="119" ht="25" customHeight="1">
      <x:c r="A119" s="1"/>
      <x:c r="B119" s="1"/>
      <x:c r="C119" s="68" t="str">
        <x:v>DEBT AND INTEREST SCHEDULE</x:v>
      </x:c>
      <x:c r="D119" s="69"/>
      <x:c r="E119" s="69"/>
      <x:c r="F119" s="69"/>
      <x:c r="G119" s="69"/>
      <x:c r="H119" s="69"/>
      <x:c r="I119" s="69"/>
      <x:c r="J119" s="1"/>
      <x:c r="K119" s="1"/>
    </x:row>
    <x:row r="120" ht="30" customHeight="1">
      <x:c r="A120" s="1"/>
      <x:c r="B120" s="1"/>
      <x:c r="C120" s="64" t="str">
        <x:v>Opening debt balance</x:v>
      </x:c>
      <x:c r="D120" s="8"/>
      <x:c r="E120" s="8" t="n">
        <x:f>D35</x:f>
        <x:v>100</x:v>
      </x:c>
      <x:c r="F120" s="8" t="n">
        <x:f>E123</x:f>
        <x:v>90</x:v>
      </x:c>
      <x:c r="G120" s="8" t="n">
        <x:f>F123</x:f>
        <x:v>80</x:v>
      </x:c>
      <x:c r="H120" s="8" t="n">
        <x:f>G123</x:f>
        <x:v>70</x:v>
      </x:c>
      <x:c r="I120" s="8" t="n">
        <x:f>H123</x:f>
        <x:v>60</x:v>
      </x:c>
      <x:c r="J120" s="1"/>
      <x:c r="K120" s="1"/>
    </x:row>
    <x:row r="121" ht="30" customHeight="1">
      <x:c r="A121" s="1"/>
      <x:c r="B121" s="1"/>
      <x:c r="C121" s="64" t="str">
        <x:v>Debt drawn</x:v>
      </x:c>
      <x:c r="D121" s="8"/>
      <x:c r="E121" s="8" t="n">
        <x:f>E30</x:f>
        <x:v>0</x:v>
      </x:c>
      <x:c r="F121" s="8" t="n">
        <x:f>F30</x:f>
        <x:v>0</x:v>
      </x:c>
      <x:c r="G121" s="8" t="n">
        <x:f>G30</x:f>
        <x:v>0</x:v>
      </x:c>
      <x:c r="H121" s="8" t="n">
        <x:f>H30</x:f>
        <x:v>0</x:v>
      </x:c>
      <x:c r="I121" s="8" t="n">
        <x:f>I30</x:f>
        <x:v>0</x:v>
      </x:c>
      <x:c r="J121" s="1"/>
      <x:c r="K121" s="1"/>
    </x:row>
    <x:row r="122" ht="30" customHeight="1">
      <x:c r="A122" s="1"/>
      <x:c r="B122" s="1"/>
      <x:c r="C122" s="64" t="str">
        <x:v>Debt principal repaid</x:v>
      </x:c>
      <x:c r="D122" s="8"/>
      <x:c r="E122" s="8" t="n">
        <x:f>E31</x:f>
        <x:v>10</x:v>
      </x:c>
      <x:c r="F122" s="8" t="n">
        <x:f>F31</x:f>
        <x:v>10</x:v>
      </x:c>
      <x:c r="G122" s="8" t="n">
        <x:f>G31</x:f>
        <x:v>10</x:v>
      </x:c>
      <x:c r="H122" s="8" t="n">
        <x:f>H31</x:f>
        <x:v>10</x:v>
      </x:c>
      <x:c r="I122" s="8" t="n">
        <x:f>I31</x:f>
        <x:v>10</x:v>
      </x:c>
      <x:c r="J122" s="1"/>
      <x:c r="K122" s="1"/>
    </x:row>
    <x:row r="123" ht="30" customHeight="1">
      <x:c r="A123" s="1"/>
      <x:c r="B123" s="1"/>
      <x:c r="C123" s="64" t="str">
        <x:v>Closing debt balance</x:v>
      </x:c>
      <x:c r="D123" s="8"/>
      <x:c r="E123" s="8" t="n">
        <x:f>E120+E121-E122</x:f>
        <x:v>90</x:v>
      </x:c>
      <x:c r="F123" s="8" t="n">
        <x:f>F120+F121-F122</x:f>
        <x:v>80</x:v>
      </x:c>
      <x:c r="G123" s="8" t="n">
        <x:f>G120+G121-G122</x:f>
        <x:v>70</x:v>
      </x:c>
      <x:c r="H123" s="8" t="n">
        <x:f>H120+H121-H122</x:f>
        <x:v>60</x:v>
      </x:c>
      <x:c r="I123" s="8" t="n">
        <x:f>I120+I121-I122</x:f>
        <x:v>50</x:v>
      </x:c>
      <x:c r="J123" s="1"/>
      <x:c r="K123" s="1"/>
    </x:row>
    <x:row r="124" ht="30" customHeight="1">
      <x:c r="A124" s="1"/>
      <x:c r="B124" s="1"/>
      <x:c r="C124" s="64" t="str">
        <x:v>Interest-bearing debt base</x:v>
      </x:c>
      <x:c r="D124" s="8"/>
      <x:c r="E124" s="8" t="n">
        <x:f>E120+(E121-E122)*$D$115</x:f>
        <x:v>100</x:v>
      </x:c>
      <x:c r="F124" s="8" t="n">
        <x:f>F120+(F121-F122)*$D$115</x:f>
        <x:v>90</x:v>
      </x:c>
      <x:c r="G124" s="8" t="n">
        <x:f>G120+(G121-G122)*$D$115</x:f>
        <x:v>80</x:v>
      </x:c>
      <x:c r="H124" s="8" t="n">
        <x:f>H120+(H121-H122)*$D$115</x:f>
        <x:v>70</x:v>
      </x:c>
      <x:c r="I124" s="8" t="n">
        <x:f>I120+(I121-I122)*$D$115</x:f>
        <x:v>60</x:v>
      </x:c>
      <x:c r="J124" s="1"/>
      <x:c r="K124" s="1"/>
    </x:row>
    <x:row r="125" ht="30" customHeight="1">
      <x:c r="A125" s="1"/>
      <x:c r="B125" s="1"/>
      <x:c r="C125" s="64" t="str">
        <x:v>Scheduled interest expense</x:v>
      </x:c>
      <x:c r="D125" s="8"/>
      <x:c r="E125" s="8" t="n">
        <x:f>E124*E29</x:f>
        <x:v>8.5</x:v>
      </x:c>
      <x:c r="F125" s="8" t="n">
        <x:f>F124*F29</x:f>
        <x:v>7.65</x:v>
      </x:c>
      <x:c r="G125" s="8" t="n">
        <x:f>G124*G29</x:f>
        <x:v>6.800000000000001</x:v>
      </x:c>
      <x:c r="H125" s="8" t="n">
        <x:f>H124*H29</x:f>
        <x:v>5.95</x:v>
      </x:c>
      <x:c r="I125" s="8" t="n">
        <x:f>I124*I29</x:f>
        <x:v>5.1000000000000005</x:v>
      </x:c>
      <x:c r="J125" s="1"/>
      <x:c r="K125" s="1"/>
    </x:row>
    <x:row r="126" ht="30" customHeight="1">
      <x:c r="A126" s="1"/>
      <x:c r="B126" s="1"/>
      <x:c r="C126" s="64"/>
      <x:c r="D126" s="8"/>
      <x:c r="E126" s="8"/>
      <x:c r="F126" s="8"/>
      <x:c r="G126" s="8"/>
      <x:c r="H126" s="8"/>
      <x:c r="I126" s="8"/>
      <x:c r="J126" s="1"/>
      <x:c r="K126" s="1"/>
    </x:row>
    <x:row r="127" ht="30" customHeight="1">
      <x:c r="A127" s="1"/>
      <x:c r="B127" s="1"/>
      <x:c r="C127" s="64"/>
      <x:c r="D127" s="8"/>
      <x:c r="E127" s="8"/>
      <x:c r="F127" s="8"/>
      <x:c r="G127" s="8"/>
      <x:c r="H127" s="8"/>
      <x:c r="I127" s="8"/>
      <x:c r="J127" s="1"/>
      <x:c r="K127" s="1"/>
    </x:row>
    <x:row r="128" ht="30" customHeight="1">
      <x:c r="A128" s="1"/>
      <x:c r="B128" s="1"/>
      <x:c r="C128" s="64"/>
      <x:c r="D128" s="8"/>
      <x:c r="E128" s="8"/>
      <x:c r="F128" s="8"/>
      <x:c r="G128" s="8"/>
      <x:c r="H128" s="8"/>
      <x:c r="I128" s="8"/>
      <x:c r="J128" s="1"/>
      <x:c r="K128" s="1"/>
    </x:row>
    <x:row r="129" ht="25" customHeight="1">
      <x:c r="A129" s="1"/>
      <x:c r="B129" s="1"/>
      <x:c r="C129" s="68" t="str">
        <x:v>CAPEX AND DEPRECIATION SCHEDULE</x:v>
      </x:c>
      <x:c r="D129" s="69"/>
      <x:c r="E129" s="69"/>
      <x:c r="F129" s="69"/>
      <x:c r="G129" s="69"/>
      <x:c r="H129" s="69"/>
      <x:c r="I129" s="69"/>
      <x:c r="J129" s="1"/>
      <x:c r="K129" s="1"/>
    </x:row>
    <x:row r="130" ht="30" customHeight="1">
      <x:c r="A130" s="1"/>
      <x:c r="B130" s="1"/>
      <x:c r="C130" s="64" t="str">
        <x:v>Opening net property plant and equipment</x:v>
      </x:c>
      <x:c r="D130" s="8"/>
      <x:c r="E130" s="8" t="n">
        <x:f>D34</x:f>
        <x:v>500</x:v>
      </x:c>
      <x:c r="F130" s="8" t="n">
        <x:f>E135</x:f>
        <x:v>584.7399499999999</x:v>
      </x:c>
      <x:c r="G130" s="8" t="n">
        <x:f>F135</x:f>
        <x:v>672.9238836499999</x:v>
      </x:c>
      <x:c r="H130" s="8" t="n">
        <x:f>G135</x:f>
        <x:v>765.9324815805498</x:v>
      </x:c>
      <x:c r="I130" s="8" t="n">
        <x:f>H135</x:f>
        <x:v>865.1119658612687</x:v>
      </x:c>
      <x:c r="J130" s="1"/>
      <x:c r="K130" s="1"/>
    </x:row>
    <x:row r="131" ht="30" customHeight="1">
      <x:c r="A131" s="1"/>
      <x:c r="B131" s="1"/>
      <x:c r="C131" s="64" t="str">
        <x:v>Capital expenditure added</x:v>
      </x:c>
      <x:c r="D131" s="8"/>
      <x:c r="E131" s="8" t="n">
        <x:f>E65</x:f>
        <x:v>174.73994999999996</x:v>
      </x:c>
      <x:c r="F131" s="8" t="n">
        <x:f>F65</x:f>
        <x:v>193.43712464999996</x:v>
      </x:c>
      <x:c r="G131" s="8" t="n">
        <x:f>G65</x:f>
        <x:v>214.13489698754995</x:v>
      </x:c>
      <x:c r="H131" s="8" t="n">
        <x:f>H65</x:f>
        <x:v>237.04733096521784</x:v>
      </x:c>
      <x:c r="I131" s="8" t="n">
        <x:f>I65</x:f>
        <x:v>262.4113953784961</x:v>
      </x:c>
      <x:c r="J131" s="1"/>
      <x:c r="K131" s="1"/>
    </x:row>
    <x:row r="132" ht="30" customHeight="1">
      <x:c r="A132" s="1"/>
      <x:c r="B132" s="1"/>
      <x:c r="C132" s="64" t="str">
        <x:v>Depreciation on opening assets</x:v>
      </x:c>
      <x:c r="D132" s="8"/>
      <x:c r="E132" s="8" t="n">
        <x:f>E130*E24</x:f>
        <x:v>90</x:v>
      </x:c>
      <x:c r="F132" s="8" t="n">
        <x:f>F130*F24</x:f>
        <x:v>105.25319099999997</x:v>
      </x:c>
      <x:c r="G132" s="8" t="n">
        <x:f>G130*G24</x:f>
        <x:v>121.12629905699997</x:v>
      </x:c>
      <x:c r="H132" s="8" t="n">
        <x:f>H130*H24</x:f>
        <x:v>137.86784668449897</x:v>
      </x:c>
      <x:c r="I132" s="8" t="n">
        <x:f>I130*I24</x:f>
        <x:v>155.72015385502837</x:v>
      </x:c>
      <x:c r="J132" s="1"/>
      <x:c r="K132" s="1"/>
    </x:row>
    <x:row r="133" ht="30" customHeight="1">
      <x:c r="A133" s="1"/>
      <x:c r="B133" s="1"/>
      <x:c r="C133" s="64" t="str">
        <x:v>Depreciation on current-year additions</x:v>
      </x:c>
      <x:c r="D133" s="8"/>
      <x:c r="E133" s="8" t="n">
        <x:f>E131*E24*$D$114</x:f>
        <x:v>0</x:v>
      </x:c>
      <x:c r="F133" s="8" t="n">
        <x:f>F131*F24*$D$114</x:f>
        <x:v>0</x:v>
      </x:c>
      <x:c r="G133" s="8" t="n">
        <x:f>G131*G24*$D$114</x:f>
        <x:v>0</x:v>
      </x:c>
      <x:c r="H133" s="8" t="n">
        <x:f>H131*H24*$D$114</x:f>
        <x:v>0</x:v>
      </x:c>
      <x:c r="I133" s="8" t="n">
        <x:f>I131*I24*$D$114</x:f>
        <x:v>0</x:v>
      </x:c>
      <x:c r="J133" s="1"/>
      <x:c r="K133" s="1"/>
    </x:row>
    <x:row r="134" ht="30" customHeight="1">
      <x:c r="A134" s="1"/>
      <x:c r="B134" s="1"/>
      <x:c r="C134" s="64" t="str">
        <x:v>Total depreciation charge</x:v>
      </x:c>
      <x:c r="D134" s="8"/>
      <x:c r="E134" s="8" t="n">
        <x:f>E132+E133</x:f>
        <x:v>90</x:v>
      </x:c>
      <x:c r="F134" s="8" t="n">
        <x:f>F132+F133</x:f>
        <x:v>105.25319099999997</x:v>
      </x:c>
      <x:c r="G134" s="8" t="n">
        <x:f>G132+G133</x:f>
        <x:v>121.12629905699997</x:v>
      </x:c>
      <x:c r="H134" s="8" t="n">
        <x:f>H132+H133</x:f>
        <x:v>137.86784668449897</x:v>
      </x:c>
      <x:c r="I134" s="8" t="n">
        <x:f>I132+I133</x:f>
        <x:v>155.72015385502837</x:v>
      </x:c>
      <x:c r="J134" s="1"/>
      <x:c r="K134" s="1"/>
    </x:row>
    <x:row r="135" ht="30" customHeight="1">
      <x:c r="A135" s="1"/>
      <x:c r="B135" s="1"/>
      <x:c r="C135" s="64" t="str">
        <x:v>Closing net property plant and equipment</x:v>
      </x:c>
      <x:c r="D135" s="8"/>
      <x:c r="E135" s="8" t="n">
        <x:f>E130+E131-E134</x:f>
        <x:v>584.7399499999999</x:v>
      </x:c>
      <x:c r="F135" s="8" t="n">
        <x:f>F130+F131-F134</x:f>
        <x:v>672.9238836499999</x:v>
      </x:c>
      <x:c r="G135" s="8" t="n">
        <x:f>G130+G131-G134</x:f>
        <x:v>765.9324815805498</x:v>
      </x:c>
      <x:c r="H135" s="8" t="n">
        <x:f>H130+H131-H134</x:f>
        <x:v>865.1119658612687</x:v>
      </x:c>
      <x:c r="I135" s="8" t="n">
        <x:f>I130+I131-I134</x:f>
        <x:v>971.8032073847363</x:v>
      </x:c>
      <x:c r="J135" s="1"/>
      <x:c r="K135" s="1"/>
    </x:row>
    <x:row r="136" ht="30" customHeight="1">
      <x:c r="A136" s="1"/>
      <x:c r="B136" s="1"/>
      <x:c r="C136" s="64"/>
      <x:c r="D136" s="8"/>
      <x:c r="E136" s="8"/>
      <x:c r="F136" s="8"/>
      <x:c r="G136" s="8"/>
      <x:c r="H136" s="8"/>
      <x:c r="I136" s="8"/>
      <x:c r="J136" s="1"/>
      <x:c r="K136" s="1"/>
    </x:row>
    <x:row r="137" ht="30" customHeight="1">
      <x:c r="A137" s="1"/>
      <x:c r="B137" s="1"/>
      <x:c r="C137" s="64"/>
      <x:c r="D137" s="8"/>
      <x:c r="E137" s="8"/>
      <x:c r="F137" s="8"/>
      <x:c r="G137" s="8"/>
      <x:c r="H137" s="8"/>
      <x:c r="I137" s="8"/>
      <x:c r="J137" s="1"/>
      <x:c r="K137" s="1"/>
    </x:row>
    <x:row r="138" ht="30" customHeight="1">
      <x:c r="A138" s="1"/>
      <x:c r="B138" s="1"/>
      <x:c r="C138" s="64"/>
      <x:c r="D138" s="8"/>
      <x:c r="E138" s="8"/>
      <x:c r="F138" s="8"/>
      <x:c r="G138" s="8"/>
      <x:c r="H138" s="8"/>
      <x:c r="I138" s="8"/>
      <x:c r="J138" s="1"/>
      <x:c r="K138" s="1"/>
    </x:row>
    <x:row r="139" ht="25" customHeight="1">
      <x:c r="A139" s="1"/>
      <x:c r="B139" s="1"/>
      <x:c r="C139" s="68" t="str">
        <x:v>CASH TAX SCHEDULE</x:v>
      </x:c>
      <x:c r="D139" s="69"/>
      <x:c r="E139" s="69"/>
      <x:c r="F139" s="69"/>
      <x:c r="G139" s="69"/>
      <x:c r="H139" s="69"/>
      <x:c r="I139" s="69"/>
      <x:c r="J139" s="1"/>
      <x:c r="K139" s="1"/>
    </x:row>
    <x:row r="140" ht="30" customHeight="1">
      <x:c r="A140" s="1"/>
      <x:c r="B140" s="1"/>
      <x:c r="C140" s="64" t="str">
        <x:v>Opening usable tax losses</x:v>
      </x:c>
      <x:c r="D140" s="8"/>
      <x:c r="E140" s="8" t="n">
        <x:f>$D$116</x:f>
        <x:v>0</x:v>
      </x:c>
      <x:c r="F140" s="8" t="n">
        <x:f>E145</x:f>
        <x:v>0</x:v>
      </x:c>
      <x:c r="G140" s="8" t="n">
        <x:f>F145</x:f>
        <x:v>0</x:v>
      </x:c>
      <x:c r="H140" s="8" t="n">
        <x:f>G145</x:f>
        <x:v>0</x:v>
      </x:c>
      <x:c r="I140" s="8" t="n">
        <x:f>H145</x:f>
        <x:v>0</x:v>
      </x:c>
      <x:c r="J140" s="1"/>
      <x:c r="K140" s="1"/>
    </x:row>
    <x:row r="141" ht="30" customHeight="1">
      <x:c r="A141" s="1"/>
      <x:c r="B141" s="1"/>
      <x:c r="C141" s="64" t="str">
        <x:v>Profit before tax for loss utilization</x:v>
      </x:c>
      <x:c r="D141" s="8"/>
      <x:c r="E141" s="8" t="n">
        <x:f>E56</x:f>
        <x:v>1149.6425</x:v>
      </x:c>
      <x:c r="F141" s="8" t="n">
        <x:f>F56</x:f>
        <x:v>1268.7905564999994</x:v>
      </x:c>
      <x:c r="G141" s="8" t="n">
        <x:f>G56</x:f>
        <x:v>1401.6086794254995</x:v>
      </x:c>
      <x:c r="H141" s="8" t="n">
        <x:f>H56</x:f>
        <x:v>1549.3773744956286</x:v>
      </x:c>
      <x:c r="I141" s="8" t="n">
        <x:f>I56</x:f>
        <x:v>1713.5469559913724</x:v>
      </x:c>
      <x:c r="J141" s="1"/>
      <x:c r="K141" s="1"/>
    </x:row>
    <x:row r="142" ht="30" customHeight="1">
      <x:c r="A142" s="1"/>
      <x:c r="B142" s="1"/>
      <x:c r="C142" s="64" t="str">
        <x:v>Tax losses utilized</x:v>
      </x:c>
      <x:c r="D142" s="8"/>
      <x:c r="E142" s="8" t="n">
        <x:f>MIN(E140,MAX(0,E141)*$D$117)</x:f>
        <x:v>0</x:v>
      </x:c>
      <x:c r="F142" s="8" t="n">
        <x:f>MIN(F140,MAX(0,F141)*$D$117)</x:f>
        <x:v>0</x:v>
      </x:c>
      <x:c r="G142" s="8" t="n">
        <x:f>MIN(G140,MAX(0,G141)*$D$117)</x:f>
        <x:v>0</x:v>
      </x:c>
      <x:c r="H142" s="8" t="n">
        <x:f>MIN(H140,MAX(0,H141)*$D$117)</x:f>
        <x:v>0</x:v>
      </x:c>
      <x:c r="I142" s="8" t="n">
        <x:f>MIN(I140,MAX(0,I141)*$D$117)</x:f>
        <x:v>0</x:v>
      </x:c>
      <x:c r="J142" s="1"/>
      <x:c r="K142" s="1"/>
    </x:row>
    <x:row r="143" ht="30" customHeight="1">
      <x:c r="A143" s="1"/>
      <x:c r="B143" s="1"/>
      <x:c r="C143" s="64" t="str">
        <x:v>Taxable profit after loss utilization</x:v>
      </x:c>
      <x:c r="D143" s="8"/>
      <x:c r="E143" s="8" t="n">
        <x:f>MAX(0,E141-E142)</x:f>
        <x:v>1149.6425</x:v>
      </x:c>
      <x:c r="F143" s="8" t="n">
        <x:f>MAX(0,F141-F142)</x:f>
        <x:v>1268.7905564999994</x:v>
      </x:c>
      <x:c r="G143" s="8" t="n">
        <x:f>MAX(0,G141-G142)</x:f>
        <x:v>1401.6086794254995</x:v>
      </x:c>
      <x:c r="H143" s="8" t="n">
        <x:f>MAX(0,H141-H142)</x:f>
        <x:v>1549.3773744956286</x:v>
      </x:c>
      <x:c r="I143" s="8" t="n">
        <x:f>MAX(0,I141-I142)</x:f>
        <x:v>1713.5469559913724</x:v>
      </x:c>
      <x:c r="J143" s="1"/>
      <x:c r="K143" s="1"/>
    </x:row>
    <x:row r="144" ht="30" customHeight="1">
      <x:c r="A144" s="1"/>
      <x:c r="B144" s="1"/>
      <x:c r="C144" s="64" t="str">
        <x:v>Cash income tax after loss utilization</x:v>
      </x:c>
      <x:c r="D144" s="8"/>
      <x:c r="E144" s="8" t="n">
        <x:f>E143*E28</x:f>
        <x:v>287.410625</x:v>
      </x:c>
      <x:c r="F144" s="8" t="n">
        <x:f>F143*F28</x:f>
        <x:v>317.19763912499985</x:v>
      </x:c>
      <x:c r="G144" s="8" t="n">
        <x:f>G143*G28</x:f>
        <x:v>350.4021698563749</x:v>
      </x:c>
      <x:c r="H144" s="8" t="n">
        <x:f>H143*H28</x:f>
        <x:v>387.34434362390715</x:v>
      </x:c>
      <x:c r="I144" s="8" t="n">
        <x:f>I143*I28</x:f>
        <x:v>428.3867389978431</x:v>
      </x:c>
      <x:c r="J144" s="1"/>
      <x:c r="K144" s="1"/>
    </x:row>
    <x:row r="145" ht="30" customHeight="1">
      <x:c r="A145" s="1"/>
      <x:c r="B145" s="1"/>
      <x:c r="C145" s="64" t="str">
        <x:v>Closing usable tax losses</x:v>
      </x:c>
      <x:c r="D145" s="8"/>
      <x:c r="E145" s="8" t="n">
        <x:f>E140-E142+MAX(0,-E141)</x:f>
        <x:v>0</x:v>
      </x:c>
      <x:c r="F145" s="8" t="n">
        <x:f>F140-F142+MAX(0,-F141)</x:f>
        <x:v>0</x:v>
      </x:c>
      <x:c r="G145" s="8" t="n">
        <x:f>G140-G142+MAX(0,-G141)</x:f>
        <x:v>0</x:v>
      </x:c>
      <x:c r="H145" s="8" t="n">
        <x:f>H140-H142+MAX(0,-H141)</x:f>
        <x:v>0</x:v>
      </x:c>
      <x:c r="I145" s="8" t="n">
        <x:f>I140-I142+MAX(0,-I141)</x:f>
        <x:v>0</x:v>
      </x:c>
      <x:c r="J145" s="1"/>
      <x:c r="K145" s="1"/>
    </x:row>
    <x:row r="146" ht="30" customHeight="1">
      <x:c r="A146" s="1"/>
      <x:c r="B146" s="1"/>
      <x:c r="C146" s="64"/>
      <x:c r="D146" s="8"/>
      <x:c r="E146" s="8"/>
      <x:c r="F146" s="8"/>
      <x:c r="G146" s="8"/>
      <x:c r="H146" s="8"/>
      <x:c r="I146" s="8"/>
      <x:c r="J146" s="1"/>
      <x:c r="K146" s="1"/>
    </x:row>
    <x:row r="147" ht="30" customHeight="1">
      <x:c r="A147" s="1"/>
      <x:c r="B147" s="1"/>
      <x:c r="C147" s="64"/>
      <x:c r="D147" s="8"/>
      <x:c r="E147" s="8"/>
      <x:c r="F147" s="8"/>
      <x:c r="G147" s="8"/>
      <x:c r="H147" s="8"/>
      <x:c r="I147" s="8"/>
      <x:c r="J147" s="1"/>
      <x:c r="K147" s="1"/>
    </x:row>
    <x:row r="148" ht="30" customHeight="1">
      <x:c r="A148" s="1"/>
      <x:c r="B148" s="1"/>
      <x:c r="C148" s="64"/>
      <x:c r="D148" s="8"/>
      <x:c r="E148" s="8"/>
      <x:c r="F148" s="8"/>
      <x:c r="G148" s="8"/>
      <x:c r="H148" s="8"/>
      <x:c r="I148" s="8"/>
      <x:c r="J148" s="1"/>
      <x:c r="K148" s="1"/>
    </x:row>
    <x:row r="149" ht="30" customHeight="1">
      <x:c r="A149" s="1"/>
      <x:c r="B149" s="1"/>
      <x:c r="C149" s="64"/>
      <x:c r="D149" s="8"/>
      <x:c r="E149" s="8"/>
      <x:c r="F149" s="8"/>
      <x:c r="G149" s="8"/>
      <x:c r="H149" s="8"/>
      <x:c r="I149" s="8"/>
      <x:c r="J149" s="1"/>
      <x:c r="K149" s="1"/>
    </x:row>
    <x:row r="150" ht="25" customHeight="1">
      <x:c r="A150" s="1"/>
      <x:c r="B150" s="1"/>
      <x:c r="C150" s="68" t="str">
        <x:v>DETAILED OPERATING BRIDGE INPUTS</x:v>
      </x:c>
      <x:c r="D150" s="69"/>
      <x:c r="E150" s="69"/>
      <x:c r="F150" s="69"/>
      <x:c r="G150" s="69"/>
      <x:c r="H150" s="69"/>
      <x:c r="I150" s="69"/>
      <x:c r="J150" s="1"/>
      <x:c r="K150" s="1"/>
    </x:row>
    <x:row r="151" ht="30" customHeight="1">
      <x:c r="A151" s="1"/>
      <x:c r="B151" s="1"/>
      <x:c r="C151" s="64" t="str">
        <x:v>Gross delivery FTE hires</x:v>
      </x:c>
      <x:c r="D151" s="8"/>
      <x:c r="E151" s="74" t="n">
        <x:f>E465</x:f>
        <x:v>1500</x:v>
      </x:c>
      <x:c r="F151" s="74" t="n">
        <x:f>F465</x:f>
        <x:v>1500</x:v>
      </x:c>
      <x:c r="G151" s="74" t="n">
        <x:f>G465</x:f>
        <x:v>1500</x:v>
      </x:c>
      <x:c r="H151" s="74" t="n">
        <x:f>H465</x:f>
        <x:v>1500</x:v>
      </x:c>
      <x:c r="I151" s="74" t="n">
        <x:f>I465</x:f>
        <x:v>1500</x:v>
      </x:c>
      <x:c r="J151" s="1"/>
      <x:c r="K151" s="1" t="str">
        <x:v>Detailed bridge: seed FTE is opening headcount; hires and exits assumed evenly through the year.</x:v>
      </x:c>
    </x:row>
    <x:row r="152" ht="30" customHeight="1">
      <x:c r="A152" s="1"/>
      <x:c r="B152" s="1"/>
      <x:c r="C152" s="64" t="str">
        <x:v>Delivery FTE attrition</x:v>
      </x:c>
      <x:c r="D152" s="8"/>
      <x:c r="E152" s="72" t="n">
        <x:f>E470</x:f>
        <x:v>0.1</x:v>
      </x:c>
      <x:c r="F152" s="72" t="n">
        <x:f>F470</x:f>
        <x:v>0.1</x:v>
      </x:c>
      <x:c r="G152" s="72" t="n">
        <x:f>G470</x:f>
        <x:v>0.1</x:v>
      </x:c>
      <x:c r="H152" s="72" t="n">
        <x:f>H470</x:f>
        <x:v>0.1</x:v>
      </x:c>
      <x:c r="I152" s="72" t="n">
        <x:f>I470</x:f>
        <x:v>0.1</x:v>
      </x:c>
      <x:c r="J152" s="1"/>
      <x:c r="K152" s="1"/>
    </x:row>
    <x:row r="153" ht="30" customHeight="1">
      <x:c r="A153" s="1"/>
      <x:c r="B153" s="1"/>
      <x:c r="C153" s="64" t="str">
        <x:v>Offshore share of billable FTE</x:v>
      </x:c>
      <x:c r="D153" s="8"/>
      <x:c r="E153" s="72" t="n">
        <x:f>E475</x:f>
        <x:v>0.8</x:v>
      </x:c>
      <x:c r="F153" s="72" t="n">
        <x:f>F475</x:f>
        <x:v>0.8</x:v>
      </x:c>
      <x:c r="G153" s="72" t="n">
        <x:f>G475</x:f>
        <x:v>0.8</x:v>
      </x:c>
      <x:c r="H153" s="72" t="n">
        <x:f>H475</x:f>
        <x:v>0.8</x:v>
      </x:c>
      <x:c r="I153" s="72" t="n">
        <x:f>I475</x:f>
        <x:v>0.8</x:v>
      </x:c>
      <x:c r="J153" s="1"/>
      <x:c r="K153" s="1"/>
    </x:row>
    <x:row r="154" ht="30" customHeight="1">
      <x:c r="A154" s="1"/>
      <x:c r="B154" s="1"/>
      <x:c r="C154" s="64" t="str">
        <x:v>Onsite billing / offshore billing multiple</x:v>
      </x:c>
      <x:c r="D154" s="8"/>
      <x:c r="E154" s="80" t="n">
        <x:f>E480</x:f>
        <x:v>2</x:v>
      </x:c>
      <x:c r="F154" s="80" t="n">
        <x:f>F480</x:f>
        <x:v>2</x:v>
      </x:c>
      <x:c r="G154" s="80" t="n">
        <x:f>G480</x:f>
        <x:v>2</x:v>
      </x:c>
      <x:c r="H154" s="80" t="n">
        <x:f>H480</x:f>
        <x:v>2</x:v>
      </x:c>
      <x:c r="I154" s="80" t="n">
        <x:f>I480</x:f>
        <x:v>2</x:v>
      </x:c>
      <x:c r="J154" s="1"/>
      <x:c r="K154" s="1"/>
    </x:row>
    <x:row r="155" ht="30" customHeight="1">
      <x:c r="A155" s="1"/>
      <x:c r="B155" s="1"/>
      <x:c r="C155" s="64"/>
      <x:c r="D155" s="8"/>
      <x:c r="E155" s="8"/>
      <x:c r="F155" s="8"/>
      <x:c r="G155" s="8"/>
      <x:c r="H155" s="8"/>
      <x:c r="I155" s="8"/>
      <x:c r="J155" s="1"/>
      <x:c r="K155" s="1"/>
    </x:row>
    <x:row r="156" ht="30" customHeight="1">
      <x:c r="A156" s="1"/>
      <x:c r="B156" s="1"/>
      <x:c r="C156" s="64"/>
      <x:c r="D156" s="8"/>
      <x:c r="E156" s="8"/>
      <x:c r="F156" s="8"/>
      <x:c r="G156" s="8"/>
      <x:c r="H156" s="8"/>
      <x:c r="I156" s="8"/>
      <x:c r="J156" s="1"/>
      <x:c r="K156" s="1"/>
    </x:row>
    <x:row r="157" ht="30" customHeight="1">
      <x:c r="A157" s="1"/>
      <x:c r="B157" s="1"/>
      <x:c r="C157" s="64"/>
      <x:c r="D157" s="8"/>
      <x:c r="E157" s="8"/>
      <x:c r="F157" s="8"/>
      <x:c r="G157" s="8"/>
      <x:c r="H157" s="8"/>
      <x:c r="I157" s="8"/>
      <x:c r="J157" s="1"/>
      <x:c r="K157" s="1"/>
    </x:row>
    <x:row r="158" ht="30" customHeight="1">
      <x:c r="A158" s="1"/>
      <x:c r="B158" s="1"/>
      <x:c r="C158" s="64"/>
      <x:c r="D158" s="8"/>
      <x:c r="E158" s="8"/>
      <x:c r="F158" s="8"/>
      <x:c r="G158" s="8"/>
      <x:c r="H158" s="8"/>
      <x:c r="I158" s="8"/>
      <x:c r="J158" s="1"/>
      <x:c r="K158" s="1"/>
    </x:row>
    <x:row r="159" ht="25" customHeight="1">
      <x:c r="A159" s="1"/>
      <x:c r="B159" s="1"/>
      <x:c r="C159" s="68" t="str">
        <x:v>DETAILED OPERATING BRIDGE</x:v>
      </x:c>
      <x:c r="D159" s="69"/>
      <x:c r="E159" s="69"/>
      <x:c r="F159" s="69"/>
      <x:c r="G159" s="69"/>
      <x:c r="H159" s="69"/>
      <x:c r="I159" s="69"/>
      <x:c r="J159" s="1"/>
      <x:c r="K159" s="1"/>
    </x:row>
    <x:row r="160" ht="30" customHeight="1">
      <x:c r="A160" s="1"/>
      <x:c r="B160" s="1"/>
      <x:c r="C160" s="64" t="str">
        <x:v>Opening delivery FTE</x:v>
      </x:c>
      <x:c r="D160" s="8"/>
      <x:c r="E160" s="8" t="n">
        <x:f>$D$10</x:f>
        <x:v>10000</x:v>
      </x:c>
      <x:c r="F160" s="8" t="n">
        <x:f>E163</x:f>
        <x:v>10500</x:v>
      </x:c>
      <x:c r="G160" s="8" t="n">
        <x:f>F163</x:f>
        <x:v>10950</x:v>
      </x:c>
      <x:c r="H160" s="8" t="n">
        <x:f>G163</x:f>
        <x:v>11355</x:v>
      </x:c>
      <x:c r="I160" s="8" t="n">
        <x:f>H163</x:f>
        <x:v>11719.5</x:v>
      </x:c>
      <x:c r="J160" s="1"/>
      <x:c r="K160" s="1"/>
    </x:row>
    <x:row r="161" ht="30" customHeight="1">
      <x:c r="A161" s="1"/>
      <x:c r="B161" s="1"/>
      <x:c r="C161" s="64" t="str">
        <x:v>Delivery FTE hires</x:v>
      </x:c>
      <x:c r="D161" s="8"/>
      <x:c r="E161" s="8" t="n">
        <x:f>E151</x:f>
        <x:v>1500</x:v>
      </x:c>
      <x:c r="F161" s="8" t="n">
        <x:f>F151</x:f>
        <x:v>1500</x:v>
      </x:c>
      <x:c r="G161" s="8" t="n">
        <x:f>G151</x:f>
        <x:v>1500</x:v>
      </x:c>
      <x:c r="H161" s="8" t="n">
        <x:f>H151</x:f>
        <x:v>1500</x:v>
      </x:c>
      <x:c r="I161" s="8" t="n">
        <x:f>I151</x:f>
        <x:v>1500</x:v>
      </x:c>
      <x:c r="J161" s="1"/>
      <x:c r="K161" s="1"/>
    </x:row>
    <x:row r="162" ht="30" customHeight="1">
      <x:c r="A162" s="1"/>
      <x:c r="B162" s="1"/>
      <x:c r="C162" s="64" t="str">
        <x:v>Delivery FTE exits</x:v>
      </x:c>
      <x:c r="D162" s="8"/>
      <x:c r="E162" s="8" t="n">
        <x:f>E160*E152</x:f>
        <x:v>1000</x:v>
      </x:c>
      <x:c r="F162" s="8" t="n">
        <x:f>F160*F152</x:f>
        <x:v>1050</x:v>
      </x:c>
      <x:c r="G162" s="8" t="n">
        <x:f>G160*G152</x:f>
        <x:v>1095</x:v>
      </x:c>
      <x:c r="H162" s="8" t="n">
        <x:f>H160*H152</x:f>
        <x:v>1135.5</x:v>
      </x:c>
      <x:c r="I162" s="8" t="n">
        <x:f>I160*I152</x:f>
        <x:v>1171.95</x:v>
      </x:c>
      <x:c r="J162" s="1"/>
      <x:c r="K162" s="1"/>
    </x:row>
    <x:row r="163" ht="30" customHeight="1">
      <x:c r="A163" s="1"/>
      <x:c r="B163" s="1"/>
      <x:c r="C163" s="64" t="str">
        <x:v>Closing delivery FTE</x:v>
      </x:c>
      <x:c r="D163" s="8"/>
      <x:c r="E163" s="8" t="n">
        <x:f>E160+E161-E162</x:f>
        <x:v>10500</x:v>
      </x:c>
      <x:c r="F163" s="8" t="n">
        <x:f>F160+F161-F162</x:f>
        <x:v>10950</x:v>
      </x:c>
      <x:c r="G163" s="8" t="n">
        <x:f>G160+G161-G162</x:f>
        <x:v>11355</x:v>
      </x:c>
      <x:c r="H163" s="8" t="n">
        <x:f>H160+H161-H162</x:f>
        <x:v>11719.5</x:v>
      </x:c>
      <x:c r="I163" s="8" t="n">
        <x:f>I160+I161-I162</x:f>
        <x:v>12047.55</x:v>
      </x:c>
      <x:c r="J163" s="1"/>
      <x:c r="K163" s="1"/>
    </x:row>
    <x:row r="164" ht="30" customHeight="1">
      <x:c r="A164" s="1"/>
      <x:c r="B164" s="1"/>
      <x:c r="C164" s="64" t="str">
        <x:v>Average delivery FTE in service</x:v>
      </x:c>
      <x:c r="D164" s="8"/>
      <x:c r="E164" s="8" t="n">
        <x:f>(E160+E163)/2</x:f>
        <x:v>10250</x:v>
      </x:c>
      <x:c r="F164" s="8" t="n">
        <x:f>(F160+F163)/2</x:f>
        <x:v>10725</x:v>
      </x:c>
      <x:c r="G164" s="8" t="n">
        <x:f>(G160+G163)/2</x:f>
        <x:v>11152.5</x:v>
      </x:c>
      <x:c r="H164" s="8" t="n">
        <x:f>(H160+H163)/2</x:f>
        <x:v>11537.25</x:v>
      </x:c>
      <x:c r="I164" s="8" t="n">
        <x:f>(I160+I163)/2</x:f>
        <x:v>11883.525</x:v>
      </x:c>
      <x:c r="J164" s="1"/>
      <x:c r="K164" s="1"/>
    </x:row>
    <x:row r="165" ht="30" customHeight="1">
      <x:c r="A165" s="1"/>
      <x:c r="B165" s="1"/>
      <x:c r="C165" s="64" t="str">
        <x:v>Offshore billable FTE</x:v>
      </x:c>
      <x:c r="D165" s="8"/>
      <x:c r="E165" s="8" t="n">
        <x:f>E164*E20*E153</x:f>
        <x:v>6724</x:v>
      </x:c>
      <x:c r="F165" s="8" t="n">
        <x:f>F164*F20*F153</x:f>
        <x:v>7035.6</x:v>
      </x:c>
      <x:c r="G165" s="8" t="n">
        <x:f>G164*G20*G153</x:f>
        <x:v>7316.04</x:v>
      </x:c>
      <x:c r="H165" s="8" t="n">
        <x:f>H164*H20*H153</x:f>
        <x:v>7568.436000000001</x:v>
      </x:c>
      <x:c r="I165" s="8" t="n">
        <x:f>I164*I20*I153</x:f>
        <x:v>7795.5924</x:v>
      </x:c>
      <x:c r="J165" s="1"/>
      <x:c r="K165" s="1"/>
    </x:row>
    <x:row r="166" ht="30" customHeight="1">
      <x:c r="A166" s="1"/>
      <x:c r="B166" s="1"/>
      <x:c r="C166" s="64" t="str">
        <x:v>Onsite billable FTE</x:v>
      </x:c>
      <x:c r="D166" s="8"/>
      <x:c r="E166" s="8" t="n">
        <x:f>E164*E20*(1-E153)</x:f>
        <x:v>1680.9999999999995</x:v>
      </x:c>
      <x:c r="F166" s="8" t="n">
        <x:f>F164*F20*(1-F153)</x:f>
        <x:v>1758.8999999999996</x:v>
      </x:c>
      <x:c r="G166" s="8" t="n">
        <x:f>G164*G20*(1-G153)</x:f>
        <x:v>1829.0099999999995</x:v>
      </x:c>
      <x:c r="H166" s="8" t="n">
        <x:f>H164*H20*(1-H153)</x:f>
        <x:v>1892.1089999999997</x:v>
      </x:c>
      <x:c r="I166" s="8" t="n">
        <x:f>I164*I20*(1-I153)</x:f>
        <x:v>1948.8980999999994</x:v>
      </x:c>
      <x:c r="J166" s="1"/>
      <x:c r="K166" s="1"/>
    </x:row>
    <x:row r="167" ht="30" customHeight="1">
      <x:c r="A167" s="1"/>
      <x:c r="B167" s="1"/>
      <x:c r="C167" s="64" t="str">
        <x:v>Offshore annual billing (INR lakh)</x:v>
      </x:c>
      <x:c r="D167" s="8"/>
      <x:c r="E167" s="8" t="n">
        <x:f>E45</x:f>
        <x:v>56.37499999999999</x:v>
      </x:c>
      <x:c r="F167" s="8" t="n">
        <x:f>F45</x:f>
        <x:v>57.78437499999999</x:v>
      </x:c>
      <x:c r="G167" s="8" t="n">
        <x:f>G45</x:f>
        <x:v>59.22898437499998</x:v>
      </x:c>
      <x:c r="H167" s="8" t="n">
        <x:f>H45</x:f>
        <x:v>60.70970898437498</x:v>
      </x:c>
      <x:c r="I167" s="8" t="n">
        <x:f>I45</x:f>
        <x:v>62.22745170898435</x:v>
      </x:c>
      <x:c r="J167" s="1"/>
      <x:c r="K167" s="1"/>
    </x:row>
    <x:row r="168" ht="30" customHeight="1">
      <x:c r="A168" s="1"/>
      <x:c r="B168" s="1"/>
      <x:c r="C168" s="64" t="str">
        <x:v>Onsite annual billing (INR lakh)</x:v>
      </x:c>
      <x:c r="D168" s="8"/>
      <x:c r="E168" s="8" t="n">
        <x:f>E167*E154</x:f>
        <x:v>112.74999999999999</x:v>
      </x:c>
      <x:c r="F168" s="8" t="n">
        <x:f>F167*F154</x:f>
        <x:v>115.56874999999998</x:v>
      </x:c>
      <x:c r="G168" s="8" t="n">
        <x:f>G167*G154</x:f>
        <x:v>118.45796874999996</x:v>
      </x:c>
      <x:c r="H168" s="8" t="n">
        <x:f>H167*H154</x:f>
        <x:v>121.41941796874995</x:v>
      </x:c>
      <x:c r="I168" s="8" t="n">
        <x:f>I167*I154</x:f>
        <x:v>124.4549034179687</x:v>
      </x:c>
      <x:c r="J168" s="1"/>
      <x:c r="K168" s="1"/>
    </x:row>
    <x:row r="169" ht="30" customHeight="1">
      <x:c r="A169" s="1"/>
      <x:c r="B169" s="1"/>
      <x:c r="C169" s="64" t="str">
        <x:v>Delivery bridge revenue</x:v>
      </x:c>
      <x:c r="D169" s="8"/>
      <x:c r="E169" s="8" t="n">
        <x:f>(E165*E167+E166*E168)*'Controls'!$E$15/'Controls'!$E$9</x:f>
        <x:v>5685.982499999998</x:v>
      </x:c>
      <x:c r="F169" s="8" t="n">
        <x:f>(F165*F167+F166*F168)*'Controls'!$E$15/'Controls'!$E$9</x:f>
        <x:v>6098.2162312499995</x:v>
      </x:c>
      <x:c r="G169" s="8" t="n">
        <x:f>(G165*G167+G166*G168)*'Controls'!$E$15/'Controls'!$E$9</x:f>
        <x:v>6499.824282703123</x:v>
      </x:c>
      <x:c r="H169" s="8" t="n">
        <x:f>(H165*H167+H166*H168)*'Controls'!$E$15/'Controls'!$E$9</x:f>
        <x:v>6892.163205403006</x:v>
      </x:c>
      <x:c r="I169" s="8" t="n">
        <x:f>(I165*I167+I166*I168)*'Controls'!$E$15/'Controls'!$E$9</x:f>
        <x:v>7276.49774420888</x:v>
      </x:c>
      <x:c r="J169" s="1"/>
      <x:c r="K169" s="1"/>
    </x:row>
    <x:row r="170" ht="30" customHeight="1">
      <x:c r="A170" s="1"/>
      <x:c r="B170" s="1"/>
      <x:c r="C170" s="64"/>
      <x:c r="D170" s="8"/>
      <x:c r="E170" s="8"/>
      <x:c r="F170" s="8"/>
      <x:c r="G170" s="8"/>
      <x:c r="H170" s="8"/>
      <x:c r="I170" s="8"/>
      <x:c r="J170" s="1"/>
      <x:c r="K170" s="1"/>
    </x:row>
    <x:row r="171" ht="30" customHeight="1">
      <x:c r="A171" s="1"/>
      <x:c r="B171" s="1"/>
      <x:c r="C171" s="64"/>
      <x:c r="D171" s="8"/>
      <x:c r="E171" s="8"/>
      <x:c r="F171" s="8"/>
      <x:c r="G171" s="8"/>
      <x:c r="H171" s="8"/>
      <x:c r="I171" s="8"/>
      <x:c r="J171" s="1"/>
      <x:c r="K171" s="1"/>
    </x:row>
    <x:row r="172" ht="30" customHeight="1">
      <x:c r="A172" s="1"/>
      <x:c r="B172" s="1"/>
      <x:c r="C172" s="64"/>
      <x:c r="D172" s="8"/>
      <x:c r="E172" s="8"/>
      <x:c r="F172" s="8"/>
      <x:c r="G172" s="8"/>
      <x:c r="H172" s="8"/>
      <x:c r="I172" s="8"/>
      <x:c r="J172" s="1"/>
      <x:c r="K172" s="1"/>
    </x:row>
    <x:row r="173" ht="30" customHeight="1">
      <x:c r="A173" s="1"/>
      <x:c r="B173" s="1"/>
      <x:c r="C173" s="64"/>
      <x:c r="D173" s="8"/>
      <x:c r="E173" s="8"/>
      <x:c r="F173" s="8"/>
      <x:c r="G173" s="8"/>
      <x:c r="H173" s="8"/>
      <x:c r="I173" s="8"/>
      <x:c r="J173" s="1"/>
      <x:c r="K173" s="1"/>
    </x:row>
    <x:row r="174" ht="30" customHeight="1">
      <x:c r="A174" s="1"/>
      <x:c r="B174" s="1"/>
      <x:c r="C174" s="64"/>
      <x:c r="D174" s="8"/>
      <x:c r="E174" s="8"/>
      <x:c r="F174" s="8"/>
      <x:c r="G174" s="8"/>
      <x:c r="H174" s="8"/>
      <x:c r="I174" s="8"/>
      <x:c r="J174" s="1"/>
      <x:c r="K174" s="1"/>
    </x:row>
    <x:row r="175" ht="30" customHeight="1">
      <x:c r="A175" s="1"/>
      <x:c r="B175" s="1"/>
      <x:c r="C175" s="64"/>
      <x:c r="D175" s="8"/>
      <x:c r="E175" s="8"/>
      <x:c r="F175" s="8"/>
      <x:c r="G175" s="8"/>
      <x:c r="H175" s="8"/>
      <x:c r="I175" s="8"/>
      <x:c r="J175" s="1"/>
      <x:c r="K175" s="1"/>
    </x:row>
    <x:row r="176" ht="30" customHeight="1">
      <x:c r="A176" s="1"/>
      <x:c r="B176" s="1"/>
      <x:c r="C176" s="64"/>
      <x:c r="D176" s="8"/>
      <x:c r="E176" s="8"/>
      <x:c r="F176" s="8"/>
      <x:c r="G176" s="8"/>
      <x:c r="H176" s="8"/>
      <x:c r="I176" s="8"/>
      <x:c r="J176" s="1"/>
      <x:c r="K176" s="1"/>
    </x:row>
    <x:row r="177" ht="30" customHeight="1">
      <x:c r="A177" s="1"/>
      <x:c r="B177" s="1"/>
      <x:c r="C177" s="64"/>
      <x:c r="D177" s="8"/>
      <x:c r="E177" s="8"/>
      <x:c r="F177" s="8"/>
      <x:c r="G177" s="8"/>
      <x:c r="H177" s="8"/>
      <x:c r="I177" s="8"/>
      <x:c r="J177" s="1"/>
      <x:c r="K177" s="1"/>
    </x:row>
    <x:row r="178" ht="30" customHeight="1">
      <x:c r="A178" s="1"/>
      <x:c r="B178" s="1"/>
      <x:c r="C178" s="64"/>
      <x:c r="D178" s="8"/>
      <x:c r="E178" s="8"/>
      <x:c r="F178" s="8"/>
      <x:c r="G178" s="8"/>
      <x:c r="H178" s="8"/>
      <x:c r="I178" s="8"/>
      <x:c r="J178" s="1"/>
      <x:c r="K178" s="1"/>
    </x:row>
    <x:row r="179" ht="25" customHeight="1">
      <x:c r="A179" s="1"/>
      <x:c r="B179" s="1"/>
      <x:c r="C179" s="68" t="str">
        <x:v>MODEL CHECKS</x:v>
      </x:c>
      <x:c r="D179" s="69"/>
      <x:c r="E179" s="69"/>
      <x:c r="F179" s="69"/>
      <x:c r="G179" s="69"/>
      <x:c r="H179" s="69"/>
      <x:c r="I179" s="69"/>
      <x:c r="J179" s="1"/>
      <x:c r="K179" s="1"/>
    </x:row>
    <x:row r="180" ht="30" customHeight="1">
      <x:c r="A180" s="1"/>
      <x:c r="B180" s="1"/>
      <x:c r="C180" s="64" t="str">
        <x:v>Average delivery FTE — seed input outside bounds</x:v>
      </x:c>
      <x:c r="D180" s="8"/>
      <x:c r="E180" s="75" t="n">
        <x:f>IF(COUNT(D10)=0,1,IF(D10&lt;0,1,0))</x:f>
        <x:v>0</x:v>
      </x:c>
      <x:c r="F180" s="75" t="n">
        <x:f>IF(COUNT(D10)=0,1,IF(D10&lt;0,1,0))</x:f>
        <x:v>0</x:v>
      </x:c>
      <x:c r="G180" s="75" t="n">
        <x:f>IF(COUNT(D10)=0,1,IF(D10&lt;0,1,0))</x:f>
        <x:v>0</x:v>
      </x:c>
      <x:c r="H180" s="75" t="n">
        <x:f>IF(COUNT(D10)=0,1,IF(D10&lt;0,1,0))</x:f>
        <x:v>0</x:v>
      </x:c>
      <x:c r="I180" s="75" t="n">
        <x:f>IF(COUNT(D10)=0,1,IF(D10&lt;0,1,0))</x:f>
        <x:v>0</x:v>
      </x:c>
      <x:c r="J180" s="1"/>
      <x:c r="K180" s="1"/>
    </x:row>
    <x:row r="181" ht="30" customHeight="1">
      <x:c r="A181" s="1"/>
      <x:c r="B181" s="1"/>
      <x:c r="C181" s="64" t="str">
        <x:v>Annual billing per utilized FTE (INR lakh) — seed input outside bounds</x:v>
      </x:c>
      <x:c r="D181" s="8"/>
      <x:c r="E181" s="75" t="n">
        <x:f>IF(COUNT(D11)=0,1,IF(D11&lt;0,1,0))</x:f>
        <x:v>0</x:v>
      </x:c>
      <x:c r="F181" s="75" t="n">
        <x:f>IF(COUNT(D11)=0,1,IF(D11&lt;0,1,0))</x:f>
        <x:v>0</x:v>
      </x:c>
      <x:c r="G181" s="75" t="n">
        <x:f>IF(COUNT(D11)=0,1,IF(D11&lt;0,1,0))</x:f>
        <x:v>0</x:v>
      </x:c>
      <x:c r="H181" s="75" t="n">
        <x:f>IF(COUNT(D11)=0,1,IF(D11&lt;0,1,0))</x:f>
        <x:v>0</x:v>
      </x:c>
      <x:c r="I181" s="75" t="n">
        <x:f>IF(COUNT(D11)=0,1,IF(D11&lt;0,1,0))</x:f>
        <x:v>0</x:v>
      </x:c>
      <x:c r="J181" s="1"/>
      <x:c r="K181" s="1"/>
    </x:row>
    <x:row r="182" ht="30" customHeight="1">
      <x:c r="A182" s="1"/>
      <x:c r="B182" s="1"/>
      <x:c r="C182" s="64" t="str">
        <x:v>Operating scale growth input outside bounds</x:v>
      </x:c>
      <x:c r="D182" s="8"/>
      <x:c r="E182" s="75" t="n">
        <x:f>IF(COUNT(E12)=0,1,IF(E12&lt;-1,1,0))</x:f>
        <x:v>0</x:v>
      </x:c>
      <x:c r="F182" s="75" t="n">
        <x:f>IF(COUNT(F12)=0,1,IF(F12&lt;-1,1,0))</x:f>
        <x:v>0</x:v>
      </x:c>
      <x:c r="G182" s="75" t="n">
        <x:f>IF(COUNT(G12)=0,1,IF(G12&lt;-1,1,0))</x:f>
        <x:v>0</x:v>
      </x:c>
      <x:c r="H182" s="75" t="n">
        <x:f>IF(COUNT(H12)=0,1,IF(H12&lt;-1,1,0))</x:f>
        <x:v>0</x:v>
      </x:c>
      <x:c r="I182" s="75" t="n">
        <x:f>IF(COUNT(I12)=0,1,IF(I12&lt;-1,1,0))</x:f>
        <x:v>0</x:v>
      </x:c>
      <x:c r="J182" s="1"/>
      <x:c r="K182" s="1"/>
    </x:row>
    <x:row r="183" ht="30" customHeight="1">
      <x:c r="A183" s="1"/>
      <x:c r="B183" s="1"/>
      <x:c r="C183" s="64" t="str">
        <x:v>Realization growth input outside bounds</x:v>
      </x:c>
      <x:c r="D183" s="8"/>
      <x:c r="E183" s="75" t="n">
        <x:f>IF(COUNT(E16)=0,1,IF(E16&lt;-1,1,0))</x:f>
        <x:v>0</x:v>
      </x:c>
      <x:c r="F183" s="75" t="n">
        <x:f>IF(COUNT(F16)=0,1,IF(F16&lt;-1,1,0))</x:f>
        <x:v>0</x:v>
      </x:c>
      <x:c r="G183" s="75" t="n">
        <x:f>IF(COUNT(G16)=0,1,IF(G16&lt;-1,1,0))</x:f>
        <x:v>0</x:v>
      </x:c>
      <x:c r="H183" s="75" t="n">
        <x:f>IF(COUNT(H16)=0,1,IF(H16&lt;-1,1,0))</x:f>
        <x:v>0</x:v>
      </x:c>
      <x:c r="I183" s="75" t="n">
        <x:f>IF(COUNT(I16)=0,1,IF(I16&lt;-1,1,0))</x:f>
        <x:v>0</x:v>
      </x:c>
      <x:c r="J183" s="1"/>
      <x:c r="K183" s="1"/>
    </x:row>
    <x:row r="184" ht="30" customHeight="1">
      <x:c r="A184" s="1"/>
      <x:c r="B184" s="1"/>
      <x:c r="C184" s="64" t="str">
        <x:v>Billable utilization input outside bounds</x:v>
      </x:c>
      <x:c r="D184" s="8"/>
      <x:c r="E184" s="75" t="n">
        <x:f>IF(COUNT(E20)=0,1,IF(E20&lt;0,1,IF(E20&gt;1,1,0)))</x:f>
        <x:v>0</x:v>
      </x:c>
      <x:c r="F184" s="75" t="n">
        <x:f>IF(COUNT(F20)=0,1,IF(F20&lt;0,1,IF(F20&gt;1,1,0)))</x:f>
        <x:v>0</x:v>
      </x:c>
      <x:c r="G184" s="75" t="n">
        <x:f>IF(COUNT(G20)=0,1,IF(G20&lt;0,1,IF(G20&gt;1,1,0)))</x:f>
        <x:v>0</x:v>
      </x:c>
      <x:c r="H184" s="75" t="n">
        <x:f>IF(COUNT(H20)=0,1,IF(H20&lt;0,1,IF(H20&gt;1,1,0)))</x:f>
        <x:v>0</x:v>
      </x:c>
      <x:c r="I184" s="75" t="n">
        <x:f>IF(COUNT(I20)=0,1,IF(I20&lt;0,1,IF(I20&gt;1,1,0)))</x:f>
        <x:v>0</x:v>
      </x:c>
      <x:c r="J184" s="1"/>
      <x:c r="K184" s="1"/>
    </x:row>
    <x:row r="185" ht="30" customHeight="1">
      <x:c r="A185" s="1"/>
      <x:c r="B185" s="1"/>
      <x:c r="C185" s="64" t="str">
        <x:v>Employee delivery cost / revenue input outside bounds</x:v>
      </x:c>
      <x:c r="D185" s="8"/>
      <x:c r="E185" s="75" t="n">
        <x:f>IF(COUNT(E21)=0,1,IF(E21&lt;0,1,0))</x:f>
        <x:v>0</x:v>
      </x:c>
      <x:c r="F185" s="75" t="n">
        <x:f>IF(COUNT(F21)=0,1,IF(F21&lt;0,1,0))</x:f>
        <x:v>0</x:v>
      </x:c>
      <x:c r="G185" s="75" t="n">
        <x:f>IF(COUNT(G21)=0,1,IF(G21&lt;0,1,0))</x:f>
        <x:v>0</x:v>
      </x:c>
      <x:c r="H185" s="75" t="n">
        <x:f>IF(COUNT(H21)=0,1,IF(H21&lt;0,1,0))</x:f>
        <x:v>0</x:v>
      </x:c>
      <x:c r="I185" s="75" t="n">
        <x:f>IF(COUNT(I21)=0,1,IF(I21&lt;0,1,0))</x:f>
        <x:v>0</x:v>
      </x:c>
      <x:c r="J185" s="1"/>
      <x:c r="K185" s="1"/>
    </x:row>
    <x:row r="186" ht="30" customHeight="1">
      <x:c r="A186" s="1"/>
      <x:c r="B186" s="1"/>
      <x:c r="C186" s="64" t="str">
        <x:v>Other cash operating costs / revenue input outside bounds</x:v>
      </x:c>
      <x:c r="D186" s="8"/>
      <x:c r="E186" s="75" t="n">
        <x:f>IF(COUNT(E22)=0,1,IF(E22&lt;0,1,0))</x:f>
        <x:v>0</x:v>
      </x:c>
      <x:c r="F186" s="75" t="n">
        <x:f>IF(COUNT(F22)=0,1,IF(F22&lt;0,1,0))</x:f>
        <x:v>0</x:v>
      </x:c>
      <x:c r="G186" s="75" t="n">
        <x:f>IF(COUNT(G22)=0,1,IF(G22&lt;0,1,0))</x:f>
        <x:v>0</x:v>
      </x:c>
      <x:c r="H186" s="75" t="n">
        <x:f>IF(COUNT(H22)=0,1,IF(H22&lt;0,1,0))</x:f>
        <x:v>0</x:v>
      </x:c>
      <x:c r="I186" s="75" t="n">
        <x:f>IF(COUNT(I22)=0,1,IF(I22&lt;0,1,0))</x:f>
        <x:v>0</x:v>
      </x:c>
      <x:c r="J186" s="1"/>
      <x:c r="K186" s="1"/>
    </x:row>
    <x:row r="187" ht="30" customHeight="1">
      <x:c r="A187" s="1"/>
      <x:c r="B187" s="1"/>
      <x:c r="C187" s="64" t="str">
        <x:v>Cash capex / revenue input outside bounds</x:v>
      </x:c>
      <x:c r="D187" s="8"/>
      <x:c r="E187" s="75" t="n">
        <x:f>IF(COUNT(E23)=0,1,IF(E23&lt;0,1,0))</x:f>
        <x:v>0</x:v>
      </x:c>
      <x:c r="F187" s="75" t="n">
        <x:f>IF(COUNT(F23)=0,1,IF(F23&lt;0,1,0))</x:f>
        <x:v>0</x:v>
      </x:c>
      <x:c r="G187" s="75" t="n">
        <x:f>IF(COUNT(G23)=0,1,IF(G23&lt;0,1,0))</x:f>
        <x:v>0</x:v>
      </x:c>
      <x:c r="H187" s="75" t="n">
        <x:f>IF(COUNT(H23)=0,1,IF(H23&lt;0,1,0))</x:f>
        <x:v>0</x:v>
      </x:c>
      <x:c r="I187" s="75" t="n">
        <x:f>IF(COUNT(I23)=0,1,IF(I23&lt;0,1,0))</x:f>
        <x:v>0</x:v>
      </x:c>
      <x:c r="J187" s="1"/>
      <x:c r="K187" s="1"/>
    </x:row>
    <x:row r="188" ht="30" customHeight="1">
      <x:c r="A188" s="1"/>
      <x:c r="B188" s="1"/>
      <x:c r="C188" s="64" t="str">
        <x:v>D&amp;A / opening net PP&amp;E input outside bounds</x:v>
      </x:c>
      <x:c r="D188" s="8"/>
      <x:c r="E188" s="75" t="n">
        <x:f>IF(COUNT(E24)=0,1,IF(E24&lt;0,1,IF(E24&gt;1,1,0)))</x:f>
        <x:v>0</x:v>
      </x:c>
      <x:c r="F188" s="75" t="n">
        <x:f>IF(COUNT(F24)=0,1,IF(F24&lt;0,1,IF(F24&gt;1,1,0)))</x:f>
        <x:v>0</x:v>
      </x:c>
      <x:c r="G188" s="75" t="n">
        <x:f>IF(COUNT(G24)=0,1,IF(G24&lt;0,1,IF(G24&gt;1,1,0)))</x:f>
        <x:v>0</x:v>
      </x:c>
      <x:c r="H188" s="75" t="n">
        <x:f>IF(COUNT(H24)=0,1,IF(H24&lt;0,1,IF(H24&gt;1,1,0)))</x:f>
        <x:v>0</x:v>
      </x:c>
      <x:c r="I188" s="75" t="n">
        <x:f>IF(COUNT(I24)=0,1,IF(I24&lt;0,1,IF(I24&gt;1,1,0)))</x:f>
        <x:v>0</x:v>
      </x:c>
      <x:c r="J188" s="1"/>
      <x:c r="K188" s="1"/>
    </x:row>
    <x:row r="189" ht="30" customHeight="1">
      <x:c r="A189" s="1"/>
      <x:c r="B189" s="1"/>
      <x:c r="C189" s="64" t="str">
        <x:v>Receivable days input outside bounds</x:v>
      </x:c>
      <x:c r="D189" s="8"/>
      <x:c r="E189" s="75" t="n">
        <x:f>IF(COUNT(E25)=0,1,IF(E25&lt;0,1,0))</x:f>
        <x:v>0</x:v>
      </x:c>
      <x:c r="F189" s="75" t="n">
        <x:f>IF(COUNT(F25)=0,1,IF(F25&lt;0,1,0))</x:f>
        <x:v>0</x:v>
      </x:c>
      <x:c r="G189" s="75" t="n">
        <x:f>IF(COUNT(G25)=0,1,IF(G25&lt;0,1,0))</x:f>
        <x:v>0</x:v>
      </x:c>
      <x:c r="H189" s="75" t="n">
        <x:f>IF(COUNT(H25)=0,1,IF(H25&lt;0,1,0))</x:f>
        <x:v>0</x:v>
      </x:c>
      <x:c r="I189" s="75" t="n">
        <x:f>IF(COUNT(I25)=0,1,IF(I25&lt;0,1,0))</x:f>
        <x:v>0</x:v>
      </x:c>
      <x:c r="J189" s="1"/>
      <x:c r="K189" s="1"/>
    </x:row>
    <x:row r="190" ht="30" customHeight="1">
      <x:c r="A190" s="1"/>
      <x:c r="B190" s="1"/>
      <x:c r="C190" s="64" t="str">
        <x:v>Inventory days input outside bounds</x:v>
      </x:c>
      <x:c r="D190" s="8"/>
      <x:c r="E190" s="75" t="n">
        <x:f>IF(COUNT(E26)=0,1,IF(E26&lt;0,1,0))</x:f>
        <x:v>0</x:v>
      </x:c>
      <x:c r="F190" s="75" t="n">
        <x:f>IF(COUNT(F26)=0,1,IF(F26&lt;0,1,0))</x:f>
        <x:v>0</x:v>
      </x:c>
      <x:c r="G190" s="75" t="n">
        <x:f>IF(COUNT(G26)=0,1,IF(G26&lt;0,1,0))</x:f>
        <x:v>0</x:v>
      </x:c>
      <x:c r="H190" s="75" t="n">
        <x:f>IF(COUNT(H26)=0,1,IF(H26&lt;0,1,0))</x:f>
        <x:v>0</x:v>
      </x:c>
      <x:c r="I190" s="75" t="n">
        <x:f>IF(COUNT(I26)=0,1,IF(I26&lt;0,1,0))</x:f>
        <x:v>0</x:v>
      </x:c>
      <x:c r="J190" s="1"/>
      <x:c r="K190" s="1"/>
    </x:row>
    <x:row r="191" ht="30" customHeight="1">
      <x:c r="A191" s="1"/>
      <x:c r="B191" s="1"/>
      <x:c r="C191" s="64" t="str">
        <x:v>Payable days input outside bounds</x:v>
      </x:c>
      <x:c r="D191" s="8"/>
      <x:c r="E191" s="75" t="n">
        <x:f>IF(COUNT(E27)=0,1,IF(E27&lt;0,1,0))</x:f>
        <x:v>0</x:v>
      </x:c>
      <x:c r="F191" s="75" t="n">
        <x:f>IF(COUNT(F27)=0,1,IF(F27&lt;0,1,0))</x:f>
        <x:v>0</x:v>
      </x:c>
      <x:c r="G191" s="75" t="n">
        <x:f>IF(COUNT(G27)=0,1,IF(G27&lt;0,1,0))</x:f>
        <x:v>0</x:v>
      </x:c>
      <x:c r="H191" s="75" t="n">
        <x:f>IF(COUNT(H27)=0,1,IF(H27&lt;0,1,0))</x:f>
        <x:v>0</x:v>
      </x:c>
      <x:c r="I191" s="75" t="n">
        <x:f>IF(COUNT(I27)=0,1,IF(I27&lt;0,1,0))</x:f>
        <x:v>0</x:v>
      </x:c>
      <x:c r="J191" s="1"/>
      <x:c r="K191" s="1"/>
    </x:row>
    <x:row r="192" ht="30" customHeight="1">
      <x:c r="A192" s="1"/>
      <x:c r="B192" s="1"/>
      <x:c r="C192" s="64" t="str">
        <x:v>Effective cash tax rate input outside bounds</x:v>
      </x:c>
      <x:c r="D192" s="8"/>
      <x:c r="E192" s="75" t="n">
        <x:f>IF(COUNT(E28)=0,1,IF(E28&lt;0,1,IF(E28&gt;1,1,0)))</x:f>
        <x:v>0</x:v>
      </x:c>
      <x:c r="F192" s="75" t="n">
        <x:f>IF(COUNT(F28)=0,1,IF(F28&lt;0,1,IF(F28&gt;1,1,0)))</x:f>
        <x:v>0</x:v>
      </x:c>
      <x:c r="G192" s="75" t="n">
        <x:f>IF(COUNT(G28)=0,1,IF(G28&lt;0,1,IF(G28&gt;1,1,0)))</x:f>
        <x:v>0</x:v>
      </x:c>
      <x:c r="H192" s="75" t="n">
        <x:f>IF(COUNT(H28)=0,1,IF(H28&lt;0,1,IF(H28&gt;1,1,0)))</x:f>
        <x:v>0</x:v>
      </x:c>
      <x:c r="I192" s="75" t="n">
        <x:f>IF(COUNT(I28)=0,1,IF(I28&lt;0,1,IF(I28&gt;1,1,0)))</x:f>
        <x:v>0</x:v>
      </x:c>
      <x:c r="J192" s="1"/>
      <x:c r="K192" s="1"/>
    </x:row>
    <x:row r="193" ht="30" customHeight="1">
      <x:c r="A193" s="1"/>
      <x:c r="B193" s="1"/>
      <x:c r="C193" s="64" t="str">
        <x:v>Interest on opening debt input outside bounds</x:v>
      </x:c>
      <x:c r="D193" s="8"/>
      <x:c r="E193" s="75" t="n">
        <x:f>IF(COUNT(E29)=0,1,IF(E29&lt;0,1,0))</x:f>
        <x:v>0</x:v>
      </x:c>
      <x:c r="F193" s="75" t="n">
        <x:f>IF(COUNT(F29)=0,1,IF(F29&lt;0,1,0))</x:f>
        <x:v>0</x:v>
      </x:c>
      <x:c r="G193" s="75" t="n">
        <x:f>IF(COUNT(G29)=0,1,IF(G29&lt;0,1,0))</x:f>
        <x:v>0</x:v>
      </x:c>
      <x:c r="H193" s="75" t="n">
        <x:f>IF(COUNT(H29)=0,1,IF(H29&lt;0,1,0))</x:f>
        <x:v>0</x:v>
      </x:c>
      <x:c r="I193" s="75" t="n">
        <x:f>IF(COUNT(I29)=0,1,IF(I29&lt;0,1,0))</x:f>
        <x:v>0</x:v>
      </x:c>
      <x:c r="J193" s="1"/>
      <x:c r="K193" s="1"/>
    </x:row>
    <x:row r="194" ht="30" customHeight="1">
      <x:c r="A194" s="1"/>
      <x:c r="B194" s="1"/>
      <x:c r="C194" s="64" t="str">
        <x:v>New borrowing input outside bounds</x:v>
      </x:c>
      <x:c r="D194" s="8"/>
      <x:c r="E194" s="75" t="n">
        <x:f>IF(COUNT(E30)=0,1,IF(E30&lt;0,1,0))</x:f>
        <x:v>0</x:v>
      </x:c>
      <x:c r="F194" s="75" t="n">
        <x:f>IF(COUNT(F30)=0,1,IF(F30&lt;0,1,0))</x:f>
        <x:v>0</x:v>
      </x:c>
      <x:c r="G194" s="75" t="n">
        <x:f>IF(COUNT(G30)=0,1,IF(G30&lt;0,1,0))</x:f>
        <x:v>0</x:v>
      </x:c>
      <x:c r="H194" s="75" t="n">
        <x:f>IF(COUNT(H30)=0,1,IF(H30&lt;0,1,0))</x:f>
        <x:v>0</x:v>
      </x:c>
      <x:c r="I194" s="75" t="n">
        <x:f>IF(COUNT(I30)=0,1,IF(I30&lt;0,1,0))</x:f>
        <x:v>0</x:v>
      </x:c>
      <x:c r="J194" s="1"/>
      <x:c r="K194" s="1"/>
    </x:row>
    <x:row r="195" ht="30" customHeight="1">
      <x:c r="A195" s="1"/>
      <x:c r="B195" s="1"/>
      <x:c r="C195" s="64" t="str">
        <x:v>Scheduled principal repayment input outside bounds</x:v>
      </x:c>
      <x:c r="D195" s="8"/>
      <x:c r="E195" s="75" t="n">
        <x:f>IF(COUNT(E31)=0,1,IF(E31&lt;0,1,0))</x:f>
        <x:v>0</x:v>
      </x:c>
      <x:c r="F195" s="75" t="n">
        <x:f>IF(COUNT(F31)=0,1,IF(F31&lt;0,1,0))</x:f>
        <x:v>0</x:v>
      </x:c>
      <x:c r="G195" s="75" t="n">
        <x:f>IF(COUNT(G31)=0,1,IF(G31&lt;0,1,0))</x:f>
        <x:v>0</x:v>
      </x:c>
      <x:c r="H195" s="75" t="n">
        <x:f>IF(COUNT(H31)=0,1,IF(H31&lt;0,1,0))</x:f>
        <x:v>0</x:v>
      </x:c>
      <x:c r="I195" s="75" t="n">
        <x:f>IF(COUNT(I31)=0,1,IF(I31&lt;0,1,0))</x:f>
        <x:v>0</x:v>
      </x:c>
      <x:c r="J195" s="1"/>
      <x:c r="K195" s="1"/>
    </x:row>
    <x:row r="196" ht="30" customHeight="1">
      <x:c r="A196" s="1"/>
      <x:c r="B196" s="1"/>
      <x:c r="C196" s="64" t="str">
        <x:v>Dividend payout on positive PAT input outside bounds</x:v>
      </x:c>
      <x:c r="D196" s="8"/>
      <x:c r="E196" s="75" t="n">
        <x:f>IF(COUNT(E32)=0,1,IF(E32&lt;0,1,IF(E32&gt;1,1,0)))</x:f>
        <x:v>0</x:v>
      </x:c>
      <x:c r="F196" s="75" t="n">
        <x:f>IF(COUNT(F32)=0,1,IF(F32&lt;0,1,IF(F32&gt;1,1,0)))</x:f>
        <x:v>0</x:v>
      </x:c>
      <x:c r="G196" s="75" t="n">
        <x:f>IF(COUNT(G32)=0,1,IF(G32&lt;0,1,IF(G32&gt;1,1,0)))</x:f>
        <x:v>0</x:v>
      </x:c>
      <x:c r="H196" s="75" t="n">
        <x:f>IF(COUNT(H32)=0,1,IF(H32&lt;0,1,IF(H32&gt;1,1,0)))</x:f>
        <x:v>0</x:v>
      </x:c>
      <x:c r="I196" s="75" t="n">
        <x:f>IF(COUNT(I32)=0,1,IF(I32&lt;0,1,IF(I32&gt;1,1,0)))</x:f>
        <x:v>0</x:v>
      </x:c>
      <x:c r="J196" s="1"/>
      <x:c r="K196" s="1"/>
    </x:row>
    <x:row r="197" ht="30" customHeight="1">
      <x:c r="A197" s="1"/>
      <x:c r="B197" s="1"/>
      <x:c r="C197" s="64" t="str">
        <x:v>Opening net PP&amp;E input outside bounds</x:v>
      </x:c>
      <x:c r="D197" s="8"/>
      <x:c r="E197" s="75" t="n">
        <x:f>IF(COUNT(D34)=0,1,IF(D34&lt;0,1,0))</x:f>
        <x:v>0</x:v>
      </x:c>
      <x:c r="F197" s="75" t="n">
        <x:f>IF(COUNT(D34)=0,1,IF(D34&lt;0,1,0))</x:f>
        <x:v>0</x:v>
      </x:c>
      <x:c r="G197" s="75" t="n">
        <x:f>IF(COUNT(D34)=0,1,IF(D34&lt;0,1,0))</x:f>
        <x:v>0</x:v>
      </x:c>
      <x:c r="H197" s="75" t="n">
        <x:f>IF(COUNT(D34)=0,1,IF(D34&lt;0,1,0))</x:f>
        <x:v>0</x:v>
      </x:c>
      <x:c r="I197" s="75" t="n">
        <x:f>IF(COUNT(D34)=0,1,IF(D34&lt;0,1,0))</x:f>
        <x:v>0</x:v>
      </x:c>
      <x:c r="J197" s="1"/>
      <x:c r="K197" s="1"/>
    </x:row>
    <x:row r="198" ht="30" customHeight="1">
      <x:c r="A198" s="1"/>
      <x:c r="B198" s="1"/>
      <x:c r="C198" s="64" t="str">
        <x:v>Opening debt input outside bounds</x:v>
      </x:c>
      <x:c r="D198" s="8"/>
      <x:c r="E198" s="75" t="n">
        <x:f>IF(COUNT(D35)=0,1,IF(D35&lt;0,1,0))</x:f>
        <x:v>0</x:v>
      </x:c>
      <x:c r="F198" s="75" t="n">
        <x:f>IF(COUNT(D35)=0,1,IF(D35&lt;0,1,0))</x:f>
        <x:v>0</x:v>
      </x:c>
      <x:c r="G198" s="75" t="n">
        <x:f>IF(COUNT(D35)=0,1,IF(D35&lt;0,1,0))</x:f>
        <x:v>0</x:v>
      </x:c>
      <x:c r="H198" s="75" t="n">
        <x:f>IF(COUNT(D35)=0,1,IF(D35&lt;0,1,0))</x:f>
        <x:v>0</x:v>
      </x:c>
      <x:c r="I198" s="75" t="n">
        <x:f>IF(COUNT(D35)=0,1,IF(D35&lt;0,1,0))</x:f>
        <x:v>0</x:v>
      </x:c>
      <x:c r="J198" s="1"/>
      <x:c r="K198" s="1"/>
    </x:row>
    <x:row r="199" ht="30" customHeight="1">
      <x:c r="A199" s="1"/>
      <x:c r="B199" s="1"/>
      <x:c r="C199" s="64" t="str">
        <x:v>Opening cash input outside bounds</x:v>
      </x:c>
      <x:c r="D199" s="8"/>
      <x:c r="E199" s="75" t="n">
        <x:f>IF(COUNT(D36)=0,1,IF(D36&lt;0,1,0))</x:f>
        <x:v>0</x:v>
      </x:c>
      <x:c r="F199" s="75" t="n">
        <x:f>IF(COUNT(D36)=0,1,IF(D36&lt;0,1,0))</x:f>
        <x:v>0</x:v>
      </x:c>
      <x:c r="G199" s="75" t="n">
        <x:f>IF(COUNT(D36)=0,1,IF(D36&lt;0,1,0))</x:f>
        <x:v>0</x:v>
      </x:c>
      <x:c r="H199" s="75" t="n">
        <x:f>IF(COUNT(D36)=0,1,IF(D36&lt;0,1,0))</x:f>
        <x:v>0</x:v>
      </x:c>
      <x:c r="I199" s="75" t="n">
        <x:f>IF(COUNT(D36)=0,1,IF(D36&lt;0,1,0))</x:f>
        <x:v>0</x:v>
      </x:c>
      <x:c r="J199" s="1"/>
      <x:c r="K199" s="1"/>
    </x:row>
    <x:row r="200" ht="30" customHeight="1">
      <x:c r="A200" s="1"/>
      <x:c r="B200" s="1"/>
      <x:c r="C200" s="64" t="str">
        <x:v>Diluted shares (crore) input outside bounds</x:v>
      </x:c>
      <x:c r="D200" s="8"/>
      <x:c r="E200" s="75" t="n">
        <x:f>IF(COUNT(D38)=0,1,IF(D38&lt;0,1,0))</x:f>
        <x:v>0</x:v>
      </x:c>
      <x:c r="F200" s="75" t="n">
        <x:f>IF(COUNT(D38)=0,1,IF(D38&lt;0,1,0))</x:f>
        <x:v>0</x:v>
      </x:c>
      <x:c r="G200" s="75" t="n">
        <x:f>IF(COUNT(D38)=0,1,IF(D38&lt;0,1,0))</x:f>
        <x:v>0</x:v>
      </x:c>
      <x:c r="H200" s="75" t="n">
        <x:f>IF(COUNT(D38)=0,1,IF(D38&lt;0,1,0))</x:f>
        <x:v>0</x:v>
      </x:c>
      <x:c r="I200" s="75" t="n">
        <x:f>IF(COUNT(D38)=0,1,IF(D38&lt;0,1,0))</x:f>
        <x:v>0</x:v>
      </x:c>
      <x:c r="J200" s="1"/>
      <x:c r="K200" s="1"/>
    </x:row>
    <x:row r="201" ht="30" customHeight="1">
      <x:c r="A201" s="1"/>
      <x:c r="B201" s="1"/>
      <x:c r="C201" s="64" t="str">
        <x:v>WACC input outside bounds</x:v>
      </x:c>
      <x:c r="D201" s="8"/>
      <x:c r="E201" s="75" t="n">
        <x:f>IF(COUNT(D39)=0,1,IF(D39&lt;0,1,0))</x:f>
        <x:v>0</x:v>
      </x:c>
      <x:c r="F201" s="75" t="n">
        <x:f>IF(COUNT(D39)=0,1,IF(D39&lt;0,1,0))</x:f>
        <x:v>0</x:v>
      </x:c>
      <x:c r="G201" s="75" t="n">
        <x:f>IF(COUNT(D39)=0,1,IF(D39&lt;0,1,0))</x:f>
        <x:v>0</x:v>
      </x:c>
      <x:c r="H201" s="75" t="n">
        <x:f>IF(COUNT(D39)=0,1,IF(D39&lt;0,1,0))</x:f>
        <x:v>0</x:v>
      </x:c>
      <x:c r="I201" s="75" t="n">
        <x:f>IF(COUNT(D39)=0,1,IF(D39&lt;0,1,0))</x:f>
        <x:v>0</x:v>
      </x:c>
      <x:c r="J201" s="1"/>
      <x:c r="K201" s="1"/>
    </x:row>
    <x:row r="202" ht="30" customHeight="1">
      <x:c r="A202" s="1"/>
      <x:c r="B202" s="1"/>
      <x:c r="C202" s="64" t="str">
        <x:v>Terminal growth input outside bounds</x:v>
      </x:c>
      <x:c r="D202" s="8"/>
      <x:c r="E202" s="75" t="n">
        <x:f>IF(COUNT(D40)=0,1,IF(D40&lt;-1,1,0))</x:f>
        <x:v>0</x:v>
      </x:c>
      <x:c r="F202" s="75" t="n">
        <x:f>IF(COUNT(D40)=0,1,IF(D40&lt;-1,1,0))</x:f>
        <x:v>0</x:v>
      </x:c>
      <x:c r="G202" s="75" t="n">
        <x:f>IF(COUNT(D40)=0,1,IF(D40&lt;-1,1,0))</x:f>
        <x:v>0</x:v>
      </x:c>
      <x:c r="H202" s="75" t="n">
        <x:f>IF(COUNT(D40)=0,1,IF(D40&lt;-1,1,0))</x:f>
        <x:v>0</x:v>
      </x:c>
      <x:c r="I202" s="75" t="n">
        <x:f>IF(COUNT(D40)=0,1,IF(D40&lt;-1,1,0))</x:f>
        <x:v>0</x:v>
      </x:c>
      <x:c r="J202" s="1"/>
      <x:c r="K202" s="1"/>
    </x:row>
    <x:row r="203" ht="30" customHeight="1">
      <x:c r="A203" s="1"/>
      <x:c r="B203" s="1"/>
      <x:c r="C203" s="64" t="str">
        <x:v>Terminal incremental ROIC input outside bounds</x:v>
      </x:c>
      <x:c r="D203" s="8"/>
      <x:c r="E203" s="75" t="n">
        <x:f>IF(COUNT(D41)=0,1,IF(D41&lt;0,1,0))</x:f>
        <x:v>0</x:v>
      </x:c>
      <x:c r="F203" s="75" t="n">
        <x:f>IF(COUNT(D41)=0,1,IF(D41&lt;0,1,0))</x:f>
        <x:v>0</x:v>
      </x:c>
      <x:c r="G203" s="75" t="n">
        <x:f>IF(COUNT(D41)=0,1,IF(D41&lt;0,1,0))</x:f>
        <x:v>0</x:v>
      </x:c>
      <x:c r="H203" s="75" t="n">
        <x:f>IF(COUNT(D41)=0,1,IF(D41&lt;0,1,0))</x:f>
        <x:v>0</x:v>
      </x:c>
      <x:c r="I203" s="75" t="n">
        <x:f>IF(COUNT(D41)=0,1,IF(D41&lt;0,1,0))</x:f>
        <x:v>0</x:v>
      </x:c>
      <x:c r="J203" s="1"/>
      <x:c r="K203" s="1"/>
    </x:row>
    <x:row r="204" ht="30" customHeight="1">
      <x:c r="A204" s="1"/>
      <x:c r="B204" s="1"/>
      <x:c r="C204" s="64" t="str">
        <x:v>Forward EV / EBITDA input outside bounds</x:v>
      </x:c>
      <x:c r="D204" s="8"/>
      <x:c r="E204" s="75" t="n">
        <x:f>IF(COUNT(D42)=0,1,IF(D42&lt;0,1,0))</x:f>
        <x:v>0</x:v>
      </x:c>
      <x:c r="F204" s="75" t="n">
        <x:f>IF(COUNT(D42)=0,1,IF(D42&lt;0,1,0))</x:f>
        <x:v>0</x:v>
      </x:c>
      <x:c r="G204" s="75" t="n">
        <x:f>IF(COUNT(D42)=0,1,IF(D42&lt;0,1,0))</x:f>
        <x:v>0</x:v>
      </x:c>
      <x:c r="H204" s="75" t="n">
        <x:f>IF(COUNT(D42)=0,1,IF(D42&lt;0,1,0))</x:f>
        <x:v>0</x:v>
      </x:c>
      <x:c r="I204" s="75" t="n">
        <x:f>IF(COUNT(D42)=0,1,IF(D42&lt;0,1,0))</x:f>
        <x:v>0</x:v>
      </x:c>
      <x:c r="J204" s="1"/>
      <x:c r="K204" s="1"/>
    </x:row>
    <x:row r="205" ht="30" customHeight="1">
      <x:c r="A205" s="1"/>
      <x:c r="B205" s="1"/>
      <x:c r="C205" s="64" t="str">
        <x:v>Terminal valuation assumptions invalid</x:v>
      </x:c>
      <x:c r="D205" s="8"/>
      <x:c r="E205" s="75" t="n">
        <x:f>IF(D39&lt;=D40,1,IF(D41&lt;=0,1,IF(D40&gt;D41,1,0)))</x:f>
        <x:v>0</x:v>
      </x:c>
      <x:c r="F205" s="75" t="n">
        <x:f>IF(D39&lt;=D40,1,IF(D41&lt;=0,1,IF(D40&gt;D41,1,0)))</x:f>
        <x:v>0</x:v>
      </x:c>
      <x:c r="G205" s="75" t="n">
        <x:f>IF(D39&lt;=D40,1,IF(D41&lt;=0,1,IF(D40&gt;D41,1,0)))</x:f>
        <x:v>0</x:v>
      </x:c>
      <x:c r="H205" s="75" t="n">
        <x:f>IF(D39&lt;=D40,1,IF(D41&lt;=0,1,IF(D40&gt;D41,1,0)))</x:f>
        <x:v>0</x:v>
      </x:c>
      <x:c r="I205" s="75" t="n">
        <x:f>IF(D39&lt;=D40,1,IF(D41&lt;=0,1,IF(D40&gt;D41,1,0)))</x:f>
        <x:v>0</x:v>
      </x:c>
      <x:c r="J205" s="1"/>
      <x:c r="K205" s="1"/>
    </x:row>
    <x:row r="206" ht="30" customHeight="1">
      <x:c r="A206" s="1"/>
      <x:c r="B206" s="1"/>
      <x:c r="C206" s="64"/>
      <x:c r="D206" s="8"/>
      <x:c r="E206" s="8"/>
      <x:c r="F206" s="8"/>
      <x:c r="G206" s="8"/>
      <x:c r="H206" s="8"/>
      <x:c r="I206" s="8"/>
      <x:c r="J206" s="1"/>
      <x:c r="K206" s="1"/>
    </x:row>
    <x:row r="207" ht="30" customHeight="1">
      <x:c r="A207" s="1"/>
      <x:c r="B207" s="1"/>
      <x:c r="C207" s="64"/>
      <x:c r="D207" s="8"/>
      <x:c r="E207" s="8"/>
      <x:c r="F207" s="8"/>
      <x:c r="G207" s="8"/>
      <x:c r="H207" s="8"/>
      <x:c r="I207" s="8"/>
      <x:c r="J207" s="1"/>
      <x:c r="K207" s="1"/>
    </x:row>
    <x:row r="208" ht="30" customHeight="1">
      <x:c r="A208" s="1"/>
      <x:c r="B208" s="1"/>
      <x:c r="C208" s="64"/>
      <x:c r="D208" s="8"/>
      <x:c r="E208" s="8"/>
      <x:c r="F208" s="8"/>
      <x:c r="G208" s="8"/>
      <x:c r="H208" s="8"/>
      <x:c r="I208" s="8"/>
      <x:c r="J208" s="1"/>
      <x:c r="K208" s="1"/>
    </x:row>
    <x:row r="209" ht="30" customHeight="1">
      <x:c r="A209" s="1"/>
      <x:c r="B209" s="1"/>
      <x:c r="C209" s="64"/>
      <x:c r="D209" s="8"/>
      <x:c r="E209" s="8"/>
      <x:c r="F209" s="8"/>
      <x:c r="G209" s="8"/>
      <x:c r="H209" s="8"/>
      <x:c r="I209" s="8"/>
      <x:c r="J209" s="1"/>
      <x:c r="K209" s="1"/>
    </x:row>
    <x:row r="210" ht="30" customHeight="1">
      <x:c r="A210" s="1"/>
      <x:c r="B210" s="1"/>
      <x:c r="C210" s="64"/>
      <x:c r="D210" s="8"/>
      <x:c r="E210" s="8"/>
      <x:c r="F210" s="8"/>
      <x:c r="G210" s="8"/>
      <x:c r="H210" s="8"/>
      <x:c r="I210" s="8"/>
      <x:c r="J210" s="1"/>
      <x:c r="K210" s="1"/>
    </x:row>
    <x:row r="211" ht="30" customHeight="1">
      <x:c r="C211" s="64"/>
      <x:c r="D211" s="63"/>
      <x:c r="E211" s="63"/>
      <x:c r="F211" s="63"/>
      <x:c r="G211" s="63"/>
      <x:c r="H211" s="63"/>
      <x:c r="I211" s="63"/>
    </x:row>
    <x:row r="212" ht="30" customHeight="1">
      <x:c r="C212" s="64"/>
      <x:c r="D212" s="63"/>
      <x:c r="E212" s="63"/>
      <x:c r="F212" s="63"/>
      <x:c r="G212" s="63"/>
      <x:c r="H212" s="63"/>
      <x:c r="I212" s="63"/>
    </x:row>
    <x:row r="213" ht="30" customHeight="1">
      <x:c r="C213" s="64"/>
      <x:c r="D213" s="63"/>
      <x:c r="E213" s="63"/>
      <x:c r="F213" s="63"/>
      <x:c r="G213" s="63"/>
      <x:c r="H213" s="63"/>
      <x:c r="I213" s="63"/>
    </x:row>
    <x:row r="214" ht="30" customHeight="1">
      <x:c r="C214" s="64"/>
      <x:c r="D214" s="63"/>
      <x:c r="E214" s="63"/>
      <x:c r="F214" s="63"/>
      <x:c r="G214" s="63"/>
      <x:c r="H214" s="63"/>
      <x:c r="I214" s="63"/>
    </x:row>
    <x:row r="215" ht="30" customHeight="1">
      <x:c r="C215" s="64"/>
      <x:c r="D215" s="63"/>
      <x:c r="E215" s="63"/>
      <x:c r="F215" s="63"/>
      <x:c r="G215" s="63"/>
      <x:c r="H215" s="63"/>
      <x:c r="I215" s="63"/>
    </x:row>
    <x:row r="216" ht="30" customHeight="1">
      <x:c r="C216" s="64"/>
      <x:c r="D216" s="63"/>
      <x:c r="E216" s="63"/>
      <x:c r="F216" s="63"/>
      <x:c r="G216" s="63"/>
      <x:c r="H216" s="63"/>
      <x:c r="I216" s="63"/>
    </x:row>
    <x:row r="217" ht="30" customHeight="1">
      <x:c r="C217" s="64"/>
      <x:c r="D217" s="63"/>
      <x:c r="E217" s="63"/>
      <x:c r="F217" s="63"/>
      <x:c r="G217" s="63"/>
      <x:c r="H217" s="63"/>
      <x:c r="I217" s="63"/>
    </x:row>
    <x:row r="218" ht="30" customHeight="1">
      <x:c r="C218" s="64"/>
      <x:c r="D218" s="63"/>
      <x:c r="E218" s="63"/>
      <x:c r="F218" s="63"/>
      <x:c r="G218" s="63"/>
      <x:c r="H218" s="63"/>
      <x:c r="I218" s="63"/>
    </x:row>
    <x:row r="219" ht="30" customHeight="1">
      <x:c r="C219" s="64"/>
      <x:c r="D219" s="63"/>
      <x:c r="E219" s="63"/>
      <x:c r="F219" s="63"/>
      <x:c r="G219" s="63"/>
      <x:c r="H219" s="63"/>
      <x:c r="I219" s="63"/>
    </x:row>
    <x:row r="220" ht="30" customHeight="1">
      <x:c r="C220" s="64"/>
      <x:c r="D220" s="63"/>
      <x:c r="E220" s="63"/>
      <x:c r="F220" s="63"/>
      <x:c r="G220" s="63"/>
      <x:c r="H220" s="63"/>
      <x:c r="I220" s="63"/>
    </x:row>
    <x:row r="221" ht="30" customHeight="1">
      <x:c r="C221" s="64"/>
      <x:c r="D221" s="63"/>
      <x:c r="E221" s="63"/>
      <x:c r="F221" s="63"/>
      <x:c r="G221" s="63"/>
      <x:c r="H221" s="63"/>
      <x:c r="I221" s="63"/>
    </x:row>
    <x:row r="222" ht="30" customHeight="1">
      <x:c r="C222" s="64"/>
      <x:c r="D222" s="63"/>
      <x:c r="E222" s="63"/>
      <x:c r="F222" s="63"/>
      <x:c r="G222" s="63"/>
      <x:c r="H222" s="63"/>
      <x:c r="I222" s="63"/>
    </x:row>
    <x:row r="223" ht="30" customHeight="1">
      <x:c r="C223" s="64"/>
      <x:c r="D223" s="63"/>
      <x:c r="E223" s="63"/>
      <x:c r="F223" s="63"/>
      <x:c r="G223" s="63"/>
      <x:c r="H223" s="63"/>
      <x:c r="I223" s="63"/>
    </x:row>
    <x:row r="224" ht="30" customHeight="1">
      <x:c r="C224" s="64"/>
      <x:c r="D224" s="63"/>
      <x:c r="E224" s="63"/>
      <x:c r="F224" s="63"/>
      <x:c r="G224" s="63"/>
      <x:c r="H224" s="63"/>
      <x:c r="I224" s="63"/>
    </x:row>
    <x:row r="225" ht="30" customHeight="1">
      <x:c r="C225" s="64"/>
      <x:c r="D225" s="63"/>
      <x:c r="E225" s="63"/>
      <x:c r="F225" s="63"/>
      <x:c r="G225" s="63"/>
      <x:c r="H225" s="63"/>
      <x:c r="I225" s="63"/>
    </x:row>
    <x:row r="226" ht="30" customHeight="1">
      <x:c r="C226" s="64"/>
      <x:c r="D226" s="63"/>
      <x:c r="E226" s="63"/>
      <x:c r="F226" s="63"/>
      <x:c r="G226" s="63"/>
      <x:c r="H226" s="63"/>
      <x:c r="I226" s="63"/>
    </x:row>
    <x:row r="227" ht="30" customHeight="1">
      <x:c r="C227" s="64"/>
      <x:c r="D227" s="63"/>
      <x:c r="E227" s="63"/>
      <x:c r="F227" s="63"/>
      <x:c r="G227" s="63"/>
      <x:c r="H227" s="63"/>
      <x:c r="I227" s="63"/>
    </x:row>
    <x:row r="228" ht="30" customHeight="1">
      <x:c r="C228" s="64"/>
      <x:c r="D228" s="63"/>
      <x:c r="E228" s="63"/>
      <x:c r="F228" s="63"/>
      <x:c r="G228" s="63"/>
      <x:c r="H228" s="63"/>
      <x:c r="I228" s="63"/>
    </x:row>
    <x:row r="229" ht="30" customHeight="1">
      <x:c r="C229" s="64"/>
      <x:c r="D229" s="63"/>
      <x:c r="E229" s="63"/>
      <x:c r="F229" s="63"/>
      <x:c r="G229" s="63"/>
      <x:c r="H229" s="63"/>
      <x:c r="I229" s="63"/>
    </x:row>
    <x:row r="230" ht="30" customHeight="1">
      <x:c r="C230" s="64"/>
      <x:c r="D230" s="63"/>
      <x:c r="E230" s="63"/>
      <x:c r="F230" s="63"/>
      <x:c r="G230" s="63"/>
      <x:c r="H230" s="63"/>
      <x:c r="I230" s="63"/>
    </x:row>
    <x:row r="231" ht="30" customHeight="1">
      <x:c r="C231" s="64"/>
      <x:c r="D231" s="63"/>
      <x:c r="E231" s="63"/>
      <x:c r="F231" s="63"/>
      <x:c r="G231" s="63"/>
      <x:c r="H231" s="63"/>
      <x:c r="I231" s="63"/>
    </x:row>
    <x:row r="232" ht="30" customHeight="1">
      <x:c r="C232" s="64"/>
      <x:c r="D232" s="63"/>
      <x:c r="E232" s="63"/>
      <x:c r="F232" s="63"/>
      <x:c r="G232" s="63"/>
      <x:c r="H232" s="63"/>
      <x:c r="I232" s="63"/>
    </x:row>
    <x:row r="233" ht="30" customHeight="1">
      <x:c r="C233" s="64"/>
      <x:c r="D233" s="63"/>
      <x:c r="E233" s="63"/>
      <x:c r="F233" s="63"/>
      <x:c r="G233" s="63"/>
      <x:c r="H233" s="63"/>
      <x:c r="I233" s="63"/>
    </x:row>
    <x:row r="234" ht="30" customHeight="1">
      <x:c r="C234" s="64"/>
      <x:c r="D234" s="63"/>
      <x:c r="E234" s="63"/>
      <x:c r="F234" s="63"/>
      <x:c r="G234" s="63"/>
      <x:c r="H234" s="63"/>
      <x:c r="I234" s="63"/>
    </x:row>
    <x:row r="235" ht="30" customHeight="1">
      <x:c r="C235" s="64"/>
      <x:c r="D235" s="63"/>
      <x:c r="E235" s="63"/>
      <x:c r="F235" s="63"/>
      <x:c r="G235" s="63"/>
      <x:c r="H235" s="63"/>
      <x:c r="I235" s="63"/>
    </x:row>
    <x:row r="236" ht="30" customHeight="1">
      <x:c r="C236" s="64"/>
      <x:c r="D236" s="63"/>
      <x:c r="E236" s="63"/>
      <x:c r="F236" s="63"/>
      <x:c r="G236" s="63"/>
      <x:c r="H236" s="63"/>
      <x:c r="I236" s="63"/>
    </x:row>
    <x:row r="237" ht="30" customHeight="1">
      <x:c r="C237" s="64"/>
      <x:c r="D237" s="63"/>
      <x:c r="E237" s="63"/>
      <x:c r="F237" s="63"/>
      <x:c r="G237" s="63"/>
      <x:c r="H237" s="63"/>
      <x:c r="I237" s="63"/>
    </x:row>
    <x:row r="238" ht="30" customHeight="1">
      <x:c r="C238" s="64"/>
      <x:c r="D238" s="63"/>
      <x:c r="E238" s="63"/>
      <x:c r="F238" s="63"/>
      <x:c r="G238" s="63"/>
      <x:c r="H238" s="63"/>
      <x:c r="I238" s="63"/>
    </x:row>
    <x:row r="239" ht="30" customHeight="1">
      <x:c r="C239" s="64"/>
      <x:c r="D239" s="63"/>
      <x:c r="E239" s="63"/>
      <x:c r="F239" s="63"/>
      <x:c r="G239" s="63"/>
      <x:c r="H239" s="63"/>
      <x:c r="I239" s="63"/>
    </x:row>
    <x:row r="240" ht="30" customHeight="1">
      <x:c r="C240" s="64"/>
      <x:c r="D240" s="63"/>
      <x:c r="E240" s="63"/>
      <x:c r="F240" s="63"/>
      <x:c r="G240" s="63"/>
      <x:c r="H240" s="63"/>
      <x:c r="I240" s="63"/>
    </x:row>
    <x:row r="241" ht="30" customHeight="1">
      <x:c r="C241" s="64"/>
      <x:c r="D241" s="63"/>
      <x:c r="E241" s="63"/>
      <x:c r="F241" s="63"/>
      <x:c r="G241" s="63"/>
      <x:c r="H241" s="63"/>
      <x:c r="I241" s="63"/>
    </x:row>
    <x:row r="242" ht="30" customHeight="1">
      <x:c r="C242" s="64"/>
      <x:c r="D242" s="63"/>
      <x:c r="E242" s="63"/>
      <x:c r="F242" s="63"/>
      <x:c r="G242" s="63"/>
      <x:c r="H242" s="63"/>
      <x:c r="I242" s="63"/>
    </x:row>
    <x:row r="243" ht="30" customHeight="1">
      <x:c r="C243" s="64"/>
      <x:c r="D243" s="63"/>
      <x:c r="E243" s="63"/>
      <x:c r="F243" s="63"/>
      <x:c r="G243" s="63"/>
      <x:c r="H243" s="63"/>
      <x:c r="I243" s="63"/>
    </x:row>
    <x:row r="244" ht="30" customHeight="1">
      <x:c r="C244" s="64"/>
      <x:c r="D244" s="63"/>
      <x:c r="E244" s="63"/>
      <x:c r="F244" s="63"/>
      <x:c r="G244" s="63"/>
      <x:c r="H244" s="63"/>
      <x:c r="I244" s="63"/>
    </x:row>
    <x:row r="245" ht="30" customHeight="1">
      <x:c r="C245" s="64"/>
      <x:c r="D245" s="63"/>
      <x:c r="E245" s="63"/>
      <x:c r="F245" s="63"/>
      <x:c r="G245" s="63"/>
      <x:c r="H245" s="63"/>
      <x:c r="I245" s="63"/>
    </x:row>
    <x:row r="246" ht="30" customHeight="1">
      <x:c r="C246" s="64"/>
      <x:c r="D246" s="63"/>
      <x:c r="E246" s="63"/>
      <x:c r="F246" s="63"/>
      <x:c r="G246" s="63"/>
      <x:c r="H246" s="63"/>
      <x:c r="I246" s="63"/>
    </x:row>
    <x:row r="247" ht="30" customHeight="1">
      <x:c r="C247" s="64"/>
      <x:c r="D247" s="63"/>
      <x:c r="E247" s="63"/>
      <x:c r="F247" s="63"/>
      <x:c r="G247" s="63"/>
      <x:c r="H247" s="63"/>
      <x:c r="I247" s="63"/>
    </x:row>
    <x:row r="248" ht="30" customHeight="1">
      <x:c r="C248" s="64"/>
      <x:c r="D248" s="63"/>
      <x:c r="E248" s="63"/>
      <x:c r="F248" s="63"/>
      <x:c r="G248" s="63"/>
      <x:c r="H248" s="63"/>
      <x:c r="I248" s="63"/>
    </x:row>
    <x:row r="249" ht="30" customHeight="1">
      <x:c r="C249" s="64"/>
      <x:c r="D249" s="63"/>
      <x:c r="E249" s="63"/>
      <x:c r="F249" s="63"/>
      <x:c r="G249" s="63"/>
      <x:c r="H249" s="63"/>
      <x:c r="I249" s="63"/>
    </x:row>
    <x:row r="250" ht="30" customHeight="1">
      <x:c r="C250" s="64"/>
      <x:c r="D250" s="63"/>
      <x:c r="E250" s="63"/>
      <x:c r="F250" s="63"/>
      <x:c r="G250" s="63"/>
      <x:c r="H250" s="63"/>
      <x:c r="I250" s="63"/>
    </x:row>
    <x:row r="251" ht="30" customHeight="1">
      <x:c r="C251" s="64"/>
      <x:c r="D251" s="63"/>
      <x:c r="E251" s="63"/>
      <x:c r="F251" s="63"/>
      <x:c r="G251" s="63"/>
      <x:c r="H251" s="63"/>
      <x:c r="I251" s="63"/>
    </x:row>
    <x:row r="252" ht="30" customHeight="1">
      <x:c r="C252" s="64"/>
      <x:c r="D252" s="63"/>
      <x:c r="E252" s="63"/>
      <x:c r="F252" s="63"/>
      <x:c r="G252" s="63"/>
      <x:c r="H252" s="63"/>
      <x:c r="I252" s="63"/>
    </x:row>
    <x:row r="253" ht="30" customHeight="1">
      <x:c r="C253" s="64"/>
      <x:c r="D253" s="63"/>
      <x:c r="E253" s="63"/>
      <x:c r="F253" s="63"/>
      <x:c r="G253" s="63"/>
      <x:c r="H253" s="63"/>
      <x:c r="I253" s="63"/>
    </x:row>
    <x:row r="254" ht="30" customHeight="1">
      <x:c r="C254" s="64"/>
      <x:c r="D254" s="63"/>
      <x:c r="E254" s="63"/>
      <x:c r="F254" s="63"/>
      <x:c r="G254" s="63"/>
      <x:c r="H254" s="63"/>
      <x:c r="I254" s="63"/>
    </x:row>
    <x:row r="255" ht="30" customHeight="1">
      <x:c r="C255" s="64"/>
      <x:c r="D255" s="63"/>
      <x:c r="E255" s="63"/>
      <x:c r="F255" s="63"/>
      <x:c r="G255" s="63"/>
      <x:c r="H255" s="63"/>
      <x:c r="I255" s="63"/>
    </x:row>
    <x:row r="256" ht="30" customHeight="1">
      <x:c r="C256" s="64"/>
      <x:c r="D256" s="63"/>
      <x:c r="E256" s="63"/>
      <x:c r="F256" s="63"/>
      <x:c r="G256" s="63"/>
      <x:c r="H256" s="63"/>
      <x:c r="I256" s="63"/>
    </x:row>
    <x:row r="257" ht="30" customHeight="1">
      <x:c r="C257" s="64"/>
      <x:c r="D257" s="63"/>
      <x:c r="E257" s="63"/>
      <x:c r="F257" s="63"/>
      <x:c r="G257" s="63"/>
      <x:c r="H257" s="63"/>
      <x:c r="I257" s="63"/>
    </x:row>
    <x:row r="258" ht="30" customHeight="1">
      <x:c r="C258" s="64"/>
      <x:c r="D258" s="63"/>
      <x:c r="E258" s="63"/>
      <x:c r="F258" s="63"/>
      <x:c r="G258" s="63"/>
      <x:c r="H258" s="63"/>
      <x:c r="I258" s="63"/>
    </x:row>
    <x:row r="259" ht="30" customHeight="1">
      <x:c r="C259" s="64"/>
      <x:c r="D259" s="63"/>
      <x:c r="E259" s="63"/>
      <x:c r="F259" s="63"/>
      <x:c r="G259" s="63"/>
      <x:c r="H259" s="63"/>
      <x:c r="I259" s="63"/>
    </x:row>
    <x:row r="260" ht="30" customHeight="1">
      <x:c r="C260" s="64"/>
      <x:c r="D260" s="63"/>
      <x:c r="E260" s="63"/>
      <x:c r="F260" s="63"/>
      <x:c r="G260" s="63"/>
      <x:c r="H260" s="63"/>
      <x:c r="I260" s="63"/>
    </x:row>
    <x:row r="261" ht="30" customHeight="1">
      <x:c r="C261" s="64"/>
      <x:c r="D261" s="63"/>
      <x:c r="E261" s="63"/>
      <x:c r="F261" s="63"/>
      <x:c r="G261" s="63"/>
      <x:c r="H261" s="63"/>
      <x:c r="I261" s="63"/>
    </x:row>
    <x:row r="262" ht="30" customHeight="1">
      <x:c r="C262" s="64"/>
      <x:c r="D262" s="63"/>
      <x:c r="E262" s="63"/>
      <x:c r="F262" s="63"/>
      <x:c r="G262" s="63"/>
      <x:c r="H262" s="63"/>
      <x:c r="I262" s="63"/>
    </x:row>
    <x:row r="263" ht="30" customHeight="1">
      <x:c r="C263" s="64"/>
      <x:c r="D263" s="63"/>
      <x:c r="E263" s="63"/>
      <x:c r="F263" s="63"/>
      <x:c r="G263" s="63"/>
      <x:c r="H263" s="63"/>
      <x:c r="I263" s="63"/>
    </x:row>
    <x:row r="264" ht="30" customHeight="1">
      <x:c r="C264" s="64"/>
      <x:c r="D264" s="63"/>
      <x:c r="E264" s="63"/>
      <x:c r="F264" s="63"/>
      <x:c r="G264" s="63"/>
      <x:c r="H264" s="63"/>
      <x:c r="I264" s="63"/>
    </x:row>
    <x:row r="265" ht="30" customHeight="1">
      <x:c r="C265" s="64"/>
      <x:c r="D265" s="63"/>
      <x:c r="E265" s="63"/>
      <x:c r="F265" s="63"/>
      <x:c r="G265" s="63"/>
      <x:c r="H265" s="63"/>
      <x:c r="I265" s="63"/>
    </x:row>
    <x:row r="266" ht="30" customHeight="1">
      <x:c r="C266" s="64"/>
      <x:c r="D266" s="63"/>
      <x:c r="E266" s="63"/>
      <x:c r="F266" s="63"/>
      <x:c r="G266" s="63"/>
      <x:c r="H266" s="63"/>
      <x:c r="I266" s="63"/>
    </x:row>
    <x:row r="267" ht="30" customHeight="1">
      <x:c r="C267" s="64"/>
      <x:c r="D267" s="63"/>
      <x:c r="E267" s="63"/>
      <x:c r="F267" s="63"/>
      <x:c r="G267" s="63"/>
      <x:c r="H267" s="63"/>
      <x:c r="I267" s="63"/>
    </x:row>
    <x:row r="268" ht="30" customHeight="1">
      <x:c r="C268" s="64"/>
      <x:c r="D268" s="63"/>
      <x:c r="E268" s="63"/>
      <x:c r="F268" s="63"/>
      <x:c r="G268" s="63"/>
      <x:c r="H268" s="63"/>
      <x:c r="I268" s="63"/>
    </x:row>
    <x:row r="269" ht="30" customHeight="1">
      <x:c r="C269" s="64"/>
      <x:c r="D269" s="63"/>
      <x:c r="E269" s="63"/>
      <x:c r="F269" s="63"/>
      <x:c r="G269" s="63"/>
      <x:c r="H269" s="63"/>
      <x:c r="I269" s="63"/>
    </x:row>
    <x:row r="270" ht="30" customHeight="1">
      <x:c r="C270" s="64"/>
      <x:c r="D270" s="63"/>
      <x:c r="E270" s="63"/>
      <x:c r="F270" s="63"/>
      <x:c r="G270" s="63"/>
      <x:c r="H270" s="63"/>
      <x:c r="I270" s="63"/>
    </x:row>
    <x:row r="271" ht="30" customHeight="1">
      <x:c r="C271" s="64"/>
      <x:c r="D271" s="63"/>
      <x:c r="E271" s="63"/>
      <x:c r="F271" s="63"/>
      <x:c r="G271" s="63"/>
      <x:c r="H271" s="63"/>
      <x:c r="I271" s="63"/>
    </x:row>
    <x:row r="272" ht="30" customHeight="1">
      <x:c r="C272" s="64"/>
      <x:c r="D272" s="63"/>
      <x:c r="E272" s="63"/>
      <x:c r="F272" s="63"/>
      <x:c r="G272" s="63"/>
      <x:c r="H272" s="63"/>
      <x:c r="I272" s="63"/>
    </x:row>
    <x:row r="273" ht="30" customHeight="1">
      <x:c r="C273" s="64"/>
      <x:c r="D273" s="63"/>
      <x:c r="E273" s="63"/>
      <x:c r="F273" s="63"/>
      <x:c r="G273" s="63"/>
      <x:c r="H273" s="63"/>
      <x:c r="I273" s="63"/>
    </x:row>
    <x:row r="274" ht="30" customHeight="1">
      <x:c r="C274" s="64"/>
      <x:c r="D274" s="63"/>
      <x:c r="E274" s="63"/>
      <x:c r="F274" s="63"/>
      <x:c r="G274" s="63"/>
      <x:c r="H274" s="63"/>
      <x:c r="I274" s="63"/>
    </x:row>
    <x:row r="275" ht="30" customHeight="1">
      <x:c r="C275" s="64"/>
      <x:c r="D275" s="63"/>
      <x:c r="E275" s="63"/>
      <x:c r="F275" s="63"/>
      <x:c r="G275" s="63"/>
      <x:c r="H275" s="63"/>
      <x:c r="I275" s="63"/>
    </x:row>
    <x:row r="276" ht="30" customHeight="1">
      <x:c r="C276" s="64"/>
      <x:c r="D276" s="63"/>
      <x:c r="E276" s="63"/>
      <x:c r="F276" s="63"/>
      <x:c r="G276" s="63"/>
      <x:c r="H276" s="63"/>
      <x:c r="I276" s="63"/>
    </x:row>
    <x:row r="277" ht="30" customHeight="1">
      <x:c r="C277" s="64"/>
      <x:c r="D277" s="63"/>
      <x:c r="E277" s="63"/>
      <x:c r="F277" s="63"/>
      <x:c r="G277" s="63"/>
      <x:c r="H277" s="63"/>
      <x:c r="I277" s="63"/>
    </x:row>
    <x:row r="278" ht="30" customHeight="1">
      <x:c r="C278" s="64"/>
      <x:c r="D278" s="63"/>
      <x:c r="E278" s="63"/>
      <x:c r="F278" s="63"/>
      <x:c r="G278" s="63"/>
      <x:c r="H278" s="63"/>
      <x:c r="I278" s="63"/>
    </x:row>
    <x:row r="279" ht="30" customHeight="1">
      <x:c r="C279" s="64"/>
      <x:c r="D279" s="63"/>
      <x:c r="E279" s="63"/>
      <x:c r="F279" s="63"/>
      <x:c r="G279" s="63"/>
      <x:c r="H279" s="63"/>
      <x:c r="I279" s="63"/>
    </x:row>
    <x:row r="280" ht="30" customHeight="1">
      <x:c r="C280" s="64"/>
      <x:c r="D280" s="63"/>
      <x:c r="E280" s="63"/>
      <x:c r="F280" s="63"/>
      <x:c r="G280" s="63"/>
      <x:c r="H280" s="63"/>
      <x:c r="I280" s="63"/>
    </x:row>
    <x:row r="281" ht="30" customHeight="1">
      <x:c r="C281" s="64"/>
      <x:c r="D281" s="63"/>
      <x:c r="E281" s="63"/>
      <x:c r="F281" s="63"/>
      <x:c r="G281" s="63"/>
      <x:c r="H281" s="63"/>
      <x:c r="I281" s="63"/>
    </x:row>
    <x:row r="282" ht="30" customHeight="1">
      <x:c r="C282" s="64"/>
      <x:c r="D282" s="63"/>
      <x:c r="E282" s="63"/>
      <x:c r="F282" s="63"/>
      <x:c r="G282" s="63"/>
      <x:c r="H282" s="63"/>
      <x:c r="I282" s="63"/>
    </x:row>
    <x:row r="283" ht="30" customHeight="1">
      <x:c r="C283" s="64"/>
      <x:c r="D283" s="63"/>
      <x:c r="E283" s="63"/>
      <x:c r="F283" s="63"/>
      <x:c r="G283" s="63"/>
      <x:c r="H283" s="63"/>
      <x:c r="I283" s="63"/>
    </x:row>
    <x:row r="284" ht="30" customHeight="1">
      <x:c r="C284" s="64"/>
      <x:c r="D284" s="63"/>
      <x:c r="E284" s="63"/>
      <x:c r="F284" s="63"/>
      <x:c r="G284" s="63"/>
      <x:c r="H284" s="63"/>
      <x:c r="I284" s="63"/>
    </x:row>
    <x:row r="285" ht="30" customHeight="1">
      <x:c r="C285" s="64"/>
      <x:c r="D285" s="63"/>
      <x:c r="E285" s="63"/>
      <x:c r="F285" s="63"/>
      <x:c r="G285" s="63"/>
      <x:c r="H285" s="63"/>
      <x:c r="I285" s="63"/>
    </x:row>
    <x:row r="286" ht="30" customHeight="1">
      <x:c r="C286" s="64"/>
      <x:c r="D286" s="63"/>
      <x:c r="E286" s="63"/>
      <x:c r="F286" s="63"/>
      <x:c r="G286" s="63"/>
      <x:c r="H286" s="63"/>
      <x:c r="I286" s="63"/>
    </x:row>
    <x:row r="287" ht="30" customHeight="1">
      <x:c r="C287" s="64"/>
      <x:c r="D287" s="63"/>
      <x:c r="E287" s="63"/>
      <x:c r="F287" s="63"/>
      <x:c r="G287" s="63"/>
      <x:c r="H287" s="63"/>
      <x:c r="I287" s="63"/>
    </x:row>
    <x:row r="288" ht="30" customHeight="1">
      <x:c r="C288" s="64"/>
      <x:c r="D288" s="63"/>
      <x:c r="E288" s="63"/>
      <x:c r="F288" s="63"/>
      <x:c r="G288" s="63"/>
      <x:c r="H288" s="63"/>
      <x:c r="I288" s="63"/>
    </x:row>
    <x:row r="289" ht="30" customHeight="1">
      <x:c r="C289" s="64"/>
      <x:c r="D289" s="63"/>
      <x:c r="E289" s="63"/>
      <x:c r="F289" s="63"/>
      <x:c r="G289" s="63"/>
      <x:c r="H289" s="63"/>
      <x:c r="I289" s="63"/>
    </x:row>
    <x:row r="290" ht="30" customHeight="1">
      <x:c r="C290" s="64"/>
      <x:c r="D290" s="63"/>
      <x:c r="E290" s="63"/>
      <x:c r="F290" s="63"/>
      <x:c r="G290" s="63"/>
      <x:c r="H290" s="63"/>
      <x:c r="I290" s="63"/>
    </x:row>
    <x:row r="291" ht="30" customHeight="1">
      <x:c r="C291" s="64"/>
      <x:c r="D291" s="63"/>
      <x:c r="E291" s="63"/>
      <x:c r="F291" s="63"/>
      <x:c r="G291" s="63"/>
      <x:c r="H291" s="63"/>
      <x:c r="I291" s="63"/>
    </x:row>
    <x:row r="292" ht="30" customHeight="1">
      <x:c r="C292" s="64"/>
      <x:c r="D292" s="63"/>
      <x:c r="E292" s="63"/>
      <x:c r="F292" s="63"/>
      <x:c r="G292" s="63"/>
      <x:c r="H292" s="63"/>
      <x:c r="I292" s="63"/>
    </x:row>
    <x:row r="293" ht="30" customHeight="1">
      <x:c r="C293" s="64"/>
      <x:c r="D293" s="63"/>
      <x:c r="E293" s="63"/>
      <x:c r="F293" s="63"/>
      <x:c r="G293" s="63"/>
      <x:c r="H293" s="63"/>
      <x:c r="I293" s="63"/>
    </x:row>
    <x:row r="294" ht="30" customHeight="1">
      <x:c r="C294" s="64"/>
      <x:c r="D294" s="63"/>
      <x:c r="E294" s="63"/>
      <x:c r="F294" s="63"/>
      <x:c r="G294" s="63"/>
      <x:c r="H294" s="63"/>
      <x:c r="I294" s="63"/>
    </x:row>
    <x:row r="295" ht="30" customHeight="1">
      <x:c r="C295" s="64"/>
      <x:c r="D295" s="63"/>
      <x:c r="E295" s="63"/>
      <x:c r="F295" s="63"/>
      <x:c r="G295" s="63"/>
      <x:c r="H295" s="63"/>
      <x:c r="I295" s="63"/>
    </x:row>
    <x:row r="296" ht="30" customHeight="1">
      <x:c r="C296" s="64"/>
      <x:c r="D296" s="63"/>
      <x:c r="E296" s="63"/>
      <x:c r="F296" s="63"/>
      <x:c r="G296" s="63"/>
      <x:c r="H296" s="63"/>
      <x:c r="I296" s="63"/>
    </x:row>
    <x:row r="297" ht="30" customHeight="1">
      <x:c r="C297" s="64"/>
      <x:c r="D297" s="63"/>
      <x:c r="E297" s="63"/>
      <x:c r="F297" s="63"/>
      <x:c r="G297" s="63"/>
      <x:c r="H297" s="63"/>
      <x:c r="I297" s="63"/>
    </x:row>
    <x:row r="298" ht="30" customHeight="1">
      <x:c r="C298" s="64"/>
      <x:c r="D298" s="63"/>
      <x:c r="E298" s="63"/>
      <x:c r="F298" s="63"/>
      <x:c r="G298" s="63"/>
      <x:c r="H298" s="63"/>
      <x:c r="I298" s="63"/>
    </x:row>
    <x:row r="299" ht="30" customHeight="1">
      <x:c r="C299" s="64"/>
      <x:c r="D299" s="63"/>
      <x:c r="E299" s="63"/>
      <x:c r="F299" s="63"/>
      <x:c r="G299" s="63"/>
      <x:c r="H299" s="63"/>
      <x:c r="I299" s="63"/>
    </x:row>
    <x:row r="300" ht="30" customHeight="1">
      <x:c r="C300" s="64"/>
      <x:c r="D300" s="63"/>
      <x:c r="E300" s="63"/>
      <x:c r="F300" s="63"/>
      <x:c r="G300" s="63"/>
      <x:c r="H300" s="63"/>
      <x:c r="I300" s="63"/>
    </x:row>
    <x:row r="301" ht="30" customHeight="1">
      <x:c r="C301" s="64"/>
      <x:c r="D301" s="63"/>
      <x:c r="E301" s="63"/>
      <x:c r="F301" s="63"/>
      <x:c r="G301" s="63"/>
      <x:c r="H301" s="63"/>
      <x:c r="I301" s="63"/>
    </x:row>
    <x:row r="302" ht="30" customHeight="1">
      <x:c r="C302" s="64"/>
      <x:c r="D302" s="63"/>
      <x:c r="E302" s="63"/>
      <x:c r="F302" s="63"/>
      <x:c r="G302" s="63"/>
      <x:c r="H302" s="63"/>
      <x:c r="I302" s="63"/>
    </x:row>
    <x:row r="303" ht="30" customHeight="1">
      <x:c r="C303" s="64"/>
      <x:c r="D303" s="63"/>
      <x:c r="E303" s="63"/>
      <x:c r="F303" s="63"/>
      <x:c r="G303" s="63"/>
      <x:c r="H303" s="63"/>
      <x:c r="I303" s="63"/>
    </x:row>
    <x:row r="304" ht="30" customHeight="1">
      <x:c r="C304" s="64"/>
      <x:c r="D304" s="63"/>
      <x:c r="E304" s="63"/>
      <x:c r="F304" s="63"/>
      <x:c r="G304" s="63"/>
      <x:c r="H304" s="63"/>
      <x:c r="I304" s="63"/>
    </x:row>
    <x:row r="305" ht="30" customHeight="1">
      <x:c r="C305" s="64"/>
      <x:c r="D305" s="63"/>
      <x:c r="E305" s="63"/>
      <x:c r="F305" s="63"/>
      <x:c r="G305" s="63"/>
      <x:c r="H305" s="63"/>
      <x:c r="I305" s="63"/>
    </x:row>
    <x:row r="306" ht="30" customHeight="1">
      <x:c r="C306" s="64"/>
      <x:c r="D306" s="63"/>
      <x:c r="E306" s="63"/>
      <x:c r="F306" s="63"/>
      <x:c r="G306" s="63"/>
      <x:c r="H306" s="63"/>
      <x:c r="I306" s="63"/>
    </x:row>
    <x:row r="307" ht="30" customHeight="1">
      <x:c r="C307" s="64"/>
      <x:c r="D307" s="63"/>
      <x:c r="E307" s="63"/>
      <x:c r="F307" s="63"/>
      <x:c r="G307" s="63"/>
      <x:c r="H307" s="63"/>
      <x:c r="I307" s="63"/>
    </x:row>
    <x:row r="308" ht="30" customHeight="1">
      <x:c r="C308" s="64"/>
      <x:c r="D308" s="63"/>
      <x:c r="E308" s="63"/>
      <x:c r="F308" s="63"/>
      <x:c r="G308" s="63"/>
      <x:c r="H308" s="63"/>
      <x:c r="I308" s="63"/>
    </x:row>
    <x:row r="309" ht="30" customHeight="1">
      <x:c r="C309" s="64"/>
      <x:c r="D309" s="63"/>
      <x:c r="E309" s="63"/>
      <x:c r="F309" s="63"/>
      <x:c r="G309" s="63"/>
      <x:c r="H309" s="63"/>
      <x:c r="I309" s="63"/>
    </x:row>
    <x:row r="310" ht="30" customHeight="1">
      <x:c r="C310" s="64"/>
      <x:c r="D310" s="63"/>
      <x:c r="E310" s="63"/>
      <x:c r="F310" s="63"/>
      <x:c r="G310" s="63"/>
      <x:c r="H310" s="63"/>
      <x:c r="I310" s="63"/>
    </x:row>
    <x:row r="311" ht="30" customHeight="1">
      <x:c r="C311" s="64"/>
      <x:c r="D311" s="63"/>
      <x:c r="E311" s="63"/>
      <x:c r="F311" s="63"/>
      <x:c r="G311" s="63"/>
      <x:c r="H311" s="63"/>
      <x:c r="I311" s="63"/>
    </x:row>
    <x:row r="312" ht="30" customHeight="1">
      <x:c r="C312" s="64"/>
      <x:c r="D312" s="63"/>
      <x:c r="E312" s="63"/>
      <x:c r="F312" s="63"/>
      <x:c r="G312" s="63"/>
      <x:c r="H312" s="63"/>
      <x:c r="I312" s="63"/>
    </x:row>
    <x:row r="313" ht="30" customHeight="1">
      <x:c r="C313" s="64"/>
      <x:c r="D313" s="63"/>
      <x:c r="E313" s="63"/>
      <x:c r="F313" s="63"/>
      <x:c r="G313" s="63"/>
      <x:c r="H313" s="63"/>
      <x:c r="I313" s="63"/>
    </x:row>
    <x:row r="314" ht="30" customHeight="1">
      <x:c r="C314" s="64"/>
      <x:c r="D314" s="63"/>
      <x:c r="E314" s="63"/>
      <x:c r="F314" s="63"/>
      <x:c r="G314" s="63"/>
      <x:c r="H314" s="63"/>
      <x:c r="I314" s="63"/>
    </x:row>
    <x:row r="315" ht="30" customHeight="1">
      <x:c r="C315" s="64"/>
      <x:c r="D315" s="63"/>
      <x:c r="E315" s="63"/>
      <x:c r="F315" s="63"/>
      <x:c r="G315" s="63"/>
      <x:c r="H315" s="63"/>
      <x:c r="I315" s="63"/>
    </x:row>
    <x:row r="316" ht="30" customHeight="1">
      <x:c r="C316" s="64"/>
      <x:c r="D316" s="63"/>
      <x:c r="E316" s="63"/>
      <x:c r="F316" s="63"/>
      <x:c r="G316" s="63"/>
      <x:c r="H316" s="63"/>
      <x:c r="I316" s="63"/>
    </x:row>
    <x:row r="317" ht="30" customHeight="1">
      <x:c r="C317" s="64"/>
      <x:c r="D317" s="63"/>
      <x:c r="E317" s="63"/>
      <x:c r="F317" s="63"/>
      <x:c r="G317" s="63"/>
      <x:c r="H317" s="63"/>
      <x:c r="I317" s="63"/>
    </x:row>
    <x:row r="318" ht="30" customHeight="1">
      <x:c r="C318" s="64"/>
      <x:c r="D318" s="63"/>
      <x:c r="E318" s="63"/>
      <x:c r="F318" s="63"/>
      <x:c r="G318" s="63"/>
      <x:c r="H318" s="63"/>
      <x:c r="I318" s="63"/>
    </x:row>
    <x:row r="319" ht="30" customHeight="1">
      <x:c r="C319" s="64"/>
      <x:c r="D319" s="63"/>
      <x:c r="E319" s="63"/>
      <x:c r="F319" s="63"/>
      <x:c r="G319" s="63"/>
      <x:c r="H319" s="63"/>
      <x:c r="I319" s="63"/>
    </x:row>
    <x:row r="320" ht="30" customHeight="1">
      <x:c r="C320" s="64"/>
      <x:c r="D320" s="63"/>
      <x:c r="E320" s="63"/>
      <x:c r="F320" s="63"/>
      <x:c r="G320" s="63"/>
      <x:c r="H320" s="63"/>
      <x:c r="I320" s="63"/>
    </x:row>
    <x:row r="321" ht="30" customHeight="1">
      <x:c r="C321" s="64"/>
      <x:c r="D321" s="63"/>
      <x:c r="E321" s="63"/>
      <x:c r="F321" s="63"/>
      <x:c r="G321" s="63"/>
      <x:c r="H321" s="63"/>
      <x:c r="I321" s="63"/>
    </x:row>
    <x:row r="322" ht="30" customHeight="1">
      <x:c r="C322" s="64"/>
      <x:c r="D322" s="63"/>
      <x:c r="E322" s="63"/>
      <x:c r="F322" s="63"/>
      <x:c r="G322" s="63"/>
      <x:c r="H322" s="63"/>
      <x:c r="I322" s="63"/>
    </x:row>
    <x:row r="323" ht="30" customHeight="1">
      <x:c r="C323" s="64"/>
      <x:c r="D323" s="63"/>
      <x:c r="E323" s="63"/>
      <x:c r="F323" s="63"/>
      <x:c r="G323" s="63"/>
      <x:c r="H323" s="63"/>
      <x:c r="I323" s="63"/>
    </x:row>
    <x:row r="324" ht="30" customHeight="1">
      <x:c r="C324" s="64"/>
      <x:c r="D324" s="63"/>
      <x:c r="E324" s="63"/>
      <x:c r="F324" s="63"/>
      <x:c r="G324" s="63"/>
      <x:c r="H324" s="63"/>
      <x:c r="I324" s="63"/>
    </x:row>
    <x:row r="325" ht="30" customHeight="1">
      <x:c r="C325" s="64"/>
      <x:c r="D325" s="63"/>
      <x:c r="E325" s="63"/>
      <x:c r="F325" s="63"/>
      <x:c r="G325" s="63"/>
      <x:c r="H325" s="63"/>
      <x:c r="I325" s="63"/>
    </x:row>
    <x:row r="326" ht="30" customHeight="1">
      <x:c r="C326" s="64"/>
      <x:c r="D326" s="63"/>
      <x:c r="E326" s="63"/>
      <x:c r="F326" s="63"/>
      <x:c r="G326" s="63"/>
      <x:c r="H326" s="63"/>
      <x:c r="I326" s="63"/>
    </x:row>
    <x:row r="327" ht="30" customHeight="1">
      <x:c r="C327" s="64"/>
      <x:c r="D327" s="63"/>
      <x:c r="E327" s="63"/>
      <x:c r="F327" s="63"/>
      <x:c r="G327" s="63"/>
      <x:c r="H327" s="63"/>
      <x:c r="I327" s="63"/>
    </x:row>
    <x:row r="328" ht="30" customHeight="1">
      <x:c r="C328" s="64"/>
      <x:c r="D328" s="63"/>
      <x:c r="E328" s="63"/>
      <x:c r="F328" s="63"/>
      <x:c r="G328" s="63"/>
      <x:c r="H328" s="63"/>
      <x:c r="I328" s="63"/>
    </x:row>
    <x:row r="329" ht="30" customHeight="1">
      <x:c r="C329" s="64"/>
      <x:c r="D329" s="63"/>
      <x:c r="E329" s="63"/>
      <x:c r="F329" s="63"/>
      <x:c r="G329" s="63"/>
      <x:c r="H329" s="63"/>
      <x:c r="I329" s="63"/>
    </x:row>
    <x:row r="330" ht="30" customHeight="1">
      <x:c r="C330" s="64"/>
      <x:c r="D330" s="63"/>
      <x:c r="E330" s="63"/>
      <x:c r="F330" s="63"/>
      <x:c r="G330" s="63"/>
      <x:c r="H330" s="63"/>
      <x:c r="I330" s="63"/>
    </x:row>
    <x:row r="331" ht="30" customHeight="1">
      <x:c r="C331" s="64"/>
      <x:c r="D331" s="63"/>
      <x:c r="E331" s="63"/>
      <x:c r="F331" s="63"/>
      <x:c r="G331" s="63"/>
      <x:c r="H331" s="63"/>
      <x:c r="I331" s="63"/>
    </x:row>
    <x:row r="332" ht="30" customHeight="1">
      <x:c r="C332" s="64"/>
      <x:c r="D332" s="63"/>
      <x:c r="E332" s="63"/>
      <x:c r="F332" s="63"/>
      <x:c r="G332" s="63"/>
      <x:c r="H332" s="63"/>
      <x:c r="I332" s="63"/>
    </x:row>
    <x:row r="333" ht="30" customHeight="1">
      <x:c r="C333" s="64"/>
      <x:c r="D333" s="63"/>
      <x:c r="E333" s="63"/>
      <x:c r="F333" s="63"/>
      <x:c r="G333" s="63"/>
      <x:c r="H333" s="63"/>
      <x:c r="I333" s="63"/>
    </x:row>
    <x:row r="334" ht="30" customHeight="1">
      <x:c r="C334" s="64"/>
      <x:c r="D334" s="63"/>
      <x:c r="E334" s="63"/>
      <x:c r="F334" s="63"/>
      <x:c r="G334" s="63"/>
      <x:c r="H334" s="63"/>
      <x:c r="I334" s="63"/>
    </x:row>
    <x:row r="335" ht="30" customHeight="1">
      <x:c r="C335" s="64"/>
      <x:c r="D335" s="63"/>
      <x:c r="E335" s="63"/>
      <x:c r="F335" s="63"/>
      <x:c r="G335" s="63"/>
      <x:c r="H335" s="63"/>
      <x:c r="I335" s="63"/>
    </x:row>
    <x:row r="336" ht="30" customHeight="1">
      <x:c r="C336" s="64"/>
      <x:c r="D336" s="63"/>
      <x:c r="E336" s="63"/>
      <x:c r="F336" s="63"/>
      <x:c r="G336" s="63"/>
      <x:c r="H336" s="63"/>
      <x:c r="I336" s="63"/>
    </x:row>
    <x:row r="337" ht="30" customHeight="1">
      <x:c r="C337" s="64"/>
      <x:c r="D337" s="63"/>
      <x:c r="E337" s="63"/>
      <x:c r="F337" s="63"/>
      <x:c r="G337" s="63"/>
      <x:c r="H337" s="63"/>
      <x:c r="I337" s="63"/>
    </x:row>
    <x:row r="338" ht="30" customHeight="1">
      <x:c r="C338" s="64"/>
      <x:c r="D338" s="63"/>
      <x:c r="E338" s="63"/>
      <x:c r="F338" s="63"/>
      <x:c r="G338" s="63"/>
      <x:c r="H338" s="63"/>
      <x:c r="I338" s="63"/>
    </x:row>
    <x:row r="339" ht="30" customHeight="1">
      <x:c r="C339" s="64"/>
      <x:c r="D339" s="63"/>
      <x:c r="E339" s="63"/>
      <x:c r="F339" s="63"/>
      <x:c r="G339" s="63"/>
      <x:c r="H339" s="63"/>
      <x:c r="I339" s="63"/>
    </x:row>
    <x:row r="340" ht="30" customHeight="1">
      <x:c r="C340" s="64"/>
      <x:c r="D340" s="63"/>
      <x:c r="E340" s="63"/>
      <x:c r="F340" s="63"/>
      <x:c r="G340" s="63"/>
      <x:c r="H340" s="63"/>
      <x:c r="I340" s="63"/>
    </x:row>
    <x:row r="341" ht="30" customHeight="1">
      <x:c r="C341" s="64"/>
      <x:c r="D341" s="63"/>
      <x:c r="E341" s="63"/>
      <x:c r="F341" s="63"/>
      <x:c r="G341" s="63"/>
      <x:c r="H341" s="63"/>
      <x:c r="I341" s="63"/>
    </x:row>
    <x:row r="342" ht="30" customHeight="1">
      <x:c r="C342" s="64"/>
      <x:c r="D342" s="63"/>
      <x:c r="E342" s="63"/>
      <x:c r="F342" s="63"/>
      <x:c r="G342" s="63"/>
      <x:c r="H342" s="63"/>
      <x:c r="I342" s="63"/>
    </x:row>
    <x:row r="343" ht="30" customHeight="1">
      <x:c r="C343" s="64"/>
      <x:c r="D343" s="63"/>
      <x:c r="E343" s="63"/>
      <x:c r="F343" s="63"/>
      <x:c r="G343" s="63"/>
      <x:c r="H343" s="63"/>
      <x:c r="I343" s="63"/>
    </x:row>
    <x:row r="344" ht="30" customHeight="1">
      <x:c r="C344" s="64"/>
      <x:c r="D344" s="63"/>
      <x:c r="E344" s="63"/>
      <x:c r="F344" s="63"/>
      <x:c r="G344" s="63"/>
      <x:c r="H344" s="63"/>
      <x:c r="I344" s="63"/>
    </x:row>
    <x:row r="345" ht="30" customHeight="1">
      <x:c r="C345" s="64"/>
      <x:c r="D345" s="63"/>
      <x:c r="E345" s="63"/>
      <x:c r="F345" s="63"/>
      <x:c r="G345" s="63"/>
      <x:c r="H345" s="63"/>
      <x:c r="I345" s="63"/>
    </x:row>
    <x:row r="346" ht="30" customHeight="1">
      <x:c r="C346" s="64"/>
      <x:c r="D346" s="63"/>
      <x:c r="E346" s="63"/>
      <x:c r="F346" s="63"/>
      <x:c r="G346" s="63"/>
      <x:c r="H346" s="63"/>
      <x:c r="I346" s="63"/>
    </x:row>
    <x:row r="347" ht="30" customHeight="1">
      <x:c r="C347" s="64"/>
      <x:c r="D347" s="63"/>
      <x:c r="E347" s="63"/>
      <x:c r="F347" s="63"/>
      <x:c r="G347" s="63"/>
      <x:c r="H347" s="63"/>
      <x:c r="I347" s="63"/>
    </x:row>
    <x:row r="348" ht="30" customHeight="1">
      <x:c r="C348" s="64"/>
      <x:c r="D348" s="63"/>
      <x:c r="E348" s="63"/>
      <x:c r="F348" s="63"/>
      <x:c r="G348" s="63"/>
      <x:c r="H348" s="63"/>
      <x:c r="I348" s="63"/>
    </x:row>
    <x:row r="349" ht="30" customHeight="1">
      <x:c r="C349" s="64"/>
      <x:c r="D349" s="63"/>
      <x:c r="E349" s="63"/>
      <x:c r="F349" s="63"/>
      <x:c r="G349" s="63"/>
      <x:c r="H349" s="63"/>
      <x:c r="I349" s="63"/>
    </x:row>
    <x:row r="350" ht="30" customHeight="1">
      <x:c r="C350" s="64"/>
      <x:c r="D350" s="63"/>
      <x:c r="E350" s="63"/>
      <x:c r="F350" s="63"/>
      <x:c r="G350" s="63"/>
      <x:c r="H350" s="63"/>
      <x:c r="I350" s="63"/>
    </x:row>
    <x:row r="351" ht="30" customHeight="1">
      <x:c r="C351" s="64"/>
      <x:c r="D351" s="63"/>
      <x:c r="E351" s="63"/>
      <x:c r="F351" s="63"/>
      <x:c r="G351" s="63"/>
      <x:c r="H351" s="63"/>
      <x:c r="I351" s="63"/>
    </x:row>
    <x:row r="352" ht="30" customHeight="1">
      <x:c r="C352" s="64"/>
      <x:c r="D352" s="63"/>
      <x:c r="E352" s="63"/>
      <x:c r="F352" s="63"/>
      <x:c r="G352" s="63"/>
      <x:c r="H352" s="63"/>
      <x:c r="I352" s="63"/>
    </x:row>
    <x:row r="353" ht="30" customHeight="1">
      <x:c r="C353" s="64"/>
      <x:c r="D353" s="63"/>
      <x:c r="E353" s="63"/>
      <x:c r="F353" s="63"/>
      <x:c r="G353" s="63"/>
      <x:c r="H353" s="63"/>
      <x:c r="I353" s="63"/>
    </x:row>
    <x:row r="354" ht="30" customHeight="1">
      <x:c r="C354" s="64"/>
      <x:c r="D354" s="63"/>
      <x:c r="E354" s="63"/>
      <x:c r="F354" s="63"/>
      <x:c r="G354" s="63"/>
      <x:c r="H354" s="63"/>
      <x:c r="I354" s="63"/>
    </x:row>
    <x:row r="355" ht="30" customHeight="1">
      <x:c r="C355" s="64"/>
      <x:c r="D355" s="63"/>
      <x:c r="E355" s="63"/>
      <x:c r="F355" s="63"/>
      <x:c r="G355" s="63"/>
      <x:c r="H355" s="63"/>
      <x:c r="I355" s="63"/>
    </x:row>
    <x:row r="356" ht="30" customHeight="1">
      <x:c r="C356" s="64"/>
      <x:c r="D356" s="63"/>
      <x:c r="E356" s="63"/>
      <x:c r="F356" s="63"/>
      <x:c r="G356" s="63"/>
      <x:c r="H356" s="63"/>
      <x:c r="I356" s="63"/>
    </x:row>
    <x:row r="357" ht="30" customHeight="1">
      <x:c r="C357" s="64"/>
      <x:c r="D357" s="63"/>
      <x:c r="E357" s="63"/>
      <x:c r="F357" s="63"/>
      <x:c r="G357" s="63"/>
      <x:c r="H357" s="63"/>
      <x:c r="I357" s="63"/>
    </x:row>
    <x:row r="358" ht="30" customHeight="1">
      <x:c r="C358" s="64"/>
      <x:c r="D358" s="63"/>
      <x:c r="E358" s="63"/>
      <x:c r="F358" s="63"/>
      <x:c r="G358" s="63"/>
      <x:c r="H358" s="63"/>
      <x:c r="I358" s="63"/>
    </x:row>
    <x:row r="359" ht="30" customHeight="1">
      <x:c r="C359" s="64"/>
      <x:c r="D359" s="63"/>
      <x:c r="E359" s="63"/>
      <x:c r="F359" s="63"/>
      <x:c r="G359" s="63"/>
      <x:c r="H359" s="63"/>
      <x:c r="I359" s="63"/>
    </x:row>
    <x:row r="360" ht="30" customHeight="1">
      <x:c r="C360" s="64"/>
      <x:c r="D360" s="63"/>
      <x:c r="E360" s="63"/>
      <x:c r="F360" s="63"/>
      <x:c r="G360" s="63"/>
      <x:c r="H360" s="63"/>
      <x:c r="I360" s="63"/>
    </x:row>
    <x:row r="361" ht="30" customHeight="1">
      <x:c r="C361" s="64"/>
      <x:c r="D361" s="63"/>
      <x:c r="E361" s="63"/>
      <x:c r="F361" s="63"/>
      <x:c r="G361" s="63"/>
      <x:c r="H361" s="63"/>
      <x:c r="I361" s="63"/>
    </x:row>
    <x:row r="362" ht="30" customHeight="1">
      <x:c r="C362" s="64"/>
      <x:c r="D362" s="63"/>
      <x:c r="E362" s="63"/>
      <x:c r="F362" s="63"/>
      <x:c r="G362" s="63"/>
      <x:c r="H362" s="63"/>
      <x:c r="I362" s="63"/>
    </x:row>
    <x:row r="363" ht="30" customHeight="1">
      <x:c r="C363" s="64"/>
      <x:c r="D363" s="63"/>
      <x:c r="E363" s="63"/>
      <x:c r="F363" s="63"/>
      <x:c r="G363" s="63"/>
      <x:c r="H363" s="63"/>
      <x:c r="I363" s="63"/>
    </x:row>
    <x:row r="364" ht="30" customHeight="1">
      <x:c r="C364" s="64"/>
      <x:c r="D364" s="63"/>
      <x:c r="E364" s="63"/>
      <x:c r="F364" s="63"/>
      <x:c r="G364" s="63"/>
      <x:c r="H364" s="63"/>
      <x:c r="I364" s="63"/>
    </x:row>
    <x:row r="365" ht="30" customHeight="1">
      <x:c r="C365" s="64"/>
      <x:c r="D365" s="63"/>
      <x:c r="E365" s="63"/>
      <x:c r="F365" s="63"/>
      <x:c r="G365" s="63"/>
      <x:c r="H365" s="63"/>
      <x:c r="I365" s="63"/>
    </x:row>
    <x:row r="366" ht="30" customHeight="1">
      <x:c r="C366" s="64"/>
      <x:c r="D366" s="63"/>
      <x:c r="E366" s="63"/>
      <x:c r="F366" s="63"/>
      <x:c r="G366" s="63"/>
      <x:c r="H366" s="63"/>
      <x:c r="I366" s="63"/>
    </x:row>
    <x:row r="367" ht="30" customHeight="1">
      <x:c r="C367" s="64"/>
      <x:c r="D367" s="63"/>
      <x:c r="E367" s="63"/>
      <x:c r="F367" s="63"/>
      <x:c r="G367" s="63"/>
      <x:c r="H367" s="63"/>
      <x:c r="I367" s="63"/>
    </x:row>
    <x:row r="368" ht="30" customHeight="1">
      <x:c r="C368" s="64"/>
      <x:c r="D368" s="63"/>
      <x:c r="E368" s="63"/>
      <x:c r="F368" s="63"/>
      <x:c r="G368" s="63"/>
      <x:c r="H368" s="63"/>
      <x:c r="I368" s="63"/>
    </x:row>
    <x:row r="369" ht="30" customHeight="1">
      <x:c r="C369" s="64"/>
      <x:c r="D369" s="63"/>
      <x:c r="E369" s="63"/>
      <x:c r="F369" s="63"/>
      <x:c r="G369" s="63"/>
      <x:c r="H369" s="63"/>
      <x:c r="I369" s="63"/>
    </x:row>
    <x:row r="370" ht="30" customHeight="1">
      <x:c r="C370" s="64"/>
      <x:c r="D370" s="63"/>
      <x:c r="E370" s="63"/>
      <x:c r="F370" s="63"/>
      <x:c r="G370" s="63"/>
      <x:c r="H370" s="63"/>
      <x:c r="I370" s="63"/>
    </x:row>
    <x:row r="371" ht="30" customHeight="1">
      <x:c r="C371" s="64"/>
      <x:c r="D371" s="63"/>
      <x:c r="E371" s="63"/>
      <x:c r="F371" s="63"/>
      <x:c r="G371" s="63"/>
      <x:c r="H371" s="63"/>
      <x:c r="I371" s="63"/>
    </x:row>
    <x:row r="372" ht="30" customHeight="1">
      <x:c r="C372" s="64"/>
      <x:c r="D372" s="63"/>
      <x:c r="E372" s="63"/>
      <x:c r="F372" s="63"/>
      <x:c r="G372" s="63"/>
      <x:c r="H372" s="63"/>
      <x:c r="I372" s="63"/>
    </x:row>
    <x:row r="373" ht="30" customHeight="1">
      <x:c r="C373" s="64"/>
      <x:c r="D373" s="63"/>
      <x:c r="E373" s="63"/>
      <x:c r="F373" s="63"/>
      <x:c r="G373" s="63"/>
      <x:c r="H373" s="63"/>
      <x:c r="I373" s="63"/>
    </x:row>
    <x:row r="374" ht="30" customHeight="1">
      <x:c r="C374" s="64"/>
      <x:c r="D374" s="63"/>
      <x:c r="E374" s="63"/>
      <x:c r="F374" s="63"/>
      <x:c r="G374" s="63"/>
      <x:c r="H374" s="63"/>
      <x:c r="I374" s="63"/>
    </x:row>
    <x:row r="375" ht="30" customHeight="1">
      <x:c r="C375" s="64"/>
      <x:c r="D375" s="63"/>
      <x:c r="E375" s="63"/>
      <x:c r="F375" s="63"/>
      <x:c r="G375" s="63"/>
      <x:c r="H375" s="63"/>
      <x:c r="I375" s="63"/>
    </x:row>
    <x:row r="376" ht="30" customHeight="1">
      <x:c r="C376" s="64"/>
      <x:c r="D376" s="63"/>
      <x:c r="E376" s="63"/>
      <x:c r="F376" s="63"/>
      <x:c r="G376" s="63"/>
      <x:c r="H376" s="63"/>
      <x:c r="I376" s="63"/>
    </x:row>
    <x:row r="377" ht="30" customHeight="1">
      <x:c r="C377" s="64"/>
      <x:c r="D377" s="63"/>
      <x:c r="E377" s="63"/>
      <x:c r="F377" s="63"/>
      <x:c r="G377" s="63"/>
      <x:c r="H377" s="63"/>
      <x:c r="I377" s="63"/>
    </x:row>
    <x:row r="378" ht="30" customHeight="1">
      <x:c r="C378" s="64"/>
      <x:c r="D378" s="63"/>
      <x:c r="E378" s="63"/>
      <x:c r="F378" s="63"/>
      <x:c r="G378" s="63"/>
      <x:c r="H378" s="63"/>
      <x:c r="I378" s="63"/>
    </x:row>
    <x:row r="379" ht="30" customHeight="1">
      <x:c r="C379" s="64"/>
      <x:c r="D379" s="63"/>
      <x:c r="E379" s="63"/>
      <x:c r="F379" s="63"/>
      <x:c r="G379" s="63"/>
      <x:c r="H379" s="63"/>
      <x:c r="I379" s="63"/>
    </x:row>
    <x:row r="380" ht="30" customHeight="1">
      <x:c r="C380" s="64"/>
      <x:c r="D380" s="63"/>
      <x:c r="E380" s="63"/>
      <x:c r="F380" s="63"/>
      <x:c r="G380" s="63"/>
      <x:c r="H380" s="63"/>
      <x:c r="I380" s="63"/>
    </x:row>
    <x:row r="381" ht="30" customHeight="1">
      <x:c r="C381" s="64"/>
      <x:c r="D381" s="63"/>
      <x:c r="E381" s="63"/>
      <x:c r="F381" s="63"/>
      <x:c r="G381" s="63"/>
      <x:c r="H381" s="63"/>
      <x:c r="I381" s="63"/>
    </x:row>
    <x:row r="382" ht="30" customHeight="1">
      <x:c r="C382" s="64"/>
      <x:c r="D382" s="63"/>
      <x:c r="E382" s="63"/>
      <x:c r="F382" s="63"/>
      <x:c r="G382" s="63"/>
      <x:c r="H382" s="63"/>
      <x:c r="I382" s="63"/>
    </x:row>
    <x:row r="383" ht="30" customHeight="1">
      <x:c r="C383" s="64"/>
      <x:c r="D383" s="63"/>
      <x:c r="E383" s="63"/>
      <x:c r="F383" s="63"/>
      <x:c r="G383" s="63"/>
      <x:c r="H383" s="63"/>
      <x:c r="I383" s="63"/>
    </x:row>
    <x:row r="384" ht="30" customHeight="1">
      <x:c r="C384" s="64"/>
      <x:c r="D384" s="63"/>
      <x:c r="E384" s="63"/>
      <x:c r="F384" s="63"/>
      <x:c r="G384" s="63"/>
      <x:c r="H384" s="63"/>
      <x:c r="I384" s="63"/>
    </x:row>
    <x:row r="385" ht="30" customHeight="1">
      <x:c r="C385" s="64"/>
      <x:c r="D385" s="63"/>
      <x:c r="E385" s="63"/>
      <x:c r="F385" s="63"/>
      <x:c r="G385" s="63"/>
      <x:c r="H385" s="63"/>
      <x:c r="I385" s="63"/>
    </x:row>
    <x:row r="386" ht="30" customHeight="1">
      <x:c r="C386" s="64"/>
      <x:c r="D386" s="63"/>
      <x:c r="E386" s="63"/>
      <x:c r="F386" s="63"/>
      <x:c r="G386" s="63"/>
      <x:c r="H386" s="63"/>
      <x:c r="I386" s="63"/>
    </x:row>
    <x:row r="387" ht="30" customHeight="1">
      <x:c r="C387" s="64"/>
      <x:c r="D387" s="63"/>
      <x:c r="E387" s="63"/>
      <x:c r="F387" s="63"/>
      <x:c r="G387" s="63"/>
      <x:c r="H387" s="63"/>
      <x:c r="I387" s="63"/>
    </x:row>
    <x:row r="388" ht="30" customHeight="1">
      <x:c r="C388" s="64"/>
      <x:c r="D388" s="63"/>
      <x:c r="E388" s="63"/>
      <x:c r="F388" s="63"/>
      <x:c r="G388" s="63"/>
      <x:c r="H388" s="63"/>
      <x:c r="I388" s="63"/>
    </x:row>
    <x:row r="389" ht="30" customHeight="1">
      <x:c r="C389" s="64"/>
      <x:c r="D389" s="63"/>
      <x:c r="E389" s="63"/>
      <x:c r="F389" s="63"/>
      <x:c r="G389" s="63"/>
      <x:c r="H389" s="63"/>
      <x:c r="I389" s="63"/>
    </x:row>
    <x:row r="390" ht="30" customHeight="1">
      <x:c r="C390" s="64"/>
      <x:c r="D390" s="63"/>
      <x:c r="E390" s="63"/>
      <x:c r="F390" s="63"/>
      <x:c r="G390" s="63"/>
      <x:c r="H390" s="63"/>
      <x:c r="I390" s="63"/>
    </x:row>
    <x:row r="391" ht="30" customHeight="1">
      <x:c r="C391" s="64"/>
      <x:c r="D391" s="63"/>
      <x:c r="E391" s="63"/>
      <x:c r="F391" s="63"/>
      <x:c r="G391" s="63"/>
      <x:c r="H391" s="63"/>
      <x:c r="I391" s="63"/>
    </x:row>
    <x:row r="392" ht="30" customHeight="1">
      <x:c r="C392" s="64"/>
      <x:c r="D392" s="63"/>
      <x:c r="E392" s="63"/>
      <x:c r="F392" s="63"/>
      <x:c r="G392" s="63"/>
      <x:c r="H392" s="63"/>
      <x:c r="I392" s="63"/>
    </x:row>
    <x:row r="393" ht="30" customHeight="1">
      <x:c r="C393" s="64"/>
      <x:c r="D393" s="63"/>
      <x:c r="E393" s="63"/>
      <x:c r="F393" s="63"/>
      <x:c r="G393" s="63"/>
      <x:c r="H393" s="63"/>
      <x:c r="I393" s="63"/>
    </x:row>
    <x:row r="394" ht="30" customHeight="1">
      <x:c r="C394" s="64"/>
      <x:c r="D394" s="63"/>
      <x:c r="E394" s="63"/>
      <x:c r="F394" s="63"/>
      <x:c r="G394" s="63"/>
      <x:c r="H394" s="63"/>
      <x:c r="I394" s="63"/>
    </x:row>
    <x:row r="395" ht="30" customHeight="1">
      <x:c r="C395" s="64"/>
      <x:c r="D395" s="63"/>
      <x:c r="E395" s="63"/>
      <x:c r="F395" s="63"/>
      <x:c r="G395" s="63"/>
      <x:c r="H395" s="63"/>
      <x:c r="I395" s="63"/>
    </x:row>
    <x:row r="396" ht="30" customHeight="1">
      <x:c r="C396" s="64"/>
      <x:c r="D396" s="63"/>
      <x:c r="E396" s="63"/>
      <x:c r="F396" s="63"/>
      <x:c r="G396" s="63"/>
      <x:c r="H396" s="63"/>
      <x:c r="I396" s="63"/>
    </x:row>
    <x:row r="397" ht="30" customHeight="1">
      <x:c r="C397" s="64"/>
      <x:c r="D397" s="63"/>
      <x:c r="E397" s="63"/>
      <x:c r="F397" s="63"/>
      <x:c r="G397" s="63"/>
      <x:c r="H397" s="63"/>
      <x:c r="I397" s="63"/>
    </x:row>
    <x:row r="398" ht="25" customHeight="1">
      <x:c r="C398" s="68" t="str">
        <x:v>SCENARIO ASSUMPTIONS</x:v>
      </x:c>
      <x:c r="D398" s="82"/>
      <x:c r="E398" s="82"/>
      <x:c r="F398" s="82"/>
      <x:c r="G398" s="82"/>
      <x:c r="H398" s="82"/>
      <x:c r="I398" s="82"/>
    </x:row>
    <x:row r="399" ht="30" customHeight="1">
      <x:c r="C399" s="64"/>
      <x:c r="D399" s="63"/>
      <x:c r="E399" s="63"/>
      <x:c r="F399" s="63"/>
      <x:c r="G399" s="63"/>
      <x:c r="H399" s="63"/>
      <x:c r="I399" s="63"/>
    </x:row>
    <x:row r="400" ht="30" customHeight="1">
      <x:c r="C400" s="64" t="str">
        <x:v>Billable utilization — active</x:v>
      </x:c>
      <x:c r="D400" s="63"/>
      <x:c r="E400" s="83" t="n">
        <x:f>IF(COUNT(CHOOSE('Controls'!$E$5,E401,E402,E403))=1,CHOOSE('Controls'!$E$5,E401,E402,E403),NA())</x:f>
        <x:v>0.82</x:v>
      </x:c>
      <x:c r="F400" s="83" t="n">
        <x:f>IF(COUNT(CHOOSE('Controls'!$E$5,F401,F402,F403))=1,CHOOSE('Controls'!$E$5,F401,F402,F403),NA())</x:f>
        <x:v>0.82</x:v>
      </x:c>
      <x:c r="G400" s="83" t="n">
        <x:f>IF(COUNT(CHOOSE('Controls'!$E$5,G401,G402,G403))=1,CHOOSE('Controls'!$E$5,G401,G402,G403),NA())</x:f>
        <x:v>0.82</x:v>
      </x:c>
      <x:c r="H400" s="83" t="n">
        <x:f>IF(COUNT(CHOOSE('Controls'!$E$5,H401,H402,H403))=1,CHOOSE('Controls'!$E$5,H401,H402,H403),NA())</x:f>
        <x:v>0.82</x:v>
      </x:c>
      <x:c r="I400" s="83" t="n">
        <x:f>IF(COUNT(CHOOSE('Controls'!$E$5,I401,I402,I403))=1,CHOOSE('Controls'!$E$5,I401,I402,I403),NA())</x:f>
        <x:v>0.82</x:v>
      </x:c>
    </x:row>
    <x:row r="401" ht="30" customHeight="1">
      <x:c r="C401" s="64" t="str">
        <x:v>Base</x:v>
      </x:c>
      <x:c r="D401" s="63"/>
      <x:c r="E401" s="85" t="n">
        <x:v>0.82</x:v>
      </x:c>
      <x:c r="F401" s="85" t="n">
        <x:v>0.82</x:v>
      </x:c>
      <x:c r="G401" s="85" t="n">
        <x:v>0.82</x:v>
      </x:c>
      <x:c r="H401" s="85" t="n">
        <x:v>0.82</x:v>
      </x:c>
      <x:c r="I401" s="85" t="n">
        <x:v>0.82</x:v>
      </x:c>
    </x:row>
    <x:row r="402" ht="30" customHeight="1">
      <x:c r="C402" s="64" t="str">
        <x:v>Downside</x:v>
      </x:c>
      <x:c r="D402" s="63"/>
      <x:c r="E402" s="85" t="n">
        <x:v>0.82</x:v>
      </x:c>
      <x:c r="F402" s="85" t="n">
        <x:v>0.82</x:v>
      </x:c>
      <x:c r="G402" s="85" t="n">
        <x:v>0.82</x:v>
      </x:c>
      <x:c r="H402" s="85" t="n">
        <x:v>0.82</x:v>
      </x:c>
      <x:c r="I402" s="85" t="n">
        <x:v>0.82</x:v>
      </x:c>
    </x:row>
    <x:row r="403" ht="30" customHeight="1">
      <x:c r="C403" s="64" t="str">
        <x:v>Upside</x:v>
      </x:c>
      <x:c r="D403" s="63"/>
      <x:c r="E403" s="85" t="n">
        <x:v>0.82</x:v>
      </x:c>
      <x:c r="F403" s="85" t="n">
        <x:v>0.82</x:v>
      </x:c>
      <x:c r="G403" s="85" t="n">
        <x:v>0.82</x:v>
      </x:c>
      <x:c r="H403" s="85" t="n">
        <x:v>0.82</x:v>
      </x:c>
      <x:c r="I403" s="85" t="n">
        <x:v>0.82</x:v>
      </x:c>
    </x:row>
    <x:row r="404" ht="30" customHeight="1">
      <x:c r="C404" s="64"/>
      <x:c r="D404" s="63"/>
      <x:c r="E404" s="63"/>
      <x:c r="F404" s="63"/>
      <x:c r="G404" s="63"/>
      <x:c r="H404" s="63"/>
      <x:c r="I404" s="63"/>
    </x:row>
    <x:row r="405" ht="30" customHeight="1">
      <x:c r="C405" s="64" t="str">
        <x:v>Employee delivery cost / revenue — active</x:v>
      </x:c>
      <x:c r="D405" s="63"/>
      <x:c r="E405" s="83" t="n">
        <x:f>IF(COUNT(CHOOSE('Controls'!$E$5,E406,E407,E408))=1,CHOOSE('Controls'!$E$5,E406,E407,E408),NA())</x:f>
        <x:v>0.6</x:v>
      </x:c>
      <x:c r="F405" s="83" t="n">
        <x:f>IF(COUNT(CHOOSE('Controls'!$E$5,F406,F407,F408))=1,CHOOSE('Controls'!$E$5,F406,F407,F408),NA())</x:f>
        <x:v>0.6</x:v>
      </x:c>
      <x:c r="G405" s="83" t="n">
        <x:f>IF(COUNT(CHOOSE('Controls'!$E$5,G406,G407,G408))=1,CHOOSE('Controls'!$E$5,G406,G407,G408),NA())</x:f>
        <x:v>0.6</x:v>
      </x:c>
      <x:c r="H405" s="83" t="n">
        <x:f>IF(COUNT(CHOOSE('Controls'!$E$5,H406,H407,H408))=1,CHOOSE('Controls'!$E$5,H406,H407,H408),NA())</x:f>
        <x:v>0.6</x:v>
      </x:c>
      <x:c r="I405" s="83" t="n">
        <x:f>IF(COUNT(CHOOSE('Controls'!$E$5,I406,I407,I408))=1,CHOOSE('Controls'!$E$5,I406,I407,I408),NA())</x:f>
        <x:v>0.6</x:v>
      </x:c>
    </x:row>
    <x:row r="406" ht="30" customHeight="1">
      <x:c r="C406" s="64" t="str">
        <x:v>Base</x:v>
      </x:c>
      <x:c r="D406" s="63"/>
      <x:c r="E406" s="85" t="n">
        <x:v>0.6</x:v>
      </x:c>
      <x:c r="F406" s="85" t="n">
        <x:v>0.6</x:v>
      </x:c>
      <x:c r="G406" s="85" t="n">
        <x:v>0.6</x:v>
      </x:c>
      <x:c r="H406" s="85" t="n">
        <x:v>0.6</x:v>
      </x:c>
      <x:c r="I406" s="85" t="n">
        <x:v>0.6</x:v>
      </x:c>
    </x:row>
    <x:row r="407" ht="30" customHeight="1">
      <x:c r="C407" s="64" t="str">
        <x:v>Downside</x:v>
      </x:c>
      <x:c r="D407" s="63"/>
      <x:c r="E407" s="85" t="n">
        <x:v>0.6</x:v>
      </x:c>
      <x:c r="F407" s="85" t="n">
        <x:v>0.6</x:v>
      </x:c>
      <x:c r="G407" s="85" t="n">
        <x:v>0.6</x:v>
      </x:c>
      <x:c r="H407" s="85" t="n">
        <x:v>0.6</x:v>
      </x:c>
      <x:c r="I407" s="85" t="n">
        <x:v>0.6</x:v>
      </x:c>
    </x:row>
    <x:row r="408" ht="30" customHeight="1">
      <x:c r="C408" s="64" t="str">
        <x:v>Upside</x:v>
      </x:c>
      <x:c r="D408" s="63"/>
      <x:c r="E408" s="85" t="n">
        <x:v>0.6</x:v>
      </x:c>
      <x:c r="F408" s="85" t="n">
        <x:v>0.6</x:v>
      </x:c>
      <x:c r="G408" s="85" t="n">
        <x:v>0.6</x:v>
      </x:c>
      <x:c r="H408" s="85" t="n">
        <x:v>0.6</x:v>
      </x:c>
      <x:c r="I408" s="85" t="n">
        <x:v>0.6</x:v>
      </x:c>
    </x:row>
    <x:row r="409" ht="30" customHeight="1">
      <x:c r="C409" s="64"/>
      <x:c r="D409" s="63"/>
      <x:c r="E409" s="63"/>
      <x:c r="F409" s="63"/>
      <x:c r="G409" s="63"/>
      <x:c r="H409" s="63"/>
      <x:c r="I409" s="63"/>
    </x:row>
    <x:row r="410" ht="30" customHeight="1">
      <x:c r="C410" s="64" t="str">
        <x:v>Other cash operating costs / revenue — active</x:v>
      </x:c>
      <x:c r="D410" s="63"/>
      <x:c r="E410" s="83" t="n">
        <x:f>IF(COUNT(CHOOSE('Controls'!$E$5,E411,E412,E413))=1,CHOOSE('Controls'!$E$5,E411,E412,E413),NA())</x:f>
        <x:v>0.15</x:v>
      </x:c>
      <x:c r="F410" s="83" t="n">
        <x:f>IF(COUNT(CHOOSE('Controls'!$E$5,F411,F412,F413))=1,CHOOSE('Controls'!$E$5,F411,F412,F413),NA())</x:f>
        <x:v>0.15</x:v>
      </x:c>
      <x:c r="G410" s="83" t="n">
        <x:f>IF(COUNT(CHOOSE('Controls'!$E$5,G411,G412,G413))=1,CHOOSE('Controls'!$E$5,G411,G412,G413),NA())</x:f>
        <x:v>0.15</x:v>
      </x:c>
      <x:c r="H410" s="83" t="n">
        <x:f>IF(COUNT(CHOOSE('Controls'!$E$5,H411,H412,H413))=1,CHOOSE('Controls'!$E$5,H411,H412,H413),NA())</x:f>
        <x:v>0.15</x:v>
      </x:c>
      <x:c r="I410" s="83" t="n">
        <x:f>IF(COUNT(CHOOSE('Controls'!$E$5,I411,I412,I413))=1,CHOOSE('Controls'!$E$5,I411,I412,I413),NA())</x:f>
        <x:v>0.15</x:v>
      </x:c>
    </x:row>
    <x:row r="411" ht="30" customHeight="1">
      <x:c r="C411" s="64" t="str">
        <x:v>Base</x:v>
      </x:c>
      <x:c r="D411" s="63"/>
      <x:c r="E411" s="85" t="n">
        <x:v>0.15</x:v>
      </x:c>
      <x:c r="F411" s="85" t="n">
        <x:v>0.15</x:v>
      </x:c>
      <x:c r="G411" s="85" t="n">
        <x:v>0.15</x:v>
      </x:c>
      <x:c r="H411" s="85" t="n">
        <x:v>0.15</x:v>
      </x:c>
      <x:c r="I411" s="85" t="n">
        <x:v>0.15</x:v>
      </x:c>
    </x:row>
    <x:row r="412" ht="30" customHeight="1">
      <x:c r="C412" s="64" t="str">
        <x:v>Downside</x:v>
      </x:c>
      <x:c r="D412" s="63"/>
      <x:c r="E412" s="85" t="n">
        <x:v>0.15</x:v>
      </x:c>
      <x:c r="F412" s="85" t="n">
        <x:v>0.15</x:v>
      </x:c>
      <x:c r="G412" s="85" t="n">
        <x:v>0.15</x:v>
      </x:c>
      <x:c r="H412" s="85" t="n">
        <x:v>0.15</x:v>
      </x:c>
      <x:c r="I412" s="85" t="n">
        <x:v>0.15</x:v>
      </x:c>
    </x:row>
    <x:row r="413" ht="30" customHeight="1">
      <x:c r="C413" s="64" t="str">
        <x:v>Upside</x:v>
      </x:c>
      <x:c r="D413" s="63"/>
      <x:c r="E413" s="85" t="n">
        <x:v>0.15</x:v>
      </x:c>
      <x:c r="F413" s="85" t="n">
        <x:v>0.15</x:v>
      </x:c>
      <x:c r="G413" s="85" t="n">
        <x:v>0.15</x:v>
      </x:c>
      <x:c r="H413" s="85" t="n">
        <x:v>0.15</x:v>
      </x:c>
      <x:c r="I413" s="85" t="n">
        <x:v>0.15</x:v>
      </x:c>
    </x:row>
    <x:row r="414" ht="30" customHeight="1">
      <x:c r="C414" s="64"/>
      <x:c r="D414" s="63"/>
      <x:c r="E414" s="63"/>
      <x:c r="F414" s="63"/>
      <x:c r="G414" s="63"/>
      <x:c r="H414" s="63"/>
      <x:c r="I414" s="63"/>
    </x:row>
    <x:row r="415" ht="30" customHeight="1">
      <x:c r="C415" s="64" t="str">
        <x:v>Cash capex / revenue — active</x:v>
      </x:c>
      <x:c r="D415" s="63"/>
      <x:c r="E415" s="83" t="n">
        <x:f>IF(COUNT(CHOOSE('Controls'!$E$5,E416,E417,E418))=1,CHOOSE('Controls'!$E$5,E416,E417,E418),NA())</x:f>
        <x:v>0.035</x:v>
      </x:c>
      <x:c r="F415" s="83" t="n">
        <x:f>IF(COUNT(CHOOSE('Controls'!$E$5,F416,F417,F418))=1,CHOOSE('Controls'!$E$5,F416,F417,F418),NA())</x:f>
        <x:v>0.035</x:v>
      </x:c>
      <x:c r="G415" s="83" t="n">
        <x:f>IF(COUNT(CHOOSE('Controls'!$E$5,G416,G417,G418))=1,CHOOSE('Controls'!$E$5,G416,G417,G418),NA())</x:f>
        <x:v>0.035</x:v>
      </x:c>
      <x:c r="H415" s="83" t="n">
        <x:f>IF(COUNT(CHOOSE('Controls'!$E$5,H416,H417,H418))=1,CHOOSE('Controls'!$E$5,H416,H417,H418),NA())</x:f>
        <x:v>0.035</x:v>
      </x:c>
      <x:c r="I415" s="83" t="n">
        <x:f>IF(COUNT(CHOOSE('Controls'!$E$5,I416,I417,I418))=1,CHOOSE('Controls'!$E$5,I416,I417,I418),NA())</x:f>
        <x:v>0.035</x:v>
      </x:c>
    </x:row>
    <x:row r="416" ht="30" customHeight="1">
      <x:c r="C416" s="64" t="str">
        <x:v>Base</x:v>
      </x:c>
      <x:c r="D416" s="63"/>
      <x:c r="E416" s="85" t="n">
        <x:v>0.035</x:v>
      </x:c>
      <x:c r="F416" s="85" t="n">
        <x:v>0.035</x:v>
      </x:c>
      <x:c r="G416" s="85" t="n">
        <x:v>0.035</x:v>
      </x:c>
      <x:c r="H416" s="85" t="n">
        <x:v>0.035</x:v>
      </x:c>
      <x:c r="I416" s="85" t="n">
        <x:v>0.035</x:v>
      </x:c>
    </x:row>
    <x:row r="417" ht="30" customHeight="1">
      <x:c r="C417" s="64" t="str">
        <x:v>Downside</x:v>
      </x:c>
      <x:c r="D417" s="63"/>
      <x:c r="E417" s="85" t="n">
        <x:v>0.035</x:v>
      </x:c>
      <x:c r="F417" s="85" t="n">
        <x:v>0.035</x:v>
      </x:c>
      <x:c r="G417" s="85" t="n">
        <x:v>0.035</x:v>
      </x:c>
      <x:c r="H417" s="85" t="n">
        <x:v>0.035</x:v>
      </x:c>
      <x:c r="I417" s="85" t="n">
        <x:v>0.035</x:v>
      </x:c>
    </x:row>
    <x:row r="418" ht="30" customHeight="1">
      <x:c r="C418" s="64" t="str">
        <x:v>Upside</x:v>
      </x:c>
      <x:c r="D418" s="63"/>
      <x:c r="E418" s="85" t="n">
        <x:v>0.035</x:v>
      </x:c>
      <x:c r="F418" s="85" t="n">
        <x:v>0.035</x:v>
      </x:c>
      <x:c r="G418" s="85" t="n">
        <x:v>0.035</x:v>
      </x:c>
      <x:c r="H418" s="85" t="n">
        <x:v>0.035</x:v>
      </x:c>
      <x:c r="I418" s="85" t="n">
        <x:v>0.035</x:v>
      </x:c>
    </x:row>
    <x:row r="419" ht="30" customHeight="1">
      <x:c r="C419" s="64"/>
      <x:c r="D419" s="63"/>
      <x:c r="E419" s="63"/>
      <x:c r="F419" s="63"/>
      <x:c r="G419" s="63"/>
      <x:c r="H419" s="63"/>
      <x:c r="I419" s="63"/>
    </x:row>
    <x:row r="420" ht="30" customHeight="1">
      <x:c r="C420" s="64" t="str">
        <x:v>D&amp;A / opening net PP&amp;E — active</x:v>
      </x:c>
      <x:c r="D420" s="63"/>
      <x:c r="E420" s="83" t="n">
        <x:f>IF(COUNT(CHOOSE('Controls'!$E$5,E421,E422,E423))=1,CHOOSE('Controls'!$E$5,E421,E422,E423),NA())</x:f>
        <x:v>0.18</x:v>
      </x:c>
      <x:c r="F420" s="83" t="n">
        <x:f>IF(COUNT(CHOOSE('Controls'!$E$5,F421,F422,F423))=1,CHOOSE('Controls'!$E$5,F421,F422,F423),NA())</x:f>
        <x:v>0.18</x:v>
      </x:c>
      <x:c r="G420" s="83" t="n">
        <x:f>IF(COUNT(CHOOSE('Controls'!$E$5,G421,G422,G423))=1,CHOOSE('Controls'!$E$5,G421,G422,G423),NA())</x:f>
        <x:v>0.18</x:v>
      </x:c>
      <x:c r="H420" s="83" t="n">
        <x:f>IF(COUNT(CHOOSE('Controls'!$E$5,H421,H422,H423))=1,CHOOSE('Controls'!$E$5,H421,H422,H423),NA())</x:f>
        <x:v>0.18</x:v>
      </x:c>
      <x:c r="I420" s="83" t="n">
        <x:f>IF(COUNT(CHOOSE('Controls'!$E$5,I421,I422,I423))=1,CHOOSE('Controls'!$E$5,I421,I422,I423),NA())</x:f>
        <x:v>0.18</x:v>
      </x:c>
    </x:row>
    <x:row r="421" ht="30" customHeight="1">
      <x:c r="C421" s="64" t="str">
        <x:v>Base</x:v>
      </x:c>
      <x:c r="D421" s="63"/>
      <x:c r="E421" s="85" t="n">
        <x:v>0.18</x:v>
      </x:c>
      <x:c r="F421" s="85" t="n">
        <x:v>0.18</x:v>
      </x:c>
      <x:c r="G421" s="85" t="n">
        <x:v>0.18</x:v>
      </x:c>
      <x:c r="H421" s="85" t="n">
        <x:v>0.18</x:v>
      </x:c>
      <x:c r="I421" s="85" t="n">
        <x:v>0.18</x:v>
      </x:c>
    </x:row>
    <x:row r="422" ht="30" customHeight="1">
      <x:c r="C422" s="64" t="str">
        <x:v>Downside</x:v>
      </x:c>
      <x:c r="D422" s="63"/>
      <x:c r="E422" s="85" t="n">
        <x:v>0.18</x:v>
      </x:c>
      <x:c r="F422" s="85" t="n">
        <x:v>0.18</x:v>
      </x:c>
      <x:c r="G422" s="85" t="n">
        <x:v>0.18</x:v>
      </x:c>
      <x:c r="H422" s="85" t="n">
        <x:v>0.18</x:v>
      </x:c>
      <x:c r="I422" s="85" t="n">
        <x:v>0.18</x:v>
      </x:c>
    </x:row>
    <x:row r="423" ht="30" customHeight="1">
      <x:c r="C423" s="64" t="str">
        <x:v>Upside</x:v>
      </x:c>
      <x:c r="D423" s="63"/>
      <x:c r="E423" s="85" t="n">
        <x:v>0.18</x:v>
      </x:c>
      <x:c r="F423" s="85" t="n">
        <x:v>0.18</x:v>
      </x:c>
      <x:c r="G423" s="85" t="n">
        <x:v>0.18</x:v>
      </x:c>
      <x:c r="H423" s="85" t="n">
        <x:v>0.18</x:v>
      </x:c>
      <x:c r="I423" s="85" t="n">
        <x:v>0.18</x:v>
      </x:c>
    </x:row>
    <x:row r="424" ht="30" customHeight="1">
      <x:c r="C424" s="64"/>
      <x:c r="D424" s="63"/>
      <x:c r="E424" s="63"/>
      <x:c r="F424" s="63"/>
      <x:c r="G424" s="63"/>
      <x:c r="H424" s="63"/>
      <x:c r="I424" s="63"/>
    </x:row>
    <x:row r="425" ht="30" customHeight="1">
      <x:c r="C425" s="64" t="str">
        <x:v>Receivable days — active</x:v>
      </x:c>
      <x:c r="D425" s="63"/>
      <x:c r="E425" s="8" t="n">
        <x:f>IF(COUNT(CHOOSE('Controls'!$E$5,E426,E427,E428))=1,CHOOSE('Controls'!$E$5,E426,E427,E428),NA())</x:f>
        <x:v>65</x:v>
      </x:c>
      <x:c r="F425" s="8" t="n">
        <x:f>IF(COUNT(CHOOSE('Controls'!$E$5,F426,F427,F428))=1,CHOOSE('Controls'!$E$5,F426,F427,F428),NA())</x:f>
        <x:v>65</x:v>
      </x:c>
      <x:c r="G425" s="8" t="n">
        <x:f>IF(COUNT(CHOOSE('Controls'!$E$5,G426,G427,G428))=1,CHOOSE('Controls'!$E$5,G426,G427,G428),NA())</x:f>
        <x:v>65</x:v>
      </x:c>
      <x:c r="H425" s="8" t="n">
        <x:f>IF(COUNT(CHOOSE('Controls'!$E$5,H426,H427,H428))=1,CHOOSE('Controls'!$E$5,H426,H427,H428),NA())</x:f>
        <x:v>65</x:v>
      </x:c>
      <x:c r="I425" s="8" t="n">
        <x:f>IF(COUNT(CHOOSE('Controls'!$E$5,I426,I427,I428))=1,CHOOSE('Controls'!$E$5,I426,I427,I428),NA())</x:f>
        <x:v>65</x:v>
      </x:c>
    </x:row>
    <x:row r="426" ht="30" customHeight="1">
      <x:c r="C426" s="64" t="str">
        <x:v>Base</x:v>
      </x:c>
      <x:c r="D426" s="63"/>
      <x:c r="E426" s="74" t="n">
        <x:v>65</x:v>
      </x:c>
      <x:c r="F426" s="74" t="n">
        <x:v>65</x:v>
      </x:c>
      <x:c r="G426" s="74" t="n">
        <x:v>65</x:v>
      </x:c>
      <x:c r="H426" s="74" t="n">
        <x:v>65</x:v>
      </x:c>
      <x:c r="I426" s="74" t="n">
        <x:v>65</x:v>
      </x:c>
    </x:row>
    <x:row r="427" ht="30" customHeight="1">
      <x:c r="C427" s="64" t="str">
        <x:v>Downside</x:v>
      </x:c>
      <x:c r="D427" s="63"/>
      <x:c r="E427" s="74" t="n">
        <x:v>65</x:v>
      </x:c>
      <x:c r="F427" s="74" t="n">
        <x:v>65</x:v>
      </x:c>
      <x:c r="G427" s="74" t="n">
        <x:v>65</x:v>
      </x:c>
      <x:c r="H427" s="74" t="n">
        <x:v>65</x:v>
      </x:c>
      <x:c r="I427" s="74" t="n">
        <x:v>65</x:v>
      </x:c>
    </x:row>
    <x:row r="428" ht="30" customHeight="1">
      <x:c r="C428" s="64" t="str">
        <x:v>Upside</x:v>
      </x:c>
      <x:c r="D428" s="63"/>
      <x:c r="E428" s="74" t="n">
        <x:v>65</x:v>
      </x:c>
      <x:c r="F428" s="74" t="n">
        <x:v>65</x:v>
      </x:c>
      <x:c r="G428" s="74" t="n">
        <x:v>65</x:v>
      </x:c>
      <x:c r="H428" s="74" t="n">
        <x:v>65</x:v>
      </x:c>
      <x:c r="I428" s="74" t="n">
        <x:v>65</x:v>
      </x:c>
    </x:row>
    <x:row r="429" ht="30" customHeight="1">
      <x:c r="C429" s="64"/>
      <x:c r="D429" s="63"/>
      <x:c r="E429" s="63"/>
      <x:c r="F429" s="63"/>
      <x:c r="G429" s="63"/>
      <x:c r="H429" s="63"/>
      <x:c r="I429" s="63"/>
    </x:row>
    <x:row r="430" ht="30" customHeight="1">
      <x:c r="C430" s="64" t="str">
        <x:v>Inventory days — active</x:v>
      </x:c>
      <x:c r="D430" s="63"/>
      <x:c r="E430" s="8" t="n">
        <x:f>IF(COUNT(CHOOSE('Controls'!$E$5,E431,E432,E433))=1,CHOOSE('Controls'!$E$5,E431,E432,E433),NA())</x:f>
        <x:v>0</x:v>
      </x:c>
      <x:c r="F430" s="8" t="n">
        <x:f>IF(COUNT(CHOOSE('Controls'!$E$5,F431,F432,F433))=1,CHOOSE('Controls'!$E$5,F431,F432,F433),NA())</x:f>
        <x:v>0</x:v>
      </x:c>
      <x:c r="G430" s="8" t="n">
        <x:f>IF(COUNT(CHOOSE('Controls'!$E$5,G431,G432,G433))=1,CHOOSE('Controls'!$E$5,G431,G432,G433),NA())</x:f>
        <x:v>0</x:v>
      </x:c>
      <x:c r="H430" s="8" t="n">
        <x:f>IF(COUNT(CHOOSE('Controls'!$E$5,H431,H432,H433))=1,CHOOSE('Controls'!$E$5,H431,H432,H433),NA())</x:f>
        <x:v>0</x:v>
      </x:c>
      <x:c r="I430" s="8" t="n">
        <x:f>IF(COUNT(CHOOSE('Controls'!$E$5,I431,I432,I433))=1,CHOOSE('Controls'!$E$5,I431,I432,I433),NA())</x:f>
        <x:v>0</x:v>
      </x:c>
    </x:row>
    <x:row r="431" ht="30" customHeight="1">
      <x:c r="C431" s="64" t="str">
        <x:v>Base</x:v>
      </x:c>
      <x:c r="D431" s="63"/>
      <x:c r="E431" s="74" t="n">
        <x:v>0</x:v>
      </x:c>
      <x:c r="F431" s="74" t="n">
        <x:v>0</x:v>
      </x:c>
      <x:c r="G431" s="74" t="n">
        <x:v>0</x:v>
      </x:c>
      <x:c r="H431" s="74" t="n">
        <x:v>0</x:v>
      </x:c>
      <x:c r="I431" s="74" t="n">
        <x:v>0</x:v>
      </x:c>
    </x:row>
    <x:row r="432" ht="30" customHeight="1">
      <x:c r="C432" s="64" t="str">
        <x:v>Downside</x:v>
      </x:c>
      <x:c r="D432" s="63"/>
      <x:c r="E432" s="74" t="n">
        <x:v>0</x:v>
      </x:c>
      <x:c r="F432" s="74" t="n">
        <x:v>0</x:v>
      </x:c>
      <x:c r="G432" s="74" t="n">
        <x:v>0</x:v>
      </x:c>
      <x:c r="H432" s="74" t="n">
        <x:v>0</x:v>
      </x:c>
      <x:c r="I432" s="74" t="n">
        <x:v>0</x:v>
      </x:c>
    </x:row>
    <x:row r="433" ht="30" customHeight="1">
      <x:c r="C433" s="64" t="str">
        <x:v>Upside</x:v>
      </x:c>
      <x:c r="D433" s="63"/>
      <x:c r="E433" s="74" t="n">
        <x:v>0</x:v>
      </x:c>
      <x:c r="F433" s="74" t="n">
        <x:v>0</x:v>
      </x:c>
      <x:c r="G433" s="74" t="n">
        <x:v>0</x:v>
      </x:c>
      <x:c r="H433" s="74" t="n">
        <x:v>0</x:v>
      </x:c>
      <x:c r="I433" s="74" t="n">
        <x:v>0</x:v>
      </x:c>
    </x:row>
    <x:row r="434" ht="30" customHeight="1">
      <x:c r="C434" s="64"/>
      <x:c r="D434" s="63"/>
      <x:c r="E434" s="63"/>
      <x:c r="F434" s="63"/>
      <x:c r="G434" s="63"/>
      <x:c r="H434" s="63"/>
      <x:c r="I434" s="63"/>
    </x:row>
    <x:row r="435" ht="30" customHeight="1">
      <x:c r="C435" s="64" t="str">
        <x:v>Payable days — active</x:v>
      </x:c>
      <x:c r="D435" s="63"/>
      <x:c r="E435" s="8" t="n">
        <x:f>IF(COUNT(CHOOSE('Controls'!$E$5,E436,E437,E438))=1,CHOOSE('Controls'!$E$5,E436,E437,E438),NA())</x:f>
        <x:v>15</x:v>
      </x:c>
      <x:c r="F435" s="8" t="n">
        <x:f>IF(COUNT(CHOOSE('Controls'!$E$5,F436,F437,F438))=1,CHOOSE('Controls'!$E$5,F436,F437,F438),NA())</x:f>
        <x:v>15</x:v>
      </x:c>
      <x:c r="G435" s="8" t="n">
        <x:f>IF(COUNT(CHOOSE('Controls'!$E$5,G436,G437,G438))=1,CHOOSE('Controls'!$E$5,G436,G437,G438),NA())</x:f>
        <x:v>15</x:v>
      </x:c>
      <x:c r="H435" s="8" t="n">
        <x:f>IF(COUNT(CHOOSE('Controls'!$E$5,H436,H437,H438))=1,CHOOSE('Controls'!$E$5,H436,H437,H438),NA())</x:f>
        <x:v>15</x:v>
      </x:c>
      <x:c r="I435" s="8" t="n">
        <x:f>IF(COUNT(CHOOSE('Controls'!$E$5,I436,I437,I438))=1,CHOOSE('Controls'!$E$5,I436,I437,I438),NA())</x:f>
        <x:v>15</x:v>
      </x:c>
    </x:row>
    <x:row r="436" ht="30" customHeight="1">
      <x:c r="C436" s="64" t="str">
        <x:v>Base</x:v>
      </x:c>
      <x:c r="D436" s="63"/>
      <x:c r="E436" s="74" t="n">
        <x:v>15</x:v>
      </x:c>
      <x:c r="F436" s="74" t="n">
        <x:v>15</x:v>
      </x:c>
      <x:c r="G436" s="74" t="n">
        <x:v>15</x:v>
      </x:c>
      <x:c r="H436" s="74" t="n">
        <x:v>15</x:v>
      </x:c>
      <x:c r="I436" s="74" t="n">
        <x:v>15</x:v>
      </x:c>
    </x:row>
    <x:row r="437" ht="30" customHeight="1">
      <x:c r="C437" s="64" t="str">
        <x:v>Downside</x:v>
      </x:c>
      <x:c r="D437" s="63"/>
      <x:c r="E437" s="74" t="n">
        <x:v>15</x:v>
      </x:c>
      <x:c r="F437" s="74" t="n">
        <x:v>15</x:v>
      </x:c>
      <x:c r="G437" s="74" t="n">
        <x:v>15</x:v>
      </x:c>
      <x:c r="H437" s="74" t="n">
        <x:v>15</x:v>
      </x:c>
      <x:c r="I437" s="74" t="n">
        <x:v>15</x:v>
      </x:c>
    </x:row>
    <x:row r="438" ht="30" customHeight="1">
      <x:c r="C438" s="64" t="str">
        <x:v>Upside</x:v>
      </x:c>
      <x:c r="D438" s="63"/>
      <x:c r="E438" s="74" t="n">
        <x:v>15</x:v>
      </x:c>
      <x:c r="F438" s="74" t="n">
        <x:v>15</x:v>
      </x:c>
      <x:c r="G438" s="74" t="n">
        <x:v>15</x:v>
      </x:c>
      <x:c r="H438" s="74" t="n">
        <x:v>15</x:v>
      </x:c>
      <x:c r="I438" s="74" t="n">
        <x:v>15</x:v>
      </x:c>
    </x:row>
    <x:row r="439" ht="30" customHeight="1">
      <x:c r="C439" s="64"/>
      <x:c r="D439" s="63"/>
      <x:c r="E439" s="63"/>
      <x:c r="F439" s="63"/>
      <x:c r="G439" s="63"/>
      <x:c r="H439" s="63"/>
      <x:c r="I439" s="63"/>
    </x:row>
    <x:row r="440" ht="30" customHeight="1">
      <x:c r="C440" s="64" t="str">
        <x:v>Effective cash tax rate — active</x:v>
      </x:c>
      <x:c r="D440" s="63"/>
      <x:c r="E440" s="83" t="n">
        <x:f>IF(COUNT(CHOOSE('Controls'!$E$5,E441,E442,E443))=1,CHOOSE('Controls'!$E$5,E441,E442,E443),NA())</x:f>
        <x:v>0.25</x:v>
      </x:c>
      <x:c r="F440" s="83" t="n">
        <x:f>IF(COUNT(CHOOSE('Controls'!$E$5,F441,F442,F443))=1,CHOOSE('Controls'!$E$5,F441,F442,F443),NA())</x:f>
        <x:v>0.25</x:v>
      </x:c>
      <x:c r="G440" s="83" t="n">
        <x:f>IF(COUNT(CHOOSE('Controls'!$E$5,G441,G442,G443))=1,CHOOSE('Controls'!$E$5,G441,G442,G443),NA())</x:f>
        <x:v>0.25</x:v>
      </x:c>
      <x:c r="H440" s="83" t="n">
        <x:f>IF(COUNT(CHOOSE('Controls'!$E$5,H441,H442,H443))=1,CHOOSE('Controls'!$E$5,H441,H442,H443),NA())</x:f>
        <x:v>0.25</x:v>
      </x:c>
      <x:c r="I440" s="83" t="n">
        <x:f>IF(COUNT(CHOOSE('Controls'!$E$5,I441,I442,I443))=1,CHOOSE('Controls'!$E$5,I441,I442,I443),NA())</x:f>
        <x:v>0.25</x:v>
      </x:c>
    </x:row>
    <x:row r="441" ht="30" customHeight="1">
      <x:c r="C441" s="64" t="str">
        <x:v>Base</x:v>
      </x:c>
      <x:c r="D441" s="63"/>
      <x:c r="E441" s="85" t="n">
        <x:v>0.25</x:v>
      </x:c>
      <x:c r="F441" s="85" t="n">
        <x:v>0.25</x:v>
      </x:c>
      <x:c r="G441" s="85" t="n">
        <x:v>0.25</x:v>
      </x:c>
      <x:c r="H441" s="85" t="n">
        <x:v>0.25</x:v>
      </x:c>
      <x:c r="I441" s="85" t="n">
        <x:v>0.25</x:v>
      </x:c>
    </x:row>
    <x:row r="442" ht="30" customHeight="1">
      <x:c r="C442" s="64" t="str">
        <x:v>Downside</x:v>
      </x:c>
      <x:c r="D442" s="63"/>
      <x:c r="E442" s="85" t="n">
        <x:v>0.25</x:v>
      </x:c>
      <x:c r="F442" s="85" t="n">
        <x:v>0.25</x:v>
      </x:c>
      <x:c r="G442" s="85" t="n">
        <x:v>0.25</x:v>
      </x:c>
      <x:c r="H442" s="85" t="n">
        <x:v>0.25</x:v>
      </x:c>
      <x:c r="I442" s="85" t="n">
        <x:v>0.25</x:v>
      </x:c>
    </x:row>
    <x:row r="443" ht="30" customHeight="1">
      <x:c r="C443" s="64" t="str">
        <x:v>Upside</x:v>
      </x:c>
      <x:c r="D443" s="63"/>
      <x:c r="E443" s="85" t="n">
        <x:v>0.25</x:v>
      </x:c>
      <x:c r="F443" s="85" t="n">
        <x:v>0.25</x:v>
      </x:c>
      <x:c r="G443" s="85" t="n">
        <x:v>0.25</x:v>
      </x:c>
      <x:c r="H443" s="85" t="n">
        <x:v>0.25</x:v>
      </x:c>
      <x:c r="I443" s="85" t="n">
        <x:v>0.25</x:v>
      </x:c>
    </x:row>
    <x:row r="444" ht="30" customHeight="1">
      <x:c r="C444" s="64"/>
      <x:c r="D444" s="63"/>
      <x:c r="E444" s="63"/>
      <x:c r="F444" s="63"/>
      <x:c r="G444" s="63"/>
      <x:c r="H444" s="63"/>
      <x:c r="I444" s="63"/>
    </x:row>
    <x:row r="445" ht="30" customHeight="1">
      <x:c r="C445" s="64" t="str">
        <x:v>Interest on opening debt — active</x:v>
      </x:c>
      <x:c r="D445" s="63"/>
      <x:c r="E445" s="83" t="n">
        <x:f>IF(COUNT(CHOOSE('Controls'!$E$5,E446,E447,E448))=1,CHOOSE('Controls'!$E$5,E446,E447,E448),NA())</x:f>
        <x:v>0.085</x:v>
      </x:c>
      <x:c r="F445" s="83" t="n">
        <x:f>IF(COUNT(CHOOSE('Controls'!$E$5,F446,F447,F448))=1,CHOOSE('Controls'!$E$5,F446,F447,F448),NA())</x:f>
        <x:v>0.085</x:v>
      </x:c>
      <x:c r="G445" s="83" t="n">
        <x:f>IF(COUNT(CHOOSE('Controls'!$E$5,G446,G447,G448))=1,CHOOSE('Controls'!$E$5,G446,G447,G448),NA())</x:f>
        <x:v>0.085</x:v>
      </x:c>
      <x:c r="H445" s="83" t="n">
        <x:f>IF(COUNT(CHOOSE('Controls'!$E$5,H446,H447,H448))=1,CHOOSE('Controls'!$E$5,H446,H447,H448),NA())</x:f>
        <x:v>0.085</x:v>
      </x:c>
      <x:c r="I445" s="83" t="n">
        <x:f>IF(COUNT(CHOOSE('Controls'!$E$5,I446,I447,I448))=1,CHOOSE('Controls'!$E$5,I446,I447,I448),NA())</x:f>
        <x:v>0.085</x:v>
      </x:c>
    </x:row>
    <x:row r="446" ht="30" customHeight="1">
      <x:c r="C446" s="64" t="str">
        <x:v>Base</x:v>
      </x:c>
      <x:c r="D446" s="63"/>
      <x:c r="E446" s="85" t="n">
        <x:v>0.085</x:v>
      </x:c>
      <x:c r="F446" s="85" t="n">
        <x:v>0.085</x:v>
      </x:c>
      <x:c r="G446" s="85" t="n">
        <x:v>0.085</x:v>
      </x:c>
      <x:c r="H446" s="85" t="n">
        <x:v>0.085</x:v>
      </x:c>
      <x:c r="I446" s="85" t="n">
        <x:v>0.085</x:v>
      </x:c>
    </x:row>
    <x:row r="447" ht="30" customHeight="1">
      <x:c r="C447" s="64" t="str">
        <x:v>Downside</x:v>
      </x:c>
      <x:c r="D447" s="63"/>
      <x:c r="E447" s="85" t="n">
        <x:v>0.085</x:v>
      </x:c>
      <x:c r="F447" s="85" t="n">
        <x:v>0.085</x:v>
      </x:c>
      <x:c r="G447" s="85" t="n">
        <x:v>0.085</x:v>
      </x:c>
      <x:c r="H447" s="85" t="n">
        <x:v>0.085</x:v>
      </x:c>
      <x:c r="I447" s="85" t="n">
        <x:v>0.085</x:v>
      </x:c>
    </x:row>
    <x:row r="448" ht="30" customHeight="1">
      <x:c r="C448" s="64" t="str">
        <x:v>Upside</x:v>
      </x:c>
      <x:c r="D448" s="63"/>
      <x:c r="E448" s="85" t="n">
        <x:v>0.085</x:v>
      </x:c>
      <x:c r="F448" s="85" t="n">
        <x:v>0.085</x:v>
      </x:c>
      <x:c r="G448" s="85" t="n">
        <x:v>0.085</x:v>
      </x:c>
      <x:c r="H448" s="85" t="n">
        <x:v>0.085</x:v>
      </x:c>
      <x:c r="I448" s="85" t="n">
        <x:v>0.085</x:v>
      </x:c>
    </x:row>
    <x:row r="449" ht="30" customHeight="1">
      <x:c r="C449" s="64"/>
      <x:c r="D449" s="63"/>
      <x:c r="E449" s="63"/>
      <x:c r="F449" s="63"/>
      <x:c r="G449" s="63"/>
      <x:c r="H449" s="63"/>
      <x:c r="I449" s="63"/>
    </x:row>
    <x:row r="450" ht="30" customHeight="1">
      <x:c r="C450" s="64" t="str">
        <x:v>New borrowing — active</x:v>
      </x:c>
      <x:c r="D450" s="63"/>
      <x:c r="E450" s="8" t="n">
        <x:f>IF(COUNT(CHOOSE('Controls'!$E$5,E451,E452,E453))=1,CHOOSE('Controls'!$E$5,E451,E452,E453),NA())</x:f>
        <x:v>0</x:v>
      </x:c>
      <x:c r="F450" s="8" t="n">
        <x:f>IF(COUNT(CHOOSE('Controls'!$E$5,F451,F452,F453))=1,CHOOSE('Controls'!$E$5,F451,F452,F453),NA())</x:f>
        <x:v>0</x:v>
      </x:c>
      <x:c r="G450" s="8" t="n">
        <x:f>IF(COUNT(CHOOSE('Controls'!$E$5,G451,G452,G453))=1,CHOOSE('Controls'!$E$5,G451,G452,G453),NA())</x:f>
        <x:v>0</x:v>
      </x:c>
      <x:c r="H450" s="8" t="n">
        <x:f>IF(COUNT(CHOOSE('Controls'!$E$5,H451,H452,H453))=1,CHOOSE('Controls'!$E$5,H451,H452,H453),NA())</x:f>
        <x:v>0</x:v>
      </x:c>
      <x:c r="I450" s="8" t="n">
        <x:f>IF(COUNT(CHOOSE('Controls'!$E$5,I451,I452,I453))=1,CHOOSE('Controls'!$E$5,I451,I452,I453),NA())</x:f>
        <x:v>0</x:v>
      </x:c>
    </x:row>
    <x:row r="451" ht="30" customHeight="1">
      <x:c r="C451" s="64" t="str">
        <x:v>Base</x:v>
      </x:c>
      <x:c r="D451" s="63"/>
      <x:c r="E451" s="74" t="n">
        <x:v>0</x:v>
      </x:c>
      <x:c r="F451" s="74" t="n">
        <x:v>0</x:v>
      </x:c>
      <x:c r="G451" s="74" t="n">
        <x:v>0</x:v>
      </x:c>
      <x:c r="H451" s="74" t="n">
        <x:v>0</x:v>
      </x:c>
      <x:c r="I451" s="74" t="n">
        <x:v>0</x:v>
      </x:c>
    </x:row>
    <x:row r="452" ht="30" customHeight="1">
      <x:c r="C452" s="64" t="str">
        <x:v>Downside</x:v>
      </x:c>
      <x:c r="D452" s="63"/>
      <x:c r="E452" s="74" t="n">
        <x:v>0</x:v>
      </x:c>
      <x:c r="F452" s="74" t="n">
        <x:v>0</x:v>
      </x:c>
      <x:c r="G452" s="74" t="n">
        <x:v>0</x:v>
      </x:c>
      <x:c r="H452" s="74" t="n">
        <x:v>0</x:v>
      </x:c>
      <x:c r="I452" s="74" t="n">
        <x:v>0</x:v>
      </x:c>
    </x:row>
    <x:row r="453" ht="30" customHeight="1">
      <x:c r="C453" s="64" t="str">
        <x:v>Upside</x:v>
      </x:c>
      <x:c r="D453" s="63"/>
      <x:c r="E453" s="74" t="n">
        <x:v>0</x:v>
      </x:c>
      <x:c r="F453" s="74" t="n">
        <x:v>0</x:v>
      </x:c>
      <x:c r="G453" s="74" t="n">
        <x:v>0</x:v>
      </x:c>
      <x:c r="H453" s="74" t="n">
        <x:v>0</x:v>
      </x:c>
      <x:c r="I453" s="74" t="n">
        <x:v>0</x:v>
      </x:c>
    </x:row>
    <x:row r="454" ht="30" customHeight="1">
      <x:c r="C454" s="64"/>
      <x:c r="D454" s="63"/>
      <x:c r="E454" s="63"/>
      <x:c r="F454" s="63"/>
      <x:c r="G454" s="63"/>
      <x:c r="H454" s="63"/>
      <x:c r="I454" s="63"/>
    </x:row>
    <x:row r="455" ht="30" customHeight="1">
      <x:c r="C455" s="64" t="str">
        <x:v>Scheduled principal repayment — active</x:v>
      </x:c>
      <x:c r="D455" s="63"/>
      <x:c r="E455" s="8" t="n">
        <x:f>IF(COUNT(CHOOSE('Controls'!$E$5,E456,E457,E458))=1,CHOOSE('Controls'!$E$5,E456,E457,E458),NA())</x:f>
        <x:v>10</x:v>
      </x:c>
      <x:c r="F455" s="8" t="n">
        <x:f>IF(COUNT(CHOOSE('Controls'!$E$5,F456,F457,F458))=1,CHOOSE('Controls'!$E$5,F456,F457,F458),NA())</x:f>
        <x:v>10</x:v>
      </x:c>
      <x:c r="G455" s="8" t="n">
        <x:f>IF(COUNT(CHOOSE('Controls'!$E$5,G456,G457,G458))=1,CHOOSE('Controls'!$E$5,G456,G457,G458),NA())</x:f>
        <x:v>10</x:v>
      </x:c>
      <x:c r="H455" s="8" t="n">
        <x:f>IF(COUNT(CHOOSE('Controls'!$E$5,H456,H457,H458))=1,CHOOSE('Controls'!$E$5,H456,H457,H458),NA())</x:f>
        <x:v>10</x:v>
      </x:c>
      <x:c r="I455" s="8" t="n">
        <x:f>IF(COUNT(CHOOSE('Controls'!$E$5,I456,I457,I458))=1,CHOOSE('Controls'!$E$5,I456,I457,I458),NA())</x:f>
        <x:v>10</x:v>
      </x:c>
    </x:row>
    <x:row r="456" ht="30" customHeight="1">
      <x:c r="C456" s="64" t="str">
        <x:v>Base</x:v>
      </x:c>
      <x:c r="D456" s="63"/>
      <x:c r="E456" s="74" t="n">
        <x:v>10</x:v>
      </x:c>
      <x:c r="F456" s="74" t="n">
        <x:v>10</x:v>
      </x:c>
      <x:c r="G456" s="74" t="n">
        <x:v>10</x:v>
      </x:c>
      <x:c r="H456" s="74" t="n">
        <x:v>10</x:v>
      </x:c>
      <x:c r="I456" s="74" t="n">
        <x:v>10</x:v>
      </x:c>
    </x:row>
    <x:row r="457" ht="30" customHeight="1">
      <x:c r="C457" s="64" t="str">
        <x:v>Downside</x:v>
      </x:c>
      <x:c r="D457" s="63"/>
      <x:c r="E457" s="74" t="n">
        <x:v>10</x:v>
      </x:c>
      <x:c r="F457" s="74" t="n">
        <x:v>10</x:v>
      </x:c>
      <x:c r="G457" s="74" t="n">
        <x:v>10</x:v>
      </x:c>
      <x:c r="H457" s="74" t="n">
        <x:v>10</x:v>
      </x:c>
      <x:c r="I457" s="74" t="n">
        <x:v>10</x:v>
      </x:c>
    </x:row>
    <x:row r="458" ht="30" customHeight="1">
      <x:c r="C458" s="64" t="str">
        <x:v>Upside</x:v>
      </x:c>
      <x:c r="D458" s="63"/>
      <x:c r="E458" s="74" t="n">
        <x:v>10</x:v>
      </x:c>
      <x:c r="F458" s="74" t="n">
        <x:v>10</x:v>
      </x:c>
      <x:c r="G458" s="74" t="n">
        <x:v>10</x:v>
      </x:c>
      <x:c r="H458" s="74" t="n">
        <x:v>10</x:v>
      </x:c>
      <x:c r="I458" s="74" t="n">
        <x:v>10</x:v>
      </x:c>
    </x:row>
    <x:row r="459" ht="30" customHeight="1">
      <x:c r="C459" s="64"/>
      <x:c r="D459" s="63"/>
      <x:c r="E459" s="63"/>
      <x:c r="F459" s="63"/>
      <x:c r="G459" s="63"/>
      <x:c r="H459" s="63"/>
      <x:c r="I459" s="63"/>
    </x:row>
    <x:row r="460" ht="30" customHeight="1">
      <x:c r="C460" s="64" t="str">
        <x:v>Dividend payout on positive PAT — active</x:v>
      </x:c>
      <x:c r="D460" s="63"/>
      <x:c r="E460" s="83" t="n">
        <x:f>IF(COUNT(CHOOSE('Controls'!$E$5,E461,E462,E463))=1,CHOOSE('Controls'!$E$5,E461,E462,E463),NA())</x:f>
        <x:v>0.25</x:v>
      </x:c>
      <x:c r="F460" s="83" t="n">
        <x:f>IF(COUNT(CHOOSE('Controls'!$E$5,F461,F462,F463))=1,CHOOSE('Controls'!$E$5,F461,F462,F463),NA())</x:f>
        <x:v>0.25</x:v>
      </x:c>
      <x:c r="G460" s="83" t="n">
        <x:f>IF(COUNT(CHOOSE('Controls'!$E$5,G461,G462,G463))=1,CHOOSE('Controls'!$E$5,G461,G462,G463),NA())</x:f>
        <x:v>0.25</x:v>
      </x:c>
      <x:c r="H460" s="83" t="n">
        <x:f>IF(COUNT(CHOOSE('Controls'!$E$5,H461,H462,H463))=1,CHOOSE('Controls'!$E$5,H461,H462,H463),NA())</x:f>
        <x:v>0.25</x:v>
      </x:c>
      <x:c r="I460" s="83" t="n">
        <x:f>IF(COUNT(CHOOSE('Controls'!$E$5,I461,I462,I463))=1,CHOOSE('Controls'!$E$5,I461,I462,I463),NA())</x:f>
        <x:v>0.25</x:v>
      </x:c>
    </x:row>
    <x:row r="461" ht="30" customHeight="1">
      <x:c r="C461" s="64" t="str">
        <x:v>Base</x:v>
      </x:c>
      <x:c r="D461" s="63"/>
      <x:c r="E461" s="85" t="n">
        <x:v>0.25</x:v>
      </x:c>
      <x:c r="F461" s="85" t="n">
        <x:v>0.25</x:v>
      </x:c>
      <x:c r="G461" s="85" t="n">
        <x:v>0.25</x:v>
      </x:c>
      <x:c r="H461" s="85" t="n">
        <x:v>0.25</x:v>
      </x:c>
      <x:c r="I461" s="85" t="n">
        <x:v>0.25</x:v>
      </x:c>
    </x:row>
    <x:row r="462" ht="30" customHeight="1">
      <x:c r="C462" s="64" t="str">
        <x:v>Downside</x:v>
      </x:c>
      <x:c r="D462" s="63"/>
      <x:c r="E462" s="85" t="n">
        <x:v>0.25</x:v>
      </x:c>
      <x:c r="F462" s="85" t="n">
        <x:v>0.25</x:v>
      </x:c>
      <x:c r="G462" s="85" t="n">
        <x:v>0.25</x:v>
      </x:c>
      <x:c r="H462" s="85" t="n">
        <x:v>0.25</x:v>
      </x:c>
      <x:c r="I462" s="85" t="n">
        <x:v>0.25</x:v>
      </x:c>
    </x:row>
    <x:row r="463" ht="30" customHeight="1">
      <x:c r="C463" s="64" t="str">
        <x:v>Upside</x:v>
      </x:c>
      <x:c r="D463" s="63"/>
      <x:c r="E463" s="85" t="n">
        <x:v>0.25</x:v>
      </x:c>
      <x:c r="F463" s="85" t="n">
        <x:v>0.25</x:v>
      </x:c>
      <x:c r="G463" s="85" t="n">
        <x:v>0.25</x:v>
      </x:c>
      <x:c r="H463" s="85" t="n">
        <x:v>0.25</x:v>
      </x:c>
      <x:c r="I463" s="85" t="n">
        <x:v>0.25</x:v>
      </x:c>
    </x:row>
    <x:row r="464" ht="30" customHeight="1">
      <x:c r="C464" s="64"/>
      <x:c r="D464" s="63"/>
      <x:c r="E464" s="63"/>
      <x:c r="F464" s="63"/>
      <x:c r="G464" s="63"/>
      <x:c r="H464" s="63"/>
      <x:c r="I464" s="63"/>
    </x:row>
    <x:row r="465" ht="30" customHeight="1">
      <x:c r="C465" s="64" t="str">
        <x:v>Gross delivery FTE hires — active</x:v>
      </x:c>
      <x:c r="D465" s="63"/>
      <x:c r="E465" s="8" t="n">
        <x:f>IF(COUNT(CHOOSE('Controls'!$E$5,E466,E467,E468))=1,CHOOSE('Controls'!$E$5,E466,E467,E468),NA())</x:f>
        <x:v>1500</x:v>
      </x:c>
      <x:c r="F465" s="8" t="n">
        <x:f>IF(COUNT(CHOOSE('Controls'!$E$5,F466,F467,F468))=1,CHOOSE('Controls'!$E$5,F466,F467,F468),NA())</x:f>
        <x:v>1500</x:v>
      </x:c>
      <x:c r="G465" s="8" t="n">
        <x:f>IF(COUNT(CHOOSE('Controls'!$E$5,G466,G467,G468))=1,CHOOSE('Controls'!$E$5,G466,G467,G468),NA())</x:f>
        <x:v>1500</x:v>
      </x:c>
      <x:c r="H465" s="8" t="n">
        <x:f>IF(COUNT(CHOOSE('Controls'!$E$5,H466,H467,H468))=1,CHOOSE('Controls'!$E$5,H466,H467,H468),NA())</x:f>
        <x:v>1500</x:v>
      </x:c>
      <x:c r="I465" s="8" t="n">
        <x:f>IF(COUNT(CHOOSE('Controls'!$E$5,I466,I467,I468))=1,CHOOSE('Controls'!$E$5,I466,I467,I468),NA())</x:f>
        <x:v>1500</x:v>
      </x:c>
    </x:row>
    <x:row r="466" ht="30" customHeight="1">
      <x:c r="C466" s="64" t="str">
        <x:v>Base</x:v>
      </x:c>
      <x:c r="D466" s="63"/>
      <x:c r="E466" s="74" t="n">
        <x:v>1500</x:v>
      </x:c>
      <x:c r="F466" s="74" t="n">
        <x:v>1500</x:v>
      </x:c>
      <x:c r="G466" s="74" t="n">
        <x:v>1500</x:v>
      </x:c>
      <x:c r="H466" s="74" t="n">
        <x:v>1500</x:v>
      </x:c>
      <x:c r="I466" s="74" t="n">
        <x:v>1500</x:v>
      </x:c>
    </x:row>
    <x:row r="467" ht="30" customHeight="1">
      <x:c r="C467" s="64" t="str">
        <x:v>Downside</x:v>
      </x:c>
      <x:c r="D467" s="63"/>
      <x:c r="E467" s="74" t="n">
        <x:v>1500</x:v>
      </x:c>
      <x:c r="F467" s="74" t="n">
        <x:v>1500</x:v>
      </x:c>
      <x:c r="G467" s="74" t="n">
        <x:v>1500</x:v>
      </x:c>
      <x:c r="H467" s="74" t="n">
        <x:v>1500</x:v>
      </x:c>
      <x:c r="I467" s="74" t="n">
        <x:v>1500</x:v>
      </x:c>
    </x:row>
    <x:row r="468" ht="30" customHeight="1">
      <x:c r="C468" s="64" t="str">
        <x:v>Upside</x:v>
      </x:c>
      <x:c r="D468" s="63"/>
      <x:c r="E468" s="74" t="n">
        <x:v>1500</x:v>
      </x:c>
      <x:c r="F468" s="74" t="n">
        <x:v>1500</x:v>
      </x:c>
      <x:c r="G468" s="74" t="n">
        <x:v>1500</x:v>
      </x:c>
      <x:c r="H468" s="74" t="n">
        <x:v>1500</x:v>
      </x:c>
      <x:c r="I468" s="74" t="n">
        <x:v>1500</x:v>
      </x:c>
    </x:row>
    <x:row r="469" ht="30" customHeight="1">
      <x:c r="C469" s="64"/>
      <x:c r="D469" s="63"/>
      <x:c r="E469" s="63"/>
      <x:c r="F469" s="63"/>
      <x:c r="G469" s="63"/>
      <x:c r="H469" s="63"/>
      <x:c r="I469" s="63"/>
    </x:row>
    <x:row r="470" ht="30" customHeight="1">
      <x:c r="C470" s="64" t="str">
        <x:v>Delivery FTE attrition — active</x:v>
      </x:c>
      <x:c r="D470" s="63"/>
      <x:c r="E470" s="70" t="n">
        <x:f>IF(COUNT(CHOOSE('Controls'!$E$5,E471,E472,E473))=1,CHOOSE('Controls'!$E$5,E471,E472,E473),NA())</x:f>
        <x:v>0.1</x:v>
      </x:c>
      <x:c r="F470" s="70" t="n">
        <x:f>IF(COUNT(CHOOSE('Controls'!$E$5,F471,F472,F473))=1,CHOOSE('Controls'!$E$5,F471,F472,F473),NA())</x:f>
        <x:v>0.1</x:v>
      </x:c>
      <x:c r="G470" s="70" t="n">
        <x:f>IF(COUNT(CHOOSE('Controls'!$E$5,G471,G472,G473))=1,CHOOSE('Controls'!$E$5,G471,G472,G473),NA())</x:f>
        <x:v>0.1</x:v>
      </x:c>
      <x:c r="H470" s="70" t="n">
        <x:f>IF(COUNT(CHOOSE('Controls'!$E$5,H471,H472,H473))=1,CHOOSE('Controls'!$E$5,H471,H472,H473),NA())</x:f>
        <x:v>0.1</x:v>
      </x:c>
      <x:c r="I470" s="70" t="n">
        <x:f>IF(COUNT(CHOOSE('Controls'!$E$5,I471,I472,I473))=1,CHOOSE('Controls'!$E$5,I471,I472,I473),NA())</x:f>
        <x:v>0.1</x:v>
      </x:c>
    </x:row>
    <x:row r="471" ht="30" customHeight="1">
      <x:c r="C471" s="64" t="str">
        <x:v>Base</x:v>
      </x:c>
      <x:c r="D471" s="63"/>
      <x:c r="E471" s="72" t="n">
        <x:v>0.1</x:v>
      </x:c>
      <x:c r="F471" s="72" t="n">
        <x:v>0.1</x:v>
      </x:c>
      <x:c r="G471" s="72" t="n">
        <x:v>0.1</x:v>
      </x:c>
      <x:c r="H471" s="72" t="n">
        <x:v>0.1</x:v>
      </x:c>
      <x:c r="I471" s="72" t="n">
        <x:v>0.1</x:v>
      </x:c>
    </x:row>
    <x:row r="472" ht="30" customHeight="1">
      <x:c r="C472" s="64" t="str">
        <x:v>Downside</x:v>
      </x:c>
      <x:c r="D472" s="63"/>
      <x:c r="E472" s="72" t="n">
        <x:v>0.1</x:v>
      </x:c>
      <x:c r="F472" s="72" t="n">
        <x:v>0.1</x:v>
      </x:c>
      <x:c r="G472" s="72" t="n">
        <x:v>0.1</x:v>
      </x:c>
      <x:c r="H472" s="72" t="n">
        <x:v>0.1</x:v>
      </x:c>
      <x:c r="I472" s="72" t="n">
        <x:v>0.1</x:v>
      </x:c>
    </x:row>
    <x:row r="473" ht="30" customHeight="1">
      <x:c r="C473" s="64" t="str">
        <x:v>Upside</x:v>
      </x:c>
      <x:c r="D473" s="63"/>
      <x:c r="E473" s="72" t="n">
        <x:v>0.1</x:v>
      </x:c>
      <x:c r="F473" s="72" t="n">
        <x:v>0.1</x:v>
      </x:c>
      <x:c r="G473" s="72" t="n">
        <x:v>0.1</x:v>
      </x:c>
      <x:c r="H473" s="72" t="n">
        <x:v>0.1</x:v>
      </x:c>
      <x:c r="I473" s="72" t="n">
        <x:v>0.1</x:v>
      </x:c>
    </x:row>
    <x:row r="474" ht="30" customHeight="1">
      <x:c r="C474" s="64"/>
      <x:c r="D474" s="63"/>
      <x:c r="E474" s="63"/>
      <x:c r="F474" s="63"/>
      <x:c r="G474" s="63"/>
      <x:c r="H474" s="63"/>
      <x:c r="I474" s="63"/>
    </x:row>
    <x:row r="475" ht="30" customHeight="1">
      <x:c r="C475" s="64" t="str">
        <x:v>Offshore share of billable FTE — active</x:v>
      </x:c>
      <x:c r="D475" s="63"/>
      <x:c r="E475" s="70" t="n">
        <x:f>IF(COUNT(CHOOSE('Controls'!$E$5,E476,E477,E478))=1,CHOOSE('Controls'!$E$5,E476,E477,E478),NA())</x:f>
        <x:v>0.8</x:v>
      </x:c>
      <x:c r="F475" s="70" t="n">
        <x:f>IF(COUNT(CHOOSE('Controls'!$E$5,F476,F477,F478))=1,CHOOSE('Controls'!$E$5,F476,F477,F478),NA())</x:f>
        <x:v>0.8</x:v>
      </x:c>
      <x:c r="G475" s="70" t="n">
        <x:f>IF(COUNT(CHOOSE('Controls'!$E$5,G476,G477,G478))=1,CHOOSE('Controls'!$E$5,G476,G477,G478),NA())</x:f>
        <x:v>0.8</x:v>
      </x:c>
      <x:c r="H475" s="70" t="n">
        <x:f>IF(COUNT(CHOOSE('Controls'!$E$5,H476,H477,H478))=1,CHOOSE('Controls'!$E$5,H476,H477,H478),NA())</x:f>
        <x:v>0.8</x:v>
      </x:c>
      <x:c r="I475" s="70" t="n">
        <x:f>IF(COUNT(CHOOSE('Controls'!$E$5,I476,I477,I478))=1,CHOOSE('Controls'!$E$5,I476,I477,I478),NA())</x:f>
        <x:v>0.8</x:v>
      </x:c>
    </x:row>
    <x:row r="476" ht="30" customHeight="1">
      <x:c r="C476" s="64" t="str">
        <x:v>Base</x:v>
      </x:c>
      <x:c r="D476" s="63"/>
      <x:c r="E476" s="72" t="n">
        <x:v>0.8</x:v>
      </x:c>
      <x:c r="F476" s="72" t="n">
        <x:v>0.8</x:v>
      </x:c>
      <x:c r="G476" s="72" t="n">
        <x:v>0.8</x:v>
      </x:c>
      <x:c r="H476" s="72" t="n">
        <x:v>0.8</x:v>
      </x:c>
      <x:c r="I476" s="72" t="n">
        <x:v>0.8</x:v>
      </x:c>
    </x:row>
    <x:row r="477" ht="30" customHeight="1">
      <x:c r="C477" s="64" t="str">
        <x:v>Downside</x:v>
      </x:c>
      <x:c r="D477" s="63"/>
      <x:c r="E477" s="72" t="n">
        <x:v>0.8</x:v>
      </x:c>
      <x:c r="F477" s="72" t="n">
        <x:v>0.8</x:v>
      </x:c>
      <x:c r="G477" s="72" t="n">
        <x:v>0.8</x:v>
      </x:c>
      <x:c r="H477" s="72" t="n">
        <x:v>0.8</x:v>
      </x:c>
      <x:c r="I477" s="72" t="n">
        <x:v>0.8</x:v>
      </x:c>
    </x:row>
    <x:row r="478" ht="30" customHeight="1">
      <x:c r="C478" s="64" t="str">
        <x:v>Upside</x:v>
      </x:c>
      <x:c r="D478" s="63"/>
      <x:c r="E478" s="72" t="n">
        <x:v>0.8</x:v>
      </x:c>
      <x:c r="F478" s="72" t="n">
        <x:v>0.8</x:v>
      </x:c>
      <x:c r="G478" s="72" t="n">
        <x:v>0.8</x:v>
      </x:c>
      <x:c r="H478" s="72" t="n">
        <x:v>0.8</x:v>
      </x:c>
      <x:c r="I478" s="72" t="n">
        <x:v>0.8</x:v>
      </x:c>
    </x:row>
    <x:row r="479" ht="30" customHeight="1">
      <x:c r="C479" s="64"/>
      <x:c r="D479" s="63"/>
      <x:c r="E479" s="63"/>
      <x:c r="F479" s="63"/>
      <x:c r="G479" s="63"/>
      <x:c r="H479" s="63"/>
      <x:c r="I479" s="63"/>
    </x:row>
    <x:row r="480" ht="30" customHeight="1">
      <x:c r="C480" s="64" t="str">
        <x:v>Onsite billing / offshore billing multiple — active</x:v>
      </x:c>
      <x:c r="D480" s="63"/>
      <x:c r="E480" s="78" t="n">
        <x:f>IF(COUNT(CHOOSE('Controls'!$E$5,E481,E482,E483))=1,CHOOSE('Controls'!$E$5,E481,E482,E483),NA())</x:f>
        <x:v>2</x:v>
      </x:c>
      <x:c r="F480" s="78" t="n">
        <x:f>IF(COUNT(CHOOSE('Controls'!$E$5,F481,F482,F483))=1,CHOOSE('Controls'!$E$5,F481,F482,F483),NA())</x:f>
        <x:v>2</x:v>
      </x:c>
      <x:c r="G480" s="78" t="n">
        <x:f>IF(COUNT(CHOOSE('Controls'!$E$5,G481,G482,G483))=1,CHOOSE('Controls'!$E$5,G481,G482,G483),NA())</x:f>
        <x:v>2</x:v>
      </x:c>
      <x:c r="H480" s="78" t="n">
        <x:f>IF(COUNT(CHOOSE('Controls'!$E$5,H481,H482,H483))=1,CHOOSE('Controls'!$E$5,H481,H482,H483),NA())</x:f>
        <x:v>2</x:v>
      </x:c>
      <x:c r="I480" s="78" t="n">
        <x:f>IF(COUNT(CHOOSE('Controls'!$E$5,I481,I482,I483))=1,CHOOSE('Controls'!$E$5,I481,I482,I483),NA())</x:f>
        <x:v>2</x:v>
      </x:c>
    </x:row>
    <x:row r="481" ht="30" customHeight="1">
      <x:c r="C481" s="64" t="str">
        <x:v>Base</x:v>
      </x:c>
      <x:c r="D481" s="63"/>
      <x:c r="E481" s="80" t="n">
        <x:v>2</x:v>
      </x:c>
      <x:c r="F481" s="80" t="n">
        <x:v>2</x:v>
      </x:c>
      <x:c r="G481" s="80" t="n">
        <x:v>2</x:v>
      </x:c>
      <x:c r="H481" s="80" t="n">
        <x:v>2</x:v>
      </x:c>
      <x:c r="I481" s="80" t="n">
        <x:v>2</x:v>
      </x:c>
    </x:row>
    <x:row r="482" ht="30" customHeight="1">
      <x:c r="C482" s="64" t="str">
        <x:v>Downside</x:v>
      </x:c>
      <x:c r="D482" s="63"/>
      <x:c r="E482" s="80" t="n">
        <x:v>2</x:v>
      </x:c>
      <x:c r="F482" s="80" t="n">
        <x:v>2</x:v>
      </x:c>
      <x:c r="G482" s="80" t="n">
        <x:v>2</x:v>
      </x:c>
      <x:c r="H482" s="80" t="n">
        <x:v>2</x:v>
      </x:c>
      <x:c r="I482" s="80" t="n">
        <x:v>2</x:v>
      </x:c>
    </x:row>
    <x:row r="483" ht="30" customHeight="1">
      <x:c r="C483" s="64" t="str">
        <x:v>Upside</x:v>
      </x:c>
      <x:c r="D483" s="63"/>
      <x:c r="E483" s="80" t="n">
        <x:v>2</x:v>
      </x:c>
      <x:c r="F483" s="80" t="n">
        <x:v>2</x:v>
      </x:c>
      <x:c r="G483" s="80" t="n">
        <x:v>2</x:v>
      </x:c>
      <x:c r="H483" s="80" t="n">
        <x:v>2</x:v>
      </x:c>
      <x:c r="I483" s="80" t="n">
        <x:v>2</x:v>
      </x:c>
    </x:row>
    <x:row r="484" ht="30" customHeight="1">
      <x:c r="C484" s="64"/>
      <x:c r="D484" s="63"/>
      <x:c r="E484" s="63"/>
      <x:c r="F484" s="63"/>
      <x:c r="G484" s="63"/>
      <x:c r="H484" s="63"/>
      <x:c r="I484" s="63"/>
    </x:row>
    <x:row r="485" ht="30" customHeight="1">
      <x:c r="C485" s="64"/>
      <x:c r="D485" s="63"/>
      <x:c r="E485" s="63"/>
      <x:c r="F485" s="63"/>
      <x:c r="G485" s="63"/>
      <x:c r="H485" s="63"/>
      <x:c r="I485" s="63"/>
    </x:row>
    <x:row r="486" ht="30" customHeight="1">
      <x:c r="C486" s="64"/>
      <x:c r="D486" s="63"/>
      <x:c r="E486" s="63"/>
      <x:c r="F486" s="63"/>
      <x:c r="G486" s="63"/>
      <x:c r="H486" s="63"/>
      <x:c r="I486" s="63"/>
    </x:row>
    <x:row r="487" ht="30" customHeight="1">
      <x:c r="C487" s="64"/>
      <x:c r="D487" s="63"/>
      <x:c r="E487" s="63"/>
      <x:c r="F487" s="63"/>
      <x:c r="G487" s="63"/>
      <x:c r="H487" s="63"/>
      <x:c r="I487" s="63"/>
    </x:row>
    <x:row r="488" ht="30" customHeight="1">
      <x:c r="C488" s="64"/>
      <x:c r="D488" s="63"/>
      <x:c r="E488" s="63"/>
      <x:c r="F488" s="63"/>
      <x:c r="G488" s="63"/>
      <x:c r="H488" s="63"/>
      <x:c r="I488" s="63"/>
    </x:row>
    <x:row r="489" ht="30" customHeight="1">
      <x:c r="C489" s="64"/>
      <x:c r="D489" s="63"/>
      <x:c r="E489" s="63"/>
      <x:c r="F489" s="63"/>
      <x:c r="G489" s="63"/>
      <x:c r="H489" s="63"/>
      <x:c r="I489" s="63"/>
    </x:row>
    <x:row r="490" ht="30" customHeight="1">
      <x:c r="C490" s="64"/>
      <x:c r="D490" s="63"/>
      <x:c r="E490" s="63"/>
      <x:c r="F490" s="63"/>
      <x:c r="G490" s="63"/>
      <x:c r="H490" s="63"/>
      <x:c r="I490" s="63"/>
    </x:row>
    <x:row r="491" ht="30" customHeight="1">
      <x:c r="C491" s="64"/>
      <x:c r="D491" s="63"/>
      <x:c r="E491" s="63"/>
      <x:c r="F491" s="63"/>
      <x:c r="G491" s="63"/>
      <x:c r="H491" s="63"/>
      <x:c r="I491" s="63"/>
    </x:row>
    <x:row r="492" ht="30" customHeight="1">
      <x:c r="C492" s="64"/>
      <x:c r="D492" s="63"/>
      <x:c r="E492" s="63"/>
      <x:c r="F492" s="63"/>
      <x:c r="G492" s="63"/>
      <x:c r="H492" s="63"/>
      <x:c r="I492" s="63"/>
    </x:row>
    <x:row r="493" ht="30" customHeight="1">
      <x:c r="C493" s="64"/>
      <x:c r="D493" s="63"/>
      <x:c r="E493" s="63"/>
      <x:c r="F493" s="63"/>
      <x:c r="G493" s="63"/>
      <x:c r="H493" s="63"/>
      <x:c r="I493" s="63"/>
    </x:row>
    <x:row r="494" ht="30" customHeight="1">
      <x:c r="C494" s="64"/>
      <x:c r="D494" s="63"/>
      <x:c r="E494" s="63"/>
      <x:c r="F494" s="63"/>
      <x:c r="G494" s="63"/>
      <x:c r="H494" s="63"/>
      <x:c r="I494" s="63"/>
    </x:row>
    <x:row r="495" ht="30" customHeight="1">
      <x:c r="C495" s="64"/>
      <x:c r="D495" s="63"/>
      <x:c r="E495" s="63"/>
      <x:c r="F495" s="63"/>
      <x:c r="G495" s="63"/>
      <x:c r="H495" s="63"/>
      <x:c r="I495" s="63"/>
    </x:row>
    <x:row r="496" ht="30" customHeight="1">
      <x:c r="C496" s="64"/>
      <x:c r="D496" s="63"/>
      <x:c r="E496" s="63"/>
      <x:c r="F496" s="63"/>
      <x:c r="G496" s="63"/>
      <x:c r="H496" s="63"/>
      <x:c r="I496" s="63"/>
    </x:row>
    <x:row r="497" ht="30" customHeight="1">
      <x:c r="C497" s="64"/>
      <x:c r="D497" s="63"/>
      <x:c r="E497" s="63"/>
      <x:c r="F497" s="63"/>
      <x:c r="G497" s="63"/>
      <x:c r="H497" s="63"/>
      <x:c r="I497" s="63"/>
    </x:row>
    <x:row r="498" ht="30" customHeight="1">
      <x:c r="C498" s="64"/>
      <x:c r="D498" s="63"/>
      <x:c r="E498" s="63"/>
      <x:c r="F498" s="63"/>
      <x:c r="G498" s="63"/>
      <x:c r="H498" s="63"/>
      <x:c r="I498" s="63"/>
    </x:row>
    <x:row r="499" ht="30" customHeight="1">
      <x:c r="C499" s="64"/>
      <x:c r="D499" s="63"/>
      <x:c r="E499" s="63"/>
      <x:c r="F499" s="63"/>
      <x:c r="G499" s="63"/>
      <x:c r="H499" s="63"/>
      <x:c r="I499" s="63"/>
    </x:row>
    <x:row r="500" ht="30" customHeight="1">
      <x:c r="C500" s="64"/>
      <x:c r="D500" s="63"/>
      <x:c r="E500" s="63"/>
      <x:c r="F500" s="63"/>
      <x:c r="G500" s="63"/>
      <x:c r="H500" s="63"/>
      <x:c r="I500" s="63"/>
    </x:row>
    <x:row r="501" ht="30" customHeight="1">
      <x:c r="C501" s="64"/>
      <x:c r="D501" s="63"/>
      <x:c r="E501" s="63"/>
      <x:c r="F501" s="63"/>
      <x:c r="G501" s="63"/>
      <x:c r="H501" s="63"/>
      <x:c r="I501" s="63"/>
    </x:row>
    <x:row r="502" ht="30" customHeight="1">
      <x:c r="C502" s="64"/>
      <x:c r="D502" s="63"/>
      <x:c r="E502" s="63"/>
      <x:c r="F502" s="63"/>
      <x:c r="G502" s="63"/>
      <x:c r="H502" s="63"/>
      <x:c r="I502" s="63"/>
    </x:row>
    <x:row r="503" ht="30" customHeight="1">
      <x:c r="C503" s="64"/>
      <x:c r="D503" s="63"/>
      <x:c r="E503" s="63"/>
      <x:c r="F503" s="63"/>
      <x:c r="G503" s="63"/>
      <x:c r="H503" s="63"/>
      <x:c r="I503" s="63"/>
    </x:row>
    <x:row r="504" ht="30" customHeight="1">
      <x:c r="C504" s="64"/>
      <x:c r="D504" s="63"/>
      <x:c r="E504" s="63"/>
      <x:c r="F504" s="63"/>
      <x:c r="G504" s="63"/>
      <x:c r="H504" s="63"/>
      <x:c r="I504" s="63"/>
    </x:row>
    <x:row r="505" ht="30" customHeight="1">
      <x:c r="C505" s="64"/>
      <x:c r="D505" s="63"/>
      <x:c r="E505" s="63"/>
      <x:c r="F505" s="63"/>
      <x:c r="G505" s="63"/>
      <x:c r="H505" s="63"/>
      <x:c r="I505" s="63"/>
    </x:row>
    <x:row r="506" ht="30" customHeight="1">
      <x:c r="C506" s="64"/>
      <x:c r="D506" s="63"/>
      <x:c r="E506" s="63"/>
      <x:c r="F506" s="63"/>
      <x:c r="G506" s="63"/>
      <x:c r="H506" s="63"/>
      <x:c r="I506" s="63"/>
    </x:row>
    <x:row r="507" ht="30" customHeight="1">
      <x:c r="C507" s="64"/>
      <x:c r="D507" s="63"/>
      <x:c r="E507" s="63"/>
      <x:c r="F507" s="63"/>
      <x:c r="G507" s="63"/>
      <x:c r="H507" s="63"/>
      <x:c r="I507" s="63"/>
    </x:row>
    <x:row r="508" ht="30" customHeight="1">
      <x:c r="C508" s="64"/>
      <x:c r="D508" s="63"/>
      <x:c r="E508" s="63"/>
      <x:c r="F508" s="63"/>
      <x:c r="G508" s="63"/>
      <x:c r="H508" s="63"/>
      <x:c r="I508" s="63"/>
    </x:row>
    <x:row r="509" ht="30" customHeight="1">
      <x:c r="C509" s="64"/>
      <x:c r="D509" s="63"/>
      <x:c r="E509" s="63"/>
      <x:c r="F509" s="63"/>
      <x:c r="G509" s="63"/>
      <x:c r="H509" s="63"/>
      <x:c r="I509" s="63"/>
    </x:row>
    <x:row r="510" ht="30" customHeight="1">
      <x:c r="C510" s="64"/>
      <x:c r="D510" s="63"/>
      <x:c r="E510" s="63"/>
      <x:c r="F510" s="63"/>
      <x:c r="G510" s="63"/>
      <x:c r="H510" s="63"/>
      <x:c r="I510" s="63"/>
    </x:row>
  </x:sheetData>
  <x:mergeCells>
    <x:mergeCell ref="M2:U2"/>
    <x:mergeCell ref="M9:U9"/>
    <x:mergeCell ref="M10:U10"/>
    <x:mergeCell ref="M30:U30"/>
    <x:mergeCell ref="M43:U44"/>
    <x:mergeCell ref="M48:R48"/>
    <x:mergeCell ref="M58:R58"/>
    <x:mergeCell ref="M68:R68"/>
  </x:mergeCells>
  <x:conditionalFormatting sqref="E99:I99">
    <x:cfRule type="expression" dxfId="0" priority="1">
      <x:formula>ABS(E99)&gt;0.01</x:formula>
    </x:cfRule>
  </x:conditionalFormatting>
  <x:conditionalFormatting sqref="E100:I100">
    <x:cfRule type="expression" dxfId="1" priority="2">
      <x:formula>ABS(E100)&gt;0.01</x:formula>
    </x:cfRule>
  </x:conditionalFormatting>
  <x:conditionalFormatting sqref="E101:I101">
    <x:cfRule type="expression" dxfId="2" priority="3">
      <x:formula>ABS(E101)&gt;0.01</x:formula>
    </x:cfRule>
  </x:conditionalFormatting>
  <x:conditionalFormatting sqref="E102:I102">
    <x:cfRule type="expression" dxfId="3" priority="4">
      <x:formula>ABS(E102)&gt;0.01</x:formula>
    </x:cfRule>
  </x:conditionalFormatting>
  <x:conditionalFormatting sqref="E103:I103">
    <x:cfRule type="expression" dxfId="4" priority="5">
      <x:formula>ABS(E103)&gt;0.01</x:formula>
    </x:cfRule>
  </x:conditionalFormatting>
  <x:conditionalFormatting sqref="E180:I205">
    <x:cfRule type="cellIs" dxfId="76" priority="6" operator="notEqual">
      <x:formula>0</x:formula>
    </x:cfRule>
  </x:conditionalFormatting>
  <x:dataValidations count="1">
    <x:dataValidation type="whole" errorStyle="stop" operator="between" showErrorMessage="1" errorTitle="Choose 0 or 1" error="0 uses scale growth; 1 uses the detailed operating bridge." sqref="D112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64f179ab9b9a41c0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88" hidden="0" customWidth="1"/>
    <x:col min="13" max="13" width="3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45" hidden="0" customWidth="1"/>
  </x:cols>
  <x:sheetData>
    <x:row r="1" ht="18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  <x:c r="K1" s="1"/>
    </x:row>
    <x:row r="2" ht="32" customHeight="1">
      <x:c r="A2" s="1"/>
      <x:c r="B2" s="1"/>
      <x:c r="C2" s="3" t="str">
        <x:v>FMCG</x:v>
      </x:c>
      <x:c r="D2" s="2"/>
      <x:c r="E2" s="2"/>
      <x:c r="F2" s="2"/>
      <x:c r="G2" s="2"/>
      <x:c r="H2" s="2"/>
      <x:c r="I2" s="2"/>
      <x:c r="J2" s="1"/>
      <x:c r="K2" s="1"/>
      <x:c r="M2" s="86" t="str">
        <x:v>FMCG | Client summary</x:v>
      </x:c>
      <x:c r="N2" s="86"/>
      <x:c r="O2" s="86"/>
      <x:c r="P2" s="86"/>
      <x:c r="Q2" s="86"/>
      <x:c r="R2" s="86"/>
      <x:c r="S2" s="86"/>
      <x:c r="T2" s="86"/>
      <x:c r="U2" s="86"/>
      <x:c r="V2" s="63"/>
      <x:c r="X2" t="str">
        <x:v>Forecast year</x:v>
      </x:c>
      <x:c r="Y2" t="str">
        <x:v>Income</x:v>
      </x:c>
      <x:c r="Z2" t="str">
        <x:v>Profit after tax</x:v>
      </x:c>
    </x:row>
    <x:row r="3" ht="18" customHeight="1">
      <x:c r="A3" s="1"/>
      <x:c r="B3" s="1"/>
      <x:c r="C3" s="4"/>
      <x:c r="D3" s="5"/>
      <x:c r="E3" s="5"/>
      <x:c r="F3" s="5"/>
      <x:c r="G3" s="5"/>
      <x:c r="H3" s="5"/>
      <x:c r="I3" s="5"/>
      <x:c r="J3" s="1"/>
      <x:c r="K3" s="1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X3" t="n">
        <x:f>'Controls'!$E$17+0</x:f>
        <x:v>2027</x:v>
      </x:c>
      <x:c r="Y3" t="n">
        <x:f>E47</x:f>
        <x:v>1335.36</x:v>
      </x:c>
      <x:c r="Z3" t="n">
        <x:f>E58</x:f>
        <x:v>121.22459999999994</x:v>
      </x:c>
    </x:row>
    <x:row r="4" ht="18" customHeight="1">
      <x:c r="A4" s="1"/>
      <x:c r="B4" s="1"/>
      <x:c r="C4" s="1" t="str">
        <x:v>Illustrative assumptions. Financial amounts in INR crore.</x:v>
      </x:c>
      <x:c r="D4" s="2"/>
      <x:c r="E4" s="2"/>
      <x:c r="F4" s="2"/>
      <x:c r="G4" s="2"/>
      <x:c r="H4" s="2"/>
      <x:c r="I4" s="2"/>
      <x:c r="J4" s="1"/>
      <x:c r="K4" s="1"/>
      <x:c r="M4" s="63" t="str">
        <x:v>Company / model name</x:v>
      </x:c>
      <x:c r="N4" s="63" t="str">
        <x:v>Illustrative company</x:v>
      </x:c>
      <x:c r="O4" s="63"/>
      <x:c r="P4" s="63"/>
      <x:c r="Q4" s="63"/>
      <x:c r="R4" s="63"/>
      <x:c r="S4" s="63"/>
      <x:c r="T4" s="63"/>
      <x:c r="U4" s="63"/>
      <x:c r="V4" s="63"/>
      <x:c r="X4" t="n">
        <x:f>'Controls'!$E$17+1</x:f>
        <x:v>2028</x:v>
      </x:c>
      <x:c r="Y4" t="n">
        <x:f>F47</x:f>
        <x:v>1485.9886080000003</x:v>
      </x:c>
      <x:c r="Z4" t="n">
        <x:f>F58</x:f>
        <x:v>154.51232688000005</x:v>
      </x:c>
    </x:row>
    <x:row r="5" ht="18" customHeight="1">
      <x:c r="A5" s="1"/>
      <x:c r="B5" s="1"/>
      <x:c r="C5" s="1" t="str">
        <x:v>Selected case</x:v>
      </x:c>
      <x:c r="D5" s="2"/>
      <x:c r="E5" s="10" t="str">
        <x:f>'Controls'!E6</x:f>
        <x:v>Base</x:v>
      </x:c>
      <x:c r="F5" s="2"/>
      <x:c r="G5" s="2"/>
      <x:c r="H5" s="2"/>
      <x:c r="I5" s="2"/>
      <x:c r="J5" s="1"/>
      <x:c r="K5" s="1"/>
      <x:c r="M5" s="63" t="str">
        <x:v>Valuation date</x:v>
      </x:c>
      <x:c r="N5" s="87" t="n">
        <x:f>'Controls'!E18</x:f>
        <x:v>46112</x:v>
      </x:c>
      <x:c r="O5" s="63"/>
      <x:c r="P5" s="63"/>
      <x:c r="Q5" s="63"/>
      <x:c r="R5" s="63"/>
      <x:c r="S5" s="63"/>
      <x:c r="T5" s="63"/>
      <x:c r="U5" s="63"/>
      <x:c r="V5" s="63"/>
      <x:c r="X5" t="n">
        <x:f>'Controls'!$E$17+2</x:f>
        <x:v>2029</x:v>
      </x:c>
      <x:c r="Y5" t="n">
        <x:f>G47</x:f>
        <x:v>1653.6081229824008</x:v>
      </x:c>
      <x:c r="Z5" t="n">
        <x:f>G58</x:f>
        <x:v>189.47392431206416</x:v>
      </x:c>
    </x:row>
    <x:row r="6" ht="18" customHeight="1">
      <x:c r="A6" s="1"/>
      <x:c r="B6" s="1"/>
      <x:c r="C6" s="1"/>
      <x:c r="D6" s="2"/>
      <x:c r="E6" s="2"/>
      <x:c r="F6" s="2"/>
      <x:c r="G6" s="2"/>
      <x:c r="H6" s="2"/>
      <x:c r="I6" s="2"/>
      <x:c r="J6" s="1"/>
      <x:c r="K6" s="1"/>
      <x:c r="M6" s="63" t="str">
        <x:v>Selected case</x:v>
      </x:c>
      <x:c r="N6" s="63" t="str">
        <x:f>'Controls'!E6</x:f>
        <x:v>Base</x:v>
      </x:c>
      <x:c r="O6" s="63"/>
      <x:c r="P6" s="63"/>
      <x:c r="Q6" s="63"/>
      <x:c r="R6" s="63"/>
      <x:c r="S6" s="63"/>
      <x:c r="T6" s="63"/>
      <x:c r="U6" s="63"/>
      <x:c r="V6" s="63"/>
      <x:c r="X6" t="n">
        <x:f>'Controls'!$E$17+3</x:f>
        <x:v>2030</x:v>
      </x:c>
      <x:c r="Y6" t="n">
        <x:f>H47</x:f>
        <x:v>1840.1351192548157</x:v>
      </x:c>
      <x:c r="Z6" t="n">
        <x:f>H58</x:f>
        <x:v>226.5220354992649</x:v>
      </x:c>
    </x:row>
    <x:row r="7" ht="18" customHeight="1">
      <x:c r="A7" s="1"/>
      <x:c r="B7" s="1"/>
      <x:c r="C7" s="15" t="str">
        <x:v>Metric</x:v>
      </x:c>
      <x:c r="D7" s="16" t="str">
        <x:v>Opening / seed</x:v>
      </x:c>
      <x:c r="E7" s="65" t="n">
        <x:f>'Controls'!$E$17+0</x:f>
        <x:v>2027</x:v>
      </x:c>
      <x:c r="F7" s="65" t="n">
        <x:f>'Controls'!$E$17+1</x:f>
        <x:v>2028</x:v>
      </x:c>
      <x:c r="G7" s="65" t="n">
        <x:f>'Controls'!$E$17+2</x:f>
        <x:v>2029</x:v>
      </x:c>
      <x:c r="H7" s="65" t="n">
        <x:f>'Controls'!$E$17+3</x:f>
        <x:v>2030</x:v>
      </x:c>
      <x:c r="I7" s="65" t="n">
        <x:f>'Controls'!$E$17+4</x:f>
        <x:v>2031</x:v>
      </x:c>
      <x:c r="J7" s="1"/>
      <x:c r="K7" s="1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X7" t="n">
        <x:f>'Controls'!$E$17+4</x:f>
        <x:v>2031</x:v>
      </x:c>
      <x:c r="Y7" t="n">
        <x:f>I47</x:f>
        <x:v>2047.7023607067588</x:v>
      </x:c>
      <x:c r="Z7" t="n">
        <x:f>I58</x:f>
        <x:v>266.0889901254061</x:v>
      </x:c>
    </x:row>
    <x:row r="8" ht="18" customHeight="1">
      <x:c r="A8" s="1"/>
      <x:c r="B8" s="1"/>
      <x:c r="C8" s="1"/>
      <x:c r="D8" s="2"/>
      <x:c r="E8" s="2"/>
      <x:c r="F8" s="2"/>
      <x:c r="G8" s="2"/>
      <x:c r="H8" s="2"/>
      <x:c r="I8" s="2"/>
      <x:c r="J8" s="1"/>
      <x:c r="K8" s="1"/>
      <x:c r="M8" s="63" t="str">
        <x:v>Equity value (INR crore)</x:v>
      </x:c>
      <x:c r="N8" s="8" t="n">
        <x:f>E94</x:f>
        <x:v>2235.085992807321</x:v>
      </x:c>
      <x:c r="O8" s="63"/>
      <x:c r="P8" s="63"/>
      <x:c r="Q8" s="63"/>
      <x:c r="R8" s="63"/>
      <x:c r="S8" s="63"/>
      <x:c r="T8" s="63"/>
      <x:c r="U8" s="63"/>
      <x:c r="V8" s="63"/>
    </x:row>
    <x:row r="9" ht="18" customHeight="1">
      <x:c r="A9" s="1"/>
      <x:c r="B9" s="1"/>
      <x:c r="C9" s="19" t="str">
        <x:v>OPERATING ASSUMPTIONS</x:v>
      </x:c>
      <x:c r="D9" s="20"/>
      <x:c r="E9" s="20"/>
      <x:c r="F9" s="20"/>
      <x:c r="G9" s="20"/>
      <x:c r="H9" s="20"/>
      <x:c r="I9" s="20"/>
      <x:c r="J9" s="1"/>
      <x:c r="K9" s="1"/>
      <x:c r="M9" s="63" t="str">
        <x:f>IF(MAX(E100,F100,G100,H100,I100,E101,F101,G101,H101,I101,E102,F102,G102,H102,I102,E103,F103,G103,H103,I103,E104,F104,G104,H104,I104,E180:I205)&gt;0.01,"ATTENTION: model checks contain exceptions",IF(MIN(E100,F100,G100,H100,I100,E101,F101,G101,H101,I101,E102,F102,G102,H102,I102,E103,F103,G103,H103,I103,E104,F104,G104,H104,I104,E180:I205)&lt;-0.01,"ATTENTION: model checks contain exceptions","Model checks clear; review company assumptions"))</x:f>
        <x:v>Model checks clear; review company assumptions</x:v>
      </x:c>
      <x:c r="N9" s="63"/>
      <x:c r="O9" s="63"/>
      <x:c r="P9" s="63"/>
      <x:c r="Q9" s="63"/>
      <x:c r="R9" s="63"/>
      <x:c r="S9" s="63"/>
      <x:c r="T9" s="63"/>
      <x:c r="U9" s="63"/>
      <x:c r="V9" s="63"/>
    </x:row>
    <x:row r="10" ht="18" customHeight="1">
      <x:c r="A10" s="1"/>
      <x:c r="B10" s="1"/>
      <x:c r="C10" s="1" t="str">
        <x:v>Sales volume (million units) — seed</x:v>
      </x:c>
      <x:c r="D10" s="7" t="n">
        <x:v>100</x:v>
      </x:c>
      <x:c r="E10" s="2"/>
      <x:c r="F10" s="2"/>
      <x:c r="G10" s="2"/>
      <x:c r="H10" s="2"/>
      <x:c r="I10" s="2"/>
      <x:c r="J10" s="1"/>
      <x:c r="K10" s="1" t="str">
        <x:v>Input provenance: all amber cells are constructed examples, not external observations.</x:v>
      </x:c>
      <x:c r="M10" s="63" t="str">
        <x:v>Illustrative inputs; replace with company evidence.</x:v>
      </x:c>
      <x:c r="N10" s="63"/>
      <x:c r="O10" s="63"/>
      <x:c r="P10" s="63"/>
      <x:c r="Q10" s="63"/>
      <x:c r="R10" s="63"/>
      <x:c r="S10" s="63"/>
      <x:c r="T10" s="63"/>
      <x:c r="U10" s="63"/>
      <x:c r="V10" s="63"/>
    </x:row>
    <x:row r="11" ht="18" customHeight="1">
      <x:c r="A11" s="1"/>
      <x:c r="B11" s="1"/>
      <x:c r="C11" s="1" t="str">
        <x:v>Net realization (INR per unit) — seed</x:v>
      </x:c>
      <x:c r="D11" s="7" t="n">
        <x:v>120</x:v>
      </x:c>
      <x:c r="E11" s="2"/>
      <x:c r="F11" s="2"/>
      <x:c r="G11" s="2"/>
      <x:c r="H11" s="2"/>
      <x:c r="I11" s="2"/>
      <x:c r="J11" s="1"/>
      <x:c r="K11" s="1" t="str">
        <x:v>Volume is a consistent equivalent-unit basket; model premiumization through net realization.</x:v>
      </x:c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</x:row>
    <x:row r="12" ht="18" customHeight="1">
      <x:c r="A12" s="1"/>
      <x:c r="B12" s="1"/>
      <x:c r="C12" s="28" t="str">
        <x:v>Operating scale growth — active</x:v>
      </x:c>
      <x:c r="D12" s="29"/>
      <x:c r="E12" s="30" t="n">
        <x:f>IF(COUNT(INDEX(E13:E15,'Controls'!$E$5))=0,NA(),INDEX(E13:E15,'Controls'!$E$5))</x:f>
        <x:v>0.07</x:v>
      </x:c>
      <x:c r="F12" s="30" t="n">
        <x:f>IF(COUNT(INDEX(F13:F15,'Controls'!$E$5))=0,NA(),INDEX(F13:F15,'Controls'!$E$5))</x:f>
        <x:v>0.07</x:v>
      </x:c>
      <x:c r="G12" s="30" t="n">
        <x:f>IF(COUNT(INDEX(G13:G15,'Controls'!$E$5))=0,NA(),INDEX(G13:G15,'Controls'!$E$5))</x:f>
        <x:v>0.07</x:v>
      </x:c>
      <x:c r="H12" s="30" t="n">
        <x:f>IF(COUNT(INDEX(H13:H15,'Controls'!$E$5))=0,NA(),INDEX(H13:H15,'Controls'!$E$5))</x:f>
        <x:v>0.07</x:v>
      </x:c>
      <x:c r="I12" s="30" t="n">
        <x:f>IF(COUNT(INDEX(I13:I15,'Controls'!$E$5))=0,NA(),INDEX(I13:I15,'Controls'!$E$5))</x:f>
        <x:v>0.07</x:v>
      </x:c>
      <x:c r="J12" s="1"/>
      <x:c r="K12" s="1" t="str">
        <x:v>Five-year nominal INR model. Positive costs are subtracted. Discounting is end-of-year.</x:v>
      </x:c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</x:row>
    <x:row r="13" ht="18" customHeight="1">
      <x:c r="A13" s="1"/>
      <x:c r="B13" s="1"/>
      <x:c r="C13" s="23" t="str">
        <x:v>Base</x:v>
      </x:c>
      <x:c r="D13" s="24"/>
      <x:c r="E13" s="26" t="n">
        <x:v>0.07</x:v>
      </x:c>
      <x:c r="F13" s="26" t="n">
        <x:v>0.07</x:v>
      </x:c>
      <x:c r="G13" s="26" t="n">
        <x:v>0.07</x:v>
      </x:c>
      <x:c r="H13" s="26" t="n">
        <x:v>0.07</x:v>
      </x:c>
      <x:c r="I13" s="26" t="n">
        <x:v>0.07</x:v>
      </x:c>
      <x:c r="J13" s="1"/>
      <x:c r="K13" s="1" t="str">
        <x:v>Cash earns no interest; borrowing is explicit. Negative cash is an unfunded shortfall.</x:v>
      </x:c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</x:row>
    <x:row r="14" ht="18" customHeight="1">
      <x:c r="A14" s="1"/>
      <x:c r="B14" s="1"/>
      <x:c r="C14" s="23" t="str">
        <x:v>Downside</x:v>
      </x:c>
      <x:c r="D14" s="24"/>
      <x:c r="E14" s="26" t="n">
        <x:v>0.020000000000000004</x:v>
      </x:c>
      <x:c r="F14" s="26" t="n">
        <x:v>0.020000000000000004</x:v>
      </x:c>
      <x:c r="G14" s="26" t="n">
        <x:v>0.020000000000000004</x:v>
      </x:c>
      <x:c r="H14" s="26" t="n">
        <x:v>0.020000000000000004</x:v>
      </x:c>
      <x:c r="I14" s="26" t="n">
        <x:v>0.020000000000000004</x:v>
      </x:c>
      <x:c r="J14" s="1"/>
      <x:c r="K14" s="1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</x:row>
    <x:row r="15" ht="18" customHeight="1">
      <x:c r="A15" s="1"/>
      <x:c r="B15" s="1"/>
      <x:c r="C15" s="23" t="str">
        <x:v>Upside</x:v>
      </x:c>
      <x:c r="D15" s="24"/>
      <x:c r="E15" s="26" t="n">
        <x:v>0.11000000000000001</x:v>
      </x:c>
      <x:c r="F15" s="26" t="n">
        <x:v>0.11000000000000001</x:v>
      </x:c>
      <x:c r="G15" s="26" t="n">
        <x:v>0.11000000000000001</x:v>
      </x:c>
      <x:c r="H15" s="26" t="n">
        <x:v>0.11000000000000001</x:v>
      </x:c>
      <x:c r="I15" s="26" t="n">
        <x:v>0.11000000000000001</x:v>
      </x:c>
      <x:c r="J15" s="1"/>
      <x:c r="K15" s="1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</x:row>
    <x:row r="16" ht="18" customHeight="1">
      <x:c r="A16" s="1"/>
      <x:c r="B16" s="1"/>
      <x:c r="C16" s="28" t="str">
        <x:v>Realization growth — active</x:v>
      </x:c>
      <x:c r="D16" s="29"/>
      <x:c r="E16" s="30" t="n">
        <x:f>IF(COUNT(INDEX(E17:E19,'Controls'!$E$5))=0,NA(),INDEX(E17:E19,'Controls'!$E$5))</x:f>
        <x:v>0.04</x:v>
      </x:c>
      <x:c r="F16" s="30" t="n">
        <x:f>IF(COUNT(INDEX(F17:F19,'Controls'!$E$5))=0,NA(),INDEX(F17:F19,'Controls'!$E$5))</x:f>
        <x:v>0.04</x:v>
      </x:c>
      <x:c r="G16" s="30" t="n">
        <x:f>IF(COUNT(INDEX(G17:G19,'Controls'!$E$5))=0,NA(),INDEX(G17:G19,'Controls'!$E$5))</x:f>
        <x:v>0.04</x:v>
      </x:c>
      <x:c r="H16" s="30" t="n">
        <x:f>IF(COUNT(INDEX(H17:H19,'Controls'!$E$5))=0,NA(),INDEX(H17:H19,'Controls'!$E$5))</x:f>
        <x:v>0.04</x:v>
      </x:c>
      <x:c r="I16" s="30" t="n">
        <x:f>IF(COUNT(INDEX(I17:I19,'Controls'!$E$5))=0,NA(),INDEX(I17:I19,'Controls'!$E$5))</x:f>
        <x:v>0.04</x:v>
      </x:c>
      <x:c r="J16" s="1"/>
      <x:c r="K16" s="1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</x:row>
    <x:row r="17" ht="18" customHeight="1">
      <x:c r="A17" s="1"/>
      <x:c r="B17" s="1"/>
      <x:c r="C17" s="23" t="str">
        <x:v>Base</x:v>
      </x:c>
      <x:c r="D17" s="24"/>
      <x:c r="E17" s="26" t="n">
        <x:v>0.04</x:v>
      </x:c>
      <x:c r="F17" s="26" t="n">
        <x:v>0.04</x:v>
      </x:c>
      <x:c r="G17" s="26" t="n">
        <x:v>0.04</x:v>
      </x:c>
      <x:c r="H17" s="26" t="n">
        <x:v>0.04</x:v>
      </x:c>
      <x:c r="I17" s="26" t="n">
        <x:v>0.04</x:v>
      </x:c>
      <x:c r="J17" s="1"/>
      <x:c r="K17" s="1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</x:row>
    <x:row r="18" ht="18" customHeight="1">
      <x:c r="A18" s="1"/>
      <x:c r="B18" s="1"/>
      <x:c r="C18" s="23" t="str">
        <x:v>Downside</x:v>
      </x:c>
      <x:c r="D18" s="24"/>
      <x:c r="E18" s="26" t="n">
        <x:v>0.015</x:v>
      </x:c>
      <x:c r="F18" s="26" t="n">
        <x:v>0.015</x:v>
      </x:c>
      <x:c r="G18" s="26" t="n">
        <x:v>0.015</x:v>
      </x:c>
      <x:c r="H18" s="26" t="n">
        <x:v>0.015</x:v>
      </x:c>
      <x:c r="I18" s="26" t="n">
        <x:v>0.015</x:v>
      </x:c>
      <x:c r="J18" s="1"/>
      <x:c r="K18" s="1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</x:row>
    <x:row r="19" ht="18" customHeight="1">
      <x:c r="A19" s="1"/>
      <x:c r="B19" s="1"/>
      <x:c r="C19" s="23" t="str">
        <x:v>Upside</x:v>
      </x:c>
      <x:c r="D19" s="24"/>
      <x:c r="E19" s="26" t="n">
        <x:v>0.06</x:v>
      </x:c>
      <x:c r="F19" s="26" t="n">
        <x:v>0.06</x:v>
      </x:c>
      <x:c r="G19" s="26" t="n">
        <x:v>0.06</x:v>
      </x:c>
      <x:c r="H19" s="26" t="n">
        <x:v>0.06</x:v>
      </x:c>
      <x:c r="I19" s="26" t="n">
        <x:v>0.06</x:v>
      </x:c>
      <x:c r="J19" s="1"/>
      <x:c r="K19" s="1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</x:row>
    <x:row r="20" ht="18" customHeight="1">
      <x:c r="A20" s="1"/>
      <x:c r="B20" s="1"/>
      <x:c r="C20" s="23" t="str">
        <x:v>Capacity utilization</x:v>
      </x:c>
      <x:c r="D20" s="24"/>
      <x:c r="E20" s="26" t="n">
        <x:f>E400</x:f>
        <x:v>1</x:v>
      </x:c>
      <x:c r="F20" s="26" t="n">
        <x:f>F400</x:f>
        <x:v>1</x:v>
      </x:c>
      <x:c r="G20" s="26" t="n">
        <x:f>G400</x:f>
        <x:v>1</x:v>
      </x:c>
      <x:c r="H20" s="26" t="n">
        <x:f>H400</x:f>
        <x:v>1</x:v>
      </x:c>
      <x:c r="I20" s="26" t="n">
        <x:f>I400</x:f>
        <x:v>1</x:v>
      </x:c>
      <x:c r="J20" s="1"/>
      <x:c r="K20" s="1" t="str">
        <x:v>Use 100% when volume already represents actual sales.</x:v>
      </x:c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</x:row>
    <x:row r="21" ht="18" customHeight="1">
      <x:c r="A21" s="1"/>
      <x:c r="B21" s="1"/>
      <x:c r="C21" s="23" t="str">
        <x:v>Materials and manufacturing / revenue</x:v>
      </x:c>
      <x:c r="D21" s="24"/>
      <x:c r="E21" s="26" t="n">
        <x:f>E405</x:f>
        <x:v>0.53</x:v>
      </x:c>
      <x:c r="F21" s="26" t="n">
        <x:f>F405</x:f>
        <x:v>0.53</x:v>
      </x:c>
      <x:c r="G21" s="26" t="n">
        <x:f>G405</x:f>
        <x:v>0.53</x:v>
      </x:c>
      <x:c r="H21" s="26" t="n">
        <x:f>H405</x:f>
        <x:v>0.53</x:v>
      </x:c>
      <x:c r="I21" s="26" t="n">
        <x:f>I405</x:f>
        <x:v>0.53</x:v>
      </x:c>
      <x:c r="J21" s="1"/>
      <x:c r="K21" s="1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</x:row>
    <x:row r="22" ht="18" customHeight="1">
      <x:c r="A22" s="1"/>
      <x:c r="B22" s="1"/>
      <x:c r="C22" s="23" t="str">
        <x:v>Other cash operating costs / revenue</x:v>
      </x:c>
      <x:c r="D22" s="24"/>
      <x:c r="E22" s="26" t="n">
        <x:f>E410</x:f>
        <x:v>0.24</x:v>
      </x:c>
      <x:c r="F22" s="26" t="n">
        <x:f>F410</x:f>
        <x:v>0.24</x:v>
      </x:c>
      <x:c r="G22" s="26" t="n">
        <x:f>G410</x:f>
        <x:v>0.24</x:v>
      </x:c>
      <x:c r="H22" s="26" t="n">
        <x:f>H410</x:f>
        <x:v>0.24</x:v>
      </x:c>
      <x:c r="I22" s="26" t="n">
        <x:f>I410</x:f>
        <x:v>0.24</x:v>
      </x:c>
      <x:c r="J22" s="1"/>
      <x:c r="K22" s="1" t="str">
        <x:v>Includes fixed and selling costs, modeled as revenue share.</x:v>
      </x:c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</x:row>
    <x:row r="23" ht="18" customHeight="1">
      <x:c r="A23" s="1"/>
      <x:c r="B23" s="1"/>
      <x:c r="C23" s="23" t="str">
        <x:v>Cash capex / revenue</x:v>
      </x:c>
      <x:c r="D23" s="24"/>
      <x:c r="E23" s="26" t="n">
        <x:f>E415</x:f>
        <x:v>0.045</x:v>
      </x:c>
      <x:c r="F23" s="26" t="n">
        <x:f>F415</x:f>
        <x:v>0.045</x:v>
      </x:c>
      <x:c r="G23" s="26" t="n">
        <x:f>G415</x:f>
        <x:v>0.045</x:v>
      </x:c>
      <x:c r="H23" s="26" t="n">
        <x:f>H415</x:f>
        <x:v>0.045</x:v>
      </x:c>
      <x:c r="I23" s="26" t="n">
        <x:f>I415</x:f>
        <x:v>0.045</x:v>
      </x:c>
      <x:c r="J23" s="1"/>
      <x:c r="K23" s="1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</x:row>
    <x:row r="24" ht="18" customHeight="1">
      <x:c r="A24" s="1"/>
      <x:c r="B24" s="1"/>
      <x:c r="C24" s="23" t="str">
        <x:v>D&amp;A / opening net PP&amp;E</x:v>
      </x:c>
      <x:c r="D24" s="24"/>
      <x:c r="E24" s="26" t="n">
        <x:f>E420</x:f>
        <x:v>0.12</x:v>
      </x:c>
      <x:c r="F24" s="26" t="n">
        <x:f>F420</x:f>
        <x:v>0.12</x:v>
      </x:c>
      <x:c r="G24" s="26" t="n">
        <x:f>G420</x:f>
        <x:v>0.12</x:v>
      </x:c>
      <x:c r="H24" s="26" t="n">
        <x:f>H420</x:f>
        <x:v>0.12</x:v>
      </x:c>
      <x:c r="I24" s="26" t="n">
        <x:f>I420</x:f>
        <x:v>0.12</x:v>
      </x:c>
      <x:c r="J24" s="1"/>
      <x:c r="K24" s="1" t="str">
        <x:v>No disposals or impairments. Current-year capex begins depreciation next year.</x:v>
      </x:c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</x:row>
    <x:row r="25" ht="18" customHeight="1">
      <x:c r="A25" s="1"/>
      <x:c r="B25" s="1"/>
      <x:c r="C25" s="1" t="str">
        <x:v>Receivable days</x:v>
      </x:c>
      <x:c r="D25" s="2"/>
      <x:c r="E25" s="7" t="n">
        <x:f>E425</x:f>
        <x:v>15</x:v>
      </x:c>
      <x:c r="F25" s="7" t="n">
        <x:f>F425</x:f>
        <x:v>15</x:v>
      </x:c>
      <x:c r="G25" s="7" t="n">
        <x:f>G425</x:f>
        <x:v>15</x:v>
      </x:c>
      <x:c r="H25" s="7" t="n">
        <x:f>H425</x:f>
        <x:v>15</x:v>
      </x:c>
      <x:c r="I25" s="7" t="n">
        <x:f>I425</x:f>
        <x:v>15</x:v>
      </x:c>
      <x:c r="J25" s="1"/>
      <x:c r="K25" s="1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</x:row>
    <x:row r="26" ht="18" customHeight="1">
      <x:c r="A26" s="1"/>
      <x:c r="B26" s="1"/>
      <x:c r="C26" s="1" t="str">
        <x:v>Inventory days</x:v>
      </x:c>
      <x:c r="D26" s="2"/>
      <x:c r="E26" s="7" t="n">
        <x:f>E430</x:f>
        <x:v>45</x:v>
      </x:c>
      <x:c r="F26" s="7" t="n">
        <x:f>F430</x:f>
        <x:v>45</x:v>
      </x:c>
      <x:c r="G26" s="7" t="n">
        <x:f>G430</x:f>
        <x:v>45</x:v>
      </x:c>
      <x:c r="H26" s="7" t="n">
        <x:f>H430</x:f>
        <x:v>45</x:v>
      </x:c>
      <x:c r="I26" s="7" t="n">
        <x:f>I430</x:f>
        <x:v>45</x:v>
      </x:c>
      <x:c r="J26" s="1"/>
      <x:c r="K26" s="1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</x:row>
    <x:row r="27" ht="18" customHeight="1">
      <x:c r="A27" s="1"/>
      <x:c r="B27" s="1"/>
      <x:c r="C27" s="1" t="str">
        <x:v>Payable days</x:v>
      </x:c>
      <x:c r="D27" s="2"/>
      <x:c r="E27" s="7" t="n">
        <x:f>E435</x:f>
        <x:v>55</x:v>
      </x:c>
      <x:c r="F27" s="7" t="n">
        <x:f>F435</x:f>
        <x:v>55</x:v>
      </x:c>
      <x:c r="G27" s="7" t="n">
        <x:f>G435</x:f>
        <x:v>55</x:v>
      </x:c>
      <x:c r="H27" s="7" t="n">
        <x:f>H435</x:f>
        <x:v>55</x:v>
      </x:c>
      <x:c r="I27" s="7" t="n">
        <x:f>I435</x:f>
        <x:v>55</x:v>
      </x:c>
      <x:c r="J27" s="1"/>
      <x:c r="K27" s="1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</x:row>
    <x:row r="28" ht="18" customHeight="1">
      <x:c r="A28" s="1"/>
      <x:c r="B28" s="1"/>
      <x:c r="C28" s="23" t="str">
        <x:v>Effective cash tax rate</x:v>
      </x:c>
      <x:c r="D28" s="24"/>
      <x:c r="E28" s="26" t="n">
        <x:f>E440</x:f>
        <x:v>0.25</x:v>
      </x:c>
      <x:c r="F28" s="26" t="n">
        <x:f>F440</x:f>
        <x:v>0.25</x:v>
      </x:c>
      <x:c r="G28" s="26" t="n">
        <x:f>G440</x:f>
        <x:v>0.25</x:v>
      </x:c>
      <x:c r="H28" s="26" t="n">
        <x:f>H440</x:f>
        <x:v>0.25</x:v>
      </x:c>
      <x:c r="I28" s="26" t="n">
        <x:f>I440</x:f>
        <x:v>0.25</x:v>
      </x:c>
      <x:c r="J28" s="1"/>
      <x:c r="K28" s="1" t="str">
        <x:v>Illustrative assumption, not a statutory rate. No loss carryforwards or deferred tax.</x:v>
      </x:c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</x:row>
    <x:row r="29" ht="18" customHeight="1">
      <x:c r="A29" s="1"/>
      <x:c r="B29" s="1"/>
      <x:c r="C29" s="23" t="str">
        <x:v>Interest on opening debt</x:v>
      </x:c>
      <x:c r="D29" s="24"/>
      <x:c r="E29" s="26" t="n">
        <x:f>E445</x:f>
        <x:v>0.085</x:v>
      </x:c>
      <x:c r="F29" s="26" t="n">
        <x:f>F445</x:f>
        <x:v>0.085</x:v>
      </x:c>
      <x:c r="G29" s="26" t="n">
        <x:f>G445</x:f>
        <x:v>0.085</x:v>
      </x:c>
      <x:c r="H29" s="26" t="n">
        <x:f>H445</x:f>
        <x:v>0.085</x:v>
      </x:c>
      <x:c r="I29" s="26" t="n">
        <x:f>I445</x:f>
        <x:v>0.085</x:v>
      </x:c>
      <x:c r="J29" s="1"/>
      <x:c r="K29" s="1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</x:row>
    <x:row r="30" ht="18" customHeight="1">
      <x:c r="A30" s="1"/>
      <x:c r="B30" s="1"/>
      <x:c r="C30" s="1" t="str">
        <x:v>New borrowing</x:v>
      </x:c>
      <x:c r="D30" s="2"/>
      <x:c r="E30" s="7" t="n">
        <x:f>E450</x:f>
        <x:v>0</x:v>
      </x:c>
      <x:c r="F30" s="7" t="n">
        <x:f>F450</x:f>
        <x:v>0</x:v>
      </x:c>
      <x:c r="G30" s="7" t="n">
        <x:f>G450</x:f>
        <x:v>0</x:v>
      </x:c>
      <x:c r="H30" s="7" t="n">
        <x:f>H450</x:f>
        <x:v>0</x:v>
      </x:c>
      <x:c r="I30" s="7" t="n">
        <x:f>I450</x:f>
        <x:v>0</x:v>
      </x:c>
      <x:c r="J30" s="1"/>
      <x:c r="K30" s="1"/>
      <x:c r="M30" s="82" t="str">
        <x:v>Historical actuals and forecast | INR crore</x:v>
      </x:c>
      <x:c r="N30" s="82"/>
      <x:c r="O30" s="82"/>
      <x:c r="P30" s="82"/>
      <x:c r="Q30" s="82"/>
      <x:c r="R30" s="82"/>
      <x:c r="S30" s="82"/>
      <x:c r="T30" s="82"/>
      <x:c r="U30" s="82"/>
      <x:c r="V30" s="63"/>
    </x:row>
    <x:row r="31" ht="18" customHeight="1">
      <x:c r="A31" s="1"/>
      <x:c r="B31" s="1"/>
      <x:c r="C31" s="1" t="str">
        <x:v>Scheduled principal repayment</x:v>
      </x:c>
      <x:c r="D31" s="2"/>
      <x:c r="E31" s="7" t="n">
        <x:f>E455</x:f>
        <x:v>30</x:v>
      </x:c>
      <x:c r="F31" s="7" t="n">
        <x:f>F455</x:f>
        <x:v>30</x:v>
      </x:c>
      <x:c r="G31" s="7" t="n">
        <x:f>G455</x:f>
        <x:v>30</x:v>
      </x:c>
      <x:c r="H31" s="7" t="n">
        <x:f>H455</x:f>
        <x:v>30</x:v>
      </x:c>
      <x:c r="I31" s="7" t="n">
        <x:f>I455</x:f>
        <x:v>30</x:v>
      </x:c>
      <x:c r="J31" s="1"/>
      <x:c r="K31" s="1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</x:row>
    <x:row r="32" ht="18" customHeight="1">
      <x:c r="A32" s="1"/>
      <x:c r="B32" s="1"/>
      <x:c r="C32" s="23" t="str">
        <x:v>Dividend payout on positive PAT</x:v>
      </x:c>
      <x:c r="D32" s="24"/>
      <x:c r="E32" s="26" t="n">
        <x:f>E460</x:f>
        <x:v>0.25</x:v>
      </x:c>
      <x:c r="F32" s="26" t="n">
        <x:f>F460</x:f>
        <x:v>0.25</x:v>
      </x:c>
      <x:c r="G32" s="26" t="n">
        <x:f>G460</x:f>
        <x:v>0.25</x:v>
      </x:c>
      <x:c r="H32" s="26" t="n">
        <x:f>H460</x:f>
        <x:v>0.25</x:v>
      </x:c>
      <x:c r="I32" s="26" t="n">
        <x:f>I460</x:f>
        <x:v>0.25</x:v>
      </x:c>
      <x:c r="J32" s="1"/>
      <x:c r="K32" s="1"/>
      <x:c r="M32" s="63" t="str">
        <x:v>Metric</x:v>
      </x:c>
      <x:c r="N32" s="88" t="n">
        <x:f>'Controls'!$E$17+-3</x:f>
        <x:v>2024</x:v>
      </x:c>
      <x:c r="O32" s="88" t="n">
        <x:f>'Controls'!$E$17+-2</x:f>
        <x:v>2025</x:v>
      </x:c>
      <x:c r="P32" s="88" t="n">
        <x:f>'Controls'!$E$17+-1</x:f>
        <x:v>2026</x:v>
      </x:c>
      <x:c r="Q32" s="89" t="n">
        <x:f>'Controls'!$E$17+0</x:f>
        <x:v>2027</x:v>
      </x:c>
      <x:c r="R32" s="89" t="n">
        <x:f>'Controls'!$E$17+1</x:f>
        <x:v>2028</x:v>
      </x:c>
      <x:c r="S32" s="89" t="n">
        <x:f>'Controls'!$E$17+2</x:f>
        <x:v>2029</x:v>
      </x:c>
      <x:c r="T32" s="89" t="n">
        <x:f>'Controls'!$E$17+3</x:f>
        <x:v>2030</x:v>
      </x:c>
      <x:c r="U32" s="89" t="n">
        <x:f>'Controls'!$E$17+4</x:f>
        <x:v>2031</x:v>
      </x:c>
      <x:c r="V32" s="63" t="str">
        <x:v>Source / reporting date</x:v>
      </x:c>
    </x:row>
    <x:row r="33" ht="18" customHeight="1">
      <x:c r="A33" s="1"/>
      <x:c r="B33" s="1"/>
      <x:c r="C33" s="19" t="str">
        <x:v>OPENING BALANCE SHEET AND VALUATION INPUTS</x:v>
      </x:c>
      <x:c r="D33" s="20"/>
      <x:c r="E33" s="20"/>
      <x:c r="F33" s="20"/>
      <x:c r="G33" s="20"/>
      <x:c r="H33" s="20"/>
      <x:c r="I33" s="20"/>
      <x:c r="J33" s="1"/>
      <x:c r="K33" s="1"/>
      <x:c r="M33" s="63" t="str">
        <x:v>Income</x:v>
      </x:c>
      <x:c r="N33" s="74"/>
      <x:c r="O33" s="74"/>
      <x:c r="P33" s="74"/>
      <x:c r="Q33" s="8" t="n">
        <x:f>E47</x:f>
        <x:v>1335.36</x:v>
      </x:c>
      <x:c r="R33" s="8" t="n">
        <x:f>F47</x:f>
        <x:v>1485.9886080000003</x:v>
      </x:c>
      <x:c r="S33" s="8" t="n">
        <x:f>G47</x:f>
        <x:v>1653.6081229824008</x:v>
      </x:c>
      <x:c r="T33" s="8" t="n">
        <x:f>H47</x:f>
        <x:v>1840.1351192548157</x:v>
      </x:c>
      <x:c r="U33" s="8" t="n">
        <x:f>I47</x:f>
        <x:v>2047.7023607067588</x:v>
      </x:c>
      <x:c r="V33" s="63"/>
    </x:row>
    <x:row r="34" ht="18" customHeight="1">
      <x:c r="A34" s="1"/>
      <x:c r="B34" s="1"/>
      <x:c r="C34" s="1" t="str">
        <x:v>Opening net PP&amp;E</x:v>
      </x:c>
      <x:c r="D34" s="7" t="n">
        <x:v>1000</x:v>
      </x:c>
      <x:c r="E34" s="2"/>
      <x:c r="F34" s="2"/>
      <x:c r="G34" s="2"/>
      <x:c r="H34" s="2"/>
      <x:c r="I34" s="2"/>
      <x:c r="J34" s="1"/>
      <x:c r="K34" s="1"/>
      <x:c r="M34" s="63" t="str">
        <x:v>Profit after tax</x:v>
      </x:c>
      <x:c r="N34" s="74"/>
      <x:c r="O34" s="74"/>
      <x:c r="P34" s="74"/>
      <x:c r="Q34" s="8" t="n">
        <x:f>E58</x:f>
        <x:v>121.22459999999994</x:v>
      </x:c>
      <x:c r="R34" s="8" t="n">
        <x:f>F58</x:f>
        <x:v>154.51232688000005</x:v>
      </x:c>
      <x:c r="S34" s="8" t="n">
        <x:f>G58</x:f>
        <x:v>189.47392431206416</x:v>
      </x:c>
      <x:c r="T34" s="8" t="n">
        <x:f>H58</x:f>
        <x:v>226.5220354992649</x:v>
      </x:c>
      <x:c r="U34" s="8" t="n">
        <x:f>I58</x:f>
        <x:v>266.0889901254061</x:v>
      </x:c>
      <x:c r="V34" s="63"/>
    </x:row>
    <x:row r="35" ht="18" customHeight="1">
      <x:c r="A35" s="1"/>
      <x:c r="B35" s="1"/>
      <x:c r="C35" s="1" t="str">
        <x:v>Opening debt</x:v>
      </x:c>
      <x:c r="D35" s="7" t="n">
        <x:v>300</x:v>
      </x:c>
      <x:c r="E35" s="2"/>
      <x:c r="F35" s="2"/>
      <x:c r="G35" s="2"/>
      <x:c r="H35" s="2"/>
      <x:c r="I35" s="2"/>
      <x:c r="J35" s="1"/>
      <x:c r="K35" s="1"/>
      <x:c r="M35" s="63" t="str">
        <x:v>EBITDA</x:v>
      </x:c>
      <x:c r="N35" s="74"/>
      <x:c r="O35" s="74"/>
      <x:c r="P35" s="74"/>
      <x:c r="Q35" s="8" t="n">
        <x:f>E52</x:f>
        <x:v>307.1327999999999</x:v>
      </x:c>
      <x:c r="R35" s="8" t="n">
        <x:f>F52</x:f>
        <x:v>341.77737984000004</x:v>
      </x:c>
      <x:c r="S35" s="8" t="n">
        <x:f>G52</x:f>
        <x:v>380.3298682859522</x:v>
      </x:c>
      <x:c r="T35" s="8" t="n">
        <x:f>H52</x:f>
        <x:v>423.23107742860753</x:v>
      </x:c>
      <x:c r="U35" s="8" t="n">
        <x:f>I52</x:f>
        <x:v>470.97154296255457</x:v>
      </x:c>
      <x:c r="V35" s="63"/>
    </x:row>
    <x:row r="36" ht="18" customHeight="1">
      <x:c r="A36" s="1"/>
      <x:c r="B36" s="1"/>
      <x:c r="C36" s="1" t="str">
        <x:v>Opening cash</x:v>
      </x:c>
      <x:c r="D36" s="7" t="n">
        <x:v>200</x:v>
      </x:c>
      <x:c r="E36" s="2"/>
      <x:c r="F36" s="2"/>
      <x:c r="G36" s="2"/>
      <x:c r="H36" s="2"/>
      <x:c r="I36" s="2"/>
      <x:c r="J36" s="1"/>
      <x:c r="K36" s="1"/>
      <x:c r="M36" s="63" t="str">
        <x:v>Closing debt</x:v>
      </x:c>
      <x:c r="N36" s="74"/>
      <x:c r="O36" s="74"/>
      <x:c r="P36" s="74"/>
      <x:c r="Q36" s="8" t="n">
        <x:f>E67</x:f>
        <x:v>270</x:v>
      </x:c>
      <x:c r="R36" s="8" t="n">
        <x:f>F67</x:f>
        <x:v>240</x:v>
      </x:c>
      <x:c r="S36" s="8" t="n">
        <x:f>G67</x:f>
        <x:v>210</x:v>
      </x:c>
      <x:c r="T36" s="8" t="n">
        <x:f>H67</x:f>
        <x:v>180</x:v>
      </x:c>
      <x:c r="U36" s="8" t="n">
        <x:f>I67</x:f>
        <x:v>150</x:v>
      </x:c>
      <x:c r="V36" s="63"/>
    </x:row>
    <x:row r="37" ht="18" customHeight="1">
      <x:c r="A37" s="1"/>
      <x:c r="B37" s="1"/>
      <x:c r="C37" s="1" t="str">
        <x:v>Opening net working capital</x:v>
      </x:c>
      <x:c r="D37" s="7" t="n">
        <x:v>31.89041095890411</x:v>
      </x:c>
      <x:c r="E37" s="2"/>
      <x:c r="F37" s="2"/>
      <x:c r="G37" s="2"/>
      <x:c r="H37" s="2"/>
      <x:c r="I37" s="2"/>
      <x:c r="J37" s="1"/>
      <x:c r="K37" s="1" t="str">
        <x:v>Illustrative opening net balance. Replace with receivables + inventory − payables.</x:v>
      </x:c>
      <x:c r="M37" s="63" t="str">
        <x:v>Closing cash / (funding gap)</x:v>
      </x:c>
      <x:c r="N37" s="74"/>
      <x:c r="O37" s="74"/>
      <x:c r="P37" s="74"/>
      <x:c r="Q37" s="8" t="n">
        <x:f>E72</x:f>
        <x:v>317.2300116438356</x:v>
      </x:c>
      <x:c r="R37" s="8" t="n">
        <x:f>F72</x:f>
        <x:v>445.0527066010959</x:v>
      </x:c>
      <x:c r="S37" s="8" t="n">
        <x:f>G72</x:f>
        <x:v>585.5892074895352</x:v>
      </x:c>
      <x:c r="T37" s="8" t="n">
        <x:f>H72</x:f>
        <x:v>741.0693317053904</x:v>
      </x:c>
      <x:c r="U37" s="8" t="n">
        <x:f>I72</x:f>
        <x:v>913.8595203367302</x:v>
      </x:c>
      <x:c r="V37" s="63"/>
    </x:row>
    <x:row r="38" ht="18" customHeight="1">
      <x:c r="A38" s="1"/>
      <x:c r="B38" s="1"/>
      <x:c r="C38" s="1" t="str">
        <x:v>Diluted shares (crore)</x:v>
      </x:c>
      <x:c r="D38" s="7" t="n">
        <x:v>100</x:v>
      </x:c>
      <x:c r="E38" s="2"/>
      <x:c r="F38" s="2"/>
      <x:c r="G38" s="2"/>
      <x:c r="H38" s="2"/>
      <x:c r="I38" s="2"/>
      <x:c r="J38" s="1"/>
      <x:c r="K38" s="1"/>
      <x:c r="M38" s="63" t="str">
        <x:v>Closing book equity</x:v>
      </x:c>
      <x:c r="N38" s="74"/>
      <x:c r="O38" s="74"/>
      <x:c r="P38" s="74"/>
      <x:c r="Q38" s="8" t="n">
        <x:f>E73</x:f>
        <x:v>1022.8088609589041</x:v>
      </x:c>
      <x:c r="R38" s="8" t="n">
        <x:f>F73</x:f>
        <x:v>1138.6931061189043</x:v>
      </x:c>
      <x:c r="S38" s="8" t="n">
        <x:f>G73</x:f>
        <x:v>1280.7985493529525</x:v>
      </x:c>
      <x:c r="T38" s="8" t="n">
        <x:f>H73</x:f>
        <x:v>1450.690075977401</x:v>
      </x:c>
      <x:c r="U38" s="8" t="n">
        <x:f>I73</x:f>
        <x:v>1650.2568185714556</x:v>
      </x:c>
      <x:c r="V38" s="63"/>
    </x:row>
    <x:row r="39" ht="18" customHeight="1">
      <x:c r="A39" s="1"/>
      <x:c r="B39" s="1"/>
      <x:c r="C39" s="1" t="str">
        <x:v>WACC</x:v>
      </x:c>
      <x:c r="D39" s="25" t="n">
        <x:v>0.12</x:v>
      </x:c>
      <x:c r="E39" s="2"/>
      <x:c r="F39" s="2"/>
      <x:c r="G39" s="2"/>
      <x:c r="H39" s="2"/>
      <x:c r="I39" s="2"/>
      <x:c r="J39" s="1"/>
      <x:c r="K39" s="1"/>
      <x:c r="M39" s="63" t="str">
        <x:v>Operating cash flow after interest</x:v>
      </x:c>
      <x:c r="N39" s="74"/>
      <x:c r="O39" s="74"/>
      <x:c r="P39" s="74"/>
      <x:c r="Q39" s="8" t="n">
        <x:f>E69</x:f>
        <x:v>237.62736164383557</x:v>
      </x:c>
      <x:c r="R39" s="8" t="n">
        <x:f>F69</x:f>
        <x:v>263.3202640372603</x:v>
      </x:c>
      <x:c r="S39" s="8" t="n">
        <x:f>G69</x:f>
        <x:v>292.31734750066335</x:v>
      </x:c>
      <x:c r="T39" s="8" t="n">
        <x:f>H69</x:f>
        <x:v>324.91671345713814</x:v>
      </x:c>
      <x:c r="U39" s="8" t="n">
        <x:f>I69</x:f>
        <x:v>361.45904239449544</x:v>
      </x:c>
      <x:c r="V39" s="63"/>
    </x:row>
    <x:row r="40" ht="18" customHeight="1">
      <x:c r="A40" s="1"/>
      <x:c r="B40" s="1"/>
      <x:c r="C40" s="1" t="str">
        <x:v>Terminal growth</x:v>
      </x:c>
      <x:c r="D40" s="25" t="n">
        <x:v>0.04</x:v>
      </x:c>
      <x:c r="E40" s="2"/>
      <x:c r="F40" s="2"/>
      <x:c r="G40" s="2"/>
      <x:c r="H40" s="2"/>
      <x:c r="I40" s="2"/>
      <x:c r="J40" s="1"/>
      <x:c r="K40" s="1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</x:row>
    <x:row r="41" ht="18" customHeight="1">
      <x:c r="A41" s="1"/>
      <x:c r="B41" s="1"/>
      <x:c r="C41" s="1" t="str">
        <x:v>Terminal incremental ROIC</x:v>
      </x:c>
      <x:c r="D41" s="25" t="n">
        <x:v>0.15</x:v>
      </x:c>
      <x:c r="E41" s="2"/>
      <x:c r="F41" s="2"/>
      <x:c r="G41" s="2"/>
      <x:c r="H41" s="2"/>
      <x:c r="I41" s="2"/>
      <x:c r="J41" s="1"/>
      <x:c r="K41" s="1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</x:row>
    <x:row r="42" ht="18" customHeight="1">
      <x:c r="A42" s="1"/>
      <x:c r="B42" s="1"/>
      <x:c r="C42" s="1" t="str">
        <x:v>Forward EV / EBITDA</x:v>
      </x:c>
      <x:c r="D42" s="55" t="n">
        <x:v>24</x:v>
      </x:c>
      <x:c r="E42" s="2"/>
      <x:c r="F42" s="2"/>
      <x:c r="G42" s="2"/>
      <x:c r="H42" s="2"/>
      <x:c r="I42" s="2"/>
      <x:c r="J42" s="1"/>
      <x:c r="K42" s="1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</x:row>
    <x:row r="43" ht="18" customHeight="1">
      <x:c r="A43" s="1"/>
      <x:c r="B43" s="1"/>
      <x:c r="C43" s="19" t="str">
        <x:v>OPERATING BUILD</x:v>
      </x:c>
      <x:c r="D43" s="20"/>
      <x:c r="E43" s="20"/>
      <x:c r="F43" s="20"/>
      <x:c r="G43" s="20"/>
      <x:c r="H43" s="20"/>
      <x:c r="I43" s="20"/>
      <x:c r="J43" s="1"/>
      <x:c r="K43" s="1"/>
      <x:c r="M43" s="64" t="str">
        <x:v>Actuals are reference inputs. Calibrate the opening balances and forecast assumptions separately.</x:v>
      </x:c>
      <x:c r="N43" s="64"/>
      <x:c r="O43" s="64"/>
      <x:c r="P43" s="64"/>
      <x:c r="Q43" s="64"/>
      <x:c r="R43" s="64"/>
      <x:c r="S43" s="64"/>
      <x:c r="T43" s="64"/>
      <x:c r="U43" s="64"/>
      <x:c r="V43" s="63"/>
    </x:row>
    <x:row r="44" ht="18" customHeight="1">
      <x:c r="A44" s="1"/>
      <x:c r="B44" s="1"/>
      <x:c r="C44" s="1" t="str">
        <x:v>Sales volume (million units)</x:v>
      </x:c>
      <x:c r="D44" s="2"/>
      <x:c r="E44" s="8" t="n">
        <x:f>$D10*(1+E12)</x:f>
        <x:v>107</x:v>
      </x:c>
      <x:c r="F44" s="8" t="n">
        <x:f>E44*(1+F12)</x:f>
        <x:v>114.49000000000001</x:v>
      </x:c>
      <x:c r="G44" s="8" t="n">
        <x:f>F44*(1+G12)</x:f>
        <x:v>122.50430000000001</x:v>
      </x:c>
      <x:c r="H44" s="8" t="n">
        <x:f>G44*(1+H12)</x:f>
        <x:v>131.07960100000003</x:v>
      </x:c>
      <x:c r="I44" s="8" t="n">
        <x:f>H44*(1+I12)</x:f>
        <x:v>140.25517307000004</x:v>
      </x:c>
      <x:c r="J44" s="1"/>
      <x:c r="K44" s="1"/>
      <x:c r="M44" s="64"/>
      <x:c r="N44" s="64"/>
      <x:c r="O44" s="64"/>
      <x:c r="P44" s="64"/>
      <x:c r="Q44" s="64"/>
      <x:c r="R44" s="64"/>
      <x:c r="S44" s="64"/>
      <x:c r="T44" s="64"/>
      <x:c r="U44" s="64"/>
      <x:c r="V44" s="63"/>
    </x:row>
    <x:row r="45" ht="18" customHeight="1">
      <x:c r="A45" s="1"/>
      <x:c r="B45" s="1"/>
      <x:c r="C45" s="1" t="str">
        <x:v>Net realization (INR per unit)</x:v>
      </x:c>
      <x:c r="D45" s="2"/>
      <x:c r="E45" s="8" t="n">
        <x:f>$D11*(1+E16)</x:f>
        <x:v>124.80000000000001</x:v>
      </x:c>
      <x:c r="F45" s="8" t="n">
        <x:f>E45*(1+F16)</x:f>
        <x:v>129.79200000000003</x:v>
      </x:c>
      <x:c r="G45" s="8" t="n">
        <x:f>F45*(1+G16)</x:f>
        <x:v>134.98368000000005</x:v>
      </x:c>
      <x:c r="H45" s="8" t="n">
        <x:f>G45*(1+H16)</x:f>
        <x:v>140.38302720000004</x:v>
      </x:c>
      <x:c r="I45" s="8" t="n">
        <x:f>H45*(1+I16)</x:f>
        <x:v>145.99834828800005</x:v>
      </x:c>
      <x:c r="J45" s="1"/>
      <x:c r="K45" s="1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</x:row>
    <x:row r="46" ht="18" customHeight="1">
      <x:c r="A46" s="1"/>
      <x:c r="B46" s="1"/>
      <x:c r="C46" s="1" t="str">
        <x:v>Billable / saleable volume</x:v>
      </x:c>
      <x:c r="D46" s="2"/>
      <x:c r="E46" s="8" t="n">
        <x:f>E44*E20</x:f>
        <x:v>107</x:v>
      </x:c>
      <x:c r="F46" s="8" t="n">
        <x:f>F44*F20</x:f>
        <x:v>114.49000000000001</x:v>
      </x:c>
      <x:c r="G46" s="8" t="n">
        <x:f>G44*G20</x:f>
        <x:v>122.50430000000001</x:v>
      </x:c>
      <x:c r="H46" s="8" t="n">
        <x:f>H44*H20</x:f>
        <x:v>131.07960100000003</x:v>
      </x:c>
      <x:c r="I46" s="8" t="n">
        <x:f>I44*I20</x:f>
        <x:v>140.25517307000004</x:v>
      </x:c>
      <x:c r="J46" s="1"/>
      <x:c r="K46" s="1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</x:row>
    <x:row r="47" ht="18" customHeight="1">
      <x:c r="A47" s="1"/>
      <x:c r="B47" s="1"/>
      <x:c r="C47" s="38" t="str">
        <x:v>Revenue</x:v>
      </x:c>
      <x:c r="D47" s="39"/>
      <x:c r="E47" s="60" t="n">
        <x:f>E46*E45*'Controls'!$E$14/'Controls'!$E$9</x:f>
        <x:v>1335.36</x:v>
      </x:c>
      <x:c r="F47" s="60" t="n">
        <x:f>F46*F45*'Controls'!$E$14/'Controls'!$E$9</x:f>
        <x:v>1485.9886080000003</x:v>
      </x:c>
      <x:c r="G47" s="60" t="n">
        <x:f>G46*G45*'Controls'!$E$14/'Controls'!$E$9</x:f>
        <x:v>1653.6081229824008</x:v>
      </x:c>
      <x:c r="H47" s="60" t="n">
        <x:f>H46*H45*'Controls'!$E$14/'Controls'!$E$9</x:f>
        <x:v>1840.1351192548157</x:v>
      </x:c>
      <x:c r="I47" s="60" t="n">
        <x:f>I46*I45*'Controls'!$E$14/'Controls'!$E$9</x:f>
        <x:v>2047.7023607067588</x:v>
      </x:c>
      <x:c r="J47" s="1"/>
      <x:c r="K47" s="1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</x:row>
    <x:row r="48" ht="25" customHeight="1">
      <x:c r="A48" s="1"/>
      <x:c r="B48" s="1"/>
      <x:c r="C48" s="19" t="str">
        <x:v>INCOME STATEMENT</x:v>
      </x:c>
      <x:c r="D48" s="20"/>
      <x:c r="E48" s="20"/>
      <x:c r="F48" s="20"/>
      <x:c r="G48" s="20"/>
      <x:c r="H48" s="20"/>
      <x:c r="I48" s="20"/>
      <x:c r="J48" s="1"/>
      <x:c r="K48" s="1"/>
      <x:c r="M48" s="82" t="str">
        <x:v>DCF equity value | rows WACC / columns terminal growth</x:v>
      </x:c>
      <x:c r="N48" s="82"/>
      <x:c r="O48" s="82"/>
      <x:c r="P48" s="82"/>
      <x:c r="Q48" s="82"/>
      <x:c r="R48" s="82"/>
      <x:c r="S48" s="63"/>
      <x:c r="T48" s="63"/>
      <x:c r="U48" s="63"/>
      <x:c r="V48" s="63"/>
    </x:row>
    <x:row r="49" ht="18" customHeight="1">
      <x:c r="A49" s="1"/>
      <x:c r="B49" s="1"/>
      <x:c r="C49" s="1" t="str">
        <x:v>Direct cash costs</x:v>
      </x:c>
      <x:c r="D49" s="2"/>
      <x:c r="E49" s="8" t="n">
        <x:f>E47*E21</x:f>
        <x:v>707.7408</x:v>
      </x:c>
      <x:c r="F49" s="8" t="n">
        <x:f>F47*F21</x:f>
        <x:v>787.5739622400002</x:v>
      </x:c>
      <x:c r="G49" s="8" t="n">
        <x:f>G47*G21</x:f>
        <x:v>876.4123051806724</x:v>
      </x:c>
      <x:c r="H49" s="8" t="n">
        <x:f>H47*H21</x:f>
        <x:v>975.2716132050524</x:v>
      </x:c>
      <x:c r="I49" s="8" t="n">
        <x:f>I47*I21</x:f>
        <x:v>1085.2822511745821</x:v>
      </x:c>
      <x:c r="J49" s="1"/>
      <x:c r="K49" s="1"/>
      <x:c r="M49" s="63"/>
      <x:c r="N49" s="70" t="n">
        <x:f>$D$40+-0.01</x:f>
        <x:v>0.03</x:v>
      </x:c>
      <x:c r="O49" s="70" t="n">
        <x:f>$D$40+-0.005</x:f>
        <x:v>0.035</x:v>
      </x:c>
      <x:c r="P49" s="70" t="n">
        <x:f>$D$40+0</x:f>
        <x:v>0.04</x:v>
      </x:c>
      <x:c r="Q49" s="70" t="n">
        <x:f>$D$40+0.005</x:f>
        <x:v>0.045</x:v>
      </x:c>
      <x:c r="R49" s="70" t="n">
        <x:f>$D$40+0.01</x:f>
        <x:v>0.05</x:v>
      </x:c>
      <x:c r="S49" s="63"/>
      <x:c r="T49" s="63"/>
      <x:c r="U49" s="63"/>
      <x:c r="V49" s="63"/>
    </x:row>
    <x:row r="50" ht="18" customHeight="1">
      <x:c r="A50" s="1"/>
      <x:c r="B50" s="1"/>
      <x:c r="C50" s="1" t="str">
        <x:v>Gross profit</x:v>
      </x:c>
      <x:c r="D50" s="2"/>
      <x:c r="E50" s="8" t="n">
        <x:f>E47-E49</x:f>
        <x:v>627.6191999999999</x:v>
      </x:c>
      <x:c r="F50" s="8" t="n">
        <x:f>F47-F49</x:f>
        <x:v>698.4146457600001</x:v>
      </x:c>
      <x:c r="G50" s="8" t="n">
        <x:f>G47-G49</x:f>
        <x:v>777.1958178017284</x:v>
      </x:c>
      <x:c r="H50" s="8" t="n">
        <x:f>H47-H49</x:f>
        <x:v>864.8635060497633</x:v>
      </x:c>
      <x:c r="I50" s="8" t="n">
        <x:f>I47-I49</x:f>
        <x:v>962.4201095321766</x:v>
      </x:c>
      <x:c r="J50" s="1"/>
      <x:c r="K50" s="1"/>
      <x:c r="M50" s="70" t="n">
        <x:f>$D$39+-0.02</x:f>
        <x:v>0.09999999999999999</x:v>
      </x:c>
      <x:c r="N50" s="8" t="n">
        <x:f>IF($M50&lt;=N$49,"n/a",IF(N$49&gt;$D$41,"n/a",E77/(1+$M50)^1+F77/(1+$M50)^2+G77/(1+$M50)^3+H77/(1+$M50)^4+I77/(1+$M50)^5+I76*(1+N$49)*(1-N$49/D41)/($M50-N$49)/(1+$M50)^5-D35+D36))</x:f>
        <x:v>2808.1815837988815</x:v>
      </x:c>
      <x:c r="O50" s="8" t="n">
        <x:f>IF($M50&lt;=O$49,"n/a",IF(O$49&gt;$D$41,"n/a",E77/(1+$M50)^1+F77/(1+$M50)^2+G77/(1+$M50)^3+H77/(1+$M50)^4+I77/(1+$M50)^5+I76*(1+O$49)*(1-O$49/D41)/($M50-O$49)/(1+$M50)^5-D35+D36))</x:f>
        <x:v>2883.369631923004</x:v>
      </x:c>
      <x:c r="P50" s="8" t="n">
        <x:f>IF($M50&lt;=P$49,"n/a",IF(P$49&gt;$D$41,"n/a",E77/(1+$M50)^1+F77/(1+$M50)^2+G77/(1+$M50)^3+H77/(1+$M50)^4+I77/(1+$M50)^5+I76*(1+P$49)*(1-P$49/D41)/($M50-P$49)/(1+$M50)^5-D35+D36))</x:f>
        <x:v>2970.1315469568012</x:v>
      </x:c>
      <x:c r="Q50" s="8" t="n">
        <x:f>IF($M50&lt;=Q$49,"n/a",IF(Q$49&gt;$D$41,"n/a",E77/(1+$M50)^1+F77/(1+$M50)^2+G77/(1+$M50)^3+H77/(1+$M50)^4+I77/(1+$M50)^5+I76*(1+Q$49)*(1-Q$49/D41)/($M50-Q$49)/(1+$M50)^5-D35+D36))</x:f>
        <x:v>3071.6238380574564</x:v>
      </x:c>
      <x:c r="R50" s="8" t="n">
        <x:f>IF($M50&lt;=R$49,"n/a",IF(R$49&gt;$D$41,"n/a",E77/(1+$M50)^1+F77/(1+$M50)^2+G77/(1+$M50)^3+H77/(1+$M50)^4+I77/(1+$M50)^5+I76*(1+R$49)*(1-R$49/D41)/($M50-R$49)/(1+$M50)^5-D35+D36))</x:f>
        <x:v>3192.2656180450285</x:v>
      </x:c>
      <x:c r="S50" s="63"/>
      <x:c r="T50" s="63"/>
      <x:c r="U50" s="63"/>
      <x:c r="V50" s="63"/>
    </x:row>
    <x:row r="51" ht="18" customHeight="1">
      <x:c r="A51" s="1"/>
      <x:c r="B51" s="1"/>
      <x:c r="C51" s="1" t="str">
        <x:v>Other cash operating costs</x:v>
      </x:c>
      <x:c r="D51" s="2"/>
      <x:c r="E51" s="8" t="n">
        <x:f>E47*E22</x:f>
        <x:v>320.48639999999995</x:v>
      </x:c>
      <x:c r="F51" s="8" t="n">
        <x:f>F47*F22</x:f>
        <x:v>356.63726592000006</x:v>
      </x:c>
      <x:c r="G51" s="8" t="n">
        <x:f>G47*G22</x:f>
        <x:v>396.86594951577615</x:v>
      </x:c>
      <x:c r="H51" s="8" t="n">
        <x:f>H47*H22</x:f>
        <x:v>441.6324286211557</x:v>
      </x:c>
      <x:c r="I51" s="8" t="n">
        <x:f>I47*I22</x:f>
        <x:v>491.4485665696221</x:v>
      </x:c>
      <x:c r="J51" s="1"/>
      <x:c r="K51" s="1"/>
      <x:c r="M51" s="70" t="n">
        <x:f>$D$39+-0.01</x:f>
        <x:v>0.11</x:v>
      </x:c>
      <x:c r="N51" s="8" t="n">
        <x:f>IF($M51&lt;=N$49,"n/a",IF(N$49&gt;$D$41,"n/a",E77/(1+$M51)^1+F77/(1+$M51)^2+G77/(1+$M51)^3+H77/(1+$M51)^4+I77/(1+$M51)^5+I76*(1+N$49)*(1-N$49/D41)/($M51-N$49)/(1+$M51)^5-D35+D36))</x:f>
        <x:v>2452.66521127501</x:v>
      </x:c>
      <x:c r="O51" s="8" t="n">
        <x:f>IF($M51&lt;=O$49,"n/a",IF(O$49&gt;$D$41,"n/a",E77/(1+$M51)^1+F77/(1+$M51)^2+G77/(1+$M51)^3+H77/(1+$M51)^4+I77/(1+$M51)^5+I76*(1+O$49)*(1-O$49/D41)/($M51-O$49)/(1+$M51)^5-D35+D36))</x:f>
        <x:v>2498.7870124721326</x:v>
      </x:c>
      <x:c r="P51" s="8" t="n">
        <x:f>IF($M51&lt;=P$49,"n/a",IF(P$49&gt;$D$41,"n/a",E77/(1+$M51)^1+F77/(1+$M51)^2+G77/(1+$M51)^3+H77/(1+$M51)^4+I77/(1+$M51)^5+I76*(1+P$49)*(1-P$49/D41)/($M51-P$49)/(1+$M51)^5-D35+D36))</x:f>
        <x:v>2550.713258037602</x:v>
      </x:c>
      <x:c r="Q51" s="8" t="n">
        <x:f>IF($M51&lt;=Q$49,"n/a",IF(Q$49&gt;$D$41,"n/a",E77/(1+$M51)^1+F77/(1+$M51)^2+G77/(1+$M51)^3+H77/(1+$M51)^4+I77/(1+$M51)^5+I76*(1+Q$49)*(1-Q$49/D41)/($M51-Q$49)/(1+$M51)^5-D35+D36))</x:f>
        <x:v>2609.7834351333413</x:v>
      </x:c>
      <x:c r="R51" s="8" t="n">
        <x:f>IF($M51&lt;=R$49,"n/a",IF(R$49&gt;$D$41,"n/a",E77/(1+$M51)^1+F77/(1+$M51)^2+G77/(1+$M51)^3+H77/(1+$M51)^4+I77/(1+$M51)^5+I76*(1+R$49)*(1-R$49/D41)/($M51-R$49)/(1+$M51)^5-D35+D36))</x:f>
        <x:v>2677.7835266419215</x:v>
      </x:c>
      <x:c r="S51" s="63"/>
      <x:c r="T51" s="63"/>
      <x:c r="U51" s="63"/>
      <x:c r="V51" s="63"/>
    </x:row>
    <x:row r="52" ht="18" customHeight="1">
      <x:c r="A52" s="1"/>
      <x:c r="B52" s="1"/>
      <x:c r="C52" s="38" t="str">
        <x:v>EBITDA</x:v>
      </x:c>
      <x:c r="D52" s="39"/>
      <x:c r="E52" s="41" t="n">
        <x:f>E50-E51</x:f>
        <x:v>307.1327999999999</x:v>
      </x:c>
      <x:c r="F52" s="41" t="n">
        <x:f>F50-F51</x:f>
        <x:v>341.77737984000004</x:v>
      </x:c>
      <x:c r="G52" s="41" t="n">
        <x:f>G50-G51</x:f>
        <x:v>380.3298682859522</x:v>
      </x:c>
      <x:c r="H52" s="41" t="n">
        <x:f>H50-H51</x:f>
        <x:v>423.23107742860753</x:v>
      </x:c>
      <x:c r="I52" s="41" t="n">
        <x:f>I50-I51</x:f>
        <x:v>470.97154296255457</x:v>
      </x:c>
      <x:c r="J52" s="1"/>
      <x:c r="K52" s="1"/>
      <x:c r="M52" s="70" t="n">
        <x:f>$D$39+0</x:f>
        <x:v>0.12</x:v>
      </x:c>
      <x:c r="N52" s="8" t="n">
        <x:f>IF($M52&lt;=N$49,"n/a",IF(N$49&gt;$D$41,"n/a",E77/(1+$M52)^1+F77/(1+$M52)^2+G77/(1+$M52)^3+H77/(1+$M52)^4+I77/(1+$M52)^5+I76*(1+N$49)*(1-N$49/D41)/($M52-N$49)/(1+$M52)^5-D35+D36))</x:f>
        <x:v>2175.5870270957953</x:v>
      </x:c>
      <x:c r="O52" s="8" t="n">
        <x:f>IF($M52&lt;=O$49,"n/a",IF(O$49&gt;$D$41,"n/a",E77/(1+$M52)^1+F77/(1+$M52)^2+G77/(1+$M52)^3+H77/(1+$M52)^4+I77/(1+$M52)^5+I76*(1+O$49)*(1-O$49/D41)/($M52-O$49)/(1+$M52)^5-D35+D36))</x:f>
        <x:v>2203.8953585329396</x:v>
      </x:c>
      <x:c r="P52" s="8" t="n">
        <x:f>IF($M52&lt;=P$49,"n/a",IF(P$49&gt;$D$41,"n/a",E77/(1+$M52)^1+F77/(1+$M52)^2+G77/(1+$M52)^3+H77/(1+$M52)^4+I77/(1+$M52)^5+I76*(1+P$49)*(1-P$49/D41)/($M52-P$49)/(1+$M52)^5-D35+D36))</x:f>
        <x:v>2235.085992807321</x:v>
      </x:c>
      <x:c r="Q52" s="8" t="n">
        <x:f>IF($M52&lt;=Q$49,"n/a",IF(Q$49&gt;$D$41,"n/a",E77/(1+$M52)^1+F77/(1+$M52)^2+G77/(1+$M52)^3+H77/(1+$M52)^4+I77/(1+$M52)^5+I76*(1+Q$49)*(1-Q$49/D41)/($M52-Q$49)/(1+$M52)^5-D35+D36))</x:f>
        <x:v>2269.7353904863853</x:v>
      </x:c>
      <x:c r="R52" s="8" t="n">
        <x:f>IF($M52&lt;=R$49,"n/a",IF(R$49&gt;$D$41,"n/a",E77/(1+$M52)^1+F77/(1+$M52)^2+G77/(1+$M52)^3+H77/(1+$M52)^4+I77/(1+$M52)^5+I76*(1+R$49)*(1-R$49/D41)/($M52-R$49)/(1+$M52)^5-D35+D36))</x:f>
        <x:v>2308.5847151568523</x:v>
      </x:c>
      <x:c r="S52" s="63"/>
      <x:c r="T52" s="63"/>
      <x:c r="U52" s="63"/>
      <x:c r="V52" s="63"/>
    </x:row>
    <x:row r="53" ht="18" customHeight="1">
      <x:c r="A53" s="1"/>
      <x:c r="B53" s="1"/>
      <x:c r="C53" s="1" t="str">
        <x:v>Depreciation and amortization</x:v>
      </x:c>
      <x:c r="D53" s="2"/>
      <x:c r="E53" s="8" t="n">
        <x:f>E134</x:f>
        <x:v>120</x:v>
      </x:c>
      <x:c r="F53" s="8" t="n">
        <x:f>F134</x:f>
        <x:v>112.810944</x:v>
      </x:c>
      <x:c r="G53" s="8" t="n">
        <x:f>G134</x:f>
        <x:v>107.2979692032</x:v>
      </x:c>
      <x:c r="H53" s="8" t="n">
        <x:f>H134</x:f>
        <x:v>103.35169676292097</x:v>
      </x:c>
      <x:c r="I53" s="8" t="n">
        <x:f>I134</x:f>
        <x:v>100.88622279534646</x:v>
      </x:c>
      <x:c r="J53" s="1"/>
      <x:c r="K53" s="1"/>
      <x:c r="M53" s="70" t="n">
        <x:f>$D$39+0.01</x:f>
        <x:v>0.13</x:v>
      </x:c>
      <x:c r="N53" s="8" t="n">
        <x:f>IF($M53&lt;=N$49,"n/a",IF(N$49&gt;$D$41,"n/a",E77/(1+$M53)^1+F77/(1+$M53)^2+G77/(1+$M53)^3+H77/(1+$M53)^4+I77/(1+$M53)^5+I76*(1+N$49)*(1-N$49/D41)/($M53-N$49)/(1+$M53)^5-D35+D36))</x:f>
        <x:v>1953.4518794842425</x:v>
      </x:c>
      <x:c r="O53" s="8" t="n">
        <x:f>IF($M53&lt;=O$49,"n/a",IF(O$49&gt;$D$41,"n/a",E77/(1+$M53)^1+F77/(1+$M53)^2+G77/(1+$M53)^3+H77/(1+$M53)^4+I77/(1+$M53)^5+I76*(1+O$49)*(1-O$49/D41)/($M53-O$49)/(1+$M53)^5-D35+D36))</x:f>
        <x:v>1970.419895953963</x:v>
      </x:c>
      <x:c r="P53" s="8" t="n">
        <x:f>IF($M53&lt;=P$49,"n/a",IF(P$49&gt;$D$41,"n/a",E77/(1+$M53)^1+F77/(1+$M53)^2+G77/(1+$M53)^3+H77/(1+$M53)^4+I77/(1+$M53)^5+I76*(1+P$49)*(1-P$49/D41)/($M53-P$49)/(1+$M53)^5-D35+D36))</x:f>
        <x:v>1988.7152823517422</x:v>
      </x:c>
      <x:c r="Q53" s="8" t="n">
        <x:f>IF($M53&lt;=Q$49,"n/a",IF(Q$49&gt;$D$41,"n/a",E77/(1+$M53)^1+F77/(1+$M53)^2+G77/(1+$M53)^3+H77/(1+$M53)^4+I77/(1+$M53)^5+I76*(1+Q$49)*(1-Q$49/D41)/($M53-Q$49)/(1+$M53)^5-D35+D36))</x:f>
        <x:v>2008.5722804295874</x:v>
      </x:c>
      <x:c r="R53" s="8" t="n">
        <x:f>IF($M53&lt;=R$49,"n/a",IF(R$49&gt;$D$41,"n/a",E77/(1+$M53)^1+F77/(1+$M53)^2+G77/(1+$M53)^3+H77/(1+$M53)^4+I77/(1+$M53)^5+I76*(1+R$49)*(1-R$49/D41)/($M53-R$49)/(1+$M53)^5-D35+D36))</x:f>
        <x:v>2030.283692377513</x:v>
      </x:c>
      <x:c r="S53" s="63"/>
      <x:c r="T53" s="63"/>
      <x:c r="U53" s="63"/>
      <x:c r="V53" s="63"/>
    </x:row>
    <x:row r="54" ht="18" customHeight="1">
      <x:c r="A54" s="1"/>
      <x:c r="B54" s="1"/>
      <x:c r="C54" s="1" t="str">
        <x:v>EBIT</x:v>
      </x:c>
      <x:c r="D54" s="2"/>
      <x:c r="E54" s="8" t="n">
        <x:f>E52-E53</x:f>
        <x:v>187.13279999999992</x:v>
      </x:c>
      <x:c r="F54" s="8" t="n">
        <x:f>F52-F53</x:f>
        <x:v>228.96643584000003</x:v>
      </x:c>
      <x:c r="G54" s="8" t="n">
        <x:f>G52-G53</x:f>
        <x:v>273.0318990827522</x:v>
      </x:c>
      <x:c r="H54" s="8" t="n">
        <x:f>H52-H53</x:f>
        <x:v>319.87938066568654</x:v>
      </x:c>
      <x:c r="I54" s="8" t="n">
        <x:f>I52-I53</x:f>
        <x:v>370.0853201672081</x:v>
      </x:c>
      <x:c r="J54" s="1"/>
      <x:c r="K54" s="1"/>
      <x:c r="M54" s="70" t="n">
        <x:f>$D$39+0.02</x:f>
        <x:v>0.13999999999999999</x:v>
      </x:c>
      <x:c r="N54" s="8" t="n">
        <x:f>IF($M54&lt;=N$49,"n/a",IF(N$49&gt;$D$41,"n/a",E77/(1+$M54)^1+F77/(1+$M54)^2+G77/(1+$M54)^3+H77/(1+$M54)^4+I77/(1+$M54)^5+I76*(1+N$49)*(1-N$49/D41)/($M54-N$49)/(1+$M54)^5-D35+D36))</x:f>
        <x:v>1771.3058293737597</x:v>
      </x:c>
      <x:c r="O54" s="8" t="n">
        <x:f>IF($M54&lt;=O$49,"n/a",IF(O$49&gt;$D$41,"n/a",E77/(1+$M54)^1+F77/(1+$M54)^2+G77/(1+$M54)^3+H77/(1+$M54)^4+I77/(1+$M54)^5+I76*(1+O$49)*(1-O$49/D41)/($M54-O$49)/(1+$M54)^5-D35+D36))</x:f>
        <x:v>1780.8539592180666</x:v>
      </x:c>
      <x:c r="P54" s="8" t="n">
        <x:f>IF($M54&lt;=P$49,"n/a",IF(P$49&gt;$D$41,"n/a",E77/(1+$M54)^1+F77/(1+$M54)^2+G77/(1+$M54)^3+H77/(1+$M54)^4+I77/(1+$M54)^5+I76*(1+P$49)*(1-P$49/D41)/($M54-P$49)/(1+$M54)^5-D35+D36))</x:f>
        <x:v>1790.8763752507186</x:v>
      </x:c>
      <x:c r="Q54" s="8" t="n">
        <x:f>IF($M54&lt;=Q$49,"n/a",IF(Q$49&gt;$D$41,"n/a",E77/(1+$M54)^1+F77/(1+$M54)^2+G77/(1+$M54)^3+H77/(1+$M54)^4+I77/(1+$M54)^5+I76*(1+Q$49)*(1-Q$49/D41)/($M54-Q$49)/(1+$M54)^5-D35+D36))</x:f>
        <x:v>1801.4479647646115</x:v>
      </x:c>
      <x:c r="R54" s="8" t="n">
        <x:f>IF($M54&lt;=R$49,"n/a",IF(R$49&gt;$D$41,"n/a",E77/(1+$M54)^1+F77/(1+$M54)^2+G77/(1+$M54)^3+H77/(1+$M54)^4+I77/(1+$M54)^5+I76*(1+R$49)*(1-R$49/D41)/($M54-R$49)/(1+$M54)^5-D35+D36))</x:f>
        <x:v>1812.6602566732859</x:v>
      </x:c>
      <x:c r="S54" s="63"/>
      <x:c r="T54" s="63"/>
      <x:c r="U54" s="63"/>
      <x:c r="V54" s="63"/>
    </x:row>
    <x:row r="55" ht="18" customHeight="1">
      <x:c r="A55" s="1"/>
      <x:c r="B55" s="1"/>
      <x:c r="C55" s="1" t="str">
        <x:v>Interest expense</x:v>
      </x:c>
      <x:c r="D55" s="2"/>
      <x:c r="E55" s="8" t="n">
        <x:f>E125</x:f>
        <x:v>25.500000000000004</x:v>
      </x:c>
      <x:c r="F55" s="8" t="n">
        <x:f>F125</x:f>
        <x:v>22.950000000000003</x:v>
      </x:c>
      <x:c r="G55" s="8" t="n">
        <x:f>G125</x:f>
        <x:v>20.400000000000002</x:v>
      </x:c>
      <x:c r="H55" s="8" t="n">
        <x:f>H125</x:f>
        <x:v>17.85</x:v>
      </x:c>
      <x:c r="I55" s="8" t="n">
        <x:f>I125</x:f>
        <x:v>15.3</x:v>
      </x:c>
      <x:c r="J55" s="1"/>
      <x:c r="K55" s="1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</x:row>
    <x:row r="56" ht="18" customHeight="1">
      <x:c r="A56" s="1"/>
      <x:c r="B56" s="1"/>
      <x:c r="C56" s="1" t="str">
        <x:v>Profit before tax</x:v>
      </x:c>
      <x:c r="D56" s="2"/>
      <x:c r="E56" s="8" t="n">
        <x:f>E54-E55</x:f>
        <x:v>161.63279999999992</x:v>
      </x:c>
      <x:c r="F56" s="8" t="n">
        <x:f>F54-F55</x:f>
        <x:v>206.01643584000004</x:v>
      </x:c>
      <x:c r="G56" s="8" t="n">
        <x:f>G54-G55</x:f>
        <x:v>252.6318990827522</x:v>
      </x:c>
      <x:c r="H56" s="8" t="n">
        <x:f>H54-H55</x:f>
        <x:v>302.0293806656865</x:v>
      </x:c>
      <x:c r="I56" s="8" t="n">
        <x:f>I54-I55</x:f>
        <x:v>354.7853201672081</x:v>
      </x:c>
      <x:c r="J56" s="1"/>
      <x:c r="K56" s="1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</x:row>
    <x:row r="57" ht="18" customHeight="1">
      <x:c r="A57" s="1"/>
      <x:c r="B57" s="1"/>
      <x:c r="C57" s="1" t="str">
        <x:v>Cash income tax</x:v>
      </x:c>
      <x:c r="D57" s="2"/>
      <x:c r="E57" s="8" t="n">
        <x:f>E144</x:f>
        <x:v>40.40819999999998</x:v>
      </x:c>
      <x:c r="F57" s="8" t="n">
        <x:f>F144</x:f>
        <x:v>51.50410896000001</x:v>
      </x:c>
      <x:c r="G57" s="8" t="n">
        <x:f>G144</x:f>
        <x:v>63.15797477068805</x:v>
      </x:c>
      <x:c r="H57" s="8" t="n">
        <x:f>H144</x:f>
        <x:v>75.50734516642163</x:v>
      </x:c>
      <x:c r="I57" s="8" t="n">
        <x:f>I144</x:f>
        <x:v>88.69633004180203</x:v>
      </x:c>
      <x:c r="J57" s="1"/>
      <x:c r="K57" s="1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</x:row>
    <x:row r="58" ht="25" customHeight="1">
      <x:c r="A58" s="1"/>
      <x:c r="B58" s="1"/>
      <x:c r="C58" s="38" t="str">
        <x:v>Profit after tax</x:v>
      </x:c>
      <x:c r="D58" s="39"/>
      <x:c r="E58" s="41" t="n">
        <x:f>E56-E57</x:f>
        <x:v>121.22459999999994</x:v>
      </x:c>
      <x:c r="F58" s="41" t="n">
        <x:f>F56-F57</x:f>
        <x:v>154.51232688000005</x:v>
      </x:c>
      <x:c r="G58" s="41" t="n">
        <x:f>G56-G57</x:f>
        <x:v>189.47392431206416</x:v>
      </x:c>
      <x:c r="H58" s="41" t="n">
        <x:f>H56-H57</x:f>
        <x:v>226.5220354992649</x:v>
      </x:c>
      <x:c r="I58" s="41" t="n">
        <x:f>I56-I57</x:f>
        <x:v>266.0889901254061</x:v>
      </x:c>
      <x:c r="J58" s="1"/>
      <x:c r="K58" s="1"/>
      <x:c r="M58" s="82" t="str">
        <x:v>Forward equity value | rows EBITDA / columns EV/EBITDA</x:v>
      </x:c>
      <x:c r="N58" s="82"/>
      <x:c r="O58" s="82"/>
      <x:c r="P58" s="82"/>
      <x:c r="Q58" s="82"/>
      <x:c r="R58" s="82"/>
      <x:c r="S58" s="63"/>
      <x:c r="T58" s="63"/>
      <x:c r="U58" s="63"/>
      <x:c r="V58" s="63"/>
    </x:row>
    <x:row r="59" ht="18" customHeight="1">
      <x:c r="A59" s="1"/>
      <x:c r="B59" s="1"/>
      <x:c r="C59" s="19" t="str">
        <x:v>WORKING CAPITAL AND ASSET SCHEDULES</x:v>
      </x:c>
      <x:c r="D59" s="20"/>
      <x:c r="E59" s="20"/>
      <x:c r="F59" s="20"/>
      <x:c r="G59" s="20"/>
      <x:c r="H59" s="20"/>
      <x:c r="I59" s="20"/>
      <x:c r="J59" s="1"/>
      <x:c r="K59" s="1"/>
      <x:c r="M59" s="63"/>
      <x:c r="N59" s="78" t="n">
        <x:f>MAX(0,D42+-2)</x:f>
        <x:v>22</x:v>
      </x:c>
      <x:c r="O59" s="78" t="n">
        <x:f>MAX(0,D42+-1)</x:f>
        <x:v>23</x:v>
      </x:c>
      <x:c r="P59" s="78" t="n">
        <x:f>MAX(0,D42+0)</x:f>
        <x:v>24</x:v>
      </x:c>
      <x:c r="Q59" s="78" t="n">
        <x:f>MAX(0,D42+1)</x:f>
        <x:v>25</x:v>
      </x:c>
      <x:c r="R59" s="78" t="n">
        <x:f>MAX(0,D42+2)</x:f>
        <x:v>26</x:v>
      </x:c>
      <x:c r="S59" s="63"/>
      <x:c r="T59" s="63"/>
      <x:c r="U59" s="63"/>
      <x:c r="V59" s="63"/>
    </x:row>
    <x:row r="60" ht="18" customHeight="1">
      <x:c r="A60" s="1"/>
      <x:c r="B60" s="1"/>
      <x:c r="C60" s="1" t="str">
        <x:v>Trade receivables</x:v>
      </x:c>
      <x:c r="D60" s="2"/>
      <x:c r="E60" s="10" t="n">
        <x:f>E47*E25/'Controls'!$E$11</x:f>
        <x:v>54.87780821917808</x:v>
      </x:c>
      <x:c r="F60" s="10" t="n">
        <x:f>F47*F25/'Controls'!$E$11</x:f>
        <x:v>61.06802498630139</x:v>
      </x:c>
      <x:c r="G60" s="10" t="n">
        <x:f>G47*G25/'Controls'!$E$11</x:f>
        <x:v>67.9564982047562</x:v>
      </x:c>
      <x:c r="H60" s="10" t="n">
        <x:f>H47*H25/'Controls'!$E$11</x:f>
        <x:v>75.6219912022527</x:v>
      </x:c>
      <x:c r="I60" s="10" t="n">
        <x:f>I47*I25/'Controls'!$E$11</x:f>
        <x:v>84.1521518098668</x:v>
      </x:c>
      <x:c r="J60" s="1"/>
      <x:c r="K60" s="1"/>
      <x:c r="M60" s="8" t="n">
        <x:f>E52*0.8</x:f>
        <x:v>245.70623999999995</x:v>
      </x:c>
      <x:c r="N60" s="8" t="n">
        <x:f>$M60*N$59-D35+D36</x:f>
        <x:v>5305.537279999999</x:v>
      </x:c>
      <x:c r="O60" s="8" t="n">
        <x:f>$M60*O$59-D35+D36</x:f>
        <x:v>5551.243519999999</x:v>
      </x:c>
      <x:c r="P60" s="8" t="n">
        <x:f>$M60*P$59-D35+D36</x:f>
        <x:v>5796.949759999999</x:v>
      </x:c>
      <x:c r="Q60" s="8" t="n">
        <x:f>$M60*Q$59-D35+D36</x:f>
        <x:v>6042.655999999999</x:v>
      </x:c>
      <x:c r="R60" s="8" t="n">
        <x:f>$M60*R$59-D35+D36</x:f>
        <x:v>6288.362239999999</x:v>
      </x:c>
      <x:c r="S60" s="63"/>
      <x:c r="T60" s="63"/>
      <x:c r="U60" s="63"/>
      <x:c r="V60" s="63"/>
    </x:row>
    <x:row r="61" ht="18" customHeight="1">
      <x:c r="A61" s="1"/>
      <x:c r="B61" s="1"/>
      <x:c r="C61" s="1" t="str">
        <x:v>Inventory</x:v>
      </x:c>
      <x:c r="D61" s="2"/>
      <x:c r="E61" s="10" t="n">
        <x:f>E49*E26/'Controls'!$E$11</x:f>
        <x:v>87.25571506849316</x:v>
      </x:c>
      <x:c r="F61" s="10" t="n">
        <x:f>F49*F26/'Controls'!$E$11</x:f>
        <x:v>97.09815972821922</x:v>
      </x:c>
      <x:c r="G61" s="10" t="n">
        <x:f>G49*G26/'Controls'!$E$11</x:f>
        <x:v>108.05083214556237</x:v>
      </x:c>
      <x:c r="H61" s="10" t="n">
        <x:f>H49*H26/'Controls'!$E$11</x:f>
        <x:v>120.23896601158181</x:v>
      </x:c>
      <x:c r="I61" s="10" t="n">
        <x:f>I49*I26/'Controls'!$E$11</x:f>
        <x:v>133.80192137768822</x:v>
      </x:c>
      <x:c r="J61" s="1"/>
      <x:c r="K61" s="1"/>
      <x:c r="M61" s="8" t="n">
        <x:f>E52*0.9</x:f>
        <x:v>276.4195199999999</x:v>
      </x:c>
      <x:c r="N61" s="8" t="n">
        <x:f>$M61*N$59-D35+D36</x:f>
        <x:v>5981.229439999998</x:v>
      </x:c>
      <x:c r="O61" s="8" t="n">
        <x:f>$M61*O$59-D35+D36</x:f>
        <x:v>6257.648959999999</x:v>
      </x:c>
      <x:c r="P61" s="8" t="n">
        <x:f>$M61*P$59-D35+D36</x:f>
        <x:v>6534.068479999998</x:v>
      </x:c>
      <x:c r="Q61" s="8" t="n">
        <x:f>$M61*Q$59-D35+D36</x:f>
        <x:v>6810.487999999998</x:v>
      </x:c>
      <x:c r="R61" s="8" t="n">
        <x:f>$M61*R$59-D35+D36</x:f>
        <x:v>7086.907519999998</x:v>
      </x:c>
      <x:c r="S61" s="63"/>
      <x:c r="T61" s="63"/>
      <x:c r="U61" s="63"/>
      <x:c r="V61" s="63"/>
    </x:row>
    <x:row r="62" ht="18" customHeight="1">
      <x:c r="A62" s="1"/>
      <x:c r="B62" s="1"/>
      <x:c r="C62" s="1" t="str">
        <x:v>Trade payables</x:v>
      </x:c>
      <x:c r="D62" s="2"/>
      <x:c r="E62" s="10" t="n">
        <x:f>E49*E27/'Controls'!$E$11</x:f>
        <x:v>106.64587397260274</x:v>
      </x:c>
      <x:c r="F62" s="10" t="n">
        <x:f>F49*F27/'Controls'!$E$11</x:f>
        <x:v>118.67552855671237</x:v>
      </x:c>
      <x:c r="G62" s="10" t="n">
        <x:f>G49*G27/'Controls'!$E$11</x:f>
        <x:v>132.06212817790956</x:v>
      </x:c>
      <x:c r="H62" s="10" t="n">
        <x:f>H49*H27/'Controls'!$E$11</x:f>
        <x:v>146.95873623637777</x:v>
      </x:c>
      <x:c r="I62" s="10" t="n">
        <x:f>I49*I27/'Controls'!$E$11</x:f>
        <x:v>163.53568168384115</x:v>
      </x:c>
      <x:c r="J62" s="1"/>
      <x:c r="K62" s="1"/>
      <x:c r="M62" s="8" t="n">
        <x:f>E52*1</x:f>
        <x:v>307.1327999999999</x:v>
      </x:c>
      <x:c r="N62" s="8" t="n">
        <x:f>$M62*N$59-D35+D36</x:f>
        <x:v>6656.921599999998</x:v>
      </x:c>
      <x:c r="O62" s="8" t="n">
        <x:f>$M62*O$59-D35+D36</x:f>
        <x:v>6964.054399999998</x:v>
      </x:c>
      <x:c r="P62" s="8" t="n">
        <x:f>$M62*P$59-D35+D36</x:f>
        <x:v>7271.1871999999985</x:v>
      </x:c>
      <x:c r="Q62" s="8" t="n">
        <x:f>$M62*Q$59-D35+D36</x:f>
        <x:v>7578.319999999998</x:v>
      </x:c>
      <x:c r="R62" s="8" t="n">
        <x:f>$M62*R$59-D35+D36</x:f>
        <x:v>7885.452799999998</x:v>
      </x:c>
      <x:c r="S62" s="63"/>
      <x:c r="T62" s="63"/>
      <x:c r="U62" s="63"/>
      <x:c r="V62" s="63"/>
    </x:row>
    <x:row r="63" ht="18" customHeight="1">
      <x:c r="A63" s="1"/>
      <x:c r="B63" s="1"/>
      <x:c r="C63" s="1" t="str">
        <x:v>Net working capital</x:v>
      </x:c>
      <x:c r="D63" s="2"/>
      <x:c r="E63" s="8" t="n">
        <x:f>E60+E61-E62</x:f>
        <x:v>35.487649315068495</x:v>
      </x:c>
      <x:c r="F63" s="8" t="n">
        <x:f>F60+F61-F62</x:f>
        <x:v>39.49065615780823</x:v>
      </x:c>
      <x:c r="G63" s="8" t="n">
        <x:f>G60+G61-G62</x:f>
        <x:v>43.94520217240901</x:v>
      </x:c>
      <x:c r="H63" s="8" t="n">
        <x:f>H60+H61-H62</x:f>
        <x:v>48.90222097745675</x:v>
      </x:c>
      <x:c r="I63" s="8" t="n">
        <x:f>I60+I61-I62</x:f>
        <x:v>54.41839150371388</x:v>
      </x:c>
      <x:c r="J63" s="1"/>
      <x:c r="K63" s="1"/>
      <x:c r="M63" s="8" t="n">
        <x:f>E52*1.1</x:f>
        <x:v>337.8460799999999</x:v>
      </x:c>
      <x:c r="N63" s="8" t="n">
        <x:f>$M63*N$59-D35+D36</x:f>
        <x:v>7332.613759999998</x:v>
      </x:c>
      <x:c r="O63" s="8" t="n">
        <x:f>$M63*O$59-D35+D36</x:f>
        <x:v>7670.459839999998</x:v>
      </x:c>
      <x:c r="P63" s="8" t="n">
        <x:f>$M63*P$59-D35+D36</x:f>
        <x:v>8008.305919999998</x:v>
      </x:c>
      <x:c r="Q63" s="8" t="n">
        <x:f>$M63*Q$59-D35+D36</x:f>
        <x:v>8346.151999999998</x:v>
      </x:c>
      <x:c r="R63" s="8" t="n">
        <x:f>$M63*R$59-D35+D36</x:f>
        <x:v>8683.998079999998</x:v>
      </x:c>
      <x:c r="S63" s="63"/>
      <x:c r="T63" s="63"/>
      <x:c r="U63" s="63"/>
      <x:c r="V63" s="63"/>
    </x:row>
    <x:row r="64" ht="18" customHeight="1">
      <x:c r="A64" s="1"/>
      <x:c r="B64" s="1"/>
      <x:c r="C64" s="1" t="str">
        <x:v>Increase in net working capital</x:v>
      </x:c>
      <x:c r="D64" s="2"/>
      <x:c r="E64" s="8" t="n">
        <x:f>E63-$D37</x:f>
        <x:v>3.597238356164386</x:v>
      </x:c>
      <x:c r="F64" s="8" t="n">
        <x:f>F63-E63</x:f>
        <x:v>4.003006842739737</x:v>
      </x:c>
      <x:c r="G64" s="8" t="n">
        <x:f>G63-F63</x:f>
        <x:v>4.45454601460078</x:v>
      </x:c>
      <x:c r="H64" s="8" t="n">
        <x:f>H63-G63</x:f>
        <x:v>4.957018805047738</x:v>
      </x:c>
      <x:c r="I64" s="8" t="n">
        <x:f>I63-H63</x:f>
        <x:v>5.5161705262571274</x:v>
      </x:c>
      <x:c r="J64" s="1"/>
      <x:c r="K64" s="1"/>
      <x:c r="M64" s="8" t="n">
        <x:f>E52*1.2</x:f>
        <x:v>368.5593599999999</x:v>
      </x:c>
      <x:c r="N64" s="8" t="n">
        <x:f>$M64*N$59-D35+D36</x:f>
        <x:v>8008.305919999998</x:v>
      </x:c>
      <x:c r="O64" s="8" t="n">
        <x:f>$M64*O$59-D35+D36</x:f>
        <x:v>8376.865279999998</x:v>
      </x:c>
      <x:c r="P64" s="8" t="n">
        <x:f>$M64*P$59-D35+D36</x:f>
        <x:v>8745.424639999997</x:v>
      </x:c>
      <x:c r="Q64" s="8" t="n">
        <x:f>$M64*Q$59-D35+D36</x:f>
        <x:v>9113.983999999999</x:v>
      </x:c>
      <x:c r="R64" s="8" t="n">
        <x:f>$M64*R$59-D35+D36</x:f>
        <x:v>9482.543359999998</x:v>
      </x:c>
      <x:c r="S64" s="63"/>
      <x:c r="T64" s="63"/>
      <x:c r="U64" s="63"/>
      <x:c r="V64" s="63"/>
    </x:row>
    <x:row r="65" ht="18" customHeight="1">
      <x:c r="A65" s="1"/>
      <x:c r="B65" s="1"/>
      <x:c r="C65" s="1" t="str">
        <x:v>Capital expenditure</x:v>
      </x:c>
      <x:c r="D65" s="2"/>
      <x:c r="E65" s="8" t="n">
        <x:f>E47*E23</x:f>
        <x:v>60.09119999999999</x:v>
      </x:c>
      <x:c r="F65" s="8" t="n">
        <x:f>F47*F23</x:f>
        <x:v>66.86948736000001</x:v>
      </x:c>
      <x:c r="G65" s="8" t="n">
        <x:f>G47*G23</x:f>
        <x:v>74.41236553420804</x:v>
      </x:c>
      <x:c r="H65" s="8" t="n">
        <x:f>H47*H23</x:f>
        <x:v>82.8060803664667</x:v>
      </x:c>
      <x:c r="I65" s="8" t="n">
        <x:f>I47*I23</x:f>
        <x:v>92.14660623180414</x:v>
      </x:c>
      <x:c r="J65" s="1"/>
      <x:c r="K65" s="1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</x:row>
    <x:row r="66" ht="18" customHeight="1">
      <x:c r="A66" s="1"/>
      <x:c r="B66" s="1"/>
      <x:c r="C66" s="1" t="str">
        <x:v>Closing net PP&amp;E</x:v>
      </x:c>
      <x:c r="D66" s="2"/>
      <x:c r="E66" s="8" t="n">
        <x:f>E135</x:f>
        <x:v>940.0912000000001</x:v>
      </x:c>
      <x:c r="F66" s="8" t="n">
        <x:f>F135</x:f>
        <x:v>894.14974336</x:v>
      </x:c>
      <x:c r="G66" s="8" t="n">
        <x:f>G135</x:f>
        <x:v>861.264139691008</x:v>
      </x:c>
      <x:c r="H66" s="8" t="n">
        <x:f>H135</x:f>
        <x:v>840.7185232945538</x:v>
      </x:c>
      <x:c r="I66" s="8" t="n">
        <x:f>I135</x:f>
        <x:v>831.9789067310115</x:v>
      </x:c>
      <x:c r="J66" s="1"/>
      <x:c r="K66" s="1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</x:row>
    <x:row r="67" ht="18" customHeight="1">
      <x:c r="A67" s="1"/>
      <x:c r="B67" s="1"/>
      <x:c r="C67" s="1" t="str">
        <x:v>Closing debt</x:v>
      </x:c>
      <x:c r="D67" s="2"/>
      <x:c r="E67" s="8" t="n">
        <x:f>E123</x:f>
        <x:v>270</x:v>
      </x:c>
      <x:c r="F67" s="8" t="n">
        <x:f>F123</x:f>
        <x:v>240</x:v>
      </x:c>
      <x:c r="G67" s="8" t="n">
        <x:f>G123</x:f>
        <x:v>210</x:v>
      </x:c>
      <x:c r="H67" s="8" t="n">
        <x:f>H123</x:f>
        <x:v>180</x:v>
      </x:c>
      <x:c r="I67" s="8" t="n">
        <x:f>I123</x:f>
        <x:v>150</x:v>
      </x:c>
      <x:c r="J67" s="1"/>
      <x:c r="K67" s="1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</x:row>
    <x:row r="68" ht="25" customHeight="1">
      <x:c r="A68" s="1"/>
      <x:c r="B68" s="1"/>
      <x:c r="C68" s="19" t="str">
        <x:v>CASH FLOW AND BALANCE SHEET</x:v>
      </x:c>
      <x:c r="D68" s="20"/>
      <x:c r="E68" s="20"/>
      <x:c r="F68" s="20"/>
      <x:c r="G68" s="20"/>
      <x:c r="H68" s="20"/>
      <x:c r="I68" s="20"/>
      <x:c r="J68" s="1"/>
      <x:c r="K68" s="1"/>
      <x:c r="M68" s="82" t="str">
        <x:v>First-year EBITDA | rows revenue / columns EBITDA margin</x:v>
      </x:c>
      <x:c r="N68" s="82"/>
      <x:c r="O68" s="82"/>
      <x:c r="P68" s="82"/>
      <x:c r="Q68" s="82"/>
      <x:c r="R68" s="82"/>
      <x:c r="S68" s="63"/>
      <x:c r="T68" s="63"/>
      <x:c r="U68" s="63"/>
      <x:c r="V68" s="63"/>
    </x:row>
    <x:row r="69" ht="18" customHeight="1">
      <x:c r="A69" s="1"/>
      <x:c r="B69" s="1"/>
      <x:c r="C69" s="1" t="str">
        <x:v>Operating cash flow after interest</x:v>
      </x:c>
      <x:c r="D69" s="2"/>
      <x:c r="E69" s="8" t="n">
        <x:f>E58+E53-E64</x:f>
        <x:v>237.62736164383557</x:v>
      </x:c>
      <x:c r="F69" s="8" t="n">
        <x:f>F58+F53-F64</x:f>
        <x:v>263.3202640372603</x:v>
      </x:c>
      <x:c r="G69" s="8" t="n">
        <x:f>G58+G53-G64</x:f>
        <x:v>292.31734750066335</x:v>
      </x:c>
      <x:c r="H69" s="8" t="n">
        <x:f>H58+H53-H64</x:f>
        <x:v>324.91671345713814</x:v>
      </x:c>
      <x:c r="I69" s="8" t="n">
        <x:f>I58+I53-I64</x:f>
        <x:v>361.45904239449544</x:v>
      </x:c>
      <x:c r="J69" s="1"/>
      <x:c r="K69" s="1"/>
      <x:c r="M69" s="63"/>
      <x:c r="N69" s="70" t="n">
        <x:f>E52/E47+-0.04</x:f>
        <x:v>0.18999999999999995</x:v>
      </x:c>
      <x:c r="O69" s="70" t="n">
        <x:f>E52/E47+-0.02</x:f>
        <x:v>0.20999999999999996</x:v>
      </x:c>
      <x:c r="P69" s="70" t="n">
        <x:f>E52/E47+0</x:f>
        <x:v>0.22999999999999995</x:v>
      </x:c>
      <x:c r="Q69" s="70" t="n">
        <x:f>E52/E47+0.02</x:f>
        <x:v>0.24999999999999994</x:v>
      </x:c>
      <x:c r="R69" s="70" t="n">
        <x:f>E52/E47+0.04</x:f>
        <x:v>0.26999999999999996</x:v>
      </x:c>
      <x:c r="S69" s="63"/>
      <x:c r="T69" s="63"/>
      <x:c r="U69" s="63"/>
      <x:c r="V69" s="63"/>
    </x:row>
    <x:row r="70" ht="18" customHeight="1">
      <x:c r="A70" s="1"/>
      <x:c r="B70" s="1"/>
      <x:c r="C70" s="1" t="str">
        <x:v>Dividends</x:v>
      </x:c>
      <x:c r="D70" s="2"/>
      <x:c r="E70" s="8" t="n">
        <x:f>MAX(0,E58)*E32</x:f>
        <x:v>30.306149999999985</x:v>
      </x:c>
      <x:c r="F70" s="8" t="n">
        <x:f>MAX(0,F58)*F32</x:f>
        <x:v>38.62808172000001</x:v>
      </x:c>
      <x:c r="G70" s="8" t="n">
        <x:f>MAX(0,G58)*G32</x:f>
        <x:v>47.36848107801604</x:v>
      </x:c>
      <x:c r="H70" s="8" t="n">
        <x:f>MAX(0,H58)*H32</x:f>
        <x:v>56.63050887481622</x:v>
      </x:c>
      <x:c r="I70" s="8" t="n">
        <x:f>MAX(0,I58)*I32</x:f>
        <x:v>66.52224753135152</x:v>
      </x:c>
      <x:c r="J70" s="1"/>
      <x:c r="K70" s="1"/>
      <x:c r="M70" s="8" t="n">
        <x:f>E47*0.8</x:f>
        <x:v>1068.288</x:v>
      </x:c>
      <x:c r="N70" s="8" t="n">
        <x:f>$M70*N$69</x:f>
        <x:v>202.97471999999993</x:v>
      </x:c>
      <x:c r="O70" s="8" t="n">
        <x:f>$M70*O$69</x:f>
        <x:v>224.34047999999996</x:v>
      </x:c>
      <x:c r="P70" s="8" t="n">
        <x:f>$M70*P$69</x:f>
        <x:v>245.70623999999995</x:v>
      </x:c>
      <x:c r="Q70" s="8" t="n">
        <x:f>$M70*Q$69</x:f>
        <x:v>267.07199999999995</x:v>
      </x:c>
      <x:c r="R70" s="8" t="n">
        <x:f>$M70*R$69</x:f>
        <x:v>288.43775999999997</x:v>
      </x:c>
      <x:c r="S70" s="63"/>
      <x:c r="T70" s="63"/>
      <x:c r="U70" s="63"/>
      <x:c r="V70" s="63"/>
    </x:row>
    <x:row r="71" ht="18" customHeight="1">
      <x:c r="A71" s="1"/>
      <x:c r="B71" s="1"/>
      <x:c r="C71" s="1" t="str">
        <x:v>Change in cash</x:v>
      </x:c>
      <x:c r="D71" s="2"/>
      <x:c r="E71" s="8" t="n">
        <x:f>E69-E65+E30-E31-E70</x:f>
        <x:v>117.2300116438356</x:v>
      </x:c>
      <x:c r="F71" s="8" t="n">
        <x:f>F69-F65+F30-F31-F70</x:f>
        <x:v>127.8226949572603</x:v>
      </x:c>
      <x:c r="G71" s="8" t="n">
        <x:f>G69-G65+G30-G31-G70</x:f>
        <x:v>140.53650088843926</x:v>
      </x:c>
      <x:c r="H71" s="8" t="n">
        <x:f>H69-H65+H30-H31-H70</x:f>
        <x:v>155.48012421585523</x:v>
      </x:c>
      <x:c r="I71" s="8" t="n">
        <x:f>I69-I65+I30-I31-I70</x:f>
        <x:v>172.7901886313398</x:v>
      </x:c>
      <x:c r="J71" s="1"/>
      <x:c r="K71" s="1"/>
      <x:c r="M71" s="8" t="n">
        <x:f>E47*0.9</x:f>
        <x:v>1201.8239999999998</x:v>
      </x:c>
      <x:c r="N71" s="8" t="n">
        <x:f>$M71*N$69</x:f>
        <x:v>228.3465599999999</x:v>
      </x:c>
      <x:c r="O71" s="8" t="n">
        <x:f>$M71*O$69</x:f>
        <x:v>252.38303999999994</x:v>
      </x:c>
      <x:c r="P71" s="8" t="n">
        <x:f>$M71*P$69</x:f>
        <x:v>276.4195199999999</x:v>
      </x:c>
      <x:c r="Q71" s="8" t="n">
        <x:f>$M71*Q$69</x:f>
        <x:v>300.4559999999999</x:v>
      </x:c>
      <x:c r="R71" s="8" t="n">
        <x:f>$M71*R$69</x:f>
        <x:v>324.4924799999999</x:v>
      </x:c>
      <x:c r="S71" s="63"/>
      <x:c r="T71" s="63"/>
      <x:c r="U71" s="63"/>
      <x:c r="V71" s="63"/>
    </x:row>
    <x:row r="72" ht="18" customHeight="1">
      <x:c r="A72" s="1"/>
      <x:c r="B72" s="1"/>
      <x:c r="C72" s="1" t="str">
        <x:v>Closing cash / (funding gap)</x:v>
      </x:c>
      <x:c r="D72" s="2"/>
      <x:c r="E72" s="8" t="n">
        <x:f>$D36+E71</x:f>
        <x:v>317.2300116438356</x:v>
      </x:c>
      <x:c r="F72" s="8" t="n">
        <x:f>E72+F71</x:f>
        <x:v>445.0527066010959</x:v>
      </x:c>
      <x:c r="G72" s="8" t="n">
        <x:f>F72+G71</x:f>
        <x:v>585.5892074895352</x:v>
      </x:c>
      <x:c r="H72" s="8" t="n">
        <x:f>G72+H71</x:f>
        <x:v>741.0693317053904</x:v>
      </x:c>
      <x:c r="I72" s="8" t="n">
        <x:f>H72+I71</x:f>
        <x:v>913.8595203367302</x:v>
      </x:c>
      <x:c r="J72" s="1"/>
      <x:c r="K72" s="1"/>
      <x:c r="M72" s="8" t="n">
        <x:f>E47*1</x:f>
        <x:v>1335.36</x:v>
      </x:c>
      <x:c r="N72" s="8" t="n">
        <x:f>$M72*N$69</x:f>
        <x:v>253.71839999999992</x:v>
      </x:c>
      <x:c r="O72" s="8" t="n">
        <x:f>$M72*O$69</x:f>
        <x:v>280.4255999999999</x:v>
      </x:c>
      <x:c r="P72" s="8" t="n">
        <x:f>$M72*P$69</x:f>
        <x:v>307.1327999999999</x:v>
      </x:c>
      <x:c r="Q72" s="8" t="n">
        <x:f>$M72*Q$69</x:f>
        <x:v>333.8399999999999</x:v>
      </x:c>
      <x:c r="R72" s="8" t="n">
        <x:f>$M72*R$69</x:f>
        <x:v>360.5471999999999</x:v>
      </x:c>
      <x:c r="S72" s="63"/>
      <x:c r="T72" s="63"/>
      <x:c r="U72" s="63"/>
      <x:c r="V72" s="63"/>
    </x:row>
    <x:row r="73" ht="18" customHeight="1">
      <x:c r="A73" s="1"/>
      <x:c r="B73" s="1"/>
      <x:c r="C73" s="38" t="str">
        <x:v>Closing book equity</x:v>
      </x:c>
      <x:c r="D73" s="39"/>
      <x:c r="E73" s="41" t="n">
        <x:f>$D34+$D37+$D36-$D35+E58-E70</x:f>
        <x:v>1022.8088609589041</x:v>
      </x:c>
      <x:c r="F73" s="41" t="n">
        <x:f>E73+F58-F70</x:f>
        <x:v>1138.6931061189043</x:v>
      </x:c>
      <x:c r="G73" s="41" t="n">
        <x:f>F73+G58-G70</x:f>
        <x:v>1280.7985493529525</x:v>
      </x:c>
      <x:c r="H73" s="41" t="n">
        <x:f>G73+H58-H70</x:f>
        <x:v>1450.690075977401</x:v>
      </x:c>
      <x:c r="I73" s="41" t="n">
        <x:f>H73+I58-I70</x:f>
        <x:v>1650.2568185714556</x:v>
      </x:c>
      <x:c r="J73" s="1"/>
      <x:c r="K73" s="1"/>
      <x:c r="M73" s="8" t="n">
        <x:f>E47*1.1</x:f>
        <x:v>1468.896</x:v>
      </x:c>
      <x:c r="N73" s="8" t="n">
        <x:f>$M73*N$69</x:f>
        <x:v>279.09023999999994</x:v>
      </x:c>
      <x:c r="O73" s="8" t="n">
        <x:f>$M73*O$69</x:f>
        <x:v>308.46815999999995</x:v>
      </x:c>
      <x:c r="P73" s="8" t="n">
        <x:f>$M73*P$69</x:f>
        <x:v>337.8460799999999</x:v>
      </x:c>
      <x:c r="Q73" s="8" t="n">
        <x:f>$M73*Q$69</x:f>
        <x:v>367.22399999999993</x:v>
      </x:c>
      <x:c r="R73" s="8" t="n">
        <x:f>$M73*R$69</x:f>
        <x:v>396.60191999999995</x:v>
      </x:c>
      <x:c r="S73" s="63"/>
      <x:c r="T73" s="63"/>
      <x:c r="U73" s="63"/>
      <x:c r="V73" s="63"/>
    </x:row>
    <x:row r="74" ht="18" customHeight="1">
      <x:c r="A74" s="1"/>
      <x:c r="B74" s="1"/>
      <x:c r="C74" s="1" t="str">
        <x:v>Total assets</x:v>
      </x:c>
      <x:c r="D74" s="2"/>
      <x:c r="E74" s="8" t="n">
        <x:f>E72+E60+E61+E66</x:f>
        <x:v>1399.454734931507</x:v>
      </x:c>
      <x:c r="F74" s="8" t="n">
        <x:f>F72+F60+F61+F66</x:f>
        <x:v>1497.3686346756165</x:v>
      </x:c>
      <x:c r="G74" s="8" t="n">
        <x:f>G72+G60+G61+G66</x:f>
        <x:v>1622.8606775308617</x:v>
      </x:c>
      <x:c r="H74" s="8" t="n">
        <x:f>H72+H60+H61+H66</x:f>
        <x:v>1777.648812213779</x:v>
      </x:c>
      <x:c r="I74" s="8" t="n">
        <x:f>I72+I60+I61+I66</x:f>
        <x:v>1963.7925002552965</x:v>
      </x:c>
      <x:c r="J74" s="1"/>
      <x:c r="K74" s="1"/>
      <x:c r="M74" s="8" t="n">
        <x:f>E47*1.2</x:f>
        <x:v>1602.4319999999998</x:v>
      </x:c>
      <x:c r="N74" s="8" t="n">
        <x:f>$M74*N$69</x:f>
        <x:v>304.4620799999999</x:v>
      </x:c>
      <x:c r="O74" s="8" t="n">
        <x:f>$M74*O$69</x:f>
        <x:v>336.5107199999999</x:v>
      </x:c>
      <x:c r="P74" s="8" t="n">
        <x:f>$M74*P$69</x:f>
        <x:v>368.55935999999986</x:v>
      </x:c>
      <x:c r="Q74" s="8" t="n">
        <x:f>$M74*Q$69</x:f>
        <x:v>400.60799999999983</x:v>
      </x:c>
      <x:c r="R74" s="8" t="n">
        <x:f>$M74*R$69</x:f>
        <x:v>432.65663999999987</x:v>
      </x:c>
      <x:c r="S74" s="63"/>
      <x:c r="T74" s="63"/>
      <x:c r="U74" s="63"/>
      <x:c r="V74" s="63"/>
    </x:row>
    <x:row r="75" ht="18" customHeight="1">
      <x:c r="A75" s="1"/>
      <x:c r="B75" s="1"/>
      <x:c r="C75" s="1" t="str">
        <x:v>Liabilities and equity</x:v>
      </x:c>
      <x:c r="D75" s="2"/>
      <x:c r="E75" s="8" t="n">
        <x:f>E62+E67+E73</x:f>
        <x:v>1399.454734931507</x:v>
      </x:c>
      <x:c r="F75" s="8" t="n">
        <x:f>F62+F67+F73</x:f>
        <x:v>1497.3686346756167</x:v>
      </x:c>
      <x:c r="G75" s="8" t="n">
        <x:f>G62+G67+G73</x:f>
        <x:v>1622.8606775308622</x:v>
      </x:c>
      <x:c r="H75" s="8" t="n">
        <x:f>H62+H67+H73</x:f>
        <x:v>1777.6488122137787</x:v>
      </x:c>
      <x:c r="I75" s="8" t="n">
        <x:f>I62+I67+I73</x:f>
        <x:v>1963.7925002552968</x:v>
      </x:c>
      <x:c r="J75" s="1"/>
      <x:c r="K75" s="1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</x:row>
    <x:row r="76" ht="18" customHeight="1">
      <x:c r="A76" s="1"/>
      <x:c r="B76" s="1"/>
      <x:c r="C76" s="1" t="str">
        <x:v>Unlevered operating profit after tax</x:v>
      </x:c>
      <x:c r="D76" s="2"/>
      <x:c r="E76" s="8" t="n">
        <x:f>E54-MAX(0,E54)*E28</x:f>
        <x:v>140.34959999999995</x:v>
      </x:c>
      <x:c r="F76" s="8" t="n">
        <x:f>F54-MAX(0,F54)*F28</x:f>
        <x:v>171.72482688000002</x:v>
      </x:c>
      <x:c r="G76" s="8" t="n">
        <x:f>G54-MAX(0,G54)*G28</x:f>
        <x:v>204.77392431206414</x:v>
      </x:c>
      <x:c r="H76" s="8" t="n">
        <x:f>H54-MAX(0,H54)*H28</x:f>
        <x:v>239.9095354992649</x:v>
      </x:c>
      <x:c r="I76" s="8" t="n">
        <x:f>I54-MAX(0,I54)*I28</x:f>
        <x:v>277.5639901254061</x:v>
      </x:c>
      <x:c r="J76" s="1"/>
      <x:c r="K76" s="1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</x:row>
    <x:row r="77" ht="18" customHeight="1">
      <x:c r="A77" s="1"/>
      <x:c r="B77" s="1"/>
      <x:c r="C77" s="38" t="str">
        <x:v>Free cash flow to firm</x:v>
      </x:c>
      <x:c r="D77" s="39"/>
      <x:c r="E77" s="41" t="n">
        <x:f>E76+E53-E65-E64</x:f>
        <x:v>196.66116164383558</x:v>
      </x:c>
      <x:c r="F77" s="41" t="n">
        <x:f>F76+F53-F65-F64</x:f>
        <x:v>213.66327667726028</x:v>
      </x:c>
      <x:c r="G77" s="41" t="n">
        <x:f>G76+G53-G65-G64</x:f>
        <x:v>233.2049819664553</x:v>
      </x:c>
      <x:c r="H77" s="41" t="n">
        <x:f>H76+H53-H65-H64</x:f>
        <x:v>255.49813309067147</x:v>
      </x:c>
      <x:c r="I77" s="41" t="n">
        <x:f>I76+I53-I65-I64</x:f>
        <x:v>280.7874361626913</x:v>
      </x:c>
      <x:c r="J77" s="1"/>
      <x:c r="K77" s="1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</x:row>
    <x:row r="78" ht="18" customHeight="1">
      <x:c r="A78" s="1"/>
      <x:c r="B78" s="1"/>
      <x:c r="C78" s="19" t="str">
        <x:v>SECTOR KPIs AND RETURN METRICS</x:v>
      </x:c>
      <x:c r="D78" s="20"/>
      <x:c r="E78" s="20"/>
      <x:c r="F78" s="20"/>
      <x:c r="G78" s="20"/>
      <x:c r="H78" s="20"/>
      <x:c r="I78" s="20"/>
      <x:c r="J78" s="1"/>
      <x:c r="K78" s="1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</x:row>
    <x:row r="79" ht="18" customHeight="1">
      <x:c r="A79" s="1"/>
      <x:c r="B79" s="1"/>
      <x:c r="C79" s="23" t="str">
        <x:v>Gross margin</x:v>
      </x:c>
      <x:c r="D79" s="24"/>
      <x:c r="E79" s="35" t="n">
        <x:f>E50/E47</x:f>
        <x:v>0.4699999999999999</x:v>
      </x:c>
      <x:c r="F79" s="35" t="n">
        <x:f>F50/F47</x:f>
        <x:v>0.47</x:v>
      </x:c>
      <x:c r="G79" s="35" t="n">
        <x:f>G50/G47</x:f>
        <x:v>0.47</x:v>
      </x:c>
      <x:c r="H79" s="35" t="n">
        <x:f>H50/H47</x:f>
        <x:v>0.4699999999999999</x:v>
      </x:c>
      <x:c r="I79" s="35" t="n">
        <x:f>I50/I47</x:f>
        <x:v>0.47000000000000003</x:v>
      </x:c>
      <x:c r="J79" s="1"/>
      <x:c r="K79" s="1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</x:row>
    <x:row r="80" ht="18" customHeight="1">
      <x:c r="A80" s="1"/>
      <x:c r="B80" s="1"/>
      <x:c r="C80" s="23" t="str">
        <x:v>EBITDA margin</x:v>
      </x:c>
      <x:c r="D80" s="24"/>
      <x:c r="E80" s="35" t="n">
        <x:f>E52/E47</x:f>
        <x:v>0.22999999999999995</x:v>
      </x:c>
      <x:c r="F80" s="35" t="n">
        <x:f>F52/F47</x:f>
        <x:v>0.22999999999999998</x:v>
      </x:c>
      <x:c r="G80" s="35" t="n">
        <x:f>G52/G47</x:f>
        <x:v>0.23</x:v>
      </x:c>
      <x:c r="H80" s="35" t="n">
        <x:f>H52/H47</x:f>
        <x:v>0.22999999999999995</x:v>
      </x:c>
      <x:c r="I80" s="35" t="n">
        <x:f>I52/I47</x:f>
        <x:v>0.23</x:v>
      </x:c>
      <x:c r="J80" s="1"/>
      <x:c r="K80" s="1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</x:row>
    <x:row r="81" ht="18" customHeight="1">
      <x:c r="A81" s="1"/>
      <x:c r="B81" s="1"/>
      <x:c r="C81" s="23" t="str">
        <x:v>Net margin</x:v>
      </x:c>
      <x:c r="D81" s="24"/>
      <x:c r="E81" s="35" t="n">
        <x:f>E58/E47</x:f>
        <x:v>0.09078046369518328</x:v>
      </x:c>
      <x:c r="F81" s="35" t="n">
        <x:f>F58/F47</x:f>
        <x:v>0.10397948278214526</x:v>
      </x:c>
      <x:c r="G81" s="35" t="n">
        <x:f>G58/G47</x:f>
        <x:v>0.1145821199585875</x:v>
      </x:c>
      <x:c r="H81" s="35" t="n">
        <x:f>H58/H47</x:f>
        <x:v>0.1231007620739273</x:v>
      </x:c>
      <x:c r="I81" s="35" t="n">
        <x:f>I58/I47</x:f>
        <x:v>0.12994514985740713</x:v>
      </x:c>
      <x:c r="J81" s="1"/>
      <x:c r="K81" s="1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</x:row>
    <x:row r="82" ht="18" customHeight="1">
      <x:c r="A82" s="1"/>
      <x:c r="B82" s="1"/>
      <x:c r="C82" s="23" t="str">
        <x:v>Operating cash conversion</x:v>
      </x:c>
      <x:c r="D82" s="24"/>
      <x:c r="E82" s="35" t="n">
        <x:f>IF(E52=0,"n.a.",E69/E52)</x:f>
        <x:v>0.7736958138102985</x:v>
      </x:c>
      <x:c r="F82" s="35" t="n">
        <x:f>IF(F52=0,"n.a.",F69/F52)</x:f>
        <x:v>0.7704438022215844</x:v>
      </x:c>
      <x:c r="G82" s="35" t="n">
        <x:f>IF(G52=0,"n.a.",G69/G52)</x:f>
        <x:v>0.7685889851829455</x:v>
      </x:c>
      <x:c r="H82" s="35" t="n">
        <x:f>IF(H52=0,"n.a.",H69/H52)</x:f>
        <x:v>0.7677052342923625</x:v>
      </x:c>
      <x:c r="I82" s="35" t="n">
        <x:f>IF(I52=0,"n.a.",I69/I52)</x:f>
        <x:v>0.767475334328711</x:v>
      </x:c>
      <x:c r="J82" s="1"/>
      <x:c r="K82" s="1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</x:row>
    <x:row r="83" ht="18" customHeight="1">
      <x:c r="A83" s="1"/>
      <x:c r="B83" s="1"/>
      <x:c r="C83" s="1" t="str">
        <x:v>Cash conversion cycle (days)</x:v>
      </x:c>
      <x:c r="D83" s="2"/>
      <x:c r="E83" s="8" t="n">
        <x:f>E25+E26-E27</x:f>
        <x:v>5</x:v>
      </x:c>
      <x:c r="F83" s="8" t="n">
        <x:f>F25+F26-F27</x:f>
        <x:v>5</x:v>
      </x:c>
      <x:c r="G83" s="8" t="n">
        <x:f>G25+G26-G27</x:f>
        <x:v>5</x:v>
      </x:c>
      <x:c r="H83" s="8" t="n">
        <x:f>H25+H26-H27</x:f>
        <x:v>5</x:v>
      </x:c>
      <x:c r="I83" s="8" t="n">
        <x:f>I25+I26-I27</x:f>
        <x:v>5</x:v>
      </x:c>
      <x:c r="J83" s="1"/>
      <x:c r="K83" s="1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</x:row>
    <x:row r="84" ht="18" customHeight="1">
      <x:c r="A84" s="1"/>
      <x:c r="B84" s="1"/>
      <x:c r="C84" s="23" t="str">
        <x:v>Net debt / EBITDA</x:v>
      </x:c>
      <x:c r="D84" s="32"/>
      <x:c r="E84" s="61" t="n">
        <x:f>IF(E52&lt;=0,"n.a.",(E67-E72)/E52)</x:f>
        <x:v>-0.15377716624155943</x:v>
      </x:c>
      <x:c r="F84" s="61" t="n">
        <x:f>IF(F52&lt;=0,"n.a.",(F67-F72)/F52)</x:f>
        <x:v>-0.5999598530982052</x:v>
      </x:c>
      <x:c r="G84" s="61" t="n">
        <x:f>IF(G52&lt;=0,"n.a.",(G67-G72)/G52)</x:f>
        <x:v>-0.9875353970547147</x:v>
      </x:c>
      <x:c r="H84" s="61" t="n">
        <x:f>IF(H52&lt;=0,"n.a.",(H67-H72)/H52)</x:f>
        <x:v>-1.3256808434631882</x:v>
      </x:c>
      <x:c r="I84" s="61" t="n">
        <x:f>IF(I52&lt;=0,"n.a.",(I67-I72)/I52)</x:f>
        <x:v>-1.6218804124168966</x:v>
      </x:c>
      <x:c r="J84" s="1"/>
      <x:c r="K84" s="1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</x:row>
    <x:row r="85" ht="18" customHeight="1">
      <x:c r="A85" s="1"/>
      <x:c r="B85" s="1"/>
      <x:c r="C85" s="23" t="str">
        <x:v>EBIT / interest</x:v>
      </x:c>
      <x:c r="D85" s="32"/>
      <x:c r="E85" s="61" t="n">
        <x:f>IF(E55=0,"n.a.",E54/E55)</x:f>
        <x:v>7.338541176470584</x:v>
      </x:c>
      <x:c r="F85" s="61" t="n">
        <x:f>IF(F55=0,"n.a.",F54/F55)</x:f>
        <x:v>9.976751016993465</x:v>
      </x:c>
      <x:c r="G85" s="61" t="n">
        <x:f>IF(G55=0,"n.a.",G54/G55)</x:f>
        <x:v>13.383916621703538</x:v>
      </x:c>
      <x:c r="H85" s="61" t="n">
        <x:f>IF(H55=0,"n.a.",H54/H55)</x:f>
        <x:v>17.920413482671513</x:v>
      </x:c>
      <x:c r="I85" s="61" t="n">
        <x:f>IF(I55=0,"n.a.",I54/I55)</x:f>
        <x:v>24.18858301746458</x:v>
      </x:c>
      <x:c r="J85" s="1"/>
      <x:c r="K85" s="1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</x:row>
    <x:row r="86" ht="18" customHeight="1">
      <x:c r="A86" s="1"/>
      <x:c r="B86" s="1"/>
      <x:c r="C86" s="23" t="str">
        <x:v>ROIC on average invested capital</x:v>
      </x:c>
      <x:c r="D86" s="24"/>
      <x:c r="E86" s="35" t="n">
        <x:f>E76/(($D34+$D37+E66+E63)/2)</x:f>
        <x:v>0.13982739639146008</x:v>
      </x:c>
      <x:c r="F86" s="35" t="n">
        <x:f>F76/((E66+E63+F66+F63)/2)</x:f>
        <x:v>0.17989010637199157</x:v>
      </x:c>
      <x:c r="G86" s="35" t="n">
        <x:f>G76/((F66+F63+G66+G63)/2)</x:f>
        <x:v>0.22271958355689378</x:v>
      </x:c>
      <x:c r="H86" s="35" t="n">
        <x:f>H76/((G66+G63+H66+H63)/2)</x:f>
        <x:v>0.2673339803611501</x:v>
      </x:c>
      <x:c r="I86" s="35" t="n">
        <x:f>I76/((H66+H63+I66+I63)/2)</x:f>
        <x:v>0.3125688855431246</x:v>
      </x:c>
      <x:c r="J86" s="1"/>
      <x:c r="K86" s="1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</x:row>
    <x:row r="87" ht="18" customHeight="1">
      <x:c r="A87" s="1"/>
      <x:c r="B87" s="1"/>
      <x:c r="C87" s="1" t="str">
        <x:v>Gross profit per unit (INR)</x:v>
      </x:c>
      <x:c r="D87" s="2"/>
      <x:c r="E87" s="10" t="n">
        <x:f>E50*'Controls'!$E$9/(E46*'Controls'!$E$14)</x:f>
        <x:v>58.65599999999999</x:v>
      </x:c>
      <x:c r="F87" s="10" t="n">
        <x:f>F50*'Controls'!$E$9/(F46*'Controls'!$E$14)</x:f>
        <x:v>61.00224</x:v>
      </x:c>
      <x:c r="G87" s="10" t="n">
        <x:f>G50*'Controls'!$E$9/(G46*'Controls'!$E$14)</x:f>
        <x:v>63.44232960000002</x:v>
      </x:c>
      <x:c r="H87" s="10" t="n">
        <x:f>H50*'Controls'!$E$9/(H46*'Controls'!$E$14)</x:f>
        <x:v>65.98002278400001</x:v>
      </x:c>
      <x:c r="I87" s="10" t="n">
        <x:f>I50*'Controls'!$E$9/(I46*'Controls'!$E$14)</x:f>
        <x:v>68.61922369536</x:v>
      </x:c>
      <x:c r="J87" s="1"/>
      <x:c r="K87" s="1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</x:row>
    <x:row r="88" ht="18" customHeight="1">
      <x:c r="A88" s="1"/>
      <x:c r="B88" s="1"/>
      <x:c r="C88" s="23" t="str">
        <x:v>Inventory turns</x:v>
      </x:c>
      <x:c r="D88" s="32"/>
      <x:c r="E88" s="61" t="n">
        <x:f>IF(E61=0,"n.a.",E49/E61)</x:f>
        <x:v>8.11111111111111</x:v>
      </x:c>
      <x:c r="F88" s="61" t="n">
        <x:f>IF(F61=0,"n.a.",F49/F61)</x:f>
        <x:v>8.11111111111111</x:v>
      </x:c>
      <x:c r="G88" s="61" t="n">
        <x:f>IF(G61=0,"n.a.",G49/G61)</x:f>
        <x:v>8.11111111111111</x:v>
      </x:c>
      <x:c r="H88" s="61" t="n">
        <x:f>IF(H61=0,"n.a.",H49/H61)</x:f>
        <x:v>8.11111111111111</x:v>
      </x:c>
      <x:c r="I88" s="61" t="n">
        <x:f>IF(I61=0,"n.a.",I49/I61)</x:f>
        <x:v>8.11111111111111</x:v>
      </x:c>
      <x:c r="J88" s="1"/>
      <x:c r="K88" s="1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</x:row>
    <x:row r="89" ht="18" customHeight="1">
      <x:c r="A89" s="1"/>
      <x:c r="B89" s="1"/>
      <x:c r="C89" s="19" t="str">
        <x:v>VALUATION AT 31 MARCH 2026</x:v>
      </x:c>
      <x:c r="D89" s="20"/>
      <x:c r="E89" s="20"/>
      <x:c r="F89" s="20"/>
      <x:c r="G89" s="20"/>
      <x:c r="H89" s="20"/>
      <x:c r="I89" s="20"/>
      <x:c r="J89" s="1"/>
      <x:c r="K89" s="1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</x:row>
    <x:row r="90" ht="18" customHeight="1">
      <x:c r="A90" s="1"/>
      <x:c r="B90" s="1"/>
      <x:c r="C90" s="1" t="str">
        <x:v>PV of annual FCFF</x:v>
      </x:c>
      <x:c r="D90" s="2"/>
      <x:c r="E90" s="8" t="n">
        <x:f>E77/(1+$D39)^1</x:f>
        <x:v>175.59032289628175</x:v>
      </x:c>
      <x:c r="F90" s="8" t="n">
        <x:f>F77/(1+$D39)^2</x:f>
        <x:v>170.3310560246016</x:v>
      </x:c>
      <x:c r="G90" s="8" t="n">
        <x:f>G77/(1+$D39)^3</x:f>
        <x:v>165.99069985540558</x:v>
      </x:c>
      <x:c r="H90" s="8" t="n">
        <x:f>H77/(1+$D39)^4</x:f>
        <x:v>162.3736825778053</x:v>
      </x:c>
      <x:c r="I90" s="8" t="n">
        <x:f>I77/(1+$D39)^5</x:f>
        <x:v>159.3263320270828</x:v>
      </x:c>
      <x:c r="J90" s="1"/>
      <x:c r="K90" s="1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</x:row>
    <x:row r="91" ht="18" customHeight="1">
      <x:c r="A91" s="1"/>
      <x:c r="B91" s="1"/>
      <x:c r="C91" s="1" t="str">
        <x:v>Normalized terminal FCFF</x:v>
      </x:c>
      <x:c r="D91" s="2"/>
      <x:c r="E91" s="8" t="n">
        <x:f>I76*(1+$D40)*(1-$D40/$D41)</x:f>
        <x:v>211.6888031356431</x:v>
      </x:c>
      <x:c r="F91" s="2"/>
      <x:c r="G91" s="2"/>
      <x:c r="H91" s="2"/>
      <x:c r="I91" s="2"/>
      <x:c r="J91" s="1"/>
      <x:c r="K91" s="1" t="str">
        <x:v>Terminal reinvestment = terminal NOPAT × growth / incremental ROIC.</x:v>
      </x:c>
    </x:row>
    <x:row r="92" ht="18" customHeight="1">
      <x:c r="A92" s="1"/>
      <x:c r="B92" s="1"/>
      <x:c r="C92" s="1" t="str">
        <x:v>Terminal enterprise value</x:v>
      </x:c>
      <x:c r="D92" s="2"/>
      <x:c r="E92" s="8" t="n">
        <x:f>IF($D39&lt;=$D40,NA(),E91/($D39-$D40))</x:f>
        <x:v>2646.1100391955392</x:v>
      </x:c>
      <x:c r="F92" s="2"/>
      <x:c r="G92" s="2"/>
      <x:c r="H92" s="2"/>
      <x:c r="I92" s="2"/>
      <x:c r="J92" s="1"/>
      <x:c r="K92" s="1"/>
    </x:row>
    <x:row r="93" ht="18" customHeight="1">
      <x:c r="A93" s="1"/>
      <x:c r="B93" s="1"/>
      <x:c r="C93" s="1" t="str">
        <x:v>DCF enterprise value</x:v>
      </x:c>
      <x:c r="D93" s="2"/>
      <x:c r="E93" s="8" t="n">
        <x:f>SUM(E90:I90)+E92/(1+$D39)^5</x:f>
        <x:v>2335.085992807321</x:v>
      </x:c>
      <x:c r="F93" s="2"/>
      <x:c r="G93" s="2"/>
      <x:c r="H93" s="2"/>
      <x:c r="I93" s="2"/>
      <x:c r="J93" s="1"/>
      <x:c r="K93" s="1"/>
    </x:row>
    <x:row r="94" ht="18" customHeight="1">
      <x:c r="A94" s="1"/>
      <x:c r="B94" s="1"/>
      <x:c r="C94" s="38" t="str">
        <x:v>DCF equity value</x:v>
      </x:c>
      <x:c r="D94" s="39"/>
      <x:c r="E94" s="41" t="n">
        <x:f>E93-$D35+$D36</x:f>
        <x:v>2235.085992807321</x:v>
      </x:c>
      <x:c r="F94" s="39"/>
      <x:c r="G94" s="39"/>
      <x:c r="H94" s="39"/>
      <x:c r="I94" s="39"/>
      <x:c r="J94" s="1"/>
      <x:c r="K94" s="1"/>
    </x:row>
    <x:row r="95" ht="18" customHeight="1">
      <x:c r="A95" s="1"/>
      <x:c r="B95" s="1"/>
      <x:c r="C95" s="1" t="str">
        <x:v>DCF value per share (INR)</x:v>
      </x:c>
      <x:c r="D95" s="33"/>
      <x:c r="E95" s="34" t="n">
        <x:f>E94/$D38</x:f>
        <x:v>22.35085992807321</x:v>
      </x:c>
      <x:c r="F95" s="33"/>
      <x:c r="G95" s="33"/>
      <x:c r="H95" s="33"/>
      <x:c r="I95" s="33"/>
      <x:c r="J95" s="1"/>
      <x:c r="K95" s="1"/>
    </x:row>
    <x:row r="96" ht="18" customHeight="1">
      <x:c r="A96" s="1"/>
      <x:c r="B96" s="1"/>
      <x:c r="C96" s="1" t="str">
        <x:v>Forward multiple enterprise value</x:v>
      </x:c>
      <x:c r="D96" s="2"/>
      <x:c r="E96" s="8" t="n">
        <x:f>E52*$D42</x:f>
        <x:v>7371.1871999999985</x:v>
      </x:c>
      <x:c r="F96" s="2"/>
      <x:c r="G96" s="2"/>
      <x:c r="H96" s="2"/>
      <x:c r="I96" s="2"/>
      <x:c r="J96" s="1"/>
      <x:c r="K96" s="1"/>
    </x:row>
    <x:row r="97" ht="18" customHeight="1">
      <x:c r="A97" s="1"/>
      <x:c r="B97" s="1"/>
      <x:c r="C97" s="1" t="str">
        <x:v>Forward multiple equity value</x:v>
      </x:c>
      <x:c r="D97" s="2"/>
      <x:c r="E97" s="8" t="n">
        <x:f>E96-$D35+$D36</x:f>
        <x:v>7271.1871999999985</x:v>
      </x:c>
      <x:c r="F97" s="2"/>
      <x:c r="G97" s="2"/>
      <x:c r="H97" s="2"/>
      <x:c r="I97" s="2"/>
      <x:c r="J97" s="1"/>
      <x:c r="K97" s="1"/>
    </x:row>
    <x:row r="98" ht="18" customHeight="1">
      <x:c r="A98" s="1"/>
      <x:c r="B98" s="1"/>
      <x:c r="C98" s="23" t="str">
        <x:v>Terminal value / DCF enterprise value</x:v>
      </x:c>
      <x:c r="D98" s="24"/>
      <x:c r="E98" s="35" t="n">
        <x:f>(E92/(1+$D39)^5)/E93</x:f>
        <x:v>0.6430058267879978</x:v>
      </x:c>
      <x:c r="F98" s="24"/>
      <x:c r="G98" s="24"/>
      <x:c r="H98" s="24"/>
      <x:c r="I98" s="24"/>
      <x:c r="J98" s="1"/>
      <x:c r="K98" s="1"/>
    </x:row>
    <x:row r="99" ht="18" customHeight="1">
      <x:c r="A99" s="1"/>
      <x:c r="B99" s="1"/>
      <x:c r="C99" s="19" t="str">
        <x:v>MODEL CHECKS</x:v>
      </x:c>
      <x:c r="D99" s="20"/>
      <x:c r="E99" s="20"/>
      <x:c r="F99" s="20"/>
      <x:c r="G99" s="20"/>
      <x:c r="H99" s="20"/>
      <x:c r="I99" s="20"/>
      <x:c r="J99" s="1"/>
      <x:c r="K99" s="1"/>
    </x:row>
    <x:row r="100" ht="18" customHeight="1">
      <x:c r="A100" s="1"/>
      <x:c r="B100" s="1"/>
      <x:c r="C100" s="1" t="str">
        <x:v>Assets less liabilities and equity</x:v>
      </x:c>
      <x:c r="D100" s="33"/>
      <x:c r="E100" s="34" t="n">
        <x:f>E74-E75</x:f>
        <x:v>0</x:v>
      </x:c>
      <x:c r="F100" s="34" t="n">
        <x:f>F74-F75</x:f>
        <x:v>-2.2737367544323206e-13</x:v>
      </x:c>
      <x:c r="G100" s="34" t="n">
        <x:f>G74-G75</x:f>
        <x:v>-4.547473508864641e-13</x:v>
      </x:c>
      <x:c r="H100" s="34" t="n">
        <x:f>H74-H75</x:f>
        <x:v>2.2737367544323206e-13</x:v>
      </x:c>
      <x:c r="I100" s="34" t="n">
        <x:f>I74-I75</x:f>
        <x:v>-2.2737367544323206e-13</x:v>
      </x:c>
      <x:c r="J100" s="1"/>
      <x:c r="K100" s="1"/>
    </x:row>
    <x:row r="101" ht="18" customHeight="1">
      <x:c r="A101" s="1"/>
      <x:c r="B101" s="1"/>
      <x:c r="C101" s="1" t="str">
        <x:v>Cash funding shortfall</x:v>
      </x:c>
      <x:c r="D101" s="33"/>
      <x:c r="E101" s="34" t="n">
        <x:f>MAX(0,-E72)</x:f>
        <x:v>0</x:v>
      </x:c>
      <x:c r="F101" s="34" t="n">
        <x:f>MAX(0,-F72)</x:f>
        <x:v>0</x:v>
      </x:c>
      <x:c r="G101" s="34" t="n">
        <x:f>MAX(0,-G72)</x:f>
        <x:v>0</x:v>
      </x:c>
      <x:c r="H101" s="34" t="n">
        <x:f>MAX(0,-H72)</x:f>
        <x:v>0</x:v>
      </x:c>
      <x:c r="I101" s="34" t="n">
        <x:f>MAX(0,-I72)</x:f>
        <x:v>0</x:v>
      </x:c>
      <x:c r="J101" s="1"/>
      <x:c r="K101" s="1"/>
    </x:row>
    <x:row r="102" ht="18" customHeight="1">
      <x:c r="A102" s="1"/>
      <x:c r="B102" s="1"/>
      <x:c r="C102" s="1" t="str">
        <x:v>Debt below zero</x:v>
      </x:c>
      <x:c r="D102" s="33"/>
      <x:c r="E102" s="34" t="n">
        <x:f>MAX(0,-E67)</x:f>
        <x:v>0</x:v>
      </x:c>
      <x:c r="F102" s="34" t="n">
        <x:f>MAX(0,-F67)</x:f>
        <x:v>0</x:v>
      </x:c>
      <x:c r="G102" s="34" t="n">
        <x:f>MAX(0,-G67)</x:f>
        <x:v>0</x:v>
      </x:c>
      <x:c r="H102" s="34" t="n">
        <x:f>MAX(0,-H67)</x:f>
        <x:v>0</x:v>
      </x:c>
      <x:c r="I102" s="34" t="n">
        <x:f>MAX(0,-I67)</x:f>
        <x:v>0</x:v>
      </x:c>
      <x:c r="J102" s="1"/>
      <x:c r="K102" s="1"/>
    </x:row>
    <x:row r="103" ht="18" customHeight="1">
      <x:c r="A103" s="1"/>
      <x:c r="B103" s="1"/>
      <x:c r="C103" s="1" t="str">
        <x:v>Utilization above 100%</x:v>
      </x:c>
      <x:c r="D103" s="33"/>
      <x:c r="E103" s="34" t="n">
        <x:f>MAX(0,E20-1)</x:f>
        <x:v>0</x:v>
      </x:c>
      <x:c r="F103" s="34" t="n">
        <x:f>MAX(0,F20-1)</x:f>
        <x:v>0</x:v>
      </x:c>
      <x:c r="G103" s="34" t="n">
        <x:f>MAX(0,G20-1)</x:f>
        <x:v>0</x:v>
      </x:c>
      <x:c r="H103" s="34" t="n">
        <x:f>MAX(0,H20-1)</x:f>
        <x:v>0</x:v>
      </x:c>
      <x:c r="I103" s="34" t="n">
        <x:f>MAX(0,I20-1)</x:f>
        <x:v>0</x:v>
      </x:c>
      <x:c r="J103" s="1"/>
      <x:c r="K103" s="1"/>
    </x:row>
    <x:row r="104" ht="18" customHeight="1">
      <x:c r="A104" s="1"/>
      <x:c r="B104" s="1"/>
      <x:c r="C104" s="1" t="str">
        <x:v>Net PP&amp;E below zero</x:v>
      </x:c>
      <x:c r="D104" s="33"/>
      <x:c r="E104" s="34" t="n">
        <x:f>MAX(0,-E66)</x:f>
        <x:v>0</x:v>
      </x:c>
      <x:c r="F104" s="34" t="n">
        <x:f>MAX(0,-F66)</x:f>
        <x:v>0</x:v>
      </x:c>
      <x:c r="G104" s="34" t="n">
        <x:f>MAX(0,-G66)</x:f>
        <x:v>0</x:v>
      </x:c>
      <x:c r="H104" s="34" t="n">
        <x:f>MAX(0,-H66)</x:f>
        <x:v>0</x:v>
      </x:c>
      <x:c r="I104" s="34" t="n">
        <x:f>MAX(0,-I66)</x:f>
        <x:v>0</x:v>
      </x:c>
      <x:c r="J104" s="1"/>
      <x:c r="K104" s="1"/>
    </x:row>
    <x:row r="105" ht="18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1"/>
      <x:c r="K105" s="1"/>
    </x:row>
    <x:row r="106" ht="18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1"/>
      <x:c r="K106" s="1"/>
    </x:row>
    <x:row r="107" ht="18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1"/>
      <x:c r="K107" s="1"/>
    </x:row>
    <x:row r="108" ht="18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1"/>
      <x:c r="K108" s="1"/>
    </x:row>
    <x:row r="109" ht="18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1"/>
      <x:c r="K109" s="1"/>
    </x:row>
    <x:row r="110" ht="25" customHeight="1">
      <x:c r="A110" s="1"/>
      <x:c r="B110" s="1"/>
      <x:c r="C110" s="68" t="str">
        <x:v>SUPPORTING SCHEDULE ASSUMPTIONS</x:v>
      </x:c>
      <x:c r="D110" s="69"/>
      <x:c r="E110" s="69"/>
      <x:c r="F110" s="69"/>
      <x:c r="G110" s="69"/>
      <x:c r="H110" s="69"/>
      <x:c r="I110" s="69"/>
      <x:c r="J110" s="1"/>
      <x:c r="K110" s="1"/>
    </x:row>
    <x:row r="111" ht="30" customHeight="1">
      <x:c r="A111" s="1"/>
      <x:c r="B111" s="1"/>
      <x:c r="C111" s="64"/>
      <x:c r="D111" s="8"/>
      <x:c r="E111" s="8"/>
      <x:c r="F111" s="8"/>
      <x:c r="G111" s="8"/>
      <x:c r="H111" s="8"/>
      <x:c r="I111" s="8"/>
      <x:c r="J111" s="1"/>
      <x:c r="K111" s="1"/>
    </x:row>
    <x:row r="112" ht="30" customHeight="1">
      <x:c r="A112" s="1"/>
      <x:c r="B112" s="1"/>
      <x:c r="C112" s="64"/>
      <x:c r="D112" s="8"/>
      <x:c r="E112" s="8"/>
      <x:c r="F112" s="8"/>
      <x:c r="G112" s="8"/>
      <x:c r="H112" s="8"/>
      <x:c r="I112" s="8"/>
      <x:c r="J112" s="1"/>
      <x:c r="K112" s="1"/>
    </x:row>
    <x:row r="113" ht="30" customHeight="1">
      <x:c r="A113" s="1"/>
      <x:c r="B113" s="1"/>
      <x:c r="C113" s="64"/>
      <x:c r="D113" s="8"/>
      <x:c r="E113" s="8"/>
      <x:c r="F113" s="8"/>
      <x:c r="G113" s="8"/>
      <x:c r="H113" s="8"/>
      <x:c r="I113" s="8"/>
      <x:c r="J113" s="1"/>
      <x:c r="K113" s="1"/>
    </x:row>
    <x:row r="114" ht="30" customHeight="1">
      <x:c r="A114" s="1"/>
      <x:c r="B114" s="1"/>
      <x:c r="C114" s="64" t="str">
        <x:v>Current-year capex depreciation fraction</x:v>
      </x:c>
      <x:c r="D114" s="72" t="n">
        <x:v>0</x:v>
      </x:c>
      <x:c r="E114" s="8"/>
      <x:c r="F114" s="8"/>
      <x:c r="G114" s="8"/>
      <x:c r="H114" s="8"/>
      <x:c r="I114" s="8"/>
      <x:c r="J114" s="1"/>
      <x:c r="K114" s="1"/>
    </x:row>
    <x:row r="115" ht="30" customHeight="1">
      <x:c r="A115" s="1"/>
      <x:c r="B115" s="1"/>
      <x:c r="C115" s="64" t="str">
        <x:v>Debt movement interest weighting</x:v>
      </x:c>
      <x:c r="D115" s="72" t="n">
        <x:v>0</x:v>
      </x:c>
      <x:c r="E115" s="8"/>
      <x:c r="F115" s="8"/>
      <x:c r="G115" s="8"/>
      <x:c r="H115" s="8"/>
      <x:c r="I115" s="8"/>
      <x:c r="J115" s="1"/>
      <x:c r="K115" s="1" t="str">
        <x:v>0 = opening debt interest; 0.5 = mid-year movements; 1 = full-year movements.</x:v>
      </x:c>
    </x:row>
    <x:row r="116" ht="30" customHeight="1">
      <x:c r="A116" s="1"/>
      <x:c r="B116" s="1"/>
      <x:c r="C116" s="64" t="str">
        <x:v>Opening tax losses available for use</x:v>
      </x:c>
      <x:c r="D116" s="74" t="n">
        <x:v>0</x:v>
      </x:c>
      <x:c r="E116" s="8"/>
      <x:c r="F116" s="8"/>
      <x:c r="G116" s="8"/>
      <x:c r="H116" s="8"/>
      <x:c r="I116" s="8"/>
      <x:c r="J116" s="1"/>
      <x:c r="K116" s="1"/>
    </x:row>
    <x:row r="117" ht="30" customHeight="1">
      <x:c r="A117" s="1"/>
      <x:c r="B117" s="1"/>
      <x:c r="C117" s="64" t="str">
        <x:v>Tax loss utilization share of positive PBT</x:v>
      </x:c>
      <x:c r="D117" s="72" t="n">
        <x:v>1</x:v>
      </x:c>
      <x:c r="E117" s="8"/>
      <x:c r="F117" s="8"/>
      <x:c r="G117" s="8"/>
      <x:c r="H117" s="8"/>
      <x:c r="I117" s="8"/>
      <x:c r="J117" s="1"/>
      <x:c r="K117" s="1" t="str">
        <x:v>Simplified cash tax schedule. Check company-specific eligibility, expiry, MAT and deferred tax separately.</x:v>
      </x:c>
    </x:row>
    <x:row r="118" ht="30" customHeight="1">
      <x:c r="A118" s="1"/>
      <x:c r="B118" s="1"/>
      <x:c r="C118" s="64"/>
      <x:c r="D118" s="8"/>
      <x:c r="E118" s="8"/>
      <x:c r="F118" s="8"/>
      <x:c r="G118" s="8"/>
      <x:c r="H118" s="8"/>
      <x:c r="I118" s="8"/>
      <x:c r="J118" s="1"/>
      <x:c r="K118" s="1"/>
    </x:row>
    <x:row r="119" ht="25" customHeight="1">
      <x:c r="A119" s="1"/>
      <x:c r="B119" s="1"/>
      <x:c r="C119" s="68" t="str">
        <x:v>DEBT AND INTEREST SCHEDULE</x:v>
      </x:c>
      <x:c r="D119" s="69"/>
      <x:c r="E119" s="69"/>
      <x:c r="F119" s="69"/>
      <x:c r="G119" s="69"/>
      <x:c r="H119" s="69"/>
      <x:c r="I119" s="69"/>
      <x:c r="J119" s="1"/>
      <x:c r="K119" s="1"/>
    </x:row>
    <x:row r="120" ht="30" customHeight="1">
      <x:c r="A120" s="1"/>
      <x:c r="B120" s="1"/>
      <x:c r="C120" s="64" t="str">
        <x:v>Opening debt balance</x:v>
      </x:c>
      <x:c r="D120" s="8"/>
      <x:c r="E120" s="8" t="n">
        <x:f>D35</x:f>
        <x:v>300</x:v>
      </x:c>
      <x:c r="F120" s="8" t="n">
        <x:f>E123</x:f>
        <x:v>270</x:v>
      </x:c>
      <x:c r="G120" s="8" t="n">
        <x:f>F123</x:f>
        <x:v>240</x:v>
      </x:c>
      <x:c r="H120" s="8" t="n">
        <x:f>G123</x:f>
        <x:v>210</x:v>
      </x:c>
      <x:c r="I120" s="8" t="n">
        <x:f>H123</x:f>
        <x:v>180</x:v>
      </x:c>
      <x:c r="J120" s="1"/>
      <x:c r="K120" s="1"/>
    </x:row>
    <x:row r="121" ht="30" customHeight="1">
      <x:c r="A121" s="1"/>
      <x:c r="B121" s="1"/>
      <x:c r="C121" s="64" t="str">
        <x:v>Debt drawn</x:v>
      </x:c>
      <x:c r="D121" s="8"/>
      <x:c r="E121" s="8" t="n">
        <x:f>E30</x:f>
        <x:v>0</x:v>
      </x:c>
      <x:c r="F121" s="8" t="n">
        <x:f>F30</x:f>
        <x:v>0</x:v>
      </x:c>
      <x:c r="G121" s="8" t="n">
        <x:f>G30</x:f>
        <x:v>0</x:v>
      </x:c>
      <x:c r="H121" s="8" t="n">
        <x:f>H30</x:f>
        <x:v>0</x:v>
      </x:c>
      <x:c r="I121" s="8" t="n">
        <x:f>I30</x:f>
        <x:v>0</x:v>
      </x:c>
      <x:c r="J121" s="1"/>
      <x:c r="K121" s="1"/>
    </x:row>
    <x:row r="122" ht="30" customHeight="1">
      <x:c r="A122" s="1"/>
      <x:c r="B122" s="1"/>
      <x:c r="C122" s="64" t="str">
        <x:v>Debt principal repaid</x:v>
      </x:c>
      <x:c r="D122" s="8"/>
      <x:c r="E122" s="8" t="n">
        <x:f>E31</x:f>
        <x:v>30</x:v>
      </x:c>
      <x:c r="F122" s="8" t="n">
        <x:f>F31</x:f>
        <x:v>30</x:v>
      </x:c>
      <x:c r="G122" s="8" t="n">
        <x:f>G31</x:f>
        <x:v>30</x:v>
      </x:c>
      <x:c r="H122" s="8" t="n">
        <x:f>H31</x:f>
        <x:v>30</x:v>
      </x:c>
      <x:c r="I122" s="8" t="n">
        <x:f>I31</x:f>
        <x:v>30</x:v>
      </x:c>
      <x:c r="J122" s="1"/>
      <x:c r="K122" s="1"/>
    </x:row>
    <x:row r="123" ht="30" customHeight="1">
      <x:c r="A123" s="1"/>
      <x:c r="B123" s="1"/>
      <x:c r="C123" s="64" t="str">
        <x:v>Closing debt balance</x:v>
      </x:c>
      <x:c r="D123" s="8"/>
      <x:c r="E123" s="8" t="n">
        <x:f>E120+E121-E122</x:f>
        <x:v>270</x:v>
      </x:c>
      <x:c r="F123" s="8" t="n">
        <x:f>F120+F121-F122</x:f>
        <x:v>240</x:v>
      </x:c>
      <x:c r="G123" s="8" t="n">
        <x:f>G120+G121-G122</x:f>
        <x:v>210</x:v>
      </x:c>
      <x:c r="H123" s="8" t="n">
        <x:f>H120+H121-H122</x:f>
        <x:v>180</x:v>
      </x:c>
      <x:c r="I123" s="8" t="n">
        <x:f>I120+I121-I122</x:f>
        <x:v>150</x:v>
      </x:c>
      <x:c r="J123" s="1"/>
      <x:c r="K123" s="1"/>
    </x:row>
    <x:row r="124" ht="30" customHeight="1">
      <x:c r="A124" s="1"/>
      <x:c r="B124" s="1"/>
      <x:c r="C124" s="64" t="str">
        <x:v>Interest-bearing debt base</x:v>
      </x:c>
      <x:c r="D124" s="8"/>
      <x:c r="E124" s="8" t="n">
        <x:f>E120+(E121-E122)*$D$115</x:f>
        <x:v>300</x:v>
      </x:c>
      <x:c r="F124" s="8" t="n">
        <x:f>F120+(F121-F122)*$D$115</x:f>
        <x:v>270</x:v>
      </x:c>
      <x:c r="G124" s="8" t="n">
        <x:f>G120+(G121-G122)*$D$115</x:f>
        <x:v>240</x:v>
      </x:c>
      <x:c r="H124" s="8" t="n">
        <x:f>H120+(H121-H122)*$D$115</x:f>
        <x:v>210</x:v>
      </x:c>
      <x:c r="I124" s="8" t="n">
        <x:f>I120+(I121-I122)*$D$115</x:f>
        <x:v>180</x:v>
      </x:c>
      <x:c r="J124" s="1"/>
      <x:c r="K124" s="1"/>
    </x:row>
    <x:row r="125" ht="30" customHeight="1">
      <x:c r="A125" s="1"/>
      <x:c r="B125" s="1"/>
      <x:c r="C125" s="64" t="str">
        <x:v>Scheduled interest expense</x:v>
      </x:c>
      <x:c r="D125" s="8"/>
      <x:c r="E125" s="8" t="n">
        <x:f>E124*E29</x:f>
        <x:v>25.500000000000004</x:v>
      </x:c>
      <x:c r="F125" s="8" t="n">
        <x:f>F124*F29</x:f>
        <x:v>22.950000000000003</x:v>
      </x:c>
      <x:c r="G125" s="8" t="n">
        <x:f>G124*G29</x:f>
        <x:v>20.400000000000002</x:v>
      </x:c>
      <x:c r="H125" s="8" t="n">
        <x:f>H124*H29</x:f>
        <x:v>17.85</x:v>
      </x:c>
      <x:c r="I125" s="8" t="n">
        <x:f>I124*I29</x:f>
        <x:v>15.3</x:v>
      </x:c>
      <x:c r="J125" s="1"/>
      <x:c r="K125" s="1"/>
    </x:row>
    <x:row r="126" ht="30" customHeight="1">
      <x:c r="A126" s="1"/>
      <x:c r="B126" s="1"/>
      <x:c r="C126" s="64"/>
      <x:c r="D126" s="8"/>
      <x:c r="E126" s="8"/>
      <x:c r="F126" s="8"/>
      <x:c r="G126" s="8"/>
      <x:c r="H126" s="8"/>
      <x:c r="I126" s="8"/>
      <x:c r="J126" s="1"/>
      <x:c r="K126" s="1"/>
    </x:row>
    <x:row r="127" ht="30" customHeight="1">
      <x:c r="A127" s="1"/>
      <x:c r="B127" s="1"/>
      <x:c r="C127" s="64"/>
      <x:c r="D127" s="8"/>
      <x:c r="E127" s="8"/>
      <x:c r="F127" s="8"/>
      <x:c r="G127" s="8"/>
      <x:c r="H127" s="8"/>
      <x:c r="I127" s="8"/>
      <x:c r="J127" s="1"/>
      <x:c r="K127" s="1"/>
    </x:row>
    <x:row r="128" ht="30" customHeight="1">
      <x:c r="A128" s="1"/>
      <x:c r="B128" s="1"/>
      <x:c r="C128" s="64"/>
      <x:c r="D128" s="8"/>
      <x:c r="E128" s="8"/>
      <x:c r="F128" s="8"/>
      <x:c r="G128" s="8"/>
      <x:c r="H128" s="8"/>
      <x:c r="I128" s="8"/>
      <x:c r="J128" s="1"/>
      <x:c r="K128" s="1"/>
    </x:row>
    <x:row r="129" ht="25" customHeight="1">
      <x:c r="A129" s="1"/>
      <x:c r="B129" s="1"/>
      <x:c r="C129" s="68" t="str">
        <x:v>CAPEX AND DEPRECIATION SCHEDULE</x:v>
      </x:c>
      <x:c r="D129" s="69"/>
      <x:c r="E129" s="69"/>
      <x:c r="F129" s="69"/>
      <x:c r="G129" s="69"/>
      <x:c r="H129" s="69"/>
      <x:c r="I129" s="69"/>
      <x:c r="J129" s="1"/>
      <x:c r="K129" s="1"/>
    </x:row>
    <x:row r="130" ht="30" customHeight="1">
      <x:c r="A130" s="1"/>
      <x:c r="B130" s="1"/>
      <x:c r="C130" s="64" t="str">
        <x:v>Opening net property plant and equipment</x:v>
      </x:c>
      <x:c r="D130" s="8"/>
      <x:c r="E130" s="8" t="n">
        <x:f>D34</x:f>
        <x:v>1000</x:v>
      </x:c>
      <x:c r="F130" s="8" t="n">
        <x:f>E135</x:f>
        <x:v>940.0912000000001</x:v>
      </x:c>
      <x:c r="G130" s="8" t="n">
        <x:f>F135</x:f>
        <x:v>894.14974336</x:v>
      </x:c>
      <x:c r="H130" s="8" t="n">
        <x:f>G135</x:f>
        <x:v>861.264139691008</x:v>
      </x:c>
      <x:c r="I130" s="8" t="n">
        <x:f>H135</x:f>
        <x:v>840.7185232945538</x:v>
      </x:c>
      <x:c r="J130" s="1"/>
      <x:c r="K130" s="1"/>
    </x:row>
    <x:row r="131" ht="30" customHeight="1">
      <x:c r="A131" s="1"/>
      <x:c r="B131" s="1"/>
      <x:c r="C131" s="64" t="str">
        <x:v>Capital expenditure added</x:v>
      </x:c>
      <x:c r="D131" s="8"/>
      <x:c r="E131" s="8" t="n">
        <x:f>E65</x:f>
        <x:v>60.09119999999999</x:v>
      </x:c>
      <x:c r="F131" s="8" t="n">
        <x:f>F65</x:f>
        <x:v>66.86948736000001</x:v>
      </x:c>
      <x:c r="G131" s="8" t="n">
        <x:f>G65</x:f>
        <x:v>74.41236553420804</x:v>
      </x:c>
      <x:c r="H131" s="8" t="n">
        <x:f>H65</x:f>
        <x:v>82.8060803664667</x:v>
      </x:c>
      <x:c r="I131" s="8" t="n">
        <x:f>I65</x:f>
        <x:v>92.14660623180414</x:v>
      </x:c>
      <x:c r="J131" s="1"/>
      <x:c r="K131" s="1"/>
    </x:row>
    <x:row r="132" ht="30" customHeight="1">
      <x:c r="A132" s="1"/>
      <x:c r="B132" s="1"/>
      <x:c r="C132" s="64" t="str">
        <x:v>Depreciation on opening assets</x:v>
      </x:c>
      <x:c r="D132" s="8"/>
      <x:c r="E132" s="8" t="n">
        <x:f>E130*E24</x:f>
        <x:v>120</x:v>
      </x:c>
      <x:c r="F132" s="8" t="n">
        <x:f>F130*F24</x:f>
        <x:v>112.810944</x:v>
      </x:c>
      <x:c r="G132" s="8" t="n">
        <x:f>G130*G24</x:f>
        <x:v>107.2979692032</x:v>
      </x:c>
      <x:c r="H132" s="8" t="n">
        <x:f>H130*H24</x:f>
        <x:v>103.35169676292097</x:v>
      </x:c>
      <x:c r="I132" s="8" t="n">
        <x:f>I130*I24</x:f>
        <x:v>100.88622279534646</x:v>
      </x:c>
      <x:c r="J132" s="1"/>
      <x:c r="K132" s="1"/>
    </x:row>
    <x:row r="133" ht="30" customHeight="1">
      <x:c r="A133" s="1"/>
      <x:c r="B133" s="1"/>
      <x:c r="C133" s="64" t="str">
        <x:v>Depreciation on current-year additions</x:v>
      </x:c>
      <x:c r="D133" s="8"/>
      <x:c r="E133" s="8" t="n">
        <x:f>E131*E24*$D$114</x:f>
        <x:v>0</x:v>
      </x:c>
      <x:c r="F133" s="8" t="n">
        <x:f>F131*F24*$D$114</x:f>
        <x:v>0</x:v>
      </x:c>
      <x:c r="G133" s="8" t="n">
        <x:f>G131*G24*$D$114</x:f>
        <x:v>0</x:v>
      </x:c>
      <x:c r="H133" s="8" t="n">
        <x:f>H131*H24*$D$114</x:f>
        <x:v>0</x:v>
      </x:c>
      <x:c r="I133" s="8" t="n">
        <x:f>I131*I24*$D$114</x:f>
        <x:v>0</x:v>
      </x:c>
      <x:c r="J133" s="1"/>
      <x:c r="K133" s="1"/>
    </x:row>
    <x:row r="134" ht="30" customHeight="1">
      <x:c r="A134" s="1"/>
      <x:c r="B134" s="1"/>
      <x:c r="C134" s="64" t="str">
        <x:v>Total depreciation charge</x:v>
      </x:c>
      <x:c r="D134" s="8"/>
      <x:c r="E134" s="8" t="n">
        <x:f>E132+E133</x:f>
        <x:v>120</x:v>
      </x:c>
      <x:c r="F134" s="8" t="n">
        <x:f>F132+F133</x:f>
        <x:v>112.810944</x:v>
      </x:c>
      <x:c r="G134" s="8" t="n">
        <x:f>G132+G133</x:f>
        <x:v>107.2979692032</x:v>
      </x:c>
      <x:c r="H134" s="8" t="n">
        <x:f>H132+H133</x:f>
        <x:v>103.35169676292097</x:v>
      </x:c>
      <x:c r="I134" s="8" t="n">
        <x:f>I132+I133</x:f>
        <x:v>100.88622279534646</x:v>
      </x:c>
      <x:c r="J134" s="1"/>
      <x:c r="K134" s="1"/>
    </x:row>
    <x:row r="135" ht="30" customHeight="1">
      <x:c r="A135" s="1"/>
      <x:c r="B135" s="1"/>
      <x:c r="C135" s="64" t="str">
        <x:v>Closing net property plant and equipment</x:v>
      </x:c>
      <x:c r="D135" s="8"/>
      <x:c r="E135" s="8" t="n">
        <x:f>E130+E131-E134</x:f>
        <x:v>940.0912000000001</x:v>
      </x:c>
      <x:c r="F135" s="8" t="n">
        <x:f>F130+F131-F134</x:f>
        <x:v>894.14974336</x:v>
      </x:c>
      <x:c r="G135" s="8" t="n">
        <x:f>G130+G131-G134</x:f>
        <x:v>861.264139691008</x:v>
      </x:c>
      <x:c r="H135" s="8" t="n">
        <x:f>H130+H131-H134</x:f>
        <x:v>840.7185232945538</x:v>
      </x:c>
      <x:c r="I135" s="8" t="n">
        <x:f>I130+I131-I134</x:f>
        <x:v>831.9789067310115</x:v>
      </x:c>
      <x:c r="J135" s="1"/>
      <x:c r="K135" s="1"/>
    </x:row>
    <x:row r="136" ht="30" customHeight="1">
      <x:c r="A136" s="1"/>
      <x:c r="B136" s="1"/>
      <x:c r="C136" s="64"/>
      <x:c r="D136" s="8"/>
      <x:c r="E136" s="8"/>
      <x:c r="F136" s="8"/>
      <x:c r="G136" s="8"/>
      <x:c r="H136" s="8"/>
      <x:c r="I136" s="8"/>
      <x:c r="J136" s="1"/>
      <x:c r="K136" s="1"/>
    </x:row>
    <x:row r="137" ht="30" customHeight="1">
      <x:c r="A137" s="1"/>
      <x:c r="B137" s="1"/>
      <x:c r="C137" s="64"/>
      <x:c r="D137" s="8"/>
      <x:c r="E137" s="8"/>
      <x:c r="F137" s="8"/>
      <x:c r="G137" s="8"/>
      <x:c r="H137" s="8"/>
      <x:c r="I137" s="8"/>
      <x:c r="J137" s="1"/>
      <x:c r="K137" s="1"/>
    </x:row>
    <x:row r="138" ht="30" customHeight="1">
      <x:c r="A138" s="1"/>
      <x:c r="B138" s="1"/>
      <x:c r="C138" s="64"/>
      <x:c r="D138" s="8"/>
      <x:c r="E138" s="8"/>
      <x:c r="F138" s="8"/>
      <x:c r="G138" s="8"/>
      <x:c r="H138" s="8"/>
      <x:c r="I138" s="8"/>
      <x:c r="J138" s="1"/>
      <x:c r="K138" s="1"/>
    </x:row>
    <x:row r="139" ht="25" customHeight="1">
      <x:c r="A139" s="1"/>
      <x:c r="B139" s="1"/>
      <x:c r="C139" s="68" t="str">
        <x:v>CASH TAX SCHEDULE</x:v>
      </x:c>
      <x:c r="D139" s="69"/>
      <x:c r="E139" s="69"/>
      <x:c r="F139" s="69"/>
      <x:c r="G139" s="69"/>
      <x:c r="H139" s="69"/>
      <x:c r="I139" s="69"/>
      <x:c r="J139" s="1"/>
      <x:c r="K139" s="1"/>
    </x:row>
    <x:row r="140" ht="30" customHeight="1">
      <x:c r="A140" s="1"/>
      <x:c r="B140" s="1"/>
      <x:c r="C140" s="64" t="str">
        <x:v>Opening usable tax losses</x:v>
      </x:c>
      <x:c r="D140" s="8"/>
      <x:c r="E140" s="8" t="n">
        <x:f>$D$116</x:f>
        <x:v>0</x:v>
      </x:c>
      <x:c r="F140" s="8" t="n">
        <x:f>E145</x:f>
        <x:v>0</x:v>
      </x:c>
      <x:c r="G140" s="8" t="n">
        <x:f>F145</x:f>
        <x:v>0</x:v>
      </x:c>
      <x:c r="H140" s="8" t="n">
        <x:f>G145</x:f>
        <x:v>0</x:v>
      </x:c>
      <x:c r="I140" s="8" t="n">
        <x:f>H145</x:f>
        <x:v>0</x:v>
      </x:c>
      <x:c r="J140" s="1"/>
      <x:c r="K140" s="1"/>
    </x:row>
    <x:row r="141" ht="30" customHeight="1">
      <x:c r="A141" s="1"/>
      <x:c r="B141" s="1"/>
      <x:c r="C141" s="64" t="str">
        <x:v>Profit before tax for loss utilization</x:v>
      </x:c>
      <x:c r="D141" s="8"/>
      <x:c r="E141" s="8" t="n">
        <x:f>E56</x:f>
        <x:v>161.63279999999992</x:v>
      </x:c>
      <x:c r="F141" s="8" t="n">
        <x:f>F56</x:f>
        <x:v>206.01643584000004</x:v>
      </x:c>
      <x:c r="G141" s="8" t="n">
        <x:f>G56</x:f>
        <x:v>252.6318990827522</x:v>
      </x:c>
      <x:c r="H141" s="8" t="n">
        <x:f>H56</x:f>
        <x:v>302.0293806656865</x:v>
      </x:c>
      <x:c r="I141" s="8" t="n">
        <x:f>I56</x:f>
        <x:v>354.7853201672081</x:v>
      </x:c>
      <x:c r="J141" s="1"/>
      <x:c r="K141" s="1"/>
    </x:row>
    <x:row r="142" ht="30" customHeight="1">
      <x:c r="A142" s="1"/>
      <x:c r="B142" s="1"/>
      <x:c r="C142" s="64" t="str">
        <x:v>Tax losses utilized</x:v>
      </x:c>
      <x:c r="D142" s="8"/>
      <x:c r="E142" s="8" t="n">
        <x:f>MIN(E140,MAX(0,E141)*$D$117)</x:f>
        <x:v>0</x:v>
      </x:c>
      <x:c r="F142" s="8" t="n">
        <x:f>MIN(F140,MAX(0,F141)*$D$117)</x:f>
        <x:v>0</x:v>
      </x:c>
      <x:c r="G142" s="8" t="n">
        <x:f>MIN(G140,MAX(0,G141)*$D$117)</x:f>
        <x:v>0</x:v>
      </x:c>
      <x:c r="H142" s="8" t="n">
        <x:f>MIN(H140,MAX(0,H141)*$D$117)</x:f>
        <x:v>0</x:v>
      </x:c>
      <x:c r="I142" s="8" t="n">
        <x:f>MIN(I140,MAX(0,I141)*$D$117)</x:f>
        <x:v>0</x:v>
      </x:c>
      <x:c r="J142" s="1"/>
      <x:c r="K142" s="1"/>
    </x:row>
    <x:row r="143" ht="30" customHeight="1">
      <x:c r="A143" s="1"/>
      <x:c r="B143" s="1"/>
      <x:c r="C143" s="64" t="str">
        <x:v>Taxable profit after loss utilization</x:v>
      </x:c>
      <x:c r="D143" s="8"/>
      <x:c r="E143" s="8" t="n">
        <x:f>MAX(0,E141-E142)</x:f>
        <x:v>161.63279999999992</x:v>
      </x:c>
      <x:c r="F143" s="8" t="n">
        <x:f>MAX(0,F141-F142)</x:f>
        <x:v>206.01643584000004</x:v>
      </x:c>
      <x:c r="G143" s="8" t="n">
        <x:f>MAX(0,G141-G142)</x:f>
        <x:v>252.6318990827522</x:v>
      </x:c>
      <x:c r="H143" s="8" t="n">
        <x:f>MAX(0,H141-H142)</x:f>
        <x:v>302.0293806656865</x:v>
      </x:c>
      <x:c r="I143" s="8" t="n">
        <x:f>MAX(0,I141-I142)</x:f>
        <x:v>354.7853201672081</x:v>
      </x:c>
      <x:c r="J143" s="1"/>
      <x:c r="K143" s="1"/>
    </x:row>
    <x:row r="144" ht="30" customHeight="1">
      <x:c r="A144" s="1"/>
      <x:c r="B144" s="1"/>
      <x:c r="C144" s="64" t="str">
        <x:v>Cash income tax after loss utilization</x:v>
      </x:c>
      <x:c r="D144" s="8"/>
      <x:c r="E144" s="8" t="n">
        <x:f>E143*E28</x:f>
        <x:v>40.40819999999998</x:v>
      </x:c>
      <x:c r="F144" s="8" t="n">
        <x:f>F143*F28</x:f>
        <x:v>51.50410896000001</x:v>
      </x:c>
      <x:c r="G144" s="8" t="n">
        <x:f>G143*G28</x:f>
        <x:v>63.15797477068805</x:v>
      </x:c>
      <x:c r="H144" s="8" t="n">
        <x:f>H143*H28</x:f>
        <x:v>75.50734516642163</x:v>
      </x:c>
      <x:c r="I144" s="8" t="n">
        <x:f>I143*I28</x:f>
        <x:v>88.69633004180203</x:v>
      </x:c>
      <x:c r="J144" s="1"/>
      <x:c r="K144" s="1"/>
    </x:row>
    <x:row r="145" ht="30" customHeight="1">
      <x:c r="A145" s="1"/>
      <x:c r="B145" s="1"/>
      <x:c r="C145" s="64" t="str">
        <x:v>Closing usable tax losses</x:v>
      </x:c>
      <x:c r="D145" s="8"/>
      <x:c r="E145" s="8" t="n">
        <x:f>E140-E142+MAX(0,-E141)</x:f>
        <x:v>0</x:v>
      </x:c>
      <x:c r="F145" s="8" t="n">
        <x:f>F140-F142+MAX(0,-F141)</x:f>
        <x:v>0</x:v>
      </x:c>
      <x:c r="G145" s="8" t="n">
        <x:f>G140-G142+MAX(0,-G141)</x:f>
        <x:v>0</x:v>
      </x:c>
      <x:c r="H145" s="8" t="n">
        <x:f>H140-H142+MAX(0,-H141)</x:f>
        <x:v>0</x:v>
      </x:c>
      <x:c r="I145" s="8" t="n">
        <x:f>I140-I142+MAX(0,-I141)</x:f>
        <x:v>0</x:v>
      </x:c>
      <x:c r="J145" s="1"/>
      <x:c r="K145" s="1"/>
    </x:row>
    <x:row r="146" ht="30" customHeight="1">
      <x:c r="A146" s="1"/>
      <x:c r="B146" s="1"/>
      <x:c r="C146" s="64"/>
      <x:c r="D146" s="8"/>
      <x:c r="E146" s="8"/>
      <x:c r="F146" s="8"/>
      <x:c r="G146" s="8"/>
      <x:c r="H146" s="8"/>
      <x:c r="I146" s="8"/>
      <x:c r="J146" s="1"/>
      <x:c r="K146" s="1"/>
    </x:row>
    <x:row r="147" ht="30" customHeight="1">
      <x:c r="A147" s="1"/>
      <x:c r="B147" s="1"/>
      <x:c r="C147" s="64"/>
      <x:c r="D147" s="8"/>
      <x:c r="E147" s="8"/>
      <x:c r="F147" s="8"/>
      <x:c r="G147" s="8"/>
      <x:c r="H147" s="8"/>
      <x:c r="I147" s="8"/>
      <x:c r="J147" s="1"/>
      <x:c r="K147" s="1"/>
    </x:row>
    <x:row r="148" ht="30" customHeight="1">
      <x:c r="A148" s="1"/>
      <x:c r="B148" s="1"/>
      <x:c r="C148" s="64"/>
      <x:c r="D148" s="8"/>
      <x:c r="E148" s="8"/>
      <x:c r="F148" s="8"/>
      <x:c r="G148" s="8"/>
      <x:c r="H148" s="8"/>
      <x:c r="I148" s="8"/>
      <x:c r="J148" s="1"/>
      <x:c r="K148" s="1"/>
    </x:row>
    <x:row r="149" ht="30" customHeight="1">
      <x:c r="A149" s="1"/>
      <x:c r="B149" s="1"/>
      <x:c r="C149" s="64"/>
      <x:c r="D149" s="8"/>
      <x:c r="E149" s="8"/>
      <x:c r="F149" s="8"/>
      <x:c r="G149" s="8"/>
      <x:c r="H149" s="8"/>
      <x:c r="I149" s="8"/>
      <x:c r="J149" s="1"/>
      <x:c r="K149" s="1"/>
    </x:row>
    <x:row r="150" ht="30" customHeight="1">
      <x:c r="A150" s="1"/>
      <x:c r="B150" s="1"/>
      <x:c r="C150" s="64"/>
      <x:c r="D150" s="8"/>
      <x:c r="E150" s="8"/>
      <x:c r="F150" s="8"/>
      <x:c r="G150" s="8"/>
      <x:c r="H150" s="8"/>
      <x:c r="I150" s="8"/>
      <x:c r="J150" s="1"/>
      <x:c r="K150" s="1"/>
    </x:row>
    <x:row r="151" ht="30" customHeight="1">
      <x:c r="A151" s="1"/>
      <x:c r="B151" s="1"/>
      <x:c r="C151" s="64"/>
      <x:c r="D151" s="8"/>
      <x:c r="E151" s="8"/>
      <x:c r="F151" s="8"/>
      <x:c r="G151" s="8"/>
      <x:c r="H151" s="8"/>
      <x:c r="I151" s="8"/>
      <x:c r="J151" s="1"/>
      <x:c r="K151" s="1"/>
    </x:row>
    <x:row r="152" ht="30" customHeight="1">
      <x:c r="A152" s="1"/>
      <x:c r="B152" s="1"/>
      <x:c r="C152" s="64"/>
      <x:c r="D152" s="8"/>
      <x:c r="E152" s="8"/>
      <x:c r="F152" s="8"/>
      <x:c r="G152" s="8"/>
      <x:c r="H152" s="8"/>
      <x:c r="I152" s="8"/>
      <x:c r="J152" s="1"/>
      <x:c r="K152" s="1"/>
    </x:row>
    <x:row r="153" ht="30" customHeight="1">
      <x:c r="A153" s="1"/>
      <x:c r="B153" s="1"/>
      <x:c r="C153" s="64"/>
      <x:c r="D153" s="8"/>
      <x:c r="E153" s="8"/>
      <x:c r="F153" s="8"/>
      <x:c r="G153" s="8"/>
      <x:c r="H153" s="8"/>
      <x:c r="I153" s="8"/>
      <x:c r="J153" s="1"/>
      <x:c r="K153" s="1"/>
    </x:row>
    <x:row r="154" ht="30" customHeight="1">
      <x:c r="A154" s="1"/>
      <x:c r="B154" s="1"/>
      <x:c r="C154" s="64"/>
      <x:c r="D154" s="8"/>
      <x:c r="E154" s="8"/>
      <x:c r="F154" s="8"/>
      <x:c r="G154" s="8"/>
      <x:c r="H154" s="8"/>
      <x:c r="I154" s="8"/>
      <x:c r="J154" s="1"/>
      <x:c r="K154" s="1"/>
    </x:row>
    <x:row r="155" ht="30" customHeight="1">
      <x:c r="A155" s="1"/>
      <x:c r="B155" s="1"/>
      <x:c r="C155" s="64"/>
      <x:c r="D155" s="8"/>
      <x:c r="E155" s="8"/>
      <x:c r="F155" s="8"/>
      <x:c r="G155" s="8"/>
      <x:c r="H155" s="8"/>
      <x:c r="I155" s="8"/>
      <x:c r="J155" s="1"/>
      <x:c r="K155" s="1"/>
    </x:row>
    <x:row r="156" ht="30" customHeight="1">
      <x:c r="A156" s="1"/>
      <x:c r="B156" s="1"/>
      <x:c r="C156" s="64"/>
      <x:c r="D156" s="8"/>
      <x:c r="E156" s="8"/>
      <x:c r="F156" s="8"/>
      <x:c r="G156" s="8"/>
      <x:c r="H156" s="8"/>
      <x:c r="I156" s="8"/>
      <x:c r="J156" s="1"/>
      <x:c r="K156" s="1"/>
    </x:row>
    <x:row r="157" ht="30" customHeight="1">
      <x:c r="A157" s="1"/>
      <x:c r="B157" s="1"/>
      <x:c r="C157" s="64"/>
      <x:c r="D157" s="8"/>
      <x:c r="E157" s="8"/>
      <x:c r="F157" s="8"/>
      <x:c r="G157" s="8"/>
      <x:c r="H157" s="8"/>
      <x:c r="I157" s="8"/>
      <x:c r="J157" s="1"/>
      <x:c r="K157" s="1"/>
    </x:row>
    <x:row r="158" ht="30" customHeight="1">
      <x:c r="A158" s="1"/>
      <x:c r="B158" s="1"/>
      <x:c r="C158" s="64"/>
      <x:c r="D158" s="8"/>
      <x:c r="E158" s="8"/>
      <x:c r="F158" s="8"/>
      <x:c r="G158" s="8"/>
      <x:c r="H158" s="8"/>
      <x:c r="I158" s="8"/>
      <x:c r="J158" s="1"/>
      <x:c r="K158" s="1"/>
    </x:row>
    <x:row r="159" ht="30" customHeight="1">
      <x:c r="A159" s="1"/>
      <x:c r="B159" s="1"/>
      <x:c r="C159" s="64"/>
      <x:c r="D159" s="8"/>
      <x:c r="E159" s="8"/>
      <x:c r="F159" s="8"/>
      <x:c r="G159" s="8"/>
      <x:c r="H159" s="8"/>
      <x:c r="I159" s="8"/>
      <x:c r="J159" s="1"/>
      <x:c r="K159" s="1"/>
    </x:row>
    <x:row r="160" ht="30" customHeight="1">
      <x:c r="A160" s="1"/>
      <x:c r="B160" s="1"/>
      <x:c r="C160" s="64"/>
      <x:c r="D160" s="8"/>
      <x:c r="E160" s="8"/>
      <x:c r="F160" s="8"/>
      <x:c r="G160" s="8"/>
      <x:c r="H160" s="8"/>
      <x:c r="I160" s="8"/>
      <x:c r="J160" s="1"/>
      <x:c r="K160" s="1"/>
    </x:row>
    <x:row r="161" ht="30" customHeight="1">
      <x:c r="A161" s="1"/>
      <x:c r="B161" s="1"/>
      <x:c r="C161" s="64"/>
      <x:c r="D161" s="8"/>
      <x:c r="E161" s="8"/>
      <x:c r="F161" s="8"/>
      <x:c r="G161" s="8"/>
      <x:c r="H161" s="8"/>
      <x:c r="I161" s="8"/>
      <x:c r="J161" s="1"/>
      <x:c r="K161" s="1"/>
    </x:row>
    <x:row r="162" ht="30" customHeight="1">
      <x:c r="A162" s="1"/>
      <x:c r="B162" s="1"/>
      <x:c r="C162" s="64"/>
      <x:c r="D162" s="8"/>
      <x:c r="E162" s="8"/>
      <x:c r="F162" s="8"/>
      <x:c r="G162" s="8"/>
      <x:c r="H162" s="8"/>
      <x:c r="I162" s="8"/>
      <x:c r="J162" s="1"/>
      <x:c r="K162" s="1"/>
    </x:row>
    <x:row r="163" ht="30" customHeight="1">
      <x:c r="A163" s="1"/>
      <x:c r="B163" s="1"/>
      <x:c r="C163" s="64"/>
      <x:c r="D163" s="8"/>
      <x:c r="E163" s="8"/>
      <x:c r="F163" s="8"/>
      <x:c r="G163" s="8"/>
      <x:c r="H163" s="8"/>
      <x:c r="I163" s="8"/>
      <x:c r="J163" s="1"/>
      <x:c r="K163" s="1"/>
    </x:row>
    <x:row r="164" ht="30" customHeight="1">
      <x:c r="A164" s="1"/>
      <x:c r="B164" s="1"/>
      <x:c r="C164" s="64"/>
      <x:c r="D164" s="8"/>
      <x:c r="E164" s="8"/>
      <x:c r="F164" s="8"/>
      <x:c r="G164" s="8"/>
      <x:c r="H164" s="8"/>
      <x:c r="I164" s="8"/>
      <x:c r="J164" s="1"/>
      <x:c r="K164" s="1"/>
    </x:row>
    <x:row r="165" ht="30" customHeight="1">
      <x:c r="A165" s="1"/>
      <x:c r="B165" s="1"/>
      <x:c r="C165" s="64"/>
      <x:c r="D165" s="8"/>
      <x:c r="E165" s="8"/>
      <x:c r="F165" s="8"/>
      <x:c r="G165" s="8"/>
      <x:c r="H165" s="8"/>
      <x:c r="I165" s="8"/>
      <x:c r="J165" s="1"/>
      <x:c r="K165" s="1"/>
    </x:row>
    <x:row r="166" ht="30" customHeight="1">
      <x:c r="A166" s="1"/>
      <x:c r="B166" s="1"/>
      <x:c r="C166" s="64"/>
      <x:c r="D166" s="8"/>
      <x:c r="E166" s="8"/>
      <x:c r="F166" s="8"/>
      <x:c r="G166" s="8"/>
      <x:c r="H166" s="8"/>
      <x:c r="I166" s="8"/>
      <x:c r="J166" s="1"/>
      <x:c r="K166" s="1"/>
    </x:row>
    <x:row r="167" ht="30" customHeight="1">
      <x:c r="A167" s="1"/>
      <x:c r="B167" s="1"/>
      <x:c r="C167" s="64"/>
      <x:c r="D167" s="8"/>
      <x:c r="E167" s="8"/>
      <x:c r="F167" s="8"/>
      <x:c r="G167" s="8"/>
      <x:c r="H167" s="8"/>
      <x:c r="I167" s="8"/>
      <x:c r="J167" s="1"/>
      <x:c r="K167" s="1"/>
    </x:row>
    <x:row r="168" ht="30" customHeight="1">
      <x:c r="A168" s="1"/>
      <x:c r="B168" s="1"/>
      <x:c r="C168" s="64"/>
      <x:c r="D168" s="8"/>
      <x:c r="E168" s="8"/>
      <x:c r="F168" s="8"/>
      <x:c r="G168" s="8"/>
      <x:c r="H168" s="8"/>
      <x:c r="I168" s="8"/>
      <x:c r="J168" s="1"/>
      <x:c r="K168" s="1"/>
    </x:row>
    <x:row r="169" ht="30" customHeight="1">
      <x:c r="A169" s="1"/>
      <x:c r="B169" s="1"/>
      <x:c r="C169" s="64"/>
      <x:c r="D169" s="8"/>
      <x:c r="E169" s="8"/>
      <x:c r="F169" s="8"/>
      <x:c r="G169" s="8"/>
      <x:c r="H169" s="8"/>
      <x:c r="I169" s="8"/>
      <x:c r="J169" s="1"/>
      <x:c r="K169" s="1"/>
    </x:row>
    <x:row r="170" ht="30" customHeight="1">
      <x:c r="A170" s="1"/>
      <x:c r="B170" s="1"/>
      <x:c r="C170" s="64"/>
      <x:c r="D170" s="8"/>
      <x:c r="E170" s="8"/>
      <x:c r="F170" s="8"/>
      <x:c r="G170" s="8"/>
      <x:c r="H170" s="8"/>
      <x:c r="I170" s="8"/>
      <x:c r="J170" s="1"/>
      <x:c r="K170" s="1"/>
    </x:row>
    <x:row r="171" ht="30" customHeight="1">
      <x:c r="A171" s="1"/>
      <x:c r="B171" s="1"/>
      <x:c r="C171" s="64"/>
      <x:c r="D171" s="8"/>
      <x:c r="E171" s="8"/>
      <x:c r="F171" s="8"/>
      <x:c r="G171" s="8"/>
      <x:c r="H171" s="8"/>
      <x:c r="I171" s="8"/>
      <x:c r="J171" s="1"/>
      <x:c r="K171" s="1"/>
    </x:row>
    <x:row r="172" ht="30" customHeight="1">
      <x:c r="A172" s="1"/>
      <x:c r="B172" s="1"/>
      <x:c r="C172" s="64"/>
      <x:c r="D172" s="8"/>
      <x:c r="E172" s="8"/>
      <x:c r="F172" s="8"/>
      <x:c r="G172" s="8"/>
      <x:c r="H172" s="8"/>
      <x:c r="I172" s="8"/>
      <x:c r="J172" s="1"/>
      <x:c r="K172" s="1"/>
    </x:row>
    <x:row r="173" ht="30" customHeight="1">
      <x:c r="A173" s="1"/>
      <x:c r="B173" s="1"/>
      <x:c r="C173" s="64"/>
      <x:c r="D173" s="8"/>
      <x:c r="E173" s="8"/>
      <x:c r="F173" s="8"/>
      <x:c r="G173" s="8"/>
      <x:c r="H173" s="8"/>
      <x:c r="I173" s="8"/>
      <x:c r="J173" s="1"/>
      <x:c r="K173" s="1"/>
    </x:row>
    <x:row r="174" ht="30" customHeight="1">
      <x:c r="A174" s="1"/>
      <x:c r="B174" s="1"/>
      <x:c r="C174" s="64"/>
      <x:c r="D174" s="8"/>
      <x:c r="E174" s="8"/>
      <x:c r="F174" s="8"/>
      <x:c r="G174" s="8"/>
      <x:c r="H174" s="8"/>
      <x:c r="I174" s="8"/>
      <x:c r="J174" s="1"/>
      <x:c r="K174" s="1"/>
    </x:row>
    <x:row r="175" ht="30" customHeight="1">
      <x:c r="A175" s="1"/>
      <x:c r="B175" s="1"/>
      <x:c r="C175" s="64"/>
      <x:c r="D175" s="8"/>
      <x:c r="E175" s="8"/>
      <x:c r="F175" s="8"/>
      <x:c r="G175" s="8"/>
      <x:c r="H175" s="8"/>
      <x:c r="I175" s="8"/>
      <x:c r="J175" s="1"/>
      <x:c r="K175" s="1"/>
    </x:row>
    <x:row r="176" ht="30" customHeight="1">
      <x:c r="A176" s="1"/>
      <x:c r="B176" s="1"/>
      <x:c r="C176" s="64"/>
      <x:c r="D176" s="8"/>
      <x:c r="E176" s="8"/>
      <x:c r="F176" s="8"/>
      <x:c r="G176" s="8"/>
      <x:c r="H176" s="8"/>
      <x:c r="I176" s="8"/>
      <x:c r="J176" s="1"/>
      <x:c r="K176" s="1"/>
    </x:row>
    <x:row r="177" ht="30" customHeight="1">
      <x:c r="A177" s="1"/>
      <x:c r="B177" s="1"/>
      <x:c r="C177" s="64"/>
      <x:c r="D177" s="8"/>
      <x:c r="E177" s="8"/>
      <x:c r="F177" s="8"/>
      <x:c r="G177" s="8"/>
      <x:c r="H177" s="8"/>
      <x:c r="I177" s="8"/>
      <x:c r="J177" s="1"/>
      <x:c r="K177" s="1"/>
    </x:row>
    <x:row r="178" ht="30" customHeight="1">
      <x:c r="A178" s="1"/>
      <x:c r="B178" s="1"/>
      <x:c r="C178" s="64"/>
      <x:c r="D178" s="8"/>
      <x:c r="E178" s="8"/>
      <x:c r="F178" s="8"/>
      <x:c r="G178" s="8"/>
      <x:c r="H178" s="8"/>
      <x:c r="I178" s="8"/>
      <x:c r="J178" s="1"/>
      <x:c r="K178" s="1"/>
    </x:row>
    <x:row r="179" ht="25" customHeight="1">
      <x:c r="A179" s="1"/>
      <x:c r="B179" s="1"/>
      <x:c r="C179" s="68" t="str">
        <x:v>MODEL CHECKS</x:v>
      </x:c>
      <x:c r="D179" s="69"/>
      <x:c r="E179" s="69"/>
      <x:c r="F179" s="69"/>
      <x:c r="G179" s="69"/>
      <x:c r="H179" s="69"/>
      <x:c r="I179" s="69"/>
      <x:c r="J179" s="1"/>
      <x:c r="K179" s="1"/>
    </x:row>
    <x:row r="180" ht="30" customHeight="1">
      <x:c r="A180" s="1"/>
      <x:c r="B180" s="1"/>
      <x:c r="C180" s="64" t="str">
        <x:v>Sales volume (million units) — seed input outside bounds</x:v>
      </x:c>
      <x:c r="D180" s="8"/>
      <x:c r="E180" s="75" t="n">
        <x:f>IF(COUNT(D10)=0,1,IF(D10&lt;0,1,0))</x:f>
        <x:v>0</x:v>
      </x:c>
      <x:c r="F180" s="75" t="n">
        <x:f>IF(COUNT(D10)=0,1,IF(D10&lt;0,1,0))</x:f>
        <x:v>0</x:v>
      </x:c>
      <x:c r="G180" s="75" t="n">
        <x:f>IF(COUNT(D10)=0,1,IF(D10&lt;0,1,0))</x:f>
        <x:v>0</x:v>
      </x:c>
      <x:c r="H180" s="75" t="n">
        <x:f>IF(COUNT(D10)=0,1,IF(D10&lt;0,1,0))</x:f>
        <x:v>0</x:v>
      </x:c>
      <x:c r="I180" s="75" t="n">
        <x:f>IF(COUNT(D10)=0,1,IF(D10&lt;0,1,0))</x:f>
        <x:v>0</x:v>
      </x:c>
      <x:c r="J180" s="1"/>
      <x:c r="K180" s="1"/>
    </x:row>
    <x:row r="181" ht="30" customHeight="1">
      <x:c r="A181" s="1"/>
      <x:c r="B181" s="1"/>
      <x:c r="C181" s="64" t="str">
        <x:v>Net realization (INR per unit) — seed input outside bounds</x:v>
      </x:c>
      <x:c r="D181" s="8"/>
      <x:c r="E181" s="75" t="n">
        <x:f>IF(COUNT(D11)=0,1,IF(D11&lt;0,1,0))</x:f>
        <x:v>0</x:v>
      </x:c>
      <x:c r="F181" s="75" t="n">
        <x:f>IF(COUNT(D11)=0,1,IF(D11&lt;0,1,0))</x:f>
        <x:v>0</x:v>
      </x:c>
      <x:c r="G181" s="75" t="n">
        <x:f>IF(COUNT(D11)=0,1,IF(D11&lt;0,1,0))</x:f>
        <x:v>0</x:v>
      </x:c>
      <x:c r="H181" s="75" t="n">
        <x:f>IF(COUNT(D11)=0,1,IF(D11&lt;0,1,0))</x:f>
        <x:v>0</x:v>
      </x:c>
      <x:c r="I181" s="75" t="n">
        <x:f>IF(COUNT(D11)=0,1,IF(D11&lt;0,1,0))</x:f>
        <x:v>0</x:v>
      </x:c>
      <x:c r="J181" s="1"/>
      <x:c r="K181" s="1"/>
    </x:row>
    <x:row r="182" ht="30" customHeight="1">
      <x:c r="A182" s="1"/>
      <x:c r="B182" s="1"/>
      <x:c r="C182" s="64" t="str">
        <x:v>Operating scale growth input outside bounds</x:v>
      </x:c>
      <x:c r="D182" s="8"/>
      <x:c r="E182" s="75" t="n">
        <x:f>IF(COUNT(E12)=0,1,IF(E12&lt;-1,1,0))</x:f>
        <x:v>0</x:v>
      </x:c>
      <x:c r="F182" s="75" t="n">
        <x:f>IF(COUNT(F12)=0,1,IF(F12&lt;-1,1,0))</x:f>
        <x:v>0</x:v>
      </x:c>
      <x:c r="G182" s="75" t="n">
        <x:f>IF(COUNT(G12)=0,1,IF(G12&lt;-1,1,0))</x:f>
        <x:v>0</x:v>
      </x:c>
      <x:c r="H182" s="75" t="n">
        <x:f>IF(COUNT(H12)=0,1,IF(H12&lt;-1,1,0))</x:f>
        <x:v>0</x:v>
      </x:c>
      <x:c r="I182" s="75" t="n">
        <x:f>IF(COUNT(I12)=0,1,IF(I12&lt;-1,1,0))</x:f>
        <x:v>0</x:v>
      </x:c>
      <x:c r="J182" s="1"/>
      <x:c r="K182" s="1"/>
    </x:row>
    <x:row r="183" ht="30" customHeight="1">
      <x:c r="A183" s="1"/>
      <x:c r="B183" s="1"/>
      <x:c r="C183" s="64" t="str">
        <x:v>Realization growth input outside bounds</x:v>
      </x:c>
      <x:c r="D183" s="8"/>
      <x:c r="E183" s="75" t="n">
        <x:f>IF(COUNT(E16)=0,1,IF(E16&lt;-1,1,0))</x:f>
        <x:v>0</x:v>
      </x:c>
      <x:c r="F183" s="75" t="n">
        <x:f>IF(COUNT(F16)=0,1,IF(F16&lt;-1,1,0))</x:f>
        <x:v>0</x:v>
      </x:c>
      <x:c r="G183" s="75" t="n">
        <x:f>IF(COUNT(G16)=0,1,IF(G16&lt;-1,1,0))</x:f>
        <x:v>0</x:v>
      </x:c>
      <x:c r="H183" s="75" t="n">
        <x:f>IF(COUNT(H16)=0,1,IF(H16&lt;-1,1,0))</x:f>
        <x:v>0</x:v>
      </x:c>
      <x:c r="I183" s="75" t="n">
        <x:f>IF(COUNT(I16)=0,1,IF(I16&lt;-1,1,0))</x:f>
        <x:v>0</x:v>
      </x:c>
      <x:c r="J183" s="1"/>
      <x:c r="K183" s="1"/>
    </x:row>
    <x:row r="184" ht="30" customHeight="1">
      <x:c r="A184" s="1"/>
      <x:c r="B184" s="1"/>
      <x:c r="C184" s="64" t="str">
        <x:v>Capacity utilization input outside bounds</x:v>
      </x:c>
      <x:c r="D184" s="8"/>
      <x:c r="E184" s="75" t="n">
        <x:f>IF(COUNT(E20)=0,1,IF(E20&lt;0,1,IF(E20&gt;1,1,0)))</x:f>
        <x:v>0</x:v>
      </x:c>
      <x:c r="F184" s="75" t="n">
        <x:f>IF(COUNT(F20)=0,1,IF(F20&lt;0,1,IF(F20&gt;1,1,0)))</x:f>
        <x:v>0</x:v>
      </x:c>
      <x:c r="G184" s="75" t="n">
        <x:f>IF(COUNT(G20)=0,1,IF(G20&lt;0,1,IF(G20&gt;1,1,0)))</x:f>
        <x:v>0</x:v>
      </x:c>
      <x:c r="H184" s="75" t="n">
        <x:f>IF(COUNT(H20)=0,1,IF(H20&lt;0,1,IF(H20&gt;1,1,0)))</x:f>
        <x:v>0</x:v>
      </x:c>
      <x:c r="I184" s="75" t="n">
        <x:f>IF(COUNT(I20)=0,1,IF(I20&lt;0,1,IF(I20&gt;1,1,0)))</x:f>
        <x:v>0</x:v>
      </x:c>
      <x:c r="J184" s="1"/>
      <x:c r="K184" s="1"/>
    </x:row>
    <x:row r="185" ht="30" customHeight="1">
      <x:c r="A185" s="1"/>
      <x:c r="B185" s="1"/>
      <x:c r="C185" s="64" t="str">
        <x:v>Materials and manufacturing / revenue input outside bounds</x:v>
      </x:c>
      <x:c r="D185" s="8"/>
      <x:c r="E185" s="75" t="n">
        <x:f>IF(COUNT(E21)=0,1,IF(E21&lt;0,1,0))</x:f>
        <x:v>0</x:v>
      </x:c>
      <x:c r="F185" s="75" t="n">
        <x:f>IF(COUNT(F21)=0,1,IF(F21&lt;0,1,0))</x:f>
        <x:v>0</x:v>
      </x:c>
      <x:c r="G185" s="75" t="n">
        <x:f>IF(COUNT(G21)=0,1,IF(G21&lt;0,1,0))</x:f>
        <x:v>0</x:v>
      </x:c>
      <x:c r="H185" s="75" t="n">
        <x:f>IF(COUNT(H21)=0,1,IF(H21&lt;0,1,0))</x:f>
        <x:v>0</x:v>
      </x:c>
      <x:c r="I185" s="75" t="n">
        <x:f>IF(COUNT(I21)=0,1,IF(I21&lt;0,1,0))</x:f>
        <x:v>0</x:v>
      </x:c>
      <x:c r="J185" s="1"/>
      <x:c r="K185" s="1"/>
    </x:row>
    <x:row r="186" ht="30" customHeight="1">
      <x:c r="A186" s="1"/>
      <x:c r="B186" s="1"/>
      <x:c r="C186" s="64" t="str">
        <x:v>Other cash operating costs / revenue input outside bounds</x:v>
      </x:c>
      <x:c r="D186" s="8"/>
      <x:c r="E186" s="75" t="n">
        <x:f>IF(COUNT(E22)=0,1,IF(E22&lt;0,1,0))</x:f>
        <x:v>0</x:v>
      </x:c>
      <x:c r="F186" s="75" t="n">
        <x:f>IF(COUNT(F22)=0,1,IF(F22&lt;0,1,0))</x:f>
        <x:v>0</x:v>
      </x:c>
      <x:c r="G186" s="75" t="n">
        <x:f>IF(COUNT(G22)=0,1,IF(G22&lt;0,1,0))</x:f>
        <x:v>0</x:v>
      </x:c>
      <x:c r="H186" s="75" t="n">
        <x:f>IF(COUNT(H22)=0,1,IF(H22&lt;0,1,0))</x:f>
        <x:v>0</x:v>
      </x:c>
      <x:c r="I186" s="75" t="n">
        <x:f>IF(COUNT(I22)=0,1,IF(I22&lt;0,1,0))</x:f>
        <x:v>0</x:v>
      </x:c>
      <x:c r="J186" s="1"/>
      <x:c r="K186" s="1"/>
    </x:row>
    <x:row r="187" ht="30" customHeight="1">
      <x:c r="A187" s="1"/>
      <x:c r="B187" s="1"/>
      <x:c r="C187" s="64" t="str">
        <x:v>Cash capex / revenue input outside bounds</x:v>
      </x:c>
      <x:c r="D187" s="8"/>
      <x:c r="E187" s="75" t="n">
        <x:f>IF(COUNT(E23)=0,1,IF(E23&lt;0,1,0))</x:f>
        <x:v>0</x:v>
      </x:c>
      <x:c r="F187" s="75" t="n">
        <x:f>IF(COUNT(F23)=0,1,IF(F23&lt;0,1,0))</x:f>
        <x:v>0</x:v>
      </x:c>
      <x:c r="G187" s="75" t="n">
        <x:f>IF(COUNT(G23)=0,1,IF(G23&lt;0,1,0))</x:f>
        <x:v>0</x:v>
      </x:c>
      <x:c r="H187" s="75" t="n">
        <x:f>IF(COUNT(H23)=0,1,IF(H23&lt;0,1,0))</x:f>
        <x:v>0</x:v>
      </x:c>
      <x:c r="I187" s="75" t="n">
        <x:f>IF(COUNT(I23)=0,1,IF(I23&lt;0,1,0))</x:f>
        <x:v>0</x:v>
      </x:c>
      <x:c r="J187" s="1"/>
      <x:c r="K187" s="1"/>
    </x:row>
    <x:row r="188" ht="30" customHeight="1">
      <x:c r="A188" s="1"/>
      <x:c r="B188" s="1"/>
      <x:c r="C188" s="64" t="str">
        <x:v>D&amp;A / opening net PP&amp;E input outside bounds</x:v>
      </x:c>
      <x:c r="D188" s="8"/>
      <x:c r="E188" s="75" t="n">
        <x:f>IF(COUNT(E24)=0,1,IF(E24&lt;0,1,IF(E24&gt;1,1,0)))</x:f>
        <x:v>0</x:v>
      </x:c>
      <x:c r="F188" s="75" t="n">
        <x:f>IF(COUNT(F24)=0,1,IF(F24&lt;0,1,IF(F24&gt;1,1,0)))</x:f>
        <x:v>0</x:v>
      </x:c>
      <x:c r="G188" s="75" t="n">
        <x:f>IF(COUNT(G24)=0,1,IF(G24&lt;0,1,IF(G24&gt;1,1,0)))</x:f>
        <x:v>0</x:v>
      </x:c>
      <x:c r="H188" s="75" t="n">
        <x:f>IF(COUNT(H24)=0,1,IF(H24&lt;0,1,IF(H24&gt;1,1,0)))</x:f>
        <x:v>0</x:v>
      </x:c>
      <x:c r="I188" s="75" t="n">
        <x:f>IF(COUNT(I24)=0,1,IF(I24&lt;0,1,IF(I24&gt;1,1,0)))</x:f>
        <x:v>0</x:v>
      </x:c>
      <x:c r="J188" s="1"/>
      <x:c r="K188" s="1"/>
    </x:row>
    <x:row r="189" ht="30" customHeight="1">
      <x:c r="A189" s="1"/>
      <x:c r="B189" s="1"/>
      <x:c r="C189" s="64" t="str">
        <x:v>Receivable days input outside bounds</x:v>
      </x:c>
      <x:c r="D189" s="8"/>
      <x:c r="E189" s="75" t="n">
        <x:f>IF(COUNT(E25)=0,1,IF(E25&lt;0,1,0))</x:f>
        <x:v>0</x:v>
      </x:c>
      <x:c r="F189" s="75" t="n">
        <x:f>IF(COUNT(F25)=0,1,IF(F25&lt;0,1,0))</x:f>
        <x:v>0</x:v>
      </x:c>
      <x:c r="G189" s="75" t="n">
        <x:f>IF(COUNT(G25)=0,1,IF(G25&lt;0,1,0))</x:f>
        <x:v>0</x:v>
      </x:c>
      <x:c r="H189" s="75" t="n">
        <x:f>IF(COUNT(H25)=0,1,IF(H25&lt;0,1,0))</x:f>
        <x:v>0</x:v>
      </x:c>
      <x:c r="I189" s="75" t="n">
        <x:f>IF(COUNT(I25)=0,1,IF(I25&lt;0,1,0))</x:f>
        <x:v>0</x:v>
      </x:c>
      <x:c r="J189" s="1"/>
      <x:c r="K189" s="1"/>
    </x:row>
    <x:row r="190" ht="30" customHeight="1">
      <x:c r="A190" s="1"/>
      <x:c r="B190" s="1"/>
      <x:c r="C190" s="64" t="str">
        <x:v>Inventory days input outside bounds</x:v>
      </x:c>
      <x:c r="D190" s="8"/>
      <x:c r="E190" s="75" t="n">
        <x:f>IF(COUNT(E26)=0,1,IF(E26&lt;0,1,0))</x:f>
        <x:v>0</x:v>
      </x:c>
      <x:c r="F190" s="75" t="n">
        <x:f>IF(COUNT(F26)=0,1,IF(F26&lt;0,1,0))</x:f>
        <x:v>0</x:v>
      </x:c>
      <x:c r="G190" s="75" t="n">
        <x:f>IF(COUNT(G26)=0,1,IF(G26&lt;0,1,0))</x:f>
        <x:v>0</x:v>
      </x:c>
      <x:c r="H190" s="75" t="n">
        <x:f>IF(COUNT(H26)=0,1,IF(H26&lt;0,1,0))</x:f>
        <x:v>0</x:v>
      </x:c>
      <x:c r="I190" s="75" t="n">
        <x:f>IF(COUNT(I26)=0,1,IF(I26&lt;0,1,0))</x:f>
        <x:v>0</x:v>
      </x:c>
      <x:c r="J190" s="1"/>
      <x:c r="K190" s="1"/>
    </x:row>
    <x:row r="191" ht="30" customHeight="1">
      <x:c r="A191" s="1"/>
      <x:c r="B191" s="1"/>
      <x:c r="C191" s="64" t="str">
        <x:v>Payable days input outside bounds</x:v>
      </x:c>
      <x:c r="D191" s="8"/>
      <x:c r="E191" s="75" t="n">
        <x:f>IF(COUNT(E27)=0,1,IF(E27&lt;0,1,0))</x:f>
        <x:v>0</x:v>
      </x:c>
      <x:c r="F191" s="75" t="n">
        <x:f>IF(COUNT(F27)=0,1,IF(F27&lt;0,1,0))</x:f>
        <x:v>0</x:v>
      </x:c>
      <x:c r="G191" s="75" t="n">
        <x:f>IF(COUNT(G27)=0,1,IF(G27&lt;0,1,0))</x:f>
        <x:v>0</x:v>
      </x:c>
      <x:c r="H191" s="75" t="n">
        <x:f>IF(COUNT(H27)=0,1,IF(H27&lt;0,1,0))</x:f>
        <x:v>0</x:v>
      </x:c>
      <x:c r="I191" s="75" t="n">
        <x:f>IF(COUNT(I27)=0,1,IF(I27&lt;0,1,0))</x:f>
        <x:v>0</x:v>
      </x:c>
      <x:c r="J191" s="1"/>
      <x:c r="K191" s="1"/>
    </x:row>
    <x:row r="192" ht="30" customHeight="1">
      <x:c r="A192" s="1"/>
      <x:c r="B192" s="1"/>
      <x:c r="C192" s="64" t="str">
        <x:v>Effective cash tax rate input outside bounds</x:v>
      </x:c>
      <x:c r="D192" s="8"/>
      <x:c r="E192" s="75" t="n">
        <x:f>IF(COUNT(E28)=0,1,IF(E28&lt;0,1,IF(E28&gt;1,1,0)))</x:f>
        <x:v>0</x:v>
      </x:c>
      <x:c r="F192" s="75" t="n">
        <x:f>IF(COUNT(F28)=0,1,IF(F28&lt;0,1,IF(F28&gt;1,1,0)))</x:f>
        <x:v>0</x:v>
      </x:c>
      <x:c r="G192" s="75" t="n">
        <x:f>IF(COUNT(G28)=0,1,IF(G28&lt;0,1,IF(G28&gt;1,1,0)))</x:f>
        <x:v>0</x:v>
      </x:c>
      <x:c r="H192" s="75" t="n">
        <x:f>IF(COUNT(H28)=0,1,IF(H28&lt;0,1,IF(H28&gt;1,1,0)))</x:f>
        <x:v>0</x:v>
      </x:c>
      <x:c r="I192" s="75" t="n">
        <x:f>IF(COUNT(I28)=0,1,IF(I28&lt;0,1,IF(I28&gt;1,1,0)))</x:f>
        <x:v>0</x:v>
      </x:c>
      <x:c r="J192" s="1"/>
      <x:c r="K192" s="1"/>
    </x:row>
    <x:row r="193" ht="30" customHeight="1">
      <x:c r="A193" s="1"/>
      <x:c r="B193" s="1"/>
      <x:c r="C193" s="64" t="str">
        <x:v>Interest on opening debt input outside bounds</x:v>
      </x:c>
      <x:c r="D193" s="8"/>
      <x:c r="E193" s="75" t="n">
        <x:f>IF(COUNT(E29)=0,1,IF(E29&lt;0,1,0))</x:f>
        <x:v>0</x:v>
      </x:c>
      <x:c r="F193" s="75" t="n">
        <x:f>IF(COUNT(F29)=0,1,IF(F29&lt;0,1,0))</x:f>
        <x:v>0</x:v>
      </x:c>
      <x:c r="G193" s="75" t="n">
        <x:f>IF(COUNT(G29)=0,1,IF(G29&lt;0,1,0))</x:f>
        <x:v>0</x:v>
      </x:c>
      <x:c r="H193" s="75" t="n">
        <x:f>IF(COUNT(H29)=0,1,IF(H29&lt;0,1,0))</x:f>
        <x:v>0</x:v>
      </x:c>
      <x:c r="I193" s="75" t="n">
        <x:f>IF(COUNT(I29)=0,1,IF(I29&lt;0,1,0))</x:f>
        <x:v>0</x:v>
      </x:c>
      <x:c r="J193" s="1"/>
      <x:c r="K193" s="1"/>
    </x:row>
    <x:row r="194" ht="30" customHeight="1">
      <x:c r="A194" s="1"/>
      <x:c r="B194" s="1"/>
      <x:c r="C194" s="64" t="str">
        <x:v>New borrowing input outside bounds</x:v>
      </x:c>
      <x:c r="D194" s="8"/>
      <x:c r="E194" s="75" t="n">
        <x:f>IF(COUNT(E30)=0,1,IF(E30&lt;0,1,0))</x:f>
        <x:v>0</x:v>
      </x:c>
      <x:c r="F194" s="75" t="n">
        <x:f>IF(COUNT(F30)=0,1,IF(F30&lt;0,1,0))</x:f>
        <x:v>0</x:v>
      </x:c>
      <x:c r="G194" s="75" t="n">
        <x:f>IF(COUNT(G30)=0,1,IF(G30&lt;0,1,0))</x:f>
        <x:v>0</x:v>
      </x:c>
      <x:c r="H194" s="75" t="n">
        <x:f>IF(COUNT(H30)=0,1,IF(H30&lt;0,1,0))</x:f>
        <x:v>0</x:v>
      </x:c>
      <x:c r="I194" s="75" t="n">
        <x:f>IF(COUNT(I30)=0,1,IF(I30&lt;0,1,0))</x:f>
        <x:v>0</x:v>
      </x:c>
      <x:c r="J194" s="1"/>
      <x:c r="K194" s="1"/>
    </x:row>
    <x:row r="195" ht="30" customHeight="1">
      <x:c r="A195" s="1"/>
      <x:c r="B195" s="1"/>
      <x:c r="C195" s="64" t="str">
        <x:v>Scheduled principal repayment input outside bounds</x:v>
      </x:c>
      <x:c r="D195" s="8"/>
      <x:c r="E195" s="75" t="n">
        <x:f>IF(COUNT(E31)=0,1,IF(E31&lt;0,1,0))</x:f>
        <x:v>0</x:v>
      </x:c>
      <x:c r="F195" s="75" t="n">
        <x:f>IF(COUNT(F31)=0,1,IF(F31&lt;0,1,0))</x:f>
        <x:v>0</x:v>
      </x:c>
      <x:c r="G195" s="75" t="n">
        <x:f>IF(COUNT(G31)=0,1,IF(G31&lt;0,1,0))</x:f>
        <x:v>0</x:v>
      </x:c>
      <x:c r="H195" s="75" t="n">
        <x:f>IF(COUNT(H31)=0,1,IF(H31&lt;0,1,0))</x:f>
        <x:v>0</x:v>
      </x:c>
      <x:c r="I195" s="75" t="n">
        <x:f>IF(COUNT(I31)=0,1,IF(I31&lt;0,1,0))</x:f>
        <x:v>0</x:v>
      </x:c>
      <x:c r="J195" s="1"/>
      <x:c r="K195" s="1"/>
    </x:row>
    <x:row r="196" ht="30" customHeight="1">
      <x:c r="A196" s="1"/>
      <x:c r="B196" s="1"/>
      <x:c r="C196" s="64" t="str">
        <x:v>Dividend payout on positive PAT input outside bounds</x:v>
      </x:c>
      <x:c r="D196" s="8"/>
      <x:c r="E196" s="75" t="n">
        <x:f>IF(COUNT(E32)=0,1,IF(E32&lt;0,1,IF(E32&gt;1,1,0)))</x:f>
        <x:v>0</x:v>
      </x:c>
      <x:c r="F196" s="75" t="n">
        <x:f>IF(COUNT(F32)=0,1,IF(F32&lt;0,1,IF(F32&gt;1,1,0)))</x:f>
        <x:v>0</x:v>
      </x:c>
      <x:c r="G196" s="75" t="n">
        <x:f>IF(COUNT(G32)=0,1,IF(G32&lt;0,1,IF(G32&gt;1,1,0)))</x:f>
        <x:v>0</x:v>
      </x:c>
      <x:c r="H196" s="75" t="n">
        <x:f>IF(COUNT(H32)=0,1,IF(H32&lt;0,1,IF(H32&gt;1,1,0)))</x:f>
        <x:v>0</x:v>
      </x:c>
      <x:c r="I196" s="75" t="n">
        <x:f>IF(COUNT(I32)=0,1,IF(I32&lt;0,1,IF(I32&gt;1,1,0)))</x:f>
        <x:v>0</x:v>
      </x:c>
      <x:c r="J196" s="1"/>
      <x:c r="K196" s="1"/>
    </x:row>
    <x:row r="197" ht="30" customHeight="1">
      <x:c r="A197" s="1"/>
      <x:c r="B197" s="1"/>
      <x:c r="C197" s="64" t="str">
        <x:v>Opening net PP&amp;E input outside bounds</x:v>
      </x:c>
      <x:c r="D197" s="8"/>
      <x:c r="E197" s="75" t="n">
        <x:f>IF(COUNT(D34)=0,1,IF(D34&lt;0,1,0))</x:f>
        <x:v>0</x:v>
      </x:c>
      <x:c r="F197" s="75" t="n">
        <x:f>IF(COUNT(D34)=0,1,IF(D34&lt;0,1,0))</x:f>
        <x:v>0</x:v>
      </x:c>
      <x:c r="G197" s="75" t="n">
        <x:f>IF(COUNT(D34)=0,1,IF(D34&lt;0,1,0))</x:f>
        <x:v>0</x:v>
      </x:c>
      <x:c r="H197" s="75" t="n">
        <x:f>IF(COUNT(D34)=0,1,IF(D34&lt;0,1,0))</x:f>
        <x:v>0</x:v>
      </x:c>
      <x:c r="I197" s="75" t="n">
        <x:f>IF(COUNT(D34)=0,1,IF(D34&lt;0,1,0))</x:f>
        <x:v>0</x:v>
      </x:c>
      <x:c r="J197" s="1"/>
      <x:c r="K197" s="1"/>
    </x:row>
    <x:row r="198" ht="30" customHeight="1">
      <x:c r="A198" s="1"/>
      <x:c r="B198" s="1"/>
      <x:c r="C198" s="64" t="str">
        <x:v>Opening debt input outside bounds</x:v>
      </x:c>
      <x:c r="D198" s="8"/>
      <x:c r="E198" s="75" t="n">
        <x:f>IF(COUNT(D35)=0,1,IF(D35&lt;0,1,0))</x:f>
        <x:v>0</x:v>
      </x:c>
      <x:c r="F198" s="75" t="n">
        <x:f>IF(COUNT(D35)=0,1,IF(D35&lt;0,1,0))</x:f>
        <x:v>0</x:v>
      </x:c>
      <x:c r="G198" s="75" t="n">
        <x:f>IF(COUNT(D35)=0,1,IF(D35&lt;0,1,0))</x:f>
        <x:v>0</x:v>
      </x:c>
      <x:c r="H198" s="75" t="n">
        <x:f>IF(COUNT(D35)=0,1,IF(D35&lt;0,1,0))</x:f>
        <x:v>0</x:v>
      </x:c>
      <x:c r="I198" s="75" t="n">
        <x:f>IF(COUNT(D35)=0,1,IF(D35&lt;0,1,0))</x:f>
        <x:v>0</x:v>
      </x:c>
      <x:c r="J198" s="1"/>
      <x:c r="K198" s="1"/>
    </x:row>
    <x:row r="199" ht="30" customHeight="1">
      <x:c r="A199" s="1"/>
      <x:c r="B199" s="1"/>
      <x:c r="C199" s="64" t="str">
        <x:v>Opening cash input outside bounds</x:v>
      </x:c>
      <x:c r="D199" s="8"/>
      <x:c r="E199" s="75" t="n">
        <x:f>IF(COUNT(D36)=0,1,IF(D36&lt;0,1,0))</x:f>
        <x:v>0</x:v>
      </x:c>
      <x:c r="F199" s="75" t="n">
        <x:f>IF(COUNT(D36)=0,1,IF(D36&lt;0,1,0))</x:f>
        <x:v>0</x:v>
      </x:c>
      <x:c r="G199" s="75" t="n">
        <x:f>IF(COUNT(D36)=0,1,IF(D36&lt;0,1,0))</x:f>
        <x:v>0</x:v>
      </x:c>
      <x:c r="H199" s="75" t="n">
        <x:f>IF(COUNT(D36)=0,1,IF(D36&lt;0,1,0))</x:f>
        <x:v>0</x:v>
      </x:c>
      <x:c r="I199" s="75" t="n">
        <x:f>IF(COUNT(D36)=0,1,IF(D36&lt;0,1,0))</x:f>
        <x:v>0</x:v>
      </x:c>
      <x:c r="J199" s="1"/>
      <x:c r="K199" s="1"/>
    </x:row>
    <x:row r="200" ht="30" customHeight="1">
      <x:c r="A200" s="1"/>
      <x:c r="B200" s="1"/>
      <x:c r="C200" s="64" t="str">
        <x:v>Diluted shares (crore) input outside bounds</x:v>
      </x:c>
      <x:c r="D200" s="8"/>
      <x:c r="E200" s="75" t="n">
        <x:f>IF(COUNT(D38)=0,1,IF(D38&lt;0,1,0))</x:f>
        <x:v>0</x:v>
      </x:c>
      <x:c r="F200" s="75" t="n">
        <x:f>IF(COUNT(D38)=0,1,IF(D38&lt;0,1,0))</x:f>
        <x:v>0</x:v>
      </x:c>
      <x:c r="G200" s="75" t="n">
        <x:f>IF(COUNT(D38)=0,1,IF(D38&lt;0,1,0))</x:f>
        <x:v>0</x:v>
      </x:c>
      <x:c r="H200" s="75" t="n">
        <x:f>IF(COUNT(D38)=0,1,IF(D38&lt;0,1,0))</x:f>
        <x:v>0</x:v>
      </x:c>
      <x:c r="I200" s="75" t="n">
        <x:f>IF(COUNT(D38)=0,1,IF(D38&lt;0,1,0))</x:f>
        <x:v>0</x:v>
      </x:c>
      <x:c r="J200" s="1"/>
      <x:c r="K200" s="1"/>
    </x:row>
    <x:row r="201" ht="30" customHeight="1">
      <x:c r="A201" s="1"/>
      <x:c r="B201" s="1"/>
      <x:c r="C201" s="64" t="str">
        <x:v>WACC input outside bounds</x:v>
      </x:c>
      <x:c r="D201" s="8"/>
      <x:c r="E201" s="75" t="n">
        <x:f>IF(COUNT(D39)=0,1,IF(D39&lt;0,1,0))</x:f>
        <x:v>0</x:v>
      </x:c>
      <x:c r="F201" s="75" t="n">
        <x:f>IF(COUNT(D39)=0,1,IF(D39&lt;0,1,0))</x:f>
        <x:v>0</x:v>
      </x:c>
      <x:c r="G201" s="75" t="n">
        <x:f>IF(COUNT(D39)=0,1,IF(D39&lt;0,1,0))</x:f>
        <x:v>0</x:v>
      </x:c>
      <x:c r="H201" s="75" t="n">
        <x:f>IF(COUNT(D39)=0,1,IF(D39&lt;0,1,0))</x:f>
        <x:v>0</x:v>
      </x:c>
      <x:c r="I201" s="75" t="n">
        <x:f>IF(COUNT(D39)=0,1,IF(D39&lt;0,1,0))</x:f>
        <x:v>0</x:v>
      </x:c>
      <x:c r="J201" s="1"/>
      <x:c r="K201" s="1"/>
    </x:row>
    <x:row r="202" ht="30" customHeight="1">
      <x:c r="A202" s="1"/>
      <x:c r="B202" s="1"/>
      <x:c r="C202" s="64" t="str">
        <x:v>Terminal growth input outside bounds</x:v>
      </x:c>
      <x:c r="D202" s="8"/>
      <x:c r="E202" s="75" t="n">
        <x:f>IF(COUNT(D40)=0,1,IF(D40&lt;-1,1,0))</x:f>
        <x:v>0</x:v>
      </x:c>
      <x:c r="F202" s="75" t="n">
        <x:f>IF(COUNT(D40)=0,1,IF(D40&lt;-1,1,0))</x:f>
        <x:v>0</x:v>
      </x:c>
      <x:c r="G202" s="75" t="n">
        <x:f>IF(COUNT(D40)=0,1,IF(D40&lt;-1,1,0))</x:f>
        <x:v>0</x:v>
      </x:c>
      <x:c r="H202" s="75" t="n">
        <x:f>IF(COUNT(D40)=0,1,IF(D40&lt;-1,1,0))</x:f>
        <x:v>0</x:v>
      </x:c>
      <x:c r="I202" s="75" t="n">
        <x:f>IF(COUNT(D40)=0,1,IF(D40&lt;-1,1,0))</x:f>
        <x:v>0</x:v>
      </x:c>
      <x:c r="J202" s="1"/>
      <x:c r="K202" s="1"/>
    </x:row>
    <x:row r="203" ht="30" customHeight="1">
      <x:c r="A203" s="1"/>
      <x:c r="B203" s="1"/>
      <x:c r="C203" s="64" t="str">
        <x:v>Terminal incremental ROIC input outside bounds</x:v>
      </x:c>
      <x:c r="D203" s="8"/>
      <x:c r="E203" s="75" t="n">
        <x:f>IF(COUNT(D41)=0,1,IF(D41&lt;0,1,0))</x:f>
        <x:v>0</x:v>
      </x:c>
      <x:c r="F203" s="75" t="n">
        <x:f>IF(COUNT(D41)=0,1,IF(D41&lt;0,1,0))</x:f>
        <x:v>0</x:v>
      </x:c>
      <x:c r="G203" s="75" t="n">
        <x:f>IF(COUNT(D41)=0,1,IF(D41&lt;0,1,0))</x:f>
        <x:v>0</x:v>
      </x:c>
      <x:c r="H203" s="75" t="n">
        <x:f>IF(COUNT(D41)=0,1,IF(D41&lt;0,1,0))</x:f>
        <x:v>0</x:v>
      </x:c>
      <x:c r="I203" s="75" t="n">
        <x:f>IF(COUNT(D41)=0,1,IF(D41&lt;0,1,0))</x:f>
        <x:v>0</x:v>
      </x:c>
      <x:c r="J203" s="1"/>
      <x:c r="K203" s="1"/>
    </x:row>
    <x:row r="204" ht="30" customHeight="1">
      <x:c r="A204" s="1"/>
      <x:c r="B204" s="1"/>
      <x:c r="C204" s="64" t="str">
        <x:v>Forward EV / EBITDA input outside bounds</x:v>
      </x:c>
      <x:c r="D204" s="8"/>
      <x:c r="E204" s="75" t="n">
        <x:f>IF(COUNT(D42)=0,1,IF(D42&lt;0,1,0))</x:f>
        <x:v>0</x:v>
      </x:c>
      <x:c r="F204" s="75" t="n">
        <x:f>IF(COUNT(D42)=0,1,IF(D42&lt;0,1,0))</x:f>
        <x:v>0</x:v>
      </x:c>
      <x:c r="G204" s="75" t="n">
        <x:f>IF(COUNT(D42)=0,1,IF(D42&lt;0,1,0))</x:f>
        <x:v>0</x:v>
      </x:c>
      <x:c r="H204" s="75" t="n">
        <x:f>IF(COUNT(D42)=0,1,IF(D42&lt;0,1,0))</x:f>
        <x:v>0</x:v>
      </x:c>
      <x:c r="I204" s="75" t="n">
        <x:f>IF(COUNT(D42)=0,1,IF(D42&lt;0,1,0))</x:f>
        <x:v>0</x:v>
      </x:c>
      <x:c r="J204" s="1"/>
      <x:c r="K204" s="1"/>
    </x:row>
    <x:row r="205" ht="30" customHeight="1">
      <x:c r="A205" s="1"/>
      <x:c r="B205" s="1"/>
      <x:c r="C205" s="64" t="str">
        <x:v>Terminal valuation assumptions invalid</x:v>
      </x:c>
      <x:c r="D205" s="8"/>
      <x:c r="E205" s="75" t="n">
        <x:f>IF(D39&lt;=D40,1,IF(D41&lt;=0,1,IF(D40&gt;D41,1,0)))</x:f>
        <x:v>0</x:v>
      </x:c>
      <x:c r="F205" s="75" t="n">
        <x:f>IF(D39&lt;=D40,1,IF(D41&lt;=0,1,IF(D40&gt;D41,1,0)))</x:f>
        <x:v>0</x:v>
      </x:c>
      <x:c r="G205" s="75" t="n">
        <x:f>IF(D39&lt;=D40,1,IF(D41&lt;=0,1,IF(D40&gt;D41,1,0)))</x:f>
        <x:v>0</x:v>
      </x:c>
      <x:c r="H205" s="75" t="n">
        <x:f>IF(D39&lt;=D40,1,IF(D41&lt;=0,1,IF(D40&gt;D41,1,0)))</x:f>
        <x:v>0</x:v>
      </x:c>
      <x:c r="I205" s="75" t="n">
        <x:f>IF(D39&lt;=D40,1,IF(D41&lt;=0,1,IF(D40&gt;D41,1,0)))</x:f>
        <x:v>0</x:v>
      </x:c>
      <x:c r="J205" s="1"/>
      <x:c r="K205" s="1"/>
    </x:row>
    <x:row r="206" ht="30" customHeight="1">
      <x:c r="A206" s="1"/>
      <x:c r="B206" s="1"/>
      <x:c r="C206" s="64"/>
      <x:c r="D206" s="8"/>
      <x:c r="E206" s="8"/>
      <x:c r="F206" s="8"/>
      <x:c r="G206" s="8"/>
      <x:c r="H206" s="8"/>
      <x:c r="I206" s="8"/>
      <x:c r="J206" s="1"/>
      <x:c r="K206" s="1"/>
    </x:row>
    <x:row r="207" ht="30" customHeight="1">
      <x:c r="A207" s="1"/>
      <x:c r="B207" s="1"/>
      <x:c r="C207" s="64"/>
      <x:c r="D207" s="8"/>
      <x:c r="E207" s="8"/>
      <x:c r="F207" s="8"/>
      <x:c r="G207" s="8"/>
      <x:c r="H207" s="8"/>
      <x:c r="I207" s="8"/>
      <x:c r="J207" s="1"/>
      <x:c r="K207" s="1"/>
    </x:row>
    <x:row r="208" ht="30" customHeight="1">
      <x:c r="A208" s="1"/>
      <x:c r="B208" s="1"/>
      <x:c r="C208" s="64"/>
      <x:c r="D208" s="8"/>
      <x:c r="E208" s="8"/>
      <x:c r="F208" s="8"/>
      <x:c r="G208" s="8"/>
      <x:c r="H208" s="8"/>
      <x:c r="I208" s="8"/>
      <x:c r="J208" s="1"/>
      <x:c r="K208" s="1"/>
    </x:row>
    <x:row r="209" ht="30" customHeight="1">
      <x:c r="A209" s="1"/>
      <x:c r="B209" s="1"/>
      <x:c r="C209" s="64"/>
      <x:c r="D209" s="8"/>
      <x:c r="E209" s="8"/>
      <x:c r="F209" s="8"/>
      <x:c r="G209" s="8"/>
      <x:c r="H209" s="8"/>
      <x:c r="I209" s="8"/>
      <x:c r="J209" s="1"/>
      <x:c r="K209" s="1"/>
    </x:row>
    <x:row r="210" ht="30" customHeight="1">
      <x:c r="A210" s="1"/>
      <x:c r="B210" s="1"/>
      <x:c r="C210" s="64"/>
      <x:c r="D210" s="8"/>
      <x:c r="E210" s="8"/>
      <x:c r="F210" s="8"/>
      <x:c r="G210" s="8"/>
      <x:c r="H210" s="8"/>
      <x:c r="I210" s="8"/>
      <x:c r="J210" s="1"/>
      <x:c r="K210" s="1"/>
    </x:row>
    <x:row r="211" ht="30" customHeight="1">
      <x:c r="C211" s="64"/>
      <x:c r="D211" s="63"/>
      <x:c r="E211" s="63"/>
      <x:c r="F211" s="63"/>
      <x:c r="G211" s="63"/>
      <x:c r="H211" s="63"/>
      <x:c r="I211" s="63"/>
    </x:row>
    <x:row r="212" ht="30" customHeight="1">
      <x:c r="C212" s="64"/>
      <x:c r="D212" s="63"/>
      <x:c r="E212" s="63"/>
      <x:c r="F212" s="63"/>
      <x:c r="G212" s="63"/>
      <x:c r="H212" s="63"/>
      <x:c r="I212" s="63"/>
    </x:row>
    <x:row r="213" ht="30" customHeight="1">
      <x:c r="C213" s="64"/>
      <x:c r="D213" s="63"/>
      <x:c r="E213" s="63"/>
      <x:c r="F213" s="63"/>
      <x:c r="G213" s="63"/>
      <x:c r="H213" s="63"/>
      <x:c r="I213" s="63"/>
    </x:row>
    <x:row r="214" ht="30" customHeight="1">
      <x:c r="C214" s="64"/>
      <x:c r="D214" s="63"/>
      <x:c r="E214" s="63"/>
      <x:c r="F214" s="63"/>
      <x:c r="G214" s="63"/>
      <x:c r="H214" s="63"/>
      <x:c r="I214" s="63"/>
    </x:row>
    <x:row r="215" ht="30" customHeight="1">
      <x:c r="C215" s="64"/>
      <x:c r="D215" s="63"/>
      <x:c r="E215" s="63"/>
      <x:c r="F215" s="63"/>
      <x:c r="G215" s="63"/>
      <x:c r="H215" s="63"/>
      <x:c r="I215" s="63"/>
    </x:row>
    <x:row r="216" ht="30" customHeight="1">
      <x:c r="C216" s="64"/>
      <x:c r="D216" s="63"/>
      <x:c r="E216" s="63"/>
      <x:c r="F216" s="63"/>
      <x:c r="G216" s="63"/>
      <x:c r="H216" s="63"/>
      <x:c r="I216" s="63"/>
    </x:row>
    <x:row r="217" ht="30" customHeight="1">
      <x:c r="C217" s="64"/>
      <x:c r="D217" s="63"/>
      <x:c r="E217" s="63"/>
      <x:c r="F217" s="63"/>
      <x:c r="G217" s="63"/>
      <x:c r="H217" s="63"/>
      <x:c r="I217" s="63"/>
    </x:row>
    <x:row r="218" ht="30" customHeight="1">
      <x:c r="C218" s="64"/>
      <x:c r="D218" s="63"/>
      <x:c r="E218" s="63"/>
      <x:c r="F218" s="63"/>
      <x:c r="G218" s="63"/>
      <x:c r="H218" s="63"/>
      <x:c r="I218" s="63"/>
    </x:row>
    <x:row r="219" ht="30" customHeight="1">
      <x:c r="C219" s="64"/>
      <x:c r="D219" s="63"/>
      <x:c r="E219" s="63"/>
      <x:c r="F219" s="63"/>
      <x:c r="G219" s="63"/>
      <x:c r="H219" s="63"/>
      <x:c r="I219" s="63"/>
    </x:row>
    <x:row r="220" ht="30" customHeight="1">
      <x:c r="C220" s="64"/>
      <x:c r="D220" s="63"/>
      <x:c r="E220" s="63"/>
      <x:c r="F220" s="63"/>
      <x:c r="G220" s="63"/>
      <x:c r="H220" s="63"/>
      <x:c r="I220" s="63"/>
    </x:row>
    <x:row r="221" ht="30" customHeight="1">
      <x:c r="C221" s="64"/>
      <x:c r="D221" s="63"/>
      <x:c r="E221" s="63"/>
      <x:c r="F221" s="63"/>
      <x:c r="G221" s="63"/>
      <x:c r="H221" s="63"/>
      <x:c r="I221" s="63"/>
    </x:row>
    <x:row r="222" ht="30" customHeight="1">
      <x:c r="C222" s="64"/>
      <x:c r="D222" s="63"/>
      <x:c r="E222" s="63"/>
      <x:c r="F222" s="63"/>
      <x:c r="G222" s="63"/>
      <x:c r="H222" s="63"/>
      <x:c r="I222" s="63"/>
    </x:row>
    <x:row r="223" ht="30" customHeight="1">
      <x:c r="C223" s="64"/>
      <x:c r="D223" s="63"/>
      <x:c r="E223" s="63"/>
      <x:c r="F223" s="63"/>
      <x:c r="G223" s="63"/>
      <x:c r="H223" s="63"/>
      <x:c r="I223" s="63"/>
    </x:row>
    <x:row r="224" ht="30" customHeight="1">
      <x:c r="C224" s="64"/>
      <x:c r="D224" s="63"/>
      <x:c r="E224" s="63"/>
      <x:c r="F224" s="63"/>
      <x:c r="G224" s="63"/>
      <x:c r="H224" s="63"/>
      <x:c r="I224" s="63"/>
    </x:row>
    <x:row r="225" ht="30" customHeight="1">
      <x:c r="C225" s="64"/>
      <x:c r="D225" s="63"/>
      <x:c r="E225" s="63"/>
      <x:c r="F225" s="63"/>
      <x:c r="G225" s="63"/>
      <x:c r="H225" s="63"/>
      <x:c r="I225" s="63"/>
    </x:row>
    <x:row r="226" ht="30" customHeight="1">
      <x:c r="C226" s="64"/>
      <x:c r="D226" s="63"/>
      <x:c r="E226" s="63"/>
      <x:c r="F226" s="63"/>
      <x:c r="G226" s="63"/>
      <x:c r="H226" s="63"/>
      <x:c r="I226" s="63"/>
    </x:row>
    <x:row r="227" ht="30" customHeight="1">
      <x:c r="C227" s="64"/>
      <x:c r="D227" s="63"/>
      <x:c r="E227" s="63"/>
      <x:c r="F227" s="63"/>
      <x:c r="G227" s="63"/>
      <x:c r="H227" s="63"/>
      <x:c r="I227" s="63"/>
    </x:row>
    <x:row r="228" ht="30" customHeight="1">
      <x:c r="C228" s="64"/>
      <x:c r="D228" s="63"/>
      <x:c r="E228" s="63"/>
      <x:c r="F228" s="63"/>
      <x:c r="G228" s="63"/>
      <x:c r="H228" s="63"/>
      <x:c r="I228" s="63"/>
    </x:row>
    <x:row r="229" ht="30" customHeight="1">
      <x:c r="C229" s="64"/>
      <x:c r="D229" s="63"/>
      <x:c r="E229" s="63"/>
      <x:c r="F229" s="63"/>
      <x:c r="G229" s="63"/>
      <x:c r="H229" s="63"/>
      <x:c r="I229" s="63"/>
    </x:row>
    <x:row r="230" ht="30" customHeight="1">
      <x:c r="C230" s="64"/>
      <x:c r="D230" s="63"/>
      <x:c r="E230" s="63"/>
      <x:c r="F230" s="63"/>
      <x:c r="G230" s="63"/>
      <x:c r="H230" s="63"/>
      <x:c r="I230" s="63"/>
    </x:row>
    <x:row r="231" ht="30" customHeight="1">
      <x:c r="C231" s="64"/>
      <x:c r="D231" s="63"/>
      <x:c r="E231" s="63"/>
      <x:c r="F231" s="63"/>
      <x:c r="G231" s="63"/>
      <x:c r="H231" s="63"/>
      <x:c r="I231" s="63"/>
    </x:row>
    <x:row r="232" ht="30" customHeight="1">
      <x:c r="C232" s="64"/>
      <x:c r="D232" s="63"/>
      <x:c r="E232" s="63"/>
      <x:c r="F232" s="63"/>
      <x:c r="G232" s="63"/>
      <x:c r="H232" s="63"/>
      <x:c r="I232" s="63"/>
    </x:row>
    <x:row r="233" ht="30" customHeight="1">
      <x:c r="C233" s="64"/>
      <x:c r="D233" s="63"/>
      <x:c r="E233" s="63"/>
      <x:c r="F233" s="63"/>
      <x:c r="G233" s="63"/>
      <x:c r="H233" s="63"/>
      <x:c r="I233" s="63"/>
    </x:row>
    <x:row r="234" ht="30" customHeight="1">
      <x:c r="C234" s="64"/>
      <x:c r="D234" s="63"/>
      <x:c r="E234" s="63"/>
      <x:c r="F234" s="63"/>
      <x:c r="G234" s="63"/>
      <x:c r="H234" s="63"/>
      <x:c r="I234" s="63"/>
    </x:row>
    <x:row r="235" ht="30" customHeight="1">
      <x:c r="C235" s="64"/>
      <x:c r="D235" s="63"/>
      <x:c r="E235" s="63"/>
      <x:c r="F235" s="63"/>
      <x:c r="G235" s="63"/>
      <x:c r="H235" s="63"/>
      <x:c r="I235" s="63"/>
    </x:row>
    <x:row r="236" ht="30" customHeight="1">
      <x:c r="C236" s="64"/>
      <x:c r="D236" s="63"/>
      <x:c r="E236" s="63"/>
      <x:c r="F236" s="63"/>
      <x:c r="G236" s="63"/>
      <x:c r="H236" s="63"/>
      <x:c r="I236" s="63"/>
    </x:row>
    <x:row r="237" ht="30" customHeight="1">
      <x:c r="C237" s="64"/>
      <x:c r="D237" s="63"/>
      <x:c r="E237" s="63"/>
      <x:c r="F237" s="63"/>
      <x:c r="G237" s="63"/>
      <x:c r="H237" s="63"/>
      <x:c r="I237" s="63"/>
    </x:row>
    <x:row r="238" ht="30" customHeight="1">
      <x:c r="C238" s="64"/>
      <x:c r="D238" s="63"/>
      <x:c r="E238" s="63"/>
      <x:c r="F238" s="63"/>
      <x:c r="G238" s="63"/>
      <x:c r="H238" s="63"/>
      <x:c r="I238" s="63"/>
    </x:row>
    <x:row r="239" ht="30" customHeight="1">
      <x:c r="C239" s="64"/>
      <x:c r="D239" s="63"/>
      <x:c r="E239" s="63"/>
      <x:c r="F239" s="63"/>
      <x:c r="G239" s="63"/>
      <x:c r="H239" s="63"/>
      <x:c r="I239" s="63"/>
    </x:row>
    <x:row r="240" ht="30" customHeight="1">
      <x:c r="C240" s="64"/>
      <x:c r="D240" s="63"/>
      <x:c r="E240" s="63"/>
      <x:c r="F240" s="63"/>
      <x:c r="G240" s="63"/>
      <x:c r="H240" s="63"/>
      <x:c r="I240" s="63"/>
    </x:row>
    <x:row r="241" ht="30" customHeight="1">
      <x:c r="C241" s="64"/>
      <x:c r="D241" s="63"/>
      <x:c r="E241" s="63"/>
      <x:c r="F241" s="63"/>
      <x:c r="G241" s="63"/>
      <x:c r="H241" s="63"/>
      <x:c r="I241" s="63"/>
    </x:row>
    <x:row r="242" ht="30" customHeight="1">
      <x:c r="C242" s="64"/>
      <x:c r="D242" s="63"/>
      <x:c r="E242" s="63"/>
      <x:c r="F242" s="63"/>
      <x:c r="G242" s="63"/>
      <x:c r="H242" s="63"/>
      <x:c r="I242" s="63"/>
    </x:row>
    <x:row r="243" ht="30" customHeight="1">
      <x:c r="C243" s="64"/>
      <x:c r="D243" s="63"/>
      <x:c r="E243" s="63"/>
      <x:c r="F243" s="63"/>
      <x:c r="G243" s="63"/>
      <x:c r="H243" s="63"/>
      <x:c r="I243" s="63"/>
    </x:row>
    <x:row r="244" ht="30" customHeight="1">
      <x:c r="C244" s="64"/>
      <x:c r="D244" s="63"/>
      <x:c r="E244" s="63"/>
      <x:c r="F244" s="63"/>
      <x:c r="G244" s="63"/>
      <x:c r="H244" s="63"/>
      <x:c r="I244" s="63"/>
    </x:row>
    <x:row r="245" ht="30" customHeight="1">
      <x:c r="C245" s="64"/>
      <x:c r="D245" s="63"/>
      <x:c r="E245" s="63"/>
      <x:c r="F245" s="63"/>
      <x:c r="G245" s="63"/>
      <x:c r="H245" s="63"/>
      <x:c r="I245" s="63"/>
    </x:row>
    <x:row r="246" ht="30" customHeight="1">
      <x:c r="C246" s="64"/>
      <x:c r="D246" s="63"/>
      <x:c r="E246" s="63"/>
      <x:c r="F246" s="63"/>
      <x:c r="G246" s="63"/>
      <x:c r="H246" s="63"/>
      <x:c r="I246" s="63"/>
    </x:row>
    <x:row r="247" ht="30" customHeight="1">
      <x:c r="C247" s="64"/>
      <x:c r="D247" s="63"/>
      <x:c r="E247" s="63"/>
      <x:c r="F247" s="63"/>
      <x:c r="G247" s="63"/>
      <x:c r="H247" s="63"/>
      <x:c r="I247" s="63"/>
    </x:row>
    <x:row r="248" ht="30" customHeight="1">
      <x:c r="C248" s="64"/>
      <x:c r="D248" s="63"/>
      <x:c r="E248" s="63"/>
      <x:c r="F248" s="63"/>
      <x:c r="G248" s="63"/>
      <x:c r="H248" s="63"/>
      <x:c r="I248" s="63"/>
    </x:row>
    <x:row r="249" ht="30" customHeight="1">
      <x:c r="C249" s="64"/>
      <x:c r="D249" s="63"/>
      <x:c r="E249" s="63"/>
      <x:c r="F249" s="63"/>
      <x:c r="G249" s="63"/>
      <x:c r="H249" s="63"/>
      <x:c r="I249" s="63"/>
    </x:row>
    <x:row r="250" ht="30" customHeight="1">
      <x:c r="C250" s="64"/>
      <x:c r="D250" s="63"/>
      <x:c r="E250" s="63"/>
      <x:c r="F250" s="63"/>
      <x:c r="G250" s="63"/>
      <x:c r="H250" s="63"/>
      <x:c r="I250" s="63"/>
    </x:row>
    <x:row r="251" ht="30" customHeight="1">
      <x:c r="C251" s="64"/>
      <x:c r="D251" s="63"/>
      <x:c r="E251" s="63"/>
      <x:c r="F251" s="63"/>
      <x:c r="G251" s="63"/>
      <x:c r="H251" s="63"/>
      <x:c r="I251" s="63"/>
    </x:row>
    <x:row r="252" ht="30" customHeight="1">
      <x:c r="C252" s="64"/>
      <x:c r="D252" s="63"/>
      <x:c r="E252" s="63"/>
      <x:c r="F252" s="63"/>
      <x:c r="G252" s="63"/>
      <x:c r="H252" s="63"/>
      <x:c r="I252" s="63"/>
    </x:row>
    <x:row r="253" ht="30" customHeight="1">
      <x:c r="C253" s="64"/>
      <x:c r="D253" s="63"/>
      <x:c r="E253" s="63"/>
      <x:c r="F253" s="63"/>
      <x:c r="G253" s="63"/>
      <x:c r="H253" s="63"/>
      <x:c r="I253" s="63"/>
    </x:row>
    <x:row r="254" ht="30" customHeight="1">
      <x:c r="C254" s="64"/>
      <x:c r="D254" s="63"/>
      <x:c r="E254" s="63"/>
      <x:c r="F254" s="63"/>
      <x:c r="G254" s="63"/>
      <x:c r="H254" s="63"/>
      <x:c r="I254" s="63"/>
    </x:row>
    <x:row r="255" ht="30" customHeight="1">
      <x:c r="C255" s="64"/>
      <x:c r="D255" s="63"/>
      <x:c r="E255" s="63"/>
      <x:c r="F255" s="63"/>
      <x:c r="G255" s="63"/>
      <x:c r="H255" s="63"/>
      <x:c r="I255" s="63"/>
    </x:row>
    <x:row r="256" ht="30" customHeight="1">
      <x:c r="C256" s="64"/>
      <x:c r="D256" s="63"/>
      <x:c r="E256" s="63"/>
      <x:c r="F256" s="63"/>
      <x:c r="G256" s="63"/>
      <x:c r="H256" s="63"/>
      <x:c r="I256" s="63"/>
    </x:row>
    <x:row r="257" ht="30" customHeight="1">
      <x:c r="C257" s="64"/>
      <x:c r="D257" s="63"/>
      <x:c r="E257" s="63"/>
      <x:c r="F257" s="63"/>
      <x:c r="G257" s="63"/>
      <x:c r="H257" s="63"/>
      <x:c r="I257" s="63"/>
    </x:row>
    <x:row r="258" ht="30" customHeight="1">
      <x:c r="C258" s="64"/>
      <x:c r="D258" s="63"/>
      <x:c r="E258" s="63"/>
      <x:c r="F258" s="63"/>
      <x:c r="G258" s="63"/>
      <x:c r="H258" s="63"/>
      <x:c r="I258" s="63"/>
    </x:row>
    <x:row r="259" ht="30" customHeight="1">
      <x:c r="C259" s="64"/>
      <x:c r="D259" s="63"/>
      <x:c r="E259" s="63"/>
      <x:c r="F259" s="63"/>
      <x:c r="G259" s="63"/>
      <x:c r="H259" s="63"/>
      <x:c r="I259" s="63"/>
    </x:row>
    <x:row r="260" ht="30" customHeight="1">
      <x:c r="C260" s="64"/>
      <x:c r="D260" s="63"/>
      <x:c r="E260" s="63"/>
      <x:c r="F260" s="63"/>
      <x:c r="G260" s="63"/>
      <x:c r="H260" s="63"/>
      <x:c r="I260" s="63"/>
    </x:row>
    <x:row r="261" ht="30" customHeight="1">
      <x:c r="C261" s="64"/>
      <x:c r="D261" s="63"/>
      <x:c r="E261" s="63"/>
      <x:c r="F261" s="63"/>
      <x:c r="G261" s="63"/>
      <x:c r="H261" s="63"/>
      <x:c r="I261" s="63"/>
    </x:row>
    <x:row r="262" ht="30" customHeight="1">
      <x:c r="C262" s="64"/>
      <x:c r="D262" s="63"/>
      <x:c r="E262" s="63"/>
      <x:c r="F262" s="63"/>
      <x:c r="G262" s="63"/>
      <x:c r="H262" s="63"/>
      <x:c r="I262" s="63"/>
    </x:row>
    <x:row r="263" ht="30" customHeight="1">
      <x:c r="C263" s="64"/>
      <x:c r="D263" s="63"/>
      <x:c r="E263" s="63"/>
      <x:c r="F263" s="63"/>
      <x:c r="G263" s="63"/>
      <x:c r="H263" s="63"/>
      <x:c r="I263" s="63"/>
    </x:row>
    <x:row r="264" ht="30" customHeight="1">
      <x:c r="C264" s="64"/>
      <x:c r="D264" s="63"/>
      <x:c r="E264" s="63"/>
      <x:c r="F264" s="63"/>
      <x:c r="G264" s="63"/>
      <x:c r="H264" s="63"/>
      <x:c r="I264" s="63"/>
    </x:row>
    <x:row r="265" ht="30" customHeight="1">
      <x:c r="C265" s="64"/>
      <x:c r="D265" s="63"/>
      <x:c r="E265" s="63"/>
      <x:c r="F265" s="63"/>
      <x:c r="G265" s="63"/>
      <x:c r="H265" s="63"/>
      <x:c r="I265" s="63"/>
    </x:row>
    <x:row r="266" ht="30" customHeight="1">
      <x:c r="C266" s="64"/>
      <x:c r="D266" s="63"/>
      <x:c r="E266" s="63"/>
      <x:c r="F266" s="63"/>
      <x:c r="G266" s="63"/>
      <x:c r="H266" s="63"/>
      <x:c r="I266" s="63"/>
    </x:row>
    <x:row r="267" ht="30" customHeight="1">
      <x:c r="C267" s="64"/>
      <x:c r="D267" s="63"/>
      <x:c r="E267" s="63"/>
      <x:c r="F267" s="63"/>
      <x:c r="G267" s="63"/>
      <x:c r="H267" s="63"/>
      <x:c r="I267" s="63"/>
    </x:row>
    <x:row r="268" ht="30" customHeight="1">
      <x:c r="C268" s="64"/>
      <x:c r="D268" s="63"/>
      <x:c r="E268" s="63"/>
      <x:c r="F268" s="63"/>
      <x:c r="G268" s="63"/>
      <x:c r="H268" s="63"/>
      <x:c r="I268" s="63"/>
    </x:row>
    <x:row r="269" ht="30" customHeight="1">
      <x:c r="C269" s="64"/>
      <x:c r="D269" s="63"/>
      <x:c r="E269" s="63"/>
      <x:c r="F269" s="63"/>
      <x:c r="G269" s="63"/>
      <x:c r="H269" s="63"/>
      <x:c r="I269" s="63"/>
    </x:row>
    <x:row r="270" ht="30" customHeight="1">
      <x:c r="C270" s="64"/>
      <x:c r="D270" s="63"/>
      <x:c r="E270" s="63"/>
      <x:c r="F270" s="63"/>
      <x:c r="G270" s="63"/>
      <x:c r="H270" s="63"/>
      <x:c r="I270" s="63"/>
    </x:row>
    <x:row r="271" ht="30" customHeight="1">
      <x:c r="C271" s="64"/>
      <x:c r="D271" s="63"/>
      <x:c r="E271" s="63"/>
      <x:c r="F271" s="63"/>
      <x:c r="G271" s="63"/>
      <x:c r="H271" s="63"/>
      <x:c r="I271" s="63"/>
    </x:row>
    <x:row r="272" ht="30" customHeight="1">
      <x:c r="C272" s="64"/>
      <x:c r="D272" s="63"/>
      <x:c r="E272" s="63"/>
      <x:c r="F272" s="63"/>
      <x:c r="G272" s="63"/>
      <x:c r="H272" s="63"/>
      <x:c r="I272" s="63"/>
    </x:row>
    <x:row r="273" ht="30" customHeight="1">
      <x:c r="C273" s="64"/>
      <x:c r="D273" s="63"/>
      <x:c r="E273" s="63"/>
      <x:c r="F273" s="63"/>
      <x:c r="G273" s="63"/>
      <x:c r="H273" s="63"/>
      <x:c r="I273" s="63"/>
    </x:row>
    <x:row r="274" ht="30" customHeight="1">
      <x:c r="C274" s="64"/>
      <x:c r="D274" s="63"/>
      <x:c r="E274" s="63"/>
      <x:c r="F274" s="63"/>
      <x:c r="G274" s="63"/>
      <x:c r="H274" s="63"/>
      <x:c r="I274" s="63"/>
    </x:row>
    <x:row r="275" ht="30" customHeight="1">
      <x:c r="C275" s="64"/>
      <x:c r="D275" s="63"/>
      <x:c r="E275" s="63"/>
      <x:c r="F275" s="63"/>
      <x:c r="G275" s="63"/>
      <x:c r="H275" s="63"/>
      <x:c r="I275" s="63"/>
    </x:row>
    <x:row r="276" ht="30" customHeight="1">
      <x:c r="C276" s="64"/>
      <x:c r="D276" s="63"/>
      <x:c r="E276" s="63"/>
      <x:c r="F276" s="63"/>
      <x:c r="G276" s="63"/>
      <x:c r="H276" s="63"/>
      <x:c r="I276" s="63"/>
    </x:row>
    <x:row r="277" ht="30" customHeight="1">
      <x:c r="C277" s="64"/>
      <x:c r="D277" s="63"/>
      <x:c r="E277" s="63"/>
      <x:c r="F277" s="63"/>
      <x:c r="G277" s="63"/>
      <x:c r="H277" s="63"/>
      <x:c r="I277" s="63"/>
    </x:row>
    <x:row r="278" ht="30" customHeight="1">
      <x:c r="C278" s="64"/>
      <x:c r="D278" s="63"/>
      <x:c r="E278" s="63"/>
      <x:c r="F278" s="63"/>
      <x:c r="G278" s="63"/>
      <x:c r="H278" s="63"/>
      <x:c r="I278" s="63"/>
    </x:row>
    <x:row r="279" ht="30" customHeight="1">
      <x:c r="C279" s="64"/>
      <x:c r="D279" s="63"/>
      <x:c r="E279" s="63"/>
      <x:c r="F279" s="63"/>
      <x:c r="G279" s="63"/>
      <x:c r="H279" s="63"/>
      <x:c r="I279" s="63"/>
    </x:row>
    <x:row r="280" ht="30" customHeight="1">
      <x:c r="C280" s="64"/>
      <x:c r="D280" s="63"/>
      <x:c r="E280" s="63"/>
      <x:c r="F280" s="63"/>
      <x:c r="G280" s="63"/>
      <x:c r="H280" s="63"/>
      <x:c r="I280" s="63"/>
    </x:row>
    <x:row r="281" ht="30" customHeight="1">
      <x:c r="C281" s="64"/>
      <x:c r="D281" s="63"/>
      <x:c r="E281" s="63"/>
      <x:c r="F281" s="63"/>
      <x:c r="G281" s="63"/>
      <x:c r="H281" s="63"/>
      <x:c r="I281" s="63"/>
    </x:row>
    <x:row r="282" ht="30" customHeight="1">
      <x:c r="C282" s="64"/>
      <x:c r="D282" s="63"/>
      <x:c r="E282" s="63"/>
      <x:c r="F282" s="63"/>
      <x:c r="G282" s="63"/>
      <x:c r="H282" s="63"/>
      <x:c r="I282" s="63"/>
    </x:row>
    <x:row r="283" ht="30" customHeight="1">
      <x:c r="C283" s="64"/>
      <x:c r="D283" s="63"/>
      <x:c r="E283" s="63"/>
      <x:c r="F283" s="63"/>
      <x:c r="G283" s="63"/>
      <x:c r="H283" s="63"/>
      <x:c r="I283" s="63"/>
    </x:row>
    <x:row r="284" ht="30" customHeight="1">
      <x:c r="C284" s="64"/>
      <x:c r="D284" s="63"/>
      <x:c r="E284" s="63"/>
      <x:c r="F284" s="63"/>
      <x:c r="G284" s="63"/>
      <x:c r="H284" s="63"/>
      <x:c r="I284" s="63"/>
    </x:row>
    <x:row r="285" ht="30" customHeight="1">
      <x:c r="C285" s="64"/>
      <x:c r="D285" s="63"/>
      <x:c r="E285" s="63"/>
      <x:c r="F285" s="63"/>
      <x:c r="G285" s="63"/>
      <x:c r="H285" s="63"/>
      <x:c r="I285" s="63"/>
    </x:row>
    <x:row r="286" ht="30" customHeight="1">
      <x:c r="C286" s="64"/>
      <x:c r="D286" s="63"/>
      <x:c r="E286" s="63"/>
      <x:c r="F286" s="63"/>
      <x:c r="G286" s="63"/>
      <x:c r="H286" s="63"/>
      <x:c r="I286" s="63"/>
    </x:row>
    <x:row r="287" ht="30" customHeight="1">
      <x:c r="C287" s="64"/>
      <x:c r="D287" s="63"/>
      <x:c r="E287" s="63"/>
      <x:c r="F287" s="63"/>
      <x:c r="G287" s="63"/>
      <x:c r="H287" s="63"/>
      <x:c r="I287" s="63"/>
    </x:row>
    <x:row r="288" ht="30" customHeight="1">
      <x:c r="C288" s="64"/>
      <x:c r="D288" s="63"/>
      <x:c r="E288" s="63"/>
      <x:c r="F288" s="63"/>
      <x:c r="G288" s="63"/>
      <x:c r="H288" s="63"/>
      <x:c r="I288" s="63"/>
    </x:row>
    <x:row r="289" ht="30" customHeight="1">
      <x:c r="C289" s="64"/>
      <x:c r="D289" s="63"/>
      <x:c r="E289" s="63"/>
      <x:c r="F289" s="63"/>
      <x:c r="G289" s="63"/>
      <x:c r="H289" s="63"/>
      <x:c r="I289" s="63"/>
    </x:row>
    <x:row r="290" ht="30" customHeight="1">
      <x:c r="C290" s="64"/>
      <x:c r="D290" s="63"/>
      <x:c r="E290" s="63"/>
      <x:c r="F290" s="63"/>
      <x:c r="G290" s="63"/>
      <x:c r="H290" s="63"/>
      <x:c r="I290" s="63"/>
    </x:row>
    <x:row r="291" ht="30" customHeight="1">
      <x:c r="C291" s="64"/>
      <x:c r="D291" s="63"/>
      <x:c r="E291" s="63"/>
      <x:c r="F291" s="63"/>
      <x:c r="G291" s="63"/>
      <x:c r="H291" s="63"/>
      <x:c r="I291" s="63"/>
    </x:row>
    <x:row r="292" ht="30" customHeight="1">
      <x:c r="C292" s="64"/>
      <x:c r="D292" s="63"/>
      <x:c r="E292" s="63"/>
      <x:c r="F292" s="63"/>
      <x:c r="G292" s="63"/>
      <x:c r="H292" s="63"/>
      <x:c r="I292" s="63"/>
    </x:row>
    <x:row r="293" ht="30" customHeight="1">
      <x:c r="C293" s="64"/>
      <x:c r="D293" s="63"/>
      <x:c r="E293" s="63"/>
      <x:c r="F293" s="63"/>
      <x:c r="G293" s="63"/>
      <x:c r="H293" s="63"/>
      <x:c r="I293" s="63"/>
    </x:row>
    <x:row r="294" ht="30" customHeight="1">
      <x:c r="C294" s="64"/>
      <x:c r="D294" s="63"/>
      <x:c r="E294" s="63"/>
      <x:c r="F294" s="63"/>
      <x:c r="G294" s="63"/>
      <x:c r="H294" s="63"/>
      <x:c r="I294" s="63"/>
    </x:row>
    <x:row r="295" ht="30" customHeight="1">
      <x:c r="C295" s="64"/>
      <x:c r="D295" s="63"/>
      <x:c r="E295" s="63"/>
      <x:c r="F295" s="63"/>
      <x:c r="G295" s="63"/>
      <x:c r="H295" s="63"/>
      <x:c r="I295" s="63"/>
    </x:row>
    <x:row r="296" ht="30" customHeight="1">
      <x:c r="C296" s="64"/>
      <x:c r="D296" s="63"/>
      <x:c r="E296" s="63"/>
      <x:c r="F296" s="63"/>
      <x:c r="G296" s="63"/>
      <x:c r="H296" s="63"/>
      <x:c r="I296" s="63"/>
    </x:row>
    <x:row r="297" ht="30" customHeight="1">
      <x:c r="C297" s="64"/>
      <x:c r="D297" s="63"/>
      <x:c r="E297" s="63"/>
      <x:c r="F297" s="63"/>
      <x:c r="G297" s="63"/>
      <x:c r="H297" s="63"/>
      <x:c r="I297" s="63"/>
    </x:row>
    <x:row r="298" ht="30" customHeight="1">
      <x:c r="C298" s="64"/>
      <x:c r="D298" s="63"/>
      <x:c r="E298" s="63"/>
      <x:c r="F298" s="63"/>
      <x:c r="G298" s="63"/>
      <x:c r="H298" s="63"/>
      <x:c r="I298" s="63"/>
    </x:row>
    <x:row r="299" ht="30" customHeight="1">
      <x:c r="C299" s="64"/>
      <x:c r="D299" s="63"/>
      <x:c r="E299" s="63"/>
      <x:c r="F299" s="63"/>
      <x:c r="G299" s="63"/>
      <x:c r="H299" s="63"/>
      <x:c r="I299" s="63"/>
    </x:row>
    <x:row r="300" ht="30" customHeight="1">
      <x:c r="C300" s="64"/>
      <x:c r="D300" s="63"/>
      <x:c r="E300" s="63"/>
      <x:c r="F300" s="63"/>
      <x:c r="G300" s="63"/>
      <x:c r="H300" s="63"/>
      <x:c r="I300" s="63"/>
    </x:row>
    <x:row r="301" ht="30" customHeight="1">
      <x:c r="C301" s="64"/>
      <x:c r="D301" s="63"/>
      <x:c r="E301" s="63"/>
      <x:c r="F301" s="63"/>
      <x:c r="G301" s="63"/>
      <x:c r="H301" s="63"/>
      <x:c r="I301" s="63"/>
    </x:row>
    <x:row r="302" ht="30" customHeight="1">
      <x:c r="C302" s="64"/>
      <x:c r="D302" s="63"/>
      <x:c r="E302" s="63"/>
      <x:c r="F302" s="63"/>
      <x:c r="G302" s="63"/>
      <x:c r="H302" s="63"/>
      <x:c r="I302" s="63"/>
    </x:row>
    <x:row r="303" ht="30" customHeight="1">
      <x:c r="C303" s="64"/>
      <x:c r="D303" s="63"/>
      <x:c r="E303" s="63"/>
      <x:c r="F303" s="63"/>
      <x:c r="G303" s="63"/>
      <x:c r="H303" s="63"/>
      <x:c r="I303" s="63"/>
    </x:row>
    <x:row r="304" ht="30" customHeight="1">
      <x:c r="C304" s="64"/>
      <x:c r="D304" s="63"/>
      <x:c r="E304" s="63"/>
      <x:c r="F304" s="63"/>
      <x:c r="G304" s="63"/>
      <x:c r="H304" s="63"/>
      <x:c r="I304" s="63"/>
    </x:row>
    <x:row r="305" ht="30" customHeight="1">
      <x:c r="C305" s="64"/>
      <x:c r="D305" s="63"/>
      <x:c r="E305" s="63"/>
      <x:c r="F305" s="63"/>
      <x:c r="G305" s="63"/>
      <x:c r="H305" s="63"/>
      <x:c r="I305" s="63"/>
    </x:row>
    <x:row r="306" ht="30" customHeight="1">
      <x:c r="C306" s="64"/>
      <x:c r="D306" s="63"/>
      <x:c r="E306" s="63"/>
      <x:c r="F306" s="63"/>
      <x:c r="G306" s="63"/>
      <x:c r="H306" s="63"/>
      <x:c r="I306" s="63"/>
    </x:row>
    <x:row r="307" ht="30" customHeight="1">
      <x:c r="C307" s="64"/>
      <x:c r="D307" s="63"/>
      <x:c r="E307" s="63"/>
      <x:c r="F307" s="63"/>
      <x:c r="G307" s="63"/>
      <x:c r="H307" s="63"/>
      <x:c r="I307" s="63"/>
    </x:row>
    <x:row r="308" ht="30" customHeight="1">
      <x:c r="C308" s="64"/>
      <x:c r="D308" s="63"/>
      <x:c r="E308" s="63"/>
      <x:c r="F308" s="63"/>
      <x:c r="G308" s="63"/>
      <x:c r="H308" s="63"/>
      <x:c r="I308" s="63"/>
    </x:row>
    <x:row r="309" ht="30" customHeight="1">
      <x:c r="C309" s="64"/>
      <x:c r="D309" s="63"/>
      <x:c r="E309" s="63"/>
      <x:c r="F309" s="63"/>
      <x:c r="G309" s="63"/>
      <x:c r="H309" s="63"/>
      <x:c r="I309" s="63"/>
    </x:row>
    <x:row r="310" ht="30" customHeight="1">
      <x:c r="C310" s="64"/>
      <x:c r="D310" s="63"/>
      <x:c r="E310" s="63"/>
      <x:c r="F310" s="63"/>
      <x:c r="G310" s="63"/>
      <x:c r="H310" s="63"/>
      <x:c r="I310" s="63"/>
    </x:row>
    <x:row r="311" ht="30" customHeight="1">
      <x:c r="C311" s="64"/>
      <x:c r="D311" s="63"/>
      <x:c r="E311" s="63"/>
      <x:c r="F311" s="63"/>
      <x:c r="G311" s="63"/>
      <x:c r="H311" s="63"/>
      <x:c r="I311" s="63"/>
    </x:row>
    <x:row r="312" ht="30" customHeight="1">
      <x:c r="C312" s="64"/>
      <x:c r="D312" s="63"/>
      <x:c r="E312" s="63"/>
      <x:c r="F312" s="63"/>
      <x:c r="G312" s="63"/>
      <x:c r="H312" s="63"/>
      <x:c r="I312" s="63"/>
    </x:row>
    <x:row r="313" ht="30" customHeight="1">
      <x:c r="C313" s="64"/>
      <x:c r="D313" s="63"/>
      <x:c r="E313" s="63"/>
      <x:c r="F313" s="63"/>
      <x:c r="G313" s="63"/>
      <x:c r="H313" s="63"/>
      <x:c r="I313" s="63"/>
    </x:row>
    <x:row r="314" ht="30" customHeight="1">
      <x:c r="C314" s="64"/>
      <x:c r="D314" s="63"/>
      <x:c r="E314" s="63"/>
      <x:c r="F314" s="63"/>
      <x:c r="G314" s="63"/>
      <x:c r="H314" s="63"/>
      <x:c r="I314" s="63"/>
    </x:row>
    <x:row r="315" ht="30" customHeight="1">
      <x:c r="C315" s="64"/>
      <x:c r="D315" s="63"/>
      <x:c r="E315" s="63"/>
      <x:c r="F315" s="63"/>
      <x:c r="G315" s="63"/>
      <x:c r="H315" s="63"/>
      <x:c r="I315" s="63"/>
    </x:row>
    <x:row r="316" ht="30" customHeight="1">
      <x:c r="C316" s="64"/>
      <x:c r="D316" s="63"/>
      <x:c r="E316" s="63"/>
      <x:c r="F316" s="63"/>
      <x:c r="G316" s="63"/>
      <x:c r="H316" s="63"/>
      <x:c r="I316" s="63"/>
    </x:row>
    <x:row r="317" ht="30" customHeight="1">
      <x:c r="C317" s="64"/>
      <x:c r="D317" s="63"/>
      <x:c r="E317" s="63"/>
      <x:c r="F317" s="63"/>
      <x:c r="G317" s="63"/>
      <x:c r="H317" s="63"/>
      <x:c r="I317" s="63"/>
    </x:row>
    <x:row r="318" ht="30" customHeight="1">
      <x:c r="C318" s="64"/>
      <x:c r="D318" s="63"/>
      <x:c r="E318" s="63"/>
      <x:c r="F318" s="63"/>
      <x:c r="G318" s="63"/>
      <x:c r="H318" s="63"/>
      <x:c r="I318" s="63"/>
    </x:row>
    <x:row r="319" ht="30" customHeight="1">
      <x:c r="C319" s="64"/>
      <x:c r="D319" s="63"/>
      <x:c r="E319" s="63"/>
      <x:c r="F319" s="63"/>
      <x:c r="G319" s="63"/>
      <x:c r="H319" s="63"/>
      <x:c r="I319" s="63"/>
    </x:row>
    <x:row r="320" ht="30" customHeight="1">
      <x:c r="C320" s="64"/>
      <x:c r="D320" s="63"/>
      <x:c r="E320" s="63"/>
      <x:c r="F320" s="63"/>
      <x:c r="G320" s="63"/>
      <x:c r="H320" s="63"/>
      <x:c r="I320" s="63"/>
    </x:row>
    <x:row r="321" ht="30" customHeight="1">
      <x:c r="C321" s="64"/>
      <x:c r="D321" s="63"/>
      <x:c r="E321" s="63"/>
      <x:c r="F321" s="63"/>
      <x:c r="G321" s="63"/>
      <x:c r="H321" s="63"/>
      <x:c r="I321" s="63"/>
    </x:row>
    <x:row r="322" ht="30" customHeight="1">
      <x:c r="C322" s="64"/>
      <x:c r="D322" s="63"/>
      <x:c r="E322" s="63"/>
      <x:c r="F322" s="63"/>
      <x:c r="G322" s="63"/>
      <x:c r="H322" s="63"/>
      <x:c r="I322" s="63"/>
    </x:row>
    <x:row r="323" ht="30" customHeight="1">
      <x:c r="C323" s="64"/>
      <x:c r="D323" s="63"/>
      <x:c r="E323" s="63"/>
      <x:c r="F323" s="63"/>
      <x:c r="G323" s="63"/>
      <x:c r="H323" s="63"/>
      <x:c r="I323" s="63"/>
    </x:row>
    <x:row r="324" ht="30" customHeight="1">
      <x:c r="C324" s="64"/>
      <x:c r="D324" s="63"/>
      <x:c r="E324" s="63"/>
      <x:c r="F324" s="63"/>
      <x:c r="G324" s="63"/>
      <x:c r="H324" s="63"/>
      <x:c r="I324" s="63"/>
    </x:row>
    <x:row r="325" ht="30" customHeight="1">
      <x:c r="C325" s="64"/>
      <x:c r="D325" s="63"/>
      <x:c r="E325" s="63"/>
      <x:c r="F325" s="63"/>
      <x:c r="G325" s="63"/>
      <x:c r="H325" s="63"/>
      <x:c r="I325" s="63"/>
    </x:row>
    <x:row r="326" ht="30" customHeight="1">
      <x:c r="C326" s="64"/>
      <x:c r="D326" s="63"/>
      <x:c r="E326" s="63"/>
      <x:c r="F326" s="63"/>
      <x:c r="G326" s="63"/>
      <x:c r="H326" s="63"/>
      <x:c r="I326" s="63"/>
    </x:row>
    <x:row r="327" ht="30" customHeight="1">
      <x:c r="C327" s="64"/>
      <x:c r="D327" s="63"/>
      <x:c r="E327" s="63"/>
      <x:c r="F327" s="63"/>
      <x:c r="G327" s="63"/>
      <x:c r="H327" s="63"/>
      <x:c r="I327" s="63"/>
    </x:row>
    <x:row r="328" ht="30" customHeight="1">
      <x:c r="C328" s="64"/>
      <x:c r="D328" s="63"/>
      <x:c r="E328" s="63"/>
      <x:c r="F328" s="63"/>
      <x:c r="G328" s="63"/>
      <x:c r="H328" s="63"/>
      <x:c r="I328" s="63"/>
    </x:row>
    <x:row r="329" ht="30" customHeight="1">
      <x:c r="C329" s="64"/>
      <x:c r="D329" s="63"/>
      <x:c r="E329" s="63"/>
      <x:c r="F329" s="63"/>
      <x:c r="G329" s="63"/>
      <x:c r="H329" s="63"/>
      <x:c r="I329" s="63"/>
    </x:row>
    <x:row r="330" ht="30" customHeight="1">
      <x:c r="C330" s="64"/>
      <x:c r="D330" s="63"/>
      <x:c r="E330" s="63"/>
      <x:c r="F330" s="63"/>
      <x:c r="G330" s="63"/>
      <x:c r="H330" s="63"/>
      <x:c r="I330" s="63"/>
    </x:row>
    <x:row r="331" ht="30" customHeight="1">
      <x:c r="C331" s="64"/>
      <x:c r="D331" s="63"/>
      <x:c r="E331" s="63"/>
      <x:c r="F331" s="63"/>
      <x:c r="G331" s="63"/>
      <x:c r="H331" s="63"/>
      <x:c r="I331" s="63"/>
    </x:row>
    <x:row r="332" ht="30" customHeight="1">
      <x:c r="C332" s="64"/>
      <x:c r="D332" s="63"/>
      <x:c r="E332" s="63"/>
      <x:c r="F332" s="63"/>
      <x:c r="G332" s="63"/>
      <x:c r="H332" s="63"/>
      <x:c r="I332" s="63"/>
    </x:row>
    <x:row r="333" ht="30" customHeight="1">
      <x:c r="C333" s="64"/>
      <x:c r="D333" s="63"/>
      <x:c r="E333" s="63"/>
      <x:c r="F333" s="63"/>
      <x:c r="G333" s="63"/>
      <x:c r="H333" s="63"/>
      <x:c r="I333" s="63"/>
    </x:row>
    <x:row r="334" ht="30" customHeight="1">
      <x:c r="C334" s="64"/>
      <x:c r="D334" s="63"/>
      <x:c r="E334" s="63"/>
      <x:c r="F334" s="63"/>
      <x:c r="G334" s="63"/>
      <x:c r="H334" s="63"/>
      <x:c r="I334" s="63"/>
    </x:row>
    <x:row r="335" ht="30" customHeight="1">
      <x:c r="C335" s="64"/>
      <x:c r="D335" s="63"/>
      <x:c r="E335" s="63"/>
      <x:c r="F335" s="63"/>
      <x:c r="G335" s="63"/>
      <x:c r="H335" s="63"/>
      <x:c r="I335" s="63"/>
    </x:row>
    <x:row r="336" ht="30" customHeight="1">
      <x:c r="C336" s="64"/>
      <x:c r="D336" s="63"/>
      <x:c r="E336" s="63"/>
      <x:c r="F336" s="63"/>
      <x:c r="G336" s="63"/>
      <x:c r="H336" s="63"/>
      <x:c r="I336" s="63"/>
    </x:row>
    <x:row r="337" ht="30" customHeight="1">
      <x:c r="C337" s="64"/>
      <x:c r="D337" s="63"/>
      <x:c r="E337" s="63"/>
      <x:c r="F337" s="63"/>
      <x:c r="G337" s="63"/>
      <x:c r="H337" s="63"/>
      <x:c r="I337" s="63"/>
    </x:row>
    <x:row r="338" ht="30" customHeight="1">
      <x:c r="C338" s="64"/>
      <x:c r="D338" s="63"/>
      <x:c r="E338" s="63"/>
      <x:c r="F338" s="63"/>
      <x:c r="G338" s="63"/>
      <x:c r="H338" s="63"/>
      <x:c r="I338" s="63"/>
    </x:row>
    <x:row r="339" ht="30" customHeight="1">
      <x:c r="C339" s="64"/>
      <x:c r="D339" s="63"/>
      <x:c r="E339" s="63"/>
      <x:c r="F339" s="63"/>
      <x:c r="G339" s="63"/>
      <x:c r="H339" s="63"/>
      <x:c r="I339" s="63"/>
    </x:row>
    <x:row r="340" ht="30" customHeight="1">
      <x:c r="C340" s="64"/>
      <x:c r="D340" s="63"/>
      <x:c r="E340" s="63"/>
      <x:c r="F340" s="63"/>
      <x:c r="G340" s="63"/>
      <x:c r="H340" s="63"/>
      <x:c r="I340" s="63"/>
    </x:row>
    <x:row r="341" ht="30" customHeight="1">
      <x:c r="C341" s="64"/>
      <x:c r="D341" s="63"/>
      <x:c r="E341" s="63"/>
      <x:c r="F341" s="63"/>
      <x:c r="G341" s="63"/>
      <x:c r="H341" s="63"/>
      <x:c r="I341" s="63"/>
    </x:row>
    <x:row r="342" ht="30" customHeight="1">
      <x:c r="C342" s="64"/>
      <x:c r="D342" s="63"/>
      <x:c r="E342" s="63"/>
      <x:c r="F342" s="63"/>
      <x:c r="G342" s="63"/>
      <x:c r="H342" s="63"/>
      <x:c r="I342" s="63"/>
    </x:row>
    <x:row r="343" ht="30" customHeight="1">
      <x:c r="C343" s="64"/>
      <x:c r="D343" s="63"/>
      <x:c r="E343" s="63"/>
      <x:c r="F343" s="63"/>
      <x:c r="G343" s="63"/>
      <x:c r="H343" s="63"/>
      <x:c r="I343" s="63"/>
    </x:row>
    <x:row r="344" ht="30" customHeight="1">
      <x:c r="C344" s="64"/>
      <x:c r="D344" s="63"/>
      <x:c r="E344" s="63"/>
      <x:c r="F344" s="63"/>
      <x:c r="G344" s="63"/>
      <x:c r="H344" s="63"/>
      <x:c r="I344" s="63"/>
    </x:row>
    <x:row r="345" ht="30" customHeight="1">
      <x:c r="C345" s="64"/>
      <x:c r="D345" s="63"/>
      <x:c r="E345" s="63"/>
      <x:c r="F345" s="63"/>
      <x:c r="G345" s="63"/>
      <x:c r="H345" s="63"/>
      <x:c r="I345" s="63"/>
    </x:row>
    <x:row r="346" ht="30" customHeight="1">
      <x:c r="C346" s="64"/>
      <x:c r="D346" s="63"/>
      <x:c r="E346" s="63"/>
      <x:c r="F346" s="63"/>
      <x:c r="G346" s="63"/>
      <x:c r="H346" s="63"/>
      <x:c r="I346" s="63"/>
    </x:row>
    <x:row r="347" ht="30" customHeight="1">
      <x:c r="C347" s="64"/>
      <x:c r="D347" s="63"/>
      <x:c r="E347" s="63"/>
      <x:c r="F347" s="63"/>
      <x:c r="G347" s="63"/>
      <x:c r="H347" s="63"/>
      <x:c r="I347" s="63"/>
    </x:row>
    <x:row r="348" ht="30" customHeight="1">
      <x:c r="C348" s="64"/>
      <x:c r="D348" s="63"/>
      <x:c r="E348" s="63"/>
      <x:c r="F348" s="63"/>
      <x:c r="G348" s="63"/>
      <x:c r="H348" s="63"/>
      <x:c r="I348" s="63"/>
    </x:row>
    <x:row r="349" ht="30" customHeight="1">
      <x:c r="C349" s="64"/>
      <x:c r="D349" s="63"/>
      <x:c r="E349" s="63"/>
      <x:c r="F349" s="63"/>
      <x:c r="G349" s="63"/>
      <x:c r="H349" s="63"/>
      <x:c r="I349" s="63"/>
    </x:row>
    <x:row r="350" ht="30" customHeight="1">
      <x:c r="C350" s="64"/>
      <x:c r="D350" s="63"/>
      <x:c r="E350" s="63"/>
      <x:c r="F350" s="63"/>
      <x:c r="G350" s="63"/>
      <x:c r="H350" s="63"/>
      <x:c r="I350" s="63"/>
    </x:row>
    <x:row r="351" ht="30" customHeight="1">
      <x:c r="C351" s="64"/>
      <x:c r="D351" s="63"/>
      <x:c r="E351" s="63"/>
      <x:c r="F351" s="63"/>
      <x:c r="G351" s="63"/>
      <x:c r="H351" s="63"/>
      <x:c r="I351" s="63"/>
    </x:row>
    <x:row r="352" ht="30" customHeight="1">
      <x:c r="C352" s="64"/>
      <x:c r="D352" s="63"/>
      <x:c r="E352" s="63"/>
      <x:c r="F352" s="63"/>
      <x:c r="G352" s="63"/>
      <x:c r="H352" s="63"/>
      <x:c r="I352" s="63"/>
    </x:row>
    <x:row r="353" ht="30" customHeight="1">
      <x:c r="C353" s="64"/>
      <x:c r="D353" s="63"/>
      <x:c r="E353" s="63"/>
      <x:c r="F353" s="63"/>
      <x:c r="G353" s="63"/>
      <x:c r="H353" s="63"/>
      <x:c r="I353" s="63"/>
    </x:row>
    <x:row r="354" ht="30" customHeight="1">
      <x:c r="C354" s="64"/>
      <x:c r="D354" s="63"/>
      <x:c r="E354" s="63"/>
      <x:c r="F354" s="63"/>
      <x:c r="G354" s="63"/>
      <x:c r="H354" s="63"/>
      <x:c r="I354" s="63"/>
    </x:row>
    <x:row r="355" ht="30" customHeight="1">
      <x:c r="C355" s="64"/>
      <x:c r="D355" s="63"/>
      <x:c r="E355" s="63"/>
      <x:c r="F355" s="63"/>
      <x:c r="G355" s="63"/>
      <x:c r="H355" s="63"/>
      <x:c r="I355" s="63"/>
    </x:row>
    <x:row r="356" ht="30" customHeight="1">
      <x:c r="C356" s="64"/>
      <x:c r="D356" s="63"/>
      <x:c r="E356" s="63"/>
      <x:c r="F356" s="63"/>
      <x:c r="G356" s="63"/>
      <x:c r="H356" s="63"/>
      <x:c r="I356" s="63"/>
    </x:row>
    <x:row r="357" ht="30" customHeight="1">
      <x:c r="C357" s="64"/>
      <x:c r="D357" s="63"/>
      <x:c r="E357" s="63"/>
      <x:c r="F357" s="63"/>
      <x:c r="G357" s="63"/>
      <x:c r="H357" s="63"/>
      <x:c r="I357" s="63"/>
    </x:row>
    <x:row r="358" ht="30" customHeight="1">
      <x:c r="C358" s="64"/>
      <x:c r="D358" s="63"/>
      <x:c r="E358" s="63"/>
      <x:c r="F358" s="63"/>
      <x:c r="G358" s="63"/>
      <x:c r="H358" s="63"/>
      <x:c r="I358" s="63"/>
    </x:row>
    <x:row r="359" ht="30" customHeight="1">
      <x:c r="C359" s="64"/>
      <x:c r="D359" s="63"/>
      <x:c r="E359" s="63"/>
      <x:c r="F359" s="63"/>
      <x:c r="G359" s="63"/>
      <x:c r="H359" s="63"/>
      <x:c r="I359" s="63"/>
    </x:row>
    <x:row r="360" ht="30" customHeight="1">
      <x:c r="C360" s="64"/>
      <x:c r="D360" s="63"/>
      <x:c r="E360" s="63"/>
      <x:c r="F360" s="63"/>
      <x:c r="G360" s="63"/>
      <x:c r="H360" s="63"/>
      <x:c r="I360" s="63"/>
    </x:row>
    <x:row r="361" ht="30" customHeight="1">
      <x:c r="C361" s="64"/>
      <x:c r="D361" s="63"/>
      <x:c r="E361" s="63"/>
      <x:c r="F361" s="63"/>
      <x:c r="G361" s="63"/>
      <x:c r="H361" s="63"/>
      <x:c r="I361" s="63"/>
    </x:row>
    <x:row r="362" ht="30" customHeight="1">
      <x:c r="C362" s="64"/>
      <x:c r="D362" s="63"/>
      <x:c r="E362" s="63"/>
      <x:c r="F362" s="63"/>
      <x:c r="G362" s="63"/>
      <x:c r="H362" s="63"/>
      <x:c r="I362" s="63"/>
    </x:row>
    <x:row r="363" ht="30" customHeight="1">
      <x:c r="C363" s="64"/>
      <x:c r="D363" s="63"/>
      <x:c r="E363" s="63"/>
      <x:c r="F363" s="63"/>
      <x:c r="G363" s="63"/>
      <x:c r="H363" s="63"/>
      <x:c r="I363" s="63"/>
    </x:row>
    <x:row r="364" ht="30" customHeight="1">
      <x:c r="C364" s="64"/>
      <x:c r="D364" s="63"/>
      <x:c r="E364" s="63"/>
      <x:c r="F364" s="63"/>
      <x:c r="G364" s="63"/>
      <x:c r="H364" s="63"/>
      <x:c r="I364" s="63"/>
    </x:row>
    <x:row r="365" ht="30" customHeight="1">
      <x:c r="C365" s="64"/>
      <x:c r="D365" s="63"/>
      <x:c r="E365" s="63"/>
      <x:c r="F365" s="63"/>
      <x:c r="G365" s="63"/>
      <x:c r="H365" s="63"/>
      <x:c r="I365" s="63"/>
    </x:row>
    <x:row r="366" ht="30" customHeight="1">
      <x:c r="C366" s="64"/>
      <x:c r="D366" s="63"/>
      <x:c r="E366" s="63"/>
      <x:c r="F366" s="63"/>
      <x:c r="G366" s="63"/>
      <x:c r="H366" s="63"/>
      <x:c r="I366" s="63"/>
    </x:row>
    <x:row r="367" ht="30" customHeight="1">
      <x:c r="C367" s="64"/>
      <x:c r="D367" s="63"/>
      <x:c r="E367" s="63"/>
      <x:c r="F367" s="63"/>
      <x:c r="G367" s="63"/>
      <x:c r="H367" s="63"/>
      <x:c r="I367" s="63"/>
    </x:row>
    <x:row r="368" ht="30" customHeight="1">
      <x:c r="C368" s="64"/>
      <x:c r="D368" s="63"/>
      <x:c r="E368" s="63"/>
      <x:c r="F368" s="63"/>
      <x:c r="G368" s="63"/>
      <x:c r="H368" s="63"/>
      <x:c r="I368" s="63"/>
    </x:row>
    <x:row r="369" ht="30" customHeight="1">
      <x:c r="C369" s="64"/>
      <x:c r="D369" s="63"/>
      <x:c r="E369" s="63"/>
      <x:c r="F369" s="63"/>
      <x:c r="G369" s="63"/>
      <x:c r="H369" s="63"/>
      <x:c r="I369" s="63"/>
    </x:row>
    <x:row r="370" ht="30" customHeight="1">
      <x:c r="C370" s="64"/>
      <x:c r="D370" s="63"/>
      <x:c r="E370" s="63"/>
      <x:c r="F370" s="63"/>
      <x:c r="G370" s="63"/>
      <x:c r="H370" s="63"/>
      <x:c r="I370" s="63"/>
    </x:row>
    <x:row r="371" ht="30" customHeight="1">
      <x:c r="C371" s="64"/>
      <x:c r="D371" s="63"/>
      <x:c r="E371" s="63"/>
      <x:c r="F371" s="63"/>
      <x:c r="G371" s="63"/>
      <x:c r="H371" s="63"/>
      <x:c r="I371" s="63"/>
    </x:row>
    <x:row r="372" ht="30" customHeight="1">
      <x:c r="C372" s="64"/>
      <x:c r="D372" s="63"/>
      <x:c r="E372" s="63"/>
      <x:c r="F372" s="63"/>
      <x:c r="G372" s="63"/>
      <x:c r="H372" s="63"/>
      <x:c r="I372" s="63"/>
    </x:row>
    <x:row r="373" ht="30" customHeight="1">
      <x:c r="C373" s="64"/>
      <x:c r="D373" s="63"/>
      <x:c r="E373" s="63"/>
      <x:c r="F373" s="63"/>
      <x:c r="G373" s="63"/>
      <x:c r="H373" s="63"/>
      <x:c r="I373" s="63"/>
    </x:row>
    <x:row r="374" ht="30" customHeight="1">
      <x:c r="C374" s="64"/>
      <x:c r="D374" s="63"/>
      <x:c r="E374" s="63"/>
      <x:c r="F374" s="63"/>
      <x:c r="G374" s="63"/>
      <x:c r="H374" s="63"/>
      <x:c r="I374" s="63"/>
    </x:row>
    <x:row r="375" ht="30" customHeight="1">
      <x:c r="C375" s="64"/>
      <x:c r="D375" s="63"/>
      <x:c r="E375" s="63"/>
      <x:c r="F375" s="63"/>
      <x:c r="G375" s="63"/>
      <x:c r="H375" s="63"/>
      <x:c r="I375" s="63"/>
    </x:row>
    <x:row r="376" ht="30" customHeight="1">
      <x:c r="C376" s="64"/>
      <x:c r="D376" s="63"/>
      <x:c r="E376" s="63"/>
      <x:c r="F376" s="63"/>
      <x:c r="G376" s="63"/>
      <x:c r="H376" s="63"/>
      <x:c r="I376" s="63"/>
    </x:row>
    <x:row r="377" ht="30" customHeight="1">
      <x:c r="C377" s="64"/>
      <x:c r="D377" s="63"/>
      <x:c r="E377" s="63"/>
      <x:c r="F377" s="63"/>
      <x:c r="G377" s="63"/>
      <x:c r="H377" s="63"/>
      <x:c r="I377" s="63"/>
    </x:row>
    <x:row r="378" ht="30" customHeight="1">
      <x:c r="C378" s="64"/>
      <x:c r="D378" s="63"/>
      <x:c r="E378" s="63"/>
      <x:c r="F378" s="63"/>
      <x:c r="G378" s="63"/>
      <x:c r="H378" s="63"/>
      <x:c r="I378" s="63"/>
    </x:row>
    <x:row r="379" ht="30" customHeight="1">
      <x:c r="C379" s="64"/>
      <x:c r="D379" s="63"/>
      <x:c r="E379" s="63"/>
      <x:c r="F379" s="63"/>
      <x:c r="G379" s="63"/>
      <x:c r="H379" s="63"/>
      <x:c r="I379" s="63"/>
    </x:row>
    <x:row r="380" ht="30" customHeight="1">
      <x:c r="C380" s="64"/>
      <x:c r="D380" s="63"/>
      <x:c r="E380" s="63"/>
      <x:c r="F380" s="63"/>
      <x:c r="G380" s="63"/>
      <x:c r="H380" s="63"/>
      <x:c r="I380" s="63"/>
    </x:row>
    <x:row r="381" ht="30" customHeight="1">
      <x:c r="C381" s="64"/>
      <x:c r="D381" s="63"/>
      <x:c r="E381" s="63"/>
      <x:c r="F381" s="63"/>
      <x:c r="G381" s="63"/>
      <x:c r="H381" s="63"/>
      <x:c r="I381" s="63"/>
    </x:row>
    <x:row r="382" ht="30" customHeight="1">
      <x:c r="C382" s="64"/>
      <x:c r="D382" s="63"/>
      <x:c r="E382" s="63"/>
      <x:c r="F382" s="63"/>
      <x:c r="G382" s="63"/>
      <x:c r="H382" s="63"/>
      <x:c r="I382" s="63"/>
    </x:row>
    <x:row r="383" ht="30" customHeight="1">
      <x:c r="C383" s="64"/>
      <x:c r="D383" s="63"/>
      <x:c r="E383" s="63"/>
      <x:c r="F383" s="63"/>
      <x:c r="G383" s="63"/>
      <x:c r="H383" s="63"/>
      <x:c r="I383" s="63"/>
    </x:row>
    <x:row r="384" ht="30" customHeight="1">
      <x:c r="C384" s="64"/>
      <x:c r="D384" s="63"/>
      <x:c r="E384" s="63"/>
      <x:c r="F384" s="63"/>
      <x:c r="G384" s="63"/>
      <x:c r="H384" s="63"/>
      <x:c r="I384" s="63"/>
    </x:row>
    <x:row r="385" ht="30" customHeight="1">
      <x:c r="C385" s="64"/>
      <x:c r="D385" s="63"/>
      <x:c r="E385" s="63"/>
      <x:c r="F385" s="63"/>
      <x:c r="G385" s="63"/>
      <x:c r="H385" s="63"/>
      <x:c r="I385" s="63"/>
    </x:row>
    <x:row r="386" ht="30" customHeight="1">
      <x:c r="C386" s="64"/>
      <x:c r="D386" s="63"/>
      <x:c r="E386" s="63"/>
      <x:c r="F386" s="63"/>
      <x:c r="G386" s="63"/>
      <x:c r="H386" s="63"/>
      <x:c r="I386" s="63"/>
    </x:row>
    <x:row r="387" ht="30" customHeight="1">
      <x:c r="C387" s="64"/>
      <x:c r="D387" s="63"/>
      <x:c r="E387" s="63"/>
      <x:c r="F387" s="63"/>
      <x:c r="G387" s="63"/>
      <x:c r="H387" s="63"/>
      <x:c r="I387" s="63"/>
    </x:row>
    <x:row r="388" ht="30" customHeight="1">
      <x:c r="C388" s="64"/>
      <x:c r="D388" s="63"/>
      <x:c r="E388" s="63"/>
      <x:c r="F388" s="63"/>
      <x:c r="G388" s="63"/>
      <x:c r="H388" s="63"/>
      <x:c r="I388" s="63"/>
    </x:row>
    <x:row r="389" ht="30" customHeight="1">
      <x:c r="C389" s="64"/>
      <x:c r="D389" s="63"/>
      <x:c r="E389" s="63"/>
      <x:c r="F389" s="63"/>
      <x:c r="G389" s="63"/>
      <x:c r="H389" s="63"/>
      <x:c r="I389" s="63"/>
    </x:row>
    <x:row r="390" ht="30" customHeight="1">
      <x:c r="C390" s="64"/>
      <x:c r="D390" s="63"/>
      <x:c r="E390" s="63"/>
      <x:c r="F390" s="63"/>
      <x:c r="G390" s="63"/>
      <x:c r="H390" s="63"/>
      <x:c r="I390" s="63"/>
    </x:row>
    <x:row r="391" ht="30" customHeight="1">
      <x:c r="C391" s="64"/>
      <x:c r="D391" s="63"/>
      <x:c r="E391" s="63"/>
      <x:c r="F391" s="63"/>
      <x:c r="G391" s="63"/>
      <x:c r="H391" s="63"/>
      <x:c r="I391" s="63"/>
    </x:row>
    <x:row r="392" ht="30" customHeight="1">
      <x:c r="C392" s="64"/>
      <x:c r="D392" s="63"/>
      <x:c r="E392" s="63"/>
      <x:c r="F392" s="63"/>
      <x:c r="G392" s="63"/>
      <x:c r="H392" s="63"/>
      <x:c r="I392" s="63"/>
    </x:row>
    <x:row r="393" ht="30" customHeight="1">
      <x:c r="C393" s="64"/>
      <x:c r="D393" s="63"/>
      <x:c r="E393" s="63"/>
      <x:c r="F393" s="63"/>
      <x:c r="G393" s="63"/>
      <x:c r="H393" s="63"/>
      <x:c r="I393" s="63"/>
    </x:row>
    <x:row r="394" ht="30" customHeight="1">
      <x:c r="C394" s="64"/>
      <x:c r="D394" s="63"/>
      <x:c r="E394" s="63"/>
      <x:c r="F394" s="63"/>
      <x:c r="G394" s="63"/>
      <x:c r="H394" s="63"/>
      <x:c r="I394" s="63"/>
    </x:row>
    <x:row r="395" ht="30" customHeight="1">
      <x:c r="C395" s="64"/>
      <x:c r="D395" s="63"/>
      <x:c r="E395" s="63"/>
      <x:c r="F395" s="63"/>
      <x:c r="G395" s="63"/>
      <x:c r="H395" s="63"/>
      <x:c r="I395" s="63"/>
    </x:row>
    <x:row r="396" ht="30" customHeight="1">
      <x:c r="C396" s="64"/>
      <x:c r="D396" s="63"/>
      <x:c r="E396" s="63"/>
      <x:c r="F396" s="63"/>
      <x:c r="G396" s="63"/>
      <x:c r="H396" s="63"/>
      <x:c r="I396" s="63"/>
    </x:row>
    <x:row r="397" ht="30" customHeight="1">
      <x:c r="C397" s="64"/>
      <x:c r="D397" s="63"/>
      <x:c r="E397" s="63"/>
      <x:c r="F397" s="63"/>
      <x:c r="G397" s="63"/>
      <x:c r="H397" s="63"/>
      <x:c r="I397" s="63"/>
    </x:row>
    <x:row r="398" ht="25" customHeight="1">
      <x:c r="C398" s="68" t="str">
        <x:v>SCENARIO ASSUMPTIONS</x:v>
      </x:c>
      <x:c r="D398" s="82"/>
      <x:c r="E398" s="82"/>
      <x:c r="F398" s="82"/>
      <x:c r="G398" s="82"/>
      <x:c r="H398" s="82"/>
      <x:c r="I398" s="82"/>
    </x:row>
    <x:row r="399" ht="30" customHeight="1">
      <x:c r="C399" s="64"/>
      <x:c r="D399" s="63"/>
      <x:c r="E399" s="63"/>
      <x:c r="F399" s="63"/>
      <x:c r="G399" s="63"/>
      <x:c r="H399" s="63"/>
      <x:c r="I399" s="63"/>
    </x:row>
    <x:row r="400" ht="30" customHeight="1">
      <x:c r="C400" s="64" t="str">
        <x:v>Capacity utilization — active</x:v>
      </x:c>
      <x:c r="D400" s="63"/>
      <x:c r="E400" s="83" t="n">
        <x:f>IF(COUNT(CHOOSE('Controls'!$E$5,E401,E402,E403))=1,CHOOSE('Controls'!$E$5,E401,E402,E403),NA())</x:f>
        <x:v>1</x:v>
      </x:c>
      <x:c r="F400" s="83" t="n">
        <x:f>IF(COUNT(CHOOSE('Controls'!$E$5,F401,F402,F403))=1,CHOOSE('Controls'!$E$5,F401,F402,F403),NA())</x:f>
        <x:v>1</x:v>
      </x:c>
      <x:c r="G400" s="83" t="n">
        <x:f>IF(COUNT(CHOOSE('Controls'!$E$5,G401,G402,G403))=1,CHOOSE('Controls'!$E$5,G401,G402,G403),NA())</x:f>
        <x:v>1</x:v>
      </x:c>
      <x:c r="H400" s="83" t="n">
        <x:f>IF(COUNT(CHOOSE('Controls'!$E$5,H401,H402,H403))=1,CHOOSE('Controls'!$E$5,H401,H402,H403),NA())</x:f>
        <x:v>1</x:v>
      </x:c>
      <x:c r="I400" s="83" t="n">
        <x:f>IF(COUNT(CHOOSE('Controls'!$E$5,I401,I402,I403))=1,CHOOSE('Controls'!$E$5,I401,I402,I403),NA())</x:f>
        <x:v>1</x:v>
      </x:c>
    </x:row>
    <x:row r="401" ht="30" customHeight="1">
      <x:c r="C401" s="64" t="str">
        <x:v>Base</x:v>
      </x:c>
      <x:c r="D401" s="63"/>
      <x:c r="E401" s="85" t="n">
        <x:v>1</x:v>
      </x:c>
      <x:c r="F401" s="85" t="n">
        <x:v>1</x:v>
      </x:c>
      <x:c r="G401" s="85" t="n">
        <x:v>1</x:v>
      </x:c>
      <x:c r="H401" s="85" t="n">
        <x:v>1</x:v>
      </x:c>
      <x:c r="I401" s="85" t="n">
        <x:v>1</x:v>
      </x:c>
    </x:row>
    <x:row r="402" ht="30" customHeight="1">
      <x:c r="C402" s="64" t="str">
        <x:v>Downside</x:v>
      </x:c>
      <x:c r="D402" s="63"/>
      <x:c r="E402" s="85" t="n">
        <x:v>1</x:v>
      </x:c>
      <x:c r="F402" s="85" t="n">
        <x:v>1</x:v>
      </x:c>
      <x:c r="G402" s="85" t="n">
        <x:v>1</x:v>
      </x:c>
      <x:c r="H402" s="85" t="n">
        <x:v>1</x:v>
      </x:c>
      <x:c r="I402" s="85" t="n">
        <x:v>1</x:v>
      </x:c>
    </x:row>
    <x:row r="403" ht="30" customHeight="1">
      <x:c r="C403" s="64" t="str">
        <x:v>Upside</x:v>
      </x:c>
      <x:c r="D403" s="63"/>
      <x:c r="E403" s="85" t="n">
        <x:v>1</x:v>
      </x:c>
      <x:c r="F403" s="85" t="n">
        <x:v>1</x:v>
      </x:c>
      <x:c r="G403" s="85" t="n">
        <x:v>1</x:v>
      </x:c>
      <x:c r="H403" s="85" t="n">
        <x:v>1</x:v>
      </x:c>
      <x:c r="I403" s="85" t="n">
        <x:v>1</x:v>
      </x:c>
    </x:row>
    <x:row r="404" ht="30" customHeight="1">
      <x:c r="C404" s="64"/>
      <x:c r="D404" s="63"/>
      <x:c r="E404" s="63"/>
      <x:c r="F404" s="63"/>
      <x:c r="G404" s="63"/>
      <x:c r="H404" s="63"/>
      <x:c r="I404" s="63"/>
    </x:row>
    <x:row r="405" ht="30" customHeight="1">
      <x:c r="C405" s="64" t="str">
        <x:v>Materials and manufacturing / revenue — active</x:v>
      </x:c>
      <x:c r="D405" s="63"/>
      <x:c r="E405" s="83" t="n">
        <x:f>IF(COUNT(CHOOSE('Controls'!$E$5,E406,E407,E408))=1,CHOOSE('Controls'!$E$5,E406,E407,E408),NA())</x:f>
        <x:v>0.53</x:v>
      </x:c>
      <x:c r="F405" s="83" t="n">
        <x:f>IF(COUNT(CHOOSE('Controls'!$E$5,F406,F407,F408))=1,CHOOSE('Controls'!$E$5,F406,F407,F408),NA())</x:f>
        <x:v>0.53</x:v>
      </x:c>
      <x:c r="G405" s="83" t="n">
        <x:f>IF(COUNT(CHOOSE('Controls'!$E$5,G406,G407,G408))=1,CHOOSE('Controls'!$E$5,G406,G407,G408),NA())</x:f>
        <x:v>0.53</x:v>
      </x:c>
      <x:c r="H405" s="83" t="n">
        <x:f>IF(COUNT(CHOOSE('Controls'!$E$5,H406,H407,H408))=1,CHOOSE('Controls'!$E$5,H406,H407,H408),NA())</x:f>
        <x:v>0.53</x:v>
      </x:c>
      <x:c r="I405" s="83" t="n">
        <x:f>IF(COUNT(CHOOSE('Controls'!$E$5,I406,I407,I408))=1,CHOOSE('Controls'!$E$5,I406,I407,I408),NA())</x:f>
        <x:v>0.53</x:v>
      </x:c>
    </x:row>
    <x:row r="406" ht="30" customHeight="1">
      <x:c r="C406" s="64" t="str">
        <x:v>Base</x:v>
      </x:c>
      <x:c r="D406" s="63"/>
      <x:c r="E406" s="85" t="n">
        <x:v>0.53</x:v>
      </x:c>
      <x:c r="F406" s="85" t="n">
        <x:v>0.53</x:v>
      </x:c>
      <x:c r="G406" s="85" t="n">
        <x:v>0.53</x:v>
      </x:c>
      <x:c r="H406" s="85" t="n">
        <x:v>0.53</x:v>
      </x:c>
      <x:c r="I406" s="85" t="n">
        <x:v>0.53</x:v>
      </x:c>
    </x:row>
    <x:row r="407" ht="30" customHeight="1">
      <x:c r="C407" s="64" t="str">
        <x:v>Downside</x:v>
      </x:c>
      <x:c r="D407" s="63"/>
      <x:c r="E407" s="85" t="n">
        <x:v>0.53</x:v>
      </x:c>
      <x:c r="F407" s="85" t="n">
        <x:v>0.53</x:v>
      </x:c>
      <x:c r="G407" s="85" t="n">
        <x:v>0.53</x:v>
      </x:c>
      <x:c r="H407" s="85" t="n">
        <x:v>0.53</x:v>
      </x:c>
      <x:c r="I407" s="85" t="n">
        <x:v>0.53</x:v>
      </x:c>
    </x:row>
    <x:row r="408" ht="30" customHeight="1">
      <x:c r="C408" s="64" t="str">
        <x:v>Upside</x:v>
      </x:c>
      <x:c r="D408" s="63"/>
      <x:c r="E408" s="85" t="n">
        <x:v>0.53</x:v>
      </x:c>
      <x:c r="F408" s="85" t="n">
        <x:v>0.53</x:v>
      </x:c>
      <x:c r="G408" s="85" t="n">
        <x:v>0.53</x:v>
      </x:c>
      <x:c r="H408" s="85" t="n">
        <x:v>0.53</x:v>
      </x:c>
      <x:c r="I408" s="85" t="n">
        <x:v>0.53</x:v>
      </x:c>
    </x:row>
    <x:row r="409" ht="30" customHeight="1">
      <x:c r="C409" s="64"/>
      <x:c r="D409" s="63"/>
      <x:c r="E409" s="63"/>
      <x:c r="F409" s="63"/>
      <x:c r="G409" s="63"/>
      <x:c r="H409" s="63"/>
      <x:c r="I409" s="63"/>
    </x:row>
    <x:row r="410" ht="30" customHeight="1">
      <x:c r="C410" s="64" t="str">
        <x:v>Other cash operating costs / revenue — active</x:v>
      </x:c>
      <x:c r="D410" s="63"/>
      <x:c r="E410" s="83" t="n">
        <x:f>IF(COUNT(CHOOSE('Controls'!$E$5,E411,E412,E413))=1,CHOOSE('Controls'!$E$5,E411,E412,E413),NA())</x:f>
        <x:v>0.24</x:v>
      </x:c>
      <x:c r="F410" s="83" t="n">
        <x:f>IF(COUNT(CHOOSE('Controls'!$E$5,F411,F412,F413))=1,CHOOSE('Controls'!$E$5,F411,F412,F413),NA())</x:f>
        <x:v>0.24</x:v>
      </x:c>
      <x:c r="G410" s="83" t="n">
        <x:f>IF(COUNT(CHOOSE('Controls'!$E$5,G411,G412,G413))=1,CHOOSE('Controls'!$E$5,G411,G412,G413),NA())</x:f>
        <x:v>0.24</x:v>
      </x:c>
      <x:c r="H410" s="83" t="n">
        <x:f>IF(COUNT(CHOOSE('Controls'!$E$5,H411,H412,H413))=1,CHOOSE('Controls'!$E$5,H411,H412,H413),NA())</x:f>
        <x:v>0.24</x:v>
      </x:c>
      <x:c r="I410" s="83" t="n">
        <x:f>IF(COUNT(CHOOSE('Controls'!$E$5,I411,I412,I413))=1,CHOOSE('Controls'!$E$5,I411,I412,I413),NA())</x:f>
        <x:v>0.24</x:v>
      </x:c>
    </x:row>
    <x:row r="411" ht="30" customHeight="1">
      <x:c r="C411" s="64" t="str">
        <x:v>Base</x:v>
      </x:c>
      <x:c r="D411" s="63"/>
      <x:c r="E411" s="85" t="n">
        <x:v>0.24</x:v>
      </x:c>
      <x:c r="F411" s="85" t="n">
        <x:v>0.24</x:v>
      </x:c>
      <x:c r="G411" s="85" t="n">
        <x:v>0.24</x:v>
      </x:c>
      <x:c r="H411" s="85" t="n">
        <x:v>0.24</x:v>
      </x:c>
      <x:c r="I411" s="85" t="n">
        <x:v>0.24</x:v>
      </x:c>
    </x:row>
    <x:row r="412" ht="30" customHeight="1">
      <x:c r="C412" s="64" t="str">
        <x:v>Downside</x:v>
      </x:c>
      <x:c r="D412" s="63"/>
      <x:c r="E412" s="85" t="n">
        <x:v>0.24</x:v>
      </x:c>
      <x:c r="F412" s="85" t="n">
        <x:v>0.24</x:v>
      </x:c>
      <x:c r="G412" s="85" t="n">
        <x:v>0.24</x:v>
      </x:c>
      <x:c r="H412" s="85" t="n">
        <x:v>0.24</x:v>
      </x:c>
      <x:c r="I412" s="85" t="n">
        <x:v>0.24</x:v>
      </x:c>
    </x:row>
    <x:row r="413" ht="30" customHeight="1">
      <x:c r="C413" s="64" t="str">
        <x:v>Upside</x:v>
      </x:c>
      <x:c r="D413" s="63"/>
      <x:c r="E413" s="85" t="n">
        <x:v>0.24</x:v>
      </x:c>
      <x:c r="F413" s="85" t="n">
        <x:v>0.24</x:v>
      </x:c>
      <x:c r="G413" s="85" t="n">
        <x:v>0.24</x:v>
      </x:c>
      <x:c r="H413" s="85" t="n">
        <x:v>0.24</x:v>
      </x:c>
      <x:c r="I413" s="85" t="n">
        <x:v>0.24</x:v>
      </x:c>
    </x:row>
    <x:row r="414" ht="30" customHeight="1">
      <x:c r="C414" s="64"/>
      <x:c r="D414" s="63"/>
      <x:c r="E414" s="63"/>
      <x:c r="F414" s="63"/>
      <x:c r="G414" s="63"/>
      <x:c r="H414" s="63"/>
      <x:c r="I414" s="63"/>
    </x:row>
    <x:row r="415" ht="30" customHeight="1">
      <x:c r="C415" s="64" t="str">
        <x:v>Cash capex / revenue — active</x:v>
      </x:c>
      <x:c r="D415" s="63"/>
      <x:c r="E415" s="83" t="n">
        <x:f>IF(COUNT(CHOOSE('Controls'!$E$5,E416,E417,E418))=1,CHOOSE('Controls'!$E$5,E416,E417,E418),NA())</x:f>
        <x:v>0.045</x:v>
      </x:c>
      <x:c r="F415" s="83" t="n">
        <x:f>IF(COUNT(CHOOSE('Controls'!$E$5,F416,F417,F418))=1,CHOOSE('Controls'!$E$5,F416,F417,F418),NA())</x:f>
        <x:v>0.045</x:v>
      </x:c>
      <x:c r="G415" s="83" t="n">
        <x:f>IF(COUNT(CHOOSE('Controls'!$E$5,G416,G417,G418))=1,CHOOSE('Controls'!$E$5,G416,G417,G418),NA())</x:f>
        <x:v>0.045</x:v>
      </x:c>
      <x:c r="H415" s="83" t="n">
        <x:f>IF(COUNT(CHOOSE('Controls'!$E$5,H416,H417,H418))=1,CHOOSE('Controls'!$E$5,H416,H417,H418),NA())</x:f>
        <x:v>0.045</x:v>
      </x:c>
      <x:c r="I415" s="83" t="n">
        <x:f>IF(COUNT(CHOOSE('Controls'!$E$5,I416,I417,I418))=1,CHOOSE('Controls'!$E$5,I416,I417,I418),NA())</x:f>
        <x:v>0.045</x:v>
      </x:c>
    </x:row>
    <x:row r="416" ht="30" customHeight="1">
      <x:c r="C416" s="64" t="str">
        <x:v>Base</x:v>
      </x:c>
      <x:c r="D416" s="63"/>
      <x:c r="E416" s="85" t="n">
        <x:v>0.045</x:v>
      </x:c>
      <x:c r="F416" s="85" t="n">
        <x:v>0.045</x:v>
      </x:c>
      <x:c r="G416" s="85" t="n">
        <x:v>0.045</x:v>
      </x:c>
      <x:c r="H416" s="85" t="n">
        <x:v>0.045</x:v>
      </x:c>
      <x:c r="I416" s="85" t="n">
        <x:v>0.045</x:v>
      </x:c>
    </x:row>
    <x:row r="417" ht="30" customHeight="1">
      <x:c r="C417" s="64" t="str">
        <x:v>Downside</x:v>
      </x:c>
      <x:c r="D417" s="63"/>
      <x:c r="E417" s="85" t="n">
        <x:v>0.045</x:v>
      </x:c>
      <x:c r="F417" s="85" t="n">
        <x:v>0.045</x:v>
      </x:c>
      <x:c r="G417" s="85" t="n">
        <x:v>0.045</x:v>
      </x:c>
      <x:c r="H417" s="85" t="n">
        <x:v>0.045</x:v>
      </x:c>
      <x:c r="I417" s="85" t="n">
        <x:v>0.045</x:v>
      </x:c>
    </x:row>
    <x:row r="418" ht="30" customHeight="1">
      <x:c r="C418" s="64" t="str">
        <x:v>Upside</x:v>
      </x:c>
      <x:c r="D418" s="63"/>
      <x:c r="E418" s="85" t="n">
        <x:v>0.045</x:v>
      </x:c>
      <x:c r="F418" s="85" t="n">
        <x:v>0.045</x:v>
      </x:c>
      <x:c r="G418" s="85" t="n">
        <x:v>0.045</x:v>
      </x:c>
      <x:c r="H418" s="85" t="n">
        <x:v>0.045</x:v>
      </x:c>
      <x:c r="I418" s="85" t="n">
        <x:v>0.045</x:v>
      </x:c>
    </x:row>
    <x:row r="419" ht="30" customHeight="1">
      <x:c r="C419" s="64"/>
      <x:c r="D419" s="63"/>
      <x:c r="E419" s="63"/>
      <x:c r="F419" s="63"/>
      <x:c r="G419" s="63"/>
      <x:c r="H419" s="63"/>
      <x:c r="I419" s="63"/>
    </x:row>
    <x:row r="420" ht="30" customHeight="1">
      <x:c r="C420" s="64" t="str">
        <x:v>D&amp;A / opening net PP&amp;E — active</x:v>
      </x:c>
      <x:c r="D420" s="63"/>
      <x:c r="E420" s="83" t="n">
        <x:f>IF(COUNT(CHOOSE('Controls'!$E$5,E421,E422,E423))=1,CHOOSE('Controls'!$E$5,E421,E422,E423),NA())</x:f>
        <x:v>0.12</x:v>
      </x:c>
      <x:c r="F420" s="83" t="n">
        <x:f>IF(COUNT(CHOOSE('Controls'!$E$5,F421,F422,F423))=1,CHOOSE('Controls'!$E$5,F421,F422,F423),NA())</x:f>
        <x:v>0.12</x:v>
      </x:c>
      <x:c r="G420" s="83" t="n">
        <x:f>IF(COUNT(CHOOSE('Controls'!$E$5,G421,G422,G423))=1,CHOOSE('Controls'!$E$5,G421,G422,G423),NA())</x:f>
        <x:v>0.12</x:v>
      </x:c>
      <x:c r="H420" s="83" t="n">
        <x:f>IF(COUNT(CHOOSE('Controls'!$E$5,H421,H422,H423))=1,CHOOSE('Controls'!$E$5,H421,H422,H423),NA())</x:f>
        <x:v>0.12</x:v>
      </x:c>
      <x:c r="I420" s="83" t="n">
        <x:f>IF(COUNT(CHOOSE('Controls'!$E$5,I421,I422,I423))=1,CHOOSE('Controls'!$E$5,I421,I422,I423),NA())</x:f>
        <x:v>0.12</x:v>
      </x:c>
    </x:row>
    <x:row r="421" ht="30" customHeight="1">
      <x:c r="C421" s="64" t="str">
        <x:v>Base</x:v>
      </x:c>
      <x:c r="D421" s="63"/>
      <x:c r="E421" s="85" t="n">
        <x:v>0.12</x:v>
      </x:c>
      <x:c r="F421" s="85" t="n">
        <x:v>0.12</x:v>
      </x:c>
      <x:c r="G421" s="85" t="n">
        <x:v>0.12</x:v>
      </x:c>
      <x:c r="H421" s="85" t="n">
        <x:v>0.12</x:v>
      </x:c>
      <x:c r="I421" s="85" t="n">
        <x:v>0.12</x:v>
      </x:c>
    </x:row>
    <x:row r="422" ht="30" customHeight="1">
      <x:c r="C422" s="64" t="str">
        <x:v>Downside</x:v>
      </x:c>
      <x:c r="D422" s="63"/>
      <x:c r="E422" s="85" t="n">
        <x:v>0.12</x:v>
      </x:c>
      <x:c r="F422" s="85" t="n">
        <x:v>0.12</x:v>
      </x:c>
      <x:c r="G422" s="85" t="n">
        <x:v>0.12</x:v>
      </x:c>
      <x:c r="H422" s="85" t="n">
        <x:v>0.12</x:v>
      </x:c>
      <x:c r="I422" s="85" t="n">
        <x:v>0.12</x:v>
      </x:c>
    </x:row>
    <x:row r="423" ht="30" customHeight="1">
      <x:c r="C423" s="64" t="str">
        <x:v>Upside</x:v>
      </x:c>
      <x:c r="D423" s="63"/>
      <x:c r="E423" s="85" t="n">
        <x:v>0.12</x:v>
      </x:c>
      <x:c r="F423" s="85" t="n">
        <x:v>0.12</x:v>
      </x:c>
      <x:c r="G423" s="85" t="n">
        <x:v>0.12</x:v>
      </x:c>
      <x:c r="H423" s="85" t="n">
        <x:v>0.12</x:v>
      </x:c>
      <x:c r="I423" s="85" t="n">
        <x:v>0.12</x:v>
      </x:c>
    </x:row>
    <x:row r="424" ht="30" customHeight="1">
      <x:c r="C424" s="64"/>
      <x:c r="D424" s="63"/>
      <x:c r="E424" s="63"/>
      <x:c r="F424" s="63"/>
      <x:c r="G424" s="63"/>
      <x:c r="H424" s="63"/>
      <x:c r="I424" s="63"/>
    </x:row>
    <x:row r="425" ht="30" customHeight="1">
      <x:c r="C425" s="64" t="str">
        <x:v>Receivable days — active</x:v>
      </x:c>
      <x:c r="D425" s="63"/>
      <x:c r="E425" s="8" t="n">
        <x:f>IF(COUNT(CHOOSE('Controls'!$E$5,E426,E427,E428))=1,CHOOSE('Controls'!$E$5,E426,E427,E428),NA())</x:f>
        <x:v>15</x:v>
      </x:c>
      <x:c r="F425" s="8" t="n">
        <x:f>IF(COUNT(CHOOSE('Controls'!$E$5,F426,F427,F428))=1,CHOOSE('Controls'!$E$5,F426,F427,F428),NA())</x:f>
        <x:v>15</x:v>
      </x:c>
      <x:c r="G425" s="8" t="n">
        <x:f>IF(COUNT(CHOOSE('Controls'!$E$5,G426,G427,G428))=1,CHOOSE('Controls'!$E$5,G426,G427,G428),NA())</x:f>
        <x:v>15</x:v>
      </x:c>
      <x:c r="H425" s="8" t="n">
        <x:f>IF(COUNT(CHOOSE('Controls'!$E$5,H426,H427,H428))=1,CHOOSE('Controls'!$E$5,H426,H427,H428),NA())</x:f>
        <x:v>15</x:v>
      </x:c>
      <x:c r="I425" s="8" t="n">
        <x:f>IF(COUNT(CHOOSE('Controls'!$E$5,I426,I427,I428))=1,CHOOSE('Controls'!$E$5,I426,I427,I428),NA())</x:f>
        <x:v>15</x:v>
      </x:c>
    </x:row>
    <x:row r="426" ht="30" customHeight="1">
      <x:c r="C426" s="64" t="str">
        <x:v>Base</x:v>
      </x:c>
      <x:c r="D426" s="63"/>
      <x:c r="E426" s="74" t="n">
        <x:v>15</x:v>
      </x:c>
      <x:c r="F426" s="74" t="n">
        <x:v>15</x:v>
      </x:c>
      <x:c r="G426" s="74" t="n">
        <x:v>15</x:v>
      </x:c>
      <x:c r="H426" s="74" t="n">
        <x:v>15</x:v>
      </x:c>
      <x:c r="I426" s="74" t="n">
        <x:v>15</x:v>
      </x:c>
    </x:row>
    <x:row r="427" ht="30" customHeight="1">
      <x:c r="C427" s="64" t="str">
        <x:v>Downside</x:v>
      </x:c>
      <x:c r="D427" s="63"/>
      <x:c r="E427" s="74" t="n">
        <x:v>15</x:v>
      </x:c>
      <x:c r="F427" s="74" t="n">
        <x:v>15</x:v>
      </x:c>
      <x:c r="G427" s="74" t="n">
        <x:v>15</x:v>
      </x:c>
      <x:c r="H427" s="74" t="n">
        <x:v>15</x:v>
      </x:c>
      <x:c r="I427" s="74" t="n">
        <x:v>15</x:v>
      </x:c>
    </x:row>
    <x:row r="428" ht="30" customHeight="1">
      <x:c r="C428" s="64" t="str">
        <x:v>Upside</x:v>
      </x:c>
      <x:c r="D428" s="63"/>
      <x:c r="E428" s="74" t="n">
        <x:v>15</x:v>
      </x:c>
      <x:c r="F428" s="74" t="n">
        <x:v>15</x:v>
      </x:c>
      <x:c r="G428" s="74" t="n">
        <x:v>15</x:v>
      </x:c>
      <x:c r="H428" s="74" t="n">
        <x:v>15</x:v>
      </x:c>
      <x:c r="I428" s="74" t="n">
        <x:v>15</x:v>
      </x:c>
    </x:row>
    <x:row r="429" ht="30" customHeight="1">
      <x:c r="C429" s="64"/>
      <x:c r="D429" s="63"/>
      <x:c r="E429" s="63"/>
      <x:c r="F429" s="63"/>
      <x:c r="G429" s="63"/>
      <x:c r="H429" s="63"/>
      <x:c r="I429" s="63"/>
    </x:row>
    <x:row r="430" ht="30" customHeight="1">
      <x:c r="C430" s="64" t="str">
        <x:v>Inventory days — active</x:v>
      </x:c>
      <x:c r="D430" s="63"/>
      <x:c r="E430" s="8" t="n">
        <x:f>IF(COUNT(CHOOSE('Controls'!$E$5,E431,E432,E433))=1,CHOOSE('Controls'!$E$5,E431,E432,E433),NA())</x:f>
        <x:v>45</x:v>
      </x:c>
      <x:c r="F430" s="8" t="n">
        <x:f>IF(COUNT(CHOOSE('Controls'!$E$5,F431,F432,F433))=1,CHOOSE('Controls'!$E$5,F431,F432,F433),NA())</x:f>
        <x:v>45</x:v>
      </x:c>
      <x:c r="G430" s="8" t="n">
        <x:f>IF(COUNT(CHOOSE('Controls'!$E$5,G431,G432,G433))=1,CHOOSE('Controls'!$E$5,G431,G432,G433),NA())</x:f>
        <x:v>45</x:v>
      </x:c>
      <x:c r="H430" s="8" t="n">
        <x:f>IF(COUNT(CHOOSE('Controls'!$E$5,H431,H432,H433))=1,CHOOSE('Controls'!$E$5,H431,H432,H433),NA())</x:f>
        <x:v>45</x:v>
      </x:c>
      <x:c r="I430" s="8" t="n">
        <x:f>IF(COUNT(CHOOSE('Controls'!$E$5,I431,I432,I433))=1,CHOOSE('Controls'!$E$5,I431,I432,I433),NA())</x:f>
        <x:v>45</x:v>
      </x:c>
    </x:row>
    <x:row r="431" ht="30" customHeight="1">
      <x:c r="C431" s="64" t="str">
        <x:v>Base</x:v>
      </x:c>
      <x:c r="D431" s="63"/>
      <x:c r="E431" s="74" t="n">
        <x:v>45</x:v>
      </x:c>
      <x:c r="F431" s="74" t="n">
        <x:v>45</x:v>
      </x:c>
      <x:c r="G431" s="74" t="n">
        <x:v>45</x:v>
      </x:c>
      <x:c r="H431" s="74" t="n">
        <x:v>45</x:v>
      </x:c>
      <x:c r="I431" s="74" t="n">
        <x:v>45</x:v>
      </x:c>
    </x:row>
    <x:row r="432" ht="30" customHeight="1">
      <x:c r="C432" s="64" t="str">
        <x:v>Downside</x:v>
      </x:c>
      <x:c r="D432" s="63"/>
      <x:c r="E432" s="74" t="n">
        <x:v>45</x:v>
      </x:c>
      <x:c r="F432" s="74" t="n">
        <x:v>45</x:v>
      </x:c>
      <x:c r="G432" s="74" t="n">
        <x:v>45</x:v>
      </x:c>
      <x:c r="H432" s="74" t="n">
        <x:v>45</x:v>
      </x:c>
      <x:c r="I432" s="74" t="n">
        <x:v>45</x:v>
      </x:c>
    </x:row>
    <x:row r="433" ht="30" customHeight="1">
      <x:c r="C433" s="64" t="str">
        <x:v>Upside</x:v>
      </x:c>
      <x:c r="D433" s="63"/>
      <x:c r="E433" s="74" t="n">
        <x:v>45</x:v>
      </x:c>
      <x:c r="F433" s="74" t="n">
        <x:v>45</x:v>
      </x:c>
      <x:c r="G433" s="74" t="n">
        <x:v>45</x:v>
      </x:c>
      <x:c r="H433" s="74" t="n">
        <x:v>45</x:v>
      </x:c>
      <x:c r="I433" s="74" t="n">
        <x:v>45</x:v>
      </x:c>
    </x:row>
    <x:row r="434" ht="30" customHeight="1">
      <x:c r="C434" s="64"/>
      <x:c r="D434" s="63"/>
      <x:c r="E434" s="63"/>
      <x:c r="F434" s="63"/>
      <x:c r="G434" s="63"/>
      <x:c r="H434" s="63"/>
      <x:c r="I434" s="63"/>
    </x:row>
    <x:row r="435" ht="30" customHeight="1">
      <x:c r="C435" s="64" t="str">
        <x:v>Payable days — active</x:v>
      </x:c>
      <x:c r="D435" s="63"/>
      <x:c r="E435" s="8" t="n">
        <x:f>IF(COUNT(CHOOSE('Controls'!$E$5,E436,E437,E438))=1,CHOOSE('Controls'!$E$5,E436,E437,E438),NA())</x:f>
        <x:v>55</x:v>
      </x:c>
      <x:c r="F435" s="8" t="n">
        <x:f>IF(COUNT(CHOOSE('Controls'!$E$5,F436,F437,F438))=1,CHOOSE('Controls'!$E$5,F436,F437,F438),NA())</x:f>
        <x:v>55</x:v>
      </x:c>
      <x:c r="G435" s="8" t="n">
        <x:f>IF(COUNT(CHOOSE('Controls'!$E$5,G436,G437,G438))=1,CHOOSE('Controls'!$E$5,G436,G437,G438),NA())</x:f>
        <x:v>55</x:v>
      </x:c>
      <x:c r="H435" s="8" t="n">
        <x:f>IF(COUNT(CHOOSE('Controls'!$E$5,H436,H437,H438))=1,CHOOSE('Controls'!$E$5,H436,H437,H438),NA())</x:f>
        <x:v>55</x:v>
      </x:c>
      <x:c r="I435" s="8" t="n">
        <x:f>IF(COUNT(CHOOSE('Controls'!$E$5,I436,I437,I438))=1,CHOOSE('Controls'!$E$5,I436,I437,I438),NA())</x:f>
        <x:v>55</x:v>
      </x:c>
    </x:row>
    <x:row r="436" ht="30" customHeight="1">
      <x:c r="C436" s="64" t="str">
        <x:v>Base</x:v>
      </x:c>
      <x:c r="D436" s="63"/>
      <x:c r="E436" s="74" t="n">
        <x:v>55</x:v>
      </x:c>
      <x:c r="F436" s="74" t="n">
        <x:v>55</x:v>
      </x:c>
      <x:c r="G436" s="74" t="n">
        <x:v>55</x:v>
      </x:c>
      <x:c r="H436" s="74" t="n">
        <x:v>55</x:v>
      </x:c>
      <x:c r="I436" s="74" t="n">
        <x:v>55</x:v>
      </x:c>
    </x:row>
    <x:row r="437" ht="30" customHeight="1">
      <x:c r="C437" s="64" t="str">
        <x:v>Downside</x:v>
      </x:c>
      <x:c r="D437" s="63"/>
      <x:c r="E437" s="74" t="n">
        <x:v>55</x:v>
      </x:c>
      <x:c r="F437" s="74" t="n">
        <x:v>55</x:v>
      </x:c>
      <x:c r="G437" s="74" t="n">
        <x:v>55</x:v>
      </x:c>
      <x:c r="H437" s="74" t="n">
        <x:v>55</x:v>
      </x:c>
      <x:c r="I437" s="74" t="n">
        <x:v>55</x:v>
      </x:c>
    </x:row>
    <x:row r="438" ht="30" customHeight="1">
      <x:c r="C438" s="64" t="str">
        <x:v>Upside</x:v>
      </x:c>
      <x:c r="D438" s="63"/>
      <x:c r="E438" s="74" t="n">
        <x:v>55</x:v>
      </x:c>
      <x:c r="F438" s="74" t="n">
        <x:v>55</x:v>
      </x:c>
      <x:c r="G438" s="74" t="n">
        <x:v>55</x:v>
      </x:c>
      <x:c r="H438" s="74" t="n">
        <x:v>55</x:v>
      </x:c>
      <x:c r="I438" s="74" t="n">
        <x:v>55</x:v>
      </x:c>
    </x:row>
    <x:row r="439" ht="30" customHeight="1">
      <x:c r="C439" s="64"/>
      <x:c r="D439" s="63"/>
      <x:c r="E439" s="63"/>
      <x:c r="F439" s="63"/>
      <x:c r="G439" s="63"/>
      <x:c r="H439" s="63"/>
      <x:c r="I439" s="63"/>
    </x:row>
    <x:row r="440" ht="30" customHeight="1">
      <x:c r="C440" s="64" t="str">
        <x:v>Effective cash tax rate — active</x:v>
      </x:c>
      <x:c r="D440" s="63"/>
      <x:c r="E440" s="83" t="n">
        <x:f>IF(COUNT(CHOOSE('Controls'!$E$5,E441,E442,E443))=1,CHOOSE('Controls'!$E$5,E441,E442,E443),NA())</x:f>
        <x:v>0.25</x:v>
      </x:c>
      <x:c r="F440" s="83" t="n">
        <x:f>IF(COUNT(CHOOSE('Controls'!$E$5,F441,F442,F443))=1,CHOOSE('Controls'!$E$5,F441,F442,F443),NA())</x:f>
        <x:v>0.25</x:v>
      </x:c>
      <x:c r="G440" s="83" t="n">
        <x:f>IF(COUNT(CHOOSE('Controls'!$E$5,G441,G442,G443))=1,CHOOSE('Controls'!$E$5,G441,G442,G443),NA())</x:f>
        <x:v>0.25</x:v>
      </x:c>
      <x:c r="H440" s="83" t="n">
        <x:f>IF(COUNT(CHOOSE('Controls'!$E$5,H441,H442,H443))=1,CHOOSE('Controls'!$E$5,H441,H442,H443),NA())</x:f>
        <x:v>0.25</x:v>
      </x:c>
      <x:c r="I440" s="83" t="n">
        <x:f>IF(COUNT(CHOOSE('Controls'!$E$5,I441,I442,I443))=1,CHOOSE('Controls'!$E$5,I441,I442,I443),NA())</x:f>
        <x:v>0.25</x:v>
      </x:c>
    </x:row>
    <x:row r="441" ht="30" customHeight="1">
      <x:c r="C441" s="64" t="str">
        <x:v>Base</x:v>
      </x:c>
      <x:c r="D441" s="63"/>
      <x:c r="E441" s="85" t="n">
        <x:v>0.25</x:v>
      </x:c>
      <x:c r="F441" s="85" t="n">
        <x:v>0.25</x:v>
      </x:c>
      <x:c r="G441" s="85" t="n">
        <x:v>0.25</x:v>
      </x:c>
      <x:c r="H441" s="85" t="n">
        <x:v>0.25</x:v>
      </x:c>
      <x:c r="I441" s="85" t="n">
        <x:v>0.25</x:v>
      </x:c>
    </x:row>
    <x:row r="442" ht="30" customHeight="1">
      <x:c r="C442" s="64" t="str">
        <x:v>Downside</x:v>
      </x:c>
      <x:c r="D442" s="63"/>
      <x:c r="E442" s="85" t="n">
        <x:v>0.25</x:v>
      </x:c>
      <x:c r="F442" s="85" t="n">
        <x:v>0.25</x:v>
      </x:c>
      <x:c r="G442" s="85" t="n">
        <x:v>0.25</x:v>
      </x:c>
      <x:c r="H442" s="85" t="n">
        <x:v>0.25</x:v>
      </x:c>
      <x:c r="I442" s="85" t="n">
        <x:v>0.25</x:v>
      </x:c>
    </x:row>
    <x:row r="443" ht="30" customHeight="1">
      <x:c r="C443" s="64" t="str">
        <x:v>Upside</x:v>
      </x:c>
      <x:c r="D443" s="63"/>
      <x:c r="E443" s="85" t="n">
        <x:v>0.25</x:v>
      </x:c>
      <x:c r="F443" s="85" t="n">
        <x:v>0.25</x:v>
      </x:c>
      <x:c r="G443" s="85" t="n">
        <x:v>0.25</x:v>
      </x:c>
      <x:c r="H443" s="85" t="n">
        <x:v>0.25</x:v>
      </x:c>
      <x:c r="I443" s="85" t="n">
        <x:v>0.25</x:v>
      </x:c>
    </x:row>
    <x:row r="444" ht="30" customHeight="1">
      <x:c r="C444" s="64"/>
      <x:c r="D444" s="63"/>
      <x:c r="E444" s="63"/>
      <x:c r="F444" s="63"/>
      <x:c r="G444" s="63"/>
      <x:c r="H444" s="63"/>
      <x:c r="I444" s="63"/>
    </x:row>
    <x:row r="445" ht="30" customHeight="1">
      <x:c r="C445" s="64" t="str">
        <x:v>Interest on opening debt — active</x:v>
      </x:c>
      <x:c r="D445" s="63"/>
      <x:c r="E445" s="83" t="n">
        <x:f>IF(COUNT(CHOOSE('Controls'!$E$5,E446,E447,E448))=1,CHOOSE('Controls'!$E$5,E446,E447,E448),NA())</x:f>
        <x:v>0.085</x:v>
      </x:c>
      <x:c r="F445" s="83" t="n">
        <x:f>IF(COUNT(CHOOSE('Controls'!$E$5,F446,F447,F448))=1,CHOOSE('Controls'!$E$5,F446,F447,F448),NA())</x:f>
        <x:v>0.085</x:v>
      </x:c>
      <x:c r="G445" s="83" t="n">
        <x:f>IF(COUNT(CHOOSE('Controls'!$E$5,G446,G447,G448))=1,CHOOSE('Controls'!$E$5,G446,G447,G448),NA())</x:f>
        <x:v>0.085</x:v>
      </x:c>
      <x:c r="H445" s="83" t="n">
        <x:f>IF(COUNT(CHOOSE('Controls'!$E$5,H446,H447,H448))=1,CHOOSE('Controls'!$E$5,H446,H447,H448),NA())</x:f>
        <x:v>0.085</x:v>
      </x:c>
      <x:c r="I445" s="83" t="n">
        <x:f>IF(COUNT(CHOOSE('Controls'!$E$5,I446,I447,I448))=1,CHOOSE('Controls'!$E$5,I446,I447,I448),NA())</x:f>
        <x:v>0.085</x:v>
      </x:c>
    </x:row>
    <x:row r="446" ht="30" customHeight="1">
      <x:c r="C446" s="64" t="str">
        <x:v>Base</x:v>
      </x:c>
      <x:c r="D446" s="63"/>
      <x:c r="E446" s="85" t="n">
        <x:v>0.085</x:v>
      </x:c>
      <x:c r="F446" s="85" t="n">
        <x:v>0.085</x:v>
      </x:c>
      <x:c r="G446" s="85" t="n">
        <x:v>0.085</x:v>
      </x:c>
      <x:c r="H446" s="85" t="n">
        <x:v>0.085</x:v>
      </x:c>
      <x:c r="I446" s="85" t="n">
        <x:v>0.085</x:v>
      </x:c>
    </x:row>
    <x:row r="447" ht="30" customHeight="1">
      <x:c r="C447" s="64" t="str">
        <x:v>Downside</x:v>
      </x:c>
      <x:c r="D447" s="63"/>
      <x:c r="E447" s="85" t="n">
        <x:v>0.085</x:v>
      </x:c>
      <x:c r="F447" s="85" t="n">
        <x:v>0.085</x:v>
      </x:c>
      <x:c r="G447" s="85" t="n">
        <x:v>0.085</x:v>
      </x:c>
      <x:c r="H447" s="85" t="n">
        <x:v>0.085</x:v>
      </x:c>
      <x:c r="I447" s="85" t="n">
        <x:v>0.085</x:v>
      </x:c>
    </x:row>
    <x:row r="448" ht="30" customHeight="1">
      <x:c r="C448" s="64" t="str">
        <x:v>Upside</x:v>
      </x:c>
      <x:c r="D448" s="63"/>
      <x:c r="E448" s="85" t="n">
        <x:v>0.085</x:v>
      </x:c>
      <x:c r="F448" s="85" t="n">
        <x:v>0.085</x:v>
      </x:c>
      <x:c r="G448" s="85" t="n">
        <x:v>0.085</x:v>
      </x:c>
      <x:c r="H448" s="85" t="n">
        <x:v>0.085</x:v>
      </x:c>
      <x:c r="I448" s="85" t="n">
        <x:v>0.085</x:v>
      </x:c>
    </x:row>
    <x:row r="449" ht="30" customHeight="1">
      <x:c r="C449" s="64"/>
      <x:c r="D449" s="63"/>
      <x:c r="E449" s="63"/>
      <x:c r="F449" s="63"/>
      <x:c r="G449" s="63"/>
      <x:c r="H449" s="63"/>
      <x:c r="I449" s="63"/>
    </x:row>
    <x:row r="450" ht="30" customHeight="1">
      <x:c r="C450" s="64" t="str">
        <x:v>New borrowing — active</x:v>
      </x:c>
      <x:c r="D450" s="63"/>
      <x:c r="E450" s="8" t="n">
        <x:f>IF(COUNT(CHOOSE('Controls'!$E$5,E451,E452,E453))=1,CHOOSE('Controls'!$E$5,E451,E452,E453),NA())</x:f>
        <x:v>0</x:v>
      </x:c>
      <x:c r="F450" s="8" t="n">
        <x:f>IF(COUNT(CHOOSE('Controls'!$E$5,F451,F452,F453))=1,CHOOSE('Controls'!$E$5,F451,F452,F453),NA())</x:f>
        <x:v>0</x:v>
      </x:c>
      <x:c r="G450" s="8" t="n">
        <x:f>IF(COUNT(CHOOSE('Controls'!$E$5,G451,G452,G453))=1,CHOOSE('Controls'!$E$5,G451,G452,G453),NA())</x:f>
        <x:v>0</x:v>
      </x:c>
      <x:c r="H450" s="8" t="n">
        <x:f>IF(COUNT(CHOOSE('Controls'!$E$5,H451,H452,H453))=1,CHOOSE('Controls'!$E$5,H451,H452,H453),NA())</x:f>
        <x:v>0</x:v>
      </x:c>
      <x:c r="I450" s="8" t="n">
        <x:f>IF(COUNT(CHOOSE('Controls'!$E$5,I451,I452,I453))=1,CHOOSE('Controls'!$E$5,I451,I452,I453),NA())</x:f>
        <x:v>0</x:v>
      </x:c>
    </x:row>
    <x:row r="451" ht="30" customHeight="1">
      <x:c r="C451" s="64" t="str">
        <x:v>Base</x:v>
      </x:c>
      <x:c r="D451" s="63"/>
      <x:c r="E451" s="74" t="n">
        <x:v>0</x:v>
      </x:c>
      <x:c r="F451" s="74" t="n">
        <x:v>0</x:v>
      </x:c>
      <x:c r="G451" s="74" t="n">
        <x:v>0</x:v>
      </x:c>
      <x:c r="H451" s="74" t="n">
        <x:v>0</x:v>
      </x:c>
      <x:c r="I451" s="74" t="n">
        <x:v>0</x:v>
      </x:c>
    </x:row>
    <x:row r="452" ht="30" customHeight="1">
      <x:c r="C452" s="64" t="str">
        <x:v>Downside</x:v>
      </x:c>
      <x:c r="D452" s="63"/>
      <x:c r="E452" s="74" t="n">
        <x:v>0</x:v>
      </x:c>
      <x:c r="F452" s="74" t="n">
        <x:v>0</x:v>
      </x:c>
      <x:c r="G452" s="74" t="n">
        <x:v>0</x:v>
      </x:c>
      <x:c r="H452" s="74" t="n">
        <x:v>0</x:v>
      </x:c>
      <x:c r="I452" s="74" t="n">
        <x:v>0</x:v>
      </x:c>
    </x:row>
    <x:row r="453" ht="30" customHeight="1">
      <x:c r="C453" s="64" t="str">
        <x:v>Upside</x:v>
      </x:c>
      <x:c r="D453" s="63"/>
      <x:c r="E453" s="74" t="n">
        <x:v>0</x:v>
      </x:c>
      <x:c r="F453" s="74" t="n">
        <x:v>0</x:v>
      </x:c>
      <x:c r="G453" s="74" t="n">
        <x:v>0</x:v>
      </x:c>
      <x:c r="H453" s="74" t="n">
        <x:v>0</x:v>
      </x:c>
      <x:c r="I453" s="74" t="n">
        <x:v>0</x:v>
      </x:c>
    </x:row>
    <x:row r="454" ht="30" customHeight="1">
      <x:c r="C454" s="64"/>
      <x:c r="D454" s="63"/>
      <x:c r="E454" s="63"/>
      <x:c r="F454" s="63"/>
      <x:c r="G454" s="63"/>
      <x:c r="H454" s="63"/>
      <x:c r="I454" s="63"/>
    </x:row>
    <x:row r="455" ht="30" customHeight="1">
      <x:c r="C455" s="64" t="str">
        <x:v>Scheduled principal repayment — active</x:v>
      </x:c>
      <x:c r="D455" s="63"/>
      <x:c r="E455" s="8" t="n">
        <x:f>IF(COUNT(CHOOSE('Controls'!$E$5,E456,E457,E458))=1,CHOOSE('Controls'!$E$5,E456,E457,E458),NA())</x:f>
        <x:v>30</x:v>
      </x:c>
      <x:c r="F455" s="8" t="n">
        <x:f>IF(COUNT(CHOOSE('Controls'!$E$5,F456,F457,F458))=1,CHOOSE('Controls'!$E$5,F456,F457,F458),NA())</x:f>
        <x:v>30</x:v>
      </x:c>
      <x:c r="G455" s="8" t="n">
        <x:f>IF(COUNT(CHOOSE('Controls'!$E$5,G456,G457,G458))=1,CHOOSE('Controls'!$E$5,G456,G457,G458),NA())</x:f>
        <x:v>30</x:v>
      </x:c>
      <x:c r="H455" s="8" t="n">
        <x:f>IF(COUNT(CHOOSE('Controls'!$E$5,H456,H457,H458))=1,CHOOSE('Controls'!$E$5,H456,H457,H458),NA())</x:f>
        <x:v>30</x:v>
      </x:c>
      <x:c r="I455" s="8" t="n">
        <x:f>IF(COUNT(CHOOSE('Controls'!$E$5,I456,I457,I458))=1,CHOOSE('Controls'!$E$5,I456,I457,I458),NA())</x:f>
        <x:v>30</x:v>
      </x:c>
    </x:row>
    <x:row r="456" ht="30" customHeight="1">
      <x:c r="C456" s="64" t="str">
        <x:v>Base</x:v>
      </x:c>
      <x:c r="D456" s="63"/>
      <x:c r="E456" s="74" t="n">
        <x:v>30</x:v>
      </x:c>
      <x:c r="F456" s="74" t="n">
        <x:v>30</x:v>
      </x:c>
      <x:c r="G456" s="74" t="n">
        <x:v>30</x:v>
      </x:c>
      <x:c r="H456" s="74" t="n">
        <x:v>30</x:v>
      </x:c>
      <x:c r="I456" s="74" t="n">
        <x:v>30</x:v>
      </x:c>
    </x:row>
    <x:row r="457" ht="30" customHeight="1">
      <x:c r="C457" s="64" t="str">
        <x:v>Downside</x:v>
      </x:c>
      <x:c r="D457" s="63"/>
      <x:c r="E457" s="74" t="n">
        <x:v>30</x:v>
      </x:c>
      <x:c r="F457" s="74" t="n">
        <x:v>30</x:v>
      </x:c>
      <x:c r="G457" s="74" t="n">
        <x:v>30</x:v>
      </x:c>
      <x:c r="H457" s="74" t="n">
        <x:v>30</x:v>
      </x:c>
      <x:c r="I457" s="74" t="n">
        <x:v>30</x:v>
      </x:c>
    </x:row>
    <x:row r="458" ht="30" customHeight="1">
      <x:c r="C458" s="64" t="str">
        <x:v>Upside</x:v>
      </x:c>
      <x:c r="D458" s="63"/>
      <x:c r="E458" s="74" t="n">
        <x:v>30</x:v>
      </x:c>
      <x:c r="F458" s="74" t="n">
        <x:v>30</x:v>
      </x:c>
      <x:c r="G458" s="74" t="n">
        <x:v>30</x:v>
      </x:c>
      <x:c r="H458" s="74" t="n">
        <x:v>30</x:v>
      </x:c>
      <x:c r="I458" s="74" t="n">
        <x:v>30</x:v>
      </x:c>
    </x:row>
    <x:row r="459" ht="30" customHeight="1">
      <x:c r="C459" s="64"/>
      <x:c r="D459" s="63"/>
      <x:c r="E459" s="63"/>
      <x:c r="F459" s="63"/>
      <x:c r="G459" s="63"/>
      <x:c r="H459" s="63"/>
      <x:c r="I459" s="63"/>
    </x:row>
    <x:row r="460" ht="30" customHeight="1">
      <x:c r="C460" s="64" t="str">
        <x:v>Dividend payout on positive PAT — active</x:v>
      </x:c>
      <x:c r="D460" s="63"/>
      <x:c r="E460" s="83" t="n">
        <x:f>IF(COUNT(CHOOSE('Controls'!$E$5,E461,E462,E463))=1,CHOOSE('Controls'!$E$5,E461,E462,E463),NA())</x:f>
        <x:v>0.25</x:v>
      </x:c>
      <x:c r="F460" s="83" t="n">
        <x:f>IF(COUNT(CHOOSE('Controls'!$E$5,F461,F462,F463))=1,CHOOSE('Controls'!$E$5,F461,F462,F463),NA())</x:f>
        <x:v>0.25</x:v>
      </x:c>
      <x:c r="G460" s="83" t="n">
        <x:f>IF(COUNT(CHOOSE('Controls'!$E$5,G461,G462,G463))=1,CHOOSE('Controls'!$E$5,G461,G462,G463),NA())</x:f>
        <x:v>0.25</x:v>
      </x:c>
      <x:c r="H460" s="83" t="n">
        <x:f>IF(COUNT(CHOOSE('Controls'!$E$5,H461,H462,H463))=1,CHOOSE('Controls'!$E$5,H461,H462,H463),NA())</x:f>
        <x:v>0.25</x:v>
      </x:c>
      <x:c r="I460" s="83" t="n">
        <x:f>IF(COUNT(CHOOSE('Controls'!$E$5,I461,I462,I463))=1,CHOOSE('Controls'!$E$5,I461,I462,I463),NA())</x:f>
        <x:v>0.25</x:v>
      </x:c>
    </x:row>
    <x:row r="461" ht="30" customHeight="1">
      <x:c r="C461" s="64" t="str">
        <x:v>Base</x:v>
      </x:c>
      <x:c r="D461" s="63"/>
      <x:c r="E461" s="85" t="n">
        <x:v>0.25</x:v>
      </x:c>
      <x:c r="F461" s="85" t="n">
        <x:v>0.25</x:v>
      </x:c>
      <x:c r="G461" s="85" t="n">
        <x:v>0.25</x:v>
      </x:c>
      <x:c r="H461" s="85" t="n">
        <x:v>0.25</x:v>
      </x:c>
      <x:c r="I461" s="85" t="n">
        <x:v>0.25</x:v>
      </x:c>
    </x:row>
    <x:row r="462" ht="30" customHeight="1">
      <x:c r="C462" s="64" t="str">
        <x:v>Downside</x:v>
      </x:c>
      <x:c r="D462" s="63"/>
      <x:c r="E462" s="85" t="n">
        <x:v>0.25</x:v>
      </x:c>
      <x:c r="F462" s="85" t="n">
        <x:v>0.25</x:v>
      </x:c>
      <x:c r="G462" s="85" t="n">
        <x:v>0.25</x:v>
      </x:c>
      <x:c r="H462" s="85" t="n">
        <x:v>0.25</x:v>
      </x:c>
      <x:c r="I462" s="85" t="n">
        <x:v>0.25</x:v>
      </x:c>
    </x:row>
    <x:row r="463" ht="30" customHeight="1">
      <x:c r="C463" s="64" t="str">
        <x:v>Upside</x:v>
      </x:c>
      <x:c r="D463" s="63"/>
      <x:c r="E463" s="85" t="n">
        <x:v>0.25</x:v>
      </x:c>
      <x:c r="F463" s="85" t="n">
        <x:v>0.25</x:v>
      </x:c>
      <x:c r="G463" s="85" t="n">
        <x:v>0.25</x:v>
      </x:c>
      <x:c r="H463" s="85" t="n">
        <x:v>0.25</x:v>
      </x:c>
      <x:c r="I463" s="85" t="n">
        <x:v>0.25</x:v>
      </x:c>
    </x:row>
    <x:row r="464" ht="30" customHeight="1">
      <x:c r="C464" s="64"/>
      <x:c r="D464" s="63"/>
      <x:c r="E464" s="63"/>
      <x:c r="F464" s="63"/>
      <x:c r="G464" s="63"/>
      <x:c r="H464" s="63"/>
      <x:c r="I464" s="63"/>
    </x:row>
    <x:row r="465" ht="30" customHeight="1">
      <x:c r="C465" s="64"/>
      <x:c r="D465" s="63"/>
      <x:c r="E465" s="63"/>
      <x:c r="F465" s="63"/>
      <x:c r="G465" s="63"/>
      <x:c r="H465" s="63"/>
      <x:c r="I465" s="63"/>
    </x:row>
    <x:row r="466" ht="30" customHeight="1">
      <x:c r="C466" s="64"/>
      <x:c r="D466" s="63"/>
      <x:c r="E466" s="63"/>
      <x:c r="F466" s="63"/>
      <x:c r="G466" s="63"/>
      <x:c r="H466" s="63"/>
      <x:c r="I466" s="63"/>
    </x:row>
    <x:row r="467" ht="30" customHeight="1">
      <x:c r="C467" s="64"/>
      <x:c r="D467" s="63"/>
      <x:c r="E467" s="63"/>
      <x:c r="F467" s="63"/>
      <x:c r="G467" s="63"/>
      <x:c r="H467" s="63"/>
      <x:c r="I467" s="63"/>
    </x:row>
    <x:row r="468" ht="30" customHeight="1">
      <x:c r="C468" s="64"/>
      <x:c r="D468" s="63"/>
      <x:c r="E468" s="63"/>
      <x:c r="F468" s="63"/>
      <x:c r="G468" s="63"/>
      <x:c r="H468" s="63"/>
      <x:c r="I468" s="63"/>
    </x:row>
    <x:row r="469" ht="30" customHeight="1">
      <x:c r="C469" s="64"/>
      <x:c r="D469" s="63"/>
      <x:c r="E469" s="63"/>
      <x:c r="F469" s="63"/>
      <x:c r="G469" s="63"/>
      <x:c r="H469" s="63"/>
      <x:c r="I469" s="63"/>
    </x:row>
    <x:row r="470" ht="30" customHeight="1">
      <x:c r="C470" s="64"/>
      <x:c r="D470" s="63"/>
      <x:c r="E470" s="63"/>
      <x:c r="F470" s="63"/>
      <x:c r="G470" s="63"/>
      <x:c r="H470" s="63"/>
      <x:c r="I470" s="63"/>
    </x:row>
    <x:row r="471" ht="30" customHeight="1">
      <x:c r="C471" s="64"/>
      <x:c r="D471" s="63"/>
      <x:c r="E471" s="63"/>
      <x:c r="F471" s="63"/>
      <x:c r="G471" s="63"/>
      <x:c r="H471" s="63"/>
      <x:c r="I471" s="63"/>
    </x:row>
    <x:row r="472" ht="30" customHeight="1">
      <x:c r="C472" s="64"/>
      <x:c r="D472" s="63"/>
      <x:c r="E472" s="63"/>
      <x:c r="F472" s="63"/>
      <x:c r="G472" s="63"/>
      <x:c r="H472" s="63"/>
      <x:c r="I472" s="63"/>
    </x:row>
    <x:row r="473" ht="30" customHeight="1">
      <x:c r="C473" s="64"/>
      <x:c r="D473" s="63"/>
      <x:c r="E473" s="63"/>
      <x:c r="F473" s="63"/>
      <x:c r="G473" s="63"/>
      <x:c r="H473" s="63"/>
      <x:c r="I473" s="63"/>
    </x:row>
    <x:row r="474" ht="30" customHeight="1">
      <x:c r="C474" s="64"/>
      <x:c r="D474" s="63"/>
      <x:c r="E474" s="63"/>
      <x:c r="F474" s="63"/>
      <x:c r="G474" s="63"/>
      <x:c r="H474" s="63"/>
      <x:c r="I474" s="63"/>
    </x:row>
    <x:row r="475" ht="30" customHeight="1">
      <x:c r="C475" s="64"/>
      <x:c r="D475" s="63"/>
      <x:c r="E475" s="63"/>
      <x:c r="F475" s="63"/>
      <x:c r="G475" s="63"/>
      <x:c r="H475" s="63"/>
      <x:c r="I475" s="63"/>
    </x:row>
    <x:row r="476" ht="30" customHeight="1">
      <x:c r="C476" s="64"/>
      <x:c r="D476" s="63"/>
      <x:c r="E476" s="63"/>
      <x:c r="F476" s="63"/>
      <x:c r="G476" s="63"/>
      <x:c r="H476" s="63"/>
      <x:c r="I476" s="63"/>
    </x:row>
    <x:row r="477" ht="30" customHeight="1">
      <x:c r="C477" s="64"/>
      <x:c r="D477" s="63"/>
      <x:c r="E477" s="63"/>
      <x:c r="F477" s="63"/>
      <x:c r="G477" s="63"/>
      <x:c r="H477" s="63"/>
      <x:c r="I477" s="63"/>
    </x:row>
    <x:row r="478" ht="30" customHeight="1">
      <x:c r="C478" s="64"/>
      <x:c r="D478" s="63"/>
      <x:c r="E478" s="63"/>
      <x:c r="F478" s="63"/>
      <x:c r="G478" s="63"/>
      <x:c r="H478" s="63"/>
      <x:c r="I478" s="63"/>
    </x:row>
    <x:row r="479" ht="30" customHeight="1">
      <x:c r="C479" s="64"/>
      <x:c r="D479" s="63"/>
      <x:c r="E479" s="63"/>
      <x:c r="F479" s="63"/>
      <x:c r="G479" s="63"/>
      <x:c r="H479" s="63"/>
      <x:c r="I479" s="63"/>
    </x:row>
    <x:row r="480" ht="30" customHeight="1">
      <x:c r="C480" s="64"/>
      <x:c r="D480" s="63"/>
      <x:c r="E480" s="63"/>
      <x:c r="F480" s="63"/>
      <x:c r="G480" s="63"/>
      <x:c r="H480" s="63"/>
      <x:c r="I480" s="63"/>
    </x:row>
    <x:row r="481" ht="30" customHeight="1">
      <x:c r="C481" s="64"/>
      <x:c r="D481" s="63"/>
      <x:c r="E481" s="63"/>
      <x:c r="F481" s="63"/>
      <x:c r="G481" s="63"/>
      <x:c r="H481" s="63"/>
      <x:c r="I481" s="63"/>
    </x:row>
    <x:row r="482" ht="30" customHeight="1">
      <x:c r="C482" s="64"/>
      <x:c r="D482" s="63"/>
      <x:c r="E482" s="63"/>
      <x:c r="F482" s="63"/>
      <x:c r="G482" s="63"/>
      <x:c r="H482" s="63"/>
      <x:c r="I482" s="63"/>
    </x:row>
    <x:row r="483" ht="30" customHeight="1">
      <x:c r="C483" s="64"/>
      <x:c r="D483" s="63"/>
      <x:c r="E483" s="63"/>
      <x:c r="F483" s="63"/>
      <x:c r="G483" s="63"/>
      <x:c r="H483" s="63"/>
      <x:c r="I483" s="63"/>
    </x:row>
    <x:row r="484" ht="30" customHeight="1">
      <x:c r="C484" s="64"/>
      <x:c r="D484" s="63"/>
      <x:c r="E484" s="63"/>
      <x:c r="F484" s="63"/>
      <x:c r="G484" s="63"/>
      <x:c r="H484" s="63"/>
      <x:c r="I484" s="63"/>
    </x:row>
    <x:row r="485" ht="30" customHeight="1">
      <x:c r="C485" s="64"/>
      <x:c r="D485" s="63"/>
      <x:c r="E485" s="63"/>
      <x:c r="F485" s="63"/>
      <x:c r="G485" s="63"/>
      <x:c r="H485" s="63"/>
      <x:c r="I485" s="63"/>
    </x:row>
    <x:row r="486" ht="30" customHeight="1">
      <x:c r="C486" s="64"/>
      <x:c r="D486" s="63"/>
      <x:c r="E486" s="63"/>
      <x:c r="F486" s="63"/>
      <x:c r="G486" s="63"/>
      <x:c r="H486" s="63"/>
      <x:c r="I486" s="63"/>
    </x:row>
    <x:row r="487" ht="30" customHeight="1">
      <x:c r="C487" s="64"/>
      <x:c r="D487" s="63"/>
      <x:c r="E487" s="63"/>
      <x:c r="F487" s="63"/>
      <x:c r="G487" s="63"/>
      <x:c r="H487" s="63"/>
      <x:c r="I487" s="63"/>
    </x:row>
    <x:row r="488" ht="30" customHeight="1">
      <x:c r="C488" s="64"/>
      <x:c r="D488" s="63"/>
      <x:c r="E488" s="63"/>
      <x:c r="F488" s="63"/>
      <x:c r="G488" s="63"/>
      <x:c r="H488" s="63"/>
      <x:c r="I488" s="63"/>
    </x:row>
    <x:row r="489" ht="30" customHeight="1">
      <x:c r="C489" s="64"/>
      <x:c r="D489" s="63"/>
      <x:c r="E489" s="63"/>
      <x:c r="F489" s="63"/>
      <x:c r="G489" s="63"/>
      <x:c r="H489" s="63"/>
      <x:c r="I489" s="63"/>
    </x:row>
    <x:row r="490" ht="30" customHeight="1">
      <x:c r="C490" s="64"/>
      <x:c r="D490" s="63"/>
      <x:c r="E490" s="63"/>
      <x:c r="F490" s="63"/>
      <x:c r="G490" s="63"/>
      <x:c r="H490" s="63"/>
      <x:c r="I490" s="63"/>
    </x:row>
    <x:row r="491" ht="30" customHeight="1">
      <x:c r="C491" s="64"/>
      <x:c r="D491" s="63"/>
      <x:c r="E491" s="63"/>
      <x:c r="F491" s="63"/>
      <x:c r="G491" s="63"/>
      <x:c r="H491" s="63"/>
      <x:c r="I491" s="63"/>
    </x:row>
    <x:row r="492" ht="30" customHeight="1">
      <x:c r="C492" s="64"/>
      <x:c r="D492" s="63"/>
      <x:c r="E492" s="63"/>
      <x:c r="F492" s="63"/>
      <x:c r="G492" s="63"/>
      <x:c r="H492" s="63"/>
      <x:c r="I492" s="63"/>
    </x:row>
    <x:row r="493" ht="30" customHeight="1">
      <x:c r="C493" s="64"/>
      <x:c r="D493" s="63"/>
      <x:c r="E493" s="63"/>
      <x:c r="F493" s="63"/>
      <x:c r="G493" s="63"/>
      <x:c r="H493" s="63"/>
      <x:c r="I493" s="63"/>
    </x:row>
    <x:row r="494" ht="30" customHeight="1">
      <x:c r="C494" s="64"/>
      <x:c r="D494" s="63"/>
      <x:c r="E494" s="63"/>
      <x:c r="F494" s="63"/>
      <x:c r="G494" s="63"/>
      <x:c r="H494" s="63"/>
      <x:c r="I494" s="63"/>
    </x:row>
    <x:row r="495" ht="30" customHeight="1">
      <x:c r="C495" s="64"/>
      <x:c r="D495" s="63"/>
      <x:c r="E495" s="63"/>
      <x:c r="F495" s="63"/>
      <x:c r="G495" s="63"/>
      <x:c r="H495" s="63"/>
      <x:c r="I495" s="63"/>
    </x:row>
    <x:row r="496" ht="30" customHeight="1">
      <x:c r="C496" s="64"/>
      <x:c r="D496" s="63"/>
      <x:c r="E496" s="63"/>
      <x:c r="F496" s="63"/>
      <x:c r="G496" s="63"/>
      <x:c r="H496" s="63"/>
      <x:c r="I496" s="63"/>
    </x:row>
    <x:row r="497" ht="30" customHeight="1">
      <x:c r="C497" s="64"/>
      <x:c r="D497" s="63"/>
      <x:c r="E497" s="63"/>
      <x:c r="F497" s="63"/>
      <x:c r="G497" s="63"/>
      <x:c r="H497" s="63"/>
      <x:c r="I497" s="63"/>
    </x:row>
    <x:row r="498" ht="30" customHeight="1">
      <x:c r="C498" s="64"/>
      <x:c r="D498" s="63"/>
      <x:c r="E498" s="63"/>
      <x:c r="F498" s="63"/>
      <x:c r="G498" s="63"/>
      <x:c r="H498" s="63"/>
      <x:c r="I498" s="63"/>
    </x:row>
    <x:row r="499" ht="30" customHeight="1">
      <x:c r="C499" s="64"/>
      <x:c r="D499" s="63"/>
      <x:c r="E499" s="63"/>
      <x:c r="F499" s="63"/>
      <x:c r="G499" s="63"/>
      <x:c r="H499" s="63"/>
      <x:c r="I499" s="63"/>
    </x:row>
    <x:row r="500" ht="30" customHeight="1">
      <x:c r="C500" s="64"/>
      <x:c r="D500" s="63"/>
      <x:c r="E500" s="63"/>
      <x:c r="F500" s="63"/>
      <x:c r="G500" s="63"/>
      <x:c r="H500" s="63"/>
      <x:c r="I500" s="63"/>
    </x:row>
    <x:row r="501" ht="30" customHeight="1">
      <x:c r="C501" s="64"/>
      <x:c r="D501" s="63"/>
      <x:c r="E501" s="63"/>
      <x:c r="F501" s="63"/>
      <x:c r="G501" s="63"/>
      <x:c r="H501" s="63"/>
      <x:c r="I501" s="63"/>
    </x:row>
    <x:row r="502" ht="30" customHeight="1">
      <x:c r="C502" s="64"/>
      <x:c r="D502" s="63"/>
      <x:c r="E502" s="63"/>
      <x:c r="F502" s="63"/>
      <x:c r="G502" s="63"/>
      <x:c r="H502" s="63"/>
      <x:c r="I502" s="63"/>
    </x:row>
    <x:row r="503" ht="30" customHeight="1">
      <x:c r="C503" s="64"/>
      <x:c r="D503" s="63"/>
      <x:c r="E503" s="63"/>
      <x:c r="F503" s="63"/>
      <x:c r="G503" s="63"/>
      <x:c r="H503" s="63"/>
      <x:c r="I503" s="63"/>
    </x:row>
    <x:row r="504" ht="30" customHeight="1">
      <x:c r="C504" s="64"/>
      <x:c r="D504" s="63"/>
      <x:c r="E504" s="63"/>
      <x:c r="F504" s="63"/>
      <x:c r="G504" s="63"/>
      <x:c r="H504" s="63"/>
      <x:c r="I504" s="63"/>
    </x:row>
    <x:row r="505" ht="30" customHeight="1">
      <x:c r="C505" s="64"/>
      <x:c r="D505" s="63"/>
      <x:c r="E505" s="63"/>
      <x:c r="F505" s="63"/>
      <x:c r="G505" s="63"/>
      <x:c r="H505" s="63"/>
      <x:c r="I505" s="63"/>
    </x:row>
    <x:row r="506" ht="30" customHeight="1">
      <x:c r="C506" s="64"/>
      <x:c r="D506" s="63"/>
      <x:c r="E506" s="63"/>
      <x:c r="F506" s="63"/>
      <x:c r="G506" s="63"/>
      <x:c r="H506" s="63"/>
      <x:c r="I506" s="63"/>
    </x:row>
    <x:row r="507" ht="30" customHeight="1">
      <x:c r="C507" s="64"/>
      <x:c r="D507" s="63"/>
      <x:c r="E507" s="63"/>
      <x:c r="F507" s="63"/>
      <x:c r="G507" s="63"/>
      <x:c r="H507" s="63"/>
      <x:c r="I507" s="63"/>
    </x:row>
    <x:row r="508" ht="30" customHeight="1">
      <x:c r="C508" s="64"/>
      <x:c r="D508" s="63"/>
      <x:c r="E508" s="63"/>
      <x:c r="F508" s="63"/>
      <x:c r="G508" s="63"/>
      <x:c r="H508" s="63"/>
      <x:c r="I508" s="63"/>
    </x:row>
    <x:row r="509" ht="30" customHeight="1">
      <x:c r="C509" s="64"/>
      <x:c r="D509" s="63"/>
      <x:c r="E509" s="63"/>
      <x:c r="F509" s="63"/>
      <x:c r="G509" s="63"/>
      <x:c r="H509" s="63"/>
      <x:c r="I509" s="63"/>
    </x:row>
    <x:row r="510" ht="30" customHeight="1">
      <x:c r="C510" s="64"/>
      <x:c r="D510" s="63"/>
      <x:c r="E510" s="63"/>
      <x:c r="F510" s="63"/>
      <x:c r="G510" s="63"/>
      <x:c r="H510" s="63"/>
      <x:c r="I510" s="63"/>
    </x:row>
  </x:sheetData>
  <x:mergeCells>
    <x:mergeCell ref="M2:U2"/>
    <x:mergeCell ref="M9:U9"/>
    <x:mergeCell ref="M10:U10"/>
    <x:mergeCell ref="M30:U30"/>
    <x:mergeCell ref="M43:U44"/>
    <x:mergeCell ref="M48:R48"/>
    <x:mergeCell ref="M58:R58"/>
    <x:mergeCell ref="M68:R68"/>
  </x:mergeCells>
  <x:conditionalFormatting sqref="E100:I100">
    <x:cfRule type="expression" dxfId="5" priority="1">
      <x:formula>ABS(E100)&gt;0.01</x:formula>
    </x:cfRule>
  </x:conditionalFormatting>
  <x:conditionalFormatting sqref="E101:I101">
    <x:cfRule type="expression" dxfId="6" priority="2">
      <x:formula>ABS(E101)&gt;0.01</x:formula>
    </x:cfRule>
  </x:conditionalFormatting>
  <x:conditionalFormatting sqref="E102:I102">
    <x:cfRule type="expression" dxfId="7" priority="3">
      <x:formula>ABS(E102)&gt;0.01</x:formula>
    </x:cfRule>
  </x:conditionalFormatting>
  <x:conditionalFormatting sqref="E103:I103">
    <x:cfRule type="expression" dxfId="8" priority="4">
      <x:formula>ABS(E103)&gt;0.01</x:formula>
    </x:cfRule>
  </x:conditionalFormatting>
  <x:conditionalFormatting sqref="E104:I104">
    <x:cfRule type="expression" dxfId="9" priority="5">
      <x:formula>ABS(E104)&gt;0.01</x:formula>
    </x:cfRule>
  </x:conditionalFormatting>
  <x:conditionalFormatting sqref="E180:I205">
    <x:cfRule type="cellIs" dxfId="77" priority="6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758c19e348e24b3b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88" hidden="0" customWidth="1"/>
    <x:col min="13" max="13" width="3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45" hidden="0" customWidth="1"/>
  </x:cols>
  <x:sheetData>
    <x:row r="1" ht="18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  <x:c r="K1" s="1"/>
    </x:row>
    <x:row r="2" ht="32" customHeight="1">
      <x:c r="A2" s="1"/>
      <x:c r="B2" s="1"/>
      <x:c r="C2" s="3" t="str">
        <x:v>Automobiles</x:v>
      </x:c>
      <x:c r="D2" s="2"/>
      <x:c r="E2" s="2"/>
      <x:c r="F2" s="2"/>
      <x:c r="G2" s="2"/>
      <x:c r="H2" s="2"/>
      <x:c r="I2" s="2"/>
      <x:c r="J2" s="1"/>
      <x:c r="K2" s="1"/>
      <x:c r="M2" s="86" t="str">
        <x:v>Automobiles | Client summary</x:v>
      </x:c>
      <x:c r="N2" s="86"/>
      <x:c r="O2" s="86"/>
      <x:c r="P2" s="86"/>
      <x:c r="Q2" s="86"/>
      <x:c r="R2" s="86"/>
      <x:c r="S2" s="86"/>
      <x:c r="T2" s="86"/>
      <x:c r="U2" s="86"/>
      <x:c r="V2" s="63"/>
      <x:c r="X2" t="str">
        <x:v>Forecast year</x:v>
      </x:c>
      <x:c r="Y2" t="str">
        <x:v>Income</x:v>
      </x:c>
      <x:c r="Z2" t="str">
        <x:v>Profit after tax</x:v>
      </x:c>
    </x:row>
    <x:row r="3" ht="18" customHeight="1">
      <x:c r="A3" s="1"/>
      <x:c r="B3" s="1"/>
      <x:c r="C3" s="4"/>
      <x:c r="D3" s="5"/>
      <x:c r="E3" s="5"/>
      <x:c r="F3" s="5"/>
      <x:c r="G3" s="5"/>
      <x:c r="H3" s="5"/>
      <x:c r="I3" s="5"/>
      <x:c r="J3" s="1"/>
      <x:c r="K3" s="1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X3" t="n">
        <x:f>'Controls'!$E$17+0</x:f>
        <x:v>2027</x:v>
      </x:c>
      <x:c r="Y3" t="n">
        <x:f>E47</x:f>
        <x:v>31435.600000000006</x:v>
      </x:c>
      <x:c r="Z3" t="n">
        <x:f>E58</x:f>
        <x:v>2597.13</x:v>
      </x:c>
    </x:row>
    <x:row r="4" ht="18" customHeight="1">
      <x:c r="A4" s="1"/>
      <x:c r="B4" s="1"/>
      <x:c r="C4" s="1" t="str">
        <x:v>Illustrative assumptions. Financial amounts in INR crore.</x:v>
      </x:c>
      <x:c r="D4" s="2"/>
      <x:c r="E4" s="2"/>
      <x:c r="F4" s="2"/>
      <x:c r="G4" s="2"/>
      <x:c r="H4" s="2"/>
      <x:c r="I4" s="2"/>
      <x:c r="J4" s="1"/>
      <x:c r="K4" s="1"/>
      <x:c r="M4" s="63" t="str">
        <x:v>Company / model name</x:v>
      </x:c>
      <x:c r="N4" s="63" t="str">
        <x:v>Illustrative company</x:v>
      </x:c>
      <x:c r="O4" s="63"/>
      <x:c r="P4" s="63"/>
      <x:c r="Q4" s="63"/>
      <x:c r="R4" s="63"/>
      <x:c r="S4" s="63"/>
      <x:c r="T4" s="63"/>
      <x:c r="U4" s="63"/>
      <x:c r="V4" s="63"/>
      <x:c r="X4" t="n">
        <x:f>'Controls'!$E$17+1</x:f>
        <x:v>2028</x:v>
      </x:c>
      <x:c r="Y4" t="n">
        <x:f>F47</x:f>
        <x:v>35292.748120000004</x:v>
      </x:c>
      <x:c r="Z4" t="n">
        <x:f>F58</x:f>
        <x:v>2949.1735485000013</x:v>
      </x:c>
    </x:row>
    <x:row r="5" ht="18" customHeight="1">
      <x:c r="A5" s="1"/>
      <x:c r="B5" s="1"/>
      <x:c r="C5" s="1" t="str">
        <x:v>Selected case</x:v>
      </x:c>
      <x:c r="D5" s="2"/>
      <x:c r="E5" s="10" t="str">
        <x:f>'Controls'!E6</x:f>
        <x:v>Base</x:v>
      </x:c>
      <x:c r="F5" s="2"/>
      <x:c r="G5" s="2"/>
      <x:c r="H5" s="2"/>
      <x:c r="I5" s="2"/>
      <x:c r="J5" s="1"/>
      <x:c r="K5" s="1"/>
      <x:c r="M5" s="63" t="str">
        <x:v>Valuation date</x:v>
      </x:c>
      <x:c r="N5" s="87" t="n">
        <x:f>'Controls'!E18</x:f>
        <x:v>46112</x:v>
      </x:c>
      <x:c r="O5" s="63"/>
      <x:c r="P5" s="63"/>
      <x:c r="Q5" s="63"/>
      <x:c r="R5" s="63"/>
      <x:c r="S5" s="63"/>
      <x:c r="T5" s="63"/>
      <x:c r="U5" s="63"/>
      <x:c r="V5" s="63"/>
      <x:c r="X5" t="n">
        <x:f>'Controls'!$E$17+2</x:f>
        <x:v>2029</x:v>
      </x:c>
      <x:c r="Y5" t="n">
        <x:f>G47</x:f>
        <x:v>39623.168314324015</x:v>
      </x:c>
      <x:c r="Z5" t="n">
        <x:f>G58</x:f>
        <x:v>3342.7325341009523</x:v>
      </x:c>
    </x:row>
    <x:row r="6" ht="18" customHeight="1">
      <x:c r="A6" s="1"/>
      <x:c r="B6" s="1"/>
      <x:c r="C6" s="1"/>
      <x:c r="D6" s="2"/>
      <x:c r="E6" s="2"/>
      <x:c r="F6" s="2"/>
      <x:c r="G6" s="2"/>
      <x:c r="H6" s="2"/>
      <x:c r="I6" s="2"/>
      <x:c r="J6" s="1"/>
      <x:c r="K6" s="1"/>
      <x:c r="M6" s="63" t="str">
        <x:v>Selected case</x:v>
      </x:c>
      <x:c r="N6" s="63" t="str">
        <x:f>'Controls'!E6</x:f>
        <x:v>Base</x:v>
      </x:c>
      <x:c r="O6" s="63"/>
      <x:c r="P6" s="63"/>
      <x:c r="Q6" s="63"/>
      <x:c r="R6" s="63"/>
      <x:c r="S6" s="63"/>
      <x:c r="T6" s="63"/>
      <x:c r="U6" s="63"/>
      <x:c r="V6" s="63"/>
      <x:c r="X6" t="n">
        <x:f>'Controls'!$E$17+3</x:f>
        <x:v>2030</x:v>
      </x:c>
      <x:c r="Y6" t="n">
        <x:f>H47</x:f>
        <x:v>44484.931066491576</x:v>
      </x:c>
      <x:c r="Z6" t="n">
        <x:f>H58</x:f>
        <x:v>3782.8651216916405</x:v>
      </x:c>
    </x:row>
    <x:row r="7" ht="18" customHeight="1">
      <x:c r="A7" s="1"/>
      <x:c r="B7" s="1"/>
      <x:c r="C7" s="15" t="str">
        <x:v>Metric</x:v>
      </x:c>
      <x:c r="D7" s="16" t="str">
        <x:v>Opening / seed</x:v>
      </x:c>
      <x:c r="E7" s="65" t="n">
        <x:f>'Controls'!$E$17+0</x:f>
        <x:v>2027</x:v>
      </x:c>
      <x:c r="F7" s="65" t="n">
        <x:f>'Controls'!$E$17+1</x:f>
        <x:v>2028</x:v>
      </x:c>
      <x:c r="G7" s="65" t="n">
        <x:f>'Controls'!$E$17+2</x:f>
        <x:v>2029</x:v>
      </x:c>
      <x:c r="H7" s="65" t="n">
        <x:f>'Controls'!$E$17+3</x:f>
        <x:v>2030</x:v>
      </x:c>
      <x:c r="I7" s="65" t="n">
        <x:f>'Controls'!$E$17+4</x:f>
        <x:v>2031</x:v>
      </x:c>
      <x:c r="J7" s="1"/>
      <x:c r="K7" s="1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X7" t="n">
        <x:f>'Controls'!$E$17+4</x:f>
        <x:v>2031</x:v>
      </x:c>
      <x:c r="Y7" t="n">
        <x:f>I47</x:f>
        <x:v>49943.2321083501</x:v>
      </x:c>
      <x:c r="Z7" t="n">
        <x:f>I58</x:f>
        <x:v>4275.254764294357</x:v>
      </x:c>
    </x:row>
    <x:row r="8" ht="18" customHeight="1">
      <x:c r="A8" s="1"/>
      <x:c r="B8" s="1"/>
      <x:c r="C8" s="1"/>
      <x:c r="D8" s="2"/>
      <x:c r="E8" s="2"/>
      <x:c r="F8" s="2"/>
      <x:c r="G8" s="2"/>
      <x:c r="H8" s="2"/>
      <x:c r="I8" s="2"/>
      <x:c r="J8" s="1"/>
      <x:c r="K8" s="1"/>
      <x:c r="M8" s="63" t="str">
        <x:v>Equity value (INR crore)</x:v>
      </x:c>
      <x:c r="N8" s="8" t="n">
        <x:f>E94</x:f>
        <x:v>30124.771508856284</x:v>
      </x:c>
      <x:c r="O8" s="63"/>
      <x:c r="P8" s="63"/>
      <x:c r="Q8" s="63"/>
      <x:c r="R8" s="63"/>
      <x:c r="S8" s="63"/>
      <x:c r="T8" s="63"/>
      <x:c r="U8" s="63"/>
      <x:c r="V8" s="63"/>
    </x:row>
    <x:row r="9" ht="18" customHeight="1">
      <x:c r="A9" s="1"/>
      <x:c r="B9" s="1"/>
      <x:c r="C9" s="19" t="str">
        <x:v>OPERATING ASSUMPTIONS</x:v>
      </x:c>
      <x:c r="D9" s="20"/>
      <x:c r="E9" s="20"/>
      <x:c r="F9" s="20"/>
      <x:c r="G9" s="20"/>
      <x:c r="H9" s="20"/>
      <x:c r="I9" s="20"/>
      <x:c r="J9" s="1"/>
      <x:c r="K9" s="1"/>
      <x:c r="M9" s="63" t="str">
        <x:f>IF(MAX(E100,F100,G100,H100,I100,E101,F101,G101,H101,I101,E102,F102,G102,H102,I102,E103,F103,G103,H103,I103,E104,F104,G104,H104,I104,E180:I205)&gt;0.01,"ATTENTION: model checks contain exceptions",IF(MIN(E100,F100,G100,H100,I100,E101,F101,G101,H101,I101,E102,F102,G102,H102,I102,E103,F103,G103,H103,I103,E104,F104,G104,H104,I104,E180:I205)&lt;-0.01,"ATTENTION: model checks contain exceptions","Model checks clear; review company assumptions"))</x:f>
        <x:v>Model checks clear; review company assumptions</x:v>
      </x:c>
      <x:c r="N9" s="63"/>
      <x:c r="O9" s="63"/>
      <x:c r="P9" s="63"/>
      <x:c r="Q9" s="63"/>
      <x:c r="R9" s="63"/>
      <x:c r="S9" s="63"/>
      <x:c r="T9" s="63"/>
      <x:c r="U9" s="63"/>
      <x:c r="V9" s="63"/>
    </x:row>
    <x:row r="10" ht="18" customHeight="1">
      <x:c r="A10" s="1"/>
      <x:c r="B10" s="1"/>
      <x:c r="C10" s="1" t="str">
        <x:v>Wholesale vehicles (units) — seed</x:v>
      </x:c>
      <x:c r="D10" s="7" t="n">
        <x:v>400000</x:v>
      </x:c>
      <x:c r="E10" s="2"/>
      <x:c r="F10" s="2"/>
      <x:c r="G10" s="2"/>
      <x:c r="H10" s="2"/>
      <x:c r="I10" s="2"/>
      <x:c r="J10" s="1"/>
      <x:c r="K10" s="1" t="str">
        <x:v>Input provenance: all amber cells are constructed examples, not external observations.</x:v>
      </x:c>
      <x:c r="M10" s="63" t="str">
        <x:v>Illustrative inputs; replace with company evidence.</x:v>
      </x:c>
      <x:c r="N10" s="63"/>
      <x:c r="O10" s="63"/>
      <x:c r="P10" s="63"/>
      <x:c r="Q10" s="63"/>
      <x:c r="R10" s="63"/>
      <x:c r="S10" s="63"/>
      <x:c r="T10" s="63"/>
      <x:c r="U10" s="63"/>
      <x:c r="V10" s="63"/>
    </x:row>
    <x:row r="11" ht="30" customHeight="1">
      <x:c r="A11" s="1"/>
      <x:c r="B11" s="1"/>
      <x:c r="C11" s="56" t="str">
        <x:v>Net realization (INR lakh per vehicle) — seed</x:v>
      </x:c>
      <x:c r="D11" s="7" t="n">
        <x:v>7</x:v>
      </x:c>
      <x:c r="E11" s="2"/>
      <x:c r="F11" s="2"/>
      <x:c r="G11" s="2"/>
      <x:c r="H11" s="2"/>
      <x:c r="I11" s="2"/>
      <x:c r="J11" s="1"/>
      <x:c r="K11" s="1" t="str">
        <x:v>OEM archetype. EV battery costs, dealer inventory, retail sales and model mix require extensions.</x:v>
      </x:c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</x:row>
    <x:row r="12" ht="18" customHeight="1">
      <x:c r="A12" s="1"/>
      <x:c r="B12" s="1"/>
      <x:c r="C12" s="28" t="str">
        <x:v>Operating scale growth — active</x:v>
      </x:c>
      <x:c r="D12" s="29"/>
      <x:c r="E12" s="30" t="n">
        <x:f>IF(COUNT(INDEX(E13:E15,'Controls'!$E$5))=0,NA(),INDEX(E13:E15,'Controls'!$E$5))</x:f>
        <x:v>0.09</x:v>
      </x:c>
      <x:c r="F12" s="30" t="n">
        <x:f>IF(COUNT(INDEX(F13:F15,'Controls'!$E$5))=0,NA(),INDEX(F13:F15,'Controls'!$E$5))</x:f>
        <x:v>0.09</x:v>
      </x:c>
      <x:c r="G12" s="30" t="n">
        <x:f>IF(COUNT(INDEX(G13:G15,'Controls'!$E$5))=0,NA(),INDEX(G13:G15,'Controls'!$E$5))</x:f>
        <x:v>0.09</x:v>
      </x:c>
      <x:c r="H12" s="30" t="n">
        <x:f>IF(COUNT(INDEX(H13:H15,'Controls'!$E$5))=0,NA(),INDEX(H13:H15,'Controls'!$E$5))</x:f>
        <x:v>0.09</x:v>
      </x:c>
      <x:c r="I12" s="30" t="n">
        <x:f>IF(COUNT(INDEX(I13:I15,'Controls'!$E$5))=0,NA(),INDEX(I13:I15,'Controls'!$E$5))</x:f>
        <x:v>0.09</x:v>
      </x:c>
      <x:c r="J12" s="1"/>
      <x:c r="K12" s="1" t="str">
        <x:v>Five-year nominal INR model. Positive costs are subtracted. Discounting is end-of-year.</x:v>
      </x:c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</x:row>
    <x:row r="13" ht="18" customHeight="1">
      <x:c r="A13" s="1"/>
      <x:c r="B13" s="1"/>
      <x:c r="C13" s="23" t="str">
        <x:v>Base</x:v>
      </x:c>
      <x:c r="D13" s="24"/>
      <x:c r="E13" s="26" t="n">
        <x:v>0.09</x:v>
      </x:c>
      <x:c r="F13" s="26" t="n">
        <x:v>0.09</x:v>
      </x:c>
      <x:c r="G13" s="26" t="n">
        <x:v>0.09</x:v>
      </x:c>
      <x:c r="H13" s="26" t="n">
        <x:v>0.09</x:v>
      </x:c>
      <x:c r="I13" s="26" t="n">
        <x:v>0.09</x:v>
      </x:c>
      <x:c r="J13" s="1"/>
      <x:c r="K13" s="1" t="str">
        <x:v>Cash earns no interest; borrowing is explicit. Negative cash is an unfunded shortfall.</x:v>
      </x:c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</x:row>
    <x:row r="14" ht="18" customHeight="1">
      <x:c r="A14" s="1"/>
      <x:c r="B14" s="1"/>
      <x:c r="C14" s="23" t="str">
        <x:v>Downside</x:v>
      </x:c>
      <x:c r="D14" s="24"/>
      <x:c r="E14" s="26" t="n">
        <x:v>0.039999999999999994</x:v>
      </x:c>
      <x:c r="F14" s="26" t="n">
        <x:v>0.039999999999999994</x:v>
      </x:c>
      <x:c r="G14" s="26" t="n">
        <x:v>0.039999999999999994</x:v>
      </x:c>
      <x:c r="H14" s="26" t="n">
        <x:v>0.039999999999999994</x:v>
      </x:c>
      <x:c r="I14" s="26" t="n">
        <x:v>0.039999999999999994</x:v>
      </x:c>
      <x:c r="J14" s="1"/>
      <x:c r="K14" s="1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</x:row>
    <x:row r="15" ht="18" customHeight="1">
      <x:c r="A15" s="1"/>
      <x:c r="B15" s="1"/>
      <x:c r="C15" s="23" t="str">
        <x:v>Upside</x:v>
      </x:c>
      <x:c r="D15" s="24"/>
      <x:c r="E15" s="26" t="n">
        <x:v>0.13</x:v>
      </x:c>
      <x:c r="F15" s="26" t="n">
        <x:v>0.13</x:v>
      </x:c>
      <x:c r="G15" s="26" t="n">
        <x:v>0.13</x:v>
      </x:c>
      <x:c r="H15" s="26" t="n">
        <x:v>0.13</x:v>
      </x:c>
      <x:c r="I15" s="26" t="n">
        <x:v>0.13</x:v>
      </x:c>
      <x:c r="J15" s="1"/>
      <x:c r="K15" s="1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</x:row>
    <x:row r="16" ht="18" customHeight="1">
      <x:c r="A16" s="1"/>
      <x:c r="B16" s="1"/>
      <x:c r="C16" s="28" t="str">
        <x:v>Realization growth — active</x:v>
      </x:c>
      <x:c r="D16" s="29"/>
      <x:c r="E16" s="30" t="n">
        <x:f>IF(COUNT(INDEX(E17:E19,'Controls'!$E$5))=0,NA(),INDEX(E17:E19,'Controls'!$E$5))</x:f>
        <x:v>0.03</x:v>
      </x:c>
      <x:c r="F16" s="30" t="n">
        <x:f>IF(COUNT(INDEX(F17:F19,'Controls'!$E$5))=0,NA(),INDEX(F17:F19,'Controls'!$E$5))</x:f>
        <x:v>0.03</x:v>
      </x:c>
      <x:c r="G16" s="30" t="n">
        <x:f>IF(COUNT(INDEX(G17:G19,'Controls'!$E$5))=0,NA(),INDEX(G17:G19,'Controls'!$E$5))</x:f>
        <x:v>0.03</x:v>
      </x:c>
      <x:c r="H16" s="30" t="n">
        <x:f>IF(COUNT(INDEX(H17:H19,'Controls'!$E$5))=0,NA(),INDEX(H17:H19,'Controls'!$E$5))</x:f>
        <x:v>0.03</x:v>
      </x:c>
      <x:c r="I16" s="30" t="n">
        <x:f>IF(COUNT(INDEX(I17:I19,'Controls'!$E$5))=0,NA(),INDEX(I17:I19,'Controls'!$E$5))</x:f>
        <x:v>0.03</x:v>
      </x:c>
      <x:c r="J16" s="1"/>
      <x:c r="K16" s="1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</x:row>
    <x:row r="17" ht="18" customHeight="1">
      <x:c r="A17" s="1"/>
      <x:c r="B17" s="1"/>
      <x:c r="C17" s="23" t="str">
        <x:v>Base</x:v>
      </x:c>
      <x:c r="D17" s="24"/>
      <x:c r="E17" s="26" t="n">
        <x:v>0.03</x:v>
      </x:c>
      <x:c r="F17" s="26" t="n">
        <x:v>0.03</x:v>
      </x:c>
      <x:c r="G17" s="26" t="n">
        <x:v>0.03</x:v>
      </x:c>
      <x:c r="H17" s="26" t="n">
        <x:v>0.03</x:v>
      </x:c>
      <x:c r="I17" s="26" t="n">
        <x:v>0.03</x:v>
      </x:c>
      <x:c r="J17" s="1"/>
      <x:c r="K17" s="1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</x:row>
    <x:row r="18" ht="18" customHeight="1">
      <x:c r="A18" s="1"/>
      <x:c r="B18" s="1"/>
      <x:c r="C18" s="23" t="str">
        <x:v>Downside</x:v>
      </x:c>
      <x:c r="D18" s="24"/>
      <x:c r="E18" s="26" t="n">
        <x:v>0.0049999999999999975</x:v>
      </x:c>
      <x:c r="F18" s="26" t="n">
        <x:v>0.0049999999999999975</x:v>
      </x:c>
      <x:c r="G18" s="26" t="n">
        <x:v>0.0049999999999999975</x:v>
      </x:c>
      <x:c r="H18" s="26" t="n">
        <x:v>0.0049999999999999975</x:v>
      </x:c>
      <x:c r="I18" s="26" t="n">
        <x:v>0.0049999999999999975</x:v>
      </x:c>
      <x:c r="J18" s="1"/>
      <x:c r="K18" s="1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</x:row>
    <x:row r="19" ht="18" customHeight="1">
      <x:c r="A19" s="1"/>
      <x:c r="B19" s="1"/>
      <x:c r="C19" s="23" t="str">
        <x:v>Upside</x:v>
      </x:c>
      <x:c r="D19" s="24"/>
      <x:c r="E19" s="26" t="n">
        <x:v>0.05</x:v>
      </x:c>
      <x:c r="F19" s="26" t="n">
        <x:v>0.05</x:v>
      </x:c>
      <x:c r="G19" s="26" t="n">
        <x:v>0.05</x:v>
      </x:c>
      <x:c r="H19" s="26" t="n">
        <x:v>0.05</x:v>
      </x:c>
      <x:c r="I19" s="26" t="n">
        <x:v>0.05</x:v>
      </x:c>
      <x:c r="J19" s="1"/>
      <x:c r="K19" s="1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</x:row>
    <x:row r="20" ht="18" customHeight="1">
      <x:c r="A20" s="1"/>
      <x:c r="B20" s="1"/>
      <x:c r="C20" s="23" t="str">
        <x:v>Capacity utilization</x:v>
      </x:c>
      <x:c r="D20" s="24"/>
      <x:c r="E20" s="26" t="n">
        <x:f>E400</x:f>
        <x:v>1</x:v>
      </x:c>
      <x:c r="F20" s="26" t="n">
        <x:f>F400</x:f>
        <x:v>1</x:v>
      </x:c>
      <x:c r="G20" s="26" t="n">
        <x:f>G400</x:f>
        <x:v>1</x:v>
      </x:c>
      <x:c r="H20" s="26" t="n">
        <x:f>H400</x:f>
        <x:v>1</x:v>
      </x:c>
      <x:c r="I20" s="26" t="n">
        <x:f>I400</x:f>
        <x:v>1</x:v>
      </x:c>
      <x:c r="J20" s="1"/>
      <x:c r="K20" s="1" t="str">
        <x:v>Use 100% when volume already represents actual sales.</x:v>
      </x:c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</x:row>
    <x:row r="21" ht="18" customHeight="1">
      <x:c r="A21" s="1"/>
      <x:c r="B21" s="1"/>
      <x:c r="C21" s="23" t="str">
        <x:v>Material and variable production / revenue</x:v>
      </x:c>
      <x:c r="D21" s="24"/>
      <x:c r="E21" s="26" t="n">
        <x:f>E405</x:f>
        <x:v>0.72</x:v>
      </x:c>
      <x:c r="F21" s="26" t="n">
        <x:f>F405</x:f>
        <x:v>0.72</x:v>
      </x:c>
      <x:c r="G21" s="26" t="n">
        <x:f>G405</x:f>
        <x:v>0.72</x:v>
      </x:c>
      <x:c r="H21" s="26" t="n">
        <x:f>H405</x:f>
        <x:v>0.72</x:v>
      </x:c>
      <x:c r="I21" s="26" t="n">
        <x:f>I405</x:f>
        <x:v>0.72</x:v>
      </x:c>
      <x:c r="J21" s="1"/>
      <x:c r="K21" s="1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</x:row>
    <x:row r="22" ht="18" customHeight="1">
      <x:c r="A22" s="1"/>
      <x:c r="B22" s="1"/>
      <x:c r="C22" s="23" t="str">
        <x:v>Other cash operating costs / revenue</x:v>
      </x:c>
      <x:c r="D22" s="24"/>
      <x:c r="E22" s="26" t="n">
        <x:f>E410</x:f>
        <x:v>0.13</x:v>
      </x:c>
      <x:c r="F22" s="26" t="n">
        <x:f>F410</x:f>
        <x:v>0.13</x:v>
      </x:c>
      <x:c r="G22" s="26" t="n">
        <x:f>G410</x:f>
        <x:v>0.13</x:v>
      </x:c>
      <x:c r="H22" s="26" t="n">
        <x:f>H410</x:f>
        <x:v>0.13</x:v>
      </x:c>
      <x:c r="I22" s="26" t="n">
        <x:f>I410</x:f>
        <x:v>0.13</x:v>
      </x:c>
      <x:c r="J22" s="1"/>
      <x:c r="K22" s="1" t="str">
        <x:v>Includes fixed and selling costs, modeled as revenue share.</x:v>
      </x:c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</x:row>
    <x:row r="23" ht="18" customHeight="1">
      <x:c r="A23" s="1"/>
      <x:c r="B23" s="1"/>
      <x:c r="C23" s="23" t="str">
        <x:v>Cash capex / revenue</x:v>
      </x:c>
      <x:c r="D23" s="24"/>
      <x:c r="E23" s="26" t="n">
        <x:f>E415</x:f>
        <x:v>0.065</x:v>
      </x:c>
      <x:c r="F23" s="26" t="n">
        <x:f>F415</x:f>
        <x:v>0.065</x:v>
      </x:c>
      <x:c r="G23" s="26" t="n">
        <x:f>G415</x:f>
        <x:v>0.065</x:v>
      </x:c>
      <x:c r="H23" s="26" t="n">
        <x:f>H415</x:f>
        <x:v>0.065</x:v>
      </x:c>
      <x:c r="I23" s="26" t="n">
        <x:f>I415</x:f>
        <x:v>0.065</x:v>
      </x:c>
      <x:c r="J23" s="1"/>
      <x:c r="K23" s="1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</x:row>
    <x:row r="24" ht="18" customHeight="1">
      <x:c r="A24" s="1"/>
      <x:c r="B24" s="1"/>
      <x:c r="C24" s="23" t="str">
        <x:v>D&amp;A / opening net PP&amp;E</x:v>
      </x:c>
      <x:c r="D24" s="24"/>
      <x:c r="E24" s="26" t="n">
        <x:f>E420</x:f>
        <x:v>0.13</x:v>
      </x:c>
      <x:c r="F24" s="26" t="n">
        <x:f>F420</x:f>
        <x:v>0.13</x:v>
      </x:c>
      <x:c r="G24" s="26" t="n">
        <x:f>G420</x:f>
        <x:v>0.13</x:v>
      </x:c>
      <x:c r="H24" s="26" t="n">
        <x:f>H420</x:f>
        <x:v>0.13</x:v>
      </x:c>
      <x:c r="I24" s="26" t="n">
        <x:f>I420</x:f>
        <x:v>0.13</x:v>
      </x:c>
      <x:c r="J24" s="1"/>
      <x:c r="K24" s="1" t="str">
        <x:v>No disposals or impairments. Current-year capex begins depreciation next year.</x:v>
      </x:c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</x:row>
    <x:row r="25" ht="18" customHeight="1">
      <x:c r="A25" s="1"/>
      <x:c r="B25" s="1"/>
      <x:c r="C25" s="1" t="str">
        <x:v>Receivable days</x:v>
      </x:c>
      <x:c r="D25" s="2"/>
      <x:c r="E25" s="7" t="n">
        <x:f>E425</x:f>
        <x:v>20</x:v>
      </x:c>
      <x:c r="F25" s="7" t="n">
        <x:f>F425</x:f>
        <x:v>20</x:v>
      </x:c>
      <x:c r="G25" s="7" t="n">
        <x:f>G425</x:f>
        <x:v>20</x:v>
      </x:c>
      <x:c r="H25" s="7" t="n">
        <x:f>H425</x:f>
        <x:v>20</x:v>
      </x:c>
      <x:c r="I25" s="7" t="n">
        <x:f>I425</x:f>
        <x:v>20</x:v>
      </x:c>
      <x:c r="J25" s="1"/>
      <x:c r="K25" s="1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</x:row>
    <x:row r="26" ht="18" customHeight="1">
      <x:c r="A26" s="1"/>
      <x:c r="B26" s="1"/>
      <x:c r="C26" s="1" t="str">
        <x:v>Inventory days</x:v>
      </x:c>
      <x:c r="D26" s="2"/>
      <x:c r="E26" s="7" t="n">
        <x:f>E430</x:f>
        <x:v>35</x:v>
      </x:c>
      <x:c r="F26" s="7" t="n">
        <x:f>F430</x:f>
        <x:v>35</x:v>
      </x:c>
      <x:c r="G26" s="7" t="n">
        <x:f>G430</x:f>
        <x:v>35</x:v>
      </x:c>
      <x:c r="H26" s="7" t="n">
        <x:f>H430</x:f>
        <x:v>35</x:v>
      </x:c>
      <x:c r="I26" s="7" t="n">
        <x:f>I430</x:f>
        <x:v>35</x:v>
      </x:c>
      <x:c r="J26" s="1"/>
      <x:c r="K26" s="1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</x:row>
    <x:row r="27" ht="18" customHeight="1">
      <x:c r="A27" s="1"/>
      <x:c r="B27" s="1"/>
      <x:c r="C27" s="1" t="str">
        <x:v>Payable days</x:v>
      </x:c>
      <x:c r="D27" s="2"/>
      <x:c r="E27" s="7" t="n">
        <x:f>E435</x:f>
        <x:v>50</x:v>
      </x:c>
      <x:c r="F27" s="7" t="n">
        <x:f>F435</x:f>
        <x:v>50</x:v>
      </x:c>
      <x:c r="G27" s="7" t="n">
        <x:f>G435</x:f>
        <x:v>50</x:v>
      </x:c>
      <x:c r="H27" s="7" t="n">
        <x:f>H435</x:f>
        <x:v>50</x:v>
      </x:c>
      <x:c r="I27" s="7" t="n">
        <x:f>I435</x:f>
        <x:v>50</x:v>
      </x:c>
      <x:c r="J27" s="1"/>
      <x:c r="K27" s="1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</x:row>
    <x:row r="28" ht="18" customHeight="1">
      <x:c r="A28" s="1"/>
      <x:c r="B28" s="1"/>
      <x:c r="C28" s="23" t="str">
        <x:v>Effective cash tax rate</x:v>
      </x:c>
      <x:c r="D28" s="24"/>
      <x:c r="E28" s="26" t="n">
        <x:f>E440</x:f>
        <x:v>0.25</x:v>
      </x:c>
      <x:c r="F28" s="26" t="n">
        <x:f>F440</x:f>
        <x:v>0.25</x:v>
      </x:c>
      <x:c r="G28" s="26" t="n">
        <x:f>G440</x:f>
        <x:v>0.25</x:v>
      </x:c>
      <x:c r="H28" s="26" t="n">
        <x:f>H440</x:f>
        <x:v>0.25</x:v>
      </x:c>
      <x:c r="I28" s="26" t="n">
        <x:f>I440</x:f>
        <x:v>0.25</x:v>
      </x:c>
      <x:c r="J28" s="1"/>
      <x:c r="K28" s="1" t="str">
        <x:v>Illustrative assumption, not a statutory rate. No loss carryforwards or deferred tax.</x:v>
      </x:c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</x:row>
    <x:row r="29" ht="18" customHeight="1">
      <x:c r="A29" s="1"/>
      <x:c r="B29" s="1"/>
      <x:c r="C29" s="23" t="str">
        <x:v>Interest on opening debt</x:v>
      </x:c>
      <x:c r="D29" s="24"/>
      <x:c r="E29" s="26" t="n">
        <x:f>E445</x:f>
        <x:v>0.085</x:v>
      </x:c>
      <x:c r="F29" s="26" t="n">
        <x:f>F445</x:f>
        <x:v>0.085</x:v>
      </x:c>
      <x:c r="G29" s="26" t="n">
        <x:f>G445</x:f>
        <x:v>0.085</x:v>
      </x:c>
      <x:c r="H29" s="26" t="n">
        <x:f>H445</x:f>
        <x:v>0.085</x:v>
      </x:c>
      <x:c r="I29" s="26" t="n">
        <x:f>I445</x:f>
        <x:v>0.085</x:v>
      </x:c>
      <x:c r="J29" s="1"/>
      <x:c r="K29" s="1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</x:row>
    <x:row r="30" ht="18" customHeight="1">
      <x:c r="A30" s="1"/>
      <x:c r="B30" s="1"/>
      <x:c r="C30" s="1" t="str">
        <x:v>New borrowing</x:v>
      </x:c>
      <x:c r="D30" s="2"/>
      <x:c r="E30" s="7" t="n">
        <x:f>E450</x:f>
        <x:v>0</x:v>
      </x:c>
      <x:c r="F30" s="7" t="n">
        <x:f>F450</x:f>
        <x:v>0</x:v>
      </x:c>
      <x:c r="G30" s="7" t="n">
        <x:f>G450</x:f>
        <x:v>0</x:v>
      </x:c>
      <x:c r="H30" s="7" t="n">
        <x:f>H450</x:f>
        <x:v>0</x:v>
      </x:c>
      <x:c r="I30" s="7" t="n">
        <x:f>I450</x:f>
        <x:v>0</x:v>
      </x:c>
      <x:c r="J30" s="1"/>
      <x:c r="K30" s="1"/>
      <x:c r="M30" s="82" t="str">
        <x:v>Historical actuals and forecast | INR crore</x:v>
      </x:c>
      <x:c r="N30" s="82"/>
      <x:c r="O30" s="82"/>
      <x:c r="P30" s="82"/>
      <x:c r="Q30" s="82"/>
      <x:c r="R30" s="82"/>
      <x:c r="S30" s="82"/>
      <x:c r="T30" s="82"/>
      <x:c r="U30" s="82"/>
      <x:c r="V30" s="63"/>
    </x:row>
    <x:row r="31" ht="18" customHeight="1">
      <x:c r="A31" s="1"/>
      <x:c r="B31" s="1"/>
      <x:c r="C31" s="1" t="str">
        <x:v>Scheduled principal repayment</x:v>
      </x:c>
      <x:c r="D31" s="2"/>
      <x:c r="E31" s="7" t="n">
        <x:f>E455</x:f>
        <x:v>250</x:v>
      </x:c>
      <x:c r="F31" s="7" t="n">
        <x:f>F455</x:f>
        <x:v>250</x:v>
      </x:c>
      <x:c r="G31" s="7" t="n">
        <x:f>G455</x:f>
        <x:v>250</x:v>
      </x:c>
      <x:c r="H31" s="7" t="n">
        <x:f>H455</x:f>
        <x:v>250</x:v>
      </x:c>
      <x:c r="I31" s="7" t="n">
        <x:f>I455</x:f>
        <x:v>250</x:v>
      </x:c>
      <x:c r="J31" s="1"/>
      <x:c r="K31" s="1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</x:row>
    <x:row r="32" ht="18" customHeight="1">
      <x:c r="A32" s="1"/>
      <x:c r="B32" s="1"/>
      <x:c r="C32" s="23" t="str">
        <x:v>Dividend payout on positive PAT</x:v>
      </x:c>
      <x:c r="D32" s="24"/>
      <x:c r="E32" s="26" t="n">
        <x:f>E460</x:f>
        <x:v>0.25</x:v>
      </x:c>
      <x:c r="F32" s="26" t="n">
        <x:f>F460</x:f>
        <x:v>0.25</x:v>
      </x:c>
      <x:c r="G32" s="26" t="n">
        <x:f>G460</x:f>
        <x:v>0.25</x:v>
      </x:c>
      <x:c r="H32" s="26" t="n">
        <x:f>H460</x:f>
        <x:v>0.25</x:v>
      </x:c>
      <x:c r="I32" s="26" t="n">
        <x:f>I460</x:f>
        <x:v>0.25</x:v>
      </x:c>
      <x:c r="J32" s="1"/>
      <x:c r="K32" s="1"/>
      <x:c r="M32" s="63" t="str">
        <x:v>Metric</x:v>
      </x:c>
      <x:c r="N32" s="88" t="n">
        <x:f>'Controls'!$E$17+-3</x:f>
        <x:v>2024</x:v>
      </x:c>
      <x:c r="O32" s="88" t="n">
        <x:f>'Controls'!$E$17+-2</x:f>
        <x:v>2025</x:v>
      </x:c>
      <x:c r="P32" s="88" t="n">
        <x:f>'Controls'!$E$17+-1</x:f>
        <x:v>2026</x:v>
      </x:c>
      <x:c r="Q32" s="89" t="n">
        <x:f>'Controls'!$E$17+0</x:f>
        <x:v>2027</x:v>
      </x:c>
      <x:c r="R32" s="89" t="n">
        <x:f>'Controls'!$E$17+1</x:f>
        <x:v>2028</x:v>
      </x:c>
      <x:c r="S32" s="89" t="n">
        <x:f>'Controls'!$E$17+2</x:f>
        <x:v>2029</x:v>
      </x:c>
      <x:c r="T32" s="89" t="n">
        <x:f>'Controls'!$E$17+3</x:f>
        <x:v>2030</x:v>
      </x:c>
      <x:c r="U32" s="89" t="n">
        <x:f>'Controls'!$E$17+4</x:f>
        <x:v>2031</x:v>
      </x:c>
      <x:c r="V32" s="63" t="str">
        <x:v>Source / reporting date</x:v>
      </x:c>
    </x:row>
    <x:row r="33" ht="18" customHeight="1">
      <x:c r="A33" s="1"/>
      <x:c r="B33" s="1"/>
      <x:c r="C33" s="19" t="str">
        <x:v>OPENING BALANCE SHEET AND VALUATION INPUTS</x:v>
      </x:c>
      <x:c r="D33" s="20"/>
      <x:c r="E33" s="20"/>
      <x:c r="F33" s="20"/>
      <x:c r="G33" s="20"/>
      <x:c r="H33" s="20"/>
      <x:c r="I33" s="20"/>
      <x:c r="J33" s="1"/>
      <x:c r="K33" s="1"/>
      <x:c r="M33" s="63" t="str">
        <x:v>Income</x:v>
      </x:c>
      <x:c r="N33" s="74"/>
      <x:c r="O33" s="74"/>
      <x:c r="P33" s="74"/>
      <x:c r="Q33" s="8" t="n">
        <x:f>E47</x:f>
        <x:v>31435.600000000006</x:v>
      </x:c>
      <x:c r="R33" s="8" t="n">
        <x:f>F47</x:f>
        <x:v>35292.748120000004</x:v>
      </x:c>
      <x:c r="S33" s="8" t="n">
        <x:f>G47</x:f>
        <x:v>39623.168314324015</x:v>
      </x:c>
      <x:c r="T33" s="8" t="n">
        <x:f>H47</x:f>
        <x:v>44484.931066491576</x:v>
      </x:c>
      <x:c r="U33" s="8" t="n">
        <x:f>I47</x:f>
        <x:v>49943.2321083501</x:v>
      </x:c>
      <x:c r="V33" s="63"/>
    </x:row>
    <x:row r="34" ht="18" customHeight="1">
      <x:c r="A34" s="1"/>
      <x:c r="B34" s="1"/>
      <x:c r="C34" s="1" t="str">
        <x:v>Opening net PP&amp;E</x:v>
      </x:c>
      <x:c r="D34" s="7" t="n">
        <x:v>8000</x:v>
      </x:c>
      <x:c r="E34" s="2"/>
      <x:c r="F34" s="2"/>
      <x:c r="G34" s="2"/>
      <x:c r="H34" s="2"/>
      <x:c r="I34" s="2"/>
      <x:c r="J34" s="1"/>
      <x:c r="K34" s="1"/>
      <x:c r="M34" s="63" t="str">
        <x:v>Profit after tax</x:v>
      </x:c>
      <x:c r="N34" s="74"/>
      <x:c r="O34" s="74"/>
      <x:c r="P34" s="74"/>
      <x:c r="Q34" s="8" t="n">
        <x:f>E58</x:f>
        <x:v>2597.13</x:v>
      </x:c>
      <x:c r="R34" s="8" t="n">
        <x:f>F58</x:f>
        <x:v>2949.1735485000013</x:v>
      </x:c>
      <x:c r="S34" s="8" t="n">
        <x:f>G58</x:f>
        <x:v>3342.7325341009523</x:v>
      </x:c>
      <x:c r="T34" s="8" t="n">
        <x:f>H58</x:f>
        <x:v>3782.8651216916405</x:v>
      </x:c>
      <x:c r="U34" s="8" t="n">
        <x:f>I58</x:f>
        <x:v>4275.254764294357</x:v>
      </x:c>
      <x:c r="V34" s="63"/>
    </x:row>
    <x:row r="35" ht="18" customHeight="1">
      <x:c r="A35" s="1"/>
      <x:c r="B35" s="1"/>
      <x:c r="C35" s="1" t="str">
        <x:v>Opening debt</x:v>
      </x:c>
      <x:c r="D35" s="7" t="n">
        <x:v>2500</x:v>
      </x:c>
      <x:c r="E35" s="2"/>
      <x:c r="F35" s="2"/>
      <x:c r="G35" s="2"/>
      <x:c r="H35" s="2"/>
      <x:c r="I35" s="2"/>
      <x:c r="J35" s="1"/>
      <x:c r="K35" s="1"/>
      <x:c r="M35" s="63" t="str">
        <x:v>EBITDA</x:v>
      </x:c>
      <x:c r="N35" s="74"/>
      <x:c r="O35" s="74"/>
      <x:c r="P35" s="74"/>
      <x:c r="Q35" s="8" t="n">
        <x:f>E52</x:f>
        <x:v>4715.34</x:v>
      </x:c>
      <x:c r="R35" s="8" t="n">
        <x:f>F52</x:f>
        <x:v>5293.912218000001</x:v>
      </x:c>
      <x:c r="S35" s="8" t="n">
        <x:f>G52</x:f>
        <x:v>5943.475247148604</x:v>
      </x:c>
      <x:c r="T35" s="8" t="n">
        <x:f>H52</x:f>
        <x:v>6672.7396599737385</x:v>
      </x:c>
      <x:c r="U35" s="8" t="n">
        <x:f>I52</x:f>
        <x:v>7491.484816252513</x:v>
      </x:c>
      <x:c r="V35" s="63"/>
    </x:row>
    <x:row r="36" ht="18" customHeight="1">
      <x:c r="A36" s="1"/>
      <x:c r="B36" s="1"/>
      <x:c r="C36" s="1" t="str">
        <x:v>Opening cash</x:v>
      </x:c>
      <x:c r="D36" s="7" t="n">
        <x:v>1500</x:v>
      </x:c>
      <x:c r="E36" s="2"/>
      <x:c r="F36" s="2"/>
      <x:c r="G36" s="2"/>
      <x:c r="H36" s="2"/>
      <x:c r="I36" s="2"/>
      <x:c r="J36" s="1"/>
      <x:c r="K36" s="1"/>
      <x:c r="M36" s="63" t="str">
        <x:v>Closing debt</x:v>
      </x:c>
      <x:c r="N36" s="74"/>
      <x:c r="O36" s="74"/>
      <x:c r="P36" s="74"/>
      <x:c r="Q36" s="8" t="n">
        <x:f>E67</x:f>
        <x:v>2250</x:v>
      </x:c>
      <x:c r="R36" s="8" t="n">
        <x:f>F67</x:f>
        <x:v>2000</x:v>
      </x:c>
      <x:c r="S36" s="8" t="n">
        <x:f>G67</x:f>
        <x:v>1750</x:v>
      </x:c>
      <x:c r="T36" s="8" t="n">
        <x:f>H67</x:f>
        <x:v>1500</x:v>
      </x:c>
      <x:c r="U36" s="8" t="n">
        <x:f>I67</x:f>
        <x:v>1250</x:v>
      </x:c>
      <x:c r="V36" s="63"/>
    </x:row>
    <x:row r="37" ht="18" customHeight="1">
      <x:c r="A37" s="1"/>
      <x:c r="B37" s="1"/>
      <x:c r="C37" s="1" t="str">
        <x:v>Opening net working capital</x:v>
      </x:c>
      <x:c r="D37" s="7" t="n">
        <x:v>705.7534246575343</x:v>
      </x:c>
      <x:c r="E37" s="2"/>
      <x:c r="F37" s="2"/>
      <x:c r="G37" s="2"/>
      <x:c r="H37" s="2"/>
      <x:c r="I37" s="2"/>
      <x:c r="J37" s="1"/>
      <x:c r="K37" s="1" t="str">
        <x:v>Illustrative opening net balance. Replace with receivables + inventory − payables.</x:v>
      </x:c>
      <x:c r="M37" s="63" t="str">
        <x:v>Closing cash / (funding gap)</x:v>
      </x:c>
      <x:c r="N37" s="74"/>
      <x:c r="O37" s="74"/>
      <x:c r="P37" s="74"/>
      <x:c r="Q37" s="8" t="n">
        <x:f>E72</x:f>
        <x:v>2107.9375547945206</x:v>
      </x:c>
      <x:c r="R37" s="8" t="n">
        <x:f>F72</x:f>
        <x:v>2848.998640687329</x:v>
      </x:c>
      <x:c r="S37" s="8" t="n">
        <x:f>G72</x:f>
        <x:v>3737.8903186191856</x:v>
      </x:c>
      <x:c r="T37" s="8" t="n">
        <x:f>H72</x:f>
        <x:v>4791.145077133656</x:v>
      </x:c>
      <x:c r="U37" s="8" t="n">
        <x:f>I72</x:f>
        <x:v>6027.342099084679</x:v>
      </x:c>
      <x:c r="V37" s="63"/>
    </x:row>
    <x:row r="38" ht="18" customHeight="1">
      <x:c r="A38" s="1"/>
      <x:c r="B38" s="1"/>
      <x:c r="C38" s="1" t="str">
        <x:v>Diluted shares (crore)</x:v>
      </x:c>
      <x:c r="D38" s="7" t="n">
        <x:v>100</x:v>
      </x:c>
      <x:c r="E38" s="2"/>
      <x:c r="F38" s="2"/>
      <x:c r="G38" s="2"/>
      <x:c r="H38" s="2"/>
      <x:c r="I38" s="2"/>
      <x:c r="J38" s="1"/>
      <x:c r="K38" s="1"/>
      <x:c r="M38" s="63" t="str">
        <x:v>Closing book equity</x:v>
      </x:c>
      <x:c r="N38" s="74"/>
      <x:c r="O38" s="74"/>
      <x:c r="P38" s="74"/>
      <x:c r="Q38" s="8" t="n">
        <x:f>E73</x:f>
        <x:v>9653.600924657536</x:v>
      </x:c>
      <x:c r="R38" s="8" t="n">
        <x:f>F73</x:f>
        <x:v>11865.481086032536</x:v>
      </x:c>
      <x:c r="S38" s="8" t="n">
        <x:f>G73</x:f>
        <x:v>14372.530486608252</x:v>
      </x:c>
      <x:c r="T38" s="8" t="n">
        <x:f>H73</x:f>
        <x:v>17209.679327876984</x:v>
      </x:c>
      <x:c r="U38" s="8" t="n">
        <x:f>I73</x:f>
        <x:v>20416.120401097753</x:v>
      </x:c>
      <x:c r="V38" s="63"/>
    </x:row>
    <x:row r="39" ht="18" customHeight="1">
      <x:c r="A39" s="1"/>
      <x:c r="B39" s="1"/>
      <x:c r="C39" s="1" t="str">
        <x:v>WACC</x:v>
      </x:c>
      <x:c r="D39" s="25" t="n">
        <x:v>0.12</x:v>
      </x:c>
      <x:c r="E39" s="2"/>
      <x:c r="F39" s="2"/>
      <x:c r="G39" s="2"/>
      <x:c r="H39" s="2"/>
      <x:c r="I39" s="2"/>
      <x:c r="J39" s="1"/>
      <x:c r="K39" s="1"/>
      <x:c r="M39" s="63" t="str">
        <x:v>Operating cash flow after interest</x:v>
      </x:c>
      <x:c r="N39" s="74"/>
      <x:c r="O39" s="74"/>
      <x:c r="P39" s="74"/>
      <x:c r="Q39" s="8" t="n">
        <x:f>E69</x:f>
        <x:v>3550.534054794521</x:v>
      </x:c>
      <x:c r="R39" s="8" t="n">
        <x:f>F69</x:f>
        <x:v>4022.383100817809</x:v>
      </x:c>
      <x:c r="S39" s="8" t="n">
        <x:f>G69</x:f>
        <x:v>4550.080751888156</x:v>
      </x:c>
      <x:c r="T39" s="8" t="n">
        <x:f>H69</x:f>
        <x:v>5140.491558259333</x:v>
      </x:c>
      <x:c r="U39" s="8" t="n">
        <x:f>I69</x:f>
        <x:v>5801.3208000673685</x:v>
      </x:c>
      <x:c r="V39" s="63"/>
    </x:row>
    <x:row r="40" ht="18" customHeight="1">
      <x:c r="A40" s="1"/>
      <x:c r="B40" s="1"/>
      <x:c r="C40" s="1" t="str">
        <x:v>Terminal growth</x:v>
      </x:c>
      <x:c r="D40" s="25" t="n">
        <x:v>0.04</x:v>
      </x:c>
      <x:c r="E40" s="2"/>
      <x:c r="F40" s="2"/>
      <x:c r="G40" s="2"/>
      <x:c r="H40" s="2"/>
      <x:c r="I40" s="2"/>
      <x:c r="J40" s="1"/>
      <x:c r="K40" s="1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</x:row>
    <x:row r="41" ht="18" customHeight="1">
      <x:c r="A41" s="1"/>
      <x:c r="B41" s="1"/>
      <x:c r="C41" s="1" t="str">
        <x:v>Terminal incremental ROIC</x:v>
      </x:c>
      <x:c r="D41" s="25" t="n">
        <x:v>0.15</x:v>
      </x:c>
      <x:c r="E41" s="2"/>
      <x:c r="F41" s="2"/>
      <x:c r="G41" s="2"/>
      <x:c r="H41" s="2"/>
      <x:c r="I41" s="2"/>
      <x:c r="J41" s="1"/>
      <x:c r="K41" s="1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</x:row>
    <x:row r="42" ht="18" customHeight="1">
      <x:c r="A42" s="1"/>
      <x:c r="B42" s="1"/>
      <x:c r="C42" s="1" t="str">
        <x:v>Forward EV / EBITDA</x:v>
      </x:c>
      <x:c r="D42" s="55" t="n">
        <x:v>12</x:v>
      </x:c>
      <x:c r="E42" s="2"/>
      <x:c r="F42" s="2"/>
      <x:c r="G42" s="2"/>
      <x:c r="H42" s="2"/>
      <x:c r="I42" s="2"/>
      <x:c r="J42" s="1"/>
      <x:c r="K42" s="1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</x:row>
    <x:row r="43" ht="18" customHeight="1">
      <x:c r="A43" s="1"/>
      <x:c r="B43" s="1"/>
      <x:c r="C43" s="19" t="str">
        <x:v>OPERATING BUILD</x:v>
      </x:c>
      <x:c r="D43" s="20"/>
      <x:c r="E43" s="20"/>
      <x:c r="F43" s="20"/>
      <x:c r="G43" s="20"/>
      <x:c r="H43" s="20"/>
      <x:c r="I43" s="20"/>
      <x:c r="J43" s="1"/>
      <x:c r="K43" s="1"/>
      <x:c r="M43" s="64" t="str">
        <x:v>Actuals are reference inputs. Calibrate the opening balances and forecast assumptions separately.</x:v>
      </x:c>
      <x:c r="N43" s="64"/>
      <x:c r="O43" s="64"/>
      <x:c r="P43" s="64"/>
      <x:c r="Q43" s="64"/>
      <x:c r="R43" s="64"/>
      <x:c r="S43" s="64"/>
      <x:c r="T43" s="64"/>
      <x:c r="U43" s="64"/>
      <x:c r="V43" s="63"/>
    </x:row>
    <x:row r="44" ht="18" customHeight="1">
      <x:c r="A44" s="1"/>
      <x:c r="B44" s="1"/>
      <x:c r="C44" s="1" t="str">
        <x:v>Wholesale vehicles (units)</x:v>
      </x:c>
      <x:c r="D44" s="2"/>
      <x:c r="E44" s="8" t="n">
        <x:f>$D10*(1+E12)</x:f>
        <x:v>436000.00000000006</x:v>
      </x:c>
      <x:c r="F44" s="8" t="n">
        <x:f>E44*(1+F12)</x:f>
        <x:v>475240.0000000001</x:v>
      </x:c>
      <x:c r="G44" s="8" t="n">
        <x:f>F44*(1+G12)</x:f>
        <x:v>518011.60000000015</x:v>
      </x:c>
      <x:c r="H44" s="8" t="n">
        <x:f>G44*(1+H12)</x:f>
        <x:v>564632.6440000002</x:v>
      </x:c>
      <x:c r="I44" s="8" t="n">
        <x:f>H44*(1+I12)</x:f>
        <x:v>615449.5819600002</x:v>
      </x:c>
      <x:c r="J44" s="1"/>
      <x:c r="K44" s="1"/>
      <x:c r="M44" s="64"/>
      <x:c r="N44" s="64"/>
      <x:c r="O44" s="64"/>
      <x:c r="P44" s="64"/>
      <x:c r="Q44" s="64"/>
      <x:c r="R44" s="64"/>
      <x:c r="S44" s="64"/>
      <x:c r="T44" s="64"/>
      <x:c r="U44" s="64"/>
      <x:c r="V44" s="63"/>
    </x:row>
    <x:row r="45" ht="18" customHeight="1">
      <x:c r="A45" s="1"/>
      <x:c r="B45" s="1"/>
      <x:c r="C45" s="1" t="str">
        <x:v>Net realization (INR lakh per vehicle)</x:v>
      </x:c>
      <x:c r="D45" s="2"/>
      <x:c r="E45" s="8" t="n">
        <x:f>$D11*(1+E16)</x:f>
        <x:v>7.21</x:v>
      </x:c>
      <x:c r="F45" s="8" t="n">
        <x:f>E45*(1+F16)</x:f>
        <x:v>7.4263</x:v>
      </x:c>
      <x:c r="G45" s="8" t="n">
        <x:f>F45*(1+G16)</x:f>
        <x:v>7.649089000000001</x:v>
      </x:c>
      <x:c r="H45" s="8" t="n">
        <x:f>G45*(1+H16)</x:f>
        <x:v>7.878561670000001</x:v>
      </x:c>
      <x:c r="I45" s="8" t="n">
        <x:f>H45*(1+I16)</x:f>
        <x:v>8.114918520100002</x:v>
      </x:c>
      <x:c r="J45" s="1"/>
      <x:c r="K45" s="1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</x:row>
    <x:row r="46" ht="18" customHeight="1">
      <x:c r="A46" s="1"/>
      <x:c r="B46" s="1"/>
      <x:c r="C46" s="1" t="str">
        <x:v>Billable / saleable volume</x:v>
      </x:c>
      <x:c r="D46" s="2"/>
      <x:c r="E46" s="8" t="n">
        <x:f>E44*E20</x:f>
        <x:v>436000.00000000006</x:v>
      </x:c>
      <x:c r="F46" s="8" t="n">
        <x:f>F44*F20</x:f>
        <x:v>475240.0000000001</x:v>
      </x:c>
      <x:c r="G46" s="8" t="n">
        <x:f>G44*G20</x:f>
        <x:v>518011.60000000015</x:v>
      </x:c>
      <x:c r="H46" s="8" t="n">
        <x:f>H44*H20</x:f>
        <x:v>564632.6440000002</x:v>
      </x:c>
      <x:c r="I46" s="8" t="n">
        <x:f>I44*I20</x:f>
        <x:v>615449.5819600002</x:v>
      </x:c>
      <x:c r="J46" s="1"/>
      <x:c r="K46" s="1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</x:row>
    <x:row r="47" ht="18" customHeight="1">
      <x:c r="A47" s="1"/>
      <x:c r="B47" s="1"/>
      <x:c r="C47" s="38" t="str">
        <x:v>Revenue</x:v>
      </x:c>
      <x:c r="D47" s="39"/>
      <x:c r="E47" s="60" t="n">
        <x:f>E46*E45*'Controls'!$E$15/'Controls'!$E$9</x:f>
        <x:v>31435.600000000006</x:v>
      </x:c>
      <x:c r="F47" s="60" t="n">
        <x:f>F46*F45*'Controls'!$E$15/'Controls'!$E$9</x:f>
        <x:v>35292.748120000004</x:v>
      </x:c>
      <x:c r="G47" s="60" t="n">
        <x:f>G46*G45*'Controls'!$E$15/'Controls'!$E$9</x:f>
        <x:v>39623.168314324015</x:v>
      </x:c>
      <x:c r="H47" s="60" t="n">
        <x:f>H46*H45*'Controls'!$E$15/'Controls'!$E$9</x:f>
        <x:v>44484.931066491576</x:v>
      </x:c>
      <x:c r="I47" s="60" t="n">
        <x:f>I46*I45*'Controls'!$E$15/'Controls'!$E$9</x:f>
        <x:v>49943.2321083501</x:v>
      </x:c>
      <x:c r="J47" s="1"/>
      <x:c r="K47" s="1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</x:row>
    <x:row r="48" ht="25" customHeight="1">
      <x:c r="A48" s="1"/>
      <x:c r="B48" s="1"/>
      <x:c r="C48" s="19" t="str">
        <x:v>INCOME STATEMENT</x:v>
      </x:c>
      <x:c r="D48" s="20"/>
      <x:c r="E48" s="20"/>
      <x:c r="F48" s="20"/>
      <x:c r="G48" s="20"/>
      <x:c r="H48" s="20"/>
      <x:c r="I48" s="20"/>
      <x:c r="J48" s="1"/>
      <x:c r="K48" s="1"/>
      <x:c r="M48" s="82" t="str">
        <x:v>DCF equity value | rows WACC / columns terminal growth</x:v>
      </x:c>
      <x:c r="N48" s="82"/>
      <x:c r="O48" s="82"/>
      <x:c r="P48" s="82"/>
      <x:c r="Q48" s="82"/>
      <x:c r="R48" s="82"/>
      <x:c r="S48" s="63"/>
      <x:c r="T48" s="63"/>
      <x:c r="U48" s="63"/>
      <x:c r="V48" s="63"/>
    </x:row>
    <x:row r="49" ht="18" customHeight="1">
      <x:c r="A49" s="1"/>
      <x:c r="B49" s="1"/>
      <x:c r="C49" s="1" t="str">
        <x:v>Direct cash costs</x:v>
      </x:c>
      <x:c r="D49" s="2"/>
      <x:c r="E49" s="8" t="n">
        <x:f>E47*E21</x:f>
        <x:v>22633.632000000005</x:v>
      </x:c>
      <x:c r="F49" s="8" t="n">
        <x:f>F47*F21</x:f>
        <x:v>25410.778646400002</x:v>
      </x:c>
      <x:c r="G49" s="8" t="n">
        <x:f>G47*G21</x:f>
        <x:v>28528.68118631329</x:v>
      </x:c>
      <x:c r="H49" s="8" t="n">
        <x:f>H47*H21</x:f>
        <x:v>32029.150367873932</x:v>
      </x:c>
      <x:c r="I49" s="8" t="n">
        <x:f>I47*I21</x:f>
        <x:v>35959.127118012075</x:v>
      </x:c>
      <x:c r="J49" s="1"/>
      <x:c r="K49" s="1"/>
      <x:c r="M49" s="63"/>
      <x:c r="N49" s="70" t="n">
        <x:f>$D$40+-0.01</x:f>
        <x:v>0.03</x:v>
      </x:c>
      <x:c r="O49" s="70" t="n">
        <x:f>$D$40+-0.005</x:f>
        <x:v>0.035</x:v>
      </x:c>
      <x:c r="P49" s="70" t="n">
        <x:f>$D$40+0</x:f>
        <x:v>0.04</x:v>
      </x:c>
      <x:c r="Q49" s="70" t="n">
        <x:f>$D$40+0.005</x:f>
        <x:v>0.045</x:v>
      </x:c>
      <x:c r="R49" s="70" t="n">
        <x:f>$D$40+0.01</x:f>
        <x:v>0.05</x:v>
      </x:c>
      <x:c r="S49" s="63"/>
      <x:c r="T49" s="63"/>
      <x:c r="U49" s="63"/>
      <x:c r="V49" s="63"/>
    </x:row>
    <x:row r="50" ht="18" customHeight="1">
      <x:c r="A50" s="1"/>
      <x:c r="B50" s="1"/>
      <x:c r="C50" s="1" t="str">
        <x:v>Gross profit</x:v>
      </x:c>
      <x:c r="D50" s="2"/>
      <x:c r="E50" s="8" t="n">
        <x:f>E47-E49</x:f>
        <x:v>8801.968</x:v>
      </x:c>
      <x:c r="F50" s="8" t="n">
        <x:f>F47-F49</x:f>
        <x:v>9881.969473600002</x:v>
      </x:c>
      <x:c r="G50" s="8" t="n">
        <x:f>G47-G49</x:f>
        <x:v>11094.487128010725</x:v>
      </x:c>
      <x:c r="H50" s="8" t="n">
        <x:f>H47-H49</x:f>
        <x:v>12455.780698617644</x:v>
      </x:c>
      <x:c r="I50" s="8" t="n">
        <x:f>I47-I49</x:f>
        <x:v>13984.104990338026</x:v>
      </x:c>
      <x:c r="J50" s="1"/>
      <x:c r="K50" s="1"/>
      <x:c r="M50" s="70" t="n">
        <x:f>$D$39+-0.02</x:f>
        <x:v>0.09999999999999999</x:v>
      </x:c>
      <x:c r="N50" s="8" t="n">
        <x:f>IF($M50&lt;=N$49,"n/a",IF(N$49&gt;$D$41,"n/a",E77/(1+$M50)^1+F77/(1+$M50)^2+G77/(1+$M50)^3+H77/(1+$M50)^4+I77/(1+$M50)^5+I76*(1+N$49)*(1-N$49/D41)/($M50-N$49)/(1+$M50)^5-D35+D36))</x:f>
        <x:v>38846.78704461552</x:v>
      </x:c>
      <x:c r="O50" s="8" t="n">
        <x:f>IF($M50&lt;=O$49,"n/a",IF(O$49&gt;$D$41,"n/a",E77/(1+$M50)^1+F77/(1+$M50)^2+G77/(1+$M50)^3+H77/(1+$M50)^4+I77/(1+$M50)^5+I76*(1+O$49)*(1-O$49/D41)/($M50-O$49)/(1+$M50)^5-D35+D36))</x:f>
        <x:v>40030.79480410203</x:v>
      </x:c>
      <x:c r="P50" s="8" t="n">
        <x:f>IF($M50&lt;=P$49,"n/a",IF(P$49&gt;$D$41,"n/a",E77/(1+$M50)^1+F77/(1+$M50)^2+G77/(1+$M50)^3+H77/(1+$M50)^4+I77/(1+$M50)^5+I76*(1+P$49)*(1-P$49/D41)/($M50-P$49)/(1+$M50)^5-D35+D36))</x:f>
        <x:v>41397.05956546863</x:v>
      </x:c>
      <x:c r="Q50" s="8" t="n">
        <x:f>IF($M50&lt;=Q$49,"n/a",IF(Q$49&gt;$D$41,"n/a",E77/(1+$M50)^1+F77/(1+$M50)^2+G77/(1+$M50)^3+H77/(1+$M50)^4+I77/(1+$M50)^5+I76*(1+Q$49)*(1-Q$49/D41)/($M50-Q$49)/(1+$M50)^5-D35+D36))</x:f>
        <x:v>42995.28778377353</x:v>
      </x:c>
      <x:c r="R50" s="8" t="n">
        <x:f>IF($M50&lt;=R$49,"n/a",IF(R$49&gt;$D$41,"n/a",E77/(1+$M50)^1+F77/(1+$M50)^2+G77/(1+$M50)^3+H77/(1+$M50)^4+I77/(1+$M50)^5+I76*(1+R$49)*(1-R$49/D41)/($M50-R$49)/(1+$M50)^5-D35+D36))</x:f>
        <x:v>44895.06849609824</x:v>
      </x:c>
      <x:c r="S50" s="63"/>
      <x:c r="T50" s="63"/>
      <x:c r="U50" s="63"/>
      <x:c r="V50" s="63"/>
    </x:row>
    <x:row r="51" ht="18" customHeight="1">
      <x:c r="A51" s="1"/>
      <x:c r="B51" s="1"/>
      <x:c r="C51" s="1" t="str">
        <x:v>Other cash operating costs</x:v>
      </x:c>
      <x:c r="D51" s="2"/>
      <x:c r="E51" s="8" t="n">
        <x:f>E47*E22</x:f>
        <x:v>4086.628000000001</x:v>
      </x:c>
      <x:c r="F51" s="8" t="n">
        <x:f>F47*F22</x:f>
        <x:v>4588.057255600001</x:v>
      </x:c>
      <x:c r="G51" s="8" t="n">
        <x:f>G47*G22</x:f>
        <x:v>5151.011880862122</x:v>
      </x:c>
      <x:c r="H51" s="8" t="n">
        <x:f>H47*H22</x:f>
        <x:v>5783.041038643905</x:v>
      </x:c>
      <x:c r="I51" s="8" t="n">
        <x:f>I47*I22</x:f>
        <x:v>6492.620174085513</x:v>
      </x:c>
      <x:c r="J51" s="1"/>
      <x:c r="K51" s="1"/>
      <x:c r="M51" s="70" t="n">
        <x:f>$D$39+-0.01</x:f>
        <x:v>0.11</x:v>
      </x:c>
      <x:c r="N51" s="8" t="n">
        <x:f>IF($M51&lt;=N$49,"n/a",IF(N$49&gt;$D$41,"n/a",E77/(1+$M51)^1+F77/(1+$M51)^2+G77/(1+$M51)^3+H77/(1+$M51)^4+I77/(1+$M51)^5+I76*(1+N$49)*(1-N$49/D41)/($M51-N$49)/(1+$M51)^5-D35+D36))</x:f>
        <x:v>33402.839497975176</x:v>
      </x:c>
      <x:c r="O51" s="8" t="n">
        <x:f>IF($M51&lt;=O$49,"n/a",IF(O$49&gt;$D$41,"n/a",E77/(1+$M51)^1+F77/(1+$M51)^2+G77/(1+$M51)^3+H77/(1+$M51)^4+I77/(1+$M51)^5+I76*(1+O$49)*(1-O$49/D41)/($M51-O$49)/(1+$M51)^5-D35+D36))</x:f>
        <x:v>34129.132730228506</x:v>
      </x:c>
      <x:c r="P51" s="8" t="n">
        <x:f>IF($M51&lt;=P$49,"n/a",IF(P$49&gt;$D$41,"n/a",E77/(1+$M51)^1+F77/(1+$M51)^2+G77/(1+$M51)^3+H77/(1+$M51)^4+I77/(1+$M51)^5+I76*(1+P$49)*(1-P$49/D41)/($M51-P$49)/(1+$M51)^5-D35+D36))</x:f>
        <x:v>34946.83021279944</x:v>
      </x:c>
      <x:c r="Q51" s="8" t="n">
        <x:f>IF($M51&lt;=Q$49,"n/a",IF(Q$49&gt;$D$41,"n/a",E77/(1+$M51)^1+F77/(1+$M51)^2+G77/(1+$M51)^3+H77/(1+$M51)^4+I77/(1+$M51)^5+I76*(1+Q$49)*(1-Q$49/D41)/($M51-Q$49)/(1+$M51)^5-D35+D36))</x:f>
        <x:v>35877.02523422279</x:v>
      </x:c>
      <x:c r="R51" s="8" t="n">
        <x:f>IF($M51&lt;=R$49,"n/a",IF(R$49&gt;$D$41,"n/a",E77/(1+$M51)^1+F77/(1+$M51)^2+G77/(1+$M51)^3+H77/(1+$M51)^4+I77/(1+$M51)^5+I76*(1+R$49)*(1-R$49/D41)/($M51-R$49)/(1+$M51)^5-D35+D36))</x:f>
        <x:v>36947.842179211686</x:v>
      </x:c>
      <x:c r="S51" s="63"/>
      <x:c r="T51" s="63"/>
      <x:c r="U51" s="63"/>
      <x:c r="V51" s="63"/>
    </x:row>
    <x:row r="52" ht="18" customHeight="1">
      <x:c r="A52" s="1"/>
      <x:c r="B52" s="1"/>
      <x:c r="C52" s="38" t="str">
        <x:v>EBITDA</x:v>
      </x:c>
      <x:c r="D52" s="39"/>
      <x:c r="E52" s="41" t="n">
        <x:f>E50-E51</x:f>
        <x:v>4715.34</x:v>
      </x:c>
      <x:c r="F52" s="41" t="n">
        <x:f>F50-F51</x:f>
        <x:v>5293.912218000001</x:v>
      </x:c>
      <x:c r="G52" s="41" t="n">
        <x:f>G50-G51</x:f>
        <x:v>5943.475247148604</x:v>
      </x:c>
      <x:c r="H52" s="41" t="n">
        <x:f>H50-H51</x:f>
        <x:v>6672.7396599737385</x:v>
      </x:c>
      <x:c r="I52" s="41" t="n">
        <x:f>I50-I51</x:f>
        <x:v>7491.484816252513</x:v>
      </x:c>
      <x:c r="J52" s="1"/>
      <x:c r="K52" s="1"/>
      <x:c r="M52" s="70" t="n">
        <x:f>$D$39+0</x:f>
        <x:v>0.12</x:v>
      </x:c>
      <x:c r="N52" s="8" t="n">
        <x:f>IF($M52&lt;=N$49,"n/a",IF(N$49&gt;$D$41,"n/a",E77/(1+$M52)^1+F77/(1+$M52)^2+G77/(1+$M52)^3+H77/(1+$M52)^4+I77/(1+$M52)^5+I76*(1+N$49)*(1-N$49/D41)/($M52-N$49)/(1+$M52)^5-D35+D36))</x:f>
        <x:v>29187.824230113634</x:v>
      </x:c>
      <x:c r="O52" s="8" t="n">
        <x:f>IF($M52&lt;=O$49,"n/a",IF(O$49&gt;$D$41,"n/a",E77/(1+$M52)^1+F77/(1+$M52)^2+G77/(1+$M52)^3+H77/(1+$M52)^4+I77/(1+$M52)^5+I76*(1+O$49)*(1-O$49/D41)/($M52-O$49)/(1+$M52)^5-D35+D36))</x:f>
        <x:v>29633.603644740324</x:v>
      </x:c>
      <x:c r="P52" s="8" t="n">
        <x:f>IF($M52&lt;=P$49,"n/a",IF(P$49&gt;$D$41,"n/a",E77/(1+$M52)^1+F77/(1+$M52)^2+G77/(1+$M52)^3+H77/(1+$M52)^4+I77/(1+$M52)^5+I76*(1+P$49)*(1-P$49/D41)/($M52-P$49)/(1+$M52)^5-D35+D36))</x:f>
        <x:v>30124.771508856284</x:v>
      </x:c>
      <x:c r="Q52" s="8" t="n">
        <x:f>IF($M52&lt;=Q$49,"n/a",IF(Q$49&gt;$D$41,"n/a",E77/(1+$M52)^1+F77/(1+$M52)^2+G77/(1+$M52)^3+H77/(1+$M52)^4+I77/(1+$M52)^5+I76*(1+Q$49)*(1-Q$49/D41)/($M52-Q$49)/(1+$M52)^5-D35+D36))</x:f>
        <x:v>30670.40551235935</x:v>
      </x:c>
      <x:c r="R52" s="8" t="n">
        <x:f>IF($M52&lt;=R$49,"n/a",IF(R$49&gt;$D$41,"n/a",E77/(1+$M52)^1+F77/(1+$M52)^2+G77/(1+$M52)^3+H77/(1+$M52)^4+I77/(1+$M52)^5+I76*(1+R$49)*(1-R$49/D41)/($M52-R$49)/(1+$M52)^5-D35+D36))</x:f>
        <x:v>31282.176970832494</x:v>
      </x:c>
      <x:c r="S52" s="63"/>
      <x:c r="T52" s="63"/>
      <x:c r="U52" s="63"/>
      <x:c r="V52" s="63"/>
    </x:row>
    <x:row r="53" ht="18" customHeight="1">
      <x:c r="A53" s="1"/>
      <x:c r="B53" s="1"/>
      <x:c r="C53" s="1" t="str">
        <x:v>Depreciation and amortization</x:v>
      </x:c>
      <x:c r="D53" s="2"/>
      <x:c r="E53" s="8" t="n">
        <x:f>E134</x:f>
        <x:v>1040</x:v>
      </x:c>
      <x:c r="F53" s="8" t="n">
        <x:f>F134</x:f>
        <x:v>1170.43082</x:v>
      </x:c>
      <x:c r="G53" s="8" t="n">
        <x:f>G134</x:f>
        <x:v>1316.4985350140003</x:v>
      </x:c>
      <x:c r="H53" s="8" t="n">
        <x:f>H134</x:f>
        <x:v>1480.1694977182183</x:v>
      </x:c>
      <x:c r="I53" s="8" t="n">
        <x:f>I134</x:f>
        <x:v>1663.645130526704</x:v>
      </x:c>
      <x:c r="J53" s="1"/>
      <x:c r="K53" s="1"/>
      <x:c r="M53" s="70" t="n">
        <x:f>$D$39+0.01</x:f>
        <x:v>0.13</x:v>
      </x:c>
      <x:c r="N53" s="8" t="n">
        <x:f>IF($M53&lt;=N$49,"n/a",IF(N$49&gt;$D$41,"n/a",E77/(1+$M53)^1+F77/(1+$M53)^2+G77/(1+$M53)^3+H77/(1+$M53)^4+I77/(1+$M53)^5+I76*(1+N$49)*(1-N$49/D41)/($M53-N$49)/(1+$M53)^5-D35+D36))</x:f>
        <x:v>25832.08073199723</x:v>
      </x:c>
      <x:c r="O53" s="8" t="n">
        <x:f>IF($M53&lt;=O$49,"n/a",IF(O$49&gt;$D$41,"n/a",E77/(1+$M53)^1+F77/(1+$M53)^2+G77/(1+$M53)^3+H77/(1+$M53)^4+I77/(1+$M53)^5+I76*(1+O$49)*(1-O$49/D41)/($M53-O$49)/(1+$M53)^5-D35+D36))</x:f>
        <x:v>26099.28095416657</x:v>
      </x:c>
      <x:c r="P53" s="8" t="n">
        <x:f>IF($M53&lt;=P$49,"n/a",IF(P$49&gt;$D$41,"n/a",E77/(1+$M53)^1+F77/(1+$M53)^2+G77/(1+$M53)^3+H77/(1+$M53)^4+I77/(1+$M53)^5+I76*(1+P$49)*(1-P$49/D41)/($M53-P$49)/(1+$M53)^5-D35+D36))</x:f>
        <x:v>26387.383651313517</x:v>
      </x:c>
      <x:c r="Q53" s="8" t="n">
        <x:f>IF($M53&lt;=Q$49,"n/a",IF(Q$49&gt;$D$41,"n/a",E77/(1+$M53)^1+F77/(1+$M53)^2+G77/(1+$M53)^3+H77/(1+$M53)^4+I77/(1+$M53)^5+I76*(1+Q$49)*(1-Q$49/D41)/($M53-Q$49)/(1+$M53)^5-D35+D36))</x:f>
        <x:v>26700.077495492915</x:v>
      </x:c>
      <x:c r="R53" s="8" t="n">
        <x:f>IF($M53&lt;=R$49,"n/a",IF(R$49&gt;$D$41,"n/a",E77/(1+$M53)^1+F77/(1+$M53)^2+G77/(1+$M53)^3+H77/(1+$M53)^4+I77/(1+$M53)^5+I76*(1+R$49)*(1-R$49/D41)/($M53-R$49)/(1+$M53)^5-D35+D36))</x:f>
        <x:v>27041.97332677337</x:v>
      </x:c>
      <x:c r="S53" s="63"/>
      <x:c r="T53" s="63"/>
      <x:c r="U53" s="63"/>
      <x:c r="V53" s="63"/>
    </x:row>
    <x:row r="54" ht="18" customHeight="1">
      <x:c r="A54" s="1"/>
      <x:c r="B54" s="1"/>
      <x:c r="C54" s="1" t="str">
        <x:v>EBIT</x:v>
      </x:c>
      <x:c r="D54" s="2"/>
      <x:c r="E54" s="8" t="n">
        <x:f>E52-E53</x:f>
        <x:v>3675.34</x:v>
      </x:c>
      <x:c r="F54" s="8" t="n">
        <x:f>F52-F53</x:f>
        <x:v>4123.481398000002</x:v>
      </x:c>
      <x:c r="G54" s="8" t="n">
        <x:f>G52-G53</x:f>
        <x:v>4626.976712134603</x:v>
      </x:c>
      <x:c r="H54" s="8" t="n">
        <x:f>H52-H53</x:f>
        <x:v>5192.570162255521</x:v>
      </x:c>
      <x:c r="I54" s="8" t="n">
        <x:f>I52-I53</x:f>
        <x:v>5827.839685725809</x:v>
      </x:c>
      <x:c r="J54" s="1"/>
      <x:c r="K54" s="1"/>
      <x:c r="M54" s="70" t="n">
        <x:f>$D$39+0.02</x:f>
        <x:v>0.13999999999999999</x:v>
      </x:c>
      <x:c r="N54" s="8" t="n">
        <x:f>IF($M54&lt;=N$49,"n/a",IF(N$49&gt;$D$41,"n/a",E77/(1+$M54)^1+F77/(1+$M54)^2+G77/(1+$M54)^3+H77/(1+$M54)^4+I77/(1+$M54)^5+I76*(1+N$49)*(1-N$49/D41)/($M54-N$49)/(1+$M54)^5-D35+D36))</x:f>
        <x:v>23100.42937009374</x:v>
      </x:c>
      <x:c r="O54" s="8" t="n">
        <x:f>IF($M54&lt;=O$49,"n/a",IF(O$49&gt;$D$41,"n/a",E77/(1+$M54)^1+F77/(1+$M54)^2+G77/(1+$M54)^3+H77/(1+$M54)^4+I77/(1+$M54)^5+I76*(1+O$49)*(1-O$49/D41)/($M54-O$49)/(1+$M54)^5-D35+D36))</x:f>
        <x:v>23250.78650937712</x:v>
      </x:c>
      <x:c r="P54" s="8" t="n">
        <x:f>IF($M54&lt;=P$49,"n/a",IF(P$49&gt;$D$41,"n/a",E77/(1+$M54)^1+F77/(1+$M54)^2+G77/(1+$M54)^3+H77/(1+$M54)^4+I77/(1+$M54)^5+I76*(1+P$49)*(1-P$49/D41)/($M54-P$49)/(1+$M54)^5-D35+D36))</x:f>
        <x:v>23408.61236930465</x:v>
      </x:c>
      <x:c r="Q54" s="8" t="n">
        <x:f>IF($M54&lt;=Q$49,"n/a",IF(Q$49&gt;$D$41,"n/a",E77/(1+$M54)^1+F77/(1+$M54)^2+G77/(1+$M54)^3+H77/(1+$M54)^4+I77/(1+$M54)^5+I76*(1+Q$49)*(1-Q$49/D41)/($M54-Q$49)/(1+$M54)^5-D35+D36))</x:f>
        <x:v>23575.086221556965</x:v>
      </x:c>
      <x:c r="R54" s="8" t="n">
        <x:f>IF($M54&lt;=R$49,"n/a",IF(R$49&gt;$D$41,"n/a",E77/(1+$M54)^1+F77/(1+$M54)^2+G77/(1+$M54)^3+H77/(1+$M54)^4+I77/(1+$M54)^5+I76*(1+R$49)*(1-R$49/D41)/($M54-R$49)/(1+$M54)^5-D35+D36))</x:f>
        <x:v>23751.649398188216</x:v>
      </x:c>
      <x:c r="S54" s="63"/>
      <x:c r="T54" s="63"/>
      <x:c r="U54" s="63"/>
      <x:c r="V54" s="63"/>
    </x:row>
    <x:row r="55" ht="18" customHeight="1">
      <x:c r="A55" s="1"/>
      <x:c r="B55" s="1"/>
      <x:c r="C55" s="1" t="str">
        <x:v>Interest expense</x:v>
      </x:c>
      <x:c r="D55" s="2"/>
      <x:c r="E55" s="8" t="n">
        <x:f>E125</x:f>
        <x:v>212.50000000000003</x:v>
      </x:c>
      <x:c r="F55" s="8" t="n">
        <x:f>F125</x:f>
        <x:v>191.25</x:v>
      </x:c>
      <x:c r="G55" s="8" t="n">
        <x:f>G125</x:f>
        <x:v>170</x:v>
      </x:c>
      <x:c r="H55" s="8" t="n">
        <x:f>H125</x:f>
        <x:v>148.75</x:v>
      </x:c>
      <x:c r="I55" s="8" t="n">
        <x:f>I125</x:f>
        <x:v>127.50000000000001</x:v>
      </x:c>
      <x:c r="J55" s="1"/>
      <x:c r="K55" s="1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</x:row>
    <x:row r="56" ht="18" customHeight="1">
      <x:c r="A56" s="1"/>
      <x:c r="B56" s="1"/>
      <x:c r="C56" s="1" t="str">
        <x:v>Profit before tax</x:v>
      </x:c>
      <x:c r="D56" s="2"/>
      <x:c r="E56" s="8" t="n">
        <x:f>E54-E55</x:f>
        <x:v>3462.84</x:v>
      </x:c>
      <x:c r="F56" s="8" t="n">
        <x:f>F54-F55</x:f>
        <x:v>3932.2313980000017</x:v>
      </x:c>
      <x:c r="G56" s="8" t="n">
        <x:f>G54-G55</x:f>
        <x:v>4456.976712134603</x:v>
      </x:c>
      <x:c r="H56" s="8" t="n">
        <x:f>H54-H55</x:f>
        <x:v>5043.820162255521</x:v>
      </x:c>
      <x:c r="I56" s="8" t="n">
        <x:f>I54-I55</x:f>
        <x:v>5700.339685725809</x:v>
      </x:c>
      <x:c r="J56" s="1"/>
      <x:c r="K56" s="1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</x:row>
    <x:row r="57" ht="18" customHeight="1">
      <x:c r="A57" s="1"/>
      <x:c r="B57" s="1"/>
      <x:c r="C57" s="1" t="str">
        <x:v>Cash income tax</x:v>
      </x:c>
      <x:c r="D57" s="2"/>
      <x:c r="E57" s="8" t="n">
        <x:f>E144</x:f>
        <x:v>865.71</x:v>
      </x:c>
      <x:c r="F57" s="8" t="n">
        <x:f>F144</x:f>
        <x:v>983.0578495000004</x:v>
      </x:c>
      <x:c r="G57" s="8" t="n">
        <x:f>G144</x:f>
        <x:v>1114.2441780336508</x:v>
      </x:c>
      <x:c r="H57" s="8" t="n">
        <x:f>H144</x:f>
        <x:v>1260.9550405638802</x:v>
      </x:c>
      <x:c r="I57" s="8" t="n">
        <x:f>I144</x:f>
        <x:v>1425.0849214314524</x:v>
      </x:c>
      <x:c r="J57" s="1"/>
      <x:c r="K57" s="1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</x:row>
    <x:row r="58" ht="25" customHeight="1">
      <x:c r="A58" s="1"/>
      <x:c r="B58" s="1"/>
      <x:c r="C58" s="38" t="str">
        <x:v>Profit after tax</x:v>
      </x:c>
      <x:c r="D58" s="39"/>
      <x:c r="E58" s="41" t="n">
        <x:f>E56-E57</x:f>
        <x:v>2597.13</x:v>
      </x:c>
      <x:c r="F58" s="41" t="n">
        <x:f>F56-F57</x:f>
        <x:v>2949.1735485000013</x:v>
      </x:c>
      <x:c r="G58" s="41" t="n">
        <x:f>G56-G57</x:f>
        <x:v>3342.7325341009523</x:v>
      </x:c>
      <x:c r="H58" s="41" t="n">
        <x:f>H56-H57</x:f>
        <x:v>3782.8651216916405</x:v>
      </x:c>
      <x:c r="I58" s="41" t="n">
        <x:f>I56-I57</x:f>
        <x:v>4275.254764294357</x:v>
      </x:c>
      <x:c r="J58" s="1"/>
      <x:c r="K58" s="1"/>
      <x:c r="M58" s="82" t="str">
        <x:v>Forward equity value | rows EBITDA / columns EV/EBITDA</x:v>
      </x:c>
      <x:c r="N58" s="82"/>
      <x:c r="O58" s="82"/>
      <x:c r="P58" s="82"/>
      <x:c r="Q58" s="82"/>
      <x:c r="R58" s="82"/>
      <x:c r="S58" s="63"/>
      <x:c r="T58" s="63"/>
      <x:c r="U58" s="63"/>
      <x:c r="V58" s="63"/>
    </x:row>
    <x:row r="59" ht="18" customHeight="1">
      <x:c r="A59" s="1"/>
      <x:c r="B59" s="1"/>
      <x:c r="C59" s="19" t="str">
        <x:v>WORKING CAPITAL AND ASSET SCHEDULES</x:v>
      </x:c>
      <x:c r="D59" s="20"/>
      <x:c r="E59" s="20"/>
      <x:c r="F59" s="20"/>
      <x:c r="G59" s="20"/>
      <x:c r="H59" s="20"/>
      <x:c r="I59" s="20"/>
      <x:c r="J59" s="1"/>
      <x:c r="K59" s="1"/>
      <x:c r="M59" s="63"/>
      <x:c r="N59" s="78" t="n">
        <x:f>MAX(0,D42+-2)</x:f>
        <x:v>10</x:v>
      </x:c>
      <x:c r="O59" s="78" t="n">
        <x:f>MAX(0,D42+-1)</x:f>
        <x:v>11</x:v>
      </x:c>
      <x:c r="P59" s="78" t="n">
        <x:f>MAX(0,D42+0)</x:f>
        <x:v>12</x:v>
      </x:c>
      <x:c r="Q59" s="78" t="n">
        <x:f>MAX(0,D42+1)</x:f>
        <x:v>13</x:v>
      </x:c>
      <x:c r="R59" s="78" t="n">
        <x:f>MAX(0,D42+2)</x:f>
        <x:v>14</x:v>
      </x:c>
      <x:c r="S59" s="63"/>
      <x:c r="T59" s="63"/>
      <x:c r="U59" s="63"/>
      <x:c r="V59" s="63"/>
    </x:row>
    <x:row r="60" ht="18" customHeight="1">
      <x:c r="A60" s="1"/>
      <x:c r="B60" s="1"/>
      <x:c r="C60" s="1" t="str">
        <x:v>Trade receivables</x:v>
      </x:c>
      <x:c r="D60" s="2"/>
      <x:c r="E60" s="10" t="n">
        <x:f>E47*E25/'Controls'!$E$11</x:f>
        <x:v>1722.4986301369865</x:v>
      </x:c>
      <x:c r="F60" s="10" t="n">
        <x:f>F47*F25/'Controls'!$E$11</x:f>
        <x:v>1933.8492120547946</x:v>
      </x:c>
      <x:c r="G60" s="10" t="n">
        <x:f>G47*G25/'Controls'!$E$11</x:f>
        <x:v>2171.1325103739186</x:v>
      </x:c>
      <x:c r="H60" s="10" t="n">
        <x:f>H47*H25/'Controls'!$E$11</x:f>
        <x:v>2437.5304693967987</x:v>
      </x:c>
      <x:c r="I60" s="10" t="n">
        <x:f>I47*I25/'Controls'!$E$11</x:f>
        <x:v>2736.615457991786</x:v>
      </x:c>
      <x:c r="J60" s="1"/>
      <x:c r="K60" s="1"/>
      <x:c r="M60" s="8" t="n">
        <x:f>E52*0.8</x:f>
        <x:v>3772.2720000000004</x:v>
      </x:c>
      <x:c r="N60" s="8" t="n">
        <x:f>$M60*N$59-D35+D36</x:f>
        <x:v>36722.72</x:v>
      </x:c>
      <x:c r="O60" s="8" t="n">
        <x:f>$M60*O$59-D35+D36</x:f>
        <x:v>40494.992000000006</x:v>
      </x:c>
      <x:c r="P60" s="8" t="n">
        <x:f>$M60*P$59-D35+D36</x:f>
        <x:v>44267.264</x:v>
      </x:c>
      <x:c r="Q60" s="8" t="n">
        <x:f>$M60*Q$59-D35+D36</x:f>
        <x:v>48039.53600000001</x:v>
      </x:c>
      <x:c r="R60" s="8" t="n">
        <x:f>$M60*R$59-D35+D36</x:f>
        <x:v>51811.808000000005</x:v>
      </x:c>
      <x:c r="S60" s="63"/>
      <x:c r="T60" s="63"/>
      <x:c r="U60" s="63"/>
      <x:c r="V60" s="63"/>
    </x:row>
    <x:row r="61" ht="18" customHeight="1">
      <x:c r="A61" s="1"/>
      <x:c r="B61" s="1"/>
      <x:c r="C61" s="1" t="str">
        <x:v>Inventory</x:v>
      </x:c>
      <x:c r="D61" s="2"/>
      <x:c r="E61" s="10" t="n">
        <x:f>E49*E26/'Controls'!$E$11</x:f>
        <x:v>2170.3482739726032</x:v>
      </x:c>
      <x:c r="F61" s="10" t="n">
        <x:f>F49*F26/'Controls'!$E$11</x:f>
        <x:v>2436.6500071890414</x:v>
      </x:c>
      <x:c r="G61" s="10" t="n">
        <x:f>G49*G26/'Controls'!$E$11</x:f>
        <x:v>2735.626963071137</x:v>
      </x:c>
      <x:c r="H61" s="10" t="n">
        <x:f>H49*H26/'Controls'!$E$11</x:f>
        <x:v>3071.2883914399663</x:v>
      </x:c>
      <x:c r="I61" s="10" t="n">
        <x:f>I49*I26/'Controls'!$E$11</x:f>
        <x:v>3448.135477069651</x:v>
      </x:c>
      <x:c r="J61" s="1"/>
      <x:c r="K61" s="1"/>
      <x:c r="M61" s="8" t="n">
        <x:f>E52*0.9</x:f>
        <x:v>4243.8060000000005</x:v>
      </x:c>
      <x:c r="N61" s="8" t="n">
        <x:f>$M61*N$59-D35+D36</x:f>
        <x:v>41438.060000000005</x:v>
      </x:c>
      <x:c r="O61" s="8" t="n">
        <x:f>$M61*O$59-D35+D36</x:f>
        <x:v>45681.86600000001</x:v>
      </x:c>
      <x:c r="P61" s="8" t="n">
        <x:f>$M61*P$59-D35+D36</x:f>
        <x:v>49925.672000000006</x:v>
      </x:c>
      <x:c r="Q61" s="8" t="n">
        <x:f>$M61*Q$59-D35+D36</x:f>
        <x:v>54169.478</x:v>
      </x:c>
      <x:c r="R61" s="8" t="n">
        <x:f>$M61*R$59-D35+D36</x:f>
        <x:v>58413.28400000001</x:v>
      </x:c>
      <x:c r="S61" s="63"/>
      <x:c r="T61" s="63"/>
      <x:c r="U61" s="63"/>
      <x:c r="V61" s="63"/>
    </x:row>
    <x:row r="62" ht="18" customHeight="1">
      <x:c r="A62" s="1"/>
      <x:c r="B62" s="1"/>
      <x:c r="C62" s="1" t="str">
        <x:v>Trade payables</x:v>
      </x:c>
      <x:c r="D62" s="2"/>
      <x:c r="E62" s="10" t="n">
        <x:f>E49*E27/'Controls'!$E$11</x:f>
        <x:v>3100.4975342465764</x:v>
      </x:c>
      <x:c r="F62" s="10" t="n">
        <x:f>F49*F27/'Controls'!$E$11</x:f>
        <x:v>3480.9285816986303</x:v>
      </x:c>
      <x:c r="G62" s="10" t="n">
        <x:f>G49*G27/'Controls'!$E$11</x:f>
        <x:v>3908.038518673053</x:v>
      </x:c>
      <x:c r="H62" s="10" t="n">
        <x:f>H49*H27/'Controls'!$E$11</x:f>
        <x:v>4387.554844914237</x:v>
      </x:c>
      <x:c r="I62" s="10" t="n">
        <x:f>I49*I27/'Controls'!$E$11</x:f>
        <x:v>4925.907824385216</x:v>
      </x:c>
      <x:c r="J62" s="1"/>
      <x:c r="K62" s="1"/>
      <x:c r="M62" s="8" t="n">
        <x:f>E52*1</x:f>
        <x:v>4715.34</x:v>
      </x:c>
      <x:c r="N62" s="8" t="n">
        <x:f>$M62*N$59-D35+D36</x:f>
        <x:v>46153.4</x:v>
      </x:c>
      <x:c r="O62" s="8" t="n">
        <x:f>$M62*O$59-D35+D36</x:f>
        <x:v>50868.740000000005</x:v>
      </x:c>
      <x:c r="P62" s="8" t="n">
        <x:f>$M62*P$59-D35+D36</x:f>
        <x:v>55584.08</x:v>
      </x:c>
      <x:c r="Q62" s="8" t="n">
        <x:f>$M62*Q$59-D35+D36</x:f>
        <x:v>60299.42</x:v>
      </x:c>
      <x:c r="R62" s="8" t="n">
        <x:f>$M62*R$59-D35+D36</x:f>
        <x:v>65014.76000000001</x:v>
      </x:c>
      <x:c r="S62" s="63"/>
      <x:c r="T62" s="63"/>
      <x:c r="U62" s="63"/>
      <x:c r="V62" s="63"/>
    </x:row>
    <x:row r="63" ht="18" customHeight="1">
      <x:c r="A63" s="1"/>
      <x:c r="B63" s="1"/>
      <x:c r="C63" s="1" t="str">
        <x:v>Net working capital</x:v>
      </x:c>
      <x:c r="D63" s="2"/>
      <x:c r="E63" s="8" t="n">
        <x:f>E60+E61-E62</x:f>
        <x:v>792.3493698630132</x:v>
      </x:c>
      <x:c r="F63" s="8" t="n">
        <x:f>F60+F61-F62</x:f>
        <x:v>889.5706375452055</x:v>
      </x:c>
      <x:c r="G63" s="8" t="n">
        <x:f>G60+G61-G62</x:f>
        <x:v>998.7209547720026</x:v>
      </x:c>
      <x:c r="H63" s="8" t="n">
        <x:f>H60+H61-H62</x:f>
        <x:v>1121.2640159225284</x:v>
      </x:c>
      <x:c r="I63" s="8" t="n">
        <x:f>I60+I61-I62</x:f>
        <x:v>1258.843110676221</x:v>
      </x:c>
      <x:c r="J63" s="1"/>
      <x:c r="K63" s="1"/>
      <x:c r="M63" s="8" t="n">
        <x:f>E52*1.1</x:f>
        <x:v>5186.874000000001</x:v>
      </x:c>
      <x:c r="N63" s="8" t="n">
        <x:f>$M63*N$59-D35+D36</x:f>
        <x:v>50868.740000000005</x:v>
      </x:c>
      <x:c r="O63" s="8" t="n">
        <x:f>$M63*O$59-D35+D36</x:f>
        <x:v>56055.61400000001</x:v>
      </x:c>
      <x:c r="P63" s="8" t="n">
        <x:f>$M63*P$59-D35+D36</x:f>
        <x:v>61242.48800000001</x:v>
      </x:c>
      <x:c r="Q63" s="8" t="n">
        <x:f>$M63*Q$59-D35+D36</x:f>
        <x:v>66429.36200000001</x:v>
      </x:c>
      <x:c r="R63" s="8" t="n">
        <x:f>$M63*R$59-D35+D36</x:f>
        <x:v>71616.236</x:v>
      </x:c>
      <x:c r="S63" s="63"/>
      <x:c r="T63" s="63"/>
      <x:c r="U63" s="63"/>
      <x:c r="V63" s="63"/>
    </x:row>
    <x:row r="64" ht="18" customHeight="1">
      <x:c r="A64" s="1"/>
      <x:c r="B64" s="1"/>
      <x:c r="C64" s="1" t="str">
        <x:v>Increase in net working capital</x:v>
      </x:c>
      <x:c r="D64" s="2"/>
      <x:c r="E64" s="8" t="n">
        <x:f>E63-$D37</x:f>
        <x:v>86.59594520547887</x:v>
      </x:c>
      <x:c r="F64" s="8" t="n">
        <x:f>F63-E63</x:f>
        <x:v>97.22126768219232</x:v>
      </x:c>
      <x:c r="G64" s="8" t="n">
        <x:f>G63-F63</x:f>
        <x:v>109.15031722679714</x:v>
      </x:c>
      <x:c r="H64" s="8" t="n">
        <x:f>H63-G63</x:f>
        <x:v>122.54306115052577</x:v>
      </x:c>
      <x:c r="I64" s="8" t="n">
        <x:f>I63-H63</x:f>
        <x:v>137.57909475369252</x:v>
      </x:c>
      <x:c r="J64" s="1"/>
      <x:c r="K64" s="1"/>
      <x:c r="M64" s="8" t="n">
        <x:f>E52*1.2</x:f>
        <x:v>5658.408</x:v>
      </x:c>
      <x:c r="N64" s="8" t="n">
        <x:f>$M64*N$59-D35+D36</x:f>
        <x:v>55584.08</x:v>
      </x:c>
      <x:c r="O64" s="8" t="n">
        <x:f>$M64*O$59-D35+D36</x:f>
        <x:v>61242.488000000005</x:v>
      </x:c>
      <x:c r="P64" s="8" t="n">
        <x:f>$M64*P$59-D35+D36</x:f>
        <x:v>66900.89600000001</x:v>
      </x:c>
      <x:c r="Q64" s="8" t="n">
        <x:f>$M64*Q$59-D35+D36</x:f>
        <x:v>72559.304</x:v>
      </x:c>
      <x:c r="R64" s="8" t="n">
        <x:f>$M64*R$59-D35+D36</x:f>
        <x:v>78217.712</x:v>
      </x:c>
      <x:c r="S64" s="63"/>
      <x:c r="T64" s="63"/>
      <x:c r="U64" s="63"/>
      <x:c r="V64" s="63"/>
    </x:row>
    <x:row r="65" ht="18" customHeight="1">
      <x:c r="A65" s="1"/>
      <x:c r="B65" s="1"/>
      <x:c r="C65" s="1" t="str">
        <x:v>Capital expenditure</x:v>
      </x:c>
      <x:c r="D65" s="2"/>
      <x:c r="E65" s="8" t="n">
        <x:f>E47*E23</x:f>
        <x:v>2043.3140000000005</x:v>
      </x:c>
      <x:c r="F65" s="8" t="n">
        <x:f>F47*F23</x:f>
        <x:v>2294.0286278000003</x:v>
      </x:c>
      <x:c r="G65" s="8" t="n">
        <x:f>G47*G23</x:f>
        <x:v>2575.505940431061</x:v>
      </x:c>
      <x:c r="H65" s="8" t="n">
        <x:f>H47*H23</x:f>
        <x:v>2891.5205193219526</x:v>
      </x:c>
      <x:c r="I65" s="8" t="n">
        <x:f>I47*I23</x:f>
        <x:v>3246.3100870427565</x:v>
      </x:c>
      <x:c r="J65" s="1"/>
      <x:c r="K65" s="1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</x:row>
    <x:row r="66" ht="18" customHeight="1">
      <x:c r="A66" s="1"/>
      <x:c r="B66" s="1"/>
      <x:c r="C66" s="1" t="str">
        <x:v>Closing net PP&amp;E</x:v>
      </x:c>
      <x:c r="D66" s="2"/>
      <x:c r="E66" s="8" t="n">
        <x:f>E135</x:f>
        <x:v>9003.314</x:v>
      </x:c>
      <x:c r="F66" s="8" t="n">
        <x:f>F135</x:f>
        <x:v>10126.911807800001</x:v>
      </x:c>
      <x:c r="G66" s="8" t="n">
        <x:f>G135</x:f>
        <x:v>11385.919213217063</x:v>
      </x:c>
      <x:c r="H66" s="8" t="n">
        <x:f>H135</x:f>
        <x:v>12797.270234820799</x:v>
      </x:c>
      <x:c r="I66" s="8" t="n">
        <x:f>I135</x:f>
        <x:v>14379.935191336852</x:v>
      </x:c>
      <x:c r="J66" s="1"/>
      <x:c r="K66" s="1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</x:row>
    <x:row r="67" ht="18" customHeight="1">
      <x:c r="A67" s="1"/>
      <x:c r="B67" s="1"/>
      <x:c r="C67" s="1" t="str">
        <x:v>Closing debt</x:v>
      </x:c>
      <x:c r="D67" s="2"/>
      <x:c r="E67" s="8" t="n">
        <x:f>E123</x:f>
        <x:v>2250</x:v>
      </x:c>
      <x:c r="F67" s="8" t="n">
        <x:f>F123</x:f>
        <x:v>2000</x:v>
      </x:c>
      <x:c r="G67" s="8" t="n">
        <x:f>G123</x:f>
        <x:v>1750</x:v>
      </x:c>
      <x:c r="H67" s="8" t="n">
        <x:f>H123</x:f>
        <x:v>1500</x:v>
      </x:c>
      <x:c r="I67" s="8" t="n">
        <x:f>I123</x:f>
        <x:v>1250</x:v>
      </x:c>
      <x:c r="J67" s="1"/>
      <x:c r="K67" s="1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</x:row>
    <x:row r="68" ht="25" customHeight="1">
      <x:c r="A68" s="1"/>
      <x:c r="B68" s="1"/>
      <x:c r="C68" s="19" t="str">
        <x:v>CASH FLOW AND BALANCE SHEET</x:v>
      </x:c>
      <x:c r="D68" s="20"/>
      <x:c r="E68" s="20"/>
      <x:c r="F68" s="20"/>
      <x:c r="G68" s="20"/>
      <x:c r="H68" s="20"/>
      <x:c r="I68" s="20"/>
      <x:c r="J68" s="1"/>
      <x:c r="K68" s="1"/>
      <x:c r="M68" s="82" t="str">
        <x:v>First-year EBITDA | rows revenue / columns EBITDA margin</x:v>
      </x:c>
      <x:c r="N68" s="82"/>
      <x:c r="O68" s="82"/>
      <x:c r="P68" s="82"/>
      <x:c r="Q68" s="82"/>
      <x:c r="R68" s="82"/>
      <x:c r="S68" s="63"/>
      <x:c r="T68" s="63"/>
      <x:c r="U68" s="63"/>
      <x:c r="V68" s="63"/>
    </x:row>
    <x:row r="69" ht="18" customHeight="1">
      <x:c r="A69" s="1"/>
      <x:c r="B69" s="1"/>
      <x:c r="C69" s="1" t="str">
        <x:v>Operating cash flow after interest</x:v>
      </x:c>
      <x:c r="D69" s="2"/>
      <x:c r="E69" s="8" t="n">
        <x:f>E58+E53-E64</x:f>
        <x:v>3550.534054794521</x:v>
      </x:c>
      <x:c r="F69" s="8" t="n">
        <x:f>F58+F53-F64</x:f>
        <x:v>4022.383100817809</x:v>
      </x:c>
      <x:c r="G69" s="8" t="n">
        <x:f>G58+G53-G64</x:f>
        <x:v>4550.080751888156</x:v>
      </x:c>
      <x:c r="H69" s="8" t="n">
        <x:f>H58+H53-H64</x:f>
        <x:v>5140.491558259333</x:v>
      </x:c>
      <x:c r="I69" s="8" t="n">
        <x:f>I58+I53-I64</x:f>
        <x:v>5801.3208000673685</x:v>
      </x:c>
      <x:c r="J69" s="1"/>
      <x:c r="K69" s="1"/>
      <x:c r="M69" s="63"/>
      <x:c r="N69" s="70" t="n">
        <x:f>E52/E47+-0.04</x:f>
        <x:v>0.10999999999999996</x:v>
      </x:c>
      <x:c r="O69" s="70" t="n">
        <x:f>E52/E47+-0.02</x:f>
        <x:v>0.12999999999999998</x:v>
      </x:c>
      <x:c r="P69" s="70" t="n">
        <x:f>E52/E47+0</x:f>
        <x:v>0.14999999999999997</x:v>
      </x:c>
      <x:c r="Q69" s="70" t="n">
        <x:f>E52/E47+0.02</x:f>
        <x:v>0.16999999999999996</x:v>
      </x:c>
      <x:c r="R69" s="70" t="n">
        <x:f>E52/E47+0.04</x:f>
        <x:v>0.18999999999999997</x:v>
      </x:c>
      <x:c r="S69" s="63"/>
      <x:c r="T69" s="63"/>
      <x:c r="U69" s="63"/>
      <x:c r="V69" s="63"/>
    </x:row>
    <x:row r="70" ht="18" customHeight="1">
      <x:c r="A70" s="1"/>
      <x:c r="B70" s="1"/>
      <x:c r="C70" s="1" t="str">
        <x:v>Dividends</x:v>
      </x:c>
      <x:c r="D70" s="2"/>
      <x:c r="E70" s="8" t="n">
        <x:f>MAX(0,E58)*E32</x:f>
        <x:v>649.2825</x:v>
      </x:c>
      <x:c r="F70" s="8" t="n">
        <x:f>MAX(0,F58)*F32</x:f>
        <x:v>737.2933871250003</x:v>
      </x:c>
      <x:c r="G70" s="8" t="n">
        <x:f>MAX(0,G58)*G32</x:f>
        <x:v>835.6831335252381</x:v>
      </x:c>
      <x:c r="H70" s="8" t="n">
        <x:f>MAX(0,H58)*H32</x:f>
        <x:v>945.7162804229101</x:v>
      </x:c>
      <x:c r="I70" s="8" t="n">
        <x:f>MAX(0,I58)*I32</x:f>
        <x:v>1068.8136910735893</x:v>
      </x:c>
      <x:c r="J70" s="1"/>
      <x:c r="K70" s="1"/>
      <x:c r="M70" s="8" t="n">
        <x:f>E47*0.8</x:f>
        <x:v>25148.480000000007</x:v>
      </x:c>
      <x:c r="N70" s="8" t="n">
        <x:f>$M70*N$69</x:f>
        <x:v>2766.3327999999997</x:v>
      </x:c>
      <x:c r="O70" s="8" t="n">
        <x:f>$M70*O$69</x:f>
        <x:v>3269.3024000000005</x:v>
      </x:c>
      <x:c r="P70" s="8" t="n">
        <x:f>$M70*P$69</x:f>
        <x:v>3772.2720000000004</x:v>
      </x:c>
      <x:c r="Q70" s="8" t="n">
        <x:f>$M70*Q$69</x:f>
        <x:v>4275.2416</x:v>
      </x:c>
      <x:c r="R70" s="8" t="n">
        <x:f>$M70*R$69</x:f>
        <x:v>4778.211200000001</x:v>
      </x:c>
      <x:c r="S70" s="63"/>
      <x:c r="T70" s="63"/>
      <x:c r="U70" s="63"/>
      <x:c r="V70" s="63"/>
    </x:row>
    <x:row r="71" ht="18" customHeight="1">
      <x:c r="A71" s="1"/>
      <x:c r="B71" s="1"/>
      <x:c r="C71" s="1" t="str">
        <x:v>Change in cash</x:v>
      </x:c>
      <x:c r="D71" s="2"/>
      <x:c r="E71" s="8" t="n">
        <x:f>E69-E65+E30-E31-E70</x:f>
        <x:v>607.9375547945206</x:v>
      </x:c>
      <x:c r="F71" s="8" t="n">
        <x:f>F69-F65+F30-F31-F70</x:f>
        <x:v>741.0610858928084</x:v>
      </x:c>
      <x:c r="G71" s="8" t="n">
        <x:f>G69-G65+G30-G31-G70</x:f>
        <x:v>888.8916779318566</x:v>
      </x:c>
      <x:c r="H71" s="8" t="n">
        <x:f>H69-H65+H30-H31-H70</x:f>
        <x:v>1053.2547585144703</x:v>
      </x:c>
      <x:c r="I71" s="8" t="n">
        <x:f>I69-I65+I30-I31-I70</x:f>
        <x:v>1236.1970219510226</x:v>
      </x:c>
      <x:c r="J71" s="1"/>
      <x:c r="K71" s="1"/>
      <x:c r="M71" s="8" t="n">
        <x:f>E47*0.9</x:f>
        <x:v>28292.040000000005</x:v>
      </x:c>
      <x:c r="N71" s="8" t="n">
        <x:f>$M71*N$69</x:f>
        <x:v>3112.1243999999992</x:v>
      </x:c>
      <x:c r="O71" s="8" t="n">
        <x:f>$M71*O$69</x:f>
        <x:v>3677.9652</x:v>
      </x:c>
      <x:c r="P71" s="8" t="n">
        <x:f>$M71*P$69</x:f>
        <x:v>4243.806</x:v>
      </x:c>
      <x:c r="Q71" s="8" t="n">
        <x:f>$M71*Q$69</x:f>
        <x:v>4809.6467999999995</x:v>
      </x:c>
      <x:c r="R71" s="8" t="n">
        <x:f>$M71*R$69</x:f>
        <x:v>5375.4876</x:v>
      </x:c>
      <x:c r="S71" s="63"/>
      <x:c r="T71" s="63"/>
      <x:c r="U71" s="63"/>
      <x:c r="V71" s="63"/>
    </x:row>
    <x:row r="72" ht="18" customHeight="1">
      <x:c r="A72" s="1"/>
      <x:c r="B72" s="1"/>
      <x:c r="C72" s="1" t="str">
        <x:v>Closing cash / (funding gap)</x:v>
      </x:c>
      <x:c r="D72" s="2"/>
      <x:c r="E72" s="8" t="n">
        <x:f>$D36+E71</x:f>
        <x:v>2107.9375547945206</x:v>
      </x:c>
      <x:c r="F72" s="8" t="n">
        <x:f>E72+F71</x:f>
        <x:v>2848.998640687329</x:v>
      </x:c>
      <x:c r="G72" s="8" t="n">
        <x:f>F72+G71</x:f>
        <x:v>3737.8903186191856</x:v>
      </x:c>
      <x:c r="H72" s="8" t="n">
        <x:f>G72+H71</x:f>
        <x:v>4791.145077133656</x:v>
      </x:c>
      <x:c r="I72" s="8" t="n">
        <x:f>H72+I71</x:f>
        <x:v>6027.342099084679</x:v>
      </x:c>
      <x:c r="J72" s="1"/>
      <x:c r="K72" s="1"/>
      <x:c r="M72" s="8" t="n">
        <x:f>E47*1</x:f>
        <x:v>31435.600000000006</x:v>
      </x:c>
      <x:c r="N72" s="8" t="n">
        <x:f>$M72*N$69</x:f>
        <x:v>3457.9159999999993</x:v>
      </x:c>
      <x:c r="O72" s="8" t="n">
        <x:f>$M72*O$69</x:f>
        <x:v>4086.628</x:v>
      </x:c>
      <x:c r="P72" s="8" t="n">
        <x:f>$M72*P$69</x:f>
        <x:v>4715.34</x:v>
      </x:c>
      <x:c r="Q72" s="8" t="n">
        <x:f>$M72*Q$69</x:f>
        <x:v>5344.052</x:v>
      </x:c>
      <x:c r="R72" s="8" t="n">
        <x:f>$M72*R$69</x:f>
        <x:v>5972.764</x:v>
      </x:c>
      <x:c r="S72" s="63"/>
      <x:c r="T72" s="63"/>
      <x:c r="U72" s="63"/>
      <x:c r="V72" s="63"/>
    </x:row>
    <x:row r="73" ht="18" customHeight="1">
      <x:c r="A73" s="1"/>
      <x:c r="B73" s="1"/>
      <x:c r="C73" s="38" t="str">
        <x:v>Closing book equity</x:v>
      </x:c>
      <x:c r="D73" s="39"/>
      <x:c r="E73" s="41" t="n">
        <x:f>$D34+$D37+$D36-$D35+E58-E70</x:f>
        <x:v>9653.600924657536</x:v>
      </x:c>
      <x:c r="F73" s="41" t="n">
        <x:f>E73+F58-F70</x:f>
        <x:v>11865.481086032536</x:v>
      </x:c>
      <x:c r="G73" s="41" t="n">
        <x:f>F73+G58-G70</x:f>
        <x:v>14372.530486608252</x:v>
      </x:c>
      <x:c r="H73" s="41" t="n">
        <x:f>G73+H58-H70</x:f>
        <x:v>17209.679327876984</x:v>
      </x:c>
      <x:c r="I73" s="41" t="n">
        <x:f>H73+I58-I70</x:f>
        <x:v>20416.120401097753</x:v>
      </x:c>
      <x:c r="J73" s="1"/>
      <x:c r="K73" s="1"/>
      <x:c r="M73" s="8" t="n">
        <x:f>E47*1.1</x:f>
        <x:v>34579.16000000001</x:v>
      </x:c>
      <x:c r="N73" s="8" t="n">
        <x:f>$M73*N$69</x:f>
        <x:v>3803.7075999999997</x:v>
      </x:c>
      <x:c r="O73" s="8" t="n">
        <x:f>$M73*O$69</x:f>
        <x:v>4495.290800000001</x:v>
      </x:c>
      <x:c r="P73" s="8" t="n">
        <x:f>$M73*P$69</x:f>
        <x:v>5186.874000000001</x:v>
      </x:c>
      <x:c r="Q73" s="8" t="n">
        <x:f>$M73*Q$69</x:f>
        <x:v>5878.457200000001</x:v>
      </x:c>
      <x:c r="R73" s="8" t="n">
        <x:f>$M73*R$69</x:f>
        <x:v>6570.040400000001</x:v>
      </x:c>
      <x:c r="S73" s="63"/>
      <x:c r="T73" s="63"/>
      <x:c r="U73" s="63"/>
      <x:c r="V73" s="63"/>
    </x:row>
    <x:row r="74" ht="18" customHeight="1">
      <x:c r="A74" s="1"/>
      <x:c r="B74" s="1"/>
      <x:c r="C74" s="1" t="str">
        <x:v>Total assets</x:v>
      </x:c>
      <x:c r="D74" s="2"/>
      <x:c r="E74" s="8" t="n">
        <x:f>E72+E60+E61+E66</x:f>
        <x:v>15004.09845890411</x:v>
      </x:c>
      <x:c r="F74" s="8" t="n">
        <x:f>F72+F60+F61+F66</x:f>
        <x:v>17346.409667731168</x:v>
      </x:c>
      <x:c r="G74" s="8" t="n">
        <x:f>G72+G60+G61+G66</x:f>
        <x:v>20030.569005281304</x:v>
      </x:c>
      <x:c r="H74" s="8" t="n">
        <x:f>H72+H60+H61+H66</x:f>
        <x:v>23097.23417279122</x:v>
      </x:c>
      <x:c r="I74" s="8" t="n">
        <x:f>I72+I60+I61+I66</x:f>
        <x:v>26592.028225482965</x:v>
      </x:c>
      <x:c r="J74" s="1"/>
      <x:c r="K74" s="1"/>
      <x:c r="M74" s="8" t="n">
        <x:f>E47*1.2</x:f>
        <x:v>37722.72000000001</x:v>
      </x:c>
      <x:c r="N74" s="8" t="n">
        <x:f>$M74*N$69</x:f>
        <x:v>4149.499199999999</x:v>
      </x:c>
      <x:c r="O74" s="8" t="n">
        <x:f>$M74*O$69</x:f>
        <x:v>4903.9536</x:v>
      </x:c>
      <x:c r="P74" s="8" t="n">
        <x:f>$M74*P$69</x:f>
        <x:v>5658.408</x:v>
      </x:c>
      <x:c r="Q74" s="8" t="n">
        <x:f>$M74*Q$69</x:f>
        <x:v>6412.8624</x:v>
      </x:c>
      <x:c r="R74" s="8" t="n">
        <x:f>$M74*R$69</x:f>
        <x:v>7167.3168000000005</x:v>
      </x:c>
      <x:c r="S74" s="63"/>
      <x:c r="T74" s="63"/>
      <x:c r="U74" s="63"/>
      <x:c r="V74" s="63"/>
    </x:row>
    <x:row r="75" ht="18" customHeight="1">
      <x:c r="A75" s="1"/>
      <x:c r="B75" s="1"/>
      <x:c r="C75" s="1" t="str">
        <x:v>Liabilities and equity</x:v>
      </x:c>
      <x:c r="D75" s="2"/>
      <x:c r="E75" s="8" t="n">
        <x:f>E62+E67+E73</x:f>
        <x:v>15004.098458904113</x:v>
      </x:c>
      <x:c r="F75" s="8" t="n">
        <x:f>F62+F67+F73</x:f>
        <x:v>17346.409667731168</x:v>
      </x:c>
      <x:c r="G75" s="8" t="n">
        <x:f>G62+G67+G73</x:f>
        <x:v>20030.569005281304</x:v>
      </x:c>
      <x:c r="H75" s="8" t="n">
        <x:f>H62+H67+H73</x:f>
        <x:v>23097.23417279122</x:v>
      </x:c>
      <x:c r="I75" s="8" t="n">
        <x:f>I62+I67+I73</x:f>
        <x:v>26592.02822548297</x:v>
      </x:c>
      <x:c r="J75" s="1"/>
      <x:c r="K75" s="1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</x:row>
    <x:row r="76" ht="18" customHeight="1">
      <x:c r="A76" s="1"/>
      <x:c r="B76" s="1"/>
      <x:c r="C76" s="1" t="str">
        <x:v>Unlevered operating profit after tax</x:v>
      </x:c>
      <x:c r="D76" s="2"/>
      <x:c r="E76" s="8" t="n">
        <x:f>E54-MAX(0,E54)*E28</x:f>
        <x:v>2756.505</x:v>
      </x:c>
      <x:c r="F76" s="8" t="n">
        <x:f>F54-MAX(0,F54)*F28</x:f>
        <x:v>3092.6110485000013</x:v>
      </x:c>
      <x:c r="G76" s="8" t="n">
        <x:f>G54-MAX(0,G54)*G28</x:f>
        <x:v>3470.2325341009523</x:v>
      </x:c>
      <x:c r="H76" s="8" t="n">
        <x:f>H54-MAX(0,H54)*H28</x:f>
        <x:v>3894.4276216916405</x:v>
      </x:c>
      <x:c r="I76" s="8" t="n">
        <x:f>I54-MAX(0,I54)*I28</x:f>
        <x:v>4370.879764294357</x:v>
      </x:c>
      <x:c r="J76" s="1"/>
      <x:c r="K76" s="1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</x:row>
    <x:row r="77" ht="18" customHeight="1">
      <x:c r="A77" s="1"/>
      <x:c r="B77" s="1"/>
      <x:c r="C77" s="38" t="str">
        <x:v>Free cash flow to firm</x:v>
      </x:c>
      <x:c r="D77" s="39"/>
      <x:c r="E77" s="41" t="n">
        <x:f>E76+E53-E65-E64</x:f>
        <x:v>1666.5950547945208</x:v>
      </x:c>
      <x:c r="F77" s="41" t="n">
        <x:f>F76+F53-F65-F64</x:f>
        <x:v>1871.7919730178087</x:v>
      </x:c>
      <x:c r="G77" s="41" t="n">
        <x:f>G76+G53-G65-G64</x:f>
        <x:v>2102.0748114570943</x:v>
      </x:c>
      <x:c r="H77" s="41" t="n">
        <x:f>H76+H53-H65-H64</x:f>
        <x:v>2360.53353893738</x:v>
      </x:c>
      <x:c r="I77" s="41" t="n">
        <x:f>I76+I53-I65-I64</x:f>
        <x:v>2650.635713024612</x:v>
      </x:c>
      <x:c r="J77" s="1"/>
      <x:c r="K77" s="1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</x:row>
    <x:row r="78" ht="18" customHeight="1">
      <x:c r="A78" s="1"/>
      <x:c r="B78" s="1"/>
      <x:c r="C78" s="19" t="str">
        <x:v>SECTOR KPIs AND RETURN METRICS</x:v>
      </x:c>
      <x:c r="D78" s="20"/>
      <x:c r="E78" s="20"/>
      <x:c r="F78" s="20"/>
      <x:c r="G78" s="20"/>
      <x:c r="H78" s="20"/>
      <x:c r="I78" s="20"/>
      <x:c r="J78" s="1"/>
      <x:c r="K78" s="1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</x:row>
    <x:row r="79" ht="18" customHeight="1">
      <x:c r="A79" s="1"/>
      <x:c r="B79" s="1"/>
      <x:c r="C79" s="23" t="str">
        <x:v>Gross margin</x:v>
      </x:c>
      <x:c r="D79" s="24"/>
      <x:c r="E79" s="35" t="n">
        <x:f>E50/E47</x:f>
        <x:v>0.27999999999999997</x:v>
      </x:c>
      <x:c r="F79" s="35" t="n">
        <x:f>F50/F47</x:f>
        <x:v>0.28</x:v>
      </x:c>
      <x:c r="G79" s="35" t="n">
        <x:f>G50/G47</x:f>
        <x:v>0.28</x:v>
      </x:c>
      <x:c r="H79" s="35" t="n">
        <x:f>H50/H47</x:f>
        <x:v>0.2800000000000001</x:v>
      </x:c>
      <x:c r="I79" s="35" t="n">
        <x:f>I50/I47</x:f>
        <x:v>0.27999999999999997</x:v>
      </x:c>
      <x:c r="J79" s="1"/>
      <x:c r="K79" s="1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</x:row>
    <x:row r="80" ht="18" customHeight="1">
      <x:c r="A80" s="1"/>
      <x:c r="B80" s="1"/>
      <x:c r="C80" s="23" t="str">
        <x:v>EBITDA margin</x:v>
      </x:c>
      <x:c r="D80" s="24"/>
      <x:c r="E80" s="35" t="n">
        <x:f>E52/E47</x:f>
        <x:v>0.14999999999999997</x:v>
      </x:c>
      <x:c r="F80" s="35" t="n">
        <x:f>F52/F47</x:f>
        <x:v>0.15000000000000002</x:v>
      </x:c>
      <x:c r="G80" s="35" t="n">
        <x:f>G52/G47</x:f>
        <x:v>0.15000000000000002</x:v>
      </x:c>
      <x:c r="H80" s="35" t="n">
        <x:f>H52/H47</x:f>
        <x:v>0.15000000000000005</x:v>
      </x:c>
      <x:c r="I80" s="35" t="n">
        <x:f>I52/I47</x:f>
        <x:v>0.14999999999999997</x:v>
      </x:c>
      <x:c r="J80" s="1"/>
      <x:c r="K80" s="1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</x:row>
    <x:row r="81" ht="18" customHeight="1">
      <x:c r="A81" s="1"/>
      <x:c r="B81" s="1"/>
      <x:c r="C81" s="23" t="str">
        <x:v>Net margin</x:v>
      </x:c>
      <x:c r="D81" s="24"/>
      <x:c r="E81" s="35" t="n">
        <x:f>E58/E47</x:f>
        <x:v>0.08261747827304075</x:v>
      </x:c>
      <x:c r="F81" s="35" t="n">
        <x:f>F58/F47</x:f>
        <x:v>0.08356315973107058</x:v>
      </x:c>
      <x:c r="G81" s="35" t="n">
        <x:f>G58/G47</x:f>
        <x:v>0.08436308039739807</x:v>
      </x:c>
      <x:c r="H81" s="35" t="n">
        <x:f>H58/H47</x:f>
        <x:v>0.08503700086749368</x:v>
      </x:c>
      <x:c r="I81" s="35" t="n">
        <x:f>I58/I47</x:f>
        <x:v>0.08560228451012825</x:v>
      </x:c>
      <x:c r="J81" s="1"/>
      <x:c r="K81" s="1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</x:row>
    <x:row r="82" ht="18" customHeight="1">
      <x:c r="A82" s="1"/>
      <x:c r="B82" s="1"/>
      <x:c r="C82" s="23" t="str">
        <x:v>Operating cash conversion</x:v>
      </x:c>
      <x:c r="D82" s="24"/>
      <x:c r="E82" s="35" t="n">
        <x:f>IF(E52=0,"n.a.",E69/E52)</x:f>
        <x:v>0.7529751947461946</x:v>
      </x:c>
      <x:c r="F82" s="35" t="n">
        <x:f>IF(F52=0,"n.a.",F69/F52)</x:f>
        <x:v>0.7598129578237385</x:v>
      </x:c>
      <x:c r="G82" s="35" t="n">
        <x:f>IF(G52=0,"n.a.",G69/G52)</x:f>
        <x:v>0.7655589638521785</x:v>
      </x:c>
      <x:c r="H82" s="35" t="n">
        <x:f>IF(H52=0,"n.a.",H69/H52)</x:f>
        <x:v>0.7703719641715445</x:v>
      </x:c>
      <x:c r="I82" s="35" t="n">
        <x:f>IF(I52=0,"n.a.",I69/I52)</x:f>
        <x:v>0.7743886482265314</x:v>
      </x:c>
      <x:c r="J82" s="1"/>
      <x:c r="K82" s="1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</x:row>
    <x:row r="83" ht="18" customHeight="1">
      <x:c r="A83" s="1"/>
      <x:c r="B83" s="1"/>
      <x:c r="C83" s="1" t="str">
        <x:v>Cash conversion cycle (days)</x:v>
      </x:c>
      <x:c r="D83" s="2"/>
      <x:c r="E83" s="8" t="n">
        <x:f>E25+E26-E27</x:f>
        <x:v>5</x:v>
      </x:c>
      <x:c r="F83" s="8" t="n">
        <x:f>F25+F26-F27</x:f>
        <x:v>5</x:v>
      </x:c>
      <x:c r="G83" s="8" t="n">
        <x:f>G25+G26-G27</x:f>
        <x:v>5</x:v>
      </x:c>
      <x:c r="H83" s="8" t="n">
        <x:f>H25+H26-H27</x:f>
        <x:v>5</x:v>
      </x:c>
      <x:c r="I83" s="8" t="n">
        <x:f>I25+I26-I27</x:f>
        <x:v>5</x:v>
      </x:c>
      <x:c r="J83" s="1"/>
      <x:c r="K83" s="1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</x:row>
    <x:row r="84" ht="18" customHeight="1">
      <x:c r="A84" s="1"/>
      <x:c r="B84" s="1"/>
      <x:c r="C84" s="23" t="str">
        <x:v>Net debt / EBITDA</x:v>
      </x:c>
      <x:c r="D84" s="32"/>
      <x:c r="E84" s="61" t="n">
        <x:f>IF(E52&lt;=0,"n.a.",(E67-E72)/E52)</x:f>
        <x:v>0.030127720420050182</x:v>
      </x:c>
      <x:c r="F84" s="61" t="n">
        <x:f>IF(F52&lt;=0,"n.a.",(F67-F72)/F52)</x:f>
        <x:v>-0.16037263288964662</x:v>
      </x:c>
      <x:c r="G84" s="61" t="n">
        <x:f>IF(G52&lt;=0,"n.a.",(G67-G72)/G52)</x:f>
        <x:v>-0.3344659876513965</x:v>
      </x:c>
      <x:c r="H84" s="61" t="n">
        <x:f>IF(H52&lt;=0,"n.a.",(H67-H72)/H52)</x:f>
        <x:v>-0.4932224610643072</x:v>
      </x:c>
      <x:c r="I84" s="61" t="n">
        <x:f>IF(I52&lt;=0,"n.a.",(I67-I72)/I52)</x:f>
        <x:v>-0.6377029676040193</x:v>
      </x:c>
      <x:c r="J84" s="1"/>
      <x:c r="K84" s="1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</x:row>
    <x:row r="85" ht="18" customHeight="1">
      <x:c r="A85" s="1"/>
      <x:c r="B85" s="1"/>
      <x:c r="C85" s="23" t="str">
        <x:v>EBIT / interest</x:v>
      </x:c>
      <x:c r="D85" s="32"/>
      <x:c r="E85" s="61" t="n">
        <x:f>IF(E55=0,"n.a.",E54/E55)</x:f>
        <x:v>17.295717647058822</x:v>
      </x:c>
      <x:c r="F85" s="61" t="n">
        <x:f>IF(F55=0,"n.a.",F54/F55)</x:f>
        <x:v>21.560687048366024</x:v>
      </x:c>
      <x:c r="G85" s="61" t="n">
        <x:f>IF(G55=0,"n.a.",G54/G55)</x:f>
        <x:v>27.21751007138002</x:v>
      </x:c>
      <x:c r="H85" s="61" t="n">
        <x:f>IF(H55=0,"n.a.",H54/H55)</x:f>
        <x:v>34.908034704238794</x:v>
      </x:c>
      <x:c r="I85" s="61" t="n">
        <x:f>IF(I55=0,"n.a.",I54/I55)</x:f>
        <x:v>45.70854655471223</x:v>
      </x:c>
      <x:c r="J85" s="1"/>
      <x:c r="K85" s="1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</x:row>
    <x:row r="86" ht="18" customHeight="1">
      <x:c r="A86" s="1"/>
      <x:c r="B86" s="1"/>
      <x:c r="C86" s="23" t="str">
        <x:v>ROIC on average invested capital</x:v>
      </x:c>
      <x:c r="D86" s="24"/>
      <x:c r="E86" s="35" t="n">
        <x:f>E76/(($D34+$D37+E66+E63)/2)</x:f>
        <x:v>0.29797772036748854</x:v>
      </x:c>
      <x:c r="F86" s="35" t="n">
        <x:f>F76/((E66+E63+F66+F63)/2)</x:f>
        <x:v>0.2971929061000633</x:v>
      </x:c>
      <x:c r="G86" s="35" t="n">
        <x:f>G76/((F66+F63+G66+G63)/2)</x:f>
        <x:v>0.29658684255802054</x:v>
      </x:c>
      <x:c r="H86" s="35" t="n">
        <x:f>H76/((G66+G63+H66+H63)/2)</x:f>
        <x:v>0.2961184501683673</x:v>
      </x:c>
      <x:c r="I86" s="35" t="n">
        <x:f>I76/((H66+H63+I66+I63)/2)</x:f>
        <x:v>0.29575623673450285</x:v>
      </x:c>
      <x:c r="J86" s="1"/>
      <x:c r="K86" s="1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</x:row>
    <x:row r="87" ht="18" customHeight="1">
      <x:c r="A87" s="1"/>
      <x:c r="B87" s="1"/>
      <x:c r="C87" s="1" t="str">
        <x:v>EBITDA per vehicle (INR)</x:v>
      </x:c>
      <x:c r="D87" s="2"/>
      <x:c r="E87" s="10" t="n">
        <x:f>E52*'Controls'!$E$9/E46</x:f>
        <x:v>108149.99999999999</x:v>
      </x:c>
      <x:c r="F87" s="10" t="n">
        <x:f>F52*'Controls'!$E$9/F46</x:f>
        <x:v>111394.5</x:v>
      </x:c>
      <x:c r="G87" s="10" t="n">
        <x:f>G52*'Controls'!$E$9/G46</x:f>
        <x:v>114736.33500000004</x:v>
      </x:c>
      <x:c r="H87" s="10" t="n">
        <x:f>H52*'Controls'!$E$9/H46</x:f>
        <x:v>118178.42505000006</x:v>
      </x:c>
      <x:c r="I87" s="10" t="n">
        <x:f>I52*'Controls'!$E$9/I46</x:f>
        <x:v>121723.77780150001</x:v>
      </x:c>
      <x:c r="J87" s="1"/>
      <x:c r="K87" s="1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</x:row>
    <x:row r="88" ht="18" customHeight="1">
      <x:c r="A88" s="1"/>
      <x:c r="B88" s="1"/>
      <x:c r="C88" s="1" t="str">
        <x:v>Capex per vehicle (INR)</x:v>
      </x:c>
      <x:c r="D88" s="2"/>
      <x:c r="E88" s="10" t="n">
        <x:f>E65*'Controls'!$E$9/E46</x:f>
        <x:v>46865</x:v>
      </x:c>
      <x:c r="F88" s="10" t="n">
        <x:f>F65*'Controls'!$E$9/F46</x:f>
        <x:v>48270.95</x:v>
      </x:c>
      <x:c r="G88" s="10" t="n">
        <x:f>G65*'Controls'!$E$9/G46</x:f>
        <x:v>49719.0785</x:v>
      </x:c>
      <x:c r="H88" s="10" t="n">
        <x:f>H65*'Controls'!$E$9/H46</x:f>
        <x:v>51210.650855000014</x:v>
      </x:c>
      <x:c r="I88" s="10" t="n">
        <x:f>I65*'Controls'!$E$9/I46</x:f>
        <x:v>52746.97038065002</x:v>
      </x:c>
      <x:c r="J88" s="1"/>
      <x:c r="K88" s="1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</x:row>
    <x:row r="89" ht="18" customHeight="1">
      <x:c r="A89" s="1"/>
      <x:c r="B89" s="1"/>
      <x:c r="C89" s="19" t="str">
        <x:v>VALUATION AT 31 MARCH 2026</x:v>
      </x:c>
      <x:c r="D89" s="20"/>
      <x:c r="E89" s="20"/>
      <x:c r="F89" s="20"/>
      <x:c r="G89" s="20"/>
      <x:c r="H89" s="20"/>
      <x:c r="I89" s="20"/>
      <x:c r="J89" s="1"/>
      <x:c r="K89" s="1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</x:row>
    <x:row r="90" ht="18" customHeight="1">
      <x:c r="A90" s="1"/>
      <x:c r="B90" s="1"/>
      <x:c r="C90" s="1" t="str">
        <x:v>PV of annual FCFF</x:v>
      </x:c>
      <x:c r="D90" s="2"/>
      <x:c r="E90" s="8" t="n">
        <x:f>E77/(1+$D39)^1</x:f>
        <x:v>1488.031298923679</x:v>
      </x:c>
      <x:c r="F90" s="8" t="n">
        <x:f>F77/(1+$D39)^2</x:f>
        <x:v>1492.1811009389417</x:v>
      </x:c>
      <x:c r="G90" s="8" t="n">
        <x:f>G77/(1+$D39)^3</x:f>
        <x:v>1496.2153302212596</x:v>
      </x:c>
      <x:c r="H90" s="8" t="n">
        <x:f>H77/(1+$D39)^4</x:f>
        <x:v>1500.1617386756393</x:v>
      </x:c>
      <x:c r="I90" s="8" t="n">
        <x:f>I77/(1+$D39)^5</x:f>
        <x:v>1504.0418882969827</x:v>
      </x:c>
      <x:c r="J90" s="1"/>
      <x:c r="K90" s="1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</x:row>
    <x:row r="91" ht="18" customHeight="1">
      <x:c r="A91" s="1"/>
      <x:c r="B91" s="1"/>
      <x:c r="C91" s="1" t="str">
        <x:v>Normalized terminal FCFF</x:v>
      </x:c>
      <x:c r="D91" s="2"/>
      <x:c r="E91" s="8" t="n">
        <x:f>I76*(1+$D40)*(1-$D40/$D41)</x:f>
        <x:v>3333.5243002351635</x:v>
      </x:c>
      <x:c r="F91" s="2"/>
      <x:c r="G91" s="2"/>
      <x:c r="H91" s="2"/>
      <x:c r="I91" s="2"/>
      <x:c r="J91" s="1"/>
      <x:c r="K91" s="1" t="str">
        <x:v>Terminal reinvestment = terminal NOPAT × growth / incremental ROIC.</x:v>
      </x:c>
    </x:row>
    <x:row r="92" ht="18" customHeight="1">
      <x:c r="A92" s="1"/>
      <x:c r="B92" s="1"/>
      <x:c r="C92" s="1" t="str">
        <x:v>Terminal enterprise value</x:v>
      </x:c>
      <x:c r="D92" s="2"/>
      <x:c r="E92" s="8" t="n">
        <x:f>IF($D39&lt;=$D40,NA(),E91/($D39-$D40))</x:f>
        <x:v>41669.05375293955</x:v>
      </x:c>
      <x:c r="F92" s="2"/>
      <x:c r="G92" s="2"/>
      <x:c r="H92" s="2"/>
      <x:c r="I92" s="2"/>
      <x:c r="J92" s="1"/>
      <x:c r="K92" s="1"/>
    </x:row>
    <x:row r="93" ht="18" customHeight="1">
      <x:c r="A93" s="1"/>
      <x:c r="B93" s="1"/>
      <x:c r="C93" s="1" t="str">
        <x:v>DCF enterprise value</x:v>
      </x:c>
      <x:c r="D93" s="2"/>
      <x:c r="E93" s="8" t="n">
        <x:f>SUM(E90:I90)+E92/(1+$D39)^5</x:f>
        <x:v>31124.771508856284</x:v>
      </x:c>
      <x:c r="F93" s="2"/>
      <x:c r="G93" s="2"/>
      <x:c r="H93" s="2"/>
      <x:c r="I93" s="2"/>
      <x:c r="J93" s="1"/>
      <x:c r="K93" s="1"/>
    </x:row>
    <x:row r="94" ht="18" customHeight="1">
      <x:c r="A94" s="1"/>
      <x:c r="B94" s="1"/>
      <x:c r="C94" s="38" t="str">
        <x:v>DCF equity value</x:v>
      </x:c>
      <x:c r="D94" s="39"/>
      <x:c r="E94" s="41" t="n">
        <x:f>E93-$D35+$D36</x:f>
        <x:v>30124.771508856284</x:v>
      </x:c>
      <x:c r="F94" s="39"/>
      <x:c r="G94" s="39"/>
      <x:c r="H94" s="39"/>
      <x:c r="I94" s="39"/>
      <x:c r="J94" s="1"/>
      <x:c r="K94" s="1"/>
    </x:row>
    <x:row r="95" ht="18" customHeight="1">
      <x:c r="A95" s="1"/>
      <x:c r="B95" s="1"/>
      <x:c r="C95" s="1" t="str">
        <x:v>DCF value per share (INR)</x:v>
      </x:c>
      <x:c r="D95" s="33"/>
      <x:c r="E95" s="34" t="n">
        <x:f>E94/$D38</x:f>
        <x:v>301.2477150885628</x:v>
      </x:c>
      <x:c r="F95" s="33"/>
      <x:c r="G95" s="33"/>
      <x:c r="H95" s="33"/>
      <x:c r="I95" s="33"/>
      <x:c r="J95" s="1"/>
      <x:c r="K95" s="1"/>
    </x:row>
    <x:row r="96" ht="18" customHeight="1">
      <x:c r="A96" s="1"/>
      <x:c r="B96" s="1"/>
      <x:c r="C96" s="1" t="str">
        <x:v>Forward multiple enterprise value</x:v>
      </x:c>
      <x:c r="D96" s="2"/>
      <x:c r="E96" s="8" t="n">
        <x:f>E52*$D42</x:f>
        <x:v>56584.08</x:v>
      </x:c>
      <x:c r="F96" s="2"/>
      <x:c r="G96" s="2"/>
      <x:c r="H96" s="2"/>
      <x:c r="I96" s="2"/>
      <x:c r="J96" s="1"/>
      <x:c r="K96" s="1"/>
    </x:row>
    <x:row r="97" ht="18" customHeight="1">
      <x:c r="A97" s="1"/>
      <x:c r="B97" s="1"/>
      <x:c r="C97" s="1" t="str">
        <x:v>Forward multiple equity value</x:v>
      </x:c>
      <x:c r="D97" s="2"/>
      <x:c r="E97" s="8" t="n">
        <x:f>E96-$D35+$D36</x:f>
        <x:v>55584.08</x:v>
      </x:c>
      <x:c r="F97" s="2"/>
      <x:c r="G97" s="2"/>
      <x:c r="H97" s="2"/>
      <x:c r="I97" s="2"/>
      <x:c r="J97" s="1"/>
      <x:c r="K97" s="1"/>
    </x:row>
    <x:row r="98" ht="18" customHeight="1">
      <x:c r="A98" s="1"/>
      <x:c r="B98" s="1"/>
      <x:c r="C98" s="23" t="str">
        <x:v>Terminal value / DCF enterprise value</x:v>
      </x:c>
      <x:c r="D98" s="24"/>
      <x:c r="E98" s="35" t="n">
        <x:f>(E92/(1+$D39)^5)/E93</x:f>
        <x:v>0.7596566659155087</x:v>
      </x:c>
      <x:c r="F98" s="24"/>
      <x:c r="G98" s="24"/>
      <x:c r="H98" s="24"/>
      <x:c r="I98" s="24"/>
      <x:c r="J98" s="1"/>
      <x:c r="K98" s="1"/>
    </x:row>
    <x:row r="99" ht="18" customHeight="1">
      <x:c r="A99" s="1"/>
      <x:c r="B99" s="1"/>
      <x:c r="C99" s="19" t="str">
        <x:v>MODEL CHECKS</x:v>
      </x:c>
      <x:c r="D99" s="20"/>
      <x:c r="E99" s="20"/>
      <x:c r="F99" s="20"/>
      <x:c r="G99" s="20"/>
      <x:c r="H99" s="20"/>
      <x:c r="I99" s="20"/>
      <x:c r="J99" s="1"/>
      <x:c r="K99" s="1"/>
    </x:row>
    <x:row r="100" ht="18" customHeight="1">
      <x:c r="A100" s="1"/>
      <x:c r="B100" s="1"/>
      <x:c r="C100" s="1" t="str">
        <x:v>Assets less liabilities and equity</x:v>
      </x:c>
      <x:c r="D100" s="33"/>
      <x:c r="E100" s="34" t="n">
        <x:f>E74-E75</x:f>
        <x:v>-1.8189894035458565e-12</x:v>
      </x:c>
      <x:c r="F100" s="34" t="n">
        <x:f>F74-F75</x:f>
        <x:v>0</x:v>
      </x:c>
      <x:c r="G100" s="34" t="n">
        <x:f>G74-G75</x:f>
        <x:v>0</x:v>
      </x:c>
      <x:c r="H100" s="34" t="n">
        <x:f>H74-H75</x:f>
        <x:v>0</x:v>
      </x:c>
      <x:c r="I100" s="34" t="n">
        <x:f>I74-I75</x:f>
        <x:v>-3.637978807091713e-12</x:v>
      </x:c>
      <x:c r="J100" s="1"/>
      <x:c r="K100" s="1"/>
    </x:row>
    <x:row r="101" ht="18" customHeight="1">
      <x:c r="A101" s="1"/>
      <x:c r="B101" s="1"/>
      <x:c r="C101" s="1" t="str">
        <x:v>Cash funding shortfall</x:v>
      </x:c>
      <x:c r="D101" s="33"/>
      <x:c r="E101" s="34" t="n">
        <x:f>MAX(0,-E72)</x:f>
        <x:v>0</x:v>
      </x:c>
      <x:c r="F101" s="34" t="n">
        <x:f>MAX(0,-F72)</x:f>
        <x:v>0</x:v>
      </x:c>
      <x:c r="G101" s="34" t="n">
        <x:f>MAX(0,-G72)</x:f>
        <x:v>0</x:v>
      </x:c>
      <x:c r="H101" s="34" t="n">
        <x:f>MAX(0,-H72)</x:f>
        <x:v>0</x:v>
      </x:c>
      <x:c r="I101" s="34" t="n">
        <x:f>MAX(0,-I72)</x:f>
        <x:v>0</x:v>
      </x:c>
      <x:c r="J101" s="1"/>
      <x:c r="K101" s="1"/>
    </x:row>
    <x:row r="102" ht="18" customHeight="1">
      <x:c r="A102" s="1"/>
      <x:c r="B102" s="1"/>
      <x:c r="C102" s="1" t="str">
        <x:v>Debt below zero</x:v>
      </x:c>
      <x:c r="D102" s="33"/>
      <x:c r="E102" s="34" t="n">
        <x:f>MAX(0,-E67)</x:f>
        <x:v>0</x:v>
      </x:c>
      <x:c r="F102" s="34" t="n">
        <x:f>MAX(0,-F67)</x:f>
        <x:v>0</x:v>
      </x:c>
      <x:c r="G102" s="34" t="n">
        <x:f>MAX(0,-G67)</x:f>
        <x:v>0</x:v>
      </x:c>
      <x:c r="H102" s="34" t="n">
        <x:f>MAX(0,-H67)</x:f>
        <x:v>0</x:v>
      </x:c>
      <x:c r="I102" s="34" t="n">
        <x:f>MAX(0,-I67)</x:f>
        <x:v>0</x:v>
      </x:c>
      <x:c r="J102" s="1"/>
      <x:c r="K102" s="1"/>
    </x:row>
    <x:row r="103" ht="18" customHeight="1">
      <x:c r="A103" s="1"/>
      <x:c r="B103" s="1"/>
      <x:c r="C103" s="1" t="str">
        <x:v>Utilization above 100%</x:v>
      </x:c>
      <x:c r="D103" s="33"/>
      <x:c r="E103" s="34" t="n">
        <x:f>MAX(0,E20-1)</x:f>
        <x:v>0</x:v>
      </x:c>
      <x:c r="F103" s="34" t="n">
        <x:f>MAX(0,F20-1)</x:f>
        <x:v>0</x:v>
      </x:c>
      <x:c r="G103" s="34" t="n">
        <x:f>MAX(0,G20-1)</x:f>
        <x:v>0</x:v>
      </x:c>
      <x:c r="H103" s="34" t="n">
        <x:f>MAX(0,H20-1)</x:f>
        <x:v>0</x:v>
      </x:c>
      <x:c r="I103" s="34" t="n">
        <x:f>MAX(0,I20-1)</x:f>
        <x:v>0</x:v>
      </x:c>
      <x:c r="J103" s="1"/>
      <x:c r="K103" s="1"/>
    </x:row>
    <x:row r="104" ht="18" customHeight="1">
      <x:c r="A104" s="1"/>
      <x:c r="B104" s="1"/>
      <x:c r="C104" s="1" t="str">
        <x:v>Net PP&amp;E below zero</x:v>
      </x:c>
      <x:c r="D104" s="33"/>
      <x:c r="E104" s="34" t="n">
        <x:f>MAX(0,-E66)</x:f>
        <x:v>0</x:v>
      </x:c>
      <x:c r="F104" s="34" t="n">
        <x:f>MAX(0,-F66)</x:f>
        <x:v>0</x:v>
      </x:c>
      <x:c r="G104" s="34" t="n">
        <x:f>MAX(0,-G66)</x:f>
        <x:v>0</x:v>
      </x:c>
      <x:c r="H104" s="34" t="n">
        <x:f>MAX(0,-H66)</x:f>
        <x:v>0</x:v>
      </x:c>
      <x:c r="I104" s="34" t="n">
        <x:f>MAX(0,-I66)</x:f>
        <x:v>0</x:v>
      </x:c>
      <x:c r="J104" s="1"/>
      <x:c r="K104" s="1"/>
    </x:row>
    <x:row r="105" ht="18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1"/>
      <x:c r="K105" s="1"/>
    </x:row>
    <x:row r="106" ht="18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1"/>
      <x:c r="K106" s="1"/>
    </x:row>
    <x:row r="107" ht="18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1"/>
      <x:c r="K107" s="1"/>
    </x:row>
    <x:row r="108" ht="18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1"/>
      <x:c r="K108" s="1"/>
    </x:row>
    <x:row r="109" ht="18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1"/>
      <x:c r="K109" s="1"/>
    </x:row>
    <x:row r="110" ht="25" customHeight="1">
      <x:c r="A110" s="1"/>
      <x:c r="B110" s="1"/>
      <x:c r="C110" s="68" t="str">
        <x:v>SUPPORTING SCHEDULE ASSUMPTIONS</x:v>
      </x:c>
      <x:c r="D110" s="69"/>
      <x:c r="E110" s="69"/>
      <x:c r="F110" s="69"/>
      <x:c r="G110" s="69"/>
      <x:c r="H110" s="69"/>
      <x:c r="I110" s="69"/>
      <x:c r="J110" s="1"/>
      <x:c r="K110" s="1"/>
    </x:row>
    <x:row r="111" ht="30" customHeight="1">
      <x:c r="A111" s="1"/>
      <x:c r="B111" s="1"/>
      <x:c r="C111" s="64"/>
      <x:c r="D111" s="8"/>
      <x:c r="E111" s="8"/>
      <x:c r="F111" s="8"/>
      <x:c r="G111" s="8"/>
      <x:c r="H111" s="8"/>
      <x:c r="I111" s="8"/>
      <x:c r="J111" s="1"/>
      <x:c r="K111" s="1"/>
    </x:row>
    <x:row r="112" ht="30" customHeight="1">
      <x:c r="A112" s="1"/>
      <x:c r="B112" s="1"/>
      <x:c r="C112" s="64"/>
      <x:c r="D112" s="8"/>
      <x:c r="E112" s="8"/>
      <x:c r="F112" s="8"/>
      <x:c r="G112" s="8"/>
      <x:c r="H112" s="8"/>
      <x:c r="I112" s="8"/>
      <x:c r="J112" s="1"/>
      <x:c r="K112" s="1"/>
    </x:row>
    <x:row r="113" ht="30" customHeight="1">
      <x:c r="A113" s="1"/>
      <x:c r="B113" s="1"/>
      <x:c r="C113" s="64"/>
      <x:c r="D113" s="8"/>
      <x:c r="E113" s="8"/>
      <x:c r="F113" s="8"/>
      <x:c r="G113" s="8"/>
      <x:c r="H113" s="8"/>
      <x:c r="I113" s="8"/>
      <x:c r="J113" s="1"/>
      <x:c r="K113" s="1"/>
    </x:row>
    <x:row r="114" ht="30" customHeight="1">
      <x:c r="A114" s="1"/>
      <x:c r="B114" s="1"/>
      <x:c r="C114" s="64" t="str">
        <x:v>Current-year capex depreciation fraction</x:v>
      </x:c>
      <x:c r="D114" s="72" t="n">
        <x:v>0</x:v>
      </x:c>
      <x:c r="E114" s="8"/>
      <x:c r="F114" s="8"/>
      <x:c r="G114" s="8"/>
      <x:c r="H114" s="8"/>
      <x:c r="I114" s="8"/>
      <x:c r="J114" s="1"/>
      <x:c r="K114" s="1"/>
    </x:row>
    <x:row r="115" ht="30" customHeight="1">
      <x:c r="A115" s="1"/>
      <x:c r="B115" s="1"/>
      <x:c r="C115" s="64" t="str">
        <x:v>Debt movement interest weighting</x:v>
      </x:c>
      <x:c r="D115" s="72" t="n">
        <x:v>0</x:v>
      </x:c>
      <x:c r="E115" s="8"/>
      <x:c r="F115" s="8"/>
      <x:c r="G115" s="8"/>
      <x:c r="H115" s="8"/>
      <x:c r="I115" s="8"/>
      <x:c r="J115" s="1"/>
      <x:c r="K115" s="1" t="str">
        <x:v>0 = opening debt interest; 0.5 = mid-year movements; 1 = full-year movements.</x:v>
      </x:c>
    </x:row>
    <x:row r="116" ht="30" customHeight="1">
      <x:c r="A116" s="1"/>
      <x:c r="B116" s="1"/>
      <x:c r="C116" s="64" t="str">
        <x:v>Opening tax losses available for use</x:v>
      </x:c>
      <x:c r="D116" s="74" t="n">
        <x:v>0</x:v>
      </x:c>
      <x:c r="E116" s="8"/>
      <x:c r="F116" s="8"/>
      <x:c r="G116" s="8"/>
      <x:c r="H116" s="8"/>
      <x:c r="I116" s="8"/>
      <x:c r="J116" s="1"/>
      <x:c r="K116" s="1"/>
    </x:row>
    <x:row r="117" ht="30" customHeight="1">
      <x:c r="A117" s="1"/>
      <x:c r="B117" s="1"/>
      <x:c r="C117" s="64" t="str">
        <x:v>Tax loss utilization share of positive PBT</x:v>
      </x:c>
      <x:c r="D117" s="72" t="n">
        <x:v>1</x:v>
      </x:c>
      <x:c r="E117" s="8"/>
      <x:c r="F117" s="8"/>
      <x:c r="G117" s="8"/>
      <x:c r="H117" s="8"/>
      <x:c r="I117" s="8"/>
      <x:c r="J117" s="1"/>
      <x:c r="K117" s="1" t="str">
        <x:v>Simplified cash tax schedule. Check company-specific eligibility, expiry, MAT and deferred tax separately.</x:v>
      </x:c>
    </x:row>
    <x:row r="118" ht="30" customHeight="1">
      <x:c r="A118" s="1"/>
      <x:c r="B118" s="1"/>
      <x:c r="C118" s="64"/>
      <x:c r="D118" s="8"/>
      <x:c r="E118" s="8"/>
      <x:c r="F118" s="8"/>
      <x:c r="G118" s="8"/>
      <x:c r="H118" s="8"/>
      <x:c r="I118" s="8"/>
      <x:c r="J118" s="1"/>
      <x:c r="K118" s="1"/>
    </x:row>
    <x:row r="119" ht="25" customHeight="1">
      <x:c r="A119" s="1"/>
      <x:c r="B119" s="1"/>
      <x:c r="C119" s="68" t="str">
        <x:v>DEBT AND INTEREST SCHEDULE</x:v>
      </x:c>
      <x:c r="D119" s="69"/>
      <x:c r="E119" s="69"/>
      <x:c r="F119" s="69"/>
      <x:c r="G119" s="69"/>
      <x:c r="H119" s="69"/>
      <x:c r="I119" s="69"/>
      <x:c r="J119" s="1"/>
      <x:c r="K119" s="1"/>
    </x:row>
    <x:row r="120" ht="30" customHeight="1">
      <x:c r="A120" s="1"/>
      <x:c r="B120" s="1"/>
      <x:c r="C120" s="64" t="str">
        <x:v>Opening debt balance</x:v>
      </x:c>
      <x:c r="D120" s="8"/>
      <x:c r="E120" s="8" t="n">
        <x:f>D35</x:f>
        <x:v>2500</x:v>
      </x:c>
      <x:c r="F120" s="8" t="n">
        <x:f>E123</x:f>
        <x:v>2250</x:v>
      </x:c>
      <x:c r="G120" s="8" t="n">
        <x:f>F123</x:f>
        <x:v>2000</x:v>
      </x:c>
      <x:c r="H120" s="8" t="n">
        <x:f>G123</x:f>
        <x:v>1750</x:v>
      </x:c>
      <x:c r="I120" s="8" t="n">
        <x:f>H123</x:f>
        <x:v>1500</x:v>
      </x:c>
      <x:c r="J120" s="1"/>
      <x:c r="K120" s="1"/>
    </x:row>
    <x:row r="121" ht="30" customHeight="1">
      <x:c r="A121" s="1"/>
      <x:c r="B121" s="1"/>
      <x:c r="C121" s="64" t="str">
        <x:v>Debt drawn</x:v>
      </x:c>
      <x:c r="D121" s="8"/>
      <x:c r="E121" s="8" t="n">
        <x:f>E30</x:f>
        <x:v>0</x:v>
      </x:c>
      <x:c r="F121" s="8" t="n">
        <x:f>F30</x:f>
        <x:v>0</x:v>
      </x:c>
      <x:c r="G121" s="8" t="n">
        <x:f>G30</x:f>
        <x:v>0</x:v>
      </x:c>
      <x:c r="H121" s="8" t="n">
        <x:f>H30</x:f>
        <x:v>0</x:v>
      </x:c>
      <x:c r="I121" s="8" t="n">
        <x:f>I30</x:f>
        <x:v>0</x:v>
      </x:c>
      <x:c r="J121" s="1"/>
      <x:c r="K121" s="1"/>
    </x:row>
    <x:row r="122" ht="30" customHeight="1">
      <x:c r="A122" s="1"/>
      <x:c r="B122" s="1"/>
      <x:c r="C122" s="64" t="str">
        <x:v>Debt principal repaid</x:v>
      </x:c>
      <x:c r="D122" s="8"/>
      <x:c r="E122" s="8" t="n">
        <x:f>E31</x:f>
        <x:v>250</x:v>
      </x:c>
      <x:c r="F122" s="8" t="n">
        <x:f>F31</x:f>
        <x:v>250</x:v>
      </x:c>
      <x:c r="G122" s="8" t="n">
        <x:f>G31</x:f>
        <x:v>250</x:v>
      </x:c>
      <x:c r="H122" s="8" t="n">
        <x:f>H31</x:f>
        <x:v>250</x:v>
      </x:c>
      <x:c r="I122" s="8" t="n">
        <x:f>I31</x:f>
        <x:v>250</x:v>
      </x:c>
      <x:c r="J122" s="1"/>
      <x:c r="K122" s="1"/>
    </x:row>
    <x:row r="123" ht="30" customHeight="1">
      <x:c r="A123" s="1"/>
      <x:c r="B123" s="1"/>
      <x:c r="C123" s="64" t="str">
        <x:v>Closing debt balance</x:v>
      </x:c>
      <x:c r="D123" s="8"/>
      <x:c r="E123" s="8" t="n">
        <x:f>E120+E121-E122</x:f>
        <x:v>2250</x:v>
      </x:c>
      <x:c r="F123" s="8" t="n">
        <x:f>F120+F121-F122</x:f>
        <x:v>2000</x:v>
      </x:c>
      <x:c r="G123" s="8" t="n">
        <x:f>G120+G121-G122</x:f>
        <x:v>1750</x:v>
      </x:c>
      <x:c r="H123" s="8" t="n">
        <x:f>H120+H121-H122</x:f>
        <x:v>1500</x:v>
      </x:c>
      <x:c r="I123" s="8" t="n">
        <x:f>I120+I121-I122</x:f>
        <x:v>1250</x:v>
      </x:c>
      <x:c r="J123" s="1"/>
      <x:c r="K123" s="1"/>
    </x:row>
    <x:row r="124" ht="30" customHeight="1">
      <x:c r="A124" s="1"/>
      <x:c r="B124" s="1"/>
      <x:c r="C124" s="64" t="str">
        <x:v>Interest-bearing debt base</x:v>
      </x:c>
      <x:c r="D124" s="8"/>
      <x:c r="E124" s="8" t="n">
        <x:f>E120+(E121-E122)*$D$115</x:f>
        <x:v>2500</x:v>
      </x:c>
      <x:c r="F124" s="8" t="n">
        <x:f>F120+(F121-F122)*$D$115</x:f>
        <x:v>2250</x:v>
      </x:c>
      <x:c r="G124" s="8" t="n">
        <x:f>G120+(G121-G122)*$D$115</x:f>
        <x:v>2000</x:v>
      </x:c>
      <x:c r="H124" s="8" t="n">
        <x:f>H120+(H121-H122)*$D$115</x:f>
        <x:v>1750</x:v>
      </x:c>
      <x:c r="I124" s="8" t="n">
        <x:f>I120+(I121-I122)*$D$115</x:f>
        <x:v>1500</x:v>
      </x:c>
      <x:c r="J124" s="1"/>
      <x:c r="K124" s="1"/>
    </x:row>
    <x:row r="125" ht="30" customHeight="1">
      <x:c r="A125" s="1"/>
      <x:c r="B125" s="1"/>
      <x:c r="C125" s="64" t="str">
        <x:v>Scheduled interest expense</x:v>
      </x:c>
      <x:c r="D125" s="8"/>
      <x:c r="E125" s="8" t="n">
        <x:f>E124*E29</x:f>
        <x:v>212.50000000000003</x:v>
      </x:c>
      <x:c r="F125" s="8" t="n">
        <x:f>F124*F29</x:f>
        <x:v>191.25</x:v>
      </x:c>
      <x:c r="G125" s="8" t="n">
        <x:f>G124*G29</x:f>
        <x:v>170</x:v>
      </x:c>
      <x:c r="H125" s="8" t="n">
        <x:f>H124*H29</x:f>
        <x:v>148.75</x:v>
      </x:c>
      <x:c r="I125" s="8" t="n">
        <x:f>I124*I29</x:f>
        <x:v>127.50000000000001</x:v>
      </x:c>
      <x:c r="J125" s="1"/>
      <x:c r="K125" s="1"/>
    </x:row>
    <x:row r="126" ht="30" customHeight="1">
      <x:c r="A126" s="1"/>
      <x:c r="B126" s="1"/>
      <x:c r="C126" s="64"/>
      <x:c r="D126" s="8"/>
      <x:c r="E126" s="8"/>
      <x:c r="F126" s="8"/>
      <x:c r="G126" s="8"/>
      <x:c r="H126" s="8"/>
      <x:c r="I126" s="8"/>
      <x:c r="J126" s="1"/>
      <x:c r="K126" s="1"/>
    </x:row>
    <x:row r="127" ht="30" customHeight="1">
      <x:c r="A127" s="1"/>
      <x:c r="B127" s="1"/>
      <x:c r="C127" s="64"/>
      <x:c r="D127" s="8"/>
      <x:c r="E127" s="8"/>
      <x:c r="F127" s="8"/>
      <x:c r="G127" s="8"/>
      <x:c r="H127" s="8"/>
      <x:c r="I127" s="8"/>
      <x:c r="J127" s="1"/>
      <x:c r="K127" s="1"/>
    </x:row>
    <x:row r="128" ht="30" customHeight="1">
      <x:c r="A128" s="1"/>
      <x:c r="B128" s="1"/>
      <x:c r="C128" s="64"/>
      <x:c r="D128" s="8"/>
      <x:c r="E128" s="8"/>
      <x:c r="F128" s="8"/>
      <x:c r="G128" s="8"/>
      <x:c r="H128" s="8"/>
      <x:c r="I128" s="8"/>
      <x:c r="J128" s="1"/>
      <x:c r="K128" s="1"/>
    </x:row>
    <x:row r="129" ht="25" customHeight="1">
      <x:c r="A129" s="1"/>
      <x:c r="B129" s="1"/>
      <x:c r="C129" s="68" t="str">
        <x:v>CAPEX AND DEPRECIATION SCHEDULE</x:v>
      </x:c>
      <x:c r="D129" s="69"/>
      <x:c r="E129" s="69"/>
      <x:c r="F129" s="69"/>
      <x:c r="G129" s="69"/>
      <x:c r="H129" s="69"/>
      <x:c r="I129" s="69"/>
      <x:c r="J129" s="1"/>
      <x:c r="K129" s="1"/>
    </x:row>
    <x:row r="130" ht="30" customHeight="1">
      <x:c r="A130" s="1"/>
      <x:c r="B130" s="1"/>
      <x:c r="C130" s="64" t="str">
        <x:v>Opening net property plant and equipment</x:v>
      </x:c>
      <x:c r="D130" s="8"/>
      <x:c r="E130" s="8" t="n">
        <x:f>D34</x:f>
        <x:v>8000</x:v>
      </x:c>
      <x:c r="F130" s="8" t="n">
        <x:f>E135</x:f>
        <x:v>9003.314</x:v>
      </x:c>
      <x:c r="G130" s="8" t="n">
        <x:f>F135</x:f>
        <x:v>10126.911807800001</x:v>
      </x:c>
      <x:c r="H130" s="8" t="n">
        <x:f>G135</x:f>
        <x:v>11385.919213217063</x:v>
      </x:c>
      <x:c r="I130" s="8" t="n">
        <x:f>H135</x:f>
        <x:v>12797.270234820799</x:v>
      </x:c>
      <x:c r="J130" s="1"/>
      <x:c r="K130" s="1"/>
    </x:row>
    <x:row r="131" ht="30" customHeight="1">
      <x:c r="A131" s="1"/>
      <x:c r="B131" s="1"/>
      <x:c r="C131" s="64" t="str">
        <x:v>Capital expenditure added</x:v>
      </x:c>
      <x:c r="D131" s="8"/>
      <x:c r="E131" s="8" t="n">
        <x:f>E65</x:f>
        <x:v>2043.3140000000005</x:v>
      </x:c>
      <x:c r="F131" s="8" t="n">
        <x:f>F65</x:f>
        <x:v>2294.0286278000003</x:v>
      </x:c>
      <x:c r="G131" s="8" t="n">
        <x:f>G65</x:f>
        <x:v>2575.505940431061</x:v>
      </x:c>
      <x:c r="H131" s="8" t="n">
        <x:f>H65</x:f>
        <x:v>2891.5205193219526</x:v>
      </x:c>
      <x:c r="I131" s="8" t="n">
        <x:f>I65</x:f>
        <x:v>3246.3100870427565</x:v>
      </x:c>
      <x:c r="J131" s="1"/>
      <x:c r="K131" s="1"/>
    </x:row>
    <x:row r="132" ht="30" customHeight="1">
      <x:c r="A132" s="1"/>
      <x:c r="B132" s="1"/>
      <x:c r="C132" s="64" t="str">
        <x:v>Depreciation on opening assets</x:v>
      </x:c>
      <x:c r="D132" s="8"/>
      <x:c r="E132" s="8" t="n">
        <x:f>E130*E24</x:f>
        <x:v>1040</x:v>
      </x:c>
      <x:c r="F132" s="8" t="n">
        <x:f>F130*F24</x:f>
        <x:v>1170.43082</x:v>
      </x:c>
      <x:c r="G132" s="8" t="n">
        <x:f>G130*G24</x:f>
        <x:v>1316.4985350140003</x:v>
      </x:c>
      <x:c r="H132" s="8" t="n">
        <x:f>H130*H24</x:f>
        <x:v>1480.1694977182183</x:v>
      </x:c>
      <x:c r="I132" s="8" t="n">
        <x:f>I130*I24</x:f>
        <x:v>1663.645130526704</x:v>
      </x:c>
      <x:c r="J132" s="1"/>
      <x:c r="K132" s="1"/>
    </x:row>
    <x:row r="133" ht="30" customHeight="1">
      <x:c r="A133" s="1"/>
      <x:c r="B133" s="1"/>
      <x:c r="C133" s="64" t="str">
        <x:v>Depreciation on current-year additions</x:v>
      </x:c>
      <x:c r="D133" s="8"/>
      <x:c r="E133" s="8" t="n">
        <x:f>E131*E24*$D$114</x:f>
        <x:v>0</x:v>
      </x:c>
      <x:c r="F133" s="8" t="n">
        <x:f>F131*F24*$D$114</x:f>
        <x:v>0</x:v>
      </x:c>
      <x:c r="G133" s="8" t="n">
        <x:f>G131*G24*$D$114</x:f>
        <x:v>0</x:v>
      </x:c>
      <x:c r="H133" s="8" t="n">
        <x:f>H131*H24*$D$114</x:f>
        <x:v>0</x:v>
      </x:c>
      <x:c r="I133" s="8" t="n">
        <x:f>I131*I24*$D$114</x:f>
        <x:v>0</x:v>
      </x:c>
      <x:c r="J133" s="1"/>
      <x:c r="K133" s="1"/>
    </x:row>
    <x:row r="134" ht="30" customHeight="1">
      <x:c r="A134" s="1"/>
      <x:c r="B134" s="1"/>
      <x:c r="C134" s="64" t="str">
        <x:v>Total depreciation charge</x:v>
      </x:c>
      <x:c r="D134" s="8"/>
      <x:c r="E134" s="8" t="n">
        <x:f>E132+E133</x:f>
        <x:v>1040</x:v>
      </x:c>
      <x:c r="F134" s="8" t="n">
        <x:f>F132+F133</x:f>
        <x:v>1170.43082</x:v>
      </x:c>
      <x:c r="G134" s="8" t="n">
        <x:f>G132+G133</x:f>
        <x:v>1316.4985350140003</x:v>
      </x:c>
      <x:c r="H134" s="8" t="n">
        <x:f>H132+H133</x:f>
        <x:v>1480.1694977182183</x:v>
      </x:c>
      <x:c r="I134" s="8" t="n">
        <x:f>I132+I133</x:f>
        <x:v>1663.645130526704</x:v>
      </x:c>
      <x:c r="J134" s="1"/>
      <x:c r="K134" s="1"/>
    </x:row>
    <x:row r="135" ht="30" customHeight="1">
      <x:c r="A135" s="1"/>
      <x:c r="B135" s="1"/>
      <x:c r="C135" s="64" t="str">
        <x:v>Closing net property plant and equipment</x:v>
      </x:c>
      <x:c r="D135" s="8"/>
      <x:c r="E135" s="8" t="n">
        <x:f>E130+E131-E134</x:f>
        <x:v>9003.314</x:v>
      </x:c>
      <x:c r="F135" s="8" t="n">
        <x:f>F130+F131-F134</x:f>
        <x:v>10126.911807800001</x:v>
      </x:c>
      <x:c r="G135" s="8" t="n">
        <x:f>G130+G131-G134</x:f>
        <x:v>11385.919213217063</x:v>
      </x:c>
      <x:c r="H135" s="8" t="n">
        <x:f>H130+H131-H134</x:f>
        <x:v>12797.270234820799</x:v>
      </x:c>
      <x:c r="I135" s="8" t="n">
        <x:f>I130+I131-I134</x:f>
        <x:v>14379.935191336852</x:v>
      </x:c>
      <x:c r="J135" s="1"/>
      <x:c r="K135" s="1"/>
    </x:row>
    <x:row r="136" ht="30" customHeight="1">
      <x:c r="A136" s="1"/>
      <x:c r="B136" s="1"/>
      <x:c r="C136" s="64"/>
      <x:c r="D136" s="8"/>
      <x:c r="E136" s="8"/>
      <x:c r="F136" s="8"/>
      <x:c r="G136" s="8"/>
      <x:c r="H136" s="8"/>
      <x:c r="I136" s="8"/>
      <x:c r="J136" s="1"/>
      <x:c r="K136" s="1"/>
    </x:row>
    <x:row r="137" ht="30" customHeight="1">
      <x:c r="A137" s="1"/>
      <x:c r="B137" s="1"/>
      <x:c r="C137" s="64"/>
      <x:c r="D137" s="8"/>
      <x:c r="E137" s="8"/>
      <x:c r="F137" s="8"/>
      <x:c r="G137" s="8"/>
      <x:c r="H137" s="8"/>
      <x:c r="I137" s="8"/>
      <x:c r="J137" s="1"/>
      <x:c r="K137" s="1"/>
    </x:row>
    <x:row r="138" ht="30" customHeight="1">
      <x:c r="A138" s="1"/>
      <x:c r="B138" s="1"/>
      <x:c r="C138" s="64"/>
      <x:c r="D138" s="8"/>
      <x:c r="E138" s="8"/>
      <x:c r="F138" s="8"/>
      <x:c r="G138" s="8"/>
      <x:c r="H138" s="8"/>
      <x:c r="I138" s="8"/>
      <x:c r="J138" s="1"/>
      <x:c r="K138" s="1"/>
    </x:row>
    <x:row r="139" ht="25" customHeight="1">
      <x:c r="A139" s="1"/>
      <x:c r="B139" s="1"/>
      <x:c r="C139" s="68" t="str">
        <x:v>CASH TAX SCHEDULE</x:v>
      </x:c>
      <x:c r="D139" s="69"/>
      <x:c r="E139" s="69"/>
      <x:c r="F139" s="69"/>
      <x:c r="G139" s="69"/>
      <x:c r="H139" s="69"/>
      <x:c r="I139" s="69"/>
      <x:c r="J139" s="1"/>
      <x:c r="K139" s="1"/>
    </x:row>
    <x:row r="140" ht="30" customHeight="1">
      <x:c r="A140" s="1"/>
      <x:c r="B140" s="1"/>
      <x:c r="C140" s="64" t="str">
        <x:v>Opening usable tax losses</x:v>
      </x:c>
      <x:c r="D140" s="8"/>
      <x:c r="E140" s="8" t="n">
        <x:f>$D$116</x:f>
        <x:v>0</x:v>
      </x:c>
      <x:c r="F140" s="8" t="n">
        <x:f>E145</x:f>
        <x:v>0</x:v>
      </x:c>
      <x:c r="G140" s="8" t="n">
        <x:f>F145</x:f>
        <x:v>0</x:v>
      </x:c>
      <x:c r="H140" s="8" t="n">
        <x:f>G145</x:f>
        <x:v>0</x:v>
      </x:c>
      <x:c r="I140" s="8" t="n">
        <x:f>H145</x:f>
        <x:v>0</x:v>
      </x:c>
      <x:c r="J140" s="1"/>
      <x:c r="K140" s="1"/>
    </x:row>
    <x:row r="141" ht="30" customHeight="1">
      <x:c r="A141" s="1"/>
      <x:c r="B141" s="1"/>
      <x:c r="C141" s="64" t="str">
        <x:v>Profit before tax for loss utilization</x:v>
      </x:c>
      <x:c r="D141" s="8"/>
      <x:c r="E141" s="8" t="n">
        <x:f>E56</x:f>
        <x:v>3462.84</x:v>
      </x:c>
      <x:c r="F141" s="8" t="n">
        <x:f>F56</x:f>
        <x:v>3932.2313980000017</x:v>
      </x:c>
      <x:c r="G141" s="8" t="n">
        <x:f>G56</x:f>
        <x:v>4456.976712134603</x:v>
      </x:c>
      <x:c r="H141" s="8" t="n">
        <x:f>H56</x:f>
        <x:v>5043.820162255521</x:v>
      </x:c>
      <x:c r="I141" s="8" t="n">
        <x:f>I56</x:f>
        <x:v>5700.339685725809</x:v>
      </x:c>
      <x:c r="J141" s="1"/>
      <x:c r="K141" s="1"/>
    </x:row>
    <x:row r="142" ht="30" customHeight="1">
      <x:c r="A142" s="1"/>
      <x:c r="B142" s="1"/>
      <x:c r="C142" s="64" t="str">
        <x:v>Tax losses utilized</x:v>
      </x:c>
      <x:c r="D142" s="8"/>
      <x:c r="E142" s="8" t="n">
        <x:f>MIN(E140,MAX(0,E141)*$D$117)</x:f>
        <x:v>0</x:v>
      </x:c>
      <x:c r="F142" s="8" t="n">
        <x:f>MIN(F140,MAX(0,F141)*$D$117)</x:f>
        <x:v>0</x:v>
      </x:c>
      <x:c r="G142" s="8" t="n">
        <x:f>MIN(G140,MAX(0,G141)*$D$117)</x:f>
        <x:v>0</x:v>
      </x:c>
      <x:c r="H142" s="8" t="n">
        <x:f>MIN(H140,MAX(0,H141)*$D$117)</x:f>
        <x:v>0</x:v>
      </x:c>
      <x:c r="I142" s="8" t="n">
        <x:f>MIN(I140,MAX(0,I141)*$D$117)</x:f>
        <x:v>0</x:v>
      </x:c>
      <x:c r="J142" s="1"/>
      <x:c r="K142" s="1"/>
    </x:row>
    <x:row r="143" ht="30" customHeight="1">
      <x:c r="A143" s="1"/>
      <x:c r="B143" s="1"/>
      <x:c r="C143" s="64" t="str">
        <x:v>Taxable profit after loss utilization</x:v>
      </x:c>
      <x:c r="D143" s="8"/>
      <x:c r="E143" s="8" t="n">
        <x:f>MAX(0,E141-E142)</x:f>
        <x:v>3462.84</x:v>
      </x:c>
      <x:c r="F143" s="8" t="n">
        <x:f>MAX(0,F141-F142)</x:f>
        <x:v>3932.2313980000017</x:v>
      </x:c>
      <x:c r="G143" s="8" t="n">
        <x:f>MAX(0,G141-G142)</x:f>
        <x:v>4456.976712134603</x:v>
      </x:c>
      <x:c r="H143" s="8" t="n">
        <x:f>MAX(0,H141-H142)</x:f>
        <x:v>5043.820162255521</x:v>
      </x:c>
      <x:c r="I143" s="8" t="n">
        <x:f>MAX(0,I141-I142)</x:f>
        <x:v>5700.339685725809</x:v>
      </x:c>
      <x:c r="J143" s="1"/>
      <x:c r="K143" s="1"/>
    </x:row>
    <x:row r="144" ht="30" customHeight="1">
      <x:c r="A144" s="1"/>
      <x:c r="B144" s="1"/>
      <x:c r="C144" s="64" t="str">
        <x:v>Cash income tax after loss utilization</x:v>
      </x:c>
      <x:c r="D144" s="8"/>
      <x:c r="E144" s="8" t="n">
        <x:f>E143*E28</x:f>
        <x:v>865.71</x:v>
      </x:c>
      <x:c r="F144" s="8" t="n">
        <x:f>F143*F28</x:f>
        <x:v>983.0578495000004</x:v>
      </x:c>
      <x:c r="G144" s="8" t="n">
        <x:f>G143*G28</x:f>
        <x:v>1114.2441780336508</x:v>
      </x:c>
      <x:c r="H144" s="8" t="n">
        <x:f>H143*H28</x:f>
        <x:v>1260.9550405638802</x:v>
      </x:c>
      <x:c r="I144" s="8" t="n">
        <x:f>I143*I28</x:f>
        <x:v>1425.0849214314524</x:v>
      </x:c>
      <x:c r="J144" s="1"/>
      <x:c r="K144" s="1"/>
    </x:row>
    <x:row r="145" ht="30" customHeight="1">
      <x:c r="A145" s="1"/>
      <x:c r="B145" s="1"/>
      <x:c r="C145" s="64" t="str">
        <x:v>Closing usable tax losses</x:v>
      </x:c>
      <x:c r="D145" s="8"/>
      <x:c r="E145" s="8" t="n">
        <x:f>E140-E142+MAX(0,-E141)</x:f>
        <x:v>0</x:v>
      </x:c>
      <x:c r="F145" s="8" t="n">
        <x:f>F140-F142+MAX(0,-F141)</x:f>
        <x:v>0</x:v>
      </x:c>
      <x:c r="G145" s="8" t="n">
        <x:f>G140-G142+MAX(0,-G141)</x:f>
        <x:v>0</x:v>
      </x:c>
      <x:c r="H145" s="8" t="n">
        <x:f>H140-H142+MAX(0,-H141)</x:f>
        <x:v>0</x:v>
      </x:c>
      <x:c r="I145" s="8" t="n">
        <x:f>I140-I142+MAX(0,-I141)</x:f>
        <x:v>0</x:v>
      </x:c>
      <x:c r="J145" s="1"/>
      <x:c r="K145" s="1"/>
    </x:row>
    <x:row r="146" ht="30" customHeight="1">
      <x:c r="A146" s="1"/>
      <x:c r="B146" s="1"/>
      <x:c r="C146" s="64"/>
      <x:c r="D146" s="8"/>
      <x:c r="E146" s="8"/>
      <x:c r="F146" s="8"/>
      <x:c r="G146" s="8"/>
      <x:c r="H146" s="8"/>
      <x:c r="I146" s="8"/>
      <x:c r="J146" s="1"/>
      <x:c r="K146" s="1"/>
    </x:row>
    <x:row r="147" ht="30" customHeight="1">
      <x:c r="A147" s="1"/>
      <x:c r="B147" s="1"/>
      <x:c r="C147" s="64"/>
      <x:c r="D147" s="8"/>
      <x:c r="E147" s="8"/>
      <x:c r="F147" s="8"/>
      <x:c r="G147" s="8"/>
      <x:c r="H147" s="8"/>
      <x:c r="I147" s="8"/>
      <x:c r="J147" s="1"/>
      <x:c r="K147" s="1"/>
    </x:row>
    <x:row r="148" ht="30" customHeight="1">
      <x:c r="A148" s="1"/>
      <x:c r="B148" s="1"/>
      <x:c r="C148" s="64"/>
      <x:c r="D148" s="8"/>
      <x:c r="E148" s="8"/>
      <x:c r="F148" s="8"/>
      <x:c r="G148" s="8"/>
      <x:c r="H148" s="8"/>
      <x:c r="I148" s="8"/>
      <x:c r="J148" s="1"/>
      <x:c r="K148" s="1"/>
    </x:row>
    <x:row r="149" ht="30" customHeight="1">
      <x:c r="A149" s="1"/>
      <x:c r="B149" s="1"/>
      <x:c r="C149" s="64"/>
      <x:c r="D149" s="8"/>
      <x:c r="E149" s="8"/>
      <x:c r="F149" s="8"/>
      <x:c r="G149" s="8"/>
      <x:c r="H149" s="8"/>
      <x:c r="I149" s="8"/>
      <x:c r="J149" s="1"/>
      <x:c r="K149" s="1"/>
    </x:row>
    <x:row r="150" ht="30" customHeight="1">
      <x:c r="A150" s="1"/>
      <x:c r="B150" s="1"/>
      <x:c r="C150" s="64"/>
      <x:c r="D150" s="8"/>
      <x:c r="E150" s="8"/>
      <x:c r="F150" s="8"/>
      <x:c r="G150" s="8"/>
      <x:c r="H150" s="8"/>
      <x:c r="I150" s="8"/>
      <x:c r="J150" s="1"/>
      <x:c r="K150" s="1"/>
    </x:row>
    <x:row r="151" ht="30" customHeight="1">
      <x:c r="A151" s="1"/>
      <x:c r="B151" s="1"/>
      <x:c r="C151" s="64"/>
      <x:c r="D151" s="8"/>
      <x:c r="E151" s="8"/>
      <x:c r="F151" s="8"/>
      <x:c r="G151" s="8"/>
      <x:c r="H151" s="8"/>
      <x:c r="I151" s="8"/>
      <x:c r="J151" s="1"/>
      <x:c r="K151" s="1"/>
    </x:row>
    <x:row r="152" ht="30" customHeight="1">
      <x:c r="A152" s="1"/>
      <x:c r="B152" s="1"/>
      <x:c r="C152" s="64"/>
      <x:c r="D152" s="8"/>
      <x:c r="E152" s="8"/>
      <x:c r="F152" s="8"/>
      <x:c r="G152" s="8"/>
      <x:c r="H152" s="8"/>
      <x:c r="I152" s="8"/>
      <x:c r="J152" s="1"/>
      <x:c r="K152" s="1"/>
    </x:row>
    <x:row r="153" ht="30" customHeight="1">
      <x:c r="A153" s="1"/>
      <x:c r="B153" s="1"/>
      <x:c r="C153" s="64"/>
      <x:c r="D153" s="8"/>
      <x:c r="E153" s="8"/>
      <x:c r="F153" s="8"/>
      <x:c r="G153" s="8"/>
      <x:c r="H153" s="8"/>
      <x:c r="I153" s="8"/>
      <x:c r="J153" s="1"/>
      <x:c r="K153" s="1"/>
    </x:row>
    <x:row r="154" ht="30" customHeight="1">
      <x:c r="A154" s="1"/>
      <x:c r="B154" s="1"/>
      <x:c r="C154" s="64"/>
      <x:c r="D154" s="8"/>
      <x:c r="E154" s="8"/>
      <x:c r="F154" s="8"/>
      <x:c r="G154" s="8"/>
      <x:c r="H154" s="8"/>
      <x:c r="I154" s="8"/>
      <x:c r="J154" s="1"/>
      <x:c r="K154" s="1"/>
    </x:row>
    <x:row r="155" ht="30" customHeight="1">
      <x:c r="A155" s="1"/>
      <x:c r="B155" s="1"/>
      <x:c r="C155" s="64"/>
      <x:c r="D155" s="8"/>
      <x:c r="E155" s="8"/>
      <x:c r="F155" s="8"/>
      <x:c r="G155" s="8"/>
      <x:c r="H155" s="8"/>
      <x:c r="I155" s="8"/>
      <x:c r="J155" s="1"/>
      <x:c r="K155" s="1"/>
    </x:row>
    <x:row r="156" ht="30" customHeight="1">
      <x:c r="A156" s="1"/>
      <x:c r="B156" s="1"/>
      <x:c r="C156" s="64"/>
      <x:c r="D156" s="8"/>
      <x:c r="E156" s="8"/>
      <x:c r="F156" s="8"/>
      <x:c r="G156" s="8"/>
      <x:c r="H156" s="8"/>
      <x:c r="I156" s="8"/>
      <x:c r="J156" s="1"/>
      <x:c r="K156" s="1"/>
    </x:row>
    <x:row r="157" ht="30" customHeight="1">
      <x:c r="A157" s="1"/>
      <x:c r="B157" s="1"/>
      <x:c r="C157" s="64"/>
      <x:c r="D157" s="8"/>
      <x:c r="E157" s="8"/>
      <x:c r="F157" s="8"/>
      <x:c r="G157" s="8"/>
      <x:c r="H157" s="8"/>
      <x:c r="I157" s="8"/>
      <x:c r="J157" s="1"/>
      <x:c r="K157" s="1"/>
    </x:row>
    <x:row r="158" ht="30" customHeight="1">
      <x:c r="A158" s="1"/>
      <x:c r="B158" s="1"/>
      <x:c r="C158" s="64"/>
      <x:c r="D158" s="8"/>
      <x:c r="E158" s="8"/>
      <x:c r="F158" s="8"/>
      <x:c r="G158" s="8"/>
      <x:c r="H158" s="8"/>
      <x:c r="I158" s="8"/>
      <x:c r="J158" s="1"/>
      <x:c r="K158" s="1"/>
    </x:row>
    <x:row r="159" ht="30" customHeight="1">
      <x:c r="A159" s="1"/>
      <x:c r="B159" s="1"/>
      <x:c r="C159" s="64"/>
      <x:c r="D159" s="8"/>
      <x:c r="E159" s="8"/>
      <x:c r="F159" s="8"/>
      <x:c r="G159" s="8"/>
      <x:c r="H159" s="8"/>
      <x:c r="I159" s="8"/>
      <x:c r="J159" s="1"/>
      <x:c r="K159" s="1"/>
    </x:row>
    <x:row r="160" ht="30" customHeight="1">
      <x:c r="A160" s="1"/>
      <x:c r="B160" s="1"/>
      <x:c r="C160" s="64"/>
      <x:c r="D160" s="8"/>
      <x:c r="E160" s="8"/>
      <x:c r="F160" s="8"/>
      <x:c r="G160" s="8"/>
      <x:c r="H160" s="8"/>
      <x:c r="I160" s="8"/>
      <x:c r="J160" s="1"/>
      <x:c r="K160" s="1"/>
    </x:row>
    <x:row r="161" ht="30" customHeight="1">
      <x:c r="A161" s="1"/>
      <x:c r="B161" s="1"/>
      <x:c r="C161" s="64"/>
      <x:c r="D161" s="8"/>
      <x:c r="E161" s="8"/>
      <x:c r="F161" s="8"/>
      <x:c r="G161" s="8"/>
      <x:c r="H161" s="8"/>
      <x:c r="I161" s="8"/>
      <x:c r="J161" s="1"/>
      <x:c r="K161" s="1"/>
    </x:row>
    <x:row r="162" ht="30" customHeight="1">
      <x:c r="A162" s="1"/>
      <x:c r="B162" s="1"/>
      <x:c r="C162" s="64"/>
      <x:c r="D162" s="8"/>
      <x:c r="E162" s="8"/>
      <x:c r="F162" s="8"/>
      <x:c r="G162" s="8"/>
      <x:c r="H162" s="8"/>
      <x:c r="I162" s="8"/>
      <x:c r="J162" s="1"/>
      <x:c r="K162" s="1"/>
    </x:row>
    <x:row r="163" ht="30" customHeight="1">
      <x:c r="A163" s="1"/>
      <x:c r="B163" s="1"/>
      <x:c r="C163" s="64"/>
      <x:c r="D163" s="8"/>
      <x:c r="E163" s="8"/>
      <x:c r="F163" s="8"/>
      <x:c r="G163" s="8"/>
      <x:c r="H163" s="8"/>
      <x:c r="I163" s="8"/>
      <x:c r="J163" s="1"/>
      <x:c r="K163" s="1"/>
    </x:row>
    <x:row r="164" ht="30" customHeight="1">
      <x:c r="A164" s="1"/>
      <x:c r="B164" s="1"/>
      <x:c r="C164" s="64"/>
      <x:c r="D164" s="8"/>
      <x:c r="E164" s="8"/>
      <x:c r="F164" s="8"/>
      <x:c r="G164" s="8"/>
      <x:c r="H164" s="8"/>
      <x:c r="I164" s="8"/>
      <x:c r="J164" s="1"/>
      <x:c r="K164" s="1"/>
    </x:row>
    <x:row r="165" ht="30" customHeight="1">
      <x:c r="A165" s="1"/>
      <x:c r="B165" s="1"/>
      <x:c r="C165" s="64"/>
      <x:c r="D165" s="8"/>
      <x:c r="E165" s="8"/>
      <x:c r="F165" s="8"/>
      <x:c r="G165" s="8"/>
      <x:c r="H165" s="8"/>
      <x:c r="I165" s="8"/>
      <x:c r="J165" s="1"/>
      <x:c r="K165" s="1"/>
    </x:row>
    <x:row r="166" ht="30" customHeight="1">
      <x:c r="A166" s="1"/>
      <x:c r="B166" s="1"/>
      <x:c r="C166" s="64"/>
      <x:c r="D166" s="8"/>
      <x:c r="E166" s="8"/>
      <x:c r="F166" s="8"/>
      <x:c r="G166" s="8"/>
      <x:c r="H166" s="8"/>
      <x:c r="I166" s="8"/>
      <x:c r="J166" s="1"/>
      <x:c r="K166" s="1"/>
    </x:row>
    <x:row r="167" ht="30" customHeight="1">
      <x:c r="A167" s="1"/>
      <x:c r="B167" s="1"/>
      <x:c r="C167" s="64"/>
      <x:c r="D167" s="8"/>
      <x:c r="E167" s="8"/>
      <x:c r="F167" s="8"/>
      <x:c r="G167" s="8"/>
      <x:c r="H167" s="8"/>
      <x:c r="I167" s="8"/>
      <x:c r="J167" s="1"/>
      <x:c r="K167" s="1"/>
    </x:row>
    <x:row r="168" ht="30" customHeight="1">
      <x:c r="A168" s="1"/>
      <x:c r="B168" s="1"/>
      <x:c r="C168" s="64"/>
      <x:c r="D168" s="8"/>
      <x:c r="E168" s="8"/>
      <x:c r="F168" s="8"/>
      <x:c r="G168" s="8"/>
      <x:c r="H168" s="8"/>
      <x:c r="I168" s="8"/>
      <x:c r="J168" s="1"/>
      <x:c r="K168" s="1"/>
    </x:row>
    <x:row r="169" ht="30" customHeight="1">
      <x:c r="A169" s="1"/>
      <x:c r="B169" s="1"/>
      <x:c r="C169" s="64"/>
      <x:c r="D169" s="8"/>
      <x:c r="E169" s="8"/>
      <x:c r="F169" s="8"/>
      <x:c r="G169" s="8"/>
      <x:c r="H169" s="8"/>
      <x:c r="I169" s="8"/>
      <x:c r="J169" s="1"/>
      <x:c r="K169" s="1"/>
    </x:row>
    <x:row r="170" ht="30" customHeight="1">
      <x:c r="A170" s="1"/>
      <x:c r="B170" s="1"/>
      <x:c r="C170" s="64"/>
      <x:c r="D170" s="8"/>
      <x:c r="E170" s="8"/>
      <x:c r="F170" s="8"/>
      <x:c r="G170" s="8"/>
      <x:c r="H170" s="8"/>
      <x:c r="I170" s="8"/>
      <x:c r="J170" s="1"/>
      <x:c r="K170" s="1"/>
    </x:row>
    <x:row r="171" ht="30" customHeight="1">
      <x:c r="A171" s="1"/>
      <x:c r="B171" s="1"/>
      <x:c r="C171" s="64"/>
      <x:c r="D171" s="8"/>
      <x:c r="E171" s="8"/>
      <x:c r="F171" s="8"/>
      <x:c r="G171" s="8"/>
      <x:c r="H171" s="8"/>
      <x:c r="I171" s="8"/>
      <x:c r="J171" s="1"/>
      <x:c r="K171" s="1"/>
    </x:row>
    <x:row r="172" ht="30" customHeight="1">
      <x:c r="A172" s="1"/>
      <x:c r="B172" s="1"/>
      <x:c r="C172" s="64"/>
      <x:c r="D172" s="8"/>
      <x:c r="E172" s="8"/>
      <x:c r="F172" s="8"/>
      <x:c r="G172" s="8"/>
      <x:c r="H172" s="8"/>
      <x:c r="I172" s="8"/>
      <x:c r="J172" s="1"/>
      <x:c r="K172" s="1"/>
    </x:row>
    <x:row r="173" ht="30" customHeight="1">
      <x:c r="A173" s="1"/>
      <x:c r="B173" s="1"/>
      <x:c r="C173" s="64"/>
      <x:c r="D173" s="8"/>
      <x:c r="E173" s="8"/>
      <x:c r="F173" s="8"/>
      <x:c r="G173" s="8"/>
      <x:c r="H173" s="8"/>
      <x:c r="I173" s="8"/>
      <x:c r="J173" s="1"/>
      <x:c r="K173" s="1"/>
    </x:row>
    <x:row r="174" ht="30" customHeight="1">
      <x:c r="A174" s="1"/>
      <x:c r="B174" s="1"/>
      <x:c r="C174" s="64"/>
      <x:c r="D174" s="8"/>
      <x:c r="E174" s="8"/>
      <x:c r="F174" s="8"/>
      <x:c r="G174" s="8"/>
      <x:c r="H174" s="8"/>
      <x:c r="I174" s="8"/>
      <x:c r="J174" s="1"/>
      <x:c r="K174" s="1"/>
    </x:row>
    <x:row r="175" ht="30" customHeight="1">
      <x:c r="A175" s="1"/>
      <x:c r="B175" s="1"/>
      <x:c r="C175" s="64"/>
      <x:c r="D175" s="8"/>
      <x:c r="E175" s="8"/>
      <x:c r="F175" s="8"/>
      <x:c r="G175" s="8"/>
      <x:c r="H175" s="8"/>
      <x:c r="I175" s="8"/>
      <x:c r="J175" s="1"/>
      <x:c r="K175" s="1"/>
    </x:row>
    <x:row r="176" ht="30" customHeight="1">
      <x:c r="A176" s="1"/>
      <x:c r="B176" s="1"/>
      <x:c r="C176" s="64"/>
      <x:c r="D176" s="8"/>
      <x:c r="E176" s="8"/>
      <x:c r="F176" s="8"/>
      <x:c r="G176" s="8"/>
      <x:c r="H176" s="8"/>
      <x:c r="I176" s="8"/>
      <x:c r="J176" s="1"/>
      <x:c r="K176" s="1"/>
    </x:row>
    <x:row r="177" ht="30" customHeight="1">
      <x:c r="A177" s="1"/>
      <x:c r="B177" s="1"/>
      <x:c r="C177" s="64"/>
      <x:c r="D177" s="8"/>
      <x:c r="E177" s="8"/>
      <x:c r="F177" s="8"/>
      <x:c r="G177" s="8"/>
      <x:c r="H177" s="8"/>
      <x:c r="I177" s="8"/>
      <x:c r="J177" s="1"/>
      <x:c r="K177" s="1"/>
    </x:row>
    <x:row r="178" ht="30" customHeight="1">
      <x:c r="A178" s="1"/>
      <x:c r="B178" s="1"/>
      <x:c r="C178" s="64"/>
      <x:c r="D178" s="8"/>
      <x:c r="E178" s="8"/>
      <x:c r="F178" s="8"/>
      <x:c r="G178" s="8"/>
      <x:c r="H178" s="8"/>
      <x:c r="I178" s="8"/>
      <x:c r="J178" s="1"/>
      <x:c r="K178" s="1"/>
    </x:row>
    <x:row r="179" ht="25" customHeight="1">
      <x:c r="A179" s="1"/>
      <x:c r="B179" s="1"/>
      <x:c r="C179" s="68" t="str">
        <x:v>MODEL CHECKS</x:v>
      </x:c>
      <x:c r="D179" s="69"/>
      <x:c r="E179" s="69"/>
      <x:c r="F179" s="69"/>
      <x:c r="G179" s="69"/>
      <x:c r="H179" s="69"/>
      <x:c r="I179" s="69"/>
      <x:c r="J179" s="1"/>
      <x:c r="K179" s="1"/>
    </x:row>
    <x:row r="180" ht="30" customHeight="1">
      <x:c r="A180" s="1"/>
      <x:c r="B180" s="1"/>
      <x:c r="C180" s="64" t="str">
        <x:v>Wholesale vehicles (units) — seed input outside bounds</x:v>
      </x:c>
      <x:c r="D180" s="8"/>
      <x:c r="E180" s="75" t="n">
        <x:f>IF(COUNT(D10)=0,1,IF(D10&lt;0,1,0))</x:f>
        <x:v>0</x:v>
      </x:c>
      <x:c r="F180" s="75" t="n">
        <x:f>IF(COUNT(D10)=0,1,IF(D10&lt;0,1,0))</x:f>
        <x:v>0</x:v>
      </x:c>
      <x:c r="G180" s="75" t="n">
        <x:f>IF(COUNT(D10)=0,1,IF(D10&lt;0,1,0))</x:f>
        <x:v>0</x:v>
      </x:c>
      <x:c r="H180" s="75" t="n">
        <x:f>IF(COUNT(D10)=0,1,IF(D10&lt;0,1,0))</x:f>
        <x:v>0</x:v>
      </x:c>
      <x:c r="I180" s="75" t="n">
        <x:f>IF(COUNT(D10)=0,1,IF(D10&lt;0,1,0))</x:f>
        <x:v>0</x:v>
      </x:c>
      <x:c r="J180" s="1"/>
      <x:c r="K180" s="1"/>
    </x:row>
    <x:row r="181" ht="30" customHeight="1">
      <x:c r="A181" s="1"/>
      <x:c r="B181" s="1"/>
      <x:c r="C181" s="64" t="str">
        <x:v>Net realization (INR lakh per vehicle) — seed input outside bounds</x:v>
      </x:c>
      <x:c r="D181" s="8"/>
      <x:c r="E181" s="75" t="n">
        <x:f>IF(COUNT(D11)=0,1,IF(D11&lt;0,1,0))</x:f>
        <x:v>0</x:v>
      </x:c>
      <x:c r="F181" s="75" t="n">
        <x:f>IF(COUNT(D11)=0,1,IF(D11&lt;0,1,0))</x:f>
        <x:v>0</x:v>
      </x:c>
      <x:c r="G181" s="75" t="n">
        <x:f>IF(COUNT(D11)=0,1,IF(D11&lt;0,1,0))</x:f>
        <x:v>0</x:v>
      </x:c>
      <x:c r="H181" s="75" t="n">
        <x:f>IF(COUNT(D11)=0,1,IF(D11&lt;0,1,0))</x:f>
        <x:v>0</x:v>
      </x:c>
      <x:c r="I181" s="75" t="n">
        <x:f>IF(COUNT(D11)=0,1,IF(D11&lt;0,1,0))</x:f>
        <x:v>0</x:v>
      </x:c>
      <x:c r="J181" s="1"/>
      <x:c r="K181" s="1"/>
    </x:row>
    <x:row r="182" ht="30" customHeight="1">
      <x:c r="A182" s="1"/>
      <x:c r="B182" s="1"/>
      <x:c r="C182" s="64" t="str">
        <x:v>Operating scale growth input outside bounds</x:v>
      </x:c>
      <x:c r="D182" s="8"/>
      <x:c r="E182" s="75" t="n">
        <x:f>IF(COUNT(E12)=0,1,IF(E12&lt;-1,1,0))</x:f>
        <x:v>0</x:v>
      </x:c>
      <x:c r="F182" s="75" t="n">
        <x:f>IF(COUNT(F12)=0,1,IF(F12&lt;-1,1,0))</x:f>
        <x:v>0</x:v>
      </x:c>
      <x:c r="G182" s="75" t="n">
        <x:f>IF(COUNT(G12)=0,1,IF(G12&lt;-1,1,0))</x:f>
        <x:v>0</x:v>
      </x:c>
      <x:c r="H182" s="75" t="n">
        <x:f>IF(COUNT(H12)=0,1,IF(H12&lt;-1,1,0))</x:f>
        <x:v>0</x:v>
      </x:c>
      <x:c r="I182" s="75" t="n">
        <x:f>IF(COUNT(I12)=0,1,IF(I12&lt;-1,1,0))</x:f>
        <x:v>0</x:v>
      </x:c>
      <x:c r="J182" s="1"/>
      <x:c r="K182" s="1"/>
    </x:row>
    <x:row r="183" ht="30" customHeight="1">
      <x:c r="A183" s="1"/>
      <x:c r="B183" s="1"/>
      <x:c r="C183" s="64" t="str">
        <x:v>Realization growth input outside bounds</x:v>
      </x:c>
      <x:c r="D183" s="8"/>
      <x:c r="E183" s="75" t="n">
        <x:f>IF(COUNT(E16)=0,1,IF(E16&lt;-1,1,0))</x:f>
        <x:v>0</x:v>
      </x:c>
      <x:c r="F183" s="75" t="n">
        <x:f>IF(COUNT(F16)=0,1,IF(F16&lt;-1,1,0))</x:f>
        <x:v>0</x:v>
      </x:c>
      <x:c r="G183" s="75" t="n">
        <x:f>IF(COUNT(G16)=0,1,IF(G16&lt;-1,1,0))</x:f>
        <x:v>0</x:v>
      </x:c>
      <x:c r="H183" s="75" t="n">
        <x:f>IF(COUNT(H16)=0,1,IF(H16&lt;-1,1,0))</x:f>
        <x:v>0</x:v>
      </x:c>
      <x:c r="I183" s="75" t="n">
        <x:f>IF(COUNT(I16)=0,1,IF(I16&lt;-1,1,0))</x:f>
        <x:v>0</x:v>
      </x:c>
      <x:c r="J183" s="1"/>
      <x:c r="K183" s="1"/>
    </x:row>
    <x:row r="184" ht="30" customHeight="1">
      <x:c r="A184" s="1"/>
      <x:c r="B184" s="1"/>
      <x:c r="C184" s="64" t="str">
        <x:v>Capacity utilization input outside bounds</x:v>
      </x:c>
      <x:c r="D184" s="8"/>
      <x:c r="E184" s="75" t="n">
        <x:f>IF(COUNT(E20)=0,1,IF(E20&lt;0,1,IF(E20&gt;1,1,0)))</x:f>
        <x:v>0</x:v>
      </x:c>
      <x:c r="F184" s="75" t="n">
        <x:f>IF(COUNT(F20)=0,1,IF(F20&lt;0,1,IF(F20&gt;1,1,0)))</x:f>
        <x:v>0</x:v>
      </x:c>
      <x:c r="G184" s="75" t="n">
        <x:f>IF(COUNT(G20)=0,1,IF(G20&lt;0,1,IF(G20&gt;1,1,0)))</x:f>
        <x:v>0</x:v>
      </x:c>
      <x:c r="H184" s="75" t="n">
        <x:f>IF(COUNT(H20)=0,1,IF(H20&lt;0,1,IF(H20&gt;1,1,0)))</x:f>
        <x:v>0</x:v>
      </x:c>
      <x:c r="I184" s="75" t="n">
        <x:f>IF(COUNT(I20)=0,1,IF(I20&lt;0,1,IF(I20&gt;1,1,0)))</x:f>
        <x:v>0</x:v>
      </x:c>
      <x:c r="J184" s="1"/>
      <x:c r="K184" s="1"/>
    </x:row>
    <x:row r="185" ht="30" customHeight="1">
      <x:c r="A185" s="1"/>
      <x:c r="B185" s="1"/>
      <x:c r="C185" s="64" t="str">
        <x:v>Material and variable production / revenue input outside bounds</x:v>
      </x:c>
      <x:c r="D185" s="8"/>
      <x:c r="E185" s="75" t="n">
        <x:f>IF(COUNT(E21)=0,1,IF(E21&lt;0,1,0))</x:f>
        <x:v>0</x:v>
      </x:c>
      <x:c r="F185" s="75" t="n">
        <x:f>IF(COUNT(F21)=0,1,IF(F21&lt;0,1,0))</x:f>
        <x:v>0</x:v>
      </x:c>
      <x:c r="G185" s="75" t="n">
        <x:f>IF(COUNT(G21)=0,1,IF(G21&lt;0,1,0))</x:f>
        <x:v>0</x:v>
      </x:c>
      <x:c r="H185" s="75" t="n">
        <x:f>IF(COUNT(H21)=0,1,IF(H21&lt;0,1,0))</x:f>
        <x:v>0</x:v>
      </x:c>
      <x:c r="I185" s="75" t="n">
        <x:f>IF(COUNT(I21)=0,1,IF(I21&lt;0,1,0))</x:f>
        <x:v>0</x:v>
      </x:c>
      <x:c r="J185" s="1"/>
      <x:c r="K185" s="1"/>
    </x:row>
    <x:row r="186" ht="30" customHeight="1">
      <x:c r="A186" s="1"/>
      <x:c r="B186" s="1"/>
      <x:c r="C186" s="64" t="str">
        <x:v>Other cash operating costs / revenue input outside bounds</x:v>
      </x:c>
      <x:c r="D186" s="8"/>
      <x:c r="E186" s="75" t="n">
        <x:f>IF(COUNT(E22)=0,1,IF(E22&lt;0,1,0))</x:f>
        <x:v>0</x:v>
      </x:c>
      <x:c r="F186" s="75" t="n">
        <x:f>IF(COUNT(F22)=0,1,IF(F22&lt;0,1,0))</x:f>
        <x:v>0</x:v>
      </x:c>
      <x:c r="G186" s="75" t="n">
        <x:f>IF(COUNT(G22)=0,1,IF(G22&lt;0,1,0))</x:f>
        <x:v>0</x:v>
      </x:c>
      <x:c r="H186" s="75" t="n">
        <x:f>IF(COUNT(H22)=0,1,IF(H22&lt;0,1,0))</x:f>
        <x:v>0</x:v>
      </x:c>
      <x:c r="I186" s="75" t="n">
        <x:f>IF(COUNT(I22)=0,1,IF(I22&lt;0,1,0))</x:f>
        <x:v>0</x:v>
      </x:c>
      <x:c r="J186" s="1"/>
      <x:c r="K186" s="1"/>
    </x:row>
    <x:row r="187" ht="30" customHeight="1">
      <x:c r="A187" s="1"/>
      <x:c r="B187" s="1"/>
      <x:c r="C187" s="64" t="str">
        <x:v>Cash capex / revenue input outside bounds</x:v>
      </x:c>
      <x:c r="D187" s="8"/>
      <x:c r="E187" s="75" t="n">
        <x:f>IF(COUNT(E23)=0,1,IF(E23&lt;0,1,0))</x:f>
        <x:v>0</x:v>
      </x:c>
      <x:c r="F187" s="75" t="n">
        <x:f>IF(COUNT(F23)=0,1,IF(F23&lt;0,1,0))</x:f>
        <x:v>0</x:v>
      </x:c>
      <x:c r="G187" s="75" t="n">
        <x:f>IF(COUNT(G23)=0,1,IF(G23&lt;0,1,0))</x:f>
        <x:v>0</x:v>
      </x:c>
      <x:c r="H187" s="75" t="n">
        <x:f>IF(COUNT(H23)=0,1,IF(H23&lt;0,1,0))</x:f>
        <x:v>0</x:v>
      </x:c>
      <x:c r="I187" s="75" t="n">
        <x:f>IF(COUNT(I23)=0,1,IF(I23&lt;0,1,0))</x:f>
        <x:v>0</x:v>
      </x:c>
      <x:c r="J187" s="1"/>
      <x:c r="K187" s="1"/>
    </x:row>
    <x:row r="188" ht="30" customHeight="1">
      <x:c r="A188" s="1"/>
      <x:c r="B188" s="1"/>
      <x:c r="C188" s="64" t="str">
        <x:v>D&amp;A / opening net PP&amp;E input outside bounds</x:v>
      </x:c>
      <x:c r="D188" s="8"/>
      <x:c r="E188" s="75" t="n">
        <x:f>IF(COUNT(E24)=0,1,IF(E24&lt;0,1,IF(E24&gt;1,1,0)))</x:f>
        <x:v>0</x:v>
      </x:c>
      <x:c r="F188" s="75" t="n">
        <x:f>IF(COUNT(F24)=0,1,IF(F24&lt;0,1,IF(F24&gt;1,1,0)))</x:f>
        <x:v>0</x:v>
      </x:c>
      <x:c r="G188" s="75" t="n">
        <x:f>IF(COUNT(G24)=0,1,IF(G24&lt;0,1,IF(G24&gt;1,1,0)))</x:f>
        <x:v>0</x:v>
      </x:c>
      <x:c r="H188" s="75" t="n">
        <x:f>IF(COUNT(H24)=0,1,IF(H24&lt;0,1,IF(H24&gt;1,1,0)))</x:f>
        <x:v>0</x:v>
      </x:c>
      <x:c r="I188" s="75" t="n">
        <x:f>IF(COUNT(I24)=0,1,IF(I24&lt;0,1,IF(I24&gt;1,1,0)))</x:f>
        <x:v>0</x:v>
      </x:c>
      <x:c r="J188" s="1"/>
      <x:c r="K188" s="1"/>
    </x:row>
    <x:row r="189" ht="30" customHeight="1">
      <x:c r="A189" s="1"/>
      <x:c r="B189" s="1"/>
      <x:c r="C189" s="64" t="str">
        <x:v>Receivable days input outside bounds</x:v>
      </x:c>
      <x:c r="D189" s="8"/>
      <x:c r="E189" s="75" t="n">
        <x:f>IF(COUNT(E25)=0,1,IF(E25&lt;0,1,0))</x:f>
        <x:v>0</x:v>
      </x:c>
      <x:c r="F189" s="75" t="n">
        <x:f>IF(COUNT(F25)=0,1,IF(F25&lt;0,1,0))</x:f>
        <x:v>0</x:v>
      </x:c>
      <x:c r="G189" s="75" t="n">
        <x:f>IF(COUNT(G25)=0,1,IF(G25&lt;0,1,0))</x:f>
        <x:v>0</x:v>
      </x:c>
      <x:c r="H189" s="75" t="n">
        <x:f>IF(COUNT(H25)=0,1,IF(H25&lt;0,1,0))</x:f>
        <x:v>0</x:v>
      </x:c>
      <x:c r="I189" s="75" t="n">
        <x:f>IF(COUNT(I25)=0,1,IF(I25&lt;0,1,0))</x:f>
        <x:v>0</x:v>
      </x:c>
      <x:c r="J189" s="1"/>
      <x:c r="K189" s="1"/>
    </x:row>
    <x:row r="190" ht="30" customHeight="1">
      <x:c r="A190" s="1"/>
      <x:c r="B190" s="1"/>
      <x:c r="C190" s="64" t="str">
        <x:v>Inventory days input outside bounds</x:v>
      </x:c>
      <x:c r="D190" s="8"/>
      <x:c r="E190" s="75" t="n">
        <x:f>IF(COUNT(E26)=0,1,IF(E26&lt;0,1,0))</x:f>
        <x:v>0</x:v>
      </x:c>
      <x:c r="F190" s="75" t="n">
        <x:f>IF(COUNT(F26)=0,1,IF(F26&lt;0,1,0))</x:f>
        <x:v>0</x:v>
      </x:c>
      <x:c r="G190" s="75" t="n">
        <x:f>IF(COUNT(G26)=0,1,IF(G26&lt;0,1,0))</x:f>
        <x:v>0</x:v>
      </x:c>
      <x:c r="H190" s="75" t="n">
        <x:f>IF(COUNT(H26)=0,1,IF(H26&lt;0,1,0))</x:f>
        <x:v>0</x:v>
      </x:c>
      <x:c r="I190" s="75" t="n">
        <x:f>IF(COUNT(I26)=0,1,IF(I26&lt;0,1,0))</x:f>
        <x:v>0</x:v>
      </x:c>
      <x:c r="J190" s="1"/>
      <x:c r="K190" s="1"/>
    </x:row>
    <x:row r="191" ht="30" customHeight="1">
      <x:c r="A191" s="1"/>
      <x:c r="B191" s="1"/>
      <x:c r="C191" s="64" t="str">
        <x:v>Payable days input outside bounds</x:v>
      </x:c>
      <x:c r="D191" s="8"/>
      <x:c r="E191" s="75" t="n">
        <x:f>IF(COUNT(E27)=0,1,IF(E27&lt;0,1,0))</x:f>
        <x:v>0</x:v>
      </x:c>
      <x:c r="F191" s="75" t="n">
        <x:f>IF(COUNT(F27)=0,1,IF(F27&lt;0,1,0))</x:f>
        <x:v>0</x:v>
      </x:c>
      <x:c r="G191" s="75" t="n">
        <x:f>IF(COUNT(G27)=0,1,IF(G27&lt;0,1,0))</x:f>
        <x:v>0</x:v>
      </x:c>
      <x:c r="H191" s="75" t="n">
        <x:f>IF(COUNT(H27)=0,1,IF(H27&lt;0,1,0))</x:f>
        <x:v>0</x:v>
      </x:c>
      <x:c r="I191" s="75" t="n">
        <x:f>IF(COUNT(I27)=0,1,IF(I27&lt;0,1,0))</x:f>
        <x:v>0</x:v>
      </x:c>
      <x:c r="J191" s="1"/>
      <x:c r="K191" s="1"/>
    </x:row>
    <x:row r="192" ht="30" customHeight="1">
      <x:c r="A192" s="1"/>
      <x:c r="B192" s="1"/>
      <x:c r="C192" s="64" t="str">
        <x:v>Effective cash tax rate input outside bounds</x:v>
      </x:c>
      <x:c r="D192" s="8"/>
      <x:c r="E192" s="75" t="n">
        <x:f>IF(COUNT(E28)=0,1,IF(E28&lt;0,1,IF(E28&gt;1,1,0)))</x:f>
        <x:v>0</x:v>
      </x:c>
      <x:c r="F192" s="75" t="n">
        <x:f>IF(COUNT(F28)=0,1,IF(F28&lt;0,1,IF(F28&gt;1,1,0)))</x:f>
        <x:v>0</x:v>
      </x:c>
      <x:c r="G192" s="75" t="n">
        <x:f>IF(COUNT(G28)=0,1,IF(G28&lt;0,1,IF(G28&gt;1,1,0)))</x:f>
        <x:v>0</x:v>
      </x:c>
      <x:c r="H192" s="75" t="n">
        <x:f>IF(COUNT(H28)=0,1,IF(H28&lt;0,1,IF(H28&gt;1,1,0)))</x:f>
        <x:v>0</x:v>
      </x:c>
      <x:c r="I192" s="75" t="n">
        <x:f>IF(COUNT(I28)=0,1,IF(I28&lt;0,1,IF(I28&gt;1,1,0)))</x:f>
        <x:v>0</x:v>
      </x:c>
      <x:c r="J192" s="1"/>
      <x:c r="K192" s="1"/>
    </x:row>
    <x:row r="193" ht="30" customHeight="1">
      <x:c r="A193" s="1"/>
      <x:c r="B193" s="1"/>
      <x:c r="C193" s="64" t="str">
        <x:v>Interest on opening debt input outside bounds</x:v>
      </x:c>
      <x:c r="D193" s="8"/>
      <x:c r="E193" s="75" t="n">
        <x:f>IF(COUNT(E29)=0,1,IF(E29&lt;0,1,0))</x:f>
        <x:v>0</x:v>
      </x:c>
      <x:c r="F193" s="75" t="n">
        <x:f>IF(COUNT(F29)=0,1,IF(F29&lt;0,1,0))</x:f>
        <x:v>0</x:v>
      </x:c>
      <x:c r="G193" s="75" t="n">
        <x:f>IF(COUNT(G29)=0,1,IF(G29&lt;0,1,0))</x:f>
        <x:v>0</x:v>
      </x:c>
      <x:c r="H193" s="75" t="n">
        <x:f>IF(COUNT(H29)=0,1,IF(H29&lt;0,1,0))</x:f>
        <x:v>0</x:v>
      </x:c>
      <x:c r="I193" s="75" t="n">
        <x:f>IF(COUNT(I29)=0,1,IF(I29&lt;0,1,0))</x:f>
        <x:v>0</x:v>
      </x:c>
      <x:c r="J193" s="1"/>
      <x:c r="K193" s="1"/>
    </x:row>
    <x:row r="194" ht="30" customHeight="1">
      <x:c r="A194" s="1"/>
      <x:c r="B194" s="1"/>
      <x:c r="C194" s="64" t="str">
        <x:v>New borrowing input outside bounds</x:v>
      </x:c>
      <x:c r="D194" s="8"/>
      <x:c r="E194" s="75" t="n">
        <x:f>IF(COUNT(E30)=0,1,IF(E30&lt;0,1,0))</x:f>
        <x:v>0</x:v>
      </x:c>
      <x:c r="F194" s="75" t="n">
        <x:f>IF(COUNT(F30)=0,1,IF(F30&lt;0,1,0))</x:f>
        <x:v>0</x:v>
      </x:c>
      <x:c r="G194" s="75" t="n">
        <x:f>IF(COUNT(G30)=0,1,IF(G30&lt;0,1,0))</x:f>
        <x:v>0</x:v>
      </x:c>
      <x:c r="H194" s="75" t="n">
        <x:f>IF(COUNT(H30)=0,1,IF(H30&lt;0,1,0))</x:f>
        <x:v>0</x:v>
      </x:c>
      <x:c r="I194" s="75" t="n">
        <x:f>IF(COUNT(I30)=0,1,IF(I30&lt;0,1,0))</x:f>
        <x:v>0</x:v>
      </x:c>
      <x:c r="J194" s="1"/>
      <x:c r="K194" s="1"/>
    </x:row>
    <x:row r="195" ht="30" customHeight="1">
      <x:c r="A195" s="1"/>
      <x:c r="B195" s="1"/>
      <x:c r="C195" s="64" t="str">
        <x:v>Scheduled principal repayment input outside bounds</x:v>
      </x:c>
      <x:c r="D195" s="8"/>
      <x:c r="E195" s="75" t="n">
        <x:f>IF(COUNT(E31)=0,1,IF(E31&lt;0,1,0))</x:f>
        <x:v>0</x:v>
      </x:c>
      <x:c r="F195" s="75" t="n">
        <x:f>IF(COUNT(F31)=0,1,IF(F31&lt;0,1,0))</x:f>
        <x:v>0</x:v>
      </x:c>
      <x:c r="G195" s="75" t="n">
        <x:f>IF(COUNT(G31)=0,1,IF(G31&lt;0,1,0))</x:f>
        <x:v>0</x:v>
      </x:c>
      <x:c r="H195" s="75" t="n">
        <x:f>IF(COUNT(H31)=0,1,IF(H31&lt;0,1,0))</x:f>
        <x:v>0</x:v>
      </x:c>
      <x:c r="I195" s="75" t="n">
        <x:f>IF(COUNT(I31)=0,1,IF(I31&lt;0,1,0))</x:f>
        <x:v>0</x:v>
      </x:c>
      <x:c r="J195" s="1"/>
      <x:c r="K195" s="1"/>
    </x:row>
    <x:row r="196" ht="30" customHeight="1">
      <x:c r="A196" s="1"/>
      <x:c r="B196" s="1"/>
      <x:c r="C196" s="64" t="str">
        <x:v>Dividend payout on positive PAT input outside bounds</x:v>
      </x:c>
      <x:c r="D196" s="8"/>
      <x:c r="E196" s="75" t="n">
        <x:f>IF(COUNT(E32)=0,1,IF(E32&lt;0,1,IF(E32&gt;1,1,0)))</x:f>
        <x:v>0</x:v>
      </x:c>
      <x:c r="F196" s="75" t="n">
        <x:f>IF(COUNT(F32)=0,1,IF(F32&lt;0,1,IF(F32&gt;1,1,0)))</x:f>
        <x:v>0</x:v>
      </x:c>
      <x:c r="G196" s="75" t="n">
        <x:f>IF(COUNT(G32)=0,1,IF(G32&lt;0,1,IF(G32&gt;1,1,0)))</x:f>
        <x:v>0</x:v>
      </x:c>
      <x:c r="H196" s="75" t="n">
        <x:f>IF(COUNT(H32)=0,1,IF(H32&lt;0,1,IF(H32&gt;1,1,0)))</x:f>
        <x:v>0</x:v>
      </x:c>
      <x:c r="I196" s="75" t="n">
        <x:f>IF(COUNT(I32)=0,1,IF(I32&lt;0,1,IF(I32&gt;1,1,0)))</x:f>
        <x:v>0</x:v>
      </x:c>
      <x:c r="J196" s="1"/>
      <x:c r="K196" s="1"/>
    </x:row>
    <x:row r="197" ht="30" customHeight="1">
      <x:c r="A197" s="1"/>
      <x:c r="B197" s="1"/>
      <x:c r="C197" s="64" t="str">
        <x:v>Opening net PP&amp;E input outside bounds</x:v>
      </x:c>
      <x:c r="D197" s="8"/>
      <x:c r="E197" s="75" t="n">
        <x:f>IF(COUNT(D34)=0,1,IF(D34&lt;0,1,0))</x:f>
        <x:v>0</x:v>
      </x:c>
      <x:c r="F197" s="75" t="n">
        <x:f>IF(COUNT(D34)=0,1,IF(D34&lt;0,1,0))</x:f>
        <x:v>0</x:v>
      </x:c>
      <x:c r="G197" s="75" t="n">
        <x:f>IF(COUNT(D34)=0,1,IF(D34&lt;0,1,0))</x:f>
        <x:v>0</x:v>
      </x:c>
      <x:c r="H197" s="75" t="n">
        <x:f>IF(COUNT(D34)=0,1,IF(D34&lt;0,1,0))</x:f>
        <x:v>0</x:v>
      </x:c>
      <x:c r="I197" s="75" t="n">
        <x:f>IF(COUNT(D34)=0,1,IF(D34&lt;0,1,0))</x:f>
        <x:v>0</x:v>
      </x:c>
      <x:c r="J197" s="1"/>
      <x:c r="K197" s="1"/>
    </x:row>
    <x:row r="198" ht="30" customHeight="1">
      <x:c r="A198" s="1"/>
      <x:c r="B198" s="1"/>
      <x:c r="C198" s="64" t="str">
        <x:v>Opening debt input outside bounds</x:v>
      </x:c>
      <x:c r="D198" s="8"/>
      <x:c r="E198" s="75" t="n">
        <x:f>IF(COUNT(D35)=0,1,IF(D35&lt;0,1,0))</x:f>
        <x:v>0</x:v>
      </x:c>
      <x:c r="F198" s="75" t="n">
        <x:f>IF(COUNT(D35)=0,1,IF(D35&lt;0,1,0))</x:f>
        <x:v>0</x:v>
      </x:c>
      <x:c r="G198" s="75" t="n">
        <x:f>IF(COUNT(D35)=0,1,IF(D35&lt;0,1,0))</x:f>
        <x:v>0</x:v>
      </x:c>
      <x:c r="H198" s="75" t="n">
        <x:f>IF(COUNT(D35)=0,1,IF(D35&lt;0,1,0))</x:f>
        <x:v>0</x:v>
      </x:c>
      <x:c r="I198" s="75" t="n">
        <x:f>IF(COUNT(D35)=0,1,IF(D35&lt;0,1,0))</x:f>
        <x:v>0</x:v>
      </x:c>
      <x:c r="J198" s="1"/>
      <x:c r="K198" s="1"/>
    </x:row>
    <x:row r="199" ht="30" customHeight="1">
      <x:c r="A199" s="1"/>
      <x:c r="B199" s="1"/>
      <x:c r="C199" s="64" t="str">
        <x:v>Opening cash input outside bounds</x:v>
      </x:c>
      <x:c r="D199" s="8"/>
      <x:c r="E199" s="75" t="n">
        <x:f>IF(COUNT(D36)=0,1,IF(D36&lt;0,1,0))</x:f>
        <x:v>0</x:v>
      </x:c>
      <x:c r="F199" s="75" t="n">
        <x:f>IF(COUNT(D36)=0,1,IF(D36&lt;0,1,0))</x:f>
        <x:v>0</x:v>
      </x:c>
      <x:c r="G199" s="75" t="n">
        <x:f>IF(COUNT(D36)=0,1,IF(D36&lt;0,1,0))</x:f>
        <x:v>0</x:v>
      </x:c>
      <x:c r="H199" s="75" t="n">
        <x:f>IF(COUNT(D36)=0,1,IF(D36&lt;0,1,0))</x:f>
        <x:v>0</x:v>
      </x:c>
      <x:c r="I199" s="75" t="n">
        <x:f>IF(COUNT(D36)=0,1,IF(D36&lt;0,1,0))</x:f>
        <x:v>0</x:v>
      </x:c>
      <x:c r="J199" s="1"/>
      <x:c r="K199" s="1"/>
    </x:row>
    <x:row r="200" ht="30" customHeight="1">
      <x:c r="A200" s="1"/>
      <x:c r="B200" s="1"/>
      <x:c r="C200" s="64" t="str">
        <x:v>Diluted shares (crore) input outside bounds</x:v>
      </x:c>
      <x:c r="D200" s="8"/>
      <x:c r="E200" s="75" t="n">
        <x:f>IF(COUNT(D38)=0,1,IF(D38&lt;0,1,0))</x:f>
        <x:v>0</x:v>
      </x:c>
      <x:c r="F200" s="75" t="n">
        <x:f>IF(COUNT(D38)=0,1,IF(D38&lt;0,1,0))</x:f>
        <x:v>0</x:v>
      </x:c>
      <x:c r="G200" s="75" t="n">
        <x:f>IF(COUNT(D38)=0,1,IF(D38&lt;0,1,0))</x:f>
        <x:v>0</x:v>
      </x:c>
      <x:c r="H200" s="75" t="n">
        <x:f>IF(COUNT(D38)=0,1,IF(D38&lt;0,1,0))</x:f>
        <x:v>0</x:v>
      </x:c>
      <x:c r="I200" s="75" t="n">
        <x:f>IF(COUNT(D38)=0,1,IF(D38&lt;0,1,0))</x:f>
        <x:v>0</x:v>
      </x:c>
      <x:c r="J200" s="1"/>
      <x:c r="K200" s="1"/>
    </x:row>
    <x:row r="201" ht="30" customHeight="1">
      <x:c r="A201" s="1"/>
      <x:c r="B201" s="1"/>
      <x:c r="C201" s="64" t="str">
        <x:v>WACC input outside bounds</x:v>
      </x:c>
      <x:c r="D201" s="8"/>
      <x:c r="E201" s="75" t="n">
        <x:f>IF(COUNT(D39)=0,1,IF(D39&lt;0,1,0))</x:f>
        <x:v>0</x:v>
      </x:c>
      <x:c r="F201" s="75" t="n">
        <x:f>IF(COUNT(D39)=0,1,IF(D39&lt;0,1,0))</x:f>
        <x:v>0</x:v>
      </x:c>
      <x:c r="G201" s="75" t="n">
        <x:f>IF(COUNT(D39)=0,1,IF(D39&lt;0,1,0))</x:f>
        <x:v>0</x:v>
      </x:c>
      <x:c r="H201" s="75" t="n">
        <x:f>IF(COUNT(D39)=0,1,IF(D39&lt;0,1,0))</x:f>
        <x:v>0</x:v>
      </x:c>
      <x:c r="I201" s="75" t="n">
        <x:f>IF(COUNT(D39)=0,1,IF(D39&lt;0,1,0))</x:f>
        <x:v>0</x:v>
      </x:c>
      <x:c r="J201" s="1"/>
      <x:c r="K201" s="1"/>
    </x:row>
    <x:row r="202" ht="30" customHeight="1">
      <x:c r="A202" s="1"/>
      <x:c r="B202" s="1"/>
      <x:c r="C202" s="64" t="str">
        <x:v>Terminal growth input outside bounds</x:v>
      </x:c>
      <x:c r="D202" s="8"/>
      <x:c r="E202" s="75" t="n">
        <x:f>IF(COUNT(D40)=0,1,IF(D40&lt;-1,1,0))</x:f>
        <x:v>0</x:v>
      </x:c>
      <x:c r="F202" s="75" t="n">
        <x:f>IF(COUNT(D40)=0,1,IF(D40&lt;-1,1,0))</x:f>
        <x:v>0</x:v>
      </x:c>
      <x:c r="G202" s="75" t="n">
        <x:f>IF(COUNT(D40)=0,1,IF(D40&lt;-1,1,0))</x:f>
        <x:v>0</x:v>
      </x:c>
      <x:c r="H202" s="75" t="n">
        <x:f>IF(COUNT(D40)=0,1,IF(D40&lt;-1,1,0))</x:f>
        <x:v>0</x:v>
      </x:c>
      <x:c r="I202" s="75" t="n">
        <x:f>IF(COUNT(D40)=0,1,IF(D40&lt;-1,1,0))</x:f>
        <x:v>0</x:v>
      </x:c>
      <x:c r="J202" s="1"/>
      <x:c r="K202" s="1"/>
    </x:row>
    <x:row r="203" ht="30" customHeight="1">
      <x:c r="A203" s="1"/>
      <x:c r="B203" s="1"/>
      <x:c r="C203" s="64" t="str">
        <x:v>Terminal incremental ROIC input outside bounds</x:v>
      </x:c>
      <x:c r="D203" s="8"/>
      <x:c r="E203" s="75" t="n">
        <x:f>IF(COUNT(D41)=0,1,IF(D41&lt;0,1,0))</x:f>
        <x:v>0</x:v>
      </x:c>
      <x:c r="F203" s="75" t="n">
        <x:f>IF(COUNT(D41)=0,1,IF(D41&lt;0,1,0))</x:f>
        <x:v>0</x:v>
      </x:c>
      <x:c r="G203" s="75" t="n">
        <x:f>IF(COUNT(D41)=0,1,IF(D41&lt;0,1,0))</x:f>
        <x:v>0</x:v>
      </x:c>
      <x:c r="H203" s="75" t="n">
        <x:f>IF(COUNT(D41)=0,1,IF(D41&lt;0,1,0))</x:f>
        <x:v>0</x:v>
      </x:c>
      <x:c r="I203" s="75" t="n">
        <x:f>IF(COUNT(D41)=0,1,IF(D41&lt;0,1,0))</x:f>
        <x:v>0</x:v>
      </x:c>
      <x:c r="J203" s="1"/>
      <x:c r="K203" s="1"/>
    </x:row>
    <x:row r="204" ht="30" customHeight="1">
      <x:c r="A204" s="1"/>
      <x:c r="B204" s="1"/>
      <x:c r="C204" s="64" t="str">
        <x:v>Forward EV / EBITDA input outside bounds</x:v>
      </x:c>
      <x:c r="D204" s="8"/>
      <x:c r="E204" s="75" t="n">
        <x:f>IF(COUNT(D42)=0,1,IF(D42&lt;0,1,0))</x:f>
        <x:v>0</x:v>
      </x:c>
      <x:c r="F204" s="75" t="n">
        <x:f>IF(COUNT(D42)=0,1,IF(D42&lt;0,1,0))</x:f>
        <x:v>0</x:v>
      </x:c>
      <x:c r="G204" s="75" t="n">
        <x:f>IF(COUNT(D42)=0,1,IF(D42&lt;0,1,0))</x:f>
        <x:v>0</x:v>
      </x:c>
      <x:c r="H204" s="75" t="n">
        <x:f>IF(COUNT(D42)=0,1,IF(D42&lt;0,1,0))</x:f>
        <x:v>0</x:v>
      </x:c>
      <x:c r="I204" s="75" t="n">
        <x:f>IF(COUNT(D42)=0,1,IF(D42&lt;0,1,0))</x:f>
        <x:v>0</x:v>
      </x:c>
      <x:c r="J204" s="1"/>
      <x:c r="K204" s="1"/>
    </x:row>
    <x:row r="205" ht="30" customHeight="1">
      <x:c r="A205" s="1"/>
      <x:c r="B205" s="1"/>
      <x:c r="C205" s="64" t="str">
        <x:v>Terminal valuation assumptions invalid</x:v>
      </x:c>
      <x:c r="D205" s="8"/>
      <x:c r="E205" s="75" t="n">
        <x:f>IF(D39&lt;=D40,1,IF(D41&lt;=0,1,IF(D40&gt;D41,1,0)))</x:f>
        <x:v>0</x:v>
      </x:c>
      <x:c r="F205" s="75" t="n">
        <x:f>IF(D39&lt;=D40,1,IF(D41&lt;=0,1,IF(D40&gt;D41,1,0)))</x:f>
        <x:v>0</x:v>
      </x:c>
      <x:c r="G205" s="75" t="n">
        <x:f>IF(D39&lt;=D40,1,IF(D41&lt;=0,1,IF(D40&gt;D41,1,0)))</x:f>
        <x:v>0</x:v>
      </x:c>
      <x:c r="H205" s="75" t="n">
        <x:f>IF(D39&lt;=D40,1,IF(D41&lt;=0,1,IF(D40&gt;D41,1,0)))</x:f>
        <x:v>0</x:v>
      </x:c>
      <x:c r="I205" s="75" t="n">
        <x:f>IF(D39&lt;=D40,1,IF(D41&lt;=0,1,IF(D40&gt;D41,1,0)))</x:f>
        <x:v>0</x:v>
      </x:c>
      <x:c r="J205" s="1"/>
      <x:c r="K205" s="1"/>
    </x:row>
    <x:row r="206" ht="30" customHeight="1">
      <x:c r="A206" s="1"/>
      <x:c r="B206" s="1"/>
      <x:c r="C206" s="64"/>
      <x:c r="D206" s="8"/>
      <x:c r="E206" s="8"/>
      <x:c r="F206" s="8"/>
      <x:c r="G206" s="8"/>
      <x:c r="H206" s="8"/>
      <x:c r="I206" s="8"/>
      <x:c r="J206" s="1"/>
      <x:c r="K206" s="1"/>
    </x:row>
    <x:row r="207" ht="30" customHeight="1">
      <x:c r="A207" s="1"/>
      <x:c r="B207" s="1"/>
      <x:c r="C207" s="64"/>
      <x:c r="D207" s="8"/>
      <x:c r="E207" s="8"/>
      <x:c r="F207" s="8"/>
      <x:c r="G207" s="8"/>
      <x:c r="H207" s="8"/>
      <x:c r="I207" s="8"/>
      <x:c r="J207" s="1"/>
      <x:c r="K207" s="1"/>
    </x:row>
    <x:row r="208" ht="30" customHeight="1">
      <x:c r="A208" s="1"/>
      <x:c r="B208" s="1"/>
      <x:c r="C208" s="64"/>
      <x:c r="D208" s="8"/>
      <x:c r="E208" s="8"/>
      <x:c r="F208" s="8"/>
      <x:c r="G208" s="8"/>
      <x:c r="H208" s="8"/>
      <x:c r="I208" s="8"/>
      <x:c r="J208" s="1"/>
      <x:c r="K208" s="1"/>
    </x:row>
    <x:row r="209" ht="30" customHeight="1">
      <x:c r="A209" s="1"/>
      <x:c r="B209" s="1"/>
      <x:c r="C209" s="64"/>
      <x:c r="D209" s="8"/>
      <x:c r="E209" s="8"/>
      <x:c r="F209" s="8"/>
      <x:c r="G209" s="8"/>
      <x:c r="H209" s="8"/>
      <x:c r="I209" s="8"/>
      <x:c r="J209" s="1"/>
      <x:c r="K209" s="1"/>
    </x:row>
    <x:row r="210" ht="30" customHeight="1">
      <x:c r="A210" s="1"/>
      <x:c r="B210" s="1"/>
      <x:c r="C210" s="64"/>
      <x:c r="D210" s="8"/>
      <x:c r="E210" s="8"/>
      <x:c r="F210" s="8"/>
      <x:c r="G210" s="8"/>
      <x:c r="H210" s="8"/>
      <x:c r="I210" s="8"/>
      <x:c r="J210" s="1"/>
      <x:c r="K210" s="1"/>
    </x:row>
    <x:row r="211" ht="30" customHeight="1">
      <x:c r="C211" s="64"/>
      <x:c r="D211" s="63"/>
      <x:c r="E211" s="63"/>
      <x:c r="F211" s="63"/>
      <x:c r="G211" s="63"/>
      <x:c r="H211" s="63"/>
      <x:c r="I211" s="63"/>
    </x:row>
    <x:row r="212" ht="30" customHeight="1">
      <x:c r="C212" s="64"/>
      <x:c r="D212" s="63"/>
      <x:c r="E212" s="63"/>
      <x:c r="F212" s="63"/>
      <x:c r="G212" s="63"/>
      <x:c r="H212" s="63"/>
      <x:c r="I212" s="63"/>
    </x:row>
    <x:row r="213" ht="30" customHeight="1">
      <x:c r="C213" s="64"/>
      <x:c r="D213" s="63"/>
      <x:c r="E213" s="63"/>
      <x:c r="F213" s="63"/>
      <x:c r="G213" s="63"/>
      <x:c r="H213" s="63"/>
      <x:c r="I213" s="63"/>
    </x:row>
    <x:row r="214" ht="30" customHeight="1">
      <x:c r="C214" s="64"/>
      <x:c r="D214" s="63"/>
      <x:c r="E214" s="63"/>
      <x:c r="F214" s="63"/>
      <x:c r="G214" s="63"/>
      <x:c r="H214" s="63"/>
      <x:c r="I214" s="63"/>
    </x:row>
    <x:row r="215" ht="30" customHeight="1">
      <x:c r="C215" s="64"/>
      <x:c r="D215" s="63"/>
      <x:c r="E215" s="63"/>
      <x:c r="F215" s="63"/>
      <x:c r="G215" s="63"/>
      <x:c r="H215" s="63"/>
      <x:c r="I215" s="63"/>
    </x:row>
    <x:row r="216" ht="30" customHeight="1">
      <x:c r="C216" s="64"/>
      <x:c r="D216" s="63"/>
      <x:c r="E216" s="63"/>
      <x:c r="F216" s="63"/>
      <x:c r="G216" s="63"/>
      <x:c r="H216" s="63"/>
      <x:c r="I216" s="63"/>
    </x:row>
    <x:row r="217" ht="30" customHeight="1">
      <x:c r="C217" s="64"/>
      <x:c r="D217" s="63"/>
      <x:c r="E217" s="63"/>
      <x:c r="F217" s="63"/>
      <x:c r="G217" s="63"/>
      <x:c r="H217" s="63"/>
      <x:c r="I217" s="63"/>
    </x:row>
    <x:row r="218" ht="30" customHeight="1">
      <x:c r="C218" s="64"/>
      <x:c r="D218" s="63"/>
      <x:c r="E218" s="63"/>
      <x:c r="F218" s="63"/>
      <x:c r="G218" s="63"/>
      <x:c r="H218" s="63"/>
      <x:c r="I218" s="63"/>
    </x:row>
    <x:row r="219" ht="30" customHeight="1">
      <x:c r="C219" s="64"/>
      <x:c r="D219" s="63"/>
      <x:c r="E219" s="63"/>
      <x:c r="F219" s="63"/>
      <x:c r="G219" s="63"/>
      <x:c r="H219" s="63"/>
      <x:c r="I219" s="63"/>
    </x:row>
    <x:row r="220" ht="30" customHeight="1">
      <x:c r="C220" s="64"/>
      <x:c r="D220" s="63"/>
      <x:c r="E220" s="63"/>
      <x:c r="F220" s="63"/>
      <x:c r="G220" s="63"/>
      <x:c r="H220" s="63"/>
      <x:c r="I220" s="63"/>
    </x:row>
    <x:row r="221" ht="30" customHeight="1">
      <x:c r="C221" s="64"/>
      <x:c r="D221" s="63"/>
      <x:c r="E221" s="63"/>
      <x:c r="F221" s="63"/>
      <x:c r="G221" s="63"/>
      <x:c r="H221" s="63"/>
      <x:c r="I221" s="63"/>
    </x:row>
    <x:row r="222" ht="30" customHeight="1">
      <x:c r="C222" s="64"/>
      <x:c r="D222" s="63"/>
      <x:c r="E222" s="63"/>
      <x:c r="F222" s="63"/>
      <x:c r="G222" s="63"/>
      <x:c r="H222" s="63"/>
      <x:c r="I222" s="63"/>
    </x:row>
    <x:row r="223" ht="30" customHeight="1">
      <x:c r="C223" s="64"/>
      <x:c r="D223" s="63"/>
      <x:c r="E223" s="63"/>
      <x:c r="F223" s="63"/>
      <x:c r="G223" s="63"/>
      <x:c r="H223" s="63"/>
      <x:c r="I223" s="63"/>
    </x:row>
    <x:row r="224" ht="30" customHeight="1">
      <x:c r="C224" s="64"/>
      <x:c r="D224" s="63"/>
      <x:c r="E224" s="63"/>
      <x:c r="F224" s="63"/>
      <x:c r="G224" s="63"/>
      <x:c r="H224" s="63"/>
      <x:c r="I224" s="63"/>
    </x:row>
    <x:row r="225" ht="30" customHeight="1">
      <x:c r="C225" s="64"/>
      <x:c r="D225" s="63"/>
      <x:c r="E225" s="63"/>
      <x:c r="F225" s="63"/>
      <x:c r="G225" s="63"/>
      <x:c r="H225" s="63"/>
      <x:c r="I225" s="63"/>
    </x:row>
    <x:row r="226" ht="30" customHeight="1">
      <x:c r="C226" s="64"/>
      <x:c r="D226" s="63"/>
      <x:c r="E226" s="63"/>
      <x:c r="F226" s="63"/>
      <x:c r="G226" s="63"/>
      <x:c r="H226" s="63"/>
      <x:c r="I226" s="63"/>
    </x:row>
    <x:row r="227" ht="30" customHeight="1">
      <x:c r="C227" s="64"/>
      <x:c r="D227" s="63"/>
      <x:c r="E227" s="63"/>
      <x:c r="F227" s="63"/>
      <x:c r="G227" s="63"/>
      <x:c r="H227" s="63"/>
      <x:c r="I227" s="63"/>
    </x:row>
    <x:row r="228" ht="30" customHeight="1">
      <x:c r="C228" s="64"/>
      <x:c r="D228" s="63"/>
      <x:c r="E228" s="63"/>
      <x:c r="F228" s="63"/>
      <x:c r="G228" s="63"/>
      <x:c r="H228" s="63"/>
      <x:c r="I228" s="63"/>
    </x:row>
    <x:row r="229" ht="30" customHeight="1">
      <x:c r="C229" s="64"/>
      <x:c r="D229" s="63"/>
      <x:c r="E229" s="63"/>
      <x:c r="F229" s="63"/>
      <x:c r="G229" s="63"/>
      <x:c r="H229" s="63"/>
      <x:c r="I229" s="63"/>
    </x:row>
    <x:row r="230" ht="30" customHeight="1">
      <x:c r="C230" s="64"/>
      <x:c r="D230" s="63"/>
      <x:c r="E230" s="63"/>
      <x:c r="F230" s="63"/>
      <x:c r="G230" s="63"/>
      <x:c r="H230" s="63"/>
      <x:c r="I230" s="63"/>
    </x:row>
    <x:row r="231" ht="30" customHeight="1">
      <x:c r="C231" s="64"/>
      <x:c r="D231" s="63"/>
      <x:c r="E231" s="63"/>
      <x:c r="F231" s="63"/>
      <x:c r="G231" s="63"/>
      <x:c r="H231" s="63"/>
      <x:c r="I231" s="63"/>
    </x:row>
    <x:row r="232" ht="30" customHeight="1">
      <x:c r="C232" s="64"/>
      <x:c r="D232" s="63"/>
      <x:c r="E232" s="63"/>
      <x:c r="F232" s="63"/>
      <x:c r="G232" s="63"/>
      <x:c r="H232" s="63"/>
      <x:c r="I232" s="63"/>
    </x:row>
    <x:row r="233" ht="30" customHeight="1">
      <x:c r="C233" s="64"/>
      <x:c r="D233" s="63"/>
      <x:c r="E233" s="63"/>
      <x:c r="F233" s="63"/>
      <x:c r="G233" s="63"/>
      <x:c r="H233" s="63"/>
      <x:c r="I233" s="63"/>
    </x:row>
    <x:row r="234" ht="30" customHeight="1">
      <x:c r="C234" s="64"/>
      <x:c r="D234" s="63"/>
      <x:c r="E234" s="63"/>
      <x:c r="F234" s="63"/>
      <x:c r="G234" s="63"/>
      <x:c r="H234" s="63"/>
      <x:c r="I234" s="63"/>
    </x:row>
    <x:row r="235" ht="30" customHeight="1">
      <x:c r="C235" s="64"/>
      <x:c r="D235" s="63"/>
      <x:c r="E235" s="63"/>
      <x:c r="F235" s="63"/>
      <x:c r="G235" s="63"/>
      <x:c r="H235" s="63"/>
      <x:c r="I235" s="63"/>
    </x:row>
    <x:row r="236" ht="30" customHeight="1">
      <x:c r="C236" s="64"/>
      <x:c r="D236" s="63"/>
      <x:c r="E236" s="63"/>
      <x:c r="F236" s="63"/>
      <x:c r="G236" s="63"/>
      <x:c r="H236" s="63"/>
      <x:c r="I236" s="63"/>
    </x:row>
    <x:row r="237" ht="30" customHeight="1">
      <x:c r="C237" s="64"/>
      <x:c r="D237" s="63"/>
      <x:c r="E237" s="63"/>
      <x:c r="F237" s="63"/>
      <x:c r="G237" s="63"/>
      <x:c r="H237" s="63"/>
      <x:c r="I237" s="63"/>
    </x:row>
    <x:row r="238" ht="30" customHeight="1">
      <x:c r="C238" s="64"/>
      <x:c r="D238" s="63"/>
      <x:c r="E238" s="63"/>
      <x:c r="F238" s="63"/>
      <x:c r="G238" s="63"/>
      <x:c r="H238" s="63"/>
      <x:c r="I238" s="63"/>
    </x:row>
    <x:row r="239" ht="30" customHeight="1">
      <x:c r="C239" s="64"/>
      <x:c r="D239" s="63"/>
      <x:c r="E239" s="63"/>
      <x:c r="F239" s="63"/>
      <x:c r="G239" s="63"/>
      <x:c r="H239" s="63"/>
      <x:c r="I239" s="63"/>
    </x:row>
    <x:row r="240" ht="30" customHeight="1">
      <x:c r="C240" s="64"/>
      <x:c r="D240" s="63"/>
      <x:c r="E240" s="63"/>
      <x:c r="F240" s="63"/>
      <x:c r="G240" s="63"/>
      <x:c r="H240" s="63"/>
      <x:c r="I240" s="63"/>
    </x:row>
    <x:row r="241" ht="30" customHeight="1">
      <x:c r="C241" s="64"/>
      <x:c r="D241" s="63"/>
      <x:c r="E241" s="63"/>
      <x:c r="F241" s="63"/>
      <x:c r="G241" s="63"/>
      <x:c r="H241" s="63"/>
      <x:c r="I241" s="63"/>
    </x:row>
    <x:row r="242" ht="30" customHeight="1">
      <x:c r="C242" s="64"/>
      <x:c r="D242" s="63"/>
      <x:c r="E242" s="63"/>
      <x:c r="F242" s="63"/>
      <x:c r="G242" s="63"/>
      <x:c r="H242" s="63"/>
      <x:c r="I242" s="63"/>
    </x:row>
    <x:row r="243" ht="30" customHeight="1">
      <x:c r="C243" s="64"/>
      <x:c r="D243" s="63"/>
      <x:c r="E243" s="63"/>
      <x:c r="F243" s="63"/>
      <x:c r="G243" s="63"/>
      <x:c r="H243" s="63"/>
      <x:c r="I243" s="63"/>
    </x:row>
    <x:row r="244" ht="30" customHeight="1">
      <x:c r="C244" s="64"/>
      <x:c r="D244" s="63"/>
      <x:c r="E244" s="63"/>
      <x:c r="F244" s="63"/>
      <x:c r="G244" s="63"/>
      <x:c r="H244" s="63"/>
      <x:c r="I244" s="63"/>
    </x:row>
    <x:row r="245" ht="30" customHeight="1">
      <x:c r="C245" s="64"/>
      <x:c r="D245" s="63"/>
      <x:c r="E245" s="63"/>
      <x:c r="F245" s="63"/>
      <x:c r="G245" s="63"/>
      <x:c r="H245" s="63"/>
      <x:c r="I245" s="63"/>
    </x:row>
    <x:row r="246" ht="30" customHeight="1">
      <x:c r="C246" s="64"/>
      <x:c r="D246" s="63"/>
      <x:c r="E246" s="63"/>
      <x:c r="F246" s="63"/>
      <x:c r="G246" s="63"/>
      <x:c r="H246" s="63"/>
      <x:c r="I246" s="63"/>
    </x:row>
    <x:row r="247" ht="30" customHeight="1">
      <x:c r="C247" s="64"/>
      <x:c r="D247" s="63"/>
      <x:c r="E247" s="63"/>
      <x:c r="F247" s="63"/>
      <x:c r="G247" s="63"/>
      <x:c r="H247" s="63"/>
      <x:c r="I247" s="63"/>
    </x:row>
    <x:row r="248" ht="30" customHeight="1">
      <x:c r="C248" s="64"/>
      <x:c r="D248" s="63"/>
      <x:c r="E248" s="63"/>
      <x:c r="F248" s="63"/>
      <x:c r="G248" s="63"/>
      <x:c r="H248" s="63"/>
      <x:c r="I248" s="63"/>
    </x:row>
    <x:row r="249" ht="30" customHeight="1">
      <x:c r="C249" s="64"/>
      <x:c r="D249" s="63"/>
      <x:c r="E249" s="63"/>
      <x:c r="F249" s="63"/>
      <x:c r="G249" s="63"/>
      <x:c r="H249" s="63"/>
      <x:c r="I249" s="63"/>
    </x:row>
    <x:row r="250" ht="30" customHeight="1">
      <x:c r="C250" s="64"/>
      <x:c r="D250" s="63"/>
      <x:c r="E250" s="63"/>
      <x:c r="F250" s="63"/>
      <x:c r="G250" s="63"/>
      <x:c r="H250" s="63"/>
      <x:c r="I250" s="63"/>
    </x:row>
    <x:row r="251" ht="30" customHeight="1">
      <x:c r="C251" s="64"/>
      <x:c r="D251" s="63"/>
      <x:c r="E251" s="63"/>
      <x:c r="F251" s="63"/>
      <x:c r="G251" s="63"/>
      <x:c r="H251" s="63"/>
      <x:c r="I251" s="63"/>
    </x:row>
    <x:row r="252" ht="30" customHeight="1">
      <x:c r="C252" s="64"/>
      <x:c r="D252" s="63"/>
      <x:c r="E252" s="63"/>
      <x:c r="F252" s="63"/>
      <x:c r="G252" s="63"/>
      <x:c r="H252" s="63"/>
      <x:c r="I252" s="63"/>
    </x:row>
    <x:row r="253" ht="30" customHeight="1">
      <x:c r="C253" s="64"/>
      <x:c r="D253" s="63"/>
      <x:c r="E253" s="63"/>
      <x:c r="F253" s="63"/>
      <x:c r="G253" s="63"/>
      <x:c r="H253" s="63"/>
      <x:c r="I253" s="63"/>
    </x:row>
    <x:row r="254" ht="30" customHeight="1">
      <x:c r="C254" s="64"/>
      <x:c r="D254" s="63"/>
      <x:c r="E254" s="63"/>
      <x:c r="F254" s="63"/>
      <x:c r="G254" s="63"/>
      <x:c r="H254" s="63"/>
      <x:c r="I254" s="63"/>
    </x:row>
    <x:row r="255" ht="30" customHeight="1">
      <x:c r="C255" s="64"/>
      <x:c r="D255" s="63"/>
      <x:c r="E255" s="63"/>
      <x:c r="F255" s="63"/>
      <x:c r="G255" s="63"/>
      <x:c r="H255" s="63"/>
      <x:c r="I255" s="63"/>
    </x:row>
    <x:row r="256" ht="30" customHeight="1">
      <x:c r="C256" s="64"/>
      <x:c r="D256" s="63"/>
      <x:c r="E256" s="63"/>
      <x:c r="F256" s="63"/>
      <x:c r="G256" s="63"/>
      <x:c r="H256" s="63"/>
      <x:c r="I256" s="63"/>
    </x:row>
    <x:row r="257" ht="30" customHeight="1">
      <x:c r="C257" s="64"/>
      <x:c r="D257" s="63"/>
      <x:c r="E257" s="63"/>
      <x:c r="F257" s="63"/>
      <x:c r="G257" s="63"/>
      <x:c r="H257" s="63"/>
      <x:c r="I257" s="63"/>
    </x:row>
    <x:row r="258" ht="30" customHeight="1">
      <x:c r="C258" s="64"/>
      <x:c r="D258" s="63"/>
      <x:c r="E258" s="63"/>
      <x:c r="F258" s="63"/>
      <x:c r="G258" s="63"/>
      <x:c r="H258" s="63"/>
      <x:c r="I258" s="63"/>
    </x:row>
    <x:row r="259" ht="30" customHeight="1">
      <x:c r="C259" s="64"/>
      <x:c r="D259" s="63"/>
      <x:c r="E259" s="63"/>
      <x:c r="F259" s="63"/>
      <x:c r="G259" s="63"/>
      <x:c r="H259" s="63"/>
      <x:c r="I259" s="63"/>
    </x:row>
    <x:row r="260" ht="30" customHeight="1">
      <x:c r="C260" s="64"/>
      <x:c r="D260" s="63"/>
      <x:c r="E260" s="63"/>
      <x:c r="F260" s="63"/>
      <x:c r="G260" s="63"/>
      <x:c r="H260" s="63"/>
      <x:c r="I260" s="63"/>
    </x:row>
    <x:row r="261" ht="30" customHeight="1">
      <x:c r="C261" s="64"/>
      <x:c r="D261" s="63"/>
      <x:c r="E261" s="63"/>
      <x:c r="F261" s="63"/>
      <x:c r="G261" s="63"/>
      <x:c r="H261" s="63"/>
      <x:c r="I261" s="63"/>
    </x:row>
    <x:row r="262" ht="30" customHeight="1">
      <x:c r="C262" s="64"/>
      <x:c r="D262" s="63"/>
      <x:c r="E262" s="63"/>
      <x:c r="F262" s="63"/>
      <x:c r="G262" s="63"/>
      <x:c r="H262" s="63"/>
      <x:c r="I262" s="63"/>
    </x:row>
    <x:row r="263" ht="30" customHeight="1">
      <x:c r="C263" s="64"/>
      <x:c r="D263" s="63"/>
      <x:c r="E263" s="63"/>
      <x:c r="F263" s="63"/>
      <x:c r="G263" s="63"/>
      <x:c r="H263" s="63"/>
      <x:c r="I263" s="63"/>
    </x:row>
    <x:row r="264" ht="30" customHeight="1">
      <x:c r="C264" s="64"/>
      <x:c r="D264" s="63"/>
      <x:c r="E264" s="63"/>
      <x:c r="F264" s="63"/>
      <x:c r="G264" s="63"/>
      <x:c r="H264" s="63"/>
      <x:c r="I264" s="63"/>
    </x:row>
    <x:row r="265" ht="30" customHeight="1">
      <x:c r="C265" s="64"/>
      <x:c r="D265" s="63"/>
      <x:c r="E265" s="63"/>
      <x:c r="F265" s="63"/>
      <x:c r="G265" s="63"/>
      <x:c r="H265" s="63"/>
      <x:c r="I265" s="63"/>
    </x:row>
    <x:row r="266" ht="30" customHeight="1">
      <x:c r="C266" s="64"/>
      <x:c r="D266" s="63"/>
      <x:c r="E266" s="63"/>
      <x:c r="F266" s="63"/>
      <x:c r="G266" s="63"/>
      <x:c r="H266" s="63"/>
      <x:c r="I266" s="63"/>
    </x:row>
    <x:row r="267" ht="30" customHeight="1">
      <x:c r="C267" s="64"/>
      <x:c r="D267" s="63"/>
      <x:c r="E267" s="63"/>
      <x:c r="F267" s="63"/>
      <x:c r="G267" s="63"/>
      <x:c r="H267" s="63"/>
      <x:c r="I267" s="63"/>
    </x:row>
    <x:row r="268" ht="30" customHeight="1">
      <x:c r="C268" s="64"/>
      <x:c r="D268" s="63"/>
      <x:c r="E268" s="63"/>
      <x:c r="F268" s="63"/>
      <x:c r="G268" s="63"/>
      <x:c r="H268" s="63"/>
      <x:c r="I268" s="63"/>
    </x:row>
    <x:row r="269" ht="30" customHeight="1">
      <x:c r="C269" s="64"/>
      <x:c r="D269" s="63"/>
      <x:c r="E269" s="63"/>
      <x:c r="F269" s="63"/>
      <x:c r="G269" s="63"/>
      <x:c r="H269" s="63"/>
      <x:c r="I269" s="63"/>
    </x:row>
    <x:row r="270" ht="30" customHeight="1">
      <x:c r="C270" s="64"/>
      <x:c r="D270" s="63"/>
      <x:c r="E270" s="63"/>
      <x:c r="F270" s="63"/>
      <x:c r="G270" s="63"/>
      <x:c r="H270" s="63"/>
      <x:c r="I270" s="63"/>
    </x:row>
    <x:row r="271" ht="30" customHeight="1">
      <x:c r="C271" s="64"/>
      <x:c r="D271" s="63"/>
      <x:c r="E271" s="63"/>
      <x:c r="F271" s="63"/>
      <x:c r="G271" s="63"/>
      <x:c r="H271" s="63"/>
      <x:c r="I271" s="63"/>
    </x:row>
    <x:row r="272" ht="30" customHeight="1">
      <x:c r="C272" s="64"/>
      <x:c r="D272" s="63"/>
      <x:c r="E272" s="63"/>
      <x:c r="F272" s="63"/>
      <x:c r="G272" s="63"/>
      <x:c r="H272" s="63"/>
      <x:c r="I272" s="63"/>
    </x:row>
    <x:row r="273" ht="30" customHeight="1">
      <x:c r="C273" s="64"/>
      <x:c r="D273" s="63"/>
      <x:c r="E273" s="63"/>
      <x:c r="F273" s="63"/>
      <x:c r="G273" s="63"/>
      <x:c r="H273" s="63"/>
      <x:c r="I273" s="63"/>
    </x:row>
    <x:row r="274" ht="30" customHeight="1">
      <x:c r="C274" s="64"/>
      <x:c r="D274" s="63"/>
      <x:c r="E274" s="63"/>
      <x:c r="F274" s="63"/>
      <x:c r="G274" s="63"/>
      <x:c r="H274" s="63"/>
      <x:c r="I274" s="63"/>
    </x:row>
    <x:row r="275" ht="30" customHeight="1">
      <x:c r="C275" s="64"/>
      <x:c r="D275" s="63"/>
      <x:c r="E275" s="63"/>
      <x:c r="F275" s="63"/>
      <x:c r="G275" s="63"/>
      <x:c r="H275" s="63"/>
      <x:c r="I275" s="63"/>
    </x:row>
    <x:row r="276" ht="30" customHeight="1">
      <x:c r="C276" s="64"/>
      <x:c r="D276" s="63"/>
      <x:c r="E276" s="63"/>
      <x:c r="F276" s="63"/>
      <x:c r="G276" s="63"/>
      <x:c r="H276" s="63"/>
      <x:c r="I276" s="63"/>
    </x:row>
    <x:row r="277" ht="30" customHeight="1">
      <x:c r="C277" s="64"/>
      <x:c r="D277" s="63"/>
      <x:c r="E277" s="63"/>
      <x:c r="F277" s="63"/>
      <x:c r="G277" s="63"/>
      <x:c r="H277" s="63"/>
      <x:c r="I277" s="63"/>
    </x:row>
    <x:row r="278" ht="30" customHeight="1">
      <x:c r="C278" s="64"/>
      <x:c r="D278" s="63"/>
      <x:c r="E278" s="63"/>
      <x:c r="F278" s="63"/>
      <x:c r="G278" s="63"/>
      <x:c r="H278" s="63"/>
      <x:c r="I278" s="63"/>
    </x:row>
    <x:row r="279" ht="30" customHeight="1">
      <x:c r="C279" s="64"/>
      <x:c r="D279" s="63"/>
      <x:c r="E279" s="63"/>
      <x:c r="F279" s="63"/>
      <x:c r="G279" s="63"/>
      <x:c r="H279" s="63"/>
      <x:c r="I279" s="63"/>
    </x:row>
    <x:row r="280" ht="30" customHeight="1">
      <x:c r="C280" s="64"/>
      <x:c r="D280" s="63"/>
      <x:c r="E280" s="63"/>
      <x:c r="F280" s="63"/>
      <x:c r="G280" s="63"/>
      <x:c r="H280" s="63"/>
      <x:c r="I280" s="63"/>
    </x:row>
    <x:row r="281" ht="30" customHeight="1">
      <x:c r="C281" s="64"/>
      <x:c r="D281" s="63"/>
      <x:c r="E281" s="63"/>
      <x:c r="F281" s="63"/>
      <x:c r="G281" s="63"/>
      <x:c r="H281" s="63"/>
      <x:c r="I281" s="63"/>
    </x:row>
    <x:row r="282" ht="30" customHeight="1">
      <x:c r="C282" s="64"/>
      <x:c r="D282" s="63"/>
      <x:c r="E282" s="63"/>
      <x:c r="F282" s="63"/>
      <x:c r="G282" s="63"/>
      <x:c r="H282" s="63"/>
      <x:c r="I282" s="63"/>
    </x:row>
    <x:row r="283" ht="30" customHeight="1">
      <x:c r="C283" s="64"/>
      <x:c r="D283" s="63"/>
      <x:c r="E283" s="63"/>
      <x:c r="F283" s="63"/>
      <x:c r="G283" s="63"/>
      <x:c r="H283" s="63"/>
      <x:c r="I283" s="63"/>
    </x:row>
    <x:row r="284" ht="30" customHeight="1">
      <x:c r="C284" s="64"/>
      <x:c r="D284" s="63"/>
      <x:c r="E284" s="63"/>
      <x:c r="F284" s="63"/>
      <x:c r="G284" s="63"/>
      <x:c r="H284" s="63"/>
      <x:c r="I284" s="63"/>
    </x:row>
    <x:row r="285" ht="30" customHeight="1">
      <x:c r="C285" s="64"/>
      <x:c r="D285" s="63"/>
      <x:c r="E285" s="63"/>
      <x:c r="F285" s="63"/>
      <x:c r="G285" s="63"/>
      <x:c r="H285" s="63"/>
      <x:c r="I285" s="63"/>
    </x:row>
    <x:row r="286" ht="30" customHeight="1">
      <x:c r="C286" s="64"/>
      <x:c r="D286" s="63"/>
      <x:c r="E286" s="63"/>
      <x:c r="F286" s="63"/>
      <x:c r="G286" s="63"/>
      <x:c r="H286" s="63"/>
      <x:c r="I286" s="63"/>
    </x:row>
    <x:row r="287" ht="30" customHeight="1">
      <x:c r="C287" s="64"/>
      <x:c r="D287" s="63"/>
      <x:c r="E287" s="63"/>
      <x:c r="F287" s="63"/>
      <x:c r="G287" s="63"/>
      <x:c r="H287" s="63"/>
      <x:c r="I287" s="63"/>
    </x:row>
    <x:row r="288" ht="30" customHeight="1">
      <x:c r="C288" s="64"/>
      <x:c r="D288" s="63"/>
      <x:c r="E288" s="63"/>
      <x:c r="F288" s="63"/>
      <x:c r="G288" s="63"/>
      <x:c r="H288" s="63"/>
      <x:c r="I288" s="63"/>
    </x:row>
    <x:row r="289" ht="30" customHeight="1">
      <x:c r="C289" s="64"/>
      <x:c r="D289" s="63"/>
      <x:c r="E289" s="63"/>
      <x:c r="F289" s="63"/>
      <x:c r="G289" s="63"/>
      <x:c r="H289" s="63"/>
      <x:c r="I289" s="63"/>
    </x:row>
    <x:row r="290" ht="30" customHeight="1">
      <x:c r="C290" s="64"/>
      <x:c r="D290" s="63"/>
      <x:c r="E290" s="63"/>
      <x:c r="F290" s="63"/>
      <x:c r="G290" s="63"/>
      <x:c r="H290" s="63"/>
      <x:c r="I290" s="63"/>
    </x:row>
    <x:row r="291" ht="30" customHeight="1">
      <x:c r="C291" s="64"/>
      <x:c r="D291" s="63"/>
      <x:c r="E291" s="63"/>
      <x:c r="F291" s="63"/>
      <x:c r="G291" s="63"/>
      <x:c r="H291" s="63"/>
      <x:c r="I291" s="63"/>
    </x:row>
    <x:row r="292" ht="30" customHeight="1">
      <x:c r="C292" s="64"/>
      <x:c r="D292" s="63"/>
      <x:c r="E292" s="63"/>
      <x:c r="F292" s="63"/>
      <x:c r="G292" s="63"/>
      <x:c r="H292" s="63"/>
      <x:c r="I292" s="63"/>
    </x:row>
    <x:row r="293" ht="30" customHeight="1">
      <x:c r="C293" s="64"/>
      <x:c r="D293" s="63"/>
      <x:c r="E293" s="63"/>
      <x:c r="F293" s="63"/>
      <x:c r="G293" s="63"/>
      <x:c r="H293" s="63"/>
      <x:c r="I293" s="63"/>
    </x:row>
    <x:row r="294" ht="30" customHeight="1">
      <x:c r="C294" s="64"/>
      <x:c r="D294" s="63"/>
      <x:c r="E294" s="63"/>
      <x:c r="F294" s="63"/>
      <x:c r="G294" s="63"/>
      <x:c r="H294" s="63"/>
      <x:c r="I294" s="63"/>
    </x:row>
    <x:row r="295" ht="30" customHeight="1">
      <x:c r="C295" s="64"/>
      <x:c r="D295" s="63"/>
      <x:c r="E295" s="63"/>
      <x:c r="F295" s="63"/>
      <x:c r="G295" s="63"/>
      <x:c r="H295" s="63"/>
      <x:c r="I295" s="63"/>
    </x:row>
    <x:row r="296" ht="30" customHeight="1">
      <x:c r="C296" s="64"/>
      <x:c r="D296" s="63"/>
      <x:c r="E296" s="63"/>
      <x:c r="F296" s="63"/>
      <x:c r="G296" s="63"/>
      <x:c r="H296" s="63"/>
      <x:c r="I296" s="63"/>
    </x:row>
    <x:row r="297" ht="30" customHeight="1">
      <x:c r="C297" s="64"/>
      <x:c r="D297" s="63"/>
      <x:c r="E297" s="63"/>
      <x:c r="F297" s="63"/>
      <x:c r="G297" s="63"/>
      <x:c r="H297" s="63"/>
      <x:c r="I297" s="63"/>
    </x:row>
    <x:row r="298" ht="30" customHeight="1">
      <x:c r="C298" s="64"/>
      <x:c r="D298" s="63"/>
      <x:c r="E298" s="63"/>
      <x:c r="F298" s="63"/>
      <x:c r="G298" s="63"/>
      <x:c r="H298" s="63"/>
      <x:c r="I298" s="63"/>
    </x:row>
    <x:row r="299" ht="30" customHeight="1">
      <x:c r="C299" s="64"/>
      <x:c r="D299" s="63"/>
      <x:c r="E299" s="63"/>
      <x:c r="F299" s="63"/>
      <x:c r="G299" s="63"/>
      <x:c r="H299" s="63"/>
      <x:c r="I299" s="63"/>
    </x:row>
    <x:row r="300" ht="30" customHeight="1">
      <x:c r="C300" s="64"/>
      <x:c r="D300" s="63"/>
      <x:c r="E300" s="63"/>
      <x:c r="F300" s="63"/>
      <x:c r="G300" s="63"/>
      <x:c r="H300" s="63"/>
      <x:c r="I300" s="63"/>
    </x:row>
    <x:row r="301" ht="30" customHeight="1">
      <x:c r="C301" s="64"/>
      <x:c r="D301" s="63"/>
      <x:c r="E301" s="63"/>
      <x:c r="F301" s="63"/>
      <x:c r="G301" s="63"/>
      <x:c r="H301" s="63"/>
      <x:c r="I301" s="63"/>
    </x:row>
    <x:row r="302" ht="30" customHeight="1">
      <x:c r="C302" s="64"/>
      <x:c r="D302" s="63"/>
      <x:c r="E302" s="63"/>
      <x:c r="F302" s="63"/>
      <x:c r="G302" s="63"/>
      <x:c r="H302" s="63"/>
      <x:c r="I302" s="63"/>
    </x:row>
    <x:row r="303" ht="30" customHeight="1">
      <x:c r="C303" s="64"/>
      <x:c r="D303" s="63"/>
      <x:c r="E303" s="63"/>
      <x:c r="F303" s="63"/>
      <x:c r="G303" s="63"/>
      <x:c r="H303" s="63"/>
      <x:c r="I303" s="63"/>
    </x:row>
    <x:row r="304" ht="30" customHeight="1">
      <x:c r="C304" s="64"/>
      <x:c r="D304" s="63"/>
      <x:c r="E304" s="63"/>
      <x:c r="F304" s="63"/>
      <x:c r="G304" s="63"/>
      <x:c r="H304" s="63"/>
      <x:c r="I304" s="63"/>
    </x:row>
    <x:row r="305" ht="30" customHeight="1">
      <x:c r="C305" s="64"/>
      <x:c r="D305" s="63"/>
      <x:c r="E305" s="63"/>
      <x:c r="F305" s="63"/>
      <x:c r="G305" s="63"/>
      <x:c r="H305" s="63"/>
      <x:c r="I305" s="63"/>
    </x:row>
    <x:row r="306" ht="30" customHeight="1">
      <x:c r="C306" s="64"/>
      <x:c r="D306" s="63"/>
      <x:c r="E306" s="63"/>
      <x:c r="F306" s="63"/>
      <x:c r="G306" s="63"/>
      <x:c r="H306" s="63"/>
      <x:c r="I306" s="63"/>
    </x:row>
    <x:row r="307" ht="30" customHeight="1">
      <x:c r="C307" s="64"/>
      <x:c r="D307" s="63"/>
      <x:c r="E307" s="63"/>
      <x:c r="F307" s="63"/>
      <x:c r="G307" s="63"/>
      <x:c r="H307" s="63"/>
      <x:c r="I307" s="63"/>
    </x:row>
    <x:row r="308" ht="30" customHeight="1">
      <x:c r="C308" s="64"/>
      <x:c r="D308" s="63"/>
      <x:c r="E308" s="63"/>
      <x:c r="F308" s="63"/>
      <x:c r="G308" s="63"/>
      <x:c r="H308" s="63"/>
      <x:c r="I308" s="63"/>
    </x:row>
    <x:row r="309" ht="30" customHeight="1">
      <x:c r="C309" s="64"/>
      <x:c r="D309" s="63"/>
      <x:c r="E309" s="63"/>
      <x:c r="F309" s="63"/>
      <x:c r="G309" s="63"/>
      <x:c r="H309" s="63"/>
      <x:c r="I309" s="63"/>
    </x:row>
    <x:row r="310" ht="30" customHeight="1">
      <x:c r="C310" s="64"/>
      <x:c r="D310" s="63"/>
      <x:c r="E310" s="63"/>
      <x:c r="F310" s="63"/>
      <x:c r="G310" s="63"/>
      <x:c r="H310" s="63"/>
      <x:c r="I310" s="63"/>
    </x:row>
    <x:row r="311" ht="30" customHeight="1">
      <x:c r="C311" s="64"/>
      <x:c r="D311" s="63"/>
      <x:c r="E311" s="63"/>
      <x:c r="F311" s="63"/>
      <x:c r="G311" s="63"/>
      <x:c r="H311" s="63"/>
      <x:c r="I311" s="63"/>
    </x:row>
    <x:row r="312" ht="30" customHeight="1">
      <x:c r="C312" s="64"/>
      <x:c r="D312" s="63"/>
      <x:c r="E312" s="63"/>
      <x:c r="F312" s="63"/>
      <x:c r="G312" s="63"/>
      <x:c r="H312" s="63"/>
      <x:c r="I312" s="63"/>
    </x:row>
    <x:row r="313" ht="30" customHeight="1">
      <x:c r="C313" s="64"/>
      <x:c r="D313" s="63"/>
      <x:c r="E313" s="63"/>
      <x:c r="F313" s="63"/>
      <x:c r="G313" s="63"/>
      <x:c r="H313" s="63"/>
      <x:c r="I313" s="63"/>
    </x:row>
    <x:row r="314" ht="30" customHeight="1">
      <x:c r="C314" s="64"/>
      <x:c r="D314" s="63"/>
      <x:c r="E314" s="63"/>
      <x:c r="F314" s="63"/>
      <x:c r="G314" s="63"/>
      <x:c r="H314" s="63"/>
      <x:c r="I314" s="63"/>
    </x:row>
    <x:row r="315" ht="30" customHeight="1">
      <x:c r="C315" s="64"/>
      <x:c r="D315" s="63"/>
      <x:c r="E315" s="63"/>
      <x:c r="F315" s="63"/>
      <x:c r="G315" s="63"/>
      <x:c r="H315" s="63"/>
      <x:c r="I315" s="63"/>
    </x:row>
    <x:row r="316" ht="30" customHeight="1">
      <x:c r="C316" s="64"/>
      <x:c r="D316" s="63"/>
      <x:c r="E316" s="63"/>
      <x:c r="F316" s="63"/>
      <x:c r="G316" s="63"/>
      <x:c r="H316" s="63"/>
      <x:c r="I316" s="63"/>
    </x:row>
    <x:row r="317" ht="30" customHeight="1">
      <x:c r="C317" s="64"/>
      <x:c r="D317" s="63"/>
      <x:c r="E317" s="63"/>
      <x:c r="F317" s="63"/>
      <x:c r="G317" s="63"/>
      <x:c r="H317" s="63"/>
      <x:c r="I317" s="63"/>
    </x:row>
    <x:row r="318" ht="30" customHeight="1">
      <x:c r="C318" s="64"/>
      <x:c r="D318" s="63"/>
      <x:c r="E318" s="63"/>
      <x:c r="F318" s="63"/>
      <x:c r="G318" s="63"/>
      <x:c r="H318" s="63"/>
      <x:c r="I318" s="63"/>
    </x:row>
    <x:row r="319" ht="30" customHeight="1">
      <x:c r="C319" s="64"/>
      <x:c r="D319" s="63"/>
      <x:c r="E319" s="63"/>
      <x:c r="F319" s="63"/>
      <x:c r="G319" s="63"/>
      <x:c r="H319" s="63"/>
      <x:c r="I319" s="63"/>
    </x:row>
    <x:row r="320" ht="30" customHeight="1">
      <x:c r="C320" s="64"/>
      <x:c r="D320" s="63"/>
      <x:c r="E320" s="63"/>
      <x:c r="F320" s="63"/>
      <x:c r="G320" s="63"/>
      <x:c r="H320" s="63"/>
      <x:c r="I320" s="63"/>
    </x:row>
    <x:row r="321" ht="30" customHeight="1">
      <x:c r="C321" s="64"/>
      <x:c r="D321" s="63"/>
      <x:c r="E321" s="63"/>
      <x:c r="F321" s="63"/>
      <x:c r="G321" s="63"/>
      <x:c r="H321" s="63"/>
      <x:c r="I321" s="63"/>
    </x:row>
    <x:row r="322" ht="30" customHeight="1">
      <x:c r="C322" s="64"/>
      <x:c r="D322" s="63"/>
      <x:c r="E322" s="63"/>
      <x:c r="F322" s="63"/>
      <x:c r="G322" s="63"/>
      <x:c r="H322" s="63"/>
      <x:c r="I322" s="63"/>
    </x:row>
    <x:row r="323" ht="30" customHeight="1">
      <x:c r="C323" s="64"/>
      <x:c r="D323" s="63"/>
      <x:c r="E323" s="63"/>
      <x:c r="F323" s="63"/>
      <x:c r="G323" s="63"/>
      <x:c r="H323" s="63"/>
      <x:c r="I323" s="63"/>
    </x:row>
    <x:row r="324" ht="30" customHeight="1">
      <x:c r="C324" s="64"/>
      <x:c r="D324" s="63"/>
      <x:c r="E324" s="63"/>
      <x:c r="F324" s="63"/>
      <x:c r="G324" s="63"/>
      <x:c r="H324" s="63"/>
      <x:c r="I324" s="63"/>
    </x:row>
    <x:row r="325" ht="30" customHeight="1">
      <x:c r="C325" s="64"/>
      <x:c r="D325" s="63"/>
      <x:c r="E325" s="63"/>
      <x:c r="F325" s="63"/>
      <x:c r="G325" s="63"/>
      <x:c r="H325" s="63"/>
      <x:c r="I325" s="63"/>
    </x:row>
    <x:row r="326" ht="30" customHeight="1">
      <x:c r="C326" s="64"/>
      <x:c r="D326" s="63"/>
      <x:c r="E326" s="63"/>
      <x:c r="F326" s="63"/>
      <x:c r="G326" s="63"/>
      <x:c r="H326" s="63"/>
      <x:c r="I326" s="63"/>
    </x:row>
    <x:row r="327" ht="30" customHeight="1">
      <x:c r="C327" s="64"/>
      <x:c r="D327" s="63"/>
      <x:c r="E327" s="63"/>
      <x:c r="F327" s="63"/>
      <x:c r="G327" s="63"/>
      <x:c r="H327" s="63"/>
      <x:c r="I327" s="63"/>
    </x:row>
    <x:row r="328" ht="30" customHeight="1">
      <x:c r="C328" s="64"/>
      <x:c r="D328" s="63"/>
      <x:c r="E328" s="63"/>
      <x:c r="F328" s="63"/>
      <x:c r="G328" s="63"/>
      <x:c r="H328" s="63"/>
      <x:c r="I328" s="63"/>
    </x:row>
    <x:row r="329" ht="30" customHeight="1">
      <x:c r="C329" s="64"/>
      <x:c r="D329" s="63"/>
      <x:c r="E329" s="63"/>
      <x:c r="F329" s="63"/>
      <x:c r="G329" s="63"/>
      <x:c r="H329" s="63"/>
      <x:c r="I329" s="63"/>
    </x:row>
    <x:row r="330" ht="30" customHeight="1">
      <x:c r="C330" s="64"/>
      <x:c r="D330" s="63"/>
      <x:c r="E330" s="63"/>
      <x:c r="F330" s="63"/>
      <x:c r="G330" s="63"/>
      <x:c r="H330" s="63"/>
      <x:c r="I330" s="63"/>
    </x:row>
    <x:row r="331" ht="30" customHeight="1">
      <x:c r="C331" s="64"/>
      <x:c r="D331" s="63"/>
      <x:c r="E331" s="63"/>
      <x:c r="F331" s="63"/>
      <x:c r="G331" s="63"/>
      <x:c r="H331" s="63"/>
      <x:c r="I331" s="63"/>
    </x:row>
    <x:row r="332" ht="30" customHeight="1">
      <x:c r="C332" s="64"/>
      <x:c r="D332" s="63"/>
      <x:c r="E332" s="63"/>
      <x:c r="F332" s="63"/>
      <x:c r="G332" s="63"/>
      <x:c r="H332" s="63"/>
      <x:c r="I332" s="63"/>
    </x:row>
    <x:row r="333" ht="30" customHeight="1">
      <x:c r="C333" s="64"/>
      <x:c r="D333" s="63"/>
      <x:c r="E333" s="63"/>
      <x:c r="F333" s="63"/>
      <x:c r="G333" s="63"/>
      <x:c r="H333" s="63"/>
      <x:c r="I333" s="63"/>
    </x:row>
    <x:row r="334" ht="30" customHeight="1">
      <x:c r="C334" s="64"/>
      <x:c r="D334" s="63"/>
      <x:c r="E334" s="63"/>
      <x:c r="F334" s="63"/>
      <x:c r="G334" s="63"/>
      <x:c r="H334" s="63"/>
      <x:c r="I334" s="63"/>
    </x:row>
    <x:row r="335" ht="30" customHeight="1">
      <x:c r="C335" s="64"/>
      <x:c r="D335" s="63"/>
      <x:c r="E335" s="63"/>
      <x:c r="F335" s="63"/>
      <x:c r="G335" s="63"/>
      <x:c r="H335" s="63"/>
      <x:c r="I335" s="63"/>
    </x:row>
    <x:row r="336" ht="30" customHeight="1">
      <x:c r="C336" s="64"/>
      <x:c r="D336" s="63"/>
      <x:c r="E336" s="63"/>
      <x:c r="F336" s="63"/>
      <x:c r="G336" s="63"/>
      <x:c r="H336" s="63"/>
      <x:c r="I336" s="63"/>
    </x:row>
    <x:row r="337" ht="30" customHeight="1">
      <x:c r="C337" s="64"/>
      <x:c r="D337" s="63"/>
      <x:c r="E337" s="63"/>
      <x:c r="F337" s="63"/>
      <x:c r="G337" s="63"/>
      <x:c r="H337" s="63"/>
      <x:c r="I337" s="63"/>
    </x:row>
    <x:row r="338" ht="30" customHeight="1">
      <x:c r="C338" s="64"/>
      <x:c r="D338" s="63"/>
      <x:c r="E338" s="63"/>
      <x:c r="F338" s="63"/>
      <x:c r="G338" s="63"/>
      <x:c r="H338" s="63"/>
      <x:c r="I338" s="63"/>
    </x:row>
    <x:row r="339" ht="30" customHeight="1">
      <x:c r="C339" s="64"/>
      <x:c r="D339" s="63"/>
      <x:c r="E339" s="63"/>
      <x:c r="F339" s="63"/>
      <x:c r="G339" s="63"/>
      <x:c r="H339" s="63"/>
      <x:c r="I339" s="63"/>
    </x:row>
    <x:row r="340" ht="30" customHeight="1">
      <x:c r="C340" s="64"/>
      <x:c r="D340" s="63"/>
      <x:c r="E340" s="63"/>
      <x:c r="F340" s="63"/>
      <x:c r="G340" s="63"/>
      <x:c r="H340" s="63"/>
      <x:c r="I340" s="63"/>
    </x:row>
    <x:row r="341" ht="30" customHeight="1">
      <x:c r="C341" s="64"/>
      <x:c r="D341" s="63"/>
      <x:c r="E341" s="63"/>
      <x:c r="F341" s="63"/>
      <x:c r="G341" s="63"/>
      <x:c r="H341" s="63"/>
      <x:c r="I341" s="63"/>
    </x:row>
    <x:row r="342" ht="30" customHeight="1">
      <x:c r="C342" s="64"/>
      <x:c r="D342" s="63"/>
      <x:c r="E342" s="63"/>
      <x:c r="F342" s="63"/>
      <x:c r="G342" s="63"/>
      <x:c r="H342" s="63"/>
      <x:c r="I342" s="63"/>
    </x:row>
    <x:row r="343" ht="30" customHeight="1">
      <x:c r="C343" s="64"/>
      <x:c r="D343" s="63"/>
      <x:c r="E343" s="63"/>
      <x:c r="F343" s="63"/>
      <x:c r="G343" s="63"/>
      <x:c r="H343" s="63"/>
      <x:c r="I343" s="63"/>
    </x:row>
    <x:row r="344" ht="30" customHeight="1">
      <x:c r="C344" s="64"/>
      <x:c r="D344" s="63"/>
      <x:c r="E344" s="63"/>
      <x:c r="F344" s="63"/>
      <x:c r="G344" s="63"/>
      <x:c r="H344" s="63"/>
      <x:c r="I344" s="63"/>
    </x:row>
    <x:row r="345" ht="30" customHeight="1">
      <x:c r="C345" s="64"/>
      <x:c r="D345" s="63"/>
      <x:c r="E345" s="63"/>
      <x:c r="F345" s="63"/>
      <x:c r="G345" s="63"/>
      <x:c r="H345" s="63"/>
      <x:c r="I345" s="63"/>
    </x:row>
    <x:row r="346" ht="30" customHeight="1">
      <x:c r="C346" s="64"/>
      <x:c r="D346" s="63"/>
      <x:c r="E346" s="63"/>
      <x:c r="F346" s="63"/>
      <x:c r="G346" s="63"/>
      <x:c r="H346" s="63"/>
      <x:c r="I346" s="63"/>
    </x:row>
    <x:row r="347" ht="30" customHeight="1">
      <x:c r="C347" s="64"/>
      <x:c r="D347" s="63"/>
      <x:c r="E347" s="63"/>
      <x:c r="F347" s="63"/>
      <x:c r="G347" s="63"/>
      <x:c r="H347" s="63"/>
      <x:c r="I347" s="63"/>
    </x:row>
    <x:row r="348" ht="30" customHeight="1">
      <x:c r="C348" s="64"/>
      <x:c r="D348" s="63"/>
      <x:c r="E348" s="63"/>
      <x:c r="F348" s="63"/>
      <x:c r="G348" s="63"/>
      <x:c r="H348" s="63"/>
      <x:c r="I348" s="63"/>
    </x:row>
    <x:row r="349" ht="30" customHeight="1">
      <x:c r="C349" s="64"/>
      <x:c r="D349" s="63"/>
      <x:c r="E349" s="63"/>
      <x:c r="F349" s="63"/>
      <x:c r="G349" s="63"/>
      <x:c r="H349" s="63"/>
      <x:c r="I349" s="63"/>
    </x:row>
    <x:row r="350" ht="30" customHeight="1">
      <x:c r="C350" s="64"/>
      <x:c r="D350" s="63"/>
      <x:c r="E350" s="63"/>
      <x:c r="F350" s="63"/>
      <x:c r="G350" s="63"/>
      <x:c r="H350" s="63"/>
      <x:c r="I350" s="63"/>
    </x:row>
    <x:row r="351" ht="30" customHeight="1">
      <x:c r="C351" s="64"/>
      <x:c r="D351" s="63"/>
      <x:c r="E351" s="63"/>
      <x:c r="F351" s="63"/>
      <x:c r="G351" s="63"/>
      <x:c r="H351" s="63"/>
      <x:c r="I351" s="63"/>
    </x:row>
    <x:row r="352" ht="30" customHeight="1">
      <x:c r="C352" s="64"/>
      <x:c r="D352" s="63"/>
      <x:c r="E352" s="63"/>
      <x:c r="F352" s="63"/>
      <x:c r="G352" s="63"/>
      <x:c r="H352" s="63"/>
      <x:c r="I352" s="63"/>
    </x:row>
    <x:row r="353" ht="30" customHeight="1">
      <x:c r="C353" s="64"/>
      <x:c r="D353" s="63"/>
      <x:c r="E353" s="63"/>
      <x:c r="F353" s="63"/>
      <x:c r="G353" s="63"/>
      <x:c r="H353" s="63"/>
      <x:c r="I353" s="63"/>
    </x:row>
    <x:row r="354" ht="30" customHeight="1">
      <x:c r="C354" s="64"/>
      <x:c r="D354" s="63"/>
      <x:c r="E354" s="63"/>
      <x:c r="F354" s="63"/>
      <x:c r="G354" s="63"/>
      <x:c r="H354" s="63"/>
      <x:c r="I354" s="63"/>
    </x:row>
    <x:row r="355" ht="30" customHeight="1">
      <x:c r="C355" s="64"/>
      <x:c r="D355" s="63"/>
      <x:c r="E355" s="63"/>
      <x:c r="F355" s="63"/>
      <x:c r="G355" s="63"/>
      <x:c r="H355" s="63"/>
      <x:c r="I355" s="63"/>
    </x:row>
    <x:row r="356" ht="30" customHeight="1">
      <x:c r="C356" s="64"/>
      <x:c r="D356" s="63"/>
      <x:c r="E356" s="63"/>
      <x:c r="F356" s="63"/>
      <x:c r="G356" s="63"/>
      <x:c r="H356" s="63"/>
      <x:c r="I356" s="63"/>
    </x:row>
    <x:row r="357" ht="30" customHeight="1">
      <x:c r="C357" s="64"/>
      <x:c r="D357" s="63"/>
      <x:c r="E357" s="63"/>
      <x:c r="F357" s="63"/>
      <x:c r="G357" s="63"/>
      <x:c r="H357" s="63"/>
      <x:c r="I357" s="63"/>
    </x:row>
    <x:row r="358" ht="30" customHeight="1">
      <x:c r="C358" s="64"/>
      <x:c r="D358" s="63"/>
      <x:c r="E358" s="63"/>
      <x:c r="F358" s="63"/>
      <x:c r="G358" s="63"/>
      <x:c r="H358" s="63"/>
      <x:c r="I358" s="63"/>
    </x:row>
    <x:row r="359" ht="30" customHeight="1">
      <x:c r="C359" s="64"/>
      <x:c r="D359" s="63"/>
      <x:c r="E359" s="63"/>
      <x:c r="F359" s="63"/>
      <x:c r="G359" s="63"/>
      <x:c r="H359" s="63"/>
      <x:c r="I359" s="63"/>
    </x:row>
    <x:row r="360" ht="30" customHeight="1">
      <x:c r="C360" s="64"/>
      <x:c r="D360" s="63"/>
      <x:c r="E360" s="63"/>
      <x:c r="F360" s="63"/>
      <x:c r="G360" s="63"/>
      <x:c r="H360" s="63"/>
      <x:c r="I360" s="63"/>
    </x:row>
    <x:row r="361" ht="30" customHeight="1">
      <x:c r="C361" s="64"/>
      <x:c r="D361" s="63"/>
      <x:c r="E361" s="63"/>
      <x:c r="F361" s="63"/>
      <x:c r="G361" s="63"/>
      <x:c r="H361" s="63"/>
      <x:c r="I361" s="63"/>
    </x:row>
    <x:row r="362" ht="30" customHeight="1">
      <x:c r="C362" s="64"/>
      <x:c r="D362" s="63"/>
      <x:c r="E362" s="63"/>
      <x:c r="F362" s="63"/>
      <x:c r="G362" s="63"/>
      <x:c r="H362" s="63"/>
      <x:c r="I362" s="63"/>
    </x:row>
    <x:row r="363" ht="30" customHeight="1">
      <x:c r="C363" s="64"/>
      <x:c r="D363" s="63"/>
      <x:c r="E363" s="63"/>
      <x:c r="F363" s="63"/>
      <x:c r="G363" s="63"/>
      <x:c r="H363" s="63"/>
      <x:c r="I363" s="63"/>
    </x:row>
    <x:row r="364" ht="30" customHeight="1">
      <x:c r="C364" s="64"/>
      <x:c r="D364" s="63"/>
      <x:c r="E364" s="63"/>
      <x:c r="F364" s="63"/>
      <x:c r="G364" s="63"/>
      <x:c r="H364" s="63"/>
      <x:c r="I364" s="63"/>
    </x:row>
    <x:row r="365" ht="30" customHeight="1">
      <x:c r="C365" s="64"/>
      <x:c r="D365" s="63"/>
      <x:c r="E365" s="63"/>
      <x:c r="F365" s="63"/>
      <x:c r="G365" s="63"/>
      <x:c r="H365" s="63"/>
      <x:c r="I365" s="63"/>
    </x:row>
    <x:row r="366" ht="30" customHeight="1">
      <x:c r="C366" s="64"/>
      <x:c r="D366" s="63"/>
      <x:c r="E366" s="63"/>
      <x:c r="F366" s="63"/>
      <x:c r="G366" s="63"/>
      <x:c r="H366" s="63"/>
      <x:c r="I366" s="63"/>
    </x:row>
    <x:row r="367" ht="30" customHeight="1">
      <x:c r="C367" s="64"/>
      <x:c r="D367" s="63"/>
      <x:c r="E367" s="63"/>
      <x:c r="F367" s="63"/>
      <x:c r="G367" s="63"/>
      <x:c r="H367" s="63"/>
      <x:c r="I367" s="63"/>
    </x:row>
    <x:row r="368" ht="30" customHeight="1">
      <x:c r="C368" s="64"/>
      <x:c r="D368" s="63"/>
      <x:c r="E368" s="63"/>
      <x:c r="F368" s="63"/>
      <x:c r="G368" s="63"/>
      <x:c r="H368" s="63"/>
      <x:c r="I368" s="63"/>
    </x:row>
    <x:row r="369" ht="30" customHeight="1">
      <x:c r="C369" s="64"/>
      <x:c r="D369" s="63"/>
      <x:c r="E369" s="63"/>
      <x:c r="F369" s="63"/>
      <x:c r="G369" s="63"/>
      <x:c r="H369" s="63"/>
      <x:c r="I369" s="63"/>
    </x:row>
    <x:row r="370" ht="30" customHeight="1">
      <x:c r="C370" s="64"/>
      <x:c r="D370" s="63"/>
      <x:c r="E370" s="63"/>
      <x:c r="F370" s="63"/>
      <x:c r="G370" s="63"/>
      <x:c r="H370" s="63"/>
      <x:c r="I370" s="63"/>
    </x:row>
    <x:row r="371" ht="30" customHeight="1">
      <x:c r="C371" s="64"/>
      <x:c r="D371" s="63"/>
      <x:c r="E371" s="63"/>
      <x:c r="F371" s="63"/>
      <x:c r="G371" s="63"/>
      <x:c r="H371" s="63"/>
      <x:c r="I371" s="63"/>
    </x:row>
    <x:row r="372" ht="30" customHeight="1">
      <x:c r="C372" s="64"/>
      <x:c r="D372" s="63"/>
      <x:c r="E372" s="63"/>
      <x:c r="F372" s="63"/>
      <x:c r="G372" s="63"/>
      <x:c r="H372" s="63"/>
      <x:c r="I372" s="63"/>
    </x:row>
    <x:row r="373" ht="30" customHeight="1">
      <x:c r="C373" s="64"/>
      <x:c r="D373" s="63"/>
      <x:c r="E373" s="63"/>
      <x:c r="F373" s="63"/>
      <x:c r="G373" s="63"/>
      <x:c r="H373" s="63"/>
      <x:c r="I373" s="63"/>
    </x:row>
    <x:row r="374" ht="30" customHeight="1">
      <x:c r="C374" s="64"/>
      <x:c r="D374" s="63"/>
      <x:c r="E374" s="63"/>
      <x:c r="F374" s="63"/>
      <x:c r="G374" s="63"/>
      <x:c r="H374" s="63"/>
      <x:c r="I374" s="63"/>
    </x:row>
    <x:row r="375" ht="30" customHeight="1">
      <x:c r="C375" s="64"/>
      <x:c r="D375" s="63"/>
      <x:c r="E375" s="63"/>
      <x:c r="F375" s="63"/>
      <x:c r="G375" s="63"/>
      <x:c r="H375" s="63"/>
      <x:c r="I375" s="63"/>
    </x:row>
    <x:row r="376" ht="30" customHeight="1">
      <x:c r="C376" s="64"/>
      <x:c r="D376" s="63"/>
      <x:c r="E376" s="63"/>
      <x:c r="F376" s="63"/>
      <x:c r="G376" s="63"/>
      <x:c r="H376" s="63"/>
      <x:c r="I376" s="63"/>
    </x:row>
    <x:row r="377" ht="30" customHeight="1">
      <x:c r="C377" s="64"/>
      <x:c r="D377" s="63"/>
      <x:c r="E377" s="63"/>
      <x:c r="F377" s="63"/>
      <x:c r="G377" s="63"/>
      <x:c r="H377" s="63"/>
      <x:c r="I377" s="63"/>
    </x:row>
    <x:row r="378" ht="30" customHeight="1">
      <x:c r="C378" s="64"/>
      <x:c r="D378" s="63"/>
      <x:c r="E378" s="63"/>
      <x:c r="F378" s="63"/>
      <x:c r="G378" s="63"/>
      <x:c r="H378" s="63"/>
      <x:c r="I378" s="63"/>
    </x:row>
    <x:row r="379" ht="30" customHeight="1">
      <x:c r="C379" s="64"/>
      <x:c r="D379" s="63"/>
      <x:c r="E379" s="63"/>
      <x:c r="F379" s="63"/>
      <x:c r="G379" s="63"/>
      <x:c r="H379" s="63"/>
      <x:c r="I379" s="63"/>
    </x:row>
    <x:row r="380" ht="30" customHeight="1">
      <x:c r="C380" s="64"/>
      <x:c r="D380" s="63"/>
      <x:c r="E380" s="63"/>
      <x:c r="F380" s="63"/>
      <x:c r="G380" s="63"/>
      <x:c r="H380" s="63"/>
      <x:c r="I380" s="63"/>
    </x:row>
    <x:row r="381" ht="30" customHeight="1">
      <x:c r="C381" s="64"/>
      <x:c r="D381" s="63"/>
      <x:c r="E381" s="63"/>
      <x:c r="F381" s="63"/>
      <x:c r="G381" s="63"/>
      <x:c r="H381" s="63"/>
      <x:c r="I381" s="63"/>
    </x:row>
    <x:row r="382" ht="30" customHeight="1">
      <x:c r="C382" s="64"/>
      <x:c r="D382" s="63"/>
      <x:c r="E382" s="63"/>
      <x:c r="F382" s="63"/>
      <x:c r="G382" s="63"/>
      <x:c r="H382" s="63"/>
      <x:c r="I382" s="63"/>
    </x:row>
    <x:row r="383" ht="30" customHeight="1">
      <x:c r="C383" s="64"/>
      <x:c r="D383" s="63"/>
      <x:c r="E383" s="63"/>
      <x:c r="F383" s="63"/>
      <x:c r="G383" s="63"/>
      <x:c r="H383" s="63"/>
      <x:c r="I383" s="63"/>
    </x:row>
    <x:row r="384" ht="30" customHeight="1">
      <x:c r="C384" s="64"/>
      <x:c r="D384" s="63"/>
      <x:c r="E384" s="63"/>
      <x:c r="F384" s="63"/>
      <x:c r="G384" s="63"/>
      <x:c r="H384" s="63"/>
      <x:c r="I384" s="63"/>
    </x:row>
    <x:row r="385" ht="30" customHeight="1">
      <x:c r="C385" s="64"/>
      <x:c r="D385" s="63"/>
      <x:c r="E385" s="63"/>
      <x:c r="F385" s="63"/>
      <x:c r="G385" s="63"/>
      <x:c r="H385" s="63"/>
      <x:c r="I385" s="63"/>
    </x:row>
    <x:row r="386" ht="30" customHeight="1">
      <x:c r="C386" s="64"/>
      <x:c r="D386" s="63"/>
      <x:c r="E386" s="63"/>
      <x:c r="F386" s="63"/>
      <x:c r="G386" s="63"/>
      <x:c r="H386" s="63"/>
      <x:c r="I386" s="63"/>
    </x:row>
    <x:row r="387" ht="30" customHeight="1">
      <x:c r="C387" s="64"/>
      <x:c r="D387" s="63"/>
      <x:c r="E387" s="63"/>
      <x:c r="F387" s="63"/>
      <x:c r="G387" s="63"/>
      <x:c r="H387" s="63"/>
      <x:c r="I387" s="63"/>
    </x:row>
    <x:row r="388" ht="30" customHeight="1">
      <x:c r="C388" s="64"/>
      <x:c r="D388" s="63"/>
      <x:c r="E388" s="63"/>
      <x:c r="F388" s="63"/>
      <x:c r="G388" s="63"/>
      <x:c r="H388" s="63"/>
      <x:c r="I388" s="63"/>
    </x:row>
    <x:row r="389" ht="30" customHeight="1">
      <x:c r="C389" s="64"/>
      <x:c r="D389" s="63"/>
      <x:c r="E389" s="63"/>
      <x:c r="F389" s="63"/>
      <x:c r="G389" s="63"/>
      <x:c r="H389" s="63"/>
      <x:c r="I389" s="63"/>
    </x:row>
    <x:row r="390" ht="30" customHeight="1">
      <x:c r="C390" s="64"/>
      <x:c r="D390" s="63"/>
      <x:c r="E390" s="63"/>
      <x:c r="F390" s="63"/>
      <x:c r="G390" s="63"/>
      <x:c r="H390" s="63"/>
      <x:c r="I390" s="63"/>
    </x:row>
    <x:row r="391" ht="30" customHeight="1">
      <x:c r="C391" s="64"/>
      <x:c r="D391" s="63"/>
      <x:c r="E391" s="63"/>
      <x:c r="F391" s="63"/>
      <x:c r="G391" s="63"/>
      <x:c r="H391" s="63"/>
      <x:c r="I391" s="63"/>
    </x:row>
    <x:row r="392" ht="30" customHeight="1">
      <x:c r="C392" s="64"/>
      <x:c r="D392" s="63"/>
      <x:c r="E392" s="63"/>
      <x:c r="F392" s="63"/>
      <x:c r="G392" s="63"/>
      <x:c r="H392" s="63"/>
      <x:c r="I392" s="63"/>
    </x:row>
    <x:row r="393" ht="30" customHeight="1">
      <x:c r="C393" s="64"/>
      <x:c r="D393" s="63"/>
      <x:c r="E393" s="63"/>
      <x:c r="F393" s="63"/>
      <x:c r="G393" s="63"/>
      <x:c r="H393" s="63"/>
      <x:c r="I393" s="63"/>
    </x:row>
    <x:row r="394" ht="30" customHeight="1">
      <x:c r="C394" s="64"/>
      <x:c r="D394" s="63"/>
      <x:c r="E394" s="63"/>
      <x:c r="F394" s="63"/>
      <x:c r="G394" s="63"/>
      <x:c r="H394" s="63"/>
      <x:c r="I394" s="63"/>
    </x:row>
    <x:row r="395" ht="30" customHeight="1">
      <x:c r="C395" s="64"/>
      <x:c r="D395" s="63"/>
      <x:c r="E395" s="63"/>
      <x:c r="F395" s="63"/>
      <x:c r="G395" s="63"/>
      <x:c r="H395" s="63"/>
      <x:c r="I395" s="63"/>
    </x:row>
    <x:row r="396" ht="30" customHeight="1">
      <x:c r="C396" s="64"/>
      <x:c r="D396" s="63"/>
      <x:c r="E396" s="63"/>
      <x:c r="F396" s="63"/>
      <x:c r="G396" s="63"/>
      <x:c r="H396" s="63"/>
      <x:c r="I396" s="63"/>
    </x:row>
    <x:row r="397" ht="30" customHeight="1">
      <x:c r="C397" s="64"/>
      <x:c r="D397" s="63"/>
      <x:c r="E397" s="63"/>
      <x:c r="F397" s="63"/>
      <x:c r="G397" s="63"/>
      <x:c r="H397" s="63"/>
      <x:c r="I397" s="63"/>
    </x:row>
    <x:row r="398" ht="25" customHeight="1">
      <x:c r="C398" s="68" t="str">
        <x:v>SCENARIO ASSUMPTIONS</x:v>
      </x:c>
      <x:c r="D398" s="82"/>
      <x:c r="E398" s="82"/>
      <x:c r="F398" s="82"/>
      <x:c r="G398" s="82"/>
      <x:c r="H398" s="82"/>
      <x:c r="I398" s="82"/>
    </x:row>
    <x:row r="399" ht="30" customHeight="1">
      <x:c r="C399" s="64"/>
      <x:c r="D399" s="63"/>
      <x:c r="E399" s="63"/>
      <x:c r="F399" s="63"/>
      <x:c r="G399" s="63"/>
      <x:c r="H399" s="63"/>
      <x:c r="I399" s="63"/>
    </x:row>
    <x:row r="400" ht="30" customHeight="1">
      <x:c r="C400" s="64" t="str">
        <x:v>Capacity utilization — active</x:v>
      </x:c>
      <x:c r="D400" s="63"/>
      <x:c r="E400" s="83" t="n">
        <x:f>IF(COUNT(CHOOSE('Controls'!$E$5,E401,E402,E403))=1,CHOOSE('Controls'!$E$5,E401,E402,E403),NA())</x:f>
        <x:v>1</x:v>
      </x:c>
      <x:c r="F400" s="83" t="n">
        <x:f>IF(COUNT(CHOOSE('Controls'!$E$5,F401,F402,F403))=1,CHOOSE('Controls'!$E$5,F401,F402,F403),NA())</x:f>
        <x:v>1</x:v>
      </x:c>
      <x:c r="G400" s="83" t="n">
        <x:f>IF(COUNT(CHOOSE('Controls'!$E$5,G401,G402,G403))=1,CHOOSE('Controls'!$E$5,G401,G402,G403),NA())</x:f>
        <x:v>1</x:v>
      </x:c>
      <x:c r="H400" s="83" t="n">
        <x:f>IF(COUNT(CHOOSE('Controls'!$E$5,H401,H402,H403))=1,CHOOSE('Controls'!$E$5,H401,H402,H403),NA())</x:f>
        <x:v>1</x:v>
      </x:c>
      <x:c r="I400" s="83" t="n">
        <x:f>IF(COUNT(CHOOSE('Controls'!$E$5,I401,I402,I403))=1,CHOOSE('Controls'!$E$5,I401,I402,I403),NA())</x:f>
        <x:v>1</x:v>
      </x:c>
    </x:row>
    <x:row r="401" ht="30" customHeight="1">
      <x:c r="C401" s="64" t="str">
        <x:v>Base</x:v>
      </x:c>
      <x:c r="D401" s="63"/>
      <x:c r="E401" s="85" t="n">
        <x:v>1</x:v>
      </x:c>
      <x:c r="F401" s="85" t="n">
        <x:v>1</x:v>
      </x:c>
      <x:c r="G401" s="85" t="n">
        <x:v>1</x:v>
      </x:c>
      <x:c r="H401" s="85" t="n">
        <x:v>1</x:v>
      </x:c>
      <x:c r="I401" s="85" t="n">
        <x:v>1</x:v>
      </x:c>
    </x:row>
    <x:row r="402" ht="30" customHeight="1">
      <x:c r="C402" s="64" t="str">
        <x:v>Downside</x:v>
      </x:c>
      <x:c r="D402" s="63"/>
      <x:c r="E402" s="85" t="n">
        <x:v>1</x:v>
      </x:c>
      <x:c r="F402" s="85" t="n">
        <x:v>1</x:v>
      </x:c>
      <x:c r="G402" s="85" t="n">
        <x:v>1</x:v>
      </x:c>
      <x:c r="H402" s="85" t="n">
        <x:v>1</x:v>
      </x:c>
      <x:c r="I402" s="85" t="n">
        <x:v>1</x:v>
      </x:c>
    </x:row>
    <x:row r="403" ht="30" customHeight="1">
      <x:c r="C403" s="64" t="str">
        <x:v>Upside</x:v>
      </x:c>
      <x:c r="D403" s="63"/>
      <x:c r="E403" s="85" t="n">
        <x:v>1</x:v>
      </x:c>
      <x:c r="F403" s="85" t="n">
        <x:v>1</x:v>
      </x:c>
      <x:c r="G403" s="85" t="n">
        <x:v>1</x:v>
      </x:c>
      <x:c r="H403" s="85" t="n">
        <x:v>1</x:v>
      </x:c>
      <x:c r="I403" s="85" t="n">
        <x:v>1</x:v>
      </x:c>
    </x:row>
    <x:row r="404" ht="30" customHeight="1">
      <x:c r="C404" s="64"/>
      <x:c r="D404" s="63"/>
      <x:c r="E404" s="63"/>
      <x:c r="F404" s="63"/>
      <x:c r="G404" s="63"/>
      <x:c r="H404" s="63"/>
      <x:c r="I404" s="63"/>
    </x:row>
    <x:row r="405" ht="30" customHeight="1">
      <x:c r="C405" s="64" t="str">
        <x:v>Material and variable production / revenue — active</x:v>
      </x:c>
      <x:c r="D405" s="63"/>
      <x:c r="E405" s="83" t="n">
        <x:f>IF(COUNT(CHOOSE('Controls'!$E$5,E406,E407,E408))=1,CHOOSE('Controls'!$E$5,E406,E407,E408),NA())</x:f>
        <x:v>0.72</x:v>
      </x:c>
      <x:c r="F405" s="83" t="n">
        <x:f>IF(COUNT(CHOOSE('Controls'!$E$5,F406,F407,F408))=1,CHOOSE('Controls'!$E$5,F406,F407,F408),NA())</x:f>
        <x:v>0.72</x:v>
      </x:c>
      <x:c r="G405" s="83" t="n">
        <x:f>IF(COUNT(CHOOSE('Controls'!$E$5,G406,G407,G408))=1,CHOOSE('Controls'!$E$5,G406,G407,G408),NA())</x:f>
        <x:v>0.72</x:v>
      </x:c>
      <x:c r="H405" s="83" t="n">
        <x:f>IF(COUNT(CHOOSE('Controls'!$E$5,H406,H407,H408))=1,CHOOSE('Controls'!$E$5,H406,H407,H408),NA())</x:f>
        <x:v>0.72</x:v>
      </x:c>
      <x:c r="I405" s="83" t="n">
        <x:f>IF(COUNT(CHOOSE('Controls'!$E$5,I406,I407,I408))=1,CHOOSE('Controls'!$E$5,I406,I407,I408),NA())</x:f>
        <x:v>0.72</x:v>
      </x:c>
    </x:row>
    <x:row r="406" ht="30" customHeight="1">
      <x:c r="C406" s="64" t="str">
        <x:v>Base</x:v>
      </x:c>
      <x:c r="D406" s="63"/>
      <x:c r="E406" s="85" t="n">
        <x:v>0.72</x:v>
      </x:c>
      <x:c r="F406" s="85" t="n">
        <x:v>0.72</x:v>
      </x:c>
      <x:c r="G406" s="85" t="n">
        <x:v>0.72</x:v>
      </x:c>
      <x:c r="H406" s="85" t="n">
        <x:v>0.72</x:v>
      </x:c>
      <x:c r="I406" s="85" t="n">
        <x:v>0.72</x:v>
      </x:c>
    </x:row>
    <x:row r="407" ht="30" customHeight="1">
      <x:c r="C407" s="64" t="str">
        <x:v>Downside</x:v>
      </x:c>
      <x:c r="D407" s="63"/>
      <x:c r="E407" s="85" t="n">
        <x:v>0.72</x:v>
      </x:c>
      <x:c r="F407" s="85" t="n">
        <x:v>0.72</x:v>
      </x:c>
      <x:c r="G407" s="85" t="n">
        <x:v>0.72</x:v>
      </x:c>
      <x:c r="H407" s="85" t="n">
        <x:v>0.72</x:v>
      </x:c>
      <x:c r="I407" s="85" t="n">
        <x:v>0.72</x:v>
      </x:c>
    </x:row>
    <x:row r="408" ht="30" customHeight="1">
      <x:c r="C408" s="64" t="str">
        <x:v>Upside</x:v>
      </x:c>
      <x:c r="D408" s="63"/>
      <x:c r="E408" s="85" t="n">
        <x:v>0.72</x:v>
      </x:c>
      <x:c r="F408" s="85" t="n">
        <x:v>0.72</x:v>
      </x:c>
      <x:c r="G408" s="85" t="n">
        <x:v>0.72</x:v>
      </x:c>
      <x:c r="H408" s="85" t="n">
        <x:v>0.72</x:v>
      </x:c>
      <x:c r="I408" s="85" t="n">
        <x:v>0.72</x:v>
      </x:c>
    </x:row>
    <x:row r="409" ht="30" customHeight="1">
      <x:c r="C409" s="64"/>
      <x:c r="D409" s="63"/>
      <x:c r="E409" s="63"/>
      <x:c r="F409" s="63"/>
      <x:c r="G409" s="63"/>
      <x:c r="H409" s="63"/>
      <x:c r="I409" s="63"/>
    </x:row>
    <x:row r="410" ht="30" customHeight="1">
      <x:c r="C410" s="64" t="str">
        <x:v>Other cash operating costs / revenue — active</x:v>
      </x:c>
      <x:c r="D410" s="63"/>
      <x:c r="E410" s="83" t="n">
        <x:f>IF(COUNT(CHOOSE('Controls'!$E$5,E411,E412,E413))=1,CHOOSE('Controls'!$E$5,E411,E412,E413),NA())</x:f>
        <x:v>0.13</x:v>
      </x:c>
      <x:c r="F410" s="83" t="n">
        <x:f>IF(COUNT(CHOOSE('Controls'!$E$5,F411,F412,F413))=1,CHOOSE('Controls'!$E$5,F411,F412,F413),NA())</x:f>
        <x:v>0.13</x:v>
      </x:c>
      <x:c r="G410" s="83" t="n">
        <x:f>IF(COUNT(CHOOSE('Controls'!$E$5,G411,G412,G413))=1,CHOOSE('Controls'!$E$5,G411,G412,G413),NA())</x:f>
        <x:v>0.13</x:v>
      </x:c>
      <x:c r="H410" s="83" t="n">
        <x:f>IF(COUNT(CHOOSE('Controls'!$E$5,H411,H412,H413))=1,CHOOSE('Controls'!$E$5,H411,H412,H413),NA())</x:f>
        <x:v>0.13</x:v>
      </x:c>
      <x:c r="I410" s="83" t="n">
        <x:f>IF(COUNT(CHOOSE('Controls'!$E$5,I411,I412,I413))=1,CHOOSE('Controls'!$E$5,I411,I412,I413),NA())</x:f>
        <x:v>0.13</x:v>
      </x:c>
    </x:row>
    <x:row r="411" ht="30" customHeight="1">
      <x:c r="C411" s="64" t="str">
        <x:v>Base</x:v>
      </x:c>
      <x:c r="D411" s="63"/>
      <x:c r="E411" s="85" t="n">
        <x:v>0.13</x:v>
      </x:c>
      <x:c r="F411" s="85" t="n">
        <x:v>0.13</x:v>
      </x:c>
      <x:c r="G411" s="85" t="n">
        <x:v>0.13</x:v>
      </x:c>
      <x:c r="H411" s="85" t="n">
        <x:v>0.13</x:v>
      </x:c>
      <x:c r="I411" s="85" t="n">
        <x:v>0.13</x:v>
      </x:c>
    </x:row>
    <x:row r="412" ht="30" customHeight="1">
      <x:c r="C412" s="64" t="str">
        <x:v>Downside</x:v>
      </x:c>
      <x:c r="D412" s="63"/>
      <x:c r="E412" s="85" t="n">
        <x:v>0.13</x:v>
      </x:c>
      <x:c r="F412" s="85" t="n">
        <x:v>0.13</x:v>
      </x:c>
      <x:c r="G412" s="85" t="n">
        <x:v>0.13</x:v>
      </x:c>
      <x:c r="H412" s="85" t="n">
        <x:v>0.13</x:v>
      </x:c>
      <x:c r="I412" s="85" t="n">
        <x:v>0.13</x:v>
      </x:c>
    </x:row>
    <x:row r="413" ht="30" customHeight="1">
      <x:c r="C413" s="64" t="str">
        <x:v>Upside</x:v>
      </x:c>
      <x:c r="D413" s="63"/>
      <x:c r="E413" s="85" t="n">
        <x:v>0.13</x:v>
      </x:c>
      <x:c r="F413" s="85" t="n">
        <x:v>0.13</x:v>
      </x:c>
      <x:c r="G413" s="85" t="n">
        <x:v>0.13</x:v>
      </x:c>
      <x:c r="H413" s="85" t="n">
        <x:v>0.13</x:v>
      </x:c>
      <x:c r="I413" s="85" t="n">
        <x:v>0.13</x:v>
      </x:c>
    </x:row>
    <x:row r="414" ht="30" customHeight="1">
      <x:c r="C414" s="64"/>
      <x:c r="D414" s="63"/>
      <x:c r="E414" s="63"/>
      <x:c r="F414" s="63"/>
      <x:c r="G414" s="63"/>
      <x:c r="H414" s="63"/>
      <x:c r="I414" s="63"/>
    </x:row>
    <x:row r="415" ht="30" customHeight="1">
      <x:c r="C415" s="64" t="str">
        <x:v>Cash capex / revenue — active</x:v>
      </x:c>
      <x:c r="D415" s="63"/>
      <x:c r="E415" s="83" t="n">
        <x:f>IF(COUNT(CHOOSE('Controls'!$E$5,E416,E417,E418))=1,CHOOSE('Controls'!$E$5,E416,E417,E418),NA())</x:f>
        <x:v>0.065</x:v>
      </x:c>
      <x:c r="F415" s="83" t="n">
        <x:f>IF(COUNT(CHOOSE('Controls'!$E$5,F416,F417,F418))=1,CHOOSE('Controls'!$E$5,F416,F417,F418),NA())</x:f>
        <x:v>0.065</x:v>
      </x:c>
      <x:c r="G415" s="83" t="n">
        <x:f>IF(COUNT(CHOOSE('Controls'!$E$5,G416,G417,G418))=1,CHOOSE('Controls'!$E$5,G416,G417,G418),NA())</x:f>
        <x:v>0.065</x:v>
      </x:c>
      <x:c r="H415" s="83" t="n">
        <x:f>IF(COUNT(CHOOSE('Controls'!$E$5,H416,H417,H418))=1,CHOOSE('Controls'!$E$5,H416,H417,H418),NA())</x:f>
        <x:v>0.065</x:v>
      </x:c>
      <x:c r="I415" s="83" t="n">
        <x:f>IF(COUNT(CHOOSE('Controls'!$E$5,I416,I417,I418))=1,CHOOSE('Controls'!$E$5,I416,I417,I418),NA())</x:f>
        <x:v>0.065</x:v>
      </x:c>
    </x:row>
    <x:row r="416" ht="30" customHeight="1">
      <x:c r="C416" s="64" t="str">
        <x:v>Base</x:v>
      </x:c>
      <x:c r="D416" s="63"/>
      <x:c r="E416" s="85" t="n">
        <x:v>0.065</x:v>
      </x:c>
      <x:c r="F416" s="85" t="n">
        <x:v>0.065</x:v>
      </x:c>
      <x:c r="G416" s="85" t="n">
        <x:v>0.065</x:v>
      </x:c>
      <x:c r="H416" s="85" t="n">
        <x:v>0.065</x:v>
      </x:c>
      <x:c r="I416" s="85" t="n">
        <x:v>0.065</x:v>
      </x:c>
    </x:row>
    <x:row r="417" ht="30" customHeight="1">
      <x:c r="C417" s="64" t="str">
        <x:v>Downside</x:v>
      </x:c>
      <x:c r="D417" s="63"/>
      <x:c r="E417" s="85" t="n">
        <x:v>0.065</x:v>
      </x:c>
      <x:c r="F417" s="85" t="n">
        <x:v>0.065</x:v>
      </x:c>
      <x:c r="G417" s="85" t="n">
        <x:v>0.065</x:v>
      </x:c>
      <x:c r="H417" s="85" t="n">
        <x:v>0.065</x:v>
      </x:c>
      <x:c r="I417" s="85" t="n">
        <x:v>0.065</x:v>
      </x:c>
    </x:row>
    <x:row r="418" ht="30" customHeight="1">
      <x:c r="C418" s="64" t="str">
        <x:v>Upside</x:v>
      </x:c>
      <x:c r="D418" s="63"/>
      <x:c r="E418" s="85" t="n">
        <x:v>0.065</x:v>
      </x:c>
      <x:c r="F418" s="85" t="n">
        <x:v>0.065</x:v>
      </x:c>
      <x:c r="G418" s="85" t="n">
        <x:v>0.065</x:v>
      </x:c>
      <x:c r="H418" s="85" t="n">
        <x:v>0.065</x:v>
      </x:c>
      <x:c r="I418" s="85" t="n">
        <x:v>0.065</x:v>
      </x:c>
    </x:row>
    <x:row r="419" ht="30" customHeight="1">
      <x:c r="C419" s="64"/>
      <x:c r="D419" s="63"/>
      <x:c r="E419" s="63"/>
      <x:c r="F419" s="63"/>
      <x:c r="G419" s="63"/>
      <x:c r="H419" s="63"/>
      <x:c r="I419" s="63"/>
    </x:row>
    <x:row r="420" ht="30" customHeight="1">
      <x:c r="C420" s="64" t="str">
        <x:v>D&amp;A / opening net PP&amp;E — active</x:v>
      </x:c>
      <x:c r="D420" s="63"/>
      <x:c r="E420" s="83" t="n">
        <x:f>IF(COUNT(CHOOSE('Controls'!$E$5,E421,E422,E423))=1,CHOOSE('Controls'!$E$5,E421,E422,E423),NA())</x:f>
        <x:v>0.13</x:v>
      </x:c>
      <x:c r="F420" s="83" t="n">
        <x:f>IF(COUNT(CHOOSE('Controls'!$E$5,F421,F422,F423))=1,CHOOSE('Controls'!$E$5,F421,F422,F423),NA())</x:f>
        <x:v>0.13</x:v>
      </x:c>
      <x:c r="G420" s="83" t="n">
        <x:f>IF(COUNT(CHOOSE('Controls'!$E$5,G421,G422,G423))=1,CHOOSE('Controls'!$E$5,G421,G422,G423),NA())</x:f>
        <x:v>0.13</x:v>
      </x:c>
      <x:c r="H420" s="83" t="n">
        <x:f>IF(COUNT(CHOOSE('Controls'!$E$5,H421,H422,H423))=1,CHOOSE('Controls'!$E$5,H421,H422,H423),NA())</x:f>
        <x:v>0.13</x:v>
      </x:c>
      <x:c r="I420" s="83" t="n">
        <x:f>IF(COUNT(CHOOSE('Controls'!$E$5,I421,I422,I423))=1,CHOOSE('Controls'!$E$5,I421,I422,I423),NA())</x:f>
        <x:v>0.13</x:v>
      </x:c>
    </x:row>
    <x:row r="421" ht="30" customHeight="1">
      <x:c r="C421" s="64" t="str">
        <x:v>Base</x:v>
      </x:c>
      <x:c r="D421" s="63"/>
      <x:c r="E421" s="85" t="n">
        <x:v>0.13</x:v>
      </x:c>
      <x:c r="F421" s="85" t="n">
        <x:v>0.13</x:v>
      </x:c>
      <x:c r="G421" s="85" t="n">
        <x:v>0.13</x:v>
      </x:c>
      <x:c r="H421" s="85" t="n">
        <x:v>0.13</x:v>
      </x:c>
      <x:c r="I421" s="85" t="n">
        <x:v>0.13</x:v>
      </x:c>
    </x:row>
    <x:row r="422" ht="30" customHeight="1">
      <x:c r="C422" s="64" t="str">
        <x:v>Downside</x:v>
      </x:c>
      <x:c r="D422" s="63"/>
      <x:c r="E422" s="85" t="n">
        <x:v>0.13</x:v>
      </x:c>
      <x:c r="F422" s="85" t="n">
        <x:v>0.13</x:v>
      </x:c>
      <x:c r="G422" s="85" t="n">
        <x:v>0.13</x:v>
      </x:c>
      <x:c r="H422" s="85" t="n">
        <x:v>0.13</x:v>
      </x:c>
      <x:c r="I422" s="85" t="n">
        <x:v>0.13</x:v>
      </x:c>
    </x:row>
    <x:row r="423" ht="30" customHeight="1">
      <x:c r="C423" s="64" t="str">
        <x:v>Upside</x:v>
      </x:c>
      <x:c r="D423" s="63"/>
      <x:c r="E423" s="85" t="n">
        <x:v>0.13</x:v>
      </x:c>
      <x:c r="F423" s="85" t="n">
        <x:v>0.13</x:v>
      </x:c>
      <x:c r="G423" s="85" t="n">
        <x:v>0.13</x:v>
      </x:c>
      <x:c r="H423" s="85" t="n">
        <x:v>0.13</x:v>
      </x:c>
      <x:c r="I423" s="85" t="n">
        <x:v>0.13</x:v>
      </x:c>
    </x:row>
    <x:row r="424" ht="30" customHeight="1">
      <x:c r="C424" s="64"/>
      <x:c r="D424" s="63"/>
      <x:c r="E424" s="63"/>
      <x:c r="F424" s="63"/>
      <x:c r="G424" s="63"/>
      <x:c r="H424" s="63"/>
      <x:c r="I424" s="63"/>
    </x:row>
    <x:row r="425" ht="30" customHeight="1">
      <x:c r="C425" s="64" t="str">
        <x:v>Receivable days — active</x:v>
      </x:c>
      <x:c r="D425" s="63"/>
      <x:c r="E425" s="8" t="n">
        <x:f>IF(COUNT(CHOOSE('Controls'!$E$5,E426,E427,E428))=1,CHOOSE('Controls'!$E$5,E426,E427,E428),NA())</x:f>
        <x:v>20</x:v>
      </x:c>
      <x:c r="F425" s="8" t="n">
        <x:f>IF(COUNT(CHOOSE('Controls'!$E$5,F426,F427,F428))=1,CHOOSE('Controls'!$E$5,F426,F427,F428),NA())</x:f>
        <x:v>20</x:v>
      </x:c>
      <x:c r="G425" s="8" t="n">
        <x:f>IF(COUNT(CHOOSE('Controls'!$E$5,G426,G427,G428))=1,CHOOSE('Controls'!$E$5,G426,G427,G428),NA())</x:f>
        <x:v>20</x:v>
      </x:c>
      <x:c r="H425" s="8" t="n">
        <x:f>IF(COUNT(CHOOSE('Controls'!$E$5,H426,H427,H428))=1,CHOOSE('Controls'!$E$5,H426,H427,H428),NA())</x:f>
        <x:v>20</x:v>
      </x:c>
      <x:c r="I425" s="8" t="n">
        <x:f>IF(COUNT(CHOOSE('Controls'!$E$5,I426,I427,I428))=1,CHOOSE('Controls'!$E$5,I426,I427,I428),NA())</x:f>
        <x:v>20</x:v>
      </x:c>
    </x:row>
    <x:row r="426" ht="30" customHeight="1">
      <x:c r="C426" s="64" t="str">
        <x:v>Base</x:v>
      </x:c>
      <x:c r="D426" s="63"/>
      <x:c r="E426" s="74" t="n">
        <x:v>20</x:v>
      </x:c>
      <x:c r="F426" s="74" t="n">
        <x:v>20</x:v>
      </x:c>
      <x:c r="G426" s="74" t="n">
        <x:v>20</x:v>
      </x:c>
      <x:c r="H426" s="74" t="n">
        <x:v>20</x:v>
      </x:c>
      <x:c r="I426" s="74" t="n">
        <x:v>20</x:v>
      </x:c>
    </x:row>
    <x:row r="427" ht="30" customHeight="1">
      <x:c r="C427" s="64" t="str">
        <x:v>Downside</x:v>
      </x:c>
      <x:c r="D427" s="63"/>
      <x:c r="E427" s="74" t="n">
        <x:v>20</x:v>
      </x:c>
      <x:c r="F427" s="74" t="n">
        <x:v>20</x:v>
      </x:c>
      <x:c r="G427" s="74" t="n">
        <x:v>20</x:v>
      </x:c>
      <x:c r="H427" s="74" t="n">
        <x:v>20</x:v>
      </x:c>
      <x:c r="I427" s="74" t="n">
        <x:v>20</x:v>
      </x:c>
    </x:row>
    <x:row r="428" ht="30" customHeight="1">
      <x:c r="C428" s="64" t="str">
        <x:v>Upside</x:v>
      </x:c>
      <x:c r="D428" s="63"/>
      <x:c r="E428" s="74" t="n">
        <x:v>20</x:v>
      </x:c>
      <x:c r="F428" s="74" t="n">
        <x:v>20</x:v>
      </x:c>
      <x:c r="G428" s="74" t="n">
        <x:v>20</x:v>
      </x:c>
      <x:c r="H428" s="74" t="n">
        <x:v>20</x:v>
      </x:c>
      <x:c r="I428" s="74" t="n">
        <x:v>20</x:v>
      </x:c>
    </x:row>
    <x:row r="429" ht="30" customHeight="1">
      <x:c r="C429" s="64"/>
      <x:c r="D429" s="63"/>
      <x:c r="E429" s="63"/>
      <x:c r="F429" s="63"/>
      <x:c r="G429" s="63"/>
      <x:c r="H429" s="63"/>
      <x:c r="I429" s="63"/>
    </x:row>
    <x:row r="430" ht="30" customHeight="1">
      <x:c r="C430" s="64" t="str">
        <x:v>Inventory days — active</x:v>
      </x:c>
      <x:c r="D430" s="63"/>
      <x:c r="E430" s="8" t="n">
        <x:f>IF(COUNT(CHOOSE('Controls'!$E$5,E431,E432,E433))=1,CHOOSE('Controls'!$E$5,E431,E432,E433),NA())</x:f>
        <x:v>35</x:v>
      </x:c>
      <x:c r="F430" s="8" t="n">
        <x:f>IF(COUNT(CHOOSE('Controls'!$E$5,F431,F432,F433))=1,CHOOSE('Controls'!$E$5,F431,F432,F433),NA())</x:f>
        <x:v>35</x:v>
      </x:c>
      <x:c r="G430" s="8" t="n">
        <x:f>IF(COUNT(CHOOSE('Controls'!$E$5,G431,G432,G433))=1,CHOOSE('Controls'!$E$5,G431,G432,G433),NA())</x:f>
        <x:v>35</x:v>
      </x:c>
      <x:c r="H430" s="8" t="n">
        <x:f>IF(COUNT(CHOOSE('Controls'!$E$5,H431,H432,H433))=1,CHOOSE('Controls'!$E$5,H431,H432,H433),NA())</x:f>
        <x:v>35</x:v>
      </x:c>
      <x:c r="I430" s="8" t="n">
        <x:f>IF(COUNT(CHOOSE('Controls'!$E$5,I431,I432,I433))=1,CHOOSE('Controls'!$E$5,I431,I432,I433),NA())</x:f>
        <x:v>35</x:v>
      </x:c>
    </x:row>
    <x:row r="431" ht="30" customHeight="1">
      <x:c r="C431" s="64" t="str">
        <x:v>Base</x:v>
      </x:c>
      <x:c r="D431" s="63"/>
      <x:c r="E431" s="74" t="n">
        <x:v>35</x:v>
      </x:c>
      <x:c r="F431" s="74" t="n">
        <x:v>35</x:v>
      </x:c>
      <x:c r="G431" s="74" t="n">
        <x:v>35</x:v>
      </x:c>
      <x:c r="H431" s="74" t="n">
        <x:v>35</x:v>
      </x:c>
      <x:c r="I431" s="74" t="n">
        <x:v>35</x:v>
      </x:c>
    </x:row>
    <x:row r="432" ht="30" customHeight="1">
      <x:c r="C432" s="64" t="str">
        <x:v>Downside</x:v>
      </x:c>
      <x:c r="D432" s="63"/>
      <x:c r="E432" s="74" t="n">
        <x:v>35</x:v>
      </x:c>
      <x:c r="F432" s="74" t="n">
        <x:v>35</x:v>
      </x:c>
      <x:c r="G432" s="74" t="n">
        <x:v>35</x:v>
      </x:c>
      <x:c r="H432" s="74" t="n">
        <x:v>35</x:v>
      </x:c>
      <x:c r="I432" s="74" t="n">
        <x:v>35</x:v>
      </x:c>
    </x:row>
    <x:row r="433" ht="30" customHeight="1">
      <x:c r="C433" s="64" t="str">
        <x:v>Upside</x:v>
      </x:c>
      <x:c r="D433" s="63"/>
      <x:c r="E433" s="74" t="n">
        <x:v>35</x:v>
      </x:c>
      <x:c r="F433" s="74" t="n">
        <x:v>35</x:v>
      </x:c>
      <x:c r="G433" s="74" t="n">
        <x:v>35</x:v>
      </x:c>
      <x:c r="H433" s="74" t="n">
        <x:v>35</x:v>
      </x:c>
      <x:c r="I433" s="74" t="n">
        <x:v>35</x:v>
      </x:c>
    </x:row>
    <x:row r="434" ht="30" customHeight="1">
      <x:c r="C434" s="64"/>
      <x:c r="D434" s="63"/>
      <x:c r="E434" s="63"/>
      <x:c r="F434" s="63"/>
      <x:c r="G434" s="63"/>
      <x:c r="H434" s="63"/>
      <x:c r="I434" s="63"/>
    </x:row>
    <x:row r="435" ht="30" customHeight="1">
      <x:c r="C435" s="64" t="str">
        <x:v>Payable days — active</x:v>
      </x:c>
      <x:c r="D435" s="63"/>
      <x:c r="E435" s="8" t="n">
        <x:f>IF(COUNT(CHOOSE('Controls'!$E$5,E436,E437,E438))=1,CHOOSE('Controls'!$E$5,E436,E437,E438),NA())</x:f>
        <x:v>50</x:v>
      </x:c>
      <x:c r="F435" s="8" t="n">
        <x:f>IF(COUNT(CHOOSE('Controls'!$E$5,F436,F437,F438))=1,CHOOSE('Controls'!$E$5,F436,F437,F438),NA())</x:f>
        <x:v>50</x:v>
      </x:c>
      <x:c r="G435" s="8" t="n">
        <x:f>IF(COUNT(CHOOSE('Controls'!$E$5,G436,G437,G438))=1,CHOOSE('Controls'!$E$5,G436,G437,G438),NA())</x:f>
        <x:v>50</x:v>
      </x:c>
      <x:c r="H435" s="8" t="n">
        <x:f>IF(COUNT(CHOOSE('Controls'!$E$5,H436,H437,H438))=1,CHOOSE('Controls'!$E$5,H436,H437,H438),NA())</x:f>
        <x:v>50</x:v>
      </x:c>
      <x:c r="I435" s="8" t="n">
        <x:f>IF(COUNT(CHOOSE('Controls'!$E$5,I436,I437,I438))=1,CHOOSE('Controls'!$E$5,I436,I437,I438),NA())</x:f>
        <x:v>50</x:v>
      </x:c>
    </x:row>
    <x:row r="436" ht="30" customHeight="1">
      <x:c r="C436" s="64" t="str">
        <x:v>Base</x:v>
      </x:c>
      <x:c r="D436" s="63"/>
      <x:c r="E436" s="74" t="n">
        <x:v>50</x:v>
      </x:c>
      <x:c r="F436" s="74" t="n">
        <x:v>50</x:v>
      </x:c>
      <x:c r="G436" s="74" t="n">
        <x:v>50</x:v>
      </x:c>
      <x:c r="H436" s="74" t="n">
        <x:v>50</x:v>
      </x:c>
      <x:c r="I436" s="74" t="n">
        <x:v>50</x:v>
      </x:c>
    </x:row>
    <x:row r="437" ht="30" customHeight="1">
      <x:c r="C437" s="64" t="str">
        <x:v>Downside</x:v>
      </x:c>
      <x:c r="D437" s="63"/>
      <x:c r="E437" s="74" t="n">
        <x:v>50</x:v>
      </x:c>
      <x:c r="F437" s="74" t="n">
        <x:v>50</x:v>
      </x:c>
      <x:c r="G437" s="74" t="n">
        <x:v>50</x:v>
      </x:c>
      <x:c r="H437" s="74" t="n">
        <x:v>50</x:v>
      </x:c>
      <x:c r="I437" s="74" t="n">
        <x:v>50</x:v>
      </x:c>
    </x:row>
    <x:row r="438" ht="30" customHeight="1">
      <x:c r="C438" s="64" t="str">
        <x:v>Upside</x:v>
      </x:c>
      <x:c r="D438" s="63"/>
      <x:c r="E438" s="74" t="n">
        <x:v>50</x:v>
      </x:c>
      <x:c r="F438" s="74" t="n">
        <x:v>50</x:v>
      </x:c>
      <x:c r="G438" s="74" t="n">
        <x:v>50</x:v>
      </x:c>
      <x:c r="H438" s="74" t="n">
        <x:v>50</x:v>
      </x:c>
      <x:c r="I438" s="74" t="n">
        <x:v>50</x:v>
      </x:c>
    </x:row>
    <x:row r="439" ht="30" customHeight="1">
      <x:c r="C439" s="64"/>
      <x:c r="D439" s="63"/>
      <x:c r="E439" s="63"/>
      <x:c r="F439" s="63"/>
      <x:c r="G439" s="63"/>
      <x:c r="H439" s="63"/>
      <x:c r="I439" s="63"/>
    </x:row>
    <x:row r="440" ht="30" customHeight="1">
      <x:c r="C440" s="64" t="str">
        <x:v>Effective cash tax rate — active</x:v>
      </x:c>
      <x:c r="D440" s="63"/>
      <x:c r="E440" s="83" t="n">
        <x:f>IF(COUNT(CHOOSE('Controls'!$E$5,E441,E442,E443))=1,CHOOSE('Controls'!$E$5,E441,E442,E443),NA())</x:f>
        <x:v>0.25</x:v>
      </x:c>
      <x:c r="F440" s="83" t="n">
        <x:f>IF(COUNT(CHOOSE('Controls'!$E$5,F441,F442,F443))=1,CHOOSE('Controls'!$E$5,F441,F442,F443),NA())</x:f>
        <x:v>0.25</x:v>
      </x:c>
      <x:c r="G440" s="83" t="n">
        <x:f>IF(COUNT(CHOOSE('Controls'!$E$5,G441,G442,G443))=1,CHOOSE('Controls'!$E$5,G441,G442,G443),NA())</x:f>
        <x:v>0.25</x:v>
      </x:c>
      <x:c r="H440" s="83" t="n">
        <x:f>IF(COUNT(CHOOSE('Controls'!$E$5,H441,H442,H443))=1,CHOOSE('Controls'!$E$5,H441,H442,H443),NA())</x:f>
        <x:v>0.25</x:v>
      </x:c>
      <x:c r="I440" s="83" t="n">
        <x:f>IF(COUNT(CHOOSE('Controls'!$E$5,I441,I442,I443))=1,CHOOSE('Controls'!$E$5,I441,I442,I443),NA())</x:f>
        <x:v>0.25</x:v>
      </x:c>
    </x:row>
    <x:row r="441" ht="30" customHeight="1">
      <x:c r="C441" s="64" t="str">
        <x:v>Base</x:v>
      </x:c>
      <x:c r="D441" s="63"/>
      <x:c r="E441" s="85" t="n">
        <x:v>0.25</x:v>
      </x:c>
      <x:c r="F441" s="85" t="n">
        <x:v>0.25</x:v>
      </x:c>
      <x:c r="G441" s="85" t="n">
        <x:v>0.25</x:v>
      </x:c>
      <x:c r="H441" s="85" t="n">
        <x:v>0.25</x:v>
      </x:c>
      <x:c r="I441" s="85" t="n">
        <x:v>0.25</x:v>
      </x:c>
    </x:row>
    <x:row r="442" ht="30" customHeight="1">
      <x:c r="C442" s="64" t="str">
        <x:v>Downside</x:v>
      </x:c>
      <x:c r="D442" s="63"/>
      <x:c r="E442" s="85" t="n">
        <x:v>0.25</x:v>
      </x:c>
      <x:c r="F442" s="85" t="n">
        <x:v>0.25</x:v>
      </x:c>
      <x:c r="G442" s="85" t="n">
        <x:v>0.25</x:v>
      </x:c>
      <x:c r="H442" s="85" t="n">
        <x:v>0.25</x:v>
      </x:c>
      <x:c r="I442" s="85" t="n">
        <x:v>0.25</x:v>
      </x:c>
    </x:row>
    <x:row r="443" ht="30" customHeight="1">
      <x:c r="C443" s="64" t="str">
        <x:v>Upside</x:v>
      </x:c>
      <x:c r="D443" s="63"/>
      <x:c r="E443" s="85" t="n">
        <x:v>0.25</x:v>
      </x:c>
      <x:c r="F443" s="85" t="n">
        <x:v>0.25</x:v>
      </x:c>
      <x:c r="G443" s="85" t="n">
        <x:v>0.25</x:v>
      </x:c>
      <x:c r="H443" s="85" t="n">
        <x:v>0.25</x:v>
      </x:c>
      <x:c r="I443" s="85" t="n">
        <x:v>0.25</x:v>
      </x:c>
    </x:row>
    <x:row r="444" ht="30" customHeight="1">
      <x:c r="C444" s="64"/>
      <x:c r="D444" s="63"/>
      <x:c r="E444" s="63"/>
      <x:c r="F444" s="63"/>
      <x:c r="G444" s="63"/>
      <x:c r="H444" s="63"/>
      <x:c r="I444" s="63"/>
    </x:row>
    <x:row r="445" ht="30" customHeight="1">
      <x:c r="C445" s="64" t="str">
        <x:v>Interest on opening debt — active</x:v>
      </x:c>
      <x:c r="D445" s="63"/>
      <x:c r="E445" s="83" t="n">
        <x:f>IF(COUNT(CHOOSE('Controls'!$E$5,E446,E447,E448))=1,CHOOSE('Controls'!$E$5,E446,E447,E448),NA())</x:f>
        <x:v>0.085</x:v>
      </x:c>
      <x:c r="F445" s="83" t="n">
        <x:f>IF(COUNT(CHOOSE('Controls'!$E$5,F446,F447,F448))=1,CHOOSE('Controls'!$E$5,F446,F447,F448),NA())</x:f>
        <x:v>0.085</x:v>
      </x:c>
      <x:c r="G445" s="83" t="n">
        <x:f>IF(COUNT(CHOOSE('Controls'!$E$5,G446,G447,G448))=1,CHOOSE('Controls'!$E$5,G446,G447,G448),NA())</x:f>
        <x:v>0.085</x:v>
      </x:c>
      <x:c r="H445" s="83" t="n">
        <x:f>IF(COUNT(CHOOSE('Controls'!$E$5,H446,H447,H448))=1,CHOOSE('Controls'!$E$5,H446,H447,H448),NA())</x:f>
        <x:v>0.085</x:v>
      </x:c>
      <x:c r="I445" s="83" t="n">
        <x:f>IF(COUNT(CHOOSE('Controls'!$E$5,I446,I447,I448))=1,CHOOSE('Controls'!$E$5,I446,I447,I448),NA())</x:f>
        <x:v>0.085</x:v>
      </x:c>
    </x:row>
    <x:row r="446" ht="30" customHeight="1">
      <x:c r="C446" s="64" t="str">
        <x:v>Base</x:v>
      </x:c>
      <x:c r="D446" s="63"/>
      <x:c r="E446" s="85" t="n">
        <x:v>0.085</x:v>
      </x:c>
      <x:c r="F446" s="85" t="n">
        <x:v>0.085</x:v>
      </x:c>
      <x:c r="G446" s="85" t="n">
        <x:v>0.085</x:v>
      </x:c>
      <x:c r="H446" s="85" t="n">
        <x:v>0.085</x:v>
      </x:c>
      <x:c r="I446" s="85" t="n">
        <x:v>0.085</x:v>
      </x:c>
    </x:row>
    <x:row r="447" ht="30" customHeight="1">
      <x:c r="C447" s="64" t="str">
        <x:v>Downside</x:v>
      </x:c>
      <x:c r="D447" s="63"/>
      <x:c r="E447" s="85" t="n">
        <x:v>0.085</x:v>
      </x:c>
      <x:c r="F447" s="85" t="n">
        <x:v>0.085</x:v>
      </x:c>
      <x:c r="G447" s="85" t="n">
        <x:v>0.085</x:v>
      </x:c>
      <x:c r="H447" s="85" t="n">
        <x:v>0.085</x:v>
      </x:c>
      <x:c r="I447" s="85" t="n">
        <x:v>0.085</x:v>
      </x:c>
    </x:row>
    <x:row r="448" ht="30" customHeight="1">
      <x:c r="C448" s="64" t="str">
        <x:v>Upside</x:v>
      </x:c>
      <x:c r="D448" s="63"/>
      <x:c r="E448" s="85" t="n">
        <x:v>0.085</x:v>
      </x:c>
      <x:c r="F448" s="85" t="n">
        <x:v>0.085</x:v>
      </x:c>
      <x:c r="G448" s="85" t="n">
        <x:v>0.085</x:v>
      </x:c>
      <x:c r="H448" s="85" t="n">
        <x:v>0.085</x:v>
      </x:c>
      <x:c r="I448" s="85" t="n">
        <x:v>0.085</x:v>
      </x:c>
    </x:row>
    <x:row r="449" ht="30" customHeight="1">
      <x:c r="C449" s="64"/>
      <x:c r="D449" s="63"/>
      <x:c r="E449" s="63"/>
      <x:c r="F449" s="63"/>
      <x:c r="G449" s="63"/>
      <x:c r="H449" s="63"/>
      <x:c r="I449" s="63"/>
    </x:row>
    <x:row r="450" ht="30" customHeight="1">
      <x:c r="C450" s="64" t="str">
        <x:v>New borrowing — active</x:v>
      </x:c>
      <x:c r="D450" s="63"/>
      <x:c r="E450" s="8" t="n">
        <x:f>IF(COUNT(CHOOSE('Controls'!$E$5,E451,E452,E453))=1,CHOOSE('Controls'!$E$5,E451,E452,E453),NA())</x:f>
        <x:v>0</x:v>
      </x:c>
      <x:c r="F450" s="8" t="n">
        <x:f>IF(COUNT(CHOOSE('Controls'!$E$5,F451,F452,F453))=1,CHOOSE('Controls'!$E$5,F451,F452,F453),NA())</x:f>
        <x:v>0</x:v>
      </x:c>
      <x:c r="G450" s="8" t="n">
        <x:f>IF(COUNT(CHOOSE('Controls'!$E$5,G451,G452,G453))=1,CHOOSE('Controls'!$E$5,G451,G452,G453),NA())</x:f>
        <x:v>0</x:v>
      </x:c>
      <x:c r="H450" s="8" t="n">
        <x:f>IF(COUNT(CHOOSE('Controls'!$E$5,H451,H452,H453))=1,CHOOSE('Controls'!$E$5,H451,H452,H453),NA())</x:f>
        <x:v>0</x:v>
      </x:c>
      <x:c r="I450" s="8" t="n">
        <x:f>IF(COUNT(CHOOSE('Controls'!$E$5,I451,I452,I453))=1,CHOOSE('Controls'!$E$5,I451,I452,I453),NA())</x:f>
        <x:v>0</x:v>
      </x:c>
    </x:row>
    <x:row r="451" ht="30" customHeight="1">
      <x:c r="C451" s="64" t="str">
        <x:v>Base</x:v>
      </x:c>
      <x:c r="D451" s="63"/>
      <x:c r="E451" s="74" t="n">
        <x:v>0</x:v>
      </x:c>
      <x:c r="F451" s="74" t="n">
        <x:v>0</x:v>
      </x:c>
      <x:c r="G451" s="74" t="n">
        <x:v>0</x:v>
      </x:c>
      <x:c r="H451" s="74" t="n">
        <x:v>0</x:v>
      </x:c>
      <x:c r="I451" s="74" t="n">
        <x:v>0</x:v>
      </x:c>
    </x:row>
    <x:row r="452" ht="30" customHeight="1">
      <x:c r="C452" s="64" t="str">
        <x:v>Downside</x:v>
      </x:c>
      <x:c r="D452" s="63"/>
      <x:c r="E452" s="74" t="n">
        <x:v>0</x:v>
      </x:c>
      <x:c r="F452" s="74" t="n">
        <x:v>0</x:v>
      </x:c>
      <x:c r="G452" s="74" t="n">
        <x:v>0</x:v>
      </x:c>
      <x:c r="H452" s="74" t="n">
        <x:v>0</x:v>
      </x:c>
      <x:c r="I452" s="74" t="n">
        <x:v>0</x:v>
      </x:c>
    </x:row>
    <x:row r="453" ht="30" customHeight="1">
      <x:c r="C453" s="64" t="str">
        <x:v>Upside</x:v>
      </x:c>
      <x:c r="D453" s="63"/>
      <x:c r="E453" s="74" t="n">
        <x:v>0</x:v>
      </x:c>
      <x:c r="F453" s="74" t="n">
        <x:v>0</x:v>
      </x:c>
      <x:c r="G453" s="74" t="n">
        <x:v>0</x:v>
      </x:c>
      <x:c r="H453" s="74" t="n">
        <x:v>0</x:v>
      </x:c>
      <x:c r="I453" s="74" t="n">
        <x:v>0</x:v>
      </x:c>
    </x:row>
    <x:row r="454" ht="30" customHeight="1">
      <x:c r="C454" s="64"/>
      <x:c r="D454" s="63"/>
      <x:c r="E454" s="63"/>
      <x:c r="F454" s="63"/>
      <x:c r="G454" s="63"/>
      <x:c r="H454" s="63"/>
      <x:c r="I454" s="63"/>
    </x:row>
    <x:row r="455" ht="30" customHeight="1">
      <x:c r="C455" s="64" t="str">
        <x:v>Scheduled principal repayment — active</x:v>
      </x:c>
      <x:c r="D455" s="63"/>
      <x:c r="E455" s="8" t="n">
        <x:f>IF(COUNT(CHOOSE('Controls'!$E$5,E456,E457,E458))=1,CHOOSE('Controls'!$E$5,E456,E457,E458),NA())</x:f>
        <x:v>250</x:v>
      </x:c>
      <x:c r="F455" s="8" t="n">
        <x:f>IF(COUNT(CHOOSE('Controls'!$E$5,F456,F457,F458))=1,CHOOSE('Controls'!$E$5,F456,F457,F458),NA())</x:f>
        <x:v>250</x:v>
      </x:c>
      <x:c r="G455" s="8" t="n">
        <x:f>IF(COUNT(CHOOSE('Controls'!$E$5,G456,G457,G458))=1,CHOOSE('Controls'!$E$5,G456,G457,G458),NA())</x:f>
        <x:v>250</x:v>
      </x:c>
      <x:c r="H455" s="8" t="n">
        <x:f>IF(COUNT(CHOOSE('Controls'!$E$5,H456,H457,H458))=1,CHOOSE('Controls'!$E$5,H456,H457,H458),NA())</x:f>
        <x:v>250</x:v>
      </x:c>
      <x:c r="I455" s="8" t="n">
        <x:f>IF(COUNT(CHOOSE('Controls'!$E$5,I456,I457,I458))=1,CHOOSE('Controls'!$E$5,I456,I457,I458),NA())</x:f>
        <x:v>250</x:v>
      </x:c>
    </x:row>
    <x:row r="456" ht="30" customHeight="1">
      <x:c r="C456" s="64" t="str">
        <x:v>Base</x:v>
      </x:c>
      <x:c r="D456" s="63"/>
      <x:c r="E456" s="74" t="n">
        <x:v>250</x:v>
      </x:c>
      <x:c r="F456" s="74" t="n">
        <x:v>250</x:v>
      </x:c>
      <x:c r="G456" s="74" t="n">
        <x:v>250</x:v>
      </x:c>
      <x:c r="H456" s="74" t="n">
        <x:v>250</x:v>
      </x:c>
      <x:c r="I456" s="74" t="n">
        <x:v>250</x:v>
      </x:c>
    </x:row>
    <x:row r="457" ht="30" customHeight="1">
      <x:c r="C457" s="64" t="str">
        <x:v>Downside</x:v>
      </x:c>
      <x:c r="D457" s="63"/>
      <x:c r="E457" s="74" t="n">
        <x:v>250</x:v>
      </x:c>
      <x:c r="F457" s="74" t="n">
        <x:v>250</x:v>
      </x:c>
      <x:c r="G457" s="74" t="n">
        <x:v>250</x:v>
      </x:c>
      <x:c r="H457" s="74" t="n">
        <x:v>250</x:v>
      </x:c>
      <x:c r="I457" s="74" t="n">
        <x:v>250</x:v>
      </x:c>
    </x:row>
    <x:row r="458" ht="30" customHeight="1">
      <x:c r="C458" s="64" t="str">
        <x:v>Upside</x:v>
      </x:c>
      <x:c r="D458" s="63"/>
      <x:c r="E458" s="74" t="n">
        <x:v>250</x:v>
      </x:c>
      <x:c r="F458" s="74" t="n">
        <x:v>250</x:v>
      </x:c>
      <x:c r="G458" s="74" t="n">
        <x:v>250</x:v>
      </x:c>
      <x:c r="H458" s="74" t="n">
        <x:v>250</x:v>
      </x:c>
      <x:c r="I458" s="74" t="n">
        <x:v>250</x:v>
      </x:c>
    </x:row>
    <x:row r="459" ht="30" customHeight="1">
      <x:c r="C459" s="64"/>
      <x:c r="D459" s="63"/>
      <x:c r="E459" s="63"/>
      <x:c r="F459" s="63"/>
      <x:c r="G459" s="63"/>
      <x:c r="H459" s="63"/>
      <x:c r="I459" s="63"/>
    </x:row>
    <x:row r="460" ht="30" customHeight="1">
      <x:c r="C460" s="64" t="str">
        <x:v>Dividend payout on positive PAT — active</x:v>
      </x:c>
      <x:c r="D460" s="63"/>
      <x:c r="E460" s="83" t="n">
        <x:f>IF(COUNT(CHOOSE('Controls'!$E$5,E461,E462,E463))=1,CHOOSE('Controls'!$E$5,E461,E462,E463),NA())</x:f>
        <x:v>0.25</x:v>
      </x:c>
      <x:c r="F460" s="83" t="n">
        <x:f>IF(COUNT(CHOOSE('Controls'!$E$5,F461,F462,F463))=1,CHOOSE('Controls'!$E$5,F461,F462,F463),NA())</x:f>
        <x:v>0.25</x:v>
      </x:c>
      <x:c r="G460" s="83" t="n">
        <x:f>IF(COUNT(CHOOSE('Controls'!$E$5,G461,G462,G463))=1,CHOOSE('Controls'!$E$5,G461,G462,G463),NA())</x:f>
        <x:v>0.25</x:v>
      </x:c>
      <x:c r="H460" s="83" t="n">
        <x:f>IF(COUNT(CHOOSE('Controls'!$E$5,H461,H462,H463))=1,CHOOSE('Controls'!$E$5,H461,H462,H463),NA())</x:f>
        <x:v>0.25</x:v>
      </x:c>
      <x:c r="I460" s="83" t="n">
        <x:f>IF(COUNT(CHOOSE('Controls'!$E$5,I461,I462,I463))=1,CHOOSE('Controls'!$E$5,I461,I462,I463),NA())</x:f>
        <x:v>0.25</x:v>
      </x:c>
    </x:row>
    <x:row r="461" ht="30" customHeight="1">
      <x:c r="C461" s="64" t="str">
        <x:v>Base</x:v>
      </x:c>
      <x:c r="D461" s="63"/>
      <x:c r="E461" s="85" t="n">
        <x:v>0.25</x:v>
      </x:c>
      <x:c r="F461" s="85" t="n">
        <x:v>0.25</x:v>
      </x:c>
      <x:c r="G461" s="85" t="n">
        <x:v>0.25</x:v>
      </x:c>
      <x:c r="H461" s="85" t="n">
        <x:v>0.25</x:v>
      </x:c>
      <x:c r="I461" s="85" t="n">
        <x:v>0.25</x:v>
      </x:c>
    </x:row>
    <x:row r="462" ht="30" customHeight="1">
      <x:c r="C462" s="64" t="str">
        <x:v>Downside</x:v>
      </x:c>
      <x:c r="D462" s="63"/>
      <x:c r="E462" s="85" t="n">
        <x:v>0.25</x:v>
      </x:c>
      <x:c r="F462" s="85" t="n">
        <x:v>0.25</x:v>
      </x:c>
      <x:c r="G462" s="85" t="n">
        <x:v>0.25</x:v>
      </x:c>
      <x:c r="H462" s="85" t="n">
        <x:v>0.25</x:v>
      </x:c>
      <x:c r="I462" s="85" t="n">
        <x:v>0.25</x:v>
      </x:c>
    </x:row>
    <x:row r="463" ht="30" customHeight="1">
      <x:c r="C463" s="64" t="str">
        <x:v>Upside</x:v>
      </x:c>
      <x:c r="D463" s="63"/>
      <x:c r="E463" s="85" t="n">
        <x:v>0.25</x:v>
      </x:c>
      <x:c r="F463" s="85" t="n">
        <x:v>0.25</x:v>
      </x:c>
      <x:c r="G463" s="85" t="n">
        <x:v>0.25</x:v>
      </x:c>
      <x:c r="H463" s="85" t="n">
        <x:v>0.25</x:v>
      </x:c>
      <x:c r="I463" s="85" t="n">
        <x:v>0.25</x:v>
      </x:c>
    </x:row>
    <x:row r="464" ht="30" customHeight="1">
      <x:c r="C464" s="64"/>
      <x:c r="D464" s="63"/>
      <x:c r="E464" s="63"/>
      <x:c r="F464" s="63"/>
      <x:c r="G464" s="63"/>
      <x:c r="H464" s="63"/>
      <x:c r="I464" s="63"/>
    </x:row>
    <x:row r="465" ht="30" customHeight="1">
      <x:c r="C465" s="64"/>
      <x:c r="D465" s="63"/>
      <x:c r="E465" s="63"/>
      <x:c r="F465" s="63"/>
      <x:c r="G465" s="63"/>
      <x:c r="H465" s="63"/>
      <x:c r="I465" s="63"/>
    </x:row>
    <x:row r="466" ht="30" customHeight="1">
      <x:c r="C466" s="64"/>
      <x:c r="D466" s="63"/>
      <x:c r="E466" s="63"/>
      <x:c r="F466" s="63"/>
      <x:c r="G466" s="63"/>
      <x:c r="H466" s="63"/>
      <x:c r="I466" s="63"/>
    </x:row>
    <x:row r="467" ht="30" customHeight="1">
      <x:c r="C467" s="64"/>
      <x:c r="D467" s="63"/>
      <x:c r="E467" s="63"/>
      <x:c r="F467" s="63"/>
      <x:c r="G467" s="63"/>
      <x:c r="H467" s="63"/>
      <x:c r="I467" s="63"/>
    </x:row>
    <x:row r="468" ht="30" customHeight="1">
      <x:c r="C468" s="64"/>
      <x:c r="D468" s="63"/>
      <x:c r="E468" s="63"/>
      <x:c r="F468" s="63"/>
      <x:c r="G468" s="63"/>
      <x:c r="H468" s="63"/>
      <x:c r="I468" s="63"/>
    </x:row>
    <x:row r="469" ht="30" customHeight="1">
      <x:c r="C469" s="64"/>
      <x:c r="D469" s="63"/>
      <x:c r="E469" s="63"/>
      <x:c r="F469" s="63"/>
      <x:c r="G469" s="63"/>
      <x:c r="H469" s="63"/>
      <x:c r="I469" s="63"/>
    </x:row>
    <x:row r="470" ht="30" customHeight="1">
      <x:c r="C470" s="64"/>
      <x:c r="D470" s="63"/>
      <x:c r="E470" s="63"/>
      <x:c r="F470" s="63"/>
      <x:c r="G470" s="63"/>
      <x:c r="H470" s="63"/>
      <x:c r="I470" s="63"/>
    </x:row>
    <x:row r="471" ht="30" customHeight="1">
      <x:c r="C471" s="64"/>
      <x:c r="D471" s="63"/>
      <x:c r="E471" s="63"/>
      <x:c r="F471" s="63"/>
      <x:c r="G471" s="63"/>
      <x:c r="H471" s="63"/>
      <x:c r="I471" s="63"/>
    </x:row>
    <x:row r="472" ht="30" customHeight="1">
      <x:c r="C472" s="64"/>
      <x:c r="D472" s="63"/>
      <x:c r="E472" s="63"/>
      <x:c r="F472" s="63"/>
      <x:c r="G472" s="63"/>
      <x:c r="H472" s="63"/>
      <x:c r="I472" s="63"/>
    </x:row>
    <x:row r="473" ht="30" customHeight="1">
      <x:c r="C473" s="64"/>
      <x:c r="D473" s="63"/>
      <x:c r="E473" s="63"/>
      <x:c r="F473" s="63"/>
      <x:c r="G473" s="63"/>
      <x:c r="H473" s="63"/>
      <x:c r="I473" s="63"/>
    </x:row>
    <x:row r="474" ht="30" customHeight="1">
      <x:c r="C474" s="64"/>
      <x:c r="D474" s="63"/>
      <x:c r="E474" s="63"/>
      <x:c r="F474" s="63"/>
      <x:c r="G474" s="63"/>
      <x:c r="H474" s="63"/>
      <x:c r="I474" s="63"/>
    </x:row>
    <x:row r="475" ht="30" customHeight="1">
      <x:c r="C475" s="64"/>
      <x:c r="D475" s="63"/>
      <x:c r="E475" s="63"/>
      <x:c r="F475" s="63"/>
      <x:c r="G475" s="63"/>
      <x:c r="H475" s="63"/>
      <x:c r="I475" s="63"/>
    </x:row>
    <x:row r="476" ht="30" customHeight="1">
      <x:c r="C476" s="64"/>
      <x:c r="D476" s="63"/>
      <x:c r="E476" s="63"/>
      <x:c r="F476" s="63"/>
      <x:c r="G476" s="63"/>
      <x:c r="H476" s="63"/>
      <x:c r="I476" s="63"/>
    </x:row>
    <x:row r="477" ht="30" customHeight="1">
      <x:c r="C477" s="64"/>
      <x:c r="D477" s="63"/>
      <x:c r="E477" s="63"/>
      <x:c r="F477" s="63"/>
      <x:c r="G477" s="63"/>
      <x:c r="H477" s="63"/>
      <x:c r="I477" s="63"/>
    </x:row>
    <x:row r="478" ht="30" customHeight="1">
      <x:c r="C478" s="64"/>
      <x:c r="D478" s="63"/>
      <x:c r="E478" s="63"/>
      <x:c r="F478" s="63"/>
      <x:c r="G478" s="63"/>
      <x:c r="H478" s="63"/>
      <x:c r="I478" s="63"/>
    </x:row>
    <x:row r="479" ht="30" customHeight="1">
      <x:c r="C479" s="64"/>
      <x:c r="D479" s="63"/>
      <x:c r="E479" s="63"/>
      <x:c r="F479" s="63"/>
      <x:c r="G479" s="63"/>
      <x:c r="H479" s="63"/>
      <x:c r="I479" s="63"/>
    </x:row>
    <x:row r="480" ht="30" customHeight="1">
      <x:c r="C480" s="64"/>
      <x:c r="D480" s="63"/>
      <x:c r="E480" s="63"/>
      <x:c r="F480" s="63"/>
      <x:c r="G480" s="63"/>
      <x:c r="H480" s="63"/>
      <x:c r="I480" s="63"/>
    </x:row>
    <x:row r="481" ht="30" customHeight="1">
      <x:c r="C481" s="64"/>
      <x:c r="D481" s="63"/>
      <x:c r="E481" s="63"/>
      <x:c r="F481" s="63"/>
      <x:c r="G481" s="63"/>
      <x:c r="H481" s="63"/>
      <x:c r="I481" s="63"/>
    </x:row>
    <x:row r="482" ht="30" customHeight="1">
      <x:c r="C482" s="64"/>
      <x:c r="D482" s="63"/>
      <x:c r="E482" s="63"/>
      <x:c r="F482" s="63"/>
      <x:c r="G482" s="63"/>
      <x:c r="H482" s="63"/>
      <x:c r="I482" s="63"/>
    </x:row>
    <x:row r="483" ht="30" customHeight="1">
      <x:c r="C483" s="64"/>
      <x:c r="D483" s="63"/>
      <x:c r="E483" s="63"/>
      <x:c r="F483" s="63"/>
      <x:c r="G483" s="63"/>
      <x:c r="H483" s="63"/>
      <x:c r="I483" s="63"/>
    </x:row>
    <x:row r="484" ht="30" customHeight="1">
      <x:c r="C484" s="64"/>
      <x:c r="D484" s="63"/>
      <x:c r="E484" s="63"/>
      <x:c r="F484" s="63"/>
      <x:c r="G484" s="63"/>
      <x:c r="H484" s="63"/>
      <x:c r="I484" s="63"/>
    </x:row>
    <x:row r="485" ht="30" customHeight="1">
      <x:c r="C485" s="64"/>
      <x:c r="D485" s="63"/>
      <x:c r="E485" s="63"/>
      <x:c r="F485" s="63"/>
      <x:c r="G485" s="63"/>
      <x:c r="H485" s="63"/>
      <x:c r="I485" s="63"/>
    </x:row>
    <x:row r="486" ht="30" customHeight="1">
      <x:c r="C486" s="64"/>
      <x:c r="D486" s="63"/>
      <x:c r="E486" s="63"/>
      <x:c r="F486" s="63"/>
      <x:c r="G486" s="63"/>
      <x:c r="H486" s="63"/>
      <x:c r="I486" s="63"/>
    </x:row>
    <x:row r="487" ht="30" customHeight="1">
      <x:c r="C487" s="64"/>
      <x:c r="D487" s="63"/>
      <x:c r="E487" s="63"/>
      <x:c r="F487" s="63"/>
      <x:c r="G487" s="63"/>
      <x:c r="H487" s="63"/>
      <x:c r="I487" s="63"/>
    </x:row>
    <x:row r="488" ht="30" customHeight="1">
      <x:c r="C488" s="64"/>
      <x:c r="D488" s="63"/>
      <x:c r="E488" s="63"/>
      <x:c r="F488" s="63"/>
      <x:c r="G488" s="63"/>
      <x:c r="H488" s="63"/>
      <x:c r="I488" s="63"/>
    </x:row>
    <x:row r="489" ht="30" customHeight="1">
      <x:c r="C489" s="64"/>
      <x:c r="D489" s="63"/>
      <x:c r="E489" s="63"/>
      <x:c r="F489" s="63"/>
      <x:c r="G489" s="63"/>
      <x:c r="H489" s="63"/>
      <x:c r="I489" s="63"/>
    </x:row>
    <x:row r="490" ht="30" customHeight="1">
      <x:c r="C490" s="64"/>
      <x:c r="D490" s="63"/>
      <x:c r="E490" s="63"/>
      <x:c r="F490" s="63"/>
      <x:c r="G490" s="63"/>
      <x:c r="H490" s="63"/>
      <x:c r="I490" s="63"/>
    </x:row>
    <x:row r="491" ht="30" customHeight="1">
      <x:c r="C491" s="64"/>
      <x:c r="D491" s="63"/>
      <x:c r="E491" s="63"/>
      <x:c r="F491" s="63"/>
      <x:c r="G491" s="63"/>
      <x:c r="H491" s="63"/>
      <x:c r="I491" s="63"/>
    </x:row>
    <x:row r="492" ht="30" customHeight="1">
      <x:c r="C492" s="64"/>
      <x:c r="D492" s="63"/>
      <x:c r="E492" s="63"/>
      <x:c r="F492" s="63"/>
      <x:c r="G492" s="63"/>
      <x:c r="H492" s="63"/>
      <x:c r="I492" s="63"/>
    </x:row>
    <x:row r="493" ht="30" customHeight="1">
      <x:c r="C493" s="64"/>
      <x:c r="D493" s="63"/>
      <x:c r="E493" s="63"/>
      <x:c r="F493" s="63"/>
      <x:c r="G493" s="63"/>
      <x:c r="H493" s="63"/>
      <x:c r="I493" s="63"/>
    </x:row>
    <x:row r="494" ht="30" customHeight="1">
      <x:c r="C494" s="64"/>
      <x:c r="D494" s="63"/>
      <x:c r="E494" s="63"/>
      <x:c r="F494" s="63"/>
      <x:c r="G494" s="63"/>
      <x:c r="H494" s="63"/>
      <x:c r="I494" s="63"/>
    </x:row>
    <x:row r="495" ht="30" customHeight="1">
      <x:c r="C495" s="64"/>
      <x:c r="D495" s="63"/>
      <x:c r="E495" s="63"/>
      <x:c r="F495" s="63"/>
      <x:c r="G495" s="63"/>
      <x:c r="H495" s="63"/>
      <x:c r="I495" s="63"/>
    </x:row>
    <x:row r="496" ht="30" customHeight="1">
      <x:c r="C496" s="64"/>
      <x:c r="D496" s="63"/>
      <x:c r="E496" s="63"/>
      <x:c r="F496" s="63"/>
      <x:c r="G496" s="63"/>
      <x:c r="H496" s="63"/>
      <x:c r="I496" s="63"/>
    </x:row>
    <x:row r="497" ht="30" customHeight="1">
      <x:c r="C497" s="64"/>
      <x:c r="D497" s="63"/>
      <x:c r="E497" s="63"/>
      <x:c r="F497" s="63"/>
      <x:c r="G497" s="63"/>
      <x:c r="H497" s="63"/>
      <x:c r="I497" s="63"/>
    </x:row>
    <x:row r="498" ht="30" customHeight="1">
      <x:c r="C498" s="64"/>
      <x:c r="D498" s="63"/>
      <x:c r="E498" s="63"/>
      <x:c r="F498" s="63"/>
      <x:c r="G498" s="63"/>
      <x:c r="H498" s="63"/>
      <x:c r="I498" s="63"/>
    </x:row>
    <x:row r="499" ht="30" customHeight="1">
      <x:c r="C499" s="64"/>
      <x:c r="D499" s="63"/>
      <x:c r="E499" s="63"/>
      <x:c r="F499" s="63"/>
      <x:c r="G499" s="63"/>
      <x:c r="H499" s="63"/>
      <x:c r="I499" s="63"/>
    </x:row>
    <x:row r="500" ht="30" customHeight="1">
      <x:c r="C500" s="64"/>
      <x:c r="D500" s="63"/>
      <x:c r="E500" s="63"/>
      <x:c r="F500" s="63"/>
      <x:c r="G500" s="63"/>
      <x:c r="H500" s="63"/>
      <x:c r="I500" s="63"/>
    </x:row>
    <x:row r="501" ht="30" customHeight="1">
      <x:c r="C501" s="64"/>
      <x:c r="D501" s="63"/>
      <x:c r="E501" s="63"/>
      <x:c r="F501" s="63"/>
      <x:c r="G501" s="63"/>
      <x:c r="H501" s="63"/>
      <x:c r="I501" s="63"/>
    </x:row>
    <x:row r="502" ht="30" customHeight="1">
      <x:c r="C502" s="64"/>
      <x:c r="D502" s="63"/>
      <x:c r="E502" s="63"/>
      <x:c r="F502" s="63"/>
      <x:c r="G502" s="63"/>
      <x:c r="H502" s="63"/>
      <x:c r="I502" s="63"/>
    </x:row>
    <x:row r="503" ht="30" customHeight="1">
      <x:c r="C503" s="64"/>
      <x:c r="D503" s="63"/>
      <x:c r="E503" s="63"/>
      <x:c r="F503" s="63"/>
      <x:c r="G503" s="63"/>
      <x:c r="H503" s="63"/>
      <x:c r="I503" s="63"/>
    </x:row>
    <x:row r="504" ht="30" customHeight="1">
      <x:c r="C504" s="64"/>
      <x:c r="D504" s="63"/>
      <x:c r="E504" s="63"/>
      <x:c r="F504" s="63"/>
      <x:c r="G504" s="63"/>
      <x:c r="H504" s="63"/>
      <x:c r="I504" s="63"/>
    </x:row>
    <x:row r="505" ht="30" customHeight="1">
      <x:c r="C505" s="64"/>
      <x:c r="D505" s="63"/>
      <x:c r="E505" s="63"/>
      <x:c r="F505" s="63"/>
      <x:c r="G505" s="63"/>
      <x:c r="H505" s="63"/>
      <x:c r="I505" s="63"/>
    </x:row>
    <x:row r="506" ht="30" customHeight="1">
      <x:c r="C506" s="64"/>
      <x:c r="D506" s="63"/>
      <x:c r="E506" s="63"/>
      <x:c r="F506" s="63"/>
      <x:c r="G506" s="63"/>
      <x:c r="H506" s="63"/>
      <x:c r="I506" s="63"/>
    </x:row>
    <x:row r="507" ht="30" customHeight="1">
      <x:c r="C507" s="64"/>
      <x:c r="D507" s="63"/>
      <x:c r="E507" s="63"/>
      <x:c r="F507" s="63"/>
      <x:c r="G507" s="63"/>
      <x:c r="H507" s="63"/>
      <x:c r="I507" s="63"/>
    </x:row>
    <x:row r="508" ht="30" customHeight="1">
      <x:c r="C508" s="64"/>
      <x:c r="D508" s="63"/>
      <x:c r="E508" s="63"/>
      <x:c r="F508" s="63"/>
      <x:c r="G508" s="63"/>
      <x:c r="H508" s="63"/>
      <x:c r="I508" s="63"/>
    </x:row>
    <x:row r="509" ht="30" customHeight="1">
      <x:c r="C509" s="64"/>
      <x:c r="D509" s="63"/>
      <x:c r="E509" s="63"/>
      <x:c r="F509" s="63"/>
      <x:c r="G509" s="63"/>
      <x:c r="H509" s="63"/>
      <x:c r="I509" s="63"/>
    </x:row>
    <x:row r="510" ht="30" customHeight="1">
      <x:c r="C510" s="64"/>
      <x:c r="D510" s="63"/>
      <x:c r="E510" s="63"/>
      <x:c r="F510" s="63"/>
      <x:c r="G510" s="63"/>
      <x:c r="H510" s="63"/>
      <x:c r="I510" s="63"/>
    </x:row>
  </x:sheetData>
  <x:mergeCells>
    <x:mergeCell ref="M2:U2"/>
    <x:mergeCell ref="M9:U9"/>
    <x:mergeCell ref="M10:U10"/>
    <x:mergeCell ref="M30:U30"/>
    <x:mergeCell ref="M43:U44"/>
    <x:mergeCell ref="M48:R48"/>
    <x:mergeCell ref="M58:R58"/>
    <x:mergeCell ref="M68:R68"/>
  </x:mergeCells>
  <x:conditionalFormatting sqref="E100:I100">
    <x:cfRule type="expression" dxfId="10" priority="1">
      <x:formula>ABS(E100)&gt;0.01</x:formula>
    </x:cfRule>
  </x:conditionalFormatting>
  <x:conditionalFormatting sqref="E101:I101">
    <x:cfRule type="expression" dxfId="11" priority="2">
      <x:formula>ABS(E101)&gt;0.01</x:formula>
    </x:cfRule>
  </x:conditionalFormatting>
  <x:conditionalFormatting sqref="E102:I102">
    <x:cfRule type="expression" dxfId="12" priority="3">
      <x:formula>ABS(E102)&gt;0.01</x:formula>
    </x:cfRule>
  </x:conditionalFormatting>
  <x:conditionalFormatting sqref="E103:I103">
    <x:cfRule type="expression" dxfId="13" priority="4">
      <x:formula>ABS(E103)&gt;0.01</x:formula>
    </x:cfRule>
  </x:conditionalFormatting>
  <x:conditionalFormatting sqref="E104:I104">
    <x:cfRule type="expression" dxfId="14" priority="5">
      <x:formula>ABS(E104)&gt;0.01</x:formula>
    </x:cfRule>
  </x:conditionalFormatting>
  <x:conditionalFormatting sqref="E180:I205">
    <x:cfRule type="cellIs" dxfId="78" priority="6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a4c3f8e8b2994dff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88" hidden="0" customWidth="1"/>
    <x:col min="13" max="13" width="3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45" hidden="0" customWidth="1"/>
  </x:cols>
  <x:sheetData>
    <x:row r="1" ht="18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  <x:c r="K1" s="1"/>
    </x:row>
    <x:row r="2" ht="32" customHeight="1">
      <x:c r="A2" s="1"/>
      <x:c r="B2" s="1"/>
      <x:c r="C2" s="3" t="str">
        <x:v>Cement</x:v>
      </x:c>
      <x:c r="D2" s="2"/>
      <x:c r="E2" s="2"/>
      <x:c r="F2" s="2"/>
      <x:c r="G2" s="2"/>
      <x:c r="H2" s="2"/>
      <x:c r="I2" s="2"/>
      <x:c r="J2" s="1"/>
      <x:c r="K2" s="1"/>
      <x:c r="M2" s="86" t="str">
        <x:v>Cement | Client summary</x:v>
      </x:c>
      <x:c r="N2" s="86"/>
      <x:c r="O2" s="86"/>
      <x:c r="P2" s="86"/>
      <x:c r="Q2" s="86"/>
      <x:c r="R2" s="86"/>
      <x:c r="S2" s="86"/>
      <x:c r="T2" s="86"/>
      <x:c r="U2" s="86"/>
      <x:c r="V2" s="63"/>
      <x:c r="X2" t="str">
        <x:v>Forecast year</x:v>
      </x:c>
      <x:c r="Y2" t="str">
        <x:v>Income</x:v>
      </x:c>
      <x:c r="Z2" t="str">
        <x:v>Profit after tax</x:v>
      </x:c>
    </x:row>
    <x:row r="3" ht="18" customHeight="1">
      <x:c r="A3" s="1"/>
      <x:c r="B3" s="1"/>
      <x:c r="C3" s="4"/>
      <x:c r="D3" s="5"/>
      <x:c r="E3" s="5"/>
      <x:c r="F3" s="5"/>
      <x:c r="G3" s="5"/>
      <x:c r="H3" s="5"/>
      <x:c r="I3" s="5"/>
      <x:c r="J3" s="1"/>
      <x:c r="K3" s="1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X3" t="n">
        <x:f>'Controls'!$E$17+0</x:f>
        <x:v>2027</x:v>
      </x:c>
      <x:c r="Y3" t="n">
        <x:f>E47</x:f>
        <x:v>4524.093749999999</x:v>
      </x:c>
      <x:c r="Z3" t="n">
        <x:f>E58</x:f>
        <x:v>96.03117187499976</x:v>
      </x:c>
    </x:row>
    <x:row r="4" ht="18" customHeight="1">
      <x:c r="A4" s="1"/>
      <x:c r="B4" s="1"/>
      <x:c r="C4" s="1" t="str">
        <x:v>Illustrative assumptions. Financial amounts in INR crore.</x:v>
      </x:c>
      <x:c r="D4" s="2"/>
      <x:c r="E4" s="2"/>
      <x:c r="F4" s="2"/>
      <x:c r="G4" s="2"/>
      <x:c r="H4" s="2"/>
      <x:c r="I4" s="2"/>
      <x:c r="J4" s="1"/>
      <x:c r="K4" s="1"/>
      <x:c r="M4" s="63" t="str">
        <x:v>Company / model name</x:v>
      </x:c>
      <x:c r="N4" s="63" t="str">
        <x:v>Illustrative company</x:v>
      </x:c>
      <x:c r="O4" s="63"/>
      <x:c r="P4" s="63"/>
      <x:c r="Q4" s="63"/>
      <x:c r="R4" s="63"/>
      <x:c r="S4" s="63"/>
      <x:c r="T4" s="63"/>
      <x:c r="U4" s="63"/>
      <x:c r="V4" s="63"/>
      <x:c r="X4" t="n">
        <x:f>'Controls'!$E$17+1</x:f>
        <x:v>2028</x:v>
      </x:c>
      <x:c r="Y4" t="n">
        <x:f>F47</x:f>
        <x:v>4961.7998203125</x:v>
      </x:c>
      <x:c r="Z4" t="n">
        <x:f>F58</x:f>
        <x:v>205.22177525390603</x:v>
      </x:c>
    </x:row>
    <x:row r="5" ht="18" customHeight="1">
      <x:c r="A5" s="1"/>
      <x:c r="B5" s="1"/>
      <x:c r="C5" s="1" t="str">
        <x:v>Selected case</x:v>
      </x:c>
      <x:c r="D5" s="2"/>
      <x:c r="E5" s="10" t="str">
        <x:f>'Controls'!E6</x:f>
        <x:v>Base</x:v>
      </x:c>
      <x:c r="F5" s="2"/>
      <x:c r="G5" s="2"/>
      <x:c r="H5" s="2"/>
      <x:c r="I5" s="2"/>
      <x:c r="J5" s="1"/>
      <x:c r="K5" s="1"/>
      <x:c r="M5" s="63" t="str">
        <x:v>Valuation date</x:v>
      </x:c>
      <x:c r="N5" s="87" t="n">
        <x:f>'Controls'!E18</x:f>
        <x:v>46112</x:v>
      </x:c>
      <x:c r="O5" s="63"/>
      <x:c r="P5" s="63"/>
      <x:c r="Q5" s="63"/>
      <x:c r="R5" s="63"/>
      <x:c r="S5" s="63"/>
      <x:c r="T5" s="63"/>
      <x:c r="U5" s="63"/>
      <x:c r="V5" s="63"/>
      <x:c r="X5" t="n">
        <x:f>'Controls'!$E$17+2</x:f>
        <x:v>2029</x:v>
      </x:c>
      <x:c r="Y5" t="n">
        <x:f>G47</x:f>
        <x:v>5441.853952927733</x:v>
      </x:c>
      <x:c r="Z5" t="n">
        <x:f>G58</x:f>
        <x:v>318.63663744722123</x:v>
      </x:c>
    </x:row>
    <x:row r="6" ht="18" customHeight="1">
      <x:c r="A6" s="1"/>
      <x:c r="B6" s="1"/>
      <x:c r="C6" s="1"/>
      <x:c r="D6" s="2"/>
      <x:c r="E6" s="2"/>
      <x:c r="F6" s="2"/>
      <x:c r="G6" s="2"/>
      <x:c r="H6" s="2"/>
      <x:c r="I6" s="2"/>
      <x:c r="J6" s="1"/>
      <x:c r="K6" s="1"/>
      <x:c r="M6" s="63" t="str">
        <x:v>Selected case</x:v>
      </x:c>
      <x:c r="N6" s="63" t="str">
        <x:f>'Controls'!E6</x:f>
        <x:v>Base</x:v>
      </x:c>
      <x:c r="O6" s="63"/>
      <x:c r="P6" s="63"/>
      <x:c r="Q6" s="63"/>
      <x:c r="R6" s="63"/>
      <x:c r="S6" s="63"/>
      <x:c r="T6" s="63"/>
      <x:c r="U6" s="63"/>
      <x:c r="V6" s="63"/>
      <x:c r="X6" t="n">
        <x:f>'Controls'!$E$17+3</x:f>
        <x:v>2030</x:v>
      </x:c>
      <x:c r="Y6" t="n">
        <x:f>H47</x:f>
        <x:v>5968.353322873491</x:v>
      </x:c>
      <x:c r="Z6" t="n">
        <x:f>H58</x:f>
        <x:v>437.02031402086493</x:v>
      </x:c>
    </x:row>
    <x:row r="7" ht="18" customHeight="1">
      <x:c r="A7" s="1"/>
      <x:c r="B7" s="1"/>
      <x:c r="C7" s="15" t="str">
        <x:v>Metric</x:v>
      </x:c>
      <x:c r="D7" s="16" t="str">
        <x:v>Opening / seed</x:v>
      </x:c>
      <x:c r="E7" s="65" t="n">
        <x:f>'Controls'!$E$17+0</x:f>
        <x:v>2027</x:v>
      </x:c>
      <x:c r="F7" s="65" t="n">
        <x:f>'Controls'!$E$17+1</x:f>
        <x:v>2028</x:v>
      </x:c>
      <x:c r="G7" s="65" t="n">
        <x:f>'Controls'!$E$17+2</x:f>
        <x:v>2029</x:v>
      </x:c>
      <x:c r="H7" s="65" t="n">
        <x:f>'Controls'!$E$17+3</x:f>
        <x:v>2030</x:v>
      </x:c>
      <x:c r="I7" s="65" t="n">
        <x:f>'Controls'!$E$17+4</x:f>
        <x:v>2031</x:v>
      </x:c>
      <x:c r="J7" s="1"/>
      <x:c r="K7" s="1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X7" t="n">
        <x:f>'Controls'!$E$17+4</x:f>
        <x:v>2031</x:v>
      </x:c>
      <x:c r="Y7" t="n">
        <x:f>I47</x:f>
        <x:v>6545.791506861501</x:v>
      </x:c>
      <x:c r="Z7" t="n">
        <x:f>I58</x:f>
        <x:v>561.1658861949653</x:v>
      </x:c>
    </x:row>
    <x:row r="8" ht="18" customHeight="1">
      <x:c r="A8" s="1"/>
      <x:c r="B8" s="1"/>
      <x:c r="C8" s="1"/>
      <x:c r="D8" s="2"/>
      <x:c r="E8" s="2"/>
      <x:c r="F8" s="2"/>
      <x:c r="G8" s="2"/>
      <x:c r="H8" s="2"/>
      <x:c r="I8" s="2"/>
      <x:c r="J8" s="1"/>
      <x:c r="K8" s="1"/>
      <x:c r="M8" s="63" t="str">
        <x:v>Equity value (INR crore)</x:v>
      </x:c>
      <x:c r="N8" s="8" t="n">
        <x:f>E94</x:f>
        <x:v>3950.6138920021476</x:v>
      </x:c>
      <x:c r="O8" s="63"/>
      <x:c r="P8" s="63"/>
      <x:c r="Q8" s="63"/>
      <x:c r="R8" s="63"/>
      <x:c r="S8" s="63"/>
      <x:c r="T8" s="63"/>
      <x:c r="U8" s="63"/>
      <x:c r="V8" s="63"/>
    </x:row>
    <x:row r="9" ht="18" customHeight="1">
      <x:c r="A9" s="1"/>
      <x:c r="B9" s="1"/>
      <x:c r="C9" s="19" t="str">
        <x:v>OPERATING ASSUMPTIONS</x:v>
      </x:c>
      <x:c r="D9" s="20"/>
      <x:c r="E9" s="20"/>
      <x:c r="F9" s="20"/>
      <x:c r="G9" s="20"/>
      <x:c r="H9" s="20"/>
      <x:c r="I9" s="20"/>
      <x:c r="J9" s="1"/>
      <x:c r="K9" s="1"/>
      <x:c r="M9" s="63" t="str">
        <x:f>IF(MAX(E100,F100,G100,H100,I100,E101,F101,G101,H101,I101,E102,F102,G102,H102,I102,E103,F103,G103,H103,I103,E104,F104,G104,H104,I104,E180:I205)&gt;0.01,"ATTENTION: model checks contain exceptions",IF(MIN(E100,F100,G100,H100,I100,E101,F101,G101,H101,I101,E102,F102,G102,H102,I102,E103,F103,G103,H103,I103,E104,F104,G104,H104,I104,E180:I205)&lt;-0.01,"ATTENTION: model checks contain exceptions","Model checks clear; review company assumptions"))</x:f>
        <x:v>Model checks clear; review company assumptions</x:v>
      </x:c>
      <x:c r="N9" s="63"/>
      <x:c r="O9" s="63"/>
      <x:c r="P9" s="63"/>
      <x:c r="Q9" s="63"/>
      <x:c r="R9" s="63"/>
      <x:c r="S9" s="63"/>
      <x:c r="T9" s="63"/>
      <x:c r="U9" s="63"/>
      <x:c r="V9" s="63"/>
    </x:row>
    <x:row r="10" ht="30" customHeight="1">
      <x:c r="A10" s="1"/>
      <x:c r="B10" s="1"/>
      <x:c r="C10" s="56" t="str">
        <x:v>Installed cement capacity (million tonnes) — seed</x:v>
      </x:c>
      <x:c r="D10" s="7" t="n">
        <x:v>10</x:v>
      </x:c>
      <x:c r="E10" s="2"/>
      <x:c r="F10" s="2"/>
      <x:c r="G10" s="2"/>
      <x:c r="H10" s="2"/>
      <x:c r="I10" s="2"/>
      <x:c r="J10" s="1"/>
      <x:c r="K10" s="1" t="str">
        <x:v>Input provenance: all amber cells are constructed examples, not external observations.</x:v>
      </x:c>
      <x:c r="M10" s="63" t="str">
        <x:v>Illustrative inputs; replace with company evidence.</x:v>
      </x:c>
      <x:c r="N10" s="63"/>
      <x:c r="O10" s="63"/>
      <x:c r="P10" s="63"/>
      <x:c r="Q10" s="63"/>
      <x:c r="R10" s="63"/>
      <x:c r="S10" s="63"/>
      <x:c r="T10" s="63"/>
      <x:c r="U10" s="63"/>
      <x:c r="V10" s="63"/>
    </x:row>
    <x:row r="11" ht="18" customHeight="1">
      <x:c r="A11" s="1"/>
      <x:c r="B11" s="1"/>
      <x:c r="C11" s="1" t="str">
        <x:v>Net realization (INR per tonne) — seed</x:v>
      </x:c>
      <x:c r="D11" s="7" t="n">
        <x:v>5500</x:v>
      </x:c>
      <x:c r="E11" s="2"/>
      <x:c r="F11" s="2"/>
      <x:c r="G11" s="2"/>
      <x:c r="H11" s="2"/>
      <x:c r="I11" s="2"/>
      <x:c r="J11" s="1"/>
      <x:c r="K11" s="1" t="str">
        <x:v>Capacity assumed available for the full year; no clinker inventory or commissioning lag.</x:v>
      </x:c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</x:row>
    <x:row r="12" ht="18" customHeight="1">
      <x:c r="A12" s="1"/>
      <x:c r="B12" s="1"/>
      <x:c r="C12" s="28" t="str">
        <x:v>Operating scale growth — active</x:v>
      </x:c>
      <x:c r="D12" s="29"/>
      <x:c r="E12" s="30" t="n">
        <x:f>IF(COUNT(INDEX(E13:E15,'Controls'!$E$5))=0,NA(),INDEX(E13:E15,'Controls'!$E$5))</x:f>
        <x:v>0.07</x:v>
      </x:c>
      <x:c r="F12" s="30" t="n">
        <x:f>IF(COUNT(INDEX(F13:F15,'Controls'!$E$5))=0,NA(),INDEX(F13:F15,'Controls'!$E$5))</x:f>
        <x:v>0.07</x:v>
      </x:c>
      <x:c r="G12" s="30" t="n">
        <x:f>IF(COUNT(INDEX(G13:G15,'Controls'!$E$5))=0,NA(),INDEX(G13:G15,'Controls'!$E$5))</x:f>
        <x:v>0.07</x:v>
      </x:c>
      <x:c r="H12" s="30" t="n">
        <x:f>IF(COUNT(INDEX(H13:H15,'Controls'!$E$5))=0,NA(),INDEX(H13:H15,'Controls'!$E$5))</x:f>
        <x:v>0.07</x:v>
      </x:c>
      <x:c r="I12" s="30" t="n">
        <x:f>IF(COUNT(INDEX(I13:I15,'Controls'!$E$5))=0,NA(),INDEX(I13:I15,'Controls'!$E$5))</x:f>
        <x:v>0.07</x:v>
      </x:c>
      <x:c r="J12" s="1"/>
      <x:c r="K12" s="1" t="str">
        <x:v>Five-year nominal INR model. Positive costs are subtracted. Discounting is end-of-year.</x:v>
      </x:c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</x:row>
    <x:row r="13" ht="18" customHeight="1">
      <x:c r="A13" s="1"/>
      <x:c r="B13" s="1"/>
      <x:c r="C13" s="23" t="str">
        <x:v>Base</x:v>
      </x:c>
      <x:c r="D13" s="24"/>
      <x:c r="E13" s="26" t="n">
        <x:v>0.07</x:v>
      </x:c>
      <x:c r="F13" s="26" t="n">
        <x:v>0.07</x:v>
      </x:c>
      <x:c r="G13" s="26" t="n">
        <x:v>0.07</x:v>
      </x:c>
      <x:c r="H13" s="26" t="n">
        <x:v>0.07</x:v>
      </x:c>
      <x:c r="I13" s="26" t="n">
        <x:v>0.07</x:v>
      </x:c>
      <x:c r="J13" s="1"/>
      <x:c r="K13" s="1" t="str">
        <x:v>Cash earns no interest; borrowing is explicit. Negative cash is an unfunded shortfall.</x:v>
      </x:c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</x:row>
    <x:row r="14" ht="18" customHeight="1">
      <x:c r="A14" s="1"/>
      <x:c r="B14" s="1"/>
      <x:c r="C14" s="23" t="str">
        <x:v>Downside</x:v>
      </x:c>
      <x:c r="D14" s="24"/>
      <x:c r="E14" s="26" t="n">
        <x:v>0.020000000000000004</x:v>
      </x:c>
      <x:c r="F14" s="26" t="n">
        <x:v>0.020000000000000004</x:v>
      </x:c>
      <x:c r="G14" s="26" t="n">
        <x:v>0.020000000000000004</x:v>
      </x:c>
      <x:c r="H14" s="26" t="n">
        <x:v>0.020000000000000004</x:v>
      </x:c>
      <x:c r="I14" s="26" t="n">
        <x:v>0.020000000000000004</x:v>
      </x:c>
      <x:c r="J14" s="1"/>
      <x:c r="K14" s="1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</x:row>
    <x:row r="15" ht="18" customHeight="1">
      <x:c r="A15" s="1"/>
      <x:c r="B15" s="1"/>
      <x:c r="C15" s="23" t="str">
        <x:v>Upside</x:v>
      </x:c>
      <x:c r="D15" s="24"/>
      <x:c r="E15" s="26" t="n">
        <x:v>0.11000000000000001</x:v>
      </x:c>
      <x:c r="F15" s="26" t="n">
        <x:v>0.11000000000000001</x:v>
      </x:c>
      <x:c r="G15" s="26" t="n">
        <x:v>0.11000000000000001</x:v>
      </x:c>
      <x:c r="H15" s="26" t="n">
        <x:v>0.11000000000000001</x:v>
      </x:c>
      <x:c r="I15" s="26" t="n">
        <x:v>0.11000000000000001</x:v>
      </x:c>
      <x:c r="J15" s="1"/>
      <x:c r="K15" s="1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</x:row>
    <x:row r="16" ht="18" customHeight="1">
      <x:c r="A16" s="1"/>
      <x:c r="B16" s="1"/>
      <x:c r="C16" s="28" t="str">
        <x:v>Realization growth — active</x:v>
      </x:c>
      <x:c r="D16" s="29"/>
      <x:c r="E16" s="30" t="n">
        <x:f>IF(COUNT(INDEX(E17:E19,'Controls'!$E$5))=0,NA(),INDEX(E17:E19,'Controls'!$E$5))</x:f>
        <x:v>0.025</x:v>
      </x:c>
      <x:c r="F16" s="30" t="n">
        <x:f>IF(COUNT(INDEX(F17:F19,'Controls'!$E$5))=0,NA(),INDEX(F17:F19,'Controls'!$E$5))</x:f>
        <x:v>0.025</x:v>
      </x:c>
      <x:c r="G16" s="30" t="n">
        <x:f>IF(COUNT(INDEX(G17:G19,'Controls'!$E$5))=0,NA(),INDEX(G17:G19,'Controls'!$E$5))</x:f>
        <x:v>0.025</x:v>
      </x:c>
      <x:c r="H16" s="30" t="n">
        <x:f>IF(COUNT(INDEX(H17:H19,'Controls'!$E$5))=0,NA(),INDEX(H17:H19,'Controls'!$E$5))</x:f>
        <x:v>0.025</x:v>
      </x:c>
      <x:c r="I16" s="30" t="n">
        <x:f>IF(COUNT(INDEX(I17:I19,'Controls'!$E$5))=0,NA(),INDEX(I17:I19,'Controls'!$E$5))</x:f>
        <x:v>0.025</x:v>
      </x:c>
      <x:c r="J16" s="1"/>
      <x:c r="K16" s="1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</x:row>
    <x:row r="17" ht="18" customHeight="1">
      <x:c r="A17" s="1"/>
      <x:c r="B17" s="1"/>
      <x:c r="C17" s="23" t="str">
        <x:v>Base</x:v>
      </x:c>
      <x:c r="D17" s="24"/>
      <x:c r="E17" s="26" t="n">
        <x:v>0.025</x:v>
      </x:c>
      <x:c r="F17" s="26" t="n">
        <x:v>0.025</x:v>
      </x:c>
      <x:c r="G17" s="26" t="n">
        <x:v>0.025</x:v>
      </x:c>
      <x:c r="H17" s="26" t="n">
        <x:v>0.025</x:v>
      </x:c>
      <x:c r="I17" s="26" t="n">
        <x:v>0.025</x:v>
      </x:c>
      <x:c r="J17" s="1"/>
      <x:c r="K17" s="1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</x:row>
    <x:row r="18" ht="18" customHeight="1">
      <x:c r="A18" s="1"/>
      <x:c r="B18" s="1"/>
      <x:c r="C18" s="23" t="str">
        <x:v>Downside</x:v>
      </x:c>
      <x:c r="D18" s="24"/>
      <x:c r="E18" s="26" t="n">
        <x:v>0</x:v>
      </x:c>
      <x:c r="F18" s="26" t="n">
        <x:v>0</x:v>
      </x:c>
      <x:c r="G18" s="26" t="n">
        <x:v>0</x:v>
      </x:c>
      <x:c r="H18" s="26" t="n">
        <x:v>0</x:v>
      </x:c>
      <x:c r="I18" s="26" t="n">
        <x:v>0</x:v>
      </x:c>
      <x:c r="J18" s="1"/>
      <x:c r="K18" s="1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</x:row>
    <x:row r="19" ht="18" customHeight="1">
      <x:c r="A19" s="1"/>
      <x:c r="B19" s="1"/>
      <x:c r="C19" s="23" t="str">
        <x:v>Upside</x:v>
      </x:c>
      <x:c r="D19" s="24"/>
      <x:c r="E19" s="26" t="n">
        <x:v>0.045</x:v>
      </x:c>
      <x:c r="F19" s="26" t="n">
        <x:v>0.045</x:v>
      </x:c>
      <x:c r="G19" s="26" t="n">
        <x:v>0.045</x:v>
      </x:c>
      <x:c r="H19" s="26" t="n">
        <x:v>0.045</x:v>
      </x:c>
      <x:c r="I19" s="26" t="n">
        <x:v>0.045</x:v>
      </x:c>
      <x:c r="J19" s="1"/>
      <x:c r="K19" s="1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</x:row>
    <x:row r="20" ht="18" customHeight="1">
      <x:c r="A20" s="1"/>
      <x:c r="B20" s="1"/>
      <x:c r="C20" s="23" t="str">
        <x:v>Capacity utilization</x:v>
      </x:c>
      <x:c r="D20" s="24"/>
      <x:c r="E20" s="26" t="n">
        <x:f>E400</x:f>
        <x:v>0.75</x:v>
      </x:c>
      <x:c r="F20" s="26" t="n">
        <x:f>F400</x:f>
        <x:v>0.75</x:v>
      </x:c>
      <x:c r="G20" s="26" t="n">
        <x:f>G400</x:f>
        <x:v>0.75</x:v>
      </x:c>
      <x:c r="H20" s="26" t="n">
        <x:f>H400</x:f>
        <x:v>0.75</x:v>
      </x:c>
      <x:c r="I20" s="26" t="n">
        <x:f>I400</x:f>
        <x:v>0.75</x:v>
      </x:c>
      <x:c r="J20" s="1"/>
      <x:c r="K20" s="1" t="str">
        <x:v>Use 100% when volume already represents actual sales.</x:v>
      </x:c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</x:row>
    <x:row r="21" ht="18" customHeight="1">
      <x:c r="A21" s="1"/>
      <x:c r="B21" s="1"/>
      <x:c r="C21" s="23" t="str">
        <x:v>Raw materials, fuel and freight / revenue</x:v>
      </x:c>
      <x:c r="D21" s="24"/>
      <x:c r="E21" s="26" t="n">
        <x:f>E405</x:f>
        <x:v>0.65</x:v>
      </x:c>
      <x:c r="F21" s="26" t="n">
        <x:f>F405</x:f>
        <x:v>0.65</x:v>
      </x:c>
      <x:c r="G21" s="26" t="n">
        <x:f>G405</x:f>
        <x:v>0.65</x:v>
      </x:c>
      <x:c r="H21" s="26" t="n">
        <x:f>H405</x:f>
        <x:v>0.65</x:v>
      </x:c>
      <x:c r="I21" s="26" t="n">
        <x:f>I405</x:f>
        <x:v>0.65</x:v>
      </x:c>
      <x:c r="J21" s="1"/>
      <x:c r="K21" s="1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</x:row>
    <x:row r="22" ht="18" customHeight="1">
      <x:c r="A22" s="1"/>
      <x:c r="B22" s="1"/>
      <x:c r="C22" s="23" t="str">
        <x:v>Other cash operating costs / revenue</x:v>
      </x:c>
      <x:c r="D22" s="24"/>
      <x:c r="E22" s="26" t="n">
        <x:f>E410</x:f>
        <x:v>0.12</x:v>
      </x:c>
      <x:c r="F22" s="26" t="n">
        <x:f>F410</x:f>
        <x:v>0.12</x:v>
      </x:c>
      <x:c r="G22" s="26" t="n">
        <x:f>G410</x:f>
        <x:v>0.12</x:v>
      </x:c>
      <x:c r="H22" s="26" t="n">
        <x:f>H410</x:f>
        <x:v>0.12</x:v>
      </x:c>
      <x:c r="I22" s="26" t="n">
        <x:f>I410</x:f>
        <x:v>0.12</x:v>
      </x:c>
      <x:c r="J22" s="1"/>
      <x:c r="K22" s="1" t="str">
        <x:v>Includes fixed and selling costs, modeled as revenue share.</x:v>
      </x:c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</x:row>
    <x:row r="23" ht="18" customHeight="1">
      <x:c r="A23" s="1"/>
      <x:c r="B23" s="1"/>
      <x:c r="C23" s="23" t="str">
        <x:v>Cash capex / revenue</x:v>
      </x:c>
      <x:c r="D23" s="24"/>
      <x:c r="E23" s="26" t="n">
        <x:f>E415</x:f>
        <x:v>0.08</x:v>
      </x:c>
      <x:c r="F23" s="26" t="n">
        <x:f>F415</x:f>
        <x:v>0.08</x:v>
      </x:c>
      <x:c r="G23" s="26" t="n">
        <x:f>G415</x:f>
        <x:v>0.08</x:v>
      </x:c>
      <x:c r="H23" s="26" t="n">
        <x:f>H415</x:f>
        <x:v>0.08</x:v>
      </x:c>
      <x:c r="I23" s="26" t="n">
        <x:f>I415</x:f>
        <x:v>0.08</x:v>
      </x:c>
      <x:c r="J23" s="1"/>
      <x:c r="K23" s="1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</x:row>
    <x:row r="24" ht="18" customHeight="1">
      <x:c r="A24" s="1"/>
      <x:c r="B24" s="1"/>
      <x:c r="C24" s="23" t="str">
        <x:v>D&amp;A / opening net PP&amp;E</x:v>
      </x:c>
      <x:c r="D24" s="24"/>
      <x:c r="E24" s="26" t="n">
        <x:f>E420</x:f>
        <x:v>0.07</x:v>
      </x:c>
      <x:c r="F24" s="26" t="n">
        <x:f>F420</x:f>
        <x:v>0.07</x:v>
      </x:c>
      <x:c r="G24" s="26" t="n">
        <x:f>G420</x:f>
        <x:v>0.07</x:v>
      </x:c>
      <x:c r="H24" s="26" t="n">
        <x:f>H420</x:f>
        <x:v>0.07</x:v>
      </x:c>
      <x:c r="I24" s="26" t="n">
        <x:f>I420</x:f>
        <x:v>0.07</x:v>
      </x:c>
      <x:c r="J24" s="1"/>
      <x:c r="K24" s="1" t="str">
        <x:v>No disposals or impairments. Current-year capex begins depreciation next year.</x:v>
      </x:c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</x:row>
    <x:row r="25" ht="18" customHeight="1">
      <x:c r="A25" s="1"/>
      <x:c r="B25" s="1"/>
      <x:c r="C25" s="1" t="str">
        <x:v>Receivable days</x:v>
      </x:c>
      <x:c r="D25" s="2"/>
      <x:c r="E25" s="7" t="n">
        <x:f>E425</x:f>
        <x:v>20</x:v>
      </x:c>
      <x:c r="F25" s="7" t="n">
        <x:f>F425</x:f>
        <x:v>20</x:v>
      </x:c>
      <x:c r="G25" s="7" t="n">
        <x:f>G425</x:f>
        <x:v>20</x:v>
      </x:c>
      <x:c r="H25" s="7" t="n">
        <x:f>H425</x:f>
        <x:v>20</x:v>
      </x:c>
      <x:c r="I25" s="7" t="n">
        <x:f>I425</x:f>
        <x:v>20</x:v>
      </x:c>
      <x:c r="J25" s="1"/>
      <x:c r="K25" s="1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</x:row>
    <x:row r="26" ht="18" customHeight="1">
      <x:c r="A26" s="1"/>
      <x:c r="B26" s="1"/>
      <x:c r="C26" s="1" t="str">
        <x:v>Inventory days</x:v>
      </x:c>
      <x:c r="D26" s="2"/>
      <x:c r="E26" s="7" t="n">
        <x:f>E430</x:f>
        <x:v>40</x:v>
      </x:c>
      <x:c r="F26" s="7" t="n">
        <x:f>F430</x:f>
        <x:v>40</x:v>
      </x:c>
      <x:c r="G26" s="7" t="n">
        <x:f>G430</x:f>
        <x:v>40</x:v>
      </x:c>
      <x:c r="H26" s="7" t="n">
        <x:f>H430</x:f>
        <x:v>40</x:v>
      </x:c>
      <x:c r="I26" s="7" t="n">
        <x:f>I430</x:f>
        <x:v>40</x:v>
      </x:c>
      <x:c r="J26" s="1"/>
      <x:c r="K26" s="1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</x:row>
    <x:row r="27" ht="18" customHeight="1">
      <x:c r="A27" s="1"/>
      <x:c r="B27" s="1"/>
      <x:c r="C27" s="1" t="str">
        <x:v>Payable days</x:v>
      </x:c>
      <x:c r="D27" s="2"/>
      <x:c r="E27" s="7" t="n">
        <x:f>E435</x:f>
        <x:v>40</x:v>
      </x:c>
      <x:c r="F27" s="7" t="n">
        <x:f>F435</x:f>
        <x:v>40</x:v>
      </x:c>
      <x:c r="G27" s="7" t="n">
        <x:f>G435</x:f>
        <x:v>40</x:v>
      </x:c>
      <x:c r="H27" s="7" t="n">
        <x:f>H435</x:f>
        <x:v>40</x:v>
      </x:c>
      <x:c r="I27" s="7" t="n">
        <x:f>I435</x:f>
        <x:v>40</x:v>
      </x:c>
      <x:c r="J27" s="1"/>
      <x:c r="K27" s="1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</x:row>
    <x:row r="28" ht="18" customHeight="1">
      <x:c r="A28" s="1"/>
      <x:c r="B28" s="1"/>
      <x:c r="C28" s="23" t="str">
        <x:v>Effective cash tax rate</x:v>
      </x:c>
      <x:c r="D28" s="24"/>
      <x:c r="E28" s="26" t="n">
        <x:f>E440</x:f>
        <x:v>0.25</x:v>
      </x:c>
      <x:c r="F28" s="26" t="n">
        <x:f>F440</x:f>
        <x:v>0.25</x:v>
      </x:c>
      <x:c r="G28" s="26" t="n">
        <x:f>G440</x:f>
        <x:v>0.25</x:v>
      </x:c>
      <x:c r="H28" s="26" t="n">
        <x:f>H440</x:f>
        <x:v>0.25</x:v>
      </x:c>
      <x:c r="I28" s="26" t="n">
        <x:f>I440</x:f>
        <x:v>0.25</x:v>
      </x:c>
      <x:c r="J28" s="1"/>
      <x:c r="K28" s="1" t="str">
        <x:v>Illustrative assumption, not a statutory rate. No loss carryforwards or deferred tax.</x:v>
      </x:c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</x:row>
    <x:row r="29" ht="18" customHeight="1">
      <x:c r="A29" s="1"/>
      <x:c r="B29" s="1"/>
      <x:c r="C29" s="23" t="str">
        <x:v>Interest on opening debt</x:v>
      </x:c>
      <x:c r="D29" s="24"/>
      <x:c r="E29" s="26" t="n">
        <x:f>E445</x:f>
        <x:v>0.085</x:v>
      </x:c>
      <x:c r="F29" s="26" t="n">
        <x:f>F445</x:f>
        <x:v>0.085</x:v>
      </x:c>
      <x:c r="G29" s="26" t="n">
        <x:f>G445</x:f>
        <x:v>0.085</x:v>
      </x:c>
      <x:c r="H29" s="26" t="n">
        <x:f>H445</x:f>
        <x:v>0.085</x:v>
      </x:c>
      <x:c r="I29" s="26" t="n">
        <x:f>I445</x:f>
        <x:v>0.085</x:v>
      </x:c>
      <x:c r="J29" s="1"/>
      <x:c r="K29" s="1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</x:row>
    <x:row r="30" ht="18" customHeight="1">
      <x:c r="A30" s="1"/>
      <x:c r="B30" s="1"/>
      <x:c r="C30" s="1" t="str">
        <x:v>New borrowing</x:v>
      </x:c>
      <x:c r="D30" s="2"/>
      <x:c r="E30" s="7" t="n">
        <x:f>E450</x:f>
        <x:v>0</x:v>
      </x:c>
      <x:c r="F30" s="7" t="n">
        <x:f>F450</x:f>
        <x:v>0</x:v>
      </x:c>
      <x:c r="G30" s="7" t="n">
        <x:f>G450</x:f>
        <x:v>0</x:v>
      </x:c>
      <x:c r="H30" s="7" t="n">
        <x:f>H450</x:f>
        <x:v>0</x:v>
      </x:c>
      <x:c r="I30" s="7" t="n">
        <x:f>I450</x:f>
        <x:v>0</x:v>
      </x:c>
      <x:c r="J30" s="1"/>
      <x:c r="K30" s="1"/>
      <x:c r="M30" s="82" t="str">
        <x:v>Historical actuals and forecast | INR crore</x:v>
      </x:c>
      <x:c r="N30" s="82"/>
      <x:c r="O30" s="82"/>
      <x:c r="P30" s="82"/>
      <x:c r="Q30" s="82"/>
      <x:c r="R30" s="82"/>
      <x:c r="S30" s="82"/>
      <x:c r="T30" s="82"/>
      <x:c r="U30" s="82"/>
      <x:c r="V30" s="63"/>
    </x:row>
    <x:row r="31" ht="18" customHeight="1">
      <x:c r="A31" s="1"/>
      <x:c r="B31" s="1"/>
      <x:c r="C31" s="1" t="str">
        <x:v>Scheduled principal repayment</x:v>
      </x:c>
      <x:c r="D31" s="2"/>
      <x:c r="E31" s="7" t="n">
        <x:f>E455</x:f>
        <x:v>250</x:v>
      </x:c>
      <x:c r="F31" s="7" t="n">
        <x:f>F455</x:f>
        <x:v>250</x:v>
      </x:c>
      <x:c r="G31" s="7" t="n">
        <x:f>G455</x:f>
        <x:v>250</x:v>
      </x:c>
      <x:c r="H31" s="7" t="n">
        <x:f>H455</x:f>
        <x:v>250</x:v>
      </x:c>
      <x:c r="I31" s="7" t="n">
        <x:f>I455</x:f>
        <x:v>250</x:v>
      </x:c>
      <x:c r="J31" s="1"/>
      <x:c r="K31" s="1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</x:row>
    <x:row r="32" ht="18" customHeight="1">
      <x:c r="A32" s="1"/>
      <x:c r="B32" s="1"/>
      <x:c r="C32" s="23" t="str">
        <x:v>Dividend payout on positive PAT</x:v>
      </x:c>
      <x:c r="D32" s="24"/>
      <x:c r="E32" s="26" t="n">
        <x:f>E460</x:f>
        <x:v>0.25</x:v>
      </x:c>
      <x:c r="F32" s="26" t="n">
        <x:f>F460</x:f>
        <x:v>0.25</x:v>
      </x:c>
      <x:c r="G32" s="26" t="n">
        <x:f>G460</x:f>
        <x:v>0.25</x:v>
      </x:c>
      <x:c r="H32" s="26" t="n">
        <x:f>H460</x:f>
        <x:v>0.25</x:v>
      </x:c>
      <x:c r="I32" s="26" t="n">
        <x:f>I460</x:f>
        <x:v>0.25</x:v>
      </x:c>
      <x:c r="J32" s="1"/>
      <x:c r="K32" s="1"/>
      <x:c r="M32" s="63" t="str">
        <x:v>Metric</x:v>
      </x:c>
      <x:c r="N32" s="88" t="n">
        <x:f>'Controls'!$E$17+-3</x:f>
        <x:v>2024</x:v>
      </x:c>
      <x:c r="O32" s="88" t="n">
        <x:f>'Controls'!$E$17+-2</x:f>
        <x:v>2025</x:v>
      </x:c>
      <x:c r="P32" s="88" t="n">
        <x:f>'Controls'!$E$17+-1</x:f>
        <x:v>2026</x:v>
      </x:c>
      <x:c r="Q32" s="89" t="n">
        <x:f>'Controls'!$E$17+0</x:f>
        <x:v>2027</x:v>
      </x:c>
      <x:c r="R32" s="89" t="n">
        <x:f>'Controls'!$E$17+1</x:f>
        <x:v>2028</x:v>
      </x:c>
      <x:c r="S32" s="89" t="n">
        <x:f>'Controls'!$E$17+2</x:f>
        <x:v>2029</x:v>
      </x:c>
      <x:c r="T32" s="89" t="n">
        <x:f>'Controls'!$E$17+3</x:f>
        <x:v>2030</x:v>
      </x:c>
      <x:c r="U32" s="89" t="n">
        <x:f>'Controls'!$E$17+4</x:f>
        <x:v>2031</x:v>
      </x:c>
      <x:c r="V32" s="63" t="str">
        <x:v>Source / reporting date</x:v>
      </x:c>
    </x:row>
    <x:row r="33" ht="18" customHeight="1">
      <x:c r="A33" s="1"/>
      <x:c r="B33" s="1"/>
      <x:c r="C33" s="19" t="str">
        <x:v>OPENING BALANCE SHEET AND VALUATION INPUTS</x:v>
      </x:c>
      <x:c r="D33" s="20"/>
      <x:c r="E33" s="20"/>
      <x:c r="F33" s="20"/>
      <x:c r="G33" s="20"/>
      <x:c r="H33" s="20"/>
      <x:c r="I33" s="20"/>
      <x:c r="J33" s="1"/>
      <x:c r="K33" s="1"/>
      <x:c r="M33" s="63" t="str">
        <x:v>Income</x:v>
      </x:c>
      <x:c r="N33" s="74"/>
      <x:c r="O33" s="74"/>
      <x:c r="P33" s="74"/>
      <x:c r="Q33" s="8" t="n">
        <x:f>E47</x:f>
        <x:v>4524.093749999999</x:v>
      </x:c>
      <x:c r="R33" s="8" t="n">
        <x:f>F47</x:f>
        <x:v>4961.7998203125</x:v>
      </x:c>
      <x:c r="S33" s="8" t="n">
        <x:f>G47</x:f>
        <x:v>5441.853952927733</x:v>
      </x:c>
      <x:c r="T33" s="8" t="n">
        <x:f>H47</x:f>
        <x:v>5968.353322873491</x:v>
      </x:c>
      <x:c r="U33" s="8" t="n">
        <x:f>I47</x:f>
        <x:v>6545.791506861501</x:v>
      </x:c>
      <x:c r="V33" s="63"/>
    </x:row>
    <x:row r="34" ht="18" customHeight="1">
      <x:c r="A34" s="1"/>
      <x:c r="B34" s="1"/>
      <x:c r="C34" s="1" t="str">
        <x:v>Opening net PP&amp;E</x:v>
      </x:c>
      <x:c r="D34" s="7" t="n">
        <x:v>10000</x:v>
      </x:c>
      <x:c r="E34" s="2"/>
      <x:c r="F34" s="2"/>
      <x:c r="G34" s="2"/>
      <x:c r="H34" s="2"/>
      <x:c r="I34" s="2"/>
      <x:c r="J34" s="1"/>
      <x:c r="K34" s="1"/>
      <x:c r="M34" s="63" t="str">
        <x:v>Profit after tax</x:v>
      </x:c>
      <x:c r="N34" s="74"/>
      <x:c r="O34" s="74"/>
      <x:c r="P34" s="74"/>
      <x:c r="Q34" s="8" t="n">
        <x:f>E58</x:f>
        <x:v>96.03117187499976</x:v>
      </x:c>
      <x:c r="R34" s="8" t="n">
        <x:f>F58</x:f>
        <x:v>205.22177525390603</x:v>
      </x:c>
      <x:c r="S34" s="8" t="n">
        <x:f>G58</x:f>
        <x:v>318.63663744722123</x:v>
      </x:c>
      <x:c r="T34" s="8" t="n">
        <x:f>H58</x:f>
        <x:v>437.02031402086493</x:v>
      </x:c>
      <x:c r="U34" s="8" t="n">
        <x:f>I58</x:f>
        <x:v>561.1658861949653</x:v>
      </x:c>
      <x:c r="V34" s="63"/>
    </x:row>
    <x:row r="35" ht="18" customHeight="1">
      <x:c r="A35" s="1"/>
      <x:c r="B35" s="1"/>
      <x:c r="C35" s="1" t="str">
        <x:v>Opening debt</x:v>
      </x:c>
      <x:c r="D35" s="7" t="n">
        <x:v>2500</x:v>
      </x:c>
      <x:c r="E35" s="2"/>
      <x:c r="F35" s="2"/>
      <x:c r="G35" s="2"/>
      <x:c r="H35" s="2"/>
      <x:c r="I35" s="2"/>
      <x:c r="J35" s="1"/>
      <x:c r="K35" s="1"/>
      <x:c r="M35" s="63" t="str">
        <x:v>EBITDA</x:v>
      </x:c>
      <x:c r="N35" s="74"/>
      <x:c r="O35" s="74"/>
      <x:c r="P35" s="74"/>
      <x:c r="Q35" s="8" t="n">
        <x:f>E52</x:f>
        <x:v>1040.5415624999998</x:v>
      </x:c>
      <x:c r="R35" s="8" t="n">
        <x:f>F52</x:f>
        <x:v>1141.2139586718747</x:v>
      </x:c>
      <x:c r="S35" s="8" t="n">
        <x:f>G52</x:f>
        <x:v>1251.6264091733783</x:v>
      </x:c>
      <x:c r="T35" s="8" t="n">
        <x:f>H52</x:f>
        <x:v>1372.7212642609027</x:v>
      </x:c>
      <x:c r="U35" s="8" t="n">
        <x:f>I52</x:f>
        <x:v>1505.5320465781456</x:v>
      </x:c>
      <x:c r="V35" s="63"/>
    </x:row>
    <x:row r="36" ht="18" customHeight="1">
      <x:c r="A36" s="1"/>
      <x:c r="B36" s="1"/>
      <x:c r="C36" s="1" t="str">
        <x:v>Opening cash</x:v>
      </x:c>
      <x:c r="D36" s="7" t="n">
        <x:v>600</x:v>
      </x:c>
      <x:c r="E36" s="2"/>
      <x:c r="F36" s="2"/>
      <x:c r="G36" s="2"/>
      <x:c r="H36" s="2"/>
      <x:c r="I36" s="2"/>
      <x:c r="J36" s="1"/>
      <x:c r="K36" s="1"/>
      <x:c r="M36" s="63" t="str">
        <x:v>Closing debt</x:v>
      </x:c>
      <x:c r="N36" s="74"/>
      <x:c r="O36" s="74"/>
      <x:c r="P36" s="74"/>
      <x:c r="Q36" s="8" t="n">
        <x:f>E67</x:f>
        <x:v>2250</x:v>
      </x:c>
      <x:c r="R36" s="8" t="n">
        <x:f>F67</x:f>
        <x:v>2000</x:v>
      </x:c>
      <x:c r="S36" s="8" t="n">
        <x:f>G67</x:f>
        <x:v>1750</x:v>
      </x:c>
      <x:c r="T36" s="8" t="n">
        <x:f>H67</x:f>
        <x:v>1500</x:v>
      </x:c>
      <x:c r="U36" s="8" t="n">
        <x:f>I67</x:f>
        <x:v>1250</x:v>
      </x:c>
      <x:c r="V36" s="63"/>
    </x:row>
    <x:row r="37" ht="18" customHeight="1">
      <x:c r="A37" s="1"/>
      <x:c r="B37" s="1"/>
      <x:c r="C37" s="1" t="str">
        <x:v>Opening net working capital</x:v>
      </x:c>
      <x:c r="D37" s="7" t="n">
        <x:v>226.02739726027397</x:v>
      </x:c>
      <x:c r="E37" s="2"/>
      <x:c r="F37" s="2"/>
      <x:c r="G37" s="2"/>
      <x:c r="H37" s="2"/>
      <x:c r="I37" s="2"/>
      <x:c r="J37" s="1"/>
      <x:c r="K37" s="1" t="str">
        <x:v>Illustrative opening net balance. Replace with receivables + inventory − payables.</x:v>
      </x:c>
      <x:c r="M37" s="63" t="str">
        <x:v>Closing cash / (funding gap)</x:v>
      </x:c>
      <x:c r="N37" s="74"/>
      <x:c r="O37" s="74"/>
      <x:c r="P37" s="74"/>
      <x:c r="Q37" s="8" t="n">
        <x:f>E72</x:f>
        <x:v>738.2277282213187</x:v>
      </x:c>
      <x:c r="R37" s="8" t="n">
        <x:f>F72</x:f>
        <x:v>897.5511047730496</x:v>
      </x:c>
      <x:c r="S37" s="8" t="n">
        <x:f>G72</x:f>
        <x:v>1081.6534898342854</x:v>
      </x:c>
      <x:c r="T37" s="8" t="n">
        <x:f>H72</x:f>
        <x:v>1294.3786912081644</x:v>
      </x:c>
      <x:c r="U37" s="8" t="n">
        <x:f>I72</x:f>
        <x:v>1539.7602018526277</x:v>
      </x:c>
      <x:c r="V37" s="63"/>
    </x:row>
    <x:row r="38" ht="18" customHeight="1">
      <x:c r="A38" s="1"/>
      <x:c r="B38" s="1"/>
      <x:c r="C38" s="1" t="str">
        <x:v>Diluted shares (crore)</x:v>
      </x:c>
      <x:c r="D38" s="7" t="n">
        <x:v>100</x:v>
      </x:c>
      <x:c r="E38" s="2"/>
      <x:c r="F38" s="2"/>
      <x:c r="G38" s="2"/>
      <x:c r="H38" s="2"/>
      <x:c r="I38" s="2"/>
      <x:c r="J38" s="1"/>
      <x:c r="K38" s="1"/>
      <x:c r="M38" s="63" t="str">
        <x:v>Closing book equity</x:v>
      </x:c>
      <x:c r="N38" s="74"/>
      <x:c r="O38" s="74"/>
      <x:c r="P38" s="74"/>
      <x:c r="Q38" s="8" t="n">
        <x:f>E73</x:f>
        <x:v>8398.050776166523</x:v>
      </x:c>
      <x:c r="R38" s="8" t="n">
        <x:f>F73</x:f>
        <x:v>8551.967107606952</x:v>
      </x:c>
      <x:c r="S38" s="8" t="n">
        <x:f>G73</x:f>
        <x:v>8790.944585692368</x:v>
      </x:c>
      <x:c r="T38" s="8" t="n">
        <x:f>H73</x:f>
        <x:v>9118.709821208018</x:v>
      </x:c>
      <x:c r="U38" s="8" t="n">
        <x:f>I73</x:f>
        <x:v>9539.584235854243</x:v>
      </x:c>
      <x:c r="V38" s="63"/>
    </x:row>
    <x:row r="39" ht="18" customHeight="1">
      <x:c r="A39" s="1"/>
      <x:c r="B39" s="1"/>
      <x:c r="C39" s="1" t="str">
        <x:v>WACC</x:v>
      </x:c>
      <x:c r="D39" s="25" t="n">
        <x:v>0.12</x:v>
      </x:c>
      <x:c r="E39" s="2"/>
      <x:c r="F39" s="2"/>
      <x:c r="G39" s="2"/>
      <x:c r="H39" s="2"/>
      <x:c r="I39" s="2"/>
      <x:c r="J39" s="1"/>
      <x:c r="K39" s="1"/>
      <x:c r="M39" s="63" t="str">
        <x:v>Operating cash flow after interest</x:v>
      </x:c>
      <x:c r="N39" s="74"/>
      <x:c r="O39" s="74"/>
      <x:c r="P39" s="74"/>
      <x:c r="Q39" s="8" t="n">
        <x:f>E69</x:f>
        <x:v>774.1630211900685</x:v>
      </x:c>
      <x:c r="R39" s="8" t="n">
        <x:f>F69</x:f>
        <x:v>857.5728059902074</x:v>
      </x:c>
      <x:c r="S39" s="8" t="n">
        <x:f>G69</x:f>
        <x:v>949.1098606572598</x:v>
      </x:c>
      <x:c r="T39" s="8" t="n">
        <x:f>H69</x:f>
        <x:v>1049.4485457089745</x:v>
      </x:c>
      <x:c r="U39" s="8" t="n">
        <x:f>I69</x:f>
        <x:v>1159.3363027421246</x:v>
      </x:c>
      <x:c r="V39" s="63"/>
    </x:row>
    <x:row r="40" ht="18" customHeight="1">
      <x:c r="A40" s="1"/>
      <x:c r="B40" s="1"/>
      <x:c r="C40" s="1" t="str">
        <x:v>Terminal growth</x:v>
      </x:c>
      <x:c r="D40" s="25" t="n">
        <x:v>0.04</x:v>
      </x:c>
      <x:c r="E40" s="2"/>
      <x:c r="F40" s="2"/>
      <x:c r="G40" s="2"/>
      <x:c r="H40" s="2"/>
      <x:c r="I40" s="2"/>
      <x:c r="J40" s="1"/>
      <x:c r="K40" s="1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</x:row>
    <x:row r="41" ht="18" customHeight="1">
      <x:c r="A41" s="1"/>
      <x:c r="B41" s="1"/>
      <x:c r="C41" s="1" t="str">
        <x:v>Terminal incremental ROIC</x:v>
      </x:c>
      <x:c r="D41" s="25" t="n">
        <x:v>0.15</x:v>
      </x:c>
      <x:c r="E41" s="2"/>
      <x:c r="F41" s="2"/>
      <x:c r="G41" s="2"/>
      <x:c r="H41" s="2"/>
      <x:c r="I41" s="2"/>
      <x:c r="J41" s="1"/>
      <x:c r="K41" s="1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</x:row>
    <x:row r="42" ht="18" customHeight="1">
      <x:c r="A42" s="1"/>
      <x:c r="B42" s="1"/>
      <x:c r="C42" s="1" t="str">
        <x:v>Forward EV / EBITDA</x:v>
      </x:c>
      <x:c r="D42" s="55" t="n">
        <x:v>12</x:v>
      </x:c>
      <x:c r="E42" s="2"/>
      <x:c r="F42" s="2"/>
      <x:c r="G42" s="2"/>
      <x:c r="H42" s="2"/>
      <x:c r="I42" s="2"/>
      <x:c r="J42" s="1"/>
      <x:c r="K42" s="1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</x:row>
    <x:row r="43" ht="18" customHeight="1">
      <x:c r="A43" s="1"/>
      <x:c r="B43" s="1"/>
      <x:c r="C43" s="19" t="str">
        <x:v>OPERATING BUILD</x:v>
      </x:c>
      <x:c r="D43" s="20"/>
      <x:c r="E43" s="20"/>
      <x:c r="F43" s="20"/>
      <x:c r="G43" s="20"/>
      <x:c r="H43" s="20"/>
      <x:c r="I43" s="20"/>
      <x:c r="J43" s="1"/>
      <x:c r="K43" s="1"/>
      <x:c r="M43" s="64" t="str">
        <x:v>Actuals are reference inputs. Calibrate the opening balances and forecast assumptions separately.</x:v>
      </x:c>
      <x:c r="N43" s="64"/>
      <x:c r="O43" s="64"/>
      <x:c r="P43" s="64"/>
      <x:c r="Q43" s="64"/>
      <x:c r="R43" s="64"/>
      <x:c r="S43" s="64"/>
      <x:c r="T43" s="64"/>
      <x:c r="U43" s="64"/>
      <x:c r="V43" s="63"/>
    </x:row>
    <x:row r="44" ht="18" customHeight="1">
      <x:c r="A44" s="1"/>
      <x:c r="B44" s="1"/>
      <x:c r="C44" s="1" t="str">
        <x:v>Installed cement capacity (million tonnes)</x:v>
      </x:c>
      <x:c r="D44" s="2"/>
      <x:c r="E44" s="8" t="n">
        <x:f>$D10*(1+E12)</x:f>
        <x:v>10.700000000000001</x:v>
      </x:c>
      <x:c r="F44" s="8" t="n">
        <x:f>E44*(1+F12)</x:f>
        <x:v>11.449000000000002</x:v>
      </x:c>
      <x:c r="G44" s="8" t="n">
        <x:f>F44*(1+G12)</x:f>
        <x:v>12.250430000000003</x:v>
      </x:c>
      <x:c r="H44" s="8" t="n">
        <x:f>G44*(1+H12)</x:f>
        <x:v>13.107960100000005</x:v>
      </x:c>
      <x:c r="I44" s="8" t="n">
        <x:f>H44*(1+I12)</x:f>
        <x:v>14.025517307000007</x:v>
      </x:c>
      <x:c r="J44" s="1"/>
      <x:c r="K44" s="1"/>
      <x:c r="M44" s="64"/>
      <x:c r="N44" s="64"/>
      <x:c r="O44" s="64"/>
      <x:c r="P44" s="64"/>
      <x:c r="Q44" s="64"/>
      <x:c r="R44" s="64"/>
      <x:c r="S44" s="64"/>
      <x:c r="T44" s="64"/>
      <x:c r="U44" s="64"/>
      <x:c r="V44" s="63"/>
    </x:row>
    <x:row r="45" ht="18" customHeight="1">
      <x:c r="A45" s="1"/>
      <x:c r="B45" s="1"/>
      <x:c r="C45" s="1" t="str">
        <x:v>Net realization (INR per tonne)</x:v>
      </x:c>
      <x:c r="D45" s="2"/>
      <x:c r="E45" s="8" t="n">
        <x:f>$D11*(1+E16)</x:f>
        <x:v>5637.499999999999</x:v>
      </x:c>
      <x:c r="F45" s="8" t="n">
        <x:f>E45*(1+F16)</x:f>
        <x:v>5778.437499999998</x:v>
      </x:c>
      <x:c r="G45" s="8" t="n">
        <x:f>F45*(1+G16)</x:f>
        <x:v>5922.898437499997</x:v>
      </x:c>
      <x:c r="H45" s="8" t="n">
        <x:f>G45*(1+H16)</x:f>
        <x:v>6070.9708984374965</x:v>
      </x:c>
      <x:c r="I45" s="8" t="n">
        <x:f>H45*(1+I16)</x:f>
        <x:v>6222.745170898434</x:v>
      </x:c>
      <x:c r="J45" s="1"/>
      <x:c r="K45" s="1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</x:row>
    <x:row r="46" ht="18" customHeight="1">
      <x:c r="A46" s="1"/>
      <x:c r="B46" s="1"/>
      <x:c r="C46" s="1" t="str">
        <x:v>Billable / saleable volume</x:v>
      </x:c>
      <x:c r="D46" s="2"/>
      <x:c r="E46" s="8" t="n">
        <x:f>E44*E20</x:f>
        <x:v>8.025</x:v>
      </x:c>
      <x:c r="F46" s="8" t="n">
        <x:f>F44*F20</x:f>
        <x:v>8.586750000000002</x:v>
      </x:c>
      <x:c r="G46" s="8" t="n">
        <x:f>G44*G20</x:f>
        <x:v>9.187822500000003</x:v>
      </x:c>
      <x:c r="H46" s="8" t="n">
        <x:f>H44*H20</x:f>
        <x:v>9.830970075000003</x:v>
      </x:c>
      <x:c r="I46" s="8" t="n">
        <x:f>I44*I20</x:f>
        <x:v>10.519137980250004</x:v>
      </x:c>
      <x:c r="J46" s="1"/>
      <x:c r="K46" s="1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</x:row>
    <x:row r="47" ht="18" customHeight="1">
      <x:c r="A47" s="1"/>
      <x:c r="B47" s="1"/>
      <x:c r="C47" s="38" t="str">
        <x:v>Revenue</x:v>
      </x:c>
      <x:c r="D47" s="39"/>
      <x:c r="E47" s="60" t="n">
        <x:f>E46*E45*'Controls'!$E$14/'Controls'!$E$9</x:f>
        <x:v>4524.093749999999</x:v>
      </x:c>
      <x:c r="F47" s="60" t="n">
        <x:f>F46*F45*'Controls'!$E$14/'Controls'!$E$9</x:f>
        <x:v>4961.7998203125</x:v>
      </x:c>
      <x:c r="G47" s="60" t="n">
        <x:f>G46*G45*'Controls'!$E$14/'Controls'!$E$9</x:f>
        <x:v>5441.853952927733</x:v>
      </x:c>
      <x:c r="H47" s="60" t="n">
        <x:f>H46*H45*'Controls'!$E$14/'Controls'!$E$9</x:f>
        <x:v>5968.353322873491</x:v>
      </x:c>
      <x:c r="I47" s="60" t="n">
        <x:f>I46*I45*'Controls'!$E$14/'Controls'!$E$9</x:f>
        <x:v>6545.791506861501</x:v>
      </x:c>
      <x:c r="J47" s="1"/>
      <x:c r="K47" s="1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</x:row>
    <x:row r="48" ht="25" customHeight="1">
      <x:c r="A48" s="1"/>
      <x:c r="B48" s="1"/>
      <x:c r="C48" s="19" t="str">
        <x:v>INCOME STATEMENT</x:v>
      </x:c>
      <x:c r="D48" s="20"/>
      <x:c r="E48" s="20"/>
      <x:c r="F48" s="20"/>
      <x:c r="G48" s="20"/>
      <x:c r="H48" s="20"/>
      <x:c r="I48" s="20"/>
      <x:c r="J48" s="1"/>
      <x:c r="K48" s="1"/>
      <x:c r="M48" s="82" t="str">
        <x:v>DCF equity value | rows WACC / columns terminal growth</x:v>
      </x:c>
      <x:c r="N48" s="82"/>
      <x:c r="O48" s="82"/>
      <x:c r="P48" s="82"/>
      <x:c r="Q48" s="82"/>
      <x:c r="R48" s="82"/>
      <x:c r="S48" s="63"/>
      <x:c r="T48" s="63"/>
      <x:c r="U48" s="63"/>
      <x:c r="V48" s="63"/>
    </x:row>
    <x:row r="49" ht="18" customHeight="1">
      <x:c r="A49" s="1"/>
      <x:c r="B49" s="1"/>
      <x:c r="C49" s="1" t="str">
        <x:v>Direct cash costs</x:v>
      </x:c>
      <x:c r="D49" s="2"/>
      <x:c r="E49" s="8" t="n">
        <x:f>E47*E21</x:f>
        <x:v>2940.6609374999994</x:v>
      </x:c>
      <x:c r="F49" s="8" t="n">
        <x:f>F47*F21</x:f>
        <x:v>3225.169883203125</x:v>
      </x:c>
      <x:c r="G49" s="8" t="n">
        <x:f>G47*G21</x:f>
        <x:v>3537.2050694030268</x:v>
      </x:c>
      <x:c r="H49" s="8" t="n">
        <x:f>H47*H21</x:f>
        <x:v>3879.4296598677697</x:v>
      </x:c>
      <x:c r="I49" s="8" t="n">
        <x:f>I47*I21</x:f>
        <x:v>4254.7644794599755</x:v>
      </x:c>
      <x:c r="J49" s="1"/>
      <x:c r="K49" s="1"/>
      <x:c r="M49" s="63"/>
      <x:c r="N49" s="70" t="n">
        <x:f>$D$40+-0.01</x:f>
        <x:v>0.03</x:v>
      </x:c>
      <x:c r="O49" s="70" t="n">
        <x:f>$D$40+-0.005</x:f>
        <x:v>0.035</x:v>
      </x:c>
      <x:c r="P49" s="70" t="n">
        <x:f>$D$40+0</x:f>
        <x:v>0.04</x:v>
      </x:c>
      <x:c r="Q49" s="70" t="n">
        <x:f>$D$40+0.005</x:f>
        <x:v>0.045</x:v>
      </x:c>
      <x:c r="R49" s="70" t="n">
        <x:f>$D$40+0.01</x:f>
        <x:v>0.05</x:v>
      </x:c>
      <x:c r="S49" s="63"/>
      <x:c r="T49" s="63"/>
      <x:c r="U49" s="63"/>
      <x:c r="V49" s="63"/>
    </x:row>
    <x:row r="50" ht="18" customHeight="1">
      <x:c r="A50" s="1"/>
      <x:c r="B50" s="1"/>
      <x:c r="C50" s="1" t="str">
        <x:v>Gross profit</x:v>
      </x:c>
      <x:c r="D50" s="2"/>
      <x:c r="E50" s="8" t="n">
        <x:f>E47-E49</x:f>
        <x:v>1583.4328124999997</x:v>
      </x:c>
      <x:c r="F50" s="8" t="n">
        <x:f>F47-F49</x:f>
        <x:v>1736.6299371093746</x:v>
      </x:c>
      <x:c r="G50" s="8" t="n">
        <x:f>G47-G49</x:f>
        <x:v>1904.6488835247064</x:v>
      </x:c>
      <x:c r="H50" s="8" t="n">
        <x:f>H47-H49</x:f>
        <x:v>2088.9236630057217</x:v>
      </x:c>
      <x:c r="I50" s="8" t="n">
        <x:f>I47-I49</x:f>
        <x:v>2291.0270274015256</x:v>
      </x:c>
      <x:c r="J50" s="1"/>
      <x:c r="K50" s="1"/>
      <x:c r="M50" s="70" t="n">
        <x:f>$D$39+-0.02</x:f>
        <x:v>0.09999999999999999</x:v>
      </x:c>
      <x:c r="N50" s="8" t="n">
        <x:f>IF($M50&lt;=N$49,"n/a",IF(N$49&gt;$D$41,"n/a",E77/(1+$M50)^1+F77/(1+$M50)^2+G77/(1+$M50)^3+H77/(1+$M50)^4+I77/(1+$M50)^5+I76*(1+N$49)*(1-N$49/D41)/($M50-N$49)/(1+$M50)^5-D35+D36))</x:f>
        <x:v>5322.181637184409</x:v>
      </x:c>
      <x:c r="O50" s="8" t="n">
        <x:f>IF($M50&lt;=O$49,"n/a",IF(O$49&gt;$D$41,"n/a",E77/(1+$M50)^1+F77/(1+$M50)^2+G77/(1+$M50)^3+H77/(1+$M50)^4+I77/(1+$M50)^5+I76*(1+O$49)*(1-O$49/D41)/($M50-O$49)/(1+$M50)^5-D35+D36))</x:f>
        <x:v>5500.0967361005205</x:v>
      </x:c>
      <x:c r="P50" s="8" t="n">
        <x:f>IF($M50&lt;=P$49,"n/a",IF(P$49&gt;$D$41,"n/a",E77/(1+$M50)^1+F77/(1+$M50)^2+G77/(1+$M50)^3+H77/(1+$M50)^4+I77/(1+$M50)^5+I76*(1+P$49)*(1-P$49/D41)/($M50-P$49)/(1+$M50)^5-D35+D36))</x:f>
        <x:v>5705.398710024709</x:v>
      </x:c>
      <x:c r="Q50" s="8" t="n">
        <x:f>IF($M50&lt;=Q$49,"n/a",IF(Q$49&gt;$D$41,"n/a",E77/(1+$M50)^1+F77/(1+$M50)^2+G77/(1+$M50)^3+H77/(1+$M50)^4+I77/(1+$M50)^5+I76*(1+Q$49)*(1-Q$49/D41)/($M50-Q$49)/(1+$M50)^5-D35+D36))</x:f>
        <x:v>5945.55670668645</x:v>
      </x:c>
      <x:c r="R50" s="8" t="n">
        <x:f>IF($M50&lt;=R$49,"n/a",IF(R$49&gt;$D$41,"n/a",E77/(1+$M50)^1+F77/(1+$M50)^2+G77/(1+$M50)^3+H77/(1+$M50)^4+I77/(1+$M50)^5+I76*(1+R$49)*(1-R$49/D41)/($M50-R$49)/(1+$M50)^5-D35+D36))</x:f>
        <x:v>6231.027532907012</x:v>
      </x:c>
      <x:c r="S50" s="63"/>
      <x:c r="T50" s="63"/>
      <x:c r="U50" s="63"/>
      <x:c r="V50" s="63"/>
    </x:row>
    <x:row r="51" ht="18" customHeight="1">
      <x:c r="A51" s="1"/>
      <x:c r="B51" s="1"/>
      <x:c r="C51" s="1" t="str">
        <x:v>Other cash operating costs</x:v>
      </x:c>
      <x:c r="D51" s="2"/>
      <x:c r="E51" s="8" t="n">
        <x:f>E47*E22</x:f>
        <x:v>542.8912499999999</x:v>
      </x:c>
      <x:c r="F51" s="8" t="n">
        <x:f>F47*F22</x:f>
        <x:v>595.4159784374999</x:v>
      </x:c>
      <x:c r="G51" s="8" t="n">
        <x:f>G47*G22</x:f>
        <x:v>653.022474351328</x:v>
      </x:c>
      <x:c r="H51" s="8" t="n">
        <x:f>H47*H22</x:f>
        <x:v>716.202398744819</x:v>
      </x:c>
      <x:c r="I51" s="8" t="n">
        <x:f>I47*I22</x:f>
        <x:v>785.4949808233802</x:v>
      </x:c>
      <x:c r="J51" s="1"/>
      <x:c r="K51" s="1"/>
      <x:c r="M51" s="70" t="n">
        <x:f>$D$39+-0.01</x:f>
        <x:v>0.11</x:v>
      </x:c>
      <x:c r="N51" s="8" t="n">
        <x:f>IF($M51&lt;=N$49,"n/a",IF(N$49&gt;$D$41,"n/a",E77/(1+$M51)^1+F77/(1+$M51)^2+G77/(1+$M51)^3+H77/(1+$M51)^4+I77/(1+$M51)^5+I76*(1+N$49)*(1-N$49/D41)/($M51-N$49)/(1+$M51)^5-D35+D36))</x:f>
        <x:v>4473.049948513008</x:v>
      </x:c>
      <x:c r="O51" s="8" t="n">
        <x:f>IF($M51&lt;=O$49,"n/a",IF(O$49&gt;$D$41,"n/a",E77/(1+$M51)^1+F77/(1+$M51)^2+G77/(1+$M51)^3+H77/(1+$M51)^4+I77/(1+$M51)^5+I76*(1+O$49)*(1-O$49/D41)/($M51-O$49)/(1+$M51)^5-D35+D36))</x:f>
        <x:v>4582.186507140372</x:v>
      </x:c>
      <x:c r="P51" s="8" t="n">
        <x:f>IF($M51&lt;=P$49,"n/a",IF(P$49&gt;$D$41,"n/a",E77/(1+$M51)^1+F77/(1+$M51)^2+G77/(1+$M51)^3+H77/(1+$M51)^4+I77/(1+$M51)^5+I76*(1+P$49)*(1-P$49/D41)/($M51-P$49)/(1+$M51)^5-D35+D36))</x:f>
        <x:v>4705.05793879227</x:v>
      </x:c>
      <x:c r="Q51" s="8" t="n">
        <x:f>IF($M51&lt;=Q$49,"n/a",IF(Q$49&gt;$D$41,"n/a",E77/(1+$M51)^1+F77/(1+$M51)^2+G77/(1+$M51)^3+H77/(1+$M51)^4+I77/(1+$M51)^5+I76*(1+Q$49)*(1-Q$49/D41)/($M51-Q$49)/(1+$M51)^5-D35+D36))</x:f>
        <x:v>4844.833829551282</x:v>
      </x:c>
      <x:c r="R51" s="8" t="n">
        <x:f>IF($M51&lt;=R$49,"n/a",IF(R$49&gt;$D$41,"n/a",E77/(1+$M51)^1+F77/(1+$M51)^2+G77/(1+$M51)^3+H77/(1+$M51)^4+I77/(1+$M51)^5+I76*(1+R$49)*(1-R$49/D41)/($M51-R$49)/(1+$M51)^5-D35+D36))</x:f>
        <x:v>5005.740294194193</x:v>
      </x:c>
      <x:c r="S51" s="63"/>
      <x:c r="T51" s="63"/>
      <x:c r="U51" s="63"/>
      <x:c r="V51" s="63"/>
    </x:row>
    <x:row r="52" ht="18" customHeight="1">
      <x:c r="A52" s="1"/>
      <x:c r="B52" s="1"/>
      <x:c r="C52" s="38" t="str">
        <x:v>EBITDA</x:v>
      </x:c>
      <x:c r="D52" s="39"/>
      <x:c r="E52" s="41" t="n">
        <x:f>E50-E51</x:f>
        <x:v>1040.5415624999998</x:v>
      </x:c>
      <x:c r="F52" s="41" t="n">
        <x:f>F50-F51</x:f>
        <x:v>1141.2139586718747</x:v>
      </x:c>
      <x:c r="G52" s="41" t="n">
        <x:f>G50-G51</x:f>
        <x:v>1251.6264091733783</x:v>
      </x:c>
      <x:c r="H52" s="41" t="n">
        <x:f>H50-H51</x:f>
        <x:v>1372.7212642609027</x:v>
      </x:c>
      <x:c r="I52" s="41" t="n">
        <x:f>I50-I51</x:f>
        <x:v>1505.5320465781456</x:v>
      </x:c>
      <x:c r="J52" s="1"/>
      <x:c r="K52" s="1"/>
      <x:c r="M52" s="70" t="n">
        <x:f>$D$39+0</x:f>
        <x:v>0.12</x:v>
      </x:c>
      <x:c r="N52" s="8" t="n">
        <x:f>IF($M52&lt;=N$49,"n/a",IF(N$49&gt;$D$41,"n/a",E77/(1+$M52)^1+F77/(1+$M52)^2+G77/(1+$M52)^3+H77/(1+$M52)^4+I77/(1+$M52)^5+I76*(1+N$49)*(1-N$49/D41)/($M52-N$49)/(1+$M52)^5-D35+D36))</x:f>
        <x:v>3809.8233723108115</x:v>
      </x:c>
      <x:c r="O52" s="8" t="n">
        <x:f>IF($M52&lt;=O$49,"n/a",IF(O$49&gt;$D$41,"n/a",E77/(1+$M52)^1+F77/(1+$M52)^2+G77/(1+$M52)^3+H77/(1+$M52)^4+I77/(1+$M52)^5+I76*(1+O$49)*(1-O$49/D41)/($M52-O$49)/(1+$M52)^5-D35+D36))</x:f>
        <x:v>3876.808481160495</x:v>
      </x:c>
      <x:c r="P52" s="8" t="n">
        <x:f>IF($M52&lt;=P$49,"n/a",IF(P$49&gt;$D$41,"n/a",E77/(1+$M52)^1+F77/(1+$M52)^2+G77/(1+$M52)^3+H77/(1+$M52)^4+I77/(1+$M52)^5+I76*(1+P$49)*(1-P$49/D41)/($M52-P$49)/(1+$M52)^5-D35+D36))</x:f>
        <x:v>3950.6138920021476</x:v>
      </x:c>
      <x:c r="Q52" s="8" t="n">
        <x:f>IF($M52&lt;=Q$49,"n/a",IF(Q$49&gt;$D$41,"n/a",E77/(1+$M52)^1+F77/(1+$M52)^2+G77/(1+$M52)^3+H77/(1+$M52)^4+I77/(1+$M52)^5+I76*(1+Q$49)*(1-Q$49/D41)/($M52-Q$49)/(1+$M52)^5-D35+D36))</x:f>
        <x:v>4032.60366523416</x:v>
      </x:c>
      <x:c r="R52" s="8" t="n">
        <x:f>IF($M52&lt;=R$49,"n/a",IF(R$49&gt;$D$41,"n/a",E77/(1+$M52)^1+F77/(1+$M52)^2+G77/(1+$M52)^3+H77/(1+$M52)^4+I77/(1+$M52)^5+I76*(1+R$49)*(1-R$49/D41)/($M52-R$49)/(1+$M52)^5-D35+D36))</x:f>
        <x:v>4124.531592797326</x:v>
      </x:c>
      <x:c r="S52" s="63"/>
      <x:c r="T52" s="63"/>
      <x:c r="U52" s="63"/>
      <x:c r="V52" s="63"/>
    </x:row>
    <x:row r="53" ht="18" customHeight="1">
      <x:c r="A53" s="1"/>
      <x:c r="B53" s="1"/>
      <x:c r="C53" s="1" t="str">
        <x:v>Depreciation and amortization</x:v>
      </x:c>
      <x:c r="D53" s="2"/>
      <x:c r="E53" s="8" t="n">
        <x:f>E134</x:f>
        <x:v>700.0000000000001</x:v>
      </x:c>
      <x:c r="F53" s="8" t="n">
        <x:f>F134</x:f>
        <x:v>676.334925</x:v>
      </x:c>
      <x:c r="G53" s="8" t="n">
        <x:f>G134</x:f>
        <x:v>656.77755924375</x:v>
      </x:c>
      <x:c r="H53" s="8" t="n">
        <x:f>H134</x:f>
        <x:v>641.2775122330828</x:v>
      </x:c>
      <x:c r="I53" s="8" t="n">
        <x:f>I134</x:f>
        <x:v>629.8108649848585</x:v>
      </x:c>
      <x:c r="J53" s="1"/>
      <x:c r="K53" s="1"/>
      <x:c r="M53" s="70" t="n">
        <x:f>$D$39+0.01</x:f>
        <x:v>0.13</x:v>
      </x:c>
      <x:c r="N53" s="8" t="n">
        <x:f>IF($M53&lt;=N$49,"n/a",IF(N$49&gt;$D$41,"n/a",E77/(1+$M53)^1+F77/(1+$M53)^2+G77/(1+$M53)^3+H77/(1+$M53)^4+I77/(1+$M53)^5+I76*(1+N$49)*(1-N$49/D41)/($M53-N$49)/(1+$M53)^5-D35+D36))</x:f>
        <x:v>3276.891187485605</x:v>
      </x:c>
      <x:c r="O53" s="8" t="n">
        <x:f>IF($M53&lt;=O$49,"n/a",IF(O$49&gt;$D$41,"n/a",E77/(1+$M53)^1+F77/(1+$M53)^2+G77/(1+$M53)^3+H77/(1+$M53)^4+I77/(1+$M53)^5+I76*(1+O$49)*(1-O$49/D41)/($M53-O$49)/(1+$M53)^5-D35+D36))</x:f>
        <x:v>3317.0420678973023</x:v>
      </x:c>
      <x:c r="P53" s="8" t="n">
        <x:f>IF($M53&lt;=P$49,"n/a",IF(P$49&gt;$D$41,"n/a",E77/(1+$M53)^1+F77/(1+$M53)^2+G77/(1+$M53)^3+H77/(1+$M53)^4+I77/(1+$M53)^5+I76*(1+P$49)*(1-P$49/D41)/($M53-P$49)/(1+$M53)^5-D35+D36))</x:f>
        <x:v>3360.3338617645386</x:v>
      </x:c>
      <x:c r="Q53" s="8" t="n">
        <x:f>IF($M53&lt;=Q$49,"n/a",IF(Q$49&gt;$D$41,"n/a",E77/(1+$M53)^1+F77/(1+$M53)^2+G77/(1+$M53)^3+H77/(1+$M53)^4+I77/(1+$M53)^5+I76*(1+Q$49)*(1-Q$49/D41)/($M53-Q$49)/(1+$M53)^5-D35+D36))</x:f>
        <x:v>3407.320847932402</x:v>
      </x:c>
      <x:c r="R53" s="8" t="n">
        <x:f>IF($M53&lt;=R$49,"n/a",IF(R$49&gt;$D$41,"n/a",E77/(1+$M53)^1+F77/(1+$M53)^2+G77/(1+$M53)^3+H77/(1+$M53)^4+I77/(1+$M53)^5+I76*(1+R$49)*(1-R$49/D41)/($M53-R$49)/(1+$M53)^5-D35+D36))</x:f>
        <x:v>3458.6958749572677</x:v>
      </x:c>
      <x:c r="S53" s="63"/>
      <x:c r="T53" s="63"/>
      <x:c r="U53" s="63"/>
      <x:c r="V53" s="63"/>
    </x:row>
    <x:row r="54" ht="18" customHeight="1">
      <x:c r="A54" s="1"/>
      <x:c r="B54" s="1"/>
      <x:c r="C54" s="1" t="str">
        <x:v>EBIT</x:v>
      </x:c>
      <x:c r="D54" s="2"/>
      <x:c r="E54" s="8" t="n">
        <x:f>E52-E53</x:f>
        <x:v>340.5415624999997</x:v>
      </x:c>
      <x:c r="F54" s="8" t="n">
        <x:f>F52-F53</x:f>
        <x:v>464.8790336718747</x:v>
      </x:c>
      <x:c r="G54" s="8" t="n">
        <x:f>G52-G53</x:f>
        <x:v>594.8488499296283</x:v>
      </x:c>
      <x:c r="H54" s="8" t="n">
        <x:f>H52-H53</x:f>
        <x:v>731.4437520278199</x:v>
      </x:c>
      <x:c r="I54" s="8" t="n">
        <x:f>I52-I53</x:f>
        <x:v>875.721181593287</x:v>
      </x:c>
      <x:c r="J54" s="1"/>
      <x:c r="K54" s="1"/>
      <x:c r="M54" s="70" t="n">
        <x:f>$D$39+0.02</x:f>
        <x:v>0.13999999999999999</x:v>
      </x:c>
      <x:c r="N54" s="8" t="n">
        <x:f>IF($M54&lt;=N$49,"n/a",IF(N$49&gt;$D$41,"n/a",E77/(1+$M54)^1+F77/(1+$M54)^2+G77/(1+$M54)^3+H77/(1+$M54)^4+I77/(1+$M54)^5+I76*(1+N$49)*(1-N$49/D41)/($M54-N$49)/(1+$M54)^5-D35+D36))</x:f>
        <x:v>2838.854368239192</x:v>
      </x:c>
      <x:c r="O54" s="8" t="n">
        <x:f>IF($M54&lt;=O$49,"n/a",IF(O$49&gt;$D$41,"n/a",E77/(1+$M54)^1+F77/(1+$M54)^2+G77/(1+$M54)^3+H77/(1+$M54)^4+I77/(1+$M54)^5+I76*(1+O$49)*(1-O$49/D41)/($M54-O$49)/(1+$M54)^5-D35+D36))</x:f>
        <x:v>2861.4478057348606</x:v>
      </x:c>
      <x:c r="P54" s="8" t="n">
        <x:f>IF($M54&lt;=P$49,"n/a",IF(P$49&gt;$D$41,"n/a",E77/(1+$M54)^1+F77/(1+$M54)^2+G77/(1+$M54)^3+H77/(1+$M54)^4+I77/(1+$M54)^5+I76*(1+P$49)*(1-P$49/D41)/($M54-P$49)/(1+$M54)^5-D35+D36))</x:f>
        <x:v>2885.1635316290085</x:v>
      </x:c>
      <x:c r="Q54" s="8" t="n">
        <x:f>IF($M54&lt;=Q$49,"n/a",IF(Q$49&gt;$D$41,"n/a",E77/(1+$M54)^1+F77/(1+$M54)^2+G77/(1+$M54)^3+H77/(1+$M54)^4+I77/(1+$M54)^5+I76*(1+Q$49)*(1-Q$49/D41)/($M54-Q$49)/(1+$M54)^5-D35+D36))</x:f>
        <x:v>2910.178749352972</x:v>
      </x:c>
      <x:c r="R54" s="8" t="n">
        <x:f>IF($M54&lt;=R$49,"n/a",IF(R$49&gt;$D$41,"n/a",E77/(1+$M54)^1+F77/(1+$M54)^2+G77/(1+$M54)^3+H77/(1+$M54)^4+I77/(1+$M54)^5+I76*(1+R$49)*(1-R$49/D41)/($M54-R$49)/(1+$M54)^5-D35+D36))</x:f>
        <x:v>2936.710040878388</x:v>
      </x:c>
      <x:c r="S54" s="63"/>
      <x:c r="T54" s="63"/>
      <x:c r="U54" s="63"/>
      <x:c r="V54" s="63"/>
    </x:row>
    <x:row r="55" ht="18" customHeight="1">
      <x:c r="A55" s="1"/>
      <x:c r="B55" s="1"/>
      <x:c r="C55" s="1" t="str">
        <x:v>Interest expense</x:v>
      </x:c>
      <x:c r="D55" s="2"/>
      <x:c r="E55" s="8" t="n">
        <x:f>E125</x:f>
        <x:v>212.50000000000003</x:v>
      </x:c>
      <x:c r="F55" s="8" t="n">
        <x:f>F125</x:f>
        <x:v>191.25</x:v>
      </x:c>
      <x:c r="G55" s="8" t="n">
        <x:f>G125</x:f>
        <x:v>170</x:v>
      </x:c>
      <x:c r="H55" s="8" t="n">
        <x:f>H125</x:f>
        <x:v>148.75</x:v>
      </x:c>
      <x:c r="I55" s="8" t="n">
        <x:f>I125</x:f>
        <x:v>127.50000000000001</x:v>
      </x:c>
      <x:c r="J55" s="1"/>
      <x:c r="K55" s="1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</x:row>
    <x:row r="56" ht="18" customHeight="1">
      <x:c r="A56" s="1"/>
      <x:c r="B56" s="1"/>
      <x:c r="C56" s="1" t="str">
        <x:v>Profit before tax</x:v>
      </x:c>
      <x:c r="D56" s="2"/>
      <x:c r="E56" s="8" t="n">
        <x:f>E54-E55</x:f>
        <x:v>128.04156249999969</x:v>
      </x:c>
      <x:c r="F56" s="8" t="n">
        <x:f>F54-F55</x:f>
        <x:v>273.6290336718747</x:v>
      </x:c>
      <x:c r="G56" s="8" t="n">
        <x:f>G54-G55</x:f>
        <x:v>424.8488499296283</x:v>
      </x:c>
      <x:c r="H56" s="8" t="n">
        <x:f>H54-H55</x:f>
        <x:v>582.6937520278199</x:v>
      </x:c>
      <x:c r="I56" s="8" t="n">
        <x:f>I54-I55</x:f>
        <x:v>748.221181593287</x:v>
      </x:c>
      <x:c r="J56" s="1"/>
      <x:c r="K56" s="1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</x:row>
    <x:row r="57" ht="18" customHeight="1">
      <x:c r="A57" s="1"/>
      <x:c r="B57" s="1"/>
      <x:c r="C57" s="1" t="str">
        <x:v>Cash income tax</x:v>
      </x:c>
      <x:c r="D57" s="2"/>
      <x:c r="E57" s="8" t="n">
        <x:f>E144</x:f>
        <x:v>32.01039062499992</x:v>
      </x:c>
      <x:c r="F57" s="8" t="n">
        <x:f>F144</x:f>
        <x:v>68.40725841796868</x:v>
      </x:c>
      <x:c r="G57" s="8" t="n">
        <x:f>G144</x:f>
        <x:v>106.21221248240707</x:v>
      </x:c>
      <x:c r="H57" s="8" t="n">
        <x:f>H144</x:f>
        <x:v>145.67343800695497</x:v>
      </x:c>
      <x:c r="I57" s="8" t="n">
        <x:f>I144</x:f>
        <x:v>187.05529539832176</x:v>
      </x:c>
      <x:c r="J57" s="1"/>
      <x:c r="K57" s="1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</x:row>
    <x:row r="58" ht="25" customHeight="1">
      <x:c r="A58" s="1"/>
      <x:c r="B58" s="1"/>
      <x:c r="C58" s="38" t="str">
        <x:v>Profit after tax</x:v>
      </x:c>
      <x:c r="D58" s="39"/>
      <x:c r="E58" s="41" t="n">
        <x:f>E56-E57</x:f>
        <x:v>96.03117187499976</x:v>
      </x:c>
      <x:c r="F58" s="41" t="n">
        <x:f>F56-F57</x:f>
        <x:v>205.22177525390603</x:v>
      </x:c>
      <x:c r="G58" s="41" t="n">
        <x:f>G56-G57</x:f>
        <x:v>318.63663744722123</x:v>
      </x:c>
      <x:c r="H58" s="41" t="n">
        <x:f>H56-H57</x:f>
        <x:v>437.02031402086493</x:v>
      </x:c>
      <x:c r="I58" s="41" t="n">
        <x:f>I56-I57</x:f>
        <x:v>561.1658861949653</x:v>
      </x:c>
      <x:c r="J58" s="1"/>
      <x:c r="K58" s="1"/>
      <x:c r="M58" s="82" t="str">
        <x:v>Forward equity value | rows EBITDA / columns EV/EBITDA</x:v>
      </x:c>
      <x:c r="N58" s="82"/>
      <x:c r="O58" s="82"/>
      <x:c r="P58" s="82"/>
      <x:c r="Q58" s="82"/>
      <x:c r="R58" s="82"/>
      <x:c r="S58" s="63"/>
      <x:c r="T58" s="63"/>
      <x:c r="U58" s="63"/>
      <x:c r="V58" s="63"/>
    </x:row>
    <x:row r="59" ht="18" customHeight="1">
      <x:c r="A59" s="1"/>
      <x:c r="B59" s="1"/>
      <x:c r="C59" s="19" t="str">
        <x:v>WORKING CAPITAL AND ASSET SCHEDULES</x:v>
      </x:c>
      <x:c r="D59" s="20"/>
      <x:c r="E59" s="20"/>
      <x:c r="F59" s="20"/>
      <x:c r="G59" s="20"/>
      <x:c r="H59" s="20"/>
      <x:c r="I59" s="20"/>
      <x:c r="J59" s="1"/>
      <x:c r="K59" s="1"/>
      <x:c r="M59" s="63"/>
      <x:c r="N59" s="78" t="n">
        <x:f>MAX(0,D42+-2)</x:f>
        <x:v>10</x:v>
      </x:c>
      <x:c r="O59" s="78" t="n">
        <x:f>MAX(0,D42+-1)</x:f>
        <x:v>11</x:v>
      </x:c>
      <x:c r="P59" s="78" t="n">
        <x:f>MAX(0,D42+0)</x:f>
        <x:v>12</x:v>
      </x:c>
      <x:c r="Q59" s="78" t="n">
        <x:f>MAX(0,D42+1)</x:f>
        <x:v>13</x:v>
      </x:c>
      <x:c r="R59" s="78" t="n">
        <x:f>MAX(0,D42+2)</x:f>
        <x:v>14</x:v>
      </x:c>
      <x:c r="S59" s="63"/>
      <x:c r="T59" s="63"/>
      <x:c r="U59" s="63"/>
      <x:c r="V59" s="63"/>
    </x:row>
    <x:row r="60" ht="18" customHeight="1">
      <x:c r="A60" s="1"/>
      <x:c r="B60" s="1"/>
      <x:c r="C60" s="1" t="str">
        <x:v>Trade receivables</x:v>
      </x:c>
      <x:c r="D60" s="2"/>
      <x:c r="E60" s="10" t="n">
        <x:f>E47*E25/'Controls'!$E$11</x:f>
        <x:v>247.89554794520544</x:v>
      </x:c>
      <x:c r="F60" s="10" t="n">
        <x:f>F47*F25/'Controls'!$E$11</x:f>
        <x:v>271.8794422089041</x:v>
      </x:c>
      <x:c r="G60" s="10" t="n">
        <x:f>G47*G25/'Controls'!$E$11</x:f>
        <x:v>298.1837782426155</x:v>
      </x:c>
      <x:c r="H60" s="10" t="n">
        <x:f>H47*H25/'Controls'!$E$11</x:f>
        <x:v>327.0330587875886</x:v>
      </x:c>
      <x:c r="I60" s="10" t="n">
        <x:f>I47*I25/'Controls'!$E$11</x:f>
        <x:v>358.6735072252877</x:v>
      </x:c>
      <x:c r="J60" s="1"/>
      <x:c r="K60" s="1"/>
      <x:c r="M60" s="8" t="n">
        <x:f>E52*0.8</x:f>
        <x:v>832.4332499999999</x:v>
      </x:c>
      <x:c r="N60" s="8" t="n">
        <x:f>$M60*N$59-D35+D36</x:f>
        <x:v>6424.332499999999</x:v>
      </x:c>
      <x:c r="O60" s="8" t="n">
        <x:f>$M60*O$59-D35+D36</x:f>
        <x:v>7256.765749999999</x:v>
      </x:c>
      <x:c r="P60" s="8" t="n">
        <x:f>$M60*P$59-D35+D36</x:f>
        <x:v>8089.198999999999</x:v>
      </x:c>
      <x:c r="Q60" s="8" t="n">
        <x:f>$M60*Q$59-D35+D36</x:f>
        <x:v>8921.632249999999</x:v>
      </x:c>
      <x:c r="R60" s="8" t="n">
        <x:f>$M60*R$59-D35+D36</x:f>
        <x:v>9754.065499999999</x:v>
      </x:c>
      <x:c r="S60" s="63"/>
      <x:c r="T60" s="63"/>
      <x:c r="U60" s="63"/>
      <x:c r="V60" s="63"/>
    </x:row>
    <x:row r="61" ht="18" customHeight="1">
      <x:c r="A61" s="1"/>
      <x:c r="B61" s="1"/>
      <x:c r="C61" s="1" t="str">
        <x:v>Inventory</x:v>
      </x:c>
      <x:c r="D61" s="2"/>
      <x:c r="E61" s="10" t="n">
        <x:f>E49*E26/'Controls'!$E$11</x:f>
        <x:v>322.26421232876703</x:v>
      </x:c>
      <x:c r="F61" s="10" t="n">
        <x:f>F49*F26/'Controls'!$E$11</x:f>
        <x:v>353.44327487157534</x:v>
      </x:c>
      <x:c r="G61" s="10" t="n">
        <x:f>G49*G26/'Controls'!$E$11</x:f>
        <x:v>387.6389117154002</x:v>
      </x:c>
      <x:c r="H61" s="10" t="n">
        <x:f>H49*H26/'Controls'!$E$11</x:f>
        <x:v>425.1429764238652</x:v>
      </x:c>
      <x:c r="I61" s="10" t="n">
        <x:f>I49*I26/'Controls'!$E$11</x:f>
        <x:v>466.2755593928741</x:v>
      </x:c>
      <x:c r="J61" s="1"/>
      <x:c r="K61" s="1"/>
      <x:c r="M61" s="8" t="n">
        <x:f>E52*0.9</x:f>
        <x:v>936.4874062499998</x:v>
      </x:c>
      <x:c r="N61" s="8" t="n">
        <x:f>$M61*N$59-D35+D36</x:f>
        <x:v>7464.874062499999</x:v>
      </x:c>
      <x:c r="O61" s="8" t="n">
        <x:f>$M61*O$59-D35+D36</x:f>
        <x:v>8401.361468749998</x:v>
      </x:c>
      <x:c r="P61" s="8" t="n">
        <x:f>$M61*P$59-D35+D36</x:f>
        <x:v>9337.848874999998</x:v>
      </x:c>
      <x:c r="Q61" s="8" t="n">
        <x:f>$M61*Q$59-D35+D36</x:f>
        <x:v>10274.336281249998</x:v>
      </x:c>
      <x:c r="R61" s="8" t="n">
        <x:f>$M61*R$59-D35+D36</x:f>
        <x:v>11210.823687499997</x:v>
      </x:c>
      <x:c r="S61" s="63"/>
      <x:c r="T61" s="63"/>
      <x:c r="U61" s="63"/>
      <x:c r="V61" s="63"/>
    </x:row>
    <x:row r="62" ht="18" customHeight="1">
      <x:c r="A62" s="1"/>
      <x:c r="B62" s="1"/>
      <x:c r="C62" s="1" t="str">
        <x:v>Trade payables</x:v>
      </x:c>
      <x:c r="D62" s="2"/>
      <x:c r="E62" s="10" t="n">
        <x:f>E49*E27/'Controls'!$E$11</x:f>
        <x:v>322.26421232876703</x:v>
      </x:c>
      <x:c r="F62" s="10" t="n">
        <x:f>F49*F27/'Controls'!$E$11</x:f>
        <x:v>353.44327487157534</x:v>
      </x:c>
      <x:c r="G62" s="10" t="n">
        <x:f>G49*G27/'Controls'!$E$11</x:f>
        <x:v>387.6389117154002</x:v>
      </x:c>
      <x:c r="H62" s="10" t="n">
        <x:f>H49*H27/'Controls'!$E$11</x:f>
        <x:v>425.1429764238652</x:v>
      </x:c>
      <x:c r="I62" s="10" t="n">
        <x:f>I49*I27/'Controls'!$E$11</x:f>
        <x:v>466.2755593928741</x:v>
      </x:c>
      <x:c r="J62" s="1"/>
      <x:c r="K62" s="1"/>
      <x:c r="M62" s="8" t="n">
        <x:f>E52*1</x:f>
        <x:v>1040.5415624999998</x:v>
      </x:c>
      <x:c r="N62" s="8" t="n">
        <x:f>$M62*N$59-D35+D36</x:f>
        <x:v>8505.415624999998</x:v>
      </x:c>
      <x:c r="O62" s="8" t="n">
        <x:f>$M62*O$59-D35+D36</x:f>
        <x:v>9545.957187499998</x:v>
      </x:c>
      <x:c r="P62" s="8" t="n">
        <x:f>$M62*P$59-D35+D36</x:f>
        <x:v>10586.498749999999</x:v>
      </x:c>
      <x:c r="Q62" s="8" t="n">
        <x:f>$M62*Q$59-D35+D36</x:f>
        <x:v>11627.040312499998</x:v>
      </x:c>
      <x:c r="R62" s="8" t="n">
        <x:f>$M62*R$59-D35+D36</x:f>
        <x:v>12667.581874999998</x:v>
      </x:c>
      <x:c r="S62" s="63"/>
      <x:c r="T62" s="63"/>
      <x:c r="U62" s="63"/>
      <x:c r="V62" s="63"/>
    </x:row>
    <x:row r="63" ht="18" customHeight="1">
      <x:c r="A63" s="1"/>
      <x:c r="B63" s="1"/>
      <x:c r="C63" s="1" t="str">
        <x:v>Net working capital</x:v>
      </x:c>
      <x:c r="D63" s="2"/>
      <x:c r="E63" s="8" t="n">
        <x:f>E60+E61-E62</x:f>
        <x:v>247.8955479452054</x:v>
      </x:c>
      <x:c r="F63" s="8" t="n">
        <x:f>F60+F61-F62</x:f>
        <x:v>271.87944220890404</x:v>
      </x:c>
      <x:c r="G63" s="8" t="n">
        <x:f>G60+G61-G62</x:f>
        <x:v>298.18377824261546</x:v>
      </x:c>
      <x:c r="H63" s="8" t="n">
        <x:f>H60+H61-H62</x:f>
        <x:v>327.03305878758863</x:v>
      </x:c>
      <x:c r="I63" s="8" t="n">
        <x:f>I60+I61-I62</x:f>
        <x:v>358.6735072252878</x:v>
      </x:c>
      <x:c r="J63" s="1"/>
      <x:c r="K63" s="1"/>
      <x:c r="M63" s="8" t="n">
        <x:f>E52*1.1</x:f>
        <x:v>1144.5957187499998</x:v>
      </x:c>
      <x:c r="N63" s="8" t="n">
        <x:f>$M63*N$59-D35+D36</x:f>
        <x:v>9545.957187499998</x:v>
      </x:c>
      <x:c r="O63" s="8" t="n">
        <x:f>$M63*O$59-D35+D36</x:f>
        <x:v>10690.552906249999</x:v>
      </x:c>
      <x:c r="P63" s="8" t="n">
        <x:f>$M63*P$59-D35+D36</x:f>
        <x:v>11835.148624999998</x:v>
      </x:c>
      <x:c r="Q63" s="8" t="n">
        <x:f>$M63*Q$59-D35+D36</x:f>
        <x:v>12979.744343749997</x:v>
      </x:c>
      <x:c r="R63" s="8" t="n">
        <x:f>$M63*R$59-D35+D36</x:f>
        <x:v>14124.340062499998</x:v>
      </x:c>
      <x:c r="S63" s="63"/>
      <x:c r="T63" s="63"/>
      <x:c r="U63" s="63"/>
      <x:c r="V63" s="63"/>
    </x:row>
    <x:row r="64" ht="18" customHeight="1">
      <x:c r="A64" s="1"/>
      <x:c r="B64" s="1"/>
      <x:c r="C64" s="1" t="str">
        <x:v>Increase in net working capital</x:v>
      </x:c>
      <x:c r="D64" s="2"/>
      <x:c r="E64" s="8" t="n">
        <x:f>E63-$D37</x:f>
        <x:v>21.868150684931436</x:v>
      </x:c>
      <x:c r="F64" s="8" t="n">
        <x:f>F63-E63</x:f>
        <x:v>23.98389426369863</x:v>
      </x:c>
      <x:c r="G64" s="8" t="n">
        <x:f>G63-F63</x:f>
        <x:v>26.304336033711422</x:v>
      </x:c>
      <x:c r="H64" s="8" t="n">
        <x:f>H63-G63</x:f>
        <x:v>28.84928054497317</x:v>
      </x:c>
      <x:c r="I64" s="8" t="n">
        <x:f>I63-H63</x:f>
        <x:v>31.64044843769915</x:v>
      </x:c>
      <x:c r="J64" s="1"/>
      <x:c r="K64" s="1"/>
      <x:c r="M64" s="8" t="n">
        <x:f>E52*1.2</x:f>
        <x:v>1248.6498749999998</x:v>
      </x:c>
      <x:c r="N64" s="8" t="n">
        <x:f>$M64*N$59-D35+D36</x:f>
        <x:v>10586.498749999999</x:v>
      </x:c>
      <x:c r="O64" s="8" t="n">
        <x:f>$M64*O$59-D35+D36</x:f>
        <x:v>11835.148624999998</x:v>
      </x:c>
      <x:c r="P64" s="8" t="n">
        <x:f>$M64*P$59-D35+D36</x:f>
        <x:v>13083.798499999997</x:v>
      </x:c>
      <x:c r="Q64" s="8" t="n">
        <x:f>$M64*Q$59-D35+D36</x:f>
        <x:v>14332.448374999998</x:v>
      </x:c>
      <x:c r="R64" s="8" t="n">
        <x:f>$M64*R$59-D35+D36</x:f>
        <x:v>15581.09825</x:v>
      </x:c>
      <x:c r="S64" s="63"/>
      <x:c r="T64" s="63"/>
      <x:c r="U64" s="63"/>
      <x:c r="V64" s="63"/>
    </x:row>
    <x:row r="65" ht="18" customHeight="1">
      <x:c r="A65" s="1"/>
      <x:c r="B65" s="1"/>
      <x:c r="C65" s="1" t="str">
        <x:v>Capital expenditure</x:v>
      </x:c>
      <x:c r="D65" s="2"/>
      <x:c r="E65" s="8" t="n">
        <x:f>E47*E23</x:f>
        <x:v>361.92749999999995</x:v>
      </x:c>
      <x:c r="F65" s="8" t="n">
        <x:f>F47*F23</x:f>
        <x:v>396.943985625</x:v>
      </x:c>
      <x:c r="G65" s="8" t="n">
        <x:f>G47*G23</x:f>
        <x:v>435.34831623421866</x:v>
      </x:c>
      <x:c r="H65" s="8" t="n">
        <x:f>H47*H23</x:f>
        <x:v>477.46826582987933</x:v>
      </x:c>
      <x:c r="I65" s="8" t="n">
        <x:f>I47*I23</x:f>
        <x:v>523.6633205489201</x:v>
      </x:c>
      <x:c r="J65" s="1"/>
      <x:c r="K65" s="1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</x:row>
    <x:row r="66" ht="18" customHeight="1">
      <x:c r="A66" s="1"/>
      <x:c r="B66" s="1"/>
      <x:c r="C66" s="1" t="str">
        <x:v>Closing net PP&amp;E</x:v>
      </x:c>
      <x:c r="D66" s="2"/>
      <x:c r="E66" s="8" t="n">
        <x:f>E135</x:f>
        <x:v>9661.9275</x:v>
      </x:c>
      <x:c r="F66" s="8" t="n">
        <x:f>F135</x:f>
        <x:v>9382.536560625</x:v>
      </x:c>
      <x:c r="G66" s="8" t="n">
        <x:f>G135</x:f>
        <x:v>9161.107317615468</x:v>
      </x:c>
      <x:c r="H66" s="8" t="n">
        <x:f>H135</x:f>
        <x:v>8997.298071212264</x:v>
      </x:c>
      <x:c r="I66" s="8" t="n">
        <x:f>I135</x:f>
        <x:v>8891.150526776326</x:v>
      </x:c>
      <x:c r="J66" s="1"/>
      <x:c r="K66" s="1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</x:row>
    <x:row r="67" ht="18" customHeight="1">
      <x:c r="A67" s="1"/>
      <x:c r="B67" s="1"/>
      <x:c r="C67" s="1" t="str">
        <x:v>Closing debt</x:v>
      </x:c>
      <x:c r="D67" s="2"/>
      <x:c r="E67" s="8" t="n">
        <x:f>E123</x:f>
        <x:v>2250</x:v>
      </x:c>
      <x:c r="F67" s="8" t="n">
        <x:f>F123</x:f>
        <x:v>2000</x:v>
      </x:c>
      <x:c r="G67" s="8" t="n">
        <x:f>G123</x:f>
        <x:v>1750</x:v>
      </x:c>
      <x:c r="H67" s="8" t="n">
        <x:f>H123</x:f>
        <x:v>1500</x:v>
      </x:c>
      <x:c r="I67" s="8" t="n">
        <x:f>I123</x:f>
        <x:v>1250</x:v>
      </x:c>
      <x:c r="J67" s="1"/>
      <x:c r="K67" s="1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</x:row>
    <x:row r="68" ht="25" customHeight="1">
      <x:c r="A68" s="1"/>
      <x:c r="B68" s="1"/>
      <x:c r="C68" s="19" t="str">
        <x:v>CASH FLOW AND BALANCE SHEET</x:v>
      </x:c>
      <x:c r="D68" s="20"/>
      <x:c r="E68" s="20"/>
      <x:c r="F68" s="20"/>
      <x:c r="G68" s="20"/>
      <x:c r="H68" s="20"/>
      <x:c r="I68" s="20"/>
      <x:c r="J68" s="1"/>
      <x:c r="K68" s="1"/>
      <x:c r="M68" s="82" t="str">
        <x:v>First-year EBITDA | rows revenue / columns EBITDA margin</x:v>
      </x:c>
      <x:c r="N68" s="82"/>
      <x:c r="O68" s="82"/>
      <x:c r="P68" s="82"/>
      <x:c r="Q68" s="82"/>
      <x:c r="R68" s="82"/>
      <x:c r="S68" s="63"/>
      <x:c r="T68" s="63"/>
      <x:c r="U68" s="63"/>
      <x:c r="V68" s="63"/>
    </x:row>
    <x:row r="69" ht="18" customHeight="1">
      <x:c r="A69" s="1"/>
      <x:c r="B69" s="1"/>
      <x:c r="C69" s="1" t="str">
        <x:v>Operating cash flow after interest</x:v>
      </x:c>
      <x:c r="D69" s="2"/>
      <x:c r="E69" s="8" t="n">
        <x:f>E58+E53-E64</x:f>
        <x:v>774.1630211900685</x:v>
      </x:c>
      <x:c r="F69" s="8" t="n">
        <x:f>F58+F53-F64</x:f>
        <x:v>857.5728059902074</x:v>
      </x:c>
      <x:c r="G69" s="8" t="n">
        <x:f>G58+G53-G64</x:f>
        <x:v>949.1098606572598</x:v>
      </x:c>
      <x:c r="H69" s="8" t="n">
        <x:f>H58+H53-H64</x:f>
        <x:v>1049.4485457089745</x:v>
      </x:c>
      <x:c r="I69" s="8" t="n">
        <x:f>I58+I53-I64</x:f>
        <x:v>1159.3363027421246</x:v>
      </x:c>
      <x:c r="J69" s="1"/>
      <x:c r="K69" s="1"/>
      <x:c r="M69" s="63"/>
      <x:c r="N69" s="70" t="n">
        <x:f>E52/E47+-0.04</x:f>
        <x:v>0.19</x:v>
      </x:c>
      <x:c r="O69" s="70" t="n">
        <x:f>E52/E47+-0.02</x:f>
        <x:v>0.21000000000000002</x:v>
      </x:c>
      <x:c r="P69" s="70" t="n">
        <x:f>E52/E47+0</x:f>
        <x:v>0.23</x:v>
      </x:c>
      <x:c r="Q69" s="70" t="n">
        <x:f>E52/E47+0.02</x:f>
        <x:v>0.25</x:v>
      </x:c>
      <x:c r="R69" s="70" t="n">
        <x:f>E52/E47+0.04</x:f>
        <x:v>0.27</x:v>
      </x:c>
      <x:c r="S69" s="63"/>
      <x:c r="T69" s="63"/>
      <x:c r="U69" s="63"/>
      <x:c r="V69" s="63"/>
    </x:row>
    <x:row r="70" ht="18" customHeight="1">
      <x:c r="A70" s="1"/>
      <x:c r="B70" s="1"/>
      <x:c r="C70" s="1" t="str">
        <x:v>Dividends</x:v>
      </x:c>
      <x:c r="D70" s="2"/>
      <x:c r="E70" s="8" t="n">
        <x:f>MAX(0,E58)*E32</x:f>
        <x:v>24.00779296874994</x:v>
      </x:c>
      <x:c r="F70" s="8" t="n">
        <x:f>MAX(0,F58)*F32</x:f>
        <x:v>51.30544381347651</x:v>
      </x:c>
      <x:c r="G70" s="8" t="n">
        <x:f>MAX(0,G58)*G32</x:f>
        <x:v>79.65915936180531</x:v>
      </x:c>
      <x:c r="H70" s="8" t="n">
        <x:f>MAX(0,H58)*H32</x:f>
        <x:v>109.25507850521623</x:v>
      </x:c>
      <x:c r="I70" s="8" t="n">
        <x:f>MAX(0,I58)*I32</x:f>
        <x:v>140.29147154874133</x:v>
      </x:c>
      <x:c r="J70" s="1"/>
      <x:c r="K70" s="1"/>
      <x:c r="M70" s="8" t="n">
        <x:f>E47*0.8</x:f>
        <x:v>3619.2749999999996</x:v>
      </x:c>
      <x:c r="N70" s="8" t="n">
        <x:f>$M70*N$69</x:f>
        <x:v>687.66225</x:v>
      </x:c>
      <x:c r="O70" s="8" t="n">
        <x:f>$M70*O$69</x:f>
        <x:v>760.04775</x:v>
      </x:c>
      <x:c r="P70" s="8" t="n">
        <x:f>$M70*P$69</x:f>
        <x:v>832.4332499999999</x:v>
      </x:c>
      <x:c r="Q70" s="8" t="n">
        <x:f>$M70*Q$69</x:f>
        <x:v>904.8187499999999</x:v>
      </x:c>
      <x:c r="R70" s="8" t="n">
        <x:f>$M70*R$69</x:f>
        <x:v>977.20425</x:v>
      </x:c>
      <x:c r="S70" s="63"/>
      <x:c r="T70" s="63"/>
      <x:c r="U70" s="63"/>
      <x:c r="V70" s="63"/>
    </x:row>
    <x:row r="71" ht="18" customHeight="1">
      <x:c r="A71" s="1"/>
      <x:c r="B71" s="1"/>
      <x:c r="C71" s="1" t="str">
        <x:v>Change in cash</x:v>
      </x:c>
      <x:c r="D71" s="2"/>
      <x:c r="E71" s="8" t="n">
        <x:f>E69-E65+E30-E31-E70</x:f>
        <x:v>138.22772822131867</x:v>
      </x:c>
      <x:c r="F71" s="8" t="n">
        <x:f>F69-F65+F30-F31-F70</x:f>
        <x:v>159.3233765517309</x:v>
      </x:c>
      <x:c r="G71" s="8" t="n">
        <x:f>G69-G65+G30-G31-G70</x:f>
        <x:v>184.10238506123588</x:v>
      </x:c>
      <x:c r="H71" s="8" t="n">
        <x:f>H69-H65+H30-H31-H70</x:f>
        <x:v>212.72520137387895</x:v>
      </x:c>
      <x:c r="I71" s="8" t="n">
        <x:f>I69-I65+I30-I31-I70</x:f>
        <x:v>245.38151064446325</x:v>
      </x:c>
      <x:c r="J71" s="1"/>
      <x:c r="K71" s="1"/>
      <x:c r="M71" s="8" t="n">
        <x:f>E47*0.9</x:f>
        <x:v>4071.6843749999994</x:v>
      </x:c>
      <x:c r="N71" s="8" t="n">
        <x:f>$M71*N$69</x:f>
        <x:v>773.6200312499999</x:v>
      </x:c>
      <x:c r="O71" s="8" t="n">
        <x:f>$M71*O$69</x:f>
        <x:v>855.0537187499999</x:v>
      </x:c>
      <x:c r="P71" s="8" t="n">
        <x:f>$M71*P$69</x:f>
        <x:v>936.4874062499999</x:v>
      </x:c>
      <x:c r="Q71" s="8" t="n">
        <x:f>$M71*Q$69</x:f>
        <x:v>1017.9210937499998</x:v>
      </x:c>
      <x:c r="R71" s="8" t="n">
        <x:f>$M71*R$69</x:f>
        <x:v>1099.3547812499999</x:v>
      </x:c>
      <x:c r="S71" s="63"/>
      <x:c r="T71" s="63"/>
      <x:c r="U71" s="63"/>
      <x:c r="V71" s="63"/>
    </x:row>
    <x:row r="72" ht="18" customHeight="1">
      <x:c r="A72" s="1"/>
      <x:c r="B72" s="1"/>
      <x:c r="C72" s="1" t="str">
        <x:v>Closing cash / (funding gap)</x:v>
      </x:c>
      <x:c r="D72" s="2"/>
      <x:c r="E72" s="8" t="n">
        <x:f>$D36+E71</x:f>
        <x:v>738.2277282213187</x:v>
      </x:c>
      <x:c r="F72" s="8" t="n">
        <x:f>E72+F71</x:f>
        <x:v>897.5511047730496</x:v>
      </x:c>
      <x:c r="G72" s="8" t="n">
        <x:f>F72+G71</x:f>
        <x:v>1081.6534898342854</x:v>
      </x:c>
      <x:c r="H72" s="8" t="n">
        <x:f>G72+H71</x:f>
        <x:v>1294.3786912081644</x:v>
      </x:c>
      <x:c r="I72" s="8" t="n">
        <x:f>H72+I71</x:f>
        <x:v>1539.7602018526277</x:v>
      </x:c>
      <x:c r="J72" s="1"/>
      <x:c r="K72" s="1"/>
      <x:c r="M72" s="8" t="n">
        <x:f>E47*1</x:f>
        <x:v>4524.093749999999</x:v>
      </x:c>
      <x:c r="N72" s="8" t="n">
        <x:f>$M72*N$69</x:f>
        <x:v>859.5778124999998</x:v>
      </x:c>
      <x:c r="O72" s="8" t="n">
        <x:f>$M72*O$69</x:f>
        <x:v>950.0596874999999</x:v>
      </x:c>
      <x:c r="P72" s="8" t="n">
        <x:f>$M72*P$69</x:f>
        <x:v>1040.5415624999998</x:v>
      </x:c>
      <x:c r="Q72" s="8" t="n">
        <x:f>$M72*Q$69</x:f>
        <x:v>1131.0234374999998</x:v>
      </x:c>
      <x:c r="R72" s="8" t="n">
        <x:f>$M72*R$69</x:f>
        <x:v>1221.5053125</x:v>
      </x:c>
      <x:c r="S72" s="63"/>
      <x:c r="T72" s="63"/>
      <x:c r="U72" s="63"/>
      <x:c r="V72" s="63"/>
    </x:row>
    <x:row r="73" ht="18" customHeight="1">
      <x:c r="A73" s="1"/>
      <x:c r="B73" s="1"/>
      <x:c r="C73" s="38" t="str">
        <x:v>Closing book equity</x:v>
      </x:c>
      <x:c r="D73" s="39"/>
      <x:c r="E73" s="41" t="n">
        <x:f>$D34+$D37+$D36-$D35+E58-E70</x:f>
        <x:v>8398.050776166523</x:v>
      </x:c>
      <x:c r="F73" s="41" t="n">
        <x:f>E73+F58-F70</x:f>
        <x:v>8551.967107606952</x:v>
      </x:c>
      <x:c r="G73" s="41" t="n">
        <x:f>F73+G58-G70</x:f>
        <x:v>8790.944585692368</x:v>
      </x:c>
      <x:c r="H73" s="41" t="n">
        <x:f>G73+H58-H70</x:f>
        <x:v>9118.709821208018</x:v>
      </x:c>
      <x:c r="I73" s="41" t="n">
        <x:f>H73+I58-I70</x:f>
        <x:v>9539.584235854243</x:v>
      </x:c>
      <x:c r="J73" s="1"/>
      <x:c r="K73" s="1"/>
      <x:c r="M73" s="8" t="n">
        <x:f>E47*1.1</x:f>
        <x:v>4976.503124999999</x:v>
      </x:c>
      <x:c r="N73" s="8" t="n">
        <x:f>$M73*N$69</x:f>
        <x:v>945.5355937499999</x:v>
      </x:c>
      <x:c r="O73" s="8" t="n">
        <x:f>$M73*O$69</x:f>
        <x:v>1045.0656562499998</x:v>
      </x:c>
      <x:c r="P73" s="8" t="n">
        <x:f>$M73*P$69</x:f>
        <x:v>1144.5957187499998</x:v>
      </x:c>
      <x:c r="Q73" s="8" t="n">
        <x:f>$M73*Q$69</x:f>
        <x:v>1244.1257812499998</x:v>
      </x:c>
      <x:c r="R73" s="8" t="n">
        <x:f>$M73*R$69</x:f>
        <x:v>1343.6558437499998</x:v>
      </x:c>
      <x:c r="S73" s="63"/>
      <x:c r="T73" s="63"/>
      <x:c r="U73" s="63"/>
      <x:c r="V73" s="63"/>
    </x:row>
    <x:row r="74" ht="18" customHeight="1">
      <x:c r="A74" s="1"/>
      <x:c r="B74" s="1"/>
      <x:c r="C74" s="1" t="str">
        <x:v>Total assets</x:v>
      </x:c>
      <x:c r="D74" s="2"/>
      <x:c r="E74" s="8" t="n">
        <x:f>E72+E60+E61+E66</x:f>
        <x:v>10970.31498849529</x:v>
      </x:c>
      <x:c r="F74" s="8" t="n">
        <x:f>F72+F60+F61+F66</x:f>
        <x:v>10905.410382478529</x:v>
      </x:c>
      <x:c r="G74" s="8" t="n">
        <x:f>G72+G60+G61+G66</x:f>
        <x:v>10928.58349740777</x:v>
      </x:c>
      <x:c r="H74" s="8" t="n">
        <x:f>H72+H60+H61+H66</x:f>
        <x:v>11043.852797631882</x:v>
      </x:c>
      <x:c r="I74" s="8" t="n">
        <x:f>I72+I60+I61+I66</x:f>
        <x:v>11255.859795247115</x:v>
      </x:c>
      <x:c r="J74" s="1"/>
      <x:c r="K74" s="1"/>
      <x:c r="M74" s="8" t="n">
        <x:f>E47*1.2</x:f>
        <x:v>5428.9124999999985</x:v>
      </x:c>
      <x:c r="N74" s="8" t="n">
        <x:f>$M74*N$69</x:f>
        <x:v>1031.4933749999998</x:v>
      </x:c>
      <x:c r="O74" s="8" t="n">
        <x:f>$M74*O$69</x:f>
        <x:v>1140.0716249999998</x:v>
      </x:c>
      <x:c r="P74" s="8" t="n">
        <x:f>$M74*P$69</x:f>
        <x:v>1248.6498749999996</x:v>
      </x:c>
      <x:c r="Q74" s="8" t="n">
        <x:f>$M74*Q$69</x:f>
        <x:v>1357.2281249999996</x:v>
      </x:c>
      <x:c r="R74" s="8" t="n">
        <x:f>$M74*R$69</x:f>
        <x:v>1465.8063749999997</x:v>
      </x:c>
      <x:c r="S74" s="63"/>
      <x:c r="T74" s="63"/>
      <x:c r="U74" s="63"/>
      <x:c r="V74" s="63"/>
    </x:row>
    <x:row r="75" ht="18" customHeight="1">
      <x:c r="A75" s="1"/>
      <x:c r="B75" s="1"/>
      <x:c r="C75" s="1" t="str">
        <x:v>Liabilities and equity</x:v>
      </x:c>
      <x:c r="D75" s="2"/>
      <x:c r="E75" s="8" t="n">
        <x:f>E62+E67+E73</x:f>
        <x:v>10970.31498849529</x:v>
      </x:c>
      <x:c r="F75" s="8" t="n">
        <x:f>F62+F67+F73</x:f>
        <x:v>10905.410382478527</x:v>
      </x:c>
      <x:c r="G75" s="8" t="n">
        <x:f>G62+G67+G73</x:f>
        <x:v>10928.58349740777</x:v>
      </x:c>
      <x:c r="H75" s="8" t="n">
        <x:f>H62+H67+H73</x:f>
        <x:v>11043.852797631884</x:v>
      </x:c>
      <x:c r="I75" s="8" t="n">
        <x:f>I62+I67+I73</x:f>
        <x:v>11255.859795247117</x:v>
      </x:c>
      <x:c r="J75" s="1"/>
      <x:c r="K75" s="1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</x:row>
    <x:row r="76" ht="18" customHeight="1">
      <x:c r="A76" s="1"/>
      <x:c r="B76" s="1"/>
      <x:c r="C76" s="1" t="str">
        <x:v>Unlevered operating profit after tax</x:v>
      </x:c>
      <x:c r="D76" s="2"/>
      <x:c r="E76" s="8" t="n">
        <x:f>E54-MAX(0,E54)*E28</x:f>
        <x:v>255.40617187499979</x:v>
      </x:c>
      <x:c r="F76" s="8" t="n">
        <x:f>F54-MAX(0,F54)*F28</x:f>
        <x:v>348.659275253906</x:v>
      </x:c>
      <x:c r="G76" s="8" t="n">
        <x:f>G54-MAX(0,G54)*G28</x:f>
        <x:v>446.13663744722123</x:v>
      </x:c>
      <x:c r="H76" s="8" t="n">
        <x:f>H54-MAX(0,H54)*H28</x:f>
        <x:v>548.5828140208649</x:v>
      </x:c>
      <x:c r="I76" s="8" t="n">
        <x:f>I54-MAX(0,I54)*I28</x:f>
        <x:v>656.7908861949653</x:v>
      </x:c>
      <x:c r="J76" s="1"/>
      <x:c r="K76" s="1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</x:row>
    <x:row r="77" ht="18" customHeight="1">
      <x:c r="A77" s="1"/>
      <x:c r="B77" s="1"/>
      <x:c r="C77" s="38" t="str">
        <x:v>Free cash flow to firm</x:v>
      </x:c>
      <x:c r="D77" s="39"/>
      <x:c r="E77" s="41" t="n">
        <x:f>E76+E53-E65-E64</x:f>
        <x:v>571.6105211900685</x:v>
      </x:c>
      <x:c r="F77" s="41" t="n">
        <x:f>F76+F53-F65-F64</x:f>
        <x:v>604.0663203652074</x:v>
      </x:c>
      <x:c r="G77" s="41" t="n">
        <x:f>G76+G53-G65-G64</x:f>
        <x:v>641.2615444230412</x:v>
      </x:c>
      <x:c r="H77" s="41" t="n">
        <x:f>H76+H53-H65-H64</x:f>
        <x:v>683.5427798790952</x:v>
      </x:c>
      <x:c r="I77" s="41" t="n">
        <x:f>I76+I53-I65-I64</x:f>
        <x:v>731.2979821932047</x:v>
      </x:c>
      <x:c r="J77" s="1"/>
      <x:c r="K77" s="1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</x:row>
    <x:row r="78" ht="18" customHeight="1">
      <x:c r="A78" s="1"/>
      <x:c r="B78" s="1"/>
      <x:c r="C78" s="19" t="str">
        <x:v>SECTOR KPIs AND RETURN METRICS</x:v>
      </x:c>
      <x:c r="D78" s="20"/>
      <x:c r="E78" s="20"/>
      <x:c r="F78" s="20"/>
      <x:c r="G78" s="20"/>
      <x:c r="H78" s="20"/>
      <x:c r="I78" s="20"/>
      <x:c r="J78" s="1"/>
      <x:c r="K78" s="1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</x:row>
    <x:row r="79" ht="18" customHeight="1">
      <x:c r="A79" s="1"/>
      <x:c r="B79" s="1"/>
      <x:c r="C79" s="23" t="str">
        <x:v>Gross margin</x:v>
      </x:c>
      <x:c r="D79" s="24"/>
      <x:c r="E79" s="35" t="n">
        <x:f>E50/E47</x:f>
        <x:v>0.35000000000000003</x:v>
      </x:c>
      <x:c r="F79" s="35" t="n">
        <x:f>F50/F47</x:f>
        <x:v>0.3499999999999999</x:v>
      </x:c>
      <x:c r="G79" s="35" t="n">
        <x:f>G50/G47</x:f>
        <x:v>0.35</x:v>
      </x:c>
      <x:c r="H79" s="35" t="n">
        <x:f>H50/H47</x:f>
        <x:v>0.3499999999999999</x:v>
      </x:c>
      <x:c r="I79" s="35" t="n">
        <x:f>I50/I47</x:f>
        <x:v>0.35000000000000003</x:v>
      </x:c>
      <x:c r="J79" s="1"/>
      <x:c r="K79" s="1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</x:row>
    <x:row r="80" ht="18" customHeight="1">
      <x:c r="A80" s="1"/>
      <x:c r="B80" s="1"/>
      <x:c r="C80" s="23" t="str">
        <x:v>EBITDA margin</x:v>
      </x:c>
      <x:c r="D80" s="24"/>
      <x:c r="E80" s="35" t="n">
        <x:f>E52/E47</x:f>
        <x:v>0.23</x:v>
      </x:c>
      <x:c r="F80" s="35" t="n">
        <x:f>F52/F47</x:f>
        <x:v>0.22999999999999995</x:v>
      </x:c>
      <x:c r="G80" s="35" t="n">
        <x:f>G52/G47</x:f>
        <x:v>0.22999999999999993</x:v>
      </x:c>
      <x:c r="H80" s="35" t="n">
        <x:f>H52/H47</x:f>
        <x:v>0.22999999999999995</x:v>
      </x:c>
      <x:c r="I80" s="35" t="n">
        <x:f>I52/I47</x:f>
        <x:v>0.23000000000000004</x:v>
      </x:c>
      <x:c r="J80" s="1"/>
      <x:c r="K80" s="1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</x:row>
    <x:row r="81" ht="18" customHeight="1">
      <x:c r="A81" s="1"/>
      <x:c r="B81" s="1"/>
      <x:c r="C81" s="23" t="str">
        <x:v>Net margin</x:v>
      </x:c>
      <x:c r="D81" s="24"/>
      <x:c r="E81" s="35" t="n">
        <x:f>E58/E47</x:f>
        <x:v>0.021226609611040836</x:v>
      </x:c>
      <x:c r="F81" s="35" t="n">
        <x:f>F58/F47</x:f>
        <x:v>0.04136034960817523</x:v>
      </x:c>
      <x:c r="G81" s="35" t="n">
        <x:f>G58/G47</x:f>
        <x:v>0.058552956437905465</x:v>
      </x:c>
      <x:c r="H81" s="35" t="n">
        <x:f>H58/H47</x:f>
        <x:v>0.07322292940433014</x:v>
      </x:c>
      <x:c r="I81" s="35" t="n">
        <x:f>I58/I47</x:f>
        <x:v>0.0857292636966414</x:v>
      </x:c>
      <x:c r="J81" s="1"/>
      <x:c r="K81" s="1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</x:row>
    <x:row r="82" ht="18" customHeight="1">
      <x:c r="A82" s="1"/>
      <x:c r="B82" s="1"/>
      <x:c r="C82" s="23" t="str">
        <x:v>Operating cash conversion</x:v>
      </x:c>
      <x:c r="D82" s="24"/>
      <x:c r="E82" s="35" t="n">
        <x:f>IF(E52=0,"n.a.",E69/E52)</x:f>
        <x:v>0.7440000948449079</x:v>
      </x:c>
      <x:c r="F82" s="35" t="n">
        <x:f>IF(F52=0,"n.a.",F69/F52)</x:f>
        <x:v>0.7514566391986968</x:v>
      </x:c>
      <x:c r="G82" s="35" t="n">
        <x:f>IF(G52=0,"n.a.",G69/G52)</x:f>
        <x:v>0.758301242048806</x:v>
      </x:c>
      <x:c r="H82" s="35" t="n">
        <x:f>IF(H52=0,"n.a.",H69/H52)</x:f>
        <x:v>0.7645022868309803</x:v>
      </x:c>
      <x:c r="I82" s="35" t="n">
        <x:f>IF(I52=0,"n.a.",I69/I52)</x:f>
        <x:v>0.7700508968753782</x:v>
      </x:c>
      <x:c r="J82" s="1"/>
      <x:c r="K82" s="1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</x:row>
    <x:row r="83" ht="18" customHeight="1">
      <x:c r="A83" s="1"/>
      <x:c r="B83" s="1"/>
      <x:c r="C83" s="1" t="str">
        <x:v>Cash conversion cycle (days)</x:v>
      </x:c>
      <x:c r="D83" s="2"/>
      <x:c r="E83" s="8" t="n">
        <x:f>E25+E26-E27</x:f>
        <x:v>20</x:v>
      </x:c>
      <x:c r="F83" s="8" t="n">
        <x:f>F25+F26-F27</x:f>
        <x:v>20</x:v>
      </x:c>
      <x:c r="G83" s="8" t="n">
        <x:f>G25+G26-G27</x:f>
        <x:v>20</x:v>
      </x:c>
      <x:c r="H83" s="8" t="n">
        <x:f>H25+H26-H27</x:f>
        <x:v>20</x:v>
      </x:c>
      <x:c r="I83" s="8" t="n">
        <x:f>I25+I26-I27</x:f>
        <x:v>20</x:v>
      </x:c>
      <x:c r="J83" s="1"/>
      <x:c r="K83" s="1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</x:row>
    <x:row r="84" ht="18" customHeight="1">
      <x:c r="A84" s="1"/>
      <x:c r="B84" s="1"/>
      <x:c r="C84" s="23" t="str">
        <x:v>Net debt / EBITDA</x:v>
      </x:c>
      <x:c r="D84" s="32"/>
      <x:c r="E84" s="61" t="n">
        <x:f>IF(E52&lt;=0,"n.a.",(E67-E72)/E52)</x:f>
        <x:v>1.452870626471186</x:v>
      </x:c>
      <x:c r="F84" s="61" t="n">
        <x:f>IF(F52&lt;=0,"n.a.",(F67-F72)/F52)</x:f>
        <x:v>0.9660317303776773</x:v>
      </x:c>
      <x:c r="G84" s="61" t="n">
        <x:f>IF(G52&lt;=0,"n.a.",(G67-G72)/G52)</x:f>
        <x:v>0.5339824289958184</x:v>
      </x:c>
      <x:c r="H84" s="61" t="n">
        <x:f>IF(H52&lt;=0,"n.a.",(H67-H72)/H52)</x:f>
        <x:v>0.1497910130375563</x:v>
      </x:c>
      <x:c r="I84" s="61" t="n">
        <x:f>IF(I52&lt;=0,"n.a.",(I67-I72)/I52)</x:f>
        <x:v>-0.19246365596216322</x:v>
      </x:c>
      <x:c r="J84" s="1"/>
      <x:c r="K84" s="1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</x:row>
    <x:row r="85" ht="18" customHeight="1">
      <x:c r="A85" s="1"/>
      <x:c r="B85" s="1"/>
      <x:c r="C85" s="23" t="str">
        <x:v>EBIT / interest</x:v>
      </x:c>
      <x:c r="D85" s="32"/>
      <x:c r="E85" s="61" t="n">
        <x:f>IF(E55=0,"n.a.",E54/E55)</x:f>
        <x:v>1.6025485294117632</x:v>
      </x:c>
      <x:c r="F85" s="61" t="n">
        <x:f>IF(F55=0,"n.a.",F54/F55)</x:f>
        <x:v>2.4307400453431356</x:v>
      </x:c>
      <x:c r="G85" s="61" t="n">
        <x:f>IF(G55=0,"n.a.",G54/G55)</x:f>
        <x:v>3.49911088193899</x:v>
      </x:c>
      <x:c r="H85" s="61" t="n">
        <x:f>IF(H55=0,"n.a.",H54/H55)</x:f>
        <x:v>4.9172689211954275</x:v>
      </x:c>
      <x:c r="I85" s="61" t="n">
        <x:f>IF(I55=0,"n.a.",I54/I55)</x:f>
        <x:v>6.868401424261074</x:v>
      </x:c>
      <x:c r="J85" s="1"/>
      <x:c r="K85" s="1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</x:row>
    <x:row r="86" ht="18" customHeight="1">
      <x:c r="A86" s="1"/>
      <x:c r="B86" s="1"/>
      <x:c r="C86" s="23" t="str">
        <x:v>ROIC on average invested capital</x:v>
      </x:c>
      <x:c r="D86" s="24"/>
      <x:c r="E86" s="35" t="n">
        <x:f>E76/(($D34+$D37+E66+E63)/2)</x:f>
        <x:v>0.025368302428548702</x:v>
      </x:c>
      <x:c r="F86" s="35" t="n">
        <x:f>F76/((E66+E63+F66+F63)/2)</x:f>
        <x:v>0.03564250818536398</x:v>
      </x:c>
      <x:c r="G86" s="35" t="n">
        <x:f>G76/((F66+F63+G66+G63)/2)</x:f>
        <x:v>0.04668237669894521</x:v>
      </x:c>
      <x:c r="H86" s="35" t="n">
        <x:f>H76/((G66+G63+H66+H63)/2)</x:f>
        <x:v>0.058410758843485906</x:v>
      </x:c>
      <x:c r="I86" s="35" t="n">
        <x:f>I76/((H66+H63+I66+I63)/2)</x:f>
        <x:v>0.07072094320261632</x:v>
      </x:c>
      <x:c r="J86" s="1"/>
      <x:c r="K86" s="1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</x:row>
    <x:row r="87" ht="18" customHeight="1">
      <x:c r="A87" s="1"/>
      <x:c r="B87" s="1"/>
      <x:c r="C87" s="1" t="str">
        <x:v>EBITDA per tonne (INR)</x:v>
      </x:c>
      <x:c r="D87" s="2"/>
      <x:c r="E87" s="10" t="n">
        <x:f>E52*'Controls'!$E$9/(E46*'Controls'!$E$14)</x:f>
        <x:v>1296.6249999999998</x:v>
      </x:c>
      <x:c r="F87" s="10" t="n">
        <x:f>F52*'Controls'!$E$9/(F46*'Controls'!$E$14)</x:f>
        <x:v>1329.0406249999992</x:v>
      </x:c>
      <x:c r="G87" s="10" t="n">
        <x:f>G52*'Controls'!$E$9/(G46*'Controls'!$E$14)</x:f>
        <x:v>1362.266640624999</x:v>
      </x:c>
      <x:c r="H87" s="10" t="n">
        <x:f>H52*'Controls'!$E$9/(H46*'Controls'!$E$14)</x:f>
        <x:v>1396.3233066406237</x:v>
      </x:c>
      <x:c r="I87" s="10" t="n">
        <x:f>I52*'Controls'!$E$9/(I46*'Controls'!$E$14)</x:f>
        <x:v>1431.2313893066398</x:v>
      </x:c>
      <x:c r="J87" s="1"/>
      <x:c r="K87" s="1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</x:row>
    <x:row r="88" ht="18" customHeight="1">
      <x:c r="A88" s="1"/>
      <x:c r="B88" s="1"/>
      <x:c r="C88" s="1" t="str">
        <x:v>Direct cost per tonne (INR)</x:v>
      </x:c>
      <x:c r="D88" s="2"/>
      <x:c r="E88" s="10" t="n">
        <x:f>E49*'Controls'!$E$9/(E46*'Controls'!$E$14)</x:f>
        <x:v>3664.374999999999</x:v>
      </x:c>
      <x:c r="F88" s="10" t="n">
        <x:f>F49*'Controls'!$E$9/(F46*'Controls'!$E$14)</x:f>
        <x:v>3755.9843749999995</x:v>
      </x:c>
      <x:c r="G88" s="10" t="n">
        <x:f>G49*'Controls'!$E$9/(G46*'Controls'!$E$14)</x:f>
        <x:v>3849.8839843749975</x:v>
      </x:c>
      <x:c r="H88" s="10" t="n">
        <x:f>H49*'Controls'!$E$9/(H46*'Controls'!$E$14)</x:f>
        <x:v>3946.131083984373</x:v>
      </x:c>
      <x:c r="I88" s="10" t="n">
        <x:f>I49*'Controls'!$E$9/(I46*'Controls'!$E$14)</x:f>
        <x:v>4044.784361083981</x:v>
      </x:c>
      <x:c r="J88" s="1"/>
      <x:c r="K88" s="1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</x:row>
    <x:row r="89" ht="18" customHeight="1">
      <x:c r="A89" s="1"/>
      <x:c r="B89" s="1"/>
      <x:c r="C89" s="19" t="str">
        <x:v>VALUATION AT 31 MARCH 2026</x:v>
      </x:c>
      <x:c r="D89" s="20"/>
      <x:c r="E89" s="20"/>
      <x:c r="F89" s="20"/>
      <x:c r="G89" s="20"/>
      <x:c r="H89" s="20"/>
      <x:c r="I89" s="20"/>
      <x:c r="J89" s="1"/>
      <x:c r="K89" s="1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</x:row>
    <x:row r="90" ht="18" customHeight="1">
      <x:c r="A90" s="1"/>
      <x:c r="B90" s="1"/>
      <x:c r="C90" s="1" t="str">
        <x:v>PV of annual FCFF</x:v>
      </x:c>
      <x:c r="D90" s="2"/>
      <x:c r="E90" s="8" t="n">
        <x:f>E77/(1+$D39)^1</x:f>
        <x:v>510.3665367768469</x:v>
      </x:c>
      <x:c r="F90" s="8" t="n">
        <x:f>F77/(1+$D39)^2</x:f>
        <x:v>481.5579722299165</x:v>
      </x:c>
      <x:c r="G90" s="8" t="n">
        <x:f>G77/(1+$D39)^3</x:f>
        <x:v>456.43730100264287</x:v>
      </x:c>
      <x:c r="H90" s="8" t="n">
        <x:f>H77/(1+$D39)^4</x:f>
        <x:v>434.403793976259</x:v>
      </x:c>
      <x:c r="I90" s="8" t="n">
        <x:f>I77/(1+$D39)^5</x:f>
        <x:v>414.95811462924627</x:v>
      </x:c>
      <x:c r="J90" s="1"/>
      <x:c r="K90" s="1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</x:row>
    <x:row r="91" ht="18" customHeight="1">
      <x:c r="A91" s="1"/>
      <x:c r="B91" s="1"/>
      <x:c r="C91" s="1" t="str">
        <x:v>Normalized terminal FCFF</x:v>
      </x:c>
      <x:c r="D91" s="2"/>
      <x:c r="E91" s="8" t="n">
        <x:f>I76*(1+$D40)*(1-$D40/$D41)</x:f>
        <x:v>500.91251587136026</x:v>
      </x:c>
      <x:c r="F91" s="2"/>
      <x:c r="G91" s="2"/>
      <x:c r="H91" s="2"/>
      <x:c r="I91" s="2"/>
      <x:c r="J91" s="1"/>
      <x:c r="K91" s="1" t="str">
        <x:v>Terminal reinvestment = terminal NOPAT × growth / incremental ROIC.</x:v>
      </x:c>
    </x:row>
    <x:row r="92" ht="18" customHeight="1">
      <x:c r="A92" s="1"/>
      <x:c r="B92" s="1"/>
      <x:c r="C92" s="1" t="str">
        <x:v>Terminal enterprise value</x:v>
      </x:c>
      <x:c r="D92" s="2"/>
      <x:c r="E92" s="8" t="n">
        <x:f>IF($D39&lt;=$D40,NA(),E91/($D39-$D40))</x:f>
        <x:v>6261.406448392004</x:v>
      </x:c>
      <x:c r="F92" s="2"/>
      <x:c r="G92" s="2"/>
      <x:c r="H92" s="2"/>
      <x:c r="I92" s="2"/>
      <x:c r="J92" s="1"/>
      <x:c r="K92" s="1"/>
    </x:row>
    <x:row r="93" ht="18" customHeight="1">
      <x:c r="A93" s="1"/>
      <x:c r="B93" s="1"/>
      <x:c r="C93" s="1" t="str">
        <x:v>DCF enterprise value</x:v>
      </x:c>
      <x:c r="D93" s="2"/>
      <x:c r="E93" s="8" t="n">
        <x:f>SUM(E90:I90)+E92/(1+$D39)^5</x:f>
        <x:v>5850.613892002148</x:v>
      </x:c>
      <x:c r="F93" s="2"/>
      <x:c r="G93" s="2"/>
      <x:c r="H93" s="2"/>
      <x:c r="I93" s="2"/>
      <x:c r="J93" s="1"/>
      <x:c r="K93" s="1"/>
    </x:row>
    <x:row r="94" ht="18" customHeight="1">
      <x:c r="A94" s="1"/>
      <x:c r="B94" s="1"/>
      <x:c r="C94" s="38" t="str">
        <x:v>DCF equity value</x:v>
      </x:c>
      <x:c r="D94" s="39"/>
      <x:c r="E94" s="41" t="n">
        <x:f>E93-$D35+$D36</x:f>
        <x:v>3950.6138920021476</x:v>
      </x:c>
      <x:c r="F94" s="39"/>
      <x:c r="G94" s="39"/>
      <x:c r="H94" s="39"/>
      <x:c r="I94" s="39"/>
      <x:c r="J94" s="1"/>
      <x:c r="K94" s="1"/>
    </x:row>
    <x:row r="95" ht="18" customHeight="1">
      <x:c r="A95" s="1"/>
      <x:c r="B95" s="1"/>
      <x:c r="C95" s="1" t="str">
        <x:v>DCF value per share (INR)</x:v>
      </x:c>
      <x:c r="D95" s="33"/>
      <x:c r="E95" s="34" t="n">
        <x:f>E94/$D38</x:f>
        <x:v>39.50613892002148</x:v>
      </x:c>
      <x:c r="F95" s="33"/>
      <x:c r="G95" s="33"/>
      <x:c r="H95" s="33"/>
      <x:c r="I95" s="33"/>
      <x:c r="J95" s="1"/>
      <x:c r="K95" s="1"/>
    </x:row>
    <x:row r="96" ht="18" customHeight="1">
      <x:c r="A96" s="1"/>
      <x:c r="B96" s="1"/>
      <x:c r="C96" s="1" t="str">
        <x:v>Forward multiple enterprise value</x:v>
      </x:c>
      <x:c r="D96" s="2"/>
      <x:c r="E96" s="8" t="n">
        <x:f>E52*$D42</x:f>
        <x:v>12486.498749999999</x:v>
      </x:c>
      <x:c r="F96" s="2"/>
      <x:c r="G96" s="2"/>
      <x:c r="H96" s="2"/>
      <x:c r="I96" s="2"/>
      <x:c r="J96" s="1"/>
      <x:c r="K96" s="1"/>
    </x:row>
    <x:row r="97" ht="18" customHeight="1">
      <x:c r="A97" s="1"/>
      <x:c r="B97" s="1"/>
      <x:c r="C97" s="1" t="str">
        <x:v>Forward multiple equity value</x:v>
      </x:c>
      <x:c r="D97" s="2"/>
      <x:c r="E97" s="8" t="n">
        <x:f>E96-$D35+$D36</x:f>
        <x:v>10586.498749999999</x:v>
      </x:c>
      <x:c r="F97" s="2"/>
      <x:c r="G97" s="2"/>
      <x:c r="H97" s="2"/>
      <x:c r="I97" s="2"/>
      <x:c r="J97" s="1"/>
      <x:c r="K97" s="1"/>
    </x:row>
    <x:row r="98" ht="18" customHeight="1">
      <x:c r="A98" s="1"/>
      <x:c r="B98" s="1"/>
      <x:c r="C98" s="23" t="str">
        <x:v>Terminal value / DCF enterprise value</x:v>
      </x:c>
      <x:c r="D98" s="24"/>
      <x:c r="E98" s="35" t="n">
        <x:f>(E92/(1+$D39)^5)/E93</x:f>
        <x:v>0.6072679276005677</x:v>
      </x:c>
      <x:c r="F98" s="24"/>
      <x:c r="G98" s="24"/>
      <x:c r="H98" s="24"/>
      <x:c r="I98" s="24"/>
      <x:c r="J98" s="1"/>
      <x:c r="K98" s="1"/>
    </x:row>
    <x:row r="99" ht="18" customHeight="1">
      <x:c r="A99" s="1"/>
      <x:c r="B99" s="1"/>
      <x:c r="C99" s="19" t="str">
        <x:v>MODEL CHECKS</x:v>
      </x:c>
      <x:c r="D99" s="20"/>
      <x:c r="E99" s="20"/>
      <x:c r="F99" s="20"/>
      <x:c r="G99" s="20"/>
      <x:c r="H99" s="20"/>
      <x:c r="I99" s="20"/>
      <x:c r="J99" s="1"/>
      <x:c r="K99" s="1"/>
    </x:row>
    <x:row r="100" ht="18" customHeight="1">
      <x:c r="A100" s="1"/>
      <x:c r="B100" s="1"/>
      <x:c r="C100" s="1" t="str">
        <x:v>Assets less liabilities and equity</x:v>
      </x:c>
      <x:c r="D100" s="33"/>
      <x:c r="E100" s="34" t="n">
        <x:f>E74-E75</x:f>
        <x:v>0</x:v>
      </x:c>
      <x:c r="F100" s="34" t="n">
        <x:f>F74-F75</x:f>
        <x:v>1.8189894035458565e-12</x:v>
      </x:c>
      <x:c r="G100" s="34" t="n">
        <x:f>G74-G75</x:f>
        <x:v>0</x:v>
      </x:c>
      <x:c r="H100" s="34" t="n">
        <x:f>H74-H75</x:f>
        <x:v>-1.8189894035458565e-12</x:v>
      </x:c>
      <x:c r="I100" s="34" t="n">
        <x:f>I74-I75</x:f>
        <x:v>-1.8189894035458565e-12</x:v>
      </x:c>
      <x:c r="J100" s="1"/>
      <x:c r="K100" s="1"/>
    </x:row>
    <x:row r="101" ht="18" customHeight="1">
      <x:c r="A101" s="1"/>
      <x:c r="B101" s="1"/>
      <x:c r="C101" s="1" t="str">
        <x:v>Cash funding shortfall</x:v>
      </x:c>
      <x:c r="D101" s="33"/>
      <x:c r="E101" s="34" t="n">
        <x:f>MAX(0,-E72)</x:f>
        <x:v>0</x:v>
      </x:c>
      <x:c r="F101" s="34" t="n">
        <x:f>MAX(0,-F72)</x:f>
        <x:v>0</x:v>
      </x:c>
      <x:c r="G101" s="34" t="n">
        <x:f>MAX(0,-G72)</x:f>
        <x:v>0</x:v>
      </x:c>
      <x:c r="H101" s="34" t="n">
        <x:f>MAX(0,-H72)</x:f>
        <x:v>0</x:v>
      </x:c>
      <x:c r="I101" s="34" t="n">
        <x:f>MAX(0,-I72)</x:f>
        <x:v>0</x:v>
      </x:c>
      <x:c r="J101" s="1"/>
      <x:c r="K101" s="1"/>
    </x:row>
    <x:row r="102" ht="18" customHeight="1">
      <x:c r="A102" s="1"/>
      <x:c r="B102" s="1"/>
      <x:c r="C102" s="1" t="str">
        <x:v>Debt below zero</x:v>
      </x:c>
      <x:c r="D102" s="33"/>
      <x:c r="E102" s="34" t="n">
        <x:f>MAX(0,-E67)</x:f>
        <x:v>0</x:v>
      </x:c>
      <x:c r="F102" s="34" t="n">
        <x:f>MAX(0,-F67)</x:f>
        <x:v>0</x:v>
      </x:c>
      <x:c r="G102" s="34" t="n">
        <x:f>MAX(0,-G67)</x:f>
        <x:v>0</x:v>
      </x:c>
      <x:c r="H102" s="34" t="n">
        <x:f>MAX(0,-H67)</x:f>
        <x:v>0</x:v>
      </x:c>
      <x:c r="I102" s="34" t="n">
        <x:f>MAX(0,-I67)</x:f>
        <x:v>0</x:v>
      </x:c>
      <x:c r="J102" s="1"/>
      <x:c r="K102" s="1"/>
    </x:row>
    <x:row r="103" ht="18" customHeight="1">
      <x:c r="A103" s="1"/>
      <x:c r="B103" s="1"/>
      <x:c r="C103" s="1" t="str">
        <x:v>Utilization above 100%</x:v>
      </x:c>
      <x:c r="D103" s="33"/>
      <x:c r="E103" s="34" t="n">
        <x:f>MAX(0,E20-1)</x:f>
        <x:v>0</x:v>
      </x:c>
      <x:c r="F103" s="34" t="n">
        <x:f>MAX(0,F20-1)</x:f>
        <x:v>0</x:v>
      </x:c>
      <x:c r="G103" s="34" t="n">
        <x:f>MAX(0,G20-1)</x:f>
        <x:v>0</x:v>
      </x:c>
      <x:c r="H103" s="34" t="n">
        <x:f>MAX(0,H20-1)</x:f>
        <x:v>0</x:v>
      </x:c>
      <x:c r="I103" s="34" t="n">
        <x:f>MAX(0,I20-1)</x:f>
        <x:v>0</x:v>
      </x:c>
      <x:c r="J103" s="1"/>
      <x:c r="K103" s="1"/>
    </x:row>
    <x:row r="104" ht="18" customHeight="1">
      <x:c r="A104" s="1"/>
      <x:c r="B104" s="1"/>
      <x:c r="C104" s="1" t="str">
        <x:v>Net PP&amp;E below zero</x:v>
      </x:c>
      <x:c r="D104" s="33"/>
      <x:c r="E104" s="34" t="n">
        <x:f>MAX(0,-E66)</x:f>
        <x:v>0</x:v>
      </x:c>
      <x:c r="F104" s="34" t="n">
        <x:f>MAX(0,-F66)</x:f>
        <x:v>0</x:v>
      </x:c>
      <x:c r="G104" s="34" t="n">
        <x:f>MAX(0,-G66)</x:f>
        <x:v>0</x:v>
      </x:c>
      <x:c r="H104" s="34" t="n">
        <x:f>MAX(0,-H66)</x:f>
        <x:v>0</x:v>
      </x:c>
      <x:c r="I104" s="34" t="n">
        <x:f>MAX(0,-I66)</x:f>
        <x:v>0</x:v>
      </x:c>
      <x:c r="J104" s="1"/>
      <x:c r="K104" s="1"/>
    </x:row>
    <x:row r="105" ht="18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1"/>
      <x:c r="K105" s="1"/>
    </x:row>
    <x:row r="106" ht="18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1"/>
      <x:c r="K106" s="1"/>
    </x:row>
    <x:row r="107" ht="18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1"/>
      <x:c r="K107" s="1"/>
    </x:row>
    <x:row r="108" ht="18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1"/>
      <x:c r="K108" s="1"/>
    </x:row>
    <x:row r="109" ht="18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1"/>
      <x:c r="K109" s="1"/>
    </x:row>
    <x:row r="110" ht="25" customHeight="1">
      <x:c r="A110" s="1"/>
      <x:c r="B110" s="1"/>
      <x:c r="C110" s="68" t="str">
        <x:v>SUPPORTING SCHEDULE ASSUMPTIONS</x:v>
      </x:c>
      <x:c r="D110" s="69"/>
      <x:c r="E110" s="69"/>
      <x:c r="F110" s="69"/>
      <x:c r="G110" s="69"/>
      <x:c r="H110" s="69"/>
      <x:c r="I110" s="69"/>
      <x:c r="J110" s="1"/>
      <x:c r="K110" s="1"/>
    </x:row>
    <x:row r="111" ht="30" customHeight="1">
      <x:c r="A111" s="1"/>
      <x:c r="B111" s="1"/>
      <x:c r="C111" s="64"/>
      <x:c r="D111" s="8"/>
      <x:c r="E111" s="8"/>
      <x:c r="F111" s="8"/>
      <x:c r="G111" s="8"/>
      <x:c r="H111" s="8"/>
      <x:c r="I111" s="8"/>
      <x:c r="J111" s="1"/>
      <x:c r="K111" s="1"/>
    </x:row>
    <x:row r="112" ht="30" customHeight="1">
      <x:c r="A112" s="1"/>
      <x:c r="B112" s="1"/>
      <x:c r="C112" s="64"/>
      <x:c r="D112" s="8"/>
      <x:c r="E112" s="8"/>
      <x:c r="F112" s="8"/>
      <x:c r="G112" s="8"/>
      <x:c r="H112" s="8"/>
      <x:c r="I112" s="8"/>
      <x:c r="J112" s="1"/>
      <x:c r="K112" s="1"/>
    </x:row>
    <x:row r="113" ht="30" customHeight="1">
      <x:c r="A113" s="1"/>
      <x:c r="B113" s="1"/>
      <x:c r="C113" s="64"/>
      <x:c r="D113" s="8"/>
      <x:c r="E113" s="8"/>
      <x:c r="F113" s="8"/>
      <x:c r="G113" s="8"/>
      <x:c r="H113" s="8"/>
      <x:c r="I113" s="8"/>
      <x:c r="J113" s="1"/>
      <x:c r="K113" s="1"/>
    </x:row>
    <x:row r="114" ht="30" customHeight="1">
      <x:c r="A114" s="1"/>
      <x:c r="B114" s="1"/>
      <x:c r="C114" s="64" t="str">
        <x:v>Current-year capex depreciation fraction</x:v>
      </x:c>
      <x:c r="D114" s="72" t="n">
        <x:v>0</x:v>
      </x:c>
      <x:c r="E114" s="8"/>
      <x:c r="F114" s="8"/>
      <x:c r="G114" s="8"/>
      <x:c r="H114" s="8"/>
      <x:c r="I114" s="8"/>
      <x:c r="J114" s="1"/>
      <x:c r="K114" s="1"/>
    </x:row>
    <x:row r="115" ht="30" customHeight="1">
      <x:c r="A115" s="1"/>
      <x:c r="B115" s="1"/>
      <x:c r="C115" s="64" t="str">
        <x:v>Debt movement interest weighting</x:v>
      </x:c>
      <x:c r="D115" s="72" t="n">
        <x:v>0</x:v>
      </x:c>
      <x:c r="E115" s="8"/>
      <x:c r="F115" s="8"/>
      <x:c r="G115" s="8"/>
      <x:c r="H115" s="8"/>
      <x:c r="I115" s="8"/>
      <x:c r="J115" s="1"/>
      <x:c r="K115" s="1" t="str">
        <x:v>0 = opening debt interest; 0.5 = mid-year movements; 1 = full-year movements.</x:v>
      </x:c>
    </x:row>
    <x:row r="116" ht="30" customHeight="1">
      <x:c r="A116" s="1"/>
      <x:c r="B116" s="1"/>
      <x:c r="C116" s="64" t="str">
        <x:v>Opening tax losses available for use</x:v>
      </x:c>
      <x:c r="D116" s="74" t="n">
        <x:v>0</x:v>
      </x:c>
      <x:c r="E116" s="8"/>
      <x:c r="F116" s="8"/>
      <x:c r="G116" s="8"/>
      <x:c r="H116" s="8"/>
      <x:c r="I116" s="8"/>
      <x:c r="J116" s="1"/>
      <x:c r="K116" s="1"/>
    </x:row>
    <x:row r="117" ht="30" customHeight="1">
      <x:c r="A117" s="1"/>
      <x:c r="B117" s="1"/>
      <x:c r="C117" s="64" t="str">
        <x:v>Tax loss utilization share of positive PBT</x:v>
      </x:c>
      <x:c r="D117" s="72" t="n">
        <x:v>1</x:v>
      </x:c>
      <x:c r="E117" s="8"/>
      <x:c r="F117" s="8"/>
      <x:c r="G117" s="8"/>
      <x:c r="H117" s="8"/>
      <x:c r="I117" s="8"/>
      <x:c r="J117" s="1"/>
      <x:c r="K117" s="1" t="str">
        <x:v>Simplified cash tax schedule. Check company-specific eligibility, expiry, MAT and deferred tax separately.</x:v>
      </x:c>
    </x:row>
    <x:row r="118" ht="30" customHeight="1">
      <x:c r="A118" s="1"/>
      <x:c r="B118" s="1"/>
      <x:c r="C118" s="64"/>
      <x:c r="D118" s="8"/>
      <x:c r="E118" s="8"/>
      <x:c r="F118" s="8"/>
      <x:c r="G118" s="8"/>
      <x:c r="H118" s="8"/>
      <x:c r="I118" s="8"/>
      <x:c r="J118" s="1"/>
      <x:c r="K118" s="1"/>
    </x:row>
    <x:row r="119" ht="25" customHeight="1">
      <x:c r="A119" s="1"/>
      <x:c r="B119" s="1"/>
      <x:c r="C119" s="68" t="str">
        <x:v>DEBT AND INTEREST SCHEDULE</x:v>
      </x:c>
      <x:c r="D119" s="69"/>
      <x:c r="E119" s="69"/>
      <x:c r="F119" s="69"/>
      <x:c r="G119" s="69"/>
      <x:c r="H119" s="69"/>
      <x:c r="I119" s="69"/>
      <x:c r="J119" s="1"/>
      <x:c r="K119" s="1"/>
    </x:row>
    <x:row r="120" ht="30" customHeight="1">
      <x:c r="A120" s="1"/>
      <x:c r="B120" s="1"/>
      <x:c r="C120" s="64" t="str">
        <x:v>Opening debt balance</x:v>
      </x:c>
      <x:c r="D120" s="8"/>
      <x:c r="E120" s="8" t="n">
        <x:f>D35</x:f>
        <x:v>2500</x:v>
      </x:c>
      <x:c r="F120" s="8" t="n">
        <x:f>E123</x:f>
        <x:v>2250</x:v>
      </x:c>
      <x:c r="G120" s="8" t="n">
        <x:f>F123</x:f>
        <x:v>2000</x:v>
      </x:c>
      <x:c r="H120" s="8" t="n">
        <x:f>G123</x:f>
        <x:v>1750</x:v>
      </x:c>
      <x:c r="I120" s="8" t="n">
        <x:f>H123</x:f>
        <x:v>1500</x:v>
      </x:c>
      <x:c r="J120" s="1"/>
      <x:c r="K120" s="1"/>
    </x:row>
    <x:row r="121" ht="30" customHeight="1">
      <x:c r="A121" s="1"/>
      <x:c r="B121" s="1"/>
      <x:c r="C121" s="64" t="str">
        <x:v>Debt drawn</x:v>
      </x:c>
      <x:c r="D121" s="8"/>
      <x:c r="E121" s="8" t="n">
        <x:f>E30</x:f>
        <x:v>0</x:v>
      </x:c>
      <x:c r="F121" s="8" t="n">
        <x:f>F30</x:f>
        <x:v>0</x:v>
      </x:c>
      <x:c r="G121" s="8" t="n">
        <x:f>G30</x:f>
        <x:v>0</x:v>
      </x:c>
      <x:c r="H121" s="8" t="n">
        <x:f>H30</x:f>
        <x:v>0</x:v>
      </x:c>
      <x:c r="I121" s="8" t="n">
        <x:f>I30</x:f>
        <x:v>0</x:v>
      </x:c>
      <x:c r="J121" s="1"/>
      <x:c r="K121" s="1"/>
    </x:row>
    <x:row r="122" ht="30" customHeight="1">
      <x:c r="A122" s="1"/>
      <x:c r="B122" s="1"/>
      <x:c r="C122" s="64" t="str">
        <x:v>Debt principal repaid</x:v>
      </x:c>
      <x:c r="D122" s="8"/>
      <x:c r="E122" s="8" t="n">
        <x:f>E31</x:f>
        <x:v>250</x:v>
      </x:c>
      <x:c r="F122" s="8" t="n">
        <x:f>F31</x:f>
        <x:v>250</x:v>
      </x:c>
      <x:c r="G122" s="8" t="n">
        <x:f>G31</x:f>
        <x:v>250</x:v>
      </x:c>
      <x:c r="H122" s="8" t="n">
        <x:f>H31</x:f>
        <x:v>250</x:v>
      </x:c>
      <x:c r="I122" s="8" t="n">
        <x:f>I31</x:f>
        <x:v>250</x:v>
      </x:c>
      <x:c r="J122" s="1"/>
      <x:c r="K122" s="1"/>
    </x:row>
    <x:row r="123" ht="30" customHeight="1">
      <x:c r="A123" s="1"/>
      <x:c r="B123" s="1"/>
      <x:c r="C123" s="64" t="str">
        <x:v>Closing debt balance</x:v>
      </x:c>
      <x:c r="D123" s="8"/>
      <x:c r="E123" s="8" t="n">
        <x:f>E120+E121-E122</x:f>
        <x:v>2250</x:v>
      </x:c>
      <x:c r="F123" s="8" t="n">
        <x:f>F120+F121-F122</x:f>
        <x:v>2000</x:v>
      </x:c>
      <x:c r="G123" s="8" t="n">
        <x:f>G120+G121-G122</x:f>
        <x:v>1750</x:v>
      </x:c>
      <x:c r="H123" s="8" t="n">
        <x:f>H120+H121-H122</x:f>
        <x:v>1500</x:v>
      </x:c>
      <x:c r="I123" s="8" t="n">
        <x:f>I120+I121-I122</x:f>
        <x:v>1250</x:v>
      </x:c>
      <x:c r="J123" s="1"/>
      <x:c r="K123" s="1"/>
    </x:row>
    <x:row r="124" ht="30" customHeight="1">
      <x:c r="A124" s="1"/>
      <x:c r="B124" s="1"/>
      <x:c r="C124" s="64" t="str">
        <x:v>Interest-bearing debt base</x:v>
      </x:c>
      <x:c r="D124" s="8"/>
      <x:c r="E124" s="8" t="n">
        <x:f>E120+(E121-E122)*$D$115</x:f>
        <x:v>2500</x:v>
      </x:c>
      <x:c r="F124" s="8" t="n">
        <x:f>F120+(F121-F122)*$D$115</x:f>
        <x:v>2250</x:v>
      </x:c>
      <x:c r="G124" s="8" t="n">
        <x:f>G120+(G121-G122)*$D$115</x:f>
        <x:v>2000</x:v>
      </x:c>
      <x:c r="H124" s="8" t="n">
        <x:f>H120+(H121-H122)*$D$115</x:f>
        <x:v>1750</x:v>
      </x:c>
      <x:c r="I124" s="8" t="n">
        <x:f>I120+(I121-I122)*$D$115</x:f>
        <x:v>1500</x:v>
      </x:c>
      <x:c r="J124" s="1"/>
      <x:c r="K124" s="1"/>
    </x:row>
    <x:row r="125" ht="30" customHeight="1">
      <x:c r="A125" s="1"/>
      <x:c r="B125" s="1"/>
      <x:c r="C125" s="64" t="str">
        <x:v>Scheduled interest expense</x:v>
      </x:c>
      <x:c r="D125" s="8"/>
      <x:c r="E125" s="8" t="n">
        <x:f>E124*E29</x:f>
        <x:v>212.50000000000003</x:v>
      </x:c>
      <x:c r="F125" s="8" t="n">
        <x:f>F124*F29</x:f>
        <x:v>191.25</x:v>
      </x:c>
      <x:c r="G125" s="8" t="n">
        <x:f>G124*G29</x:f>
        <x:v>170</x:v>
      </x:c>
      <x:c r="H125" s="8" t="n">
        <x:f>H124*H29</x:f>
        <x:v>148.75</x:v>
      </x:c>
      <x:c r="I125" s="8" t="n">
        <x:f>I124*I29</x:f>
        <x:v>127.50000000000001</x:v>
      </x:c>
      <x:c r="J125" s="1"/>
      <x:c r="K125" s="1"/>
    </x:row>
    <x:row r="126" ht="30" customHeight="1">
      <x:c r="A126" s="1"/>
      <x:c r="B126" s="1"/>
      <x:c r="C126" s="64"/>
      <x:c r="D126" s="8"/>
      <x:c r="E126" s="8"/>
      <x:c r="F126" s="8"/>
      <x:c r="G126" s="8"/>
      <x:c r="H126" s="8"/>
      <x:c r="I126" s="8"/>
      <x:c r="J126" s="1"/>
      <x:c r="K126" s="1"/>
    </x:row>
    <x:row r="127" ht="30" customHeight="1">
      <x:c r="A127" s="1"/>
      <x:c r="B127" s="1"/>
      <x:c r="C127" s="64"/>
      <x:c r="D127" s="8"/>
      <x:c r="E127" s="8"/>
      <x:c r="F127" s="8"/>
      <x:c r="G127" s="8"/>
      <x:c r="H127" s="8"/>
      <x:c r="I127" s="8"/>
      <x:c r="J127" s="1"/>
      <x:c r="K127" s="1"/>
    </x:row>
    <x:row r="128" ht="30" customHeight="1">
      <x:c r="A128" s="1"/>
      <x:c r="B128" s="1"/>
      <x:c r="C128" s="64"/>
      <x:c r="D128" s="8"/>
      <x:c r="E128" s="8"/>
      <x:c r="F128" s="8"/>
      <x:c r="G128" s="8"/>
      <x:c r="H128" s="8"/>
      <x:c r="I128" s="8"/>
      <x:c r="J128" s="1"/>
      <x:c r="K128" s="1"/>
    </x:row>
    <x:row r="129" ht="25" customHeight="1">
      <x:c r="A129" s="1"/>
      <x:c r="B129" s="1"/>
      <x:c r="C129" s="68" t="str">
        <x:v>CAPEX AND DEPRECIATION SCHEDULE</x:v>
      </x:c>
      <x:c r="D129" s="69"/>
      <x:c r="E129" s="69"/>
      <x:c r="F129" s="69"/>
      <x:c r="G129" s="69"/>
      <x:c r="H129" s="69"/>
      <x:c r="I129" s="69"/>
      <x:c r="J129" s="1"/>
      <x:c r="K129" s="1"/>
    </x:row>
    <x:row r="130" ht="30" customHeight="1">
      <x:c r="A130" s="1"/>
      <x:c r="B130" s="1"/>
      <x:c r="C130" s="64" t="str">
        <x:v>Opening net property plant and equipment</x:v>
      </x:c>
      <x:c r="D130" s="8"/>
      <x:c r="E130" s="8" t="n">
        <x:f>D34</x:f>
        <x:v>10000</x:v>
      </x:c>
      <x:c r="F130" s="8" t="n">
        <x:f>E135</x:f>
        <x:v>9661.9275</x:v>
      </x:c>
      <x:c r="G130" s="8" t="n">
        <x:f>F135</x:f>
        <x:v>9382.536560625</x:v>
      </x:c>
      <x:c r="H130" s="8" t="n">
        <x:f>G135</x:f>
        <x:v>9161.107317615468</x:v>
      </x:c>
      <x:c r="I130" s="8" t="n">
        <x:f>H135</x:f>
        <x:v>8997.298071212264</x:v>
      </x:c>
      <x:c r="J130" s="1"/>
      <x:c r="K130" s="1"/>
    </x:row>
    <x:row r="131" ht="30" customHeight="1">
      <x:c r="A131" s="1"/>
      <x:c r="B131" s="1"/>
      <x:c r="C131" s="64" t="str">
        <x:v>Capital expenditure added</x:v>
      </x:c>
      <x:c r="D131" s="8"/>
      <x:c r="E131" s="8" t="n">
        <x:f>E65</x:f>
        <x:v>361.92749999999995</x:v>
      </x:c>
      <x:c r="F131" s="8" t="n">
        <x:f>F65</x:f>
        <x:v>396.943985625</x:v>
      </x:c>
      <x:c r="G131" s="8" t="n">
        <x:f>G65</x:f>
        <x:v>435.34831623421866</x:v>
      </x:c>
      <x:c r="H131" s="8" t="n">
        <x:f>H65</x:f>
        <x:v>477.46826582987933</x:v>
      </x:c>
      <x:c r="I131" s="8" t="n">
        <x:f>I65</x:f>
        <x:v>523.6633205489201</x:v>
      </x:c>
      <x:c r="J131" s="1"/>
      <x:c r="K131" s="1"/>
    </x:row>
    <x:row r="132" ht="30" customHeight="1">
      <x:c r="A132" s="1"/>
      <x:c r="B132" s="1"/>
      <x:c r="C132" s="64" t="str">
        <x:v>Depreciation on opening assets</x:v>
      </x:c>
      <x:c r="D132" s="8"/>
      <x:c r="E132" s="8" t="n">
        <x:f>E130*E24</x:f>
        <x:v>700.0000000000001</x:v>
      </x:c>
      <x:c r="F132" s="8" t="n">
        <x:f>F130*F24</x:f>
        <x:v>676.334925</x:v>
      </x:c>
      <x:c r="G132" s="8" t="n">
        <x:f>G130*G24</x:f>
        <x:v>656.77755924375</x:v>
      </x:c>
      <x:c r="H132" s="8" t="n">
        <x:f>H130*H24</x:f>
        <x:v>641.2775122330828</x:v>
      </x:c>
      <x:c r="I132" s="8" t="n">
        <x:f>I130*I24</x:f>
        <x:v>629.8108649848585</x:v>
      </x:c>
      <x:c r="J132" s="1"/>
      <x:c r="K132" s="1"/>
    </x:row>
    <x:row r="133" ht="30" customHeight="1">
      <x:c r="A133" s="1"/>
      <x:c r="B133" s="1"/>
      <x:c r="C133" s="64" t="str">
        <x:v>Depreciation on current-year additions</x:v>
      </x:c>
      <x:c r="D133" s="8"/>
      <x:c r="E133" s="8" t="n">
        <x:f>E131*E24*$D$114</x:f>
        <x:v>0</x:v>
      </x:c>
      <x:c r="F133" s="8" t="n">
        <x:f>F131*F24*$D$114</x:f>
        <x:v>0</x:v>
      </x:c>
      <x:c r="G133" s="8" t="n">
        <x:f>G131*G24*$D$114</x:f>
        <x:v>0</x:v>
      </x:c>
      <x:c r="H133" s="8" t="n">
        <x:f>H131*H24*$D$114</x:f>
        <x:v>0</x:v>
      </x:c>
      <x:c r="I133" s="8" t="n">
        <x:f>I131*I24*$D$114</x:f>
        <x:v>0</x:v>
      </x:c>
      <x:c r="J133" s="1"/>
      <x:c r="K133" s="1"/>
    </x:row>
    <x:row r="134" ht="30" customHeight="1">
      <x:c r="A134" s="1"/>
      <x:c r="B134" s="1"/>
      <x:c r="C134" s="64" t="str">
        <x:v>Total depreciation charge</x:v>
      </x:c>
      <x:c r="D134" s="8"/>
      <x:c r="E134" s="8" t="n">
        <x:f>E132+E133</x:f>
        <x:v>700.0000000000001</x:v>
      </x:c>
      <x:c r="F134" s="8" t="n">
        <x:f>F132+F133</x:f>
        <x:v>676.334925</x:v>
      </x:c>
      <x:c r="G134" s="8" t="n">
        <x:f>G132+G133</x:f>
        <x:v>656.77755924375</x:v>
      </x:c>
      <x:c r="H134" s="8" t="n">
        <x:f>H132+H133</x:f>
        <x:v>641.2775122330828</x:v>
      </x:c>
      <x:c r="I134" s="8" t="n">
        <x:f>I132+I133</x:f>
        <x:v>629.8108649848585</x:v>
      </x:c>
      <x:c r="J134" s="1"/>
      <x:c r="K134" s="1"/>
    </x:row>
    <x:row r="135" ht="30" customHeight="1">
      <x:c r="A135" s="1"/>
      <x:c r="B135" s="1"/>
      <x:c r="C135" s="64" t="str">
        <x:v>Closing net property plant and equipment</x:v>
      </x:c>
      <x:c r="D135" s="8"/>
      <x:c r="E135" s="8" t="n">
        <x:f>E130+E131-E134</x:f>
        <x:v>9661.9275</x:v>
      </x:c>
      <x:c r="F135" s="8" t="n">
        <x:f>F130+F131-F134</x:f>
        <x:v>9382.536560625</x:v>
      </x:c>
      <x:c r="G135" s="8" t="n">
        <x:f>G130+G131-G134</x:f>
        <x:v>9161.107317615468</x:v>
      </x:c>
      <x:c r="H135" s="8" t="n">
        <x:f>H130+H131-H134</x:f>
        <x:v>8997.298071212264</x:v>
      </x:c>
      <x:c r="I135" s="8" t="n">
        <x:f>I130+I131-I134</x:f>
        <x:v>8891.150526776326</x:v>
      </x:c>
      <x:c r="J135" s="1"/>
      <x:c r="K135" s="1"/>
    </x:row>
    <x:row r="136" ht="30" customHeight="1">
      <x:c r="A136" s="1"/>
      <x:c r="B136" s="1"/>
      <x:c r="C136" s="64"/>
      <x:c r="D136" s="8"/>
      <x:c r="E136" s="8"/>
      <x:c r="F136" s="8"/>
      <x:c r="G136" s="8"/>
      <x:c r="H136" s="8"/>
      <x:c r="I136" s="8"/>
      <x:c r="J136" s="1"/>
      <x:c r="K136" s="1"/>
    </x:row>
    <x:row r="137" ht="30" customHeight="1">
      <x:c r="A137" s="1"/>
      <x:c r="B137" s="1"/>
      <x:c r="C137" s="64"/>
      <x:c r="D137" s="8"/>
      <x:c r="E137" s="8"/>
      <x:c r="F137" s="8"/>
      <x:c r="G137" s="8"/>
      <x:c r="H137" s="8"/>
      <x:c r="I137" s="8"/>
      <x:c r="J137" s="1"/>
      <x:c r="K137" s="1"/>
    </x:row>
    <x:row r="138" ht="30" customHeight="1">
      <x:c r="A138" s="1"/>
      <x:c r="B138" s="1"/>
      <x:c r="C138" s="64"/>
      <x:c r="D138" s="8"/>
      <x:c r="E138" s="8"/>
      <x:c r="F138" s="8"/>
      <x:c r="G138" s="8"/>
      <x:c r="H138" s="8"/>
      <x:c r="I138" s="8"/>
      <x:c r="J138" s="1"/>
      <x:c r="K138" s="1"/>
    </x:row>
    <x:row r="139" ht="25" customHeight="1">
      <x:c r="A139" s="1"/>
      <x:c r="B139" s="1"/>
      <x:c r="C139" s="68" t="str">
        <x:v>CASH TAX SCHEDULE</x:v>
      </x:c>
      <x:c r="D139" s="69"/>
      <x:c r="E139" s="69"/>
      <x:c r="F139" s="69"/>
      <x:c r="G139" s="69"/>
      <x:c r="H139" s="69"/>
      <x:c r="I139" s="69"/>
      <x:c r="J139" s="1"/>
      <x:c r="K139" s="1"/>
    </x:row>
    <x:row r="140" ht="30" customHeight="1">
      <x:c r="A140" s="1"/>
      <x:c r="B140" s="1"/>
      <x:c r="C140" s="64" t="str">
        <x:v>Opening usable tax losses</x:v>
      </x:c>
      <x:c r="D140" s="8"/>
      <x:c r="E140" s="8" t="n">
        <x:f>$D$116</x:f>
        <x:v>0</x:v>
      </x:c>
      <x:c r="F140" s="8" t="n">
        <x:f>E145</x:f>
        <x:v>0</x:v>
      </x:c>
      <x:c r="G140" s="8" t="n">
        <x:f>F145</x:f>
        <x:v>0</x:v>
      </x:c>
      <x:c r="H140" s="8" t="n">
        <x:f>G145</x:f>
        <x:v>0</x:v>
      </x:c>
      <x:c r="I140" s="8" t="n">
        <x:f>H145</x:f>
        <x:v>0</x:v>
      </x:c>
      <x:c r="J140" s="1"/>
      <x:c r="K140" s="1"/>
    </x:row>
    <x:row r="141" ht="30" customHeight="1">
      <x:c r="A141" s="1"/>
      <x:c r="B141" s="1"/>
      <x:c r="C141" s="64" t="str">
        <x:v>Profit before tax for loss utilization</x:v>
      </x:c>
      <x:c r="D141" s="8"/>
      <x:c r="E141" s="8" t="n">
        <x:f>E56</x:f>
        <x:v>128.04156249999969</x:v>
      </x:c>
      <x:c r="F141" s="8" t="n">
        <x:f>F56</x:f>
        <x:v>273.6290336718747</x:v>
      </x:c>
      <x:c r="G141" s="8" t="n">
        <x:f>G56</x:f>
        <x:v>424.8488499296283</x:v>
      </x:c>
      <x:c r="H141" s="8" t="n">
        <x:f>H56</x:f>
        <x:v>582.6937520278199</x:v>
      </x:c>
      <x:c r="I141" s="8" t="n">
        <x:f>I56</x:f>
        <x:v>748.221181593287</x:v>
      </x:c>
      <x:c r="J141" s="1"/>
      <x:c r="K141" s="1"/>
    </x:row>
    <x:row r="142" ht="30" customHeight="1">
      <x:c r="A142" s="1"/>
      <x:c r="B142" s="1"/>
      <x:c r="C142" s="64" t="str">
        <x:v>Tax losses utilized</x:v>
      </x:c>
      <x:c r="D142" s="8"/>
      <x:c r="E142" s="8" t="n">
        <x:f>MIN(E140,MAX(0,E141)*$D$117)</x:f>
        <x:v>0</x:v>
      </x:c>
      <x:c r="F142" s="8" t="n">
        <x:f>MIN(F140,MAX(0,F141)*$D$117)</x:f>
        <x:v>0</x:v>
      </x:c>
      <x:c r="G142" s="8" t="n">
        <x:f>MIN(G140,MAX(0,G141)*$D$117)</x:f>
        <x:v>0</x:v>
      </x:c>
      <x:c r="H142" s="8" t="n">
        <x:f>MIN(H140,MAX(0,H141)*$D$117)</x:f>
        <x:v>0</x:v>
      </x:c>
      <x:c r="I142" s="8" t="n">
        <x:f>MIN(I140,MAX(0,I141)*$D$117)</x:f>
        <x:v>0</x:v>
      </x:c>
      <x:c r="J142" s="1"/>
      <x:c r="K142" s="1"/>
    </x:row>
    <x:row r="143" ht="30" customHeight="1">
      <x:c r="A143" s="1"/>
      <x:c r="B143" s="1"/>
      <x:c r="C143" s="64" t="str">
        <x:v>Taxable profit after loss utilization</x:v>
      </x:c>
      <x:c r="D143" s="8"/>
      <x:c r="E143" s="8" t="n">
        <x:f>MAX(0,E141-E142)</x:f>
        <x:v>128.04156249999969</x:v>
      </x:c>
      <x:c r="F143" s="8" t="n">
        <x:f>MAX(0,F141-F142)</x:f>
        <x:v>273.6290336718747</x:v>
      </x:c>
      <x:c r="G143" s="8" t="n">
        <x:f>MAX(0,G141-G142)</x:f>
        <x:v>424.8488499296283</x:v>
      </x:c>
      <x:c r="H143" s="8" t="n">
        <x:f>MAX(0,H141-H142)</x:f>
        <x:v>582.6937520278199</x:v>
      </x:c>
      <x:c r="I143" s="8" t="n">
        <x:f>MAX(0,I141-I142)</x:f>
        <x:v>748.221181593287</x:v>
      </x:c>
      <x:c r="J143" s="1"/>
      <x:c r="K143" s="1"/>
    </x:row>
    <x:row r="144" ht="30" customHeight="1">
      <x:c r="A144" s="1"/>
      <x:c r="B144" s="1"/>
      <x:c r="C144" s="64" t="str">
        <x:v>Cash income tax after loss utilization</x:v>
      </x:c>
      <x:c r="D144" s="8"/>
      <x:c r="E144" s="8" t="n">
        <x:f>E143*E28</x:f>
        <x:v>32.01039062499992</x:v>
      </x:c>
      <x:c r="F144" s="8" t="n">
        <x:f>F143*F28</x:f>
        <x:v>68.40725841796868</x:v>
      </x:c>
      <x:c r="G144" s="8" t="n">
        <x:f>G143*G28</x:f>
        <x:v>106.21221248240707</x:v>
      </x:c>
      <x:c r="H144" s="8" t="n">
        <x:f>H143*H28</x:f>
        <x:v>145.67343800695497</x:v>
      </x:c>
      <x:c r="I144" s="8" t="n">
        <x:f>I143*I28</x:f>
        <x:v>187.05529539832176</x:v>
      </x:c>
      <x:c r="J144" s="1"/>
      <x:c r="K144" s="1"/>
    </x:row>
    <x:row r="145" ht="30" customHeight="1">
      <x:c r="A145" s="1"/>
      <x:c r="B145" s="1"/>
      <x:c r="C145" s="64" t="str">
        <x:v>Closing usable tax losses</x:v>
      </x:c>
      <x:c r="D145" s="8"/>
      <x:c r="E145" s="8" t="n">
        <x:f>E140-E142+MAX(0,-E141)</x:f>
        <x:v>0</x:v>
      </x:c>
      <x:c r="F145" s="8" t="n">
        <x:f>F140-F142+MAX(0,-F141)</x:f>
        <x:v>0</x:v>
      </x:c>
      <x:c r="G145" s="8" t="n">
        <x:f>G140-G142+MAX(0,-G141)</x:f>
        <x:v>0</x:v>
      </x:c>
      <x:c r="H145" s="8" t="n">
        <x:f>H140-H142+MAX(0,-H141)</x:f>
        <x:v>0</x:v>
      </x:c>
      <x:c r="I145" s="8" t="n">
        <x:f>I140-I142+MAX(0,-I141)</x:f>
        <x:v>0</x:v>
      </x:c>
      <x:c r="J145" s="1"/>
      <x:c r="K145" s="1"/>
    </x:row>
    <x:row r="146" ht="30" customHeight="1">
      <x:c r="A146" s="1"/>
      <x:c r="B146" s="1"/>
      <x:c r="C146" s="64"/>
      <x:c r="D146" s="8"/>
      <x:c r="E146" s="8"/>
      <x:c r="F146" s="8"/>
      <x:c r="G146" s="8"/>
      <x:c r="H146" s="8"/>
      <x:c r="I146" s="8"/>
      <x:c r="J146" s="1"/>
      <x:c r="K146" s="1"/>
    </x:row>
    <x:row r="147" ht="30" customHeight="1">
      <x:c r="A147" s="1"/>
      <x:c r="B147" s="1"/>
      <x:c r="C147" s="64"/>
      <x:c r="D147" s="8"/>
      <x:c r="E147" s="8"/>
      <x:c r="F147" s="8"/>
      <x:c r="G147" s="8"/>
      <x:c r="H147" s="8"/>
      <x:c r="I147" s="8"/>
      <x:c r="J147" s="1"/>
      <x:c r="K147" s="1"/>
    </x:row>
    <x:row r="148" ht="30" customHeight="1">
      <x:c r="A148" s="1"/>
      <x:c r="B148" s="1"/>
      <x:c r="C148" s="64"/>
      <x:c r="D148" s="8"/>
      <x:c r="E148" s="8"/>
      <x:c r="F148" s="8"/>
      <x:c r="G148" s="8"/>
      <x:c r="H148" s="8"/>
      <x:c r="I148" s="8"/>
      <x:c r="J148" s="1"/>
      <x:c r="K148" s="1"/>
    </x:row>
    <x:row r="149" ht="30" customHeight="1">
      <x:c r="A149" s="1"/>
      <x:c r="B149" s="1"/>
      <x:c r="C149" s="64"/>
      <x:c r="D149" s="8"/>
      <x:c r="E149" s="8"/>
      <x:c r="F149" s="8"/>
      <x:c r="G149" s="8"/>
      <x:c r="H149" s="8"/>
      <x:c r="I149" s="8"/>
      <x:c r="J149" s="1"/>
      <x:c r="K149" s="1"/>
    </x:row>
    <x:row r="150" ht="30" customHeight="1">
      <x:c r="A150" s="1"/>
      <x:c r="B150" s="1"/>
      <x:c r="C150" s="64"/>
      <x:c r="D150" s="8"/>
      <x:c r="E150" s="8"/>
      <x:c r="F150" s="8"/>
      <x:c r="G150" s="8"/>
      <x:c r="H150" s="8"/>
      <x:c r="I150" s="8"/>
      <x:c r="J150" s="1"/>
      <x:c r="K150" s="1"/>
    </x:row>
    <x:row r="151" ht="30" customHeight="1">
      <x:c r="A151" s="1"/>
      <x:c r="B151" s="1"/>
      <x:c r="C151" s="64"/>
      <x:c r="D151" s="8"/>
      <x:c r="E151" s="8"/>
      <x:c r="F151" s="8"/>
      <x:c r="G151" s="8"/>
      <x:c r="H151" s="8"/>
      <x:c r="I151" s="8"/>
      <x:c r="J151" s="1"/>
      <x:c r="K151" s="1"/>
    </x:row>
    <x:row r="152" ht="30" customHeight="1">
      <x:c r="A152" s="1"/>
      <x:c r="B152" s="1"/>
      <x:c r="C152" s="64"/>
      <x:c r="D152" s="8"/>
      <x:c r="E152" s="8"/>
      <x:c r="F152" s="8"/>
      <x:c r="G152" s="8"/>
      <x:c r="H152" s="8"/>
      <x:c r="I152" s="8"/>
      <x:c r="J152" s="1"/>
      <x:c r="K152" s="1"/>
    </x:row>
    <x:row r="153" ht="30" customHeight="1">
      <x:c r="A153" s="1"/>
      <x:c r="B153" s="1"/>
      <x:c r="C153" s="64"/>
      <x:c r="D153" s="8"/>
      <x:c r="E153" s="8"/>
      <x:c r="F153" s="8"/>
      <x:c r="G153" s="8"/>
      <x:c r="H153" s="8"/>
      <x:c r="I153" s="8"/>
      <x:c r="J153" s="1"/>
      <x:c r="K153" s="1"/>
    </x:row>
    <x:row r="154" ht="30" customHeight="1">
      <x:c r="A154" s="1"/>
      <x:c r="B154" s="1"/>
      <x:c r="C154" s="64"/>
      <x:c r="D154" s="8"/>
      <x:c r="E154" s="8"/>
      <x:c r="F154" s="8"/>
      <x:c r="G154" s="8"/>
      <x:c r="H154" s="8"/>
      <x:c r="I154" s="8"/>
      <x:c r="J154" s="1"/>
      <x:c r="K154" s="1"/>
    </x:row>
    <x:row r="155" ht="30" customHeight="1">
      <x:c r="A155" s="1"/>
      <x:c r="B155" s="1"/>
      <x:c r="C155" s="64"/>
      <x:c r="D155" s="8"/>
      <x:c r="E155" s="8"/>
      <x:c r="F155" s="8"/>
      <x:c r="G155" s="8"/>
      <x:c r="H155" s="8"/>
      <x:c r="I155" s="8"/>
      <x:c r="J155" s="1"/>
      <x:c r="K155" s="1"/>
    </x:row>
    <x:row r="156" ht="30" customHeight="1">
      <x:c r="A156" s="1"/>
      <x:c r="B156" s="1"/>
      <x:c r="C156" s="64"/>
      <x:c r="D156" s="8"/>
      <x:c r="E156" s="8"/>
      <x:c r="F156" s="8"/>
      <x:c r="G156" s="8"/>
      <x:c r="H156" s="8"/>
      <x:c r="I156" s="8"/>
      <x:c r="J156" s="1"/>
      <x:c r="K156" s="1"/>
    </x:row>
    <x:row r="157" ht="30" customHeight="1">
      <x:c r="A157" s="1"/>
      <x:c r="B157" s="1"/>
      <x:c r="C157" s="64"/>
      <x:c r="D157" s="8"/>
      <x:c r="E157" s="8"/>
      <x:c r="F157" s="8"/>
      <x:c r="G157" s="8"/>
      <x:c r="H157" s="8"/>
      <x:c r="I157" s="8"/>
      <x:c r="J157" s="1"/>
      <x:c r="K157" s="1"/>
    </x:row>
    <x:row r="158" ht="30" customHeight="1">
      <x:c r="A158" s="1"/>
      <x:c r="B158" s="1"/>
      <x:c r="C158" s="64"/>
      <x:c r="D158" s="8"/>
      <x:c r="E158" s="8"/>
      <x:c r="F158" s="8"/>
      <x:c r="G158" s="8"/>
      <x:c r="H158" s="8"/>
      <x:c r="I158" s="8"/>
      <x:c r="J158" s="1"/>
      <x:c r="K158" s="1"/>
    </x:row>
    <x:row r="159" ht="30" customHeight="1">
      <x:c r="A159" s="1"/>
      <x:c r="B159" s="1"/>
      <x:c r="C159" s="64"/>
      <x:c r="D159" s="8"/>
      <x:c r="E159" s="8"/>
      <x:c r="F159" s="8"/>
      <x:c r="G159" s="8"/>
      <x:c r="H159" s="8"/>
      <x:c r="I159" s="8"/>
      <x:c r="J159" s="1"/>
      <x:c r="K159" s="1"/>
    </x:row>
    <x:row r="160" ht="30" customHeight="1">
      <x:c r="A160" s="1"/>
      <x:c r="B160" s="1"/>
      <x:c r="C160" s="64"/>
      <x:c r="D160" s="8"/>
      <x:c r="E160" s="8"/>
      <x:c r="F160" s="8"/>
      <x:c r="G160" s="8"/>
      <x:c r="H160" s="8"/>
      <x:c r="I160" s="8"/>
      <x:c r="J160" s="1"/>
      <x:c r="K160" s="1"/>
    </x:row>
    <x:row r="161" ht="30" customHeight="1">
      <x:c r="A161" s="1"/>
      <x:c r="B161" s="1"/>
      <x:c r="C161" s="64"/>
      <x:c r="D161" s="8"/>
      <x:c r="E161" s="8"/>
      <x:c r="F161" s="8"/>
      <x:c r="G161" s="8"/>
      <x:c r="H161" s="8"/>
      <x:c r="I161" s="8"/>
      <x:c r="J161" s="1"/>
      <x:c r="K161" s="1"/>
    </x:row>
    <x:row r="162" ht="30" customHeight="1">
      <x:c r="A162" s="1"/>
      <x:c r="B162" s="1"/>
      <x:c r="C162" s="64"/>
      <x:c r="D162" s="8"/>
      <x:c r="E162" s="8"/>
      <x:c r="F162" s="8"/>
      <x:c r="G162" s="8"/>
      <x:c r="H162" s="8"/>
      <x:c r="I162" s="8"/>
      <x:c r="J162" s="1"/>
      <x:c r="K162" s="1"/>
    </x:row>
    <x:row r="163" ht="30" customHeight="1">
      <x:c r="A163" s="1"/>
      <x:c r="B163" s="1"/>
      <x:c r="C163" s="64"/>
      <x:c r="D163" s="8"/>
      <x:c r="E163" s="8"/>
      <x:c r="F163" s="8"/>
      <x:c r="G163" s="8"/>
      <x:c r="H163" s="8"/>
      <x:c r="I163" s="8"/>
      <x:c r="J163" s="1"/>
      <x:c r="K163" s="1"/>
    </x:row>
    <x:row r="164" ht="30" customHeight="1">
      <x:c r="A164" s="1"/>
      <x:c r="B164" s="1"/>
      <x:c r="C164" s="64"/>
      <x:c r="D164" s="8"/>
      <x:c r="E164" s="8"/>
      <x:c r="F164" s="8"/>
      <x:c r="G164" s="8"/>
      <x:c r="H164" s="8"/>
      <x:c r="I164" s="8"/>
      <x:c r="J164" s="1"/>
      <x:c r="K164" s="1"/>
    </x:row>
    <x:row r="165" ht="30" customHeight="1">
      <x:c r="A165" s="1"/>
      <x:c r="B165" s="1"/>
      <x:c r="C165" s="64"/>
      <x:c r="D165" s="8"/>
      <x:c r="E165" s="8"/>
      <x:c r="F165" s="8"/>
      <x:c r="G165" s="8"/>
      <x:c r="H165" s="8"/>
      <x:c r="I165" s="8"/>
      <x:c r="J165" s="1"/>
      <x:c r="K165" s="1"/>
    </x:row>
    <x:row r="166" ht="30" customHeight="1">
      <x:c r="A166" s="1"/>
      <x:c r="B166" s="1"/>
      <x:c r="C166" s="64"/>
      <x:c r="D166" s="8"/>
      <x:c r="E166" s="8"/>
      <x:c r="F166" s="8"/>
      <x:c r="G166" s="8"/>
      <x:c r="H166" s="8"/>
      <x:c r="I166" s="8"/>
      <x:c r="J166" s="1"/>
      <x:c r="K166" s="1"/>
    </x:row>
    <x:row r="167" ht="30" customHeight="1">
      <x:c r="A167" s="1"/>
      <x:c r="B167" s="1"/>
      <x:c r="C167" s="64"/>
      <x:c r="D167" s="8"/>
      <x:c r="E167" s="8"/>
      <x:c r="F167" s="8"/>
      <x:c r="G167" s="8"/>
      <x:c r="H167" s="8"/>
      <x:c r="I167" s="8"/>
      <x:c r="J167" s="1"/>
      <x:c r="K167" s="1"/>
    </x:row>
    <x:row r="168" ht="30" customHeight="1">
      <x:c r="A168" s="1"/>
      <x:c r="B168" s="1"/>
      <x:c r="C168" s="64"/>
      <x:c r="D168" s="8"/>
      <x:c r="E168" s="8"/>
      <x:c r="F168" s="8"/>
      <x:c r="G168" s="8"/>
      <x:c r="H168" s="8"/>
      <x:c r="I168" s="8"/>
      <x:c r="J168" s="1"/>
      <x:c r="K168" s="1"/>
    </x:row>
    <x:row r="169" ht="30" customHeight="1">
      <x:c r="A169" s="1"/>
      <x:c r="B169" s="1"/>
      <x:c r="C169" s="64"/>
      <x:c r="D169" s="8"/>
      <x:c r="E169" s="8"/>
      <x:c r="F169" s="8"/>
      <x:c r="G169" s="8"/>
      <x:c r="H169" s="8"/>
      <x:c r="I169" s="8"/>
      <x:c r="J169" s="1"/>
      <x:c r="K169" s="1"/>
    </x:row>
    <x:row r="170" ht="30" customHeight="1">
      <x:c r="A170" s="1"/>
      <x:c r="B170" s="1"/>
      <x:c r="C170" s="64"/>
      <x:c r="D170" s="8"/>
      <x:c r="E170" s="8"/>
      <x:c r="F170" s="8"/>
      <x:c r="G170" s="8"/>
      <x:c r="H170" s="8"/>
      <x:c r="I170" s="8"/>
      <x:c r="J170" s="1"/>
      <x:c r="K170" s="1"/>
    </x:row>
    <x:row r="171" ht="30" customHeight="1">
      <x:c r="A171" s="1"/>
      <x:c r="B171" s="1"/>
      <x:c r="C171" s="64"/>
      <x:c r="D171" s="8"/>
      <x:c r="E171" s="8"/>
      <x:c r="F171" s="8"/>
      <x:c r="G171" s="8"/>
      <x:c r="H171" s="8"/>
      <x:c r="I171" s="8"/>
      <x:c r="J171" s="1"/>
      <x:c r="K171" s="1"/>
    </x:row>
    <x:row r="172" ht="30" customHeight="1">
      <x:c r="A172" s="1"/>
      <x:c r="B172" s="1"/>
      <x:c r="C172" s="64"/>
      <x:c r="D172" s="8"/>
      <x:c r="E172" s="8"/>
      <x:c r="F172" s="8"/>
      <x:c r="G172" s="8"/>
      <x:c r="H172" s="8"/>
      <x:c r="I172" s="8"/>
      <x:c r="J172" s="1"/>
      <x:c r="K172" s="1"/>
    </x:row>
    <x:row r="173" ht="30" customHeight="1">
      <x:c r="A173" s="1"/>
      <x:c r="B173" s="1"/>
      <x:c r="C173" s="64"/>
      <x:c r="D173" s="8"/>
      <x:c r="E173" s="8"/>
      <x:c r="F173" s="8"/>
      <x:c r="G173" s="8"/>
      <x:c r="H173" s="8"/>
      <x:c r="I173" s="8"/>
      <x:c r="J173" s="1"/>
      <x:c r="K173" s="1"/>
    </x:row>
    <x:row r="174" ht="30" customHeight="1">
      <x:c r="A174" s="1"/>
      <x:c r="B174" s="1"/>
      <x:c r="C174" s="64"/>
      <x:c r="D174" s="8"/>
      <x:c r="E174" s="8"/>
      <x:c r="F174" s="8"/>
      <x:c r="G174" s="8"/>
      <x:c r="H174" s="8"/>
      <x:c r="I174" s="8"/>
      <x:c r="J174" s="1"/>
      <x:c r="K174" s="1"/>
    </x:row>
    <x:row r="175" ht="30" customHeight="1">
      <x:c r="A175" s="1"/>
      <x:c r="B175" s="1"/>
      <x:c r="C175" s="64"/>
      <x:c r="D175" s="8"/>
      <x:c r="E175" s="8"/>
      <x:c r="F175" s="8"/>
      <x:c r="G175" s="8"/>
      <x:c r="H175" s="8"/>
      <x:c r="I175" s="8"/>
      <x:c r="J175" s="1"/>
      <x:c r="K175" s="1"/>
    </x:row>
    <x:row r="176" ht="30" customHeight="1">
      <x:c r="A176" s="1"/>
      <x:c r="B176" s="1"/>
      <x:c r="C176" s="64"/>
      <x:c r="D176" s="8"/>
      <x:c r="E176" s="8"/>
      <x:c r="F176" s="8"/>
      <x:c r="G176" s="8"/>
      <x:c r="H176" s="8"/>
      <x:c r="I176" s="8"/>
      <x:c r="J176" s="1"/>
      <x:c r="K176" s="1"/>
    </x:row>
    <x:row r="177" ht="30" customHeight="1">
      <x:c r="A177" s="1"/>
      <x:c r="B177" s="1"/>
      <x:c r="C177" s="64"/>
      <x:c r="D177" s="8"/>
      <x:c r="E177" s="8"/>
      <x:c r="F177" s="8"/>
      <x:c r="G177" s="8"/>
      <x:c r="H177" s="8"/>
      <x:c r="I177" s="8"/>
      <x:c r="J177" s="1"/>
      <x:c r="K177" s="1"/>
    </x:row>
    <x:row r="178" ht="30" customHeight="1">
      <x:c r="A178" s="1"/>
      <x:c r="B178" s="1"/>
      <x:c r="C178" s="64"/>
      <x:c r="D178" s="8"/>
      <x:c r="E178" s="8"/>
      <x:c r="F178" s="8"/>
      <x:c r="G178" s="8"/>
      <x:c r="H178" s="8"/>
      <x:c r="I178" s="8"/>
      <x:c r="J178" s="1"/>
      <x:c r="K178" s="1"/>
    </x:row>
    <x:row r="179" ht="25" customHeight="1">
      <x:c r="A179" s="1"/>
      <x:c r="B179" s="1"/>
      <x:c r="C179" s="68" t="str">
        <x:v>MODEL CHECKS</x:v>
      </x:c>
      <x:c r="D179" s="69"/>
      <x:c r="E179" s="69"/>
      <x:c r="F179" s="69"/>
      <x:c r="G179" s="69"/>
      <x:c r="H179" s="69"/>
      <x:c r="I179" s="69"/>
      <x:c r="J179" s="1"/>
      <x:c r="K179" s="1"/>
    </x:row>
    <x:row r="180" ht="30" customHeight="1">
      <x:c r="A180" s="1"/>
      <x:c r="B180" s="1"/>
      <x:c r="C180" s="64" t="str">
        <x:v>Installed cement capacity (million tonnes) — seed input outside bounds</x:v>
      </x:c>
      <x:c r="D180" s="8"/>
      <x:c r="E180" s="75" t="n">
        <x:f>IF(COUNT(D10)=0,1,IF(D10&lt;0,1,0))</x:f>
        <x:v>0</x:v>
      </x:c>
      <x:c r="F180" s="75" t="n">
        <x:f>IF(COUNT(D10)=0,1,IF(D10&lt;0,1,0))</x:f>
        <x:v>0</x:v>
      </x:c>
      <x:c r="G180" s="75" t="n">
        <x:f>IF(COUNT(D10)=0,1,IF(D10&lt;0,1,0))</x:f>
        <x:v>0</x:v>
      </x:c>
      <x:c r="H180" s="75" t="n">
        <x:f>IF(COUNT(D10)=0,1,IF(D10&lt;0,1,0))</x:f>
        <x:v>0</x:v>
      </x:c>
      <x:c r="I180" s="75" t="n">
        <x:f>IF(COUNT(D10)=0,1,IF(D10&lt;0,1,0))</x:f>
        <x:v>0</x:v>
      </x:c>
      <x:c r="J180" s="1"/>
      <x:c r="K180" s="1"/>
    </x:row>
    <x:row r="181" ht="30" customHeight="1">
      <x:c r="A181" s="1"/>
      <x:c r="B181" s="1"/>
      <x:c r="C181" s="64" t="str">
        <x:v>Net realization (INR per tonne) — seed input outside bounds</x:v>
      </x:c>
      <x:c r="D181" s="8"/>
      <x:c r="E181" s="75" t="n">
        <x:f>IF(COUNT(D11)=0,1,IF(D11&lt;0,1,0))</x:f>
        <x:v>0</x:v>
      </x:c>
      <x:c r="F181" s="75" t="n">
        <x:f>IF(COUNT(D11)=0,1,IF(D11&lt;0,1,0))</x:f>
        <x:v>0</x:v>
      </x:c>
      <x:c r="G181" s="75" t="n">
        <x:f>IF(COUNT(D11)=0,1,IF(D11&lt;0,1,0))</x:f>
        <x:v>0</x:v>
      </x:c>
      <x:c r="H181" s="75" t="n">
        <x:f>IF(COUNT(D11)=0,1,IF(D11&lt;0,1,0))</x:f>
        <x:v>0</x:v>
      </x:c>
      <x:c r="I181" s="75" t="n">
        <x:f>IF(COUNT(D11)=0,1,IF(D11&lt;0,1,0))</x:f>
        <x:v>0</x:v>
      </x:c>
      <x:c r="J181" s="1"/>
      <x:c r="K181" s="1"/>
    </x:row>
    <x:row r="182" ht="30" customHeight="1">
      <x:c r="A182" s="1"/>
      <x:c r="B182" s="1"/>
      <x:c r="C182" s="64" t="str">
        <x:v>Operating scale growth input outside bounds</x:v>
      </x:c>
      <x:c r="D182" s="8"/>
      <x:c r="E182" s="75" t="n">
        <x:f>IF(COUNT(E12)=0,1,IF(E12&lt;-1,1,0))</x:f>
        <x:v>0</x:v>
      </x:c>
      <x:c r="F182" s="75" t="n">
        <x:f>IF(COUNT(F12)=0,1,IF(F12&lt;-1,1,0))</x:f>
        <x:v>0</x:v>
      </x:c>
      <x:c r="G182" s="75" t="n">
        <x:f>IF(COUNT(G12)=0,1,IF(G12&lt;-1,1,0))</x:f>
        <x:v>0</x:v>
      </x:c>
      <x:c r="H182" s="75" t="n">
        <x:f>IF(COUNT(H12)=0,1,IF(H12&lt;-1,1,0))</x:f>
        <x:v>0</x:v>
      </x:c>
      <x:c r="I182" s="75" t="n">
        <x:f>IF(COUNT(I12)=0,1,IF(I12&lt;-1,1,0))</x:f>
        <x:v>0</x:v>
      </x:c>
      <x:c r="J182" s="1"/>
      <x:c r="K182" s="1"/>
    </x:row>
    <x:row r="183" ht="30" customHeight="1">
      <x:c r="A183" s="1"/>
      <x:c r="B183" s="1"/>
      <x:c r="C183" s="64" t="str">
        <x:v>Realization growth input outside bounds</x:v>
      </x:c>
      <x:c r="D183" s="8"/>
      <x:c r="E183" s="75" t="n">
        <x:f>IF(COUNT(E16)=0,1,IF(E16&lt;-1,1,0))</x:f>
        <x:v>0</x:v>
      </x:c>
      <x:c r="F183" s="75" t="n">
        <x:f>IF(COUNT(F16)=0,1,IF(F16&lt;-1,1,0))</x:f>
        <x:v>0</x:v>
      </x:c>
      <x:c r="G183" s="75" t="n">
        <x:f>IF(COUNT(G16)=0,1,IF(G16&lt;-1,1,0))</x:f>
        <x:v>0</x:v>
      </x:c>
      <x:c r="H183" s="75" t="n">
        <x:f>IF(COUNT(H16)=0,1,IF(H16&lt;-1,1,0))</x:f>
        <x:v>0</x:v>
      </x:c>
      <x:c r="I183" s="75" t="n">
        <x:f>IF(COUNT(I16)=0,1,IF(I16&lt;-1,1,0))</x:f>
        <x:v>0</x:v>
      </x:c>
      <x:c r="J183" s="1"/>
      <x:c r="K183" s="1"/>
    </x:row>
    <x:row r="184" ht="30" customHeight="1">
      <x:c r="A184" s="1"/>
      <x:c r="B184" s="1"/>
      <x:c r="C184" s="64" t="str">
        <x:v>Capacity utilization input outside bounds</x:v>
      </x:c>
      <x:c r="D184" s="8"/>
      <x:c r="E184" s="75" t="n">
        <x:f>IF(COUNT(E20)=0,1,IF(E20&lt;0,1,IF(E20&gt;1,1,0)))</x:f>
        <x:v>0</x:v>
      </x:c>
      <x:c r="F184" s="75" t="n">
        <x:f>IF(COUNT(F20)=0,1,IF(F20&lt;0,1,IF(F20&gt;1,1,0)))</x:f>
        <x:v>0</x:v>
      </x:c>
      <x:c r="G184" s="75" t="n">
        <x:f>IF(COUNT(G20)=0,1,IF(G20&lt;0,1,IF(G20&gt;1,1,0)))</x:f>
        <x:v>0</x:v>
      </x:c>
      <x:c r="H184" s="75" t="n">
        <x:f>IF(COUNT(H20)=0,1,IF(H20&lt;0,1,IF(H20&gt;1,1,0)))</x:f>
        <x:v>0</x:v>
      </x:c>
      <x:c r="I184" s="75" t="n">
        <x:f>IF(COUNT(I20)=0,1,IF(I20&lt;0,1,IF(I20&gt;1,1,0)))</x:f>
        <x:v>0</x:v>
      </x:c>
      <x:c r="J184" s="1"/>
      <x:c r="K184" s="1"/>
    </x:row>
    <x:row r="185" ht="30" customHeight="1">
      <x:c r="A185" s="1"/>
      <x:c r="B185" s="1"/>
      <x:c r="C185" s="64" t="str">
        <x:v>Raw materials, fuel and freight / revenue input outside bounds</x:v>
      </x:c>
      <x:c r="D185" s="8"/>
      <x:c r="E185" s="75" t="n">
        <x:f>IF(COUNT(E21)=0,1,IF(E21&lt;0,1,0))</x:f>
        <x:v>0</x:v>
      </x:c>
      <x:c r="F185" s="75" t="n">
        <x:f>IF(COUNT(F21)=0,1,IF(F21&lt;0,1,0))</x:f>
        <x:v>0</x:v>
      </x:c>
      <x:c r="G185" s="75" t="n">
        <x:f>IF(COUNT(G21)=0,1,IF(G21&lt;0,1,0))</x:f>
        <x:v>0</x:v>
      </x:c>
      <x:c r="H185" s="75" t="n">
        <x:f>IF(COUNT(H21)=0,1,IF(H21&lt;0,1,0))</x:f>
        <x:v>0</x:v>
      </x:c>
      <x:c r="I185" s="75" t="n">
        <x:f>IF(COUNT(I21)=0,1,IF(I21&lt;0,1,0))</x:f>
        <x:v>0</x:v>
      </x:c>
      <x:c r="J185" s="1"/>
      <x:c r="K185" s="1"/>
    </x:row>
    <x:row r="186" ht="30" customHeight="1">
      <x:c r="A186" s="1"/>
      <x:c r="B186" s="1"/>
      <x:c r="C186" s="64" t="str">
        <x:v>Other cash operating costs / revenue input outside bounds</x:v>
      </x:c>
      <x:c r="D186" s="8"/>
      <x:c r="E186" s="75" t="n">
        <x:f>IF(COUNT(E22)=0,1,IF(E22&lt;0,1,0))</x:f>
        <x:v>0</x:v>
      </x:c>
      <x:c r="F186" s="75" t="n">
        <x:f>IF(COUNT(F22)=0,1,IF(F22&lt;0,1,0))</x:f>
        <x:v>0</x:v>
      </x:c>
      <x:c r="G186" s="75" t="n">
        <x:f>IF(COUNT(G22)=0,1,IF(G22&lt;0,1,0))</x:f>
        <x:v>0</x:v>
      </x:c>
      <x:c r="H186" s="75" t="n">
        <x:f>IF(COUNT(H22)=0,1,IF(H22&lt;0,1,0))</x:f>
        <x:v>0</x:v>
      </x:c>
      <x:c r="I186" s="75" t="n">
        <x:f>IF(COUNT(I22)=0,1,IF(I22&lt;0,1,0))</x:f>
        <x:v>0</x:v>
      </x:c>
      <x:c r="J186" s="1"/>
      <x:c r="K186" s="1"/>
    </x:row>
    <x:row r="187" ht="30" customHeight="1">
      <x:c r="A187" s="1"/>
      <x:c r="B187" s="1"/>
      <x:c r="C187" s="64" t="str">
        <x:v>Cash capex / revenue input outside bounds</x:v>
      </x:c>
      <x:c r="D187" s="8"/>
      <x:c r="E187" s="75" t="n">
        <x:f>IF(COUNT(E23)=0,1,IF(E23&lt;0,1,0))</x:f>
        <x:v>0</x:v>
      </x:c>
      <x:c r="F187" s="75" t="n">
        <x:f>IF(COUNT(F23)=0,1,IF(F23&lt;0,1,0))</x:f>
        <x:v>0</x:v>
      </x:c>
      <x:c r="G187" s="75" t="n">
        <x:f>IF(COUNT(G23)=0,1,IF(G23&lt;0,1,0))</x:f>
        <x:v>0</x:v>
      </x:c>
      <x:c r="H187" s="75" t="n">
        <x:f>IF(COUNT(H23)=0,1,IF(H23&lt;0,1,0))</x:f>
        <x:v>0</x:v>
      </x:c>
      <x:c r="I187" s="75" t="n">
        <x:f>IF(COUNT(I23)=0,1,IF(I23&lt;0,1,0))</x:f>
        <x:v>0</x:v>
      </x:c>
      <x:c r="J187" s="1"/>
      <x:c r="K187" s="1"/>
    </x:row>
    <x:row r="188" ht="30" customHeight="1">
      <x:c r="A188" s="1"/>
      <x:c r="B188" s="1"/>
      <x:c r="C188" s="64" t="str">
        <x:v>D&amp;A / opening net PP&amp;E input outside bounds</x:v>
      </x:c>
      <x:c r="D188" s="8"/>
      <x:c r="E188" s="75" t="n">
        <x:f>IF(COUNT(E24)=0,1,IF(E24&lt;0,1,IF(E24&gt;1,1,0)))</x:f>
        <x:v>0</x:v>
      </x:c>
      <x:c r="F188" s="75" t="n">
        <x:f>IF(COUNT(F24)=0,1,IF(F24&lt;0,1,IF(F24&gt;1,1,0)))</x:f>
        <x:v>0</x:v>
      </x:c>
      <x:c r="G188" s="75" t="n">
        <x:f>IF(COUNT(G24)=0,1,IF(G24&lt;0,1,IF(G24&gt;1,1,0)))</x:f>
        <x:v>0</x:v>
      </x:c>
      <x:c r="H188" s="75" t="n">
        <x:f>IF(COUNT(H24)=0,1,IF(H24&lt;0,1,IF(H24&gt;1,1,0)))</x:f>
        <x:v>0</x:v>
      </x:c>
      <x:c r="I188" s="75" t="n">
        <x:f>IF(COUNT(I24)=0,1,IF(I24&lt;0,1,IF(I24&gt;1,1,0)))</x:f>
        <x:v>0</x:v>
      </x:c>
      <x:c r="J188" s="1"/>
      <x:c r="K188" s="1"/>
    </x:row>
    <x:row r="189" ht="30" customHeight="1">
      <x:c r="A189" s="1"/>
      <x:c r="B189" s="1"/>
      <x:c r="C189" s="64" t="str">
        <x:v>Receivable days input outside bounds</x:v>
      </x:c>
      <x:c r="D189" s="8"/>
      <x:c r="E189" s="75" t="n">
        <x:f>IF(COUNT(E25)=0,1,IF(E25&lt;0,1,0))</x:f>
        <x:v>0</x:v>
      </x:c>
      <x:c r="F189" s="75" t="n">
        <x:f>IF(COUNT(F25)=0,1,IF(F25&lt;0,1,0))</x:f>
        <x:v>0</x:v>
      </x:c>
      <x:c r="G189" s="75" t="n">
        <x:f>IF(COUNT(G25)=0,1,IF(G25&lt;0,1,0))</x:f>
        <x:v>0</x:v>
      </x:c>
      <x:c r="H189" s="75" t="n">
        <x:f>IF(COUNT(H25)=0,1,IF(H25&lt;0,1,0))</x:f>
        <x:v>0</x:v>
      </x:c>
      <x:c r="I189" s="75" t="n">
        <x:f>IF(COUNT(I25)=0,1,IF(I25&lt;0,1,0))</x:f>
        <x:v>0</x:v>
      </x:c>
      <x:c r="J189" s="1"/>
      <x:c r="K189" s="1"/>
    </x:row>
    <x:row r="190" ht="30" customHeight="1">
      <x:c r="A190" s="1"/>
      <x:c r="B190" s="1"/>
      <x:c r="C190" s="64" t="str">
        <x:v>Inventory days input outside bounds</x:v>
      </x:c>
      <x:c r="D190" s="8"/>
      <x:c r="E190" s="75" t="n">
        <x:f>IF(COUNT(E26)=0,1,IF(E26&lt;0,1,0))</x:f>
        <x:v>0</x:v>
      </x:c>
      <x:c r="F190" s="75" t="n">
        <x:f>IF(COUNT(F26)=0,1,IF(F26&lt;0,1,0))</x:f>
        <x:v>0</x:v>
      </x:c>
      <x:c r="G190" s="75" t="n">
        <x:f>IF(COUNT(G26)=0,1,IF(G26&lt;0,1,0))</x:f>
        <x:v>0</x:v>
      </x:c>
      <x:c r="H190" s="75" t="n">
        <x:f>IF(COUNT(H26)=0,1,IF(H26&lt;0,1,0))</x:f>
        <x:v>0</x:v>
      </x:c>
      <x:c r="I190" s="75" t="n">
        <x:f>IF(COUNT(I26)=0,1,IF(I26&lt;0,1,0))</x:f>
        <x:v>0</x:v>
      </x:c>
      <x:c r="J190" s="1"/>
      <x:c r="K190" s="1"/>
    </x:row>
    <x:row r="191" ht="30" customHeight="1">
      <x:c r="A191" s="1"/>
      <x:c r="B191" s="1"/>
      <x:c r="C191" s="64" t="str">
        <x:v>Payable days input outside bounds</x:v>
      </x:c>
      <x:c r="D191" s="8"/>
      <x:c r="E191" s="75" t="n">
        <x:f>IF(COUNT(E27)=0,1,IF(E27&lt;0,1,0))</x:f>
        <x:v>0</x:v>
      </x:c>
      <x:c r="F191" s="75" t="n">
        <x:f>IF(COUNT(F27)=0,1,IF(F27&lt;0,1,0))</x:f>
        <x:v>0</x:v>
      </x:c>
      <x:c r="G191" s="75" t="n">
        <x:f>IF(COUNT(G27)=0,1,IF(G27&lt;0,1,0))</x:f>
        <x:v>0</x:v>
      </x:c>
      <x:c r="H191" s="75" t="n">
        <x:f>IF(COUNT(H27)=0,1,IF(H27&lt;0,1,0))</x:f>
        <x:v>0</x:v>
      </x:c>
      <x:c r="I191" s="75" t="n">
        <x:f>IF(COUNT(I27)=0,1,IF(I27&lt;0,1,0))</x:f>
        <x:v>0</x:v>
      </x:c>
      <x:c r="J191" s="1"/>
      <x:c r="K191" s="1"/>
    </x:row>
    <x:row r="192" ht="30" customHeight="1">
      <x:c r="A192" s="1"/>
      <x:c r="B192" s="1"/>
      <x:c r="C192" s="64" t="str">
        <x:v>Effective cash tax rate input outside bounds</x:v>
      </x:c>
      <x:c r="D192" s="8"/>
      <x:c r="E192" s="75" t="n">
        <x:f>IF(COUNT(E28)=0,1,IF(E28&lt;0,1,IF(E28&gt;1,1,0)))</x:f>
        <x:v>0</x:v>
      </x:c>
      <x:c r="F192" s="75" t="n">
        <x:f>IF(COUNT(F28)=0,1,IF(F28&lt;0,1,IF(F28&gt;1,1,0)))</x:f>
        <x:v>0</x:v>
      </x:c>
      <x:c r="G192" s="75" t="n">
        <x:f>IF(COUNT(G28)=0,1,IF(G28&lt;0,1,IF(G28&gt;1,1,0)))</x:f>
        <x:v>0</x:v>
      </x:c>
      <x:c r="H192" s="75" t="n">
        <x:f>IF(COUNT(H28)=0,1,IF(H28&lt;0,1,IF(H28&gt;1,1,0)))</x:f>
        <x:v>0</x:v>
      </x:c>
      <x:c r="I192" s="75" t="n">
        <x:f>IF(COUNT(I28)=0,1,IF(I28&lt;0,1,IF(I28&gt;1,1,0)))</x:f>
        <x:v>0</x:v>
      </x:c>
      <x:c r="J192" s="1"/>
      <x:c r="K192" s="1"/>
    </x:row>
    <x:row r="193" ht="30" customHeight="1">
      <x:c r="A193" s="1"/>
      <x:c r="B193" s="1"/>
      <x:c r="C193" s="64" t="str">
        <x:v>Interest on opening debt input outside bounds</x:v>
      </x:c>
      <x:c r="D193" s="8"/>
      <x:c r="E193" s="75" t="n">
        <x:f>IF(COUNT(E29)=0,1,IF(E29&lt;0,1,0))</x:f>
        <x:v>0</x:v>
      </x:c>
      <x:c r="F193" s="75" t="n">
        <x:f>IF(COUNT(F29)=0,1,IF(F29&lt;0,1,0))</x:f>
        <x:v>0</x:v>
      </x:c>
      <x:c r="G193" s="75" t="n">
        <x:f>IF(COUNT(G29)=0,1,IF(G29&lt;0,1,0))</x:f>
        <x:v>0</x:v>
      </x:c>
      <x:c r="H193" s="75" t="n">
        <x:f>IF(COUNT(H29)=0,1,IF(H29&lt;0,1,0))</x:f>
        <x:v>0</x:v>
      </x:c>
      <x:c r="I193" s="75" t="n">
        <x:f>IF(COUNT(I29)=0,1,IF(I29&lt;0,1,0))</x:f>
        <x:v>0</x:v>
      </x:c>
      <x:c r="J193" s="1"/>
      <x:c r="K193" s="1"/>
    </x:row>
    <x:row r="194" ht="30" customHeight="1">
      <x:c r="A194" s="1"/>
      <x:c r="B194" s="1"/>
      <x:c r="C194" s="64" t="str">
        <x:v>New borrowing input outside bounds</x:v>
      </x:c>
      <x:c r="D194" s="8"/>
      <x:c r="E194" s="75" t="n">
        <x:f>IF(COUNT(E30)=0,1,IF(E30&lt;0,1,0))</x:f>
        <x:v>0</x:v>
      </x:c>
      <x:c r="F194" s="75" t="n">
        <x:f>IF(COUNT(F30)=0,1,IF(F30&lt;0,1,0))</x:f>
        <x:v>0</x:v>
      </x:c>
      <x:c r="G194" s="75" t="n">
        <x:f>IF(COUNT(G30)=0,1,IF(G30&lt;0,1,0))</x:f>
        <x:v>0</x:v>
      </x:c>
      <x:c r="H194" s="75" t="n">
        <x:f>IF(COUNT(H30)=0,1,IF(H30&lt;0,1,0))</x:f>
        <x:v>0</x:v>
      </x:c>
      <x:c r="I194" s="75" t="n">
        <x:f>IF(COUNT(I30)=0,1,IF(I30&lt;0,1,0))</x:f>
        <x:v>0</x:v>
      </x:c>
      <x:c r="J194" s="1"/>
      <x:c r="K194" s="1"/>
    </x:row>
    <x:row r="195" ht="30" customHeight="1">
      <x:c r="A195" s="1"/>
      <x:c r="B195" s="1"/>
      <x:c r="C195" s="64" t="str">
        <x:v>Scheduled principal repayment input outside bounds</x:v>
      </x:c>
      <x:c r="D195" s="8"/>
      <x:c r="E195" s="75" t="n">
        <x:f>IF(COUNT(E31)=0,1,IF(E31&lt;0,1,0))</x:f>
        <x:v>0</x:v>
      </x:c>
      <x:c r="F195" s="75" t="n">
        <x:f>IF(COUNT(F31)=0,1,IF(F31&lt;0,1,0))</x:f>
        <x:v>0</x:v>
      </x:c>
      <x:c r="G195" s="75" t="n">
        <x:f>IF(COUNT(G31)=0,1,IF(G31&lt;0,1,0))</x:f>
        <x:v>0</x:v>
      </x:c>
      <x:c r="H195" s="75" t="n">
        <x:f>IF(COUNT(H31)=0,1,IF(H31&lt;0,1,0))</x:f>
        <x:v>0</x:v>
      </x:c>
      <x:c r="I195" s="75" t="n">
        <x:f>IF(COUNT(I31)=0,1,IF(I31&lt;0,1,0))</x:f>
        <x:v>0</x:v>
      </x:c>
      <x:c r="J195" s="1"/>
      <x:c r="K195" s="1"/>
    </x:row>
    <x:row r="196" ht="30" customHeight="1">
      <x:c r="A196" s="1"/>
      <x:c r="B196" s="1"/>
      <x:c r="C196" s="64" t="str">
        <x:v>Dividend payout on positive PAT input outside bounds</x:v>
      </x:c>
      <x:c r="D196" s="8"/>
      <x:c r="E196" s="75" t="n">
        <x:f>IF(COUNT(E32)=0,1,IF(E32&lt;0,1,IF(E32&gt;1,1,0)))</x:f>
        <x:v>0</x:v>
      </x:c>
      <x:c r="F196" s="75" t="n">
        <x:f>IF(COUNT(F32)=0,1,IF(F32&lt;0,1,IF(F32&gt;1,1,0)))</x:f>
        <x:v>0</x:v>
      </x:c>
      <x:c r="G196" s="75" t="n">
        <x:f>IF(COUNT(G32)=0,1,IF(G32&lt;0,1,IF(G32&gt;1,1,0)))</x:f>
        <x:v>0</x:v>
      </x:c>
      <x:c r="H196" s="75" t="n">
        <x:f>IF(COUNT(H32)=0,1,IF(H32&lt;0,1,IF(H32&gt;1,1,0)))</x:f>
        <x:v>0</x:v>
      </x:c>
      <x:c r="I196" s="75" t="n">
        <x:f>IF(COUNT(I32)=0,1,IF(I32&lt;0,1,IF(I32&gt;1,1,0)))</x:f>
        <x:v>0</x:v>
      </x:c>
      <x:c r="J196" s="1"/>
      <x:c r="K196" s="1"/>
    </x:row>
    <x:row r="197" ht="30" customHeight="1">
      <x:c r="A197" s="1"/>
      <x:c r="B197" s="1"/>
      <x:c r="C197" s="64" t="str">
        <x:v>Opening net PP&amp;E input outside bounds</x:v>
      </x:c>
      <x:c r="D197" s="8"/>
      <x:c r="E197" s="75" t="n">
        <x:f>IF(COUNT(D34)=0,1,IF(D34&lt;0,1,0))</x:f>
        <x:v>0</x:v>
      </x:c>
      <x:c r="F197" s="75" t="n">
        <x:f>IF(COUNT(D34)=0,1,IF(D34&lt;0,1,0))</x:f>
        <x:v>0</x:v>
      </x:c>
      <x:c r="G197" s="75" t="n">
        <x:f>IF(COUNT(D34)=0,1,IF(D34&lt;0,1,0))</x:f>
        <x:v>0</x:v>
      </x:c>
      <x:c r="H197" s="75" t="n">
        <x:f>IF(COUNT(D34)=0,1,IF(D34&lt;0,1,0))</x:f>
        <x:v>0</x:v>
      </x:c>
      <x:c r="I197" s="75" t="n">
        <x:f>IF(COUNT(D34)=0,1,IF(D34&lt;0,1,0))</x:f>
        <x:v>0</x:v>
      </x:c>
      <x:c r="J197" s="1"/>
      <x:c r="K197" s="1"/>
    </x:row>
    <x:row r="198" ht="30" customHeight="1">
      <x:c r="A198" s="1"/>
      <x:c r="B198" s="1"/>
      <x:c r="C198" s="64" t="str">
        <x:v>Opening debt input outside bounds</x:v>
      </x:c>
      <x:c r="D198" s="8"/>
      <x:c r="E198" s="75" t="n">
        <x:f>IF(COUNT(D35)=0,1,IF(D35&lt;0,1,0))</x:f>
        <x:v>0</x:v>
      </x:c>
      <x:c r="F198" s="75" t="n">
        <x:f>IF(COUNT(D35)=0,1,IF(D35&lt;0,1,0))</x:f>
        <x:v>0</x:v>
      </x:c>
      <x:c r="G198" s="75" t="n">
        <x:f>IF(COUNT(D35)=0,1,IF(D35&lt;0,1,0))</x:f>
        <x:v>0</x:v>
      </x:c>
      <x:c r="H198" s="75" t="n">
        <x:f>IF(COUNT(D35)=0,1,IF(D35&lt;0,1,0))</x:f>
        <x:v>0</x:v>
      </x:c>
      <x:c r="I198" s="75" t="n">
        <x:f>IF(COUNT(D35)=0,1,IF(D35&lt;0,1,0))</x:f>
        <x:v>0</x:v>
      </x:c>
      <x:c r="J198" s="1"/>
      <x:c r="K198" s="1"/>
    </x:row>
    <x:row r="199" ht="30" customHeight="1">
      <x:c r="A199" s="1"/>
      <x:c r="B199" s="1"/>
      <x:c r="C199" s="64" t="str">
        <x:v>Opening cash input outside bounds</x:v>
      </x:c>
      <x:c r="D199" s="8"/>
      <x:c r="E199" s="75" t="n">
        <x:f>IF(COUNT(D36)=0,1,IF(D36&lt;0,1,0))</x:f>
        <x:v>0</x:v>
      </x:c>
      <x:c r="F199" s="75" t="n">
        <x:f>IF(COUNT(D36)=0,1,IF(D36&lt;0,1,0))</x:f>
        <x:v>0</x:v>
      </x:c>
      <x:c r="G199" s="75" t="n">
        <x:f>IF(COUNT(D36)=0,1,IF(D36&lt;0,1,0))</x:f>
        <x:v>0</x:v>
      </x:c>
      <x:c r="H199" s="75" t="n">
        <x:f>IF(COUNT(D36)=0,1,IF(D36&lt;0,1,0))</x:f>
        <x:v>0</x:v>
      </x:c>
      <x:c r="I199" s="75" t="n">
        <x:f>IF(COUNT(D36)=0,1,IF(D36&lt;0,1,0))</x:f>
        <x:v>0</x:v>
      </x:c>
      <x:c r="J199" s="1"/>
      <x:c r="K199" s="1"/>
    </x:row>
    <x:row r="200" ht="30" customHeight="1">
      <x:c r="A200" s="1"/>
      <x:c r="B200" s="1"/>
      <x:c r="C200" s="64" t="str">
        <x:v>Diluted shares (crore) input outside bounds</x:v>
      </x:c>
      <x:c r="D200" s="8"/>
      <x:c r="E200" s="75" t="n">
        <x:f>IF(COUNT(D38)=0,1,IF(D38&lt;0,1,0))</x:f>
        <x:v>0</x:v>
      </x:c>
      <x:c r="F200" s="75" t="n">
        <x:f>IF(COUNT(D38)=0,1,IF(D38&lt;0,1,0))</x:f>
        <x:v>0</x:v>
      </x:c>
      <x:c r="G200" s="75" t="n">
        <x:f>IF(COUNT(D38)=0,1,IF(D38&lt;0,1,0))</x:f>
        <x:v>0</x:v>
      </x:c>
      <x:c r="H200" s="75" t="n">
        <x:f>IF(COUNT(D38)=0,1,IF(D38&lt;0,1,0))</x:f>
        <x:v>0</x:v>
      </x:c>
      <x:c r="I200" s="75" t="n">
        <x:f>IF(COUNT(D38)=0,1,IF(D38&lt;0,1,0))</x:f>
        <x:v>0</x:v>
      </x:c>
      <x:c r="J200" s="1"/>
      <x:c r="K200" s="1"/>
    </x:row>
    <x:row r="201" ht="30" customHeight="1">
      <x:c r="A201" s="1"/>
      <x:c r="B201" s="1"/>
      <x:c r="C201" s="64" t="str">
        <x:v>WACC input outside bounds</x:v>
      </x:c>
      <x:c r="D201" s="8"/>
      <x:c r="E201" s="75" t="n">
        <x:f>IF(COUNT(D39)=0,1,IF(D39&lt;0,1,0))</x:f>
        <x:v>0</x:v>
      </x:c>
      <x:c r="F201" s="75" t="n">
        <x:f>IF(COUNT(D39)=0,1,IF(D39&lt;0,1,0))</x:f>
        <x:v>0</x:v>
      </x:c>
      <x:c r="G201" s="75" t="n">
        <x:f>IF(COUNT(D39)=0,1,IF(D39&lt;0,1,0))</x:f>
        <x:v>0</x:v>
      </x:c>
      <x:c r="H201" s="75" t="n">
        <x:f>IF(COUNT(D39)=0,1,IF(D39&lt;0,1,0))</x:f>
        <x:v>0</x:v>
      </x:c>
      <x:c r="I201" s="75" t="n">
        <x:f>IF(COUNT(D39)=0,1,IF(D39&lt;0,1,0))</x:f>
        <x:v>0</x:v>
      </x:c>
      <x:c r="J201" s="1"/>
      <x:c r="K201" s="1"/>
    </x:row>
    <x:row r="202" ht="30" customHeight="1">
      <x:c r="A202" s="1"/>
      <x:c r="B202" s="1"/>
      <x:c r="C202" s="64" t="str">
        <x:v>Terminal growth input outside bounds</x:v>
      </x:c>
      <x:c r="D202" s="8"/>
      <x:c r="E202" s="75" t="n">
        <x:f>IF(COUNT(D40)=0,1,IF(D40&lt;-1,1,0))</x:f>
        <x:v>0</x:v>
      </x:c>
      <x:c r="F202" s="75" t="n">
        <x:f>IF(COUNT(D40)=0,1,IF(D40&lt;-1,1,0))</x:f>
        <x:v>0</x:v>
      </x:c>
      <x:c r="G202" s="75" t="n">
        <x:f>IF(COUNT(D40)=0,1,IF(D40&lt;-1,1,0))</x:f>
        <x:v>0</x:v>
      </x:c>
      <x:c r="H202" s="75" t="n">
        <x:f>IF(COUNT(D40)=0,1,IF(D40&lt;-1,1,0))</x:f>
        <x:v>0</x:v>
      </x:c>
      <x:c r="I202" s="75" t="n">
        <x:f>IF(COUNT(D40)=0,1,IF(D40&lt;-1,1,0))</x:f>
        <x:v>0</x:v>
      </x:c>
      <x:c r="J202" s="1"/>
      <x:c r="K202" s="1"/>
    </x:row>
    <x:row r="203" ht="30" customHeight="1">
      <x:c r="A203" s="1"/>
      <x:c r="B203" s="1"/>
      <x:c r="C203" s="64" t="str">
        <x:v>Terminal incremental ROIC input outside bounds</x:v>
      </x:c>
      <x:c r="D203" s="8"/>
      <x:c r="E203" s="75" t="n">
        <x:f>IF(COUNT(D41)=0,1,IF(D41&lt;0,1,0))</x:f>
        <x:v>0</x:v>
      </x:c>
      <x:c r="F203" s="75" t="n">
        <x:f>IF(COUNT(D41)=0,1,IF(D41&lt;0,1,0))</x:f>
        <x:v>0</x:v>
      </x:c>
      <x:c r="G203" s="75" t="n">
        <x:f>IF(COUNT(D41)=0,1,IF(D41&lt;0,1,0))</x:f>
        <x:v>0</x:v>
      </x:c>
      <x:c r="H203" s="75" t="n">
        <x:f>IF(COUNT(D41)=0,1,IF(D41&lt;0,1,0))</x:f>
        <x:v>0</x:v>
      </x:c>
      <x:c r="I203" s="75" t="n">
        <x:f>IF(COUNT(D41)=0,1,IF(D41&lt;0,1,0))</x:f>
        <x:v>0</x:v>
      </x:c>
      <x:c r="J203" s="1"/>
      <x:c r="K203" s="1"/>
    </x:row>
    <x:row r="204" ht="30" customHeight="1">
      <x:c r="A204" s="1"/>
      <x:c r="B204" s="1"/>
      <x:c r="C204" s="64" t="str">
        <x:v>Forward EV / EBITDA input outside bounds</x:v>
      </x:c>
      <x:c r="D204" s="8"/>
      <x:c r="E204" s="75" t="n">
        <x:f>IF(COUNT(D42)=0,1,IF(D42&lt;0,1,0))</x:f>
        <x:v>0</x:v>
      </x:c>
      <x:c r="F204" s="75" t="n">
        <x:f>IF(COUNT(D42)=0,1,IF(D42&lt;0,1,0))</x:f>
        <x:v>0</x:v>
      </x:c>
      <x:c r="G204" s="75" t="n">
        <x:f>IF(COUNT(D42)=0,1,IF(D42&lt;0,1,0))</x:f>
        <x:v>0</x:v>
      </x:c>
      <x:c r="H204" s="75" t="n">
        <x:f>IF(COUNT(D42)=0,1,IF(D42&lt;0,1,0))</x:f>
        <x:v>0</x:v>
      </x:c>
      <x:c r="I204" s="75" t="n">
        <x:f>IF(COUNT(D42)=0,1,IF(D42&lt;0,1,0))</x:f>
        <x:v>0</x:v>
      </x:c>
      <x:c r="J204" s="1"/>
      <x:c r="K204" s="1"/>
    </x:row>
    <x:row r="205" ht="30" customHeight="1">
      <x:c r="A205" s="1"/>
      <x:c r="B205" s="1"/>
      <x:c r="C205" s="64" t="str">
        <x:v>Terminal valuation assumptions invalid</x:v>
      </x:c>
      <x:c r="D205" s="8"/>
      <x:c r="E205" s="75" t="n">
        <x:f>IF(D39&lt;=D40,1,IF(D41&lt;=0,1,IF(D40&gt;D41,1,0)))</x:f>
        <x:v>0</x:v>
      </x:c>
      <x:c r="F205" s="75" t="n">
        <x:f>IF(D39&lt;=D40,1,IF(D41&lt;=0,1,IF(D40&gt;D41,1,0)))</x:f>
        <x:v>0</x:v>
      </x:c>
      <x:c r="G205" s="75" t="n">
        <x:f>IF(D39&lt;=D40,1,IF(D41&lt;=0,1,IF(D40&gt;D41,1,0)))</x:f>
        <x:v>0</x:v>
      </x:c>
      <x:c r="H205" s="75" t="n">
        <x:f>IF(D39&lt;=D40,1,IF(D41&lt;=0,1,IF(D40&gt;D41,1,0)))</x:f>
        <x:v>0</x:v>
      </x:c>
      <x:c r="I205" s="75" t="n">
        <x:f>IF(D39&lt;=D40,1,IF(D41&lt;=0,1,IF(D40&gt;D41,1,0)))</x:f>
        <x:v>0</x:v>
      </x:c>
      <x:c r="J205" s="1"/>
      <x:c r="K205" s="1"/>
    </x:row>
    <x:row r="206" ht="30" customHeight="1">
      <x:c r="A206" s="1"/>
      <x:c r="B206" s="1"/>
      <x:c r="C206" s="64"/>
      <x:c r="D206" s="8"/>
      <x:c r="E206" s="8"/>
      <x:c r="F206" s="8"/>
      <x:c r="G206" s="8"/>
      <x:c r="H206" s="8"/>
      <x:c r="I206" s="8"/>
      <x:c r="J206" s="1"/>
      <x:c r="K206" s="1"/>
    </x:row>
    <x:row r="207" ht="30" customHeight="1">
      <x:c r="A207" s="1"/>
      <x:c r="B207" s="1"/>
      <x:c r="C207" s="64"/>
      <x:c r="D207" s="8"/>
      <x:c r="E207" s="8"/>
      <x:c r="F207" s="8"/>
      <x:c r="G207" s="8"/>
      <x:c r="H207" s="8"/>
      <x:c r="I207" s="8"/>
      <x:c r="J207" s="1"/>
      <x:c r="K207" s="1"/>
    </x:row>
    <x:row r="208" ht="30" customHeight="1">
      <x:c r="A208" s="1"/>
      <x:c r="B208" s="1"/>
      <x:c r="C208" s="64"/>
      <x:c r="D208" s="8"/>
      <x:c r="E208" s="8"/>
      <x:c r="F208" s="8"/>
      <x:c r="G208" s="8"/>
      <x:c r="H208" s="8"/>
      <x:c r="I208" s="8"/>
      <x:c r="J208" s="1"/>
      <x:c r="K208" s="1"/>
    </x:row>
    <x:row r="209" ht="30" customHeight="1">
      <x:c r="A209" s="1"/>
      <x:c r="B209" s="1"/>
      <x:c r="C209" s="64"/>
      <x:c r="D209" s="8"/>
      <x:c r="E209" s="8"/>
      <x:c r="F209" s="8"/>
      <x:c r="G209" s="8"/>
      <x:c r="H209" s="8"/>
      <x:c r="I209" s="8"/>
      <x:c r="J209" s="1"/>
      <x:c r="K209" s="1"/>
    </x:row>
    <x:row r="210" ht="30" customHeight="1">
      <x:c r="A210" s="1"/>
      <x:c r="B210" s="1"/>
      <x:c r="C210" s="64"/>
      <x:c r="D210" s="8"/>
      <x:c r="E210" s="8"/>
      <x:c r="F210" s="8"/>
      <x:c r="G210" s="8"/>
      <x:c r="H210" s="8"/>
      <x:c r="I210" s="8"/>
      <x:c r="J210" s="1"/>
      <x:c r="K210" s="1"/>
    </x:row>
    <x:row r="211" ht="30" customHeight="1">
      <x:c r="C211" s="64"/>
      <x:c r="D211" s="63"/>
      <x:c r="E211" s="63"/>
      <x:c r="F211" s="63"/>
      <x:c r="G211" s="63"/>
      <x:c r="H211" s="63"/>
      <x:c r="I211" s="63"/>
    </x:row>
    <x:row r="212" ht="30" customHeight="1">
      <x:c r="C212" s="64"/>
      <x:c r="D212" s="63"/>
      <x:c r="E212" s="63"/>
      <x:c r="F212" s="63"/>
      <x:c r="G212" s="63"/>
      <x:c r="H212" s="63"/>
      <x:c r="I212" s="63"/>
    </x:row>
    <x:row r="213" ht="30" customHeight="1">
      <x:c r="C213" s="64"/>
      <x:c r="D213" s="63"/>
      <x:c r="E213" s="63"/>
      <x:c r="F213" s="63"/>
      <x:c r="G213" s="63"/>
      <x:c r="H213" s="63"/>
      <x:c r="I213" s="63"/>
    </x:row>
    <x:row r="214" ht="30" customHeight="1">
      <x:c r="C214" s="64"/>
      <x:c r="D214" s="63"/>
      <x:c r="E214" s="63"/>
      <x:c r="F214" s="63"/>
      <x:c r="G214" s="63"/>
      <x:c r="H214" s="63"/>
      <x:c r="I214" s="63"/>
    </x:row>
    <x:row r="215" ht="30" customHeight="1">
      <x:c r="C215" s="64"/>
      <x:c r="D215" s="63"/>
      <x:c r="E215" s="63"/>
      <x:c r="F215" s="63"/>
      <x:c r="G215" s="63"/>
      <x:c r="H215" s="63"/>
      <x:c r="I215" s="63"/>
    </x:row>
    <x:row r="216" ht="30" customHeight="1">
      <x:c r="C216" s="64"/>
      <x:c r="D216" s="63"/>
      <x:c r="E216" s="63"/>
      <x:c r="F216" s="63"/>
      <x:c r="G216" s="63"/>
      <x:c r="H216" s="63"/>
      <x:c r="I216" s="63"/>
    </x:row>
    <x:row r="217" ht="30" customHeight="1">
      <x:c r="C217" s="64"/>
      <x:c r="D217" s="63"/>
      <x:c r="E217" s="63"/>
      <x:c r="F217" s="63"/>
      <x:c r="G217" s="63"/>
      <x:c r="H217" s="63"/>
      <x:c r="I217" s="63"/>
    </x:row>
    <x:row r="218" ht="30" customHeight="1">
      <x:c r="C218" s="64"/>
      <x:c r="D218" s="63"/>
      <x:c r="E218" s="63"/>
      <x:c r="F218" s="63"/>
      <x:c r="G218" s="63"/>
      <x:c r="H218" s="63"/>
      <x:c r="I218" s="63"/>
    </x:row>
    <x:row r="219" ht="30" customHeight="1">
      <x:c r="C219" s="64"/>
      <x:c r="D219" s="63"/>
      <x:c r="E219" s="63"/>
      <x:c r="F219" s="63"/>
      <x:c r="G219" s="63"/>
      <x:c r="H219" s="63"/>
      <x:c r="I219" s="63"/>
    </x:row>
    <x:row r="220" ht="30" customHeight="1">
      <x:c r="C220" s="64"/>
      <x:c r="D220" s="63"/>
      <x:c r="E220" s="63"/>
      <x:c r="F220" s="63"/>
      <x:c r="G220" s="63"/>
      <x:c r="H220" s="63"/>
      <x:c r="I220" s="63"/>
    </x:row>
    <x:row r="221" ht="30" customHeight="1">
      <x:c r="C221" s="64"/>
      <x:c r="D221" s="63"/>
      <x:c r="E221" s="63"/>
      <x:c r="F221" s="63"/>
      <x:c r="G221" s="63"/>
      <x:c r="H221" s="63"/>
      <x:c r="I221" s="63"/>
    </x:row>
    <x:row r="222" ht="30" customHeight="1">
      <x:c r="C222" s="64"/>
      <x:c r="D222" s="63"/>
      <x:c r="E222" s="63"/>
      <x:c r="F222" s="63"/>
      <x:c r="G222" s="63"/>
      <x:c r="H222" s="63"/>
      <x:c r="I222" s="63"/>
    </x:row>
    <x:row r="223" ht="30" customHeight="1">
      <x:c r="C223" s="64"/>
      <x:c r="D223" s="63"/>
      <x:c r="E223" s="63"/>
      <x:c r="F223" s="63"/>
      <x:c r="G223" s="63"/>
      <x:c r="H223" s="63"/>
      <x:c r="I223" s="63"/>
    </x:row>
    <x:row r="224" ht="30" customHeight="1">
      <x:c r="C224" s="64"/>
      <x:c r="D224" s="63"/>
      <x:c r="E224" s="63"/>
      <x:c r="F224" s="63"/>
      <x:c r="G224" s="63"/>
      <x:c r="H224" s="63"/>
      <x:c r="I224" s="63"/>
    </x:row>
    <x:row r="225" ht="30" customHeight="1">
      <x:c r="C225" s="64"/>
      <x:c r="D225" s="63"/>
      <x:c r="E225" s="63"/>
      <x:c r="F225" s="63"/>
      <x:c r="G225" s="63"/>
      <x:c r="H225" s="63"/>
      <x:c r="I225" s="63"/>
    </x:row>
    <x:row r="226" ht="30" customHeight="1">
      <x:c r="C226" s="64"/>
      <x:c r="D226" s="63"/>
      <x:c r="E226" s="63"/>
      <x:c r="F226" s="63"/>
      <x:c r="G226" s="63"/>
      <x:c r="H226" s="63"/>
      <x:c r="I226" s="63"/>
    </x:row>
    <x:row r="227" ht="30" customHeight="1">
      <x:c r="C227" s="64"/>
      <x:c r="D227" s="63"/>
      <x:c r="E227" s="63"/>
      <x:c r="F227" s="63"/>
      <x:c r="G227" s="63"/>
      <x:c r="H227" s="63"/>
      <x:c r="I227" s="63"/>
    </x:row>
    <x:row r="228" ht="30" customHeight="1">
      <x:c r="C228" s="64"/>
      <x:c r="D228" s="63"/>
      <x:c r="E228" s="63"/>
      <x:c r="F228" s="63"/>
      <x:c r="G228" s="63"/>
      <x:c r="H228" s="63"/>
      <x:c r="I228" s="63"/>
    </x:row>
    <x:row r="229" ht="30" customHeight="1">
      <x:c r="C229" s="64"/>
      <x:c r="D229" s="63"/>
      <x:c r="E229" s="63"/>
      <x:c r="F229" s="63"/>
      <x:c r="G229" s="63"/>
      <x:c r="H229" s="63"/>
      <x:c r="I229" s="63"/>
    </x:row>
    <x:row r="230" ht="30" customHeight="1">
      <x:c r="C230" s="64"/>
      <x:c r="D230" s="63"/>
      <x:c r="E230" s="63"/>
      <x:c r="F230" s="63"/>
      <x:c r="G230" s="63"/>
      <x:c r="H230" s="63"/>
      <x:c r="I230" s="63"/>
    </x:row>
    <x:row r="231" ht="30" customHeight="1">
      <x:c r="C231" s="64"/>
      <x:c r="D231" s="63"/>
      <x:c r="E231" s="63"/>
      <x:c r="F231" s="63"/>
      <x:c r="G231" s="63"/>
      <x:c r="H231" s="63"/>
      <x:c r="I231" s="63"/>
    </x:row>
    <x:row r="232" ht="30" customHeight="1">
      <x:c r="C232" s="64"/>
      <x:c r="D232" s="63"/>
      <x:c r="E232" s="63"/>
      <x:c r="F232" s="63"/>
      <x:c r="G232" s="63"/>
      <x:c r="H232" s="63"/>
      <x:c r="I232" s="63"/>
    </x:row>
    <x:row r="233" ht="30" customHeight="1">
      <x:c r="C233" s="64"/>
      <x:c r="D233" s="63"/>
      <x:c r="E233" s="63"/>
      <x:c r="F233" s="63"/>
      <x:c r="G233" s="63"/>
      <x:c r="H233" s="63"/>
      <x:c r="I233" s="63"/>
    </x:row>
    <x:row r="234" ht="30" customHeight="1">
      <x:c r="C234" s="64"/>
      <x:c r="D234" s="63"/>
      <x:c r="E234" s="63"/>
      <x:c r="F234" s="63"/>
      <x:c r="G234" s="63"/>
      <x:c r="H234" s="63"/>
      <x:c r="I234" s="63"/>
    </x:row>
    <x:row r="235" ht="30" customHeight="1">
      <x:c r="C235" s="64"/>
      <x:c r="D235" s="63"/>
      <x:c r="E235" s="63"/>
      <x:c r="F235" s="63"/>
      <x:c r="G235" s="63"/>
      <x:c r="H235" s="63"/>
      <x:c r="I235" s="63"/>
    </x:row>
    <x:row r="236" ht="30" customHeight="1">
      <x:c r="C236" s="64"/>
      <x:c r="D236" s="63"/>
      <x:c r="E236" s="63"/>
      <x:c r="F236" s="63"/>
      <x:c r="G236" s="63"/>
      <x:c r="H236" s="63"/>
      <x:c r="I236" s="63"/>
    </x:row>
    <x:row r="237" ht="30" customHeight="1">
      <x:c r="C237" s="64"/>
      <x:c r="D237" s="63"/>
      <x:c r="E237" s="63"/>
      <x:c r="F237" s="63"/>
      <x:c r="G237" s="63"/>
      <x:c r="H237" s="63"/>
      <x:c r="I237" s="63"/>
    </x:row>
    <x:row r="238" ht="30" customHeight="1">
      <x:c r="C238" s="64"/>
      <x:c r="D238" s="63"/>
      <x:c r="E238" s="63"/>
      <x:c r="F238" s="63"/>
      <x:c r="G238" s="63"/>
      <x:c r="H238" s="63"/>
      <x:c r="I238" s="63"/>
    </x:row>
    <x:row r="239" ht="30" customHeight="1">
      <x:c r="C239" s="64"/>
      <x:c r="D239" s="63"/>
      <x:c r="E239" s="63"/>
      <x:c r="F239" s="63"/>
      <x:c r="G239" s="63"/>
      <x:c r="H239" s="63"/>
      <x:c r="I239" s="63"/>
    </x:row>
    <x:row r="240" ht="30" customHeight="1">
      <x:c r="C240" s="64"/>
      <x:c r="D240" s="63"/>
      <x:c r="E240" s="63"/>
      <x:c r="F240" s="63"/>
      <x:c r="G240" s="63"/>
      <x:c r="H240" s="63"/>
      <x:c r="I240" s="63"/>
    </x:row>
    <x:row r="241" ht="30" customHeight="1">
      <x:c r="C241" s="64"/>
      <x:c r="D241" s="63"/>
      <x:c r="E241" s="63"/>
      <x:c r="F241" s="63"/>
      <x:c r="G241" s="63"/>
      <x:c r="H241" s="63"/>
      <x:c r="I241" s="63"/>
    </x:row>
    <x:row r="242" ht="30" customHeight="1">
      <x:c r="C242" s="64"/>
      <x:c r="D242" s="63"/>
      <x:c r="E242" s="63"/>
      <x:c r="F242" s="63"/>
      <x:c r="G242" s="63"/>
      <x:c r="H242" s="63"/>
      <x:c r="I242" s="63"/>
    </x:row>
    <x:row r="243" ht="30" customHeight="1">
      <x:c r="C243" s="64"/>
      <x:c r="D243" s="63"/>
      <x:c r="E243" s="63"/>
      <x:c r="F243" s="63"/>
      <x:c r="G243" s="63"/>
      <x:c r="H243" s="63"/>
      <x:c r="I243" s="63"/>
    </x:row>
    <x:row r="244" ht="30" customHeight="1">
      <x:c r="C244" s="64"/>
      <x:c r="D244" s="63"/>
      <x:c r="E244" s="63"/>
      <x:c r="F244" s="63"/>
      <x:c r="G244" s="63"/>
      <x:c r="H244" s="63"/>
      <x:c r="I244" s="63"/>
    </x:row>
    <x:row r="245" ht="30" customHeight="1">
      <x:c r="C245" s="64"/>
      <x:c r="D245" s="63"/>
      <x:c r="E245" s="63"/>
      <x:c r="F245" s="63"/>
      <x:c r="G245" s="63"/>
      <x:c r="H245" s="63"/>
      <x:c r="I245" s="63"/>
    </x:row>
    <x:row r="246" ht="30" customHeight="1">
      <x:c r="C246" s="64"/>
      <x:c r="D246" s="63"/>
      <x:c r="E246" s="63"/>
      <x:c r="F246" s="63"/>
      <x:c r="G246" s="63"/>
      <x:c r="H246" s="63"/>
      <x:c r="I246" s="63"/>
    </x:row>
    <x:row r="247" ht="30" customHeight="1">
      <x:c r="C247" s="64"/>
      <x:c r="D247" s="63"/>
      <x:c r="E247" s="63"/>
      <x:c r="F247" s="63"/>
      <x:c r="G247" s="63"/>
      <x:c r="H247" s="63"/>
      <x:c r="I247" s="63"/>
    </x:row>
    <x:row r="248" ht="30" customHeight="1">
      <x:c r="C248" s="64"/>
      <x:c r="D248" s="63"/>
      <x:c r="E248" s="63"/>
      <x:c r="F248" s="63"/>
      <x:c r="G248" s="63"/>
      <x:c r="H248" s="63"/>
      <x:c r="I248" s="63"/>
    </x:row>
    <x:row r="249" ht="30" customHeight="1">
      <x:c r="C249" s="64"/>
      <x:c r="D249" s="63"/>
      <x:c r="E249" s="63"/>
      <x:c r="F249" s="63"/>
      <x:c r="G249" s="63"/>
      <x:c r="H249" s="63"/>
      <x:c r="I249" s="63"/>
    </x:row>
    <x:row r="250" ht="30" customHeight="1">
      <x:c r="C250" s="64"/>
      <x:c r="D250" s="63"/>
      <x:c r="E250" s="63"/>
      <x:c r="F250" s="63"/>
      <x:c r="G250" s="63"/>
      <x:c r="H250" s="63"/>
      <x:c r="I250" s="63"/>
    </x:row>
    <x:row r="251" ht="30" customHeight="1">
      <x:c r="C251" s="64"/>
      <x:c r="D251" s="63"/>
      <x:c r="E251" s="63"/>
      <x:c r="F251" s="63"/>
      <x:c r="G251" s="63"/>
      <x:c r="H251" s="63"/>
      <x:c r="I251" s="63"/>
    </x:row>
    <x:row r="252" ht="30" customHeight="1">
      <x:c r="C252" s="64"/>
      <x:c r="D252" s="63"/>
      <x:c r="E252" s="63"/>
      <x:c r="F252" s="63"/>
      <x:c r="G252" s="63"/>
      <x:c r="H252" s="63"/>
      <x:c r="I252" s="63"/>
    </x:row>
    <x:row r="253" ht="30" customHeight="1">
      <x:c r="C253" s="64"/>
      <x:c r="D253" s="63"/>
      <x:c r="E253" s="63"/>
      <x:c r="F253" s="63"/>
      <x:c r="G253" s="63"/>
      <x:c r="H253" s="63"/>
      <x:c r="I253" s="63"/>
    </x:row>
    <x:row r="254" ht="30" customHeight="1">
      <x:c r="C254" s="64"/>
      <x:c r="D254" s="63"/>
      <x:c r="E254" s="63"/>
      <x:c r="F254" s="63"/>
      <x:c r="G254" s="63"/>
      <x:c r="H254" s="63"/>
      <x:c r="I254" s="63"/>
    </x:row>
    <x:row r="255" ht="30" customHeight="1">
      <x:c r="C255" s="64"/>
      <x:c r="D255" s="63"/>
      <x:c r="E255" s="63"/>
      <x:c r="F255" s="63"/>
      <x:c r="G255" s="63"/>
      <x:c r="H255" s="63"/>
      <x:c r="I255" s="63"/>
    </x:row>
    <x:row r="256" ht="30" customHeight="1">
      <x:c r="C256" s="64"/>
      <x:c r="D256" s="63"/>
      <x:c r="E256" s="63"/>
      <x:c r="F256" s="63"/>
      <x:c r="G256" s="63"/>
      <x:c r="H256" s="63"/>
      <x:c r="I256" s="63"/>
    </x:row>
    <x:row r="257" ht="30" customHeight="1">
      <x:c r="C257" s="64"/>
      <x:c r="D257" s="63"/>
      <x:c r="E257" s="63"/>
      <x:c r="F257" s="63"/>
      <x:c r="G257" s="63"/>
      <x:c r="H257" s="63"/>
      <x:c r="I257" s="63"/>
    </x:row>
    <x:row r="258" ht="30" customHeight="1">
      <x:c r="C258" s="64"/>
      <x:c r="D258" s="63"/>
      <x:c r="E258" s="63"/>
      <x:c r="F258" s="63"/>
      <x:c r="G258" s="63"/>
      <x:c r="H258" s="63"/>
      <x:c r="I258" s="63"/>
    </x:row>
    <x:row r="259" ht="30" customHeight="1">
      <x:c r="C259" s="64"/>
      <x:c r="D259" s="63"/>
      <x:c r="E259" s="63"/>
      <x:c r="F259" s="63"/>
      <x:c r="G259" s="63"/>
      <x:c r="H259" s="63"/>
      <x:c r="I259" s="63"/>
    </x:row>
    <x:row r="260" ht="30" customHeight="1">
      <x:c r="C260" s="64"/>
      <x:c r="D260" s="63"/>
      <x:c r="E260" s="63"/>
      <x:c r="F260" s="63"/>
      <x:c r="G260" s="63"/>
      <x:c r="H260" s="63"/>
      <x:c r="I260" s="63"/>
    </x:row>
    <x:row r="261" ht="30" customHeight="1">
      <x:c r="C261" s="64"/>
      <x:c r="D261" s="63"/>
      <x:c r="E261" s="63"/>
      <x:c r="F261" s="63"/>
      <x:c r="G261" s="63"/>
      <x:c r="H261" s="63"/>
      <x:c r="I261" s="63"/>
    </x:row>
    <x:row r="262" ht="30" customHeight="1">
      <x:c r="C262" s="64"/>
      <x:c r="D262" s="63"/>
      <x:c r="E262" s="63"/>
      <x:c r="F262" s="63"/>
      <x:c r="G262" s="63"/>
      <x:c r="H262" s="63"/>
      <x:c r="I262" s="63"/>
    </x:row>
    <x:row r="263" ht="30" customHeight="1">
      <x:c r="C263" s="64"/>
      <x:c r="D263" s="63"/>
      <x:c r="E263" s="63"/>
      <x:c r="F263" s="63"/>
      <x:c r="G263" s="63"/>
      <x:c r="H263" s="63"/>
      <x:c r="I263" s="63"/>
    </x:row>
    <x:row r="264" ht="30" customHeight="1">
      <x:c r="C264" s="64"/>
      <x:c r="D264" s="63"/>
      <x:c r="E264" s="63"/>
      <x:c r="F264" s="63"/>
      <x:c r="G264" s="63"/>
      <x:c r="H264" s="63"/>
      <x:c r="I264" s="63"/>
    </x:row>
    <x:row r="265" ht="30" customHeight="1">
      <x:c r="C265" s="64"/>
      <x:c r="D265" s="63"/>
      <x:c r="E265" s="63"/>
      <x:c r="F265" s="63"/>
      <x:c r="G265" s="63"/>
      <x:c r="H265" s="63"/>
      <x:c r="I265" s="63"/>
    </x:row>
    <x:row r="266" ht="30" customHeight="1">
      <x:c r="C266" s="64"/>
      <x:c r="D266" s="63"/>
      <x:c r="E266" s="63"/>
      <x:c r="F266" s="63"/>
      <x:c r="G266" s="63"/>
      <x:c r="H266" s="63"/>
      <x:c r="I266" s="63"/>
    </x:row>
    <x:row r="267" ht="30" customHeight="1">
      <x:c r="C267" s="64"/>
      <x:c r="D267" s="63"/>
      <x:c r="E267" s="63"/>
      <x:c r="F267" s="63"/>
      <x:c r="G267" s="63"/>
      <x:c r="H267" s="63"/>
      <x:c r="I267" s="63"/>
    </x:row>
    <x:row r="268" ht="30" customHeight="1">
      <x:c r="C268" s="64"/>
      <x:c r="D268" s="63"/>
      <x:c r="E268" s="63"/>
      <x:c r="F268" s="63"/>
      <x:c r="G268" s="63"/>
      <x:c r="H268" s="63"/>
      <x:c r="I268" s="63"/>
    </x:row>
    <x:row r="269" ht="30" customHeight="1">
      <x:c r="C269" s="64"/>
      <x:c r="D269" s="63"/>
      <x:c r="E269" s="63"/>
      <x:c r="F269" s="63"/>
      <x:c r="G269" s="63"/>
      <x:c r="H269" s="63"/>
      <x:c r="I269" s="63"/>
    </x:row>
    <x:row r="270" ht="30" customHeight="1">
      <x:c r="C270" s="64"/>
      <x:c r="D270" s="63"/>
      <x:c r="E270" s="63"/>
      <x:c r="F270" s="63"/>
      <x:c r="G270" s="63"/>
      <x:c r="H270" s="63"/>
      <x:c r="I270" s="63"/>
    </x:row>
    <x:row r="271" ht="30" customHeight="1">
      <x:c r="C271" s="64"/>
      <x:c r="D271" s="63"/>
      <x:c r="E271" s="63"/>
      <x:c r="F271" s="63"/>
      <x:c r="G271" s="63"/>
      <x:c r="H271" s="63"/>
      <x:c r="I271" s="63"/>
    </x:row>
    <x:row r="272" ht="30" customHeight="1">
      <x:c r="C272" s="64"/>
      <x:c r="D272" s="63"/>
      <x:c r="E272" s="63"/>
      <x:c r="F272" s="63"/>
      <x:c r="G272" s="63"/>
      <x:c r="H272" s="63"/>
      <x:c r="I272" s="63"/>
    </x:row>
    <x:row r="273" ht="30" customHeight="1">
      <x:c r="C273" s="64"/>
      <x:c r="D273" s="63"/>
      <x:c r="E273" s="63"/>
      <x:c r="F273" s="63"/>
      <x:c r="G273" s="63"/>
      <x:c r="H273" s="63"/>
      <x:c r="I273" s="63"/>
    </x:row>
    <x:row r="274" ht="30" customHeight="1">
      <x:c r="C274" s="64"/>
      <x:c r="D274" s="63"/>
      <x:c r="E274" s="63"/>
      <x:c r="F274" s="63"/>
      <x:c r="G274" s="63"/>
      <x:c r="H274" s="63"/>
      <x:c r="I274" s="63"/>
    </x:row>
    <x:row r="275" ht="30" customHeight="1">
      <x:c r="C275" s="64"/>
      <x:c r="D275" s="63"/>
      <x:c r="E275" s="63"/>
      <x:c r="F275" s="63"/>
      <x:c r="G275" s="63"/>
      <x:c r="H275" s="63"/>
      <x:c r="I275" s="63"/>
    </x:row>
    <x:row r="276" ht="30" customHeight="1">
      <x:c r="C276" s="64"/>
      <x:c r="D276" s="63"/>
      <x:c r="E276" s="63"/>
      <x:c r="F276" s="63"/>
      <x:c r="G276" s="63"/>
      <x:c r="H276" s="63"/>
      <x:c r="I276" s="63"/>
    </x:row>
    <x:row r="277" ht="30" customHeight="1">
      <x:c r="C277" s="64"/>
      <x:c r="D277" s="63"/>
      <x:c r="E277" s="63"/>
      <x:c r="F277" s="63"/>
      <x:c r="G277" s="63"/>
      <x:c r="H277" s="63"/>
      <x:c r="I277" s="63"/>
    </x:row>
    <x:row r="278" ht="30" customHeight="1">
      <x:c r="C278" s="64"/>
      <x:c r="D278" s="63"/>
      <x:c r="E278" s="63"/>
      <x:c r="F278" s="63"/>
      <x:c r="G278" s="63"/>
      <x:c r="H278" s="63"/>
      <x:c r="I278" s="63"/>
    </x:row>
    <x:row r="279" ht="30" customHeight="1">
      <x:c r="C279" s="64"/>
      <x:c r="D279" s="63"/>
      <x:c r="E279" s="63"/>
      <x:c r="F279" s="63"/>
      <x:c r="G279" s="63"/>
      <x:c r="H279" s="63"/>
      <x:c r="I279" s="63"/>
    </x:row>
    <x:row r="280" ht="30" customHeight="1">
      <x:c r="C280" s="64"/>
      <x:c r="D280" s="63"/>
      <x:c r="E280" s="63"/>
      <x:c r="F280" s="63"/>
      <x:c r="G280" s="63"/>
      <x:c r="H280" s="63"/>
      <x:c r="I280" s="63"/>
    </x:row>
    <x:row r="281" ht="30" customHeight="1">
      <x:c r="C281" s="64"/>
      <x:c r="D281" s="63"/>
      <x:c r="E281" s="63"/>
      <x:c r="F281" s="63"/>
      <x:c r="G281" s="63"/>
      <x:c r="H281" s="63"/>
      <x:c r="I281" s="63"/>
    </x:row>
    <x:row r="282" ht="30" customHeight="1">
      <x:c r="C282" s="64"/>
      <x:c r="D282" s="63"/>
      <x:c r="E282" s="63"/>
      <x:c r="F282" s="63"/>
      <x:c r="G282" s="63"/>
      <x:c r="H282" s="63"/>
      <x:c r="I282" s="63"/>
    </x:row>
    <x:row r="283" ht="30" customHeight="1">
      <x:c r="C283" s="64"/>
      <x:c r="D283" s="63"/>
      <x:c r="E283" s="63"/>
      <x:c r="F283" s="63"/>
      <x:c r="G283" s="63"/>
      <x:c r="H283" s="63"/>
      <x:c r="I283" s="63"/>
    </x:row>
    <x:row r="284" ht="30" customHeight="1">
      <x:c r="C284" s="64"/>
      <x:c r="D284" s="63"/>
      <x:c r="E284" s="63"/>
      <x:c r="F284" s="63"/>
      <x:c r="G284" s="63"/>
      <x:c r="H284" s="63"/>
      <x:c r="I284" s="63"/>
    </x:row>
    <x:row r="285" ht="30" customHeight="1">
      <x:c r="C285" s="64"/>
      <x:c r="D285" s="63"/>
      <x:c r="E285" s="63"/>
      <x:c r="F285" s="63"/>
      <x:c r="G285" s="63"/>
      <x:c r="H285" s="63"/>
      <x:c r="I285" s="63"/>
    </x:row>
    <x:row r="286" ht="30" customHeight="1">
      <x:c r="C286" s="64"/>
      <x:c r="D286" s="63"/>
      <x:c r="E286" s="63"/>
      <x:c r="F286" s="63"/>
      <x:c r="G286" s="63"/>
      <x:c r="H286" s="63"/>
      <x:c r="I286" s="63"/>
    </x:row>
    <x:row r="287" ht="30" customHeight="1">
      <x:c r="C287" s="64"/>
      <x:c r="D287" s="63"/>
      <x:c r="E287" s="63"/>
      <x:c r="F287" s="63"/>
      <x:c r="G287" s="63"/>
      <x:c r="H287" s="63"/>
      <x:c r="I287" s="63"/>
    </x:row>
    <x:row r="288" ht="30" customHeight="1">
      <x:c r="C288" s="64"/>
      <x:c r="D288" s="63"/>
      <x:c r="E288" s="63"/>
      <x:c r="F288" s="63"/>
      <x:c r="G288" s="63"/>
      <x:c r="H288" s="63"/>
      <x:c r="I288" s="63"/>
    </x:row>
    <x:row r="289" ht="30" customHeight="1">
      <x:c r="C289" s="64"/>
      <x:c r="D289" s="63"/>
      <x:c r="E289" s="63"/>
      <x:c r="F289" s="63"/>
      <x:c r="G289" s="63"/>
      <x:c r="H289" s="63"/>
      <x:c r="I289" s="63"/>
    </x:row>
    <x:row r="290" ht="30" customHeight="1">
      <x:c r="C290" s="64"/>
      <x:c r="D290" s="63"/>
      <x:c r="E290" s="63"/>
      <x:c r="F290" s="63"/>
      <x:c r="G290" s="63"/>
      <x:c r="H290" s="63"/>
      <x:c r="I290" s="63"/>
    </x:row>
    <x:row r="291" ht="30" customHeight="1">
      <x:c r="C291" s="64"/>
      <x:c r="D291" s="63"/>
      <x:c r="E291" s="63"/>
      <x:c r="F291" s="63"/>
      <x:c r="G291" s="63"/>
      <x:c r="H291" s="63"/>
      <x:c r="I291" s="63"/>
    </x:row>
    <x:row r="292" ht="30" customHeight="1">
      <x:c r="C292" s="64"/>
      <x:c r="D292" s="63"/>
      <x:c r="E292" s="63"/>
      <x:c r="F292" s="63"/>
      <x:c r="G292" s="63"/>
      <x:c r="H292" s="63"/>
      <x:c r="I292" s="63"/>
    </x:row>
    <x:row r="293" ht="30" customHeight="1">
      <x:c r="C293" s="64"/>
      <x:c r="D293" s="63"/>
      <x:c r="E293" s="63"/>
      <x:c r="F293" s="63"/>
      <x:c r="G293" s="63"/>
      <x:c r="H293" s="63"/>
      <x:c r="I293" s="63"/>
    </x:row>
    <x:row r="294" ht="30" customHeight="1">
      <x:c r="C294" s="64"/>
      <x:c r="D294" s="63"/>
      <x:c r="E294" s="63"/>
      <x:c r="F294" s="63"/>
      <x:c r="G294" s="63"/>
      <x:c r="H294" s="63"/>
      <x:c r="I294" s="63"/>
    </x:row>
    <x:row r="295" ht="30" customHeight="1">
      <x:c r="C295" s="64"/>
      <x:c r="D295" s="63"/>
      <x:c r="E295" s="63"/>
      <x:c r="F295" s="63"/>
      <x:c r="G295" s="63"/>
      <x:c r="H295" s="63"/>
      <x:c r="I295" s="63"/>
    </x:row>
    <x:row r="296" ht="30" customHeight="1">
      <x:c r="C296" s="64"/>
      <x:c r="D296" s="63"/>
      <x:c r="E296" s="63"/>
      <x:c r="F296" s="63"/>
      <x:c r="G296" s="63"/>
      <x:c r="H296" s="63"/>
      <x:c r="I296" s="63"/>
    </x:row>
    <x:row r="297" ht="30" customHeight="1">
      <x:c r="C297" s="64"/>
      <x:c r="D297" s="63"/>
      <x:c r="E297" s="63"/>
      <x:c r="F297" s="63"/>
      <x:c r="G297" s="63"/>
      <x:c r="H297" s="63"/>
      <x:c r="I297" s="63"/>
    </x:row>
    <x:row r="298" ht="30" customHeight="1">
      <x:c r="C298" s="64"/>
      <x:c r="D298" s="63"/>
      <x:c r="E298" s="63"/>
      <x:c r="F298" s="63"/>
      <x:c r="G298" s="63"/>
      <x:c r="H298" s="63"/>
      <x:c r="I298" s="63"/>
    </x:row>
    <x:row r="299" ht="30" customHeight="1">
      <x:c r="C299" s="64"/>
      <x:c r="D299" s="63"/>
      <x:c r="E299" s="63"/>
      <x:c r="F299" s="63"/>
      <x:c r="G299" s="63"/>
      <x:c r="H299" s="63"/>
      <x:c r="I299" s="63"/>
    </x:row>
    <x:row r="300" ht="30" customHeight="1">
      <x:c r="C300" s="64"/>
      <x:c r="D300" s="63"/>
      <x:c r="E300" s="63"/>
      <x:c r="F300" s="63"/>
      <x:c r="G300" s="63"/>
      <x:c r="H300" s="63"/>
      <x:c r="I300" s="63"/>
    </x:row>
    <x:row r="301" ht="30" customHeight="1">
      <x:c r="C301" s="64"/>
      <x:c r="D301" s="63"/>
      <x:c r="E301" s="63"/>
      <x:c r="F301" s="63"/>
      <x:c r="G301" s="63"/>
      <x:c r="H301" s="63"/>
      <x:c r="I301" s="63"/>
    </x:row>
    <x:row r="302" ht="30" customHeight="1">
      <x:c r="C302" s="64"/>
      <x:c r="D302" s="63"/>
      <x:c r="E302" s="63"/>
      <x:c r="F302" s="63"/>
      <x:c r="G302" s="63"/>
      <x:c r="H302" s="63"/>
      <x:c r="I302" s="63"/>
    </x:row>
    <x:row r="303" ht="30" customHeight="1">
      <x:c r="C303" s="64"/>
      <x:c r="D303" s="63"/>
      <x:c r="E303" s="63"/>
      <x:c r="F303" s="63"/>
      <x:c r="G303" s="63"/>
      <x:c r="H303" s="63"/>
      <x:c r="I303" s="63"/>
    </x:row>
    <x:row r="304" ht="30" customHeight="1">
      <x:c r="C304" s="64"/>
      <x:c r="D304" s="63"/>
      <x:c r="E304" s="63"/>
      <x:c r="F304" s="63"/>
      <x:c r="G304" s="63"/>
      <x:c r="H304" s="63"/>
      <x:c r="I304" s="63"/>
    </x:row>
    <x:row r="305" ht="30" customHeight="1">
      <x:c r="C305" s="64"/>
      <x:c r="D305" s="63"/>
      <x:c r="E305" s="63"/>
      <x:c r="F305" s="63"/>
      <x:c r="G305" s="63"/>
      <x:c r="H305" s="63"/>
      <x:c r="I305" s="63"/>
    </x:row>
    <x:row r="306" ht="30" customHeight="1">
      <x:c r="C306" s="64"/>
      <x:c r="D306" s="63"/>
      <x:c r="E306" s="63"/>
      <x:c r="F306" s="63"/>
      <x:c r="G306" s="63"/>
      <x:c r="H306" s="63"/>
      <x:c r="I306" s="63"/>
    </x:row>
    <x:row r="307" ht="30" customHeight="1">
      <x:c r="C307" s="64"/>
      <x:c r="D307" s="63"/>
      <x:c r="E307" s="63"/>
      <x:c r="F307" s="63"/>
      <x:c r="G307" s="63"/>
      <x:c r="H307" s="63"/>
      <x:c r="I307" s="63"/>
    </x:row>
    <x:row r="308" ht="30" customHeight="1">
      <x:c r="C308" s="64"/>
      <x:c r="D308" s="63"/>
      <x:c r="E308" s="63"/>
      <x:c r="F308" s="63"/>
      <x:c r="G308" s="63"/>
      <x:c r="H308" s="63"/>
      <x:c r="I308" s="63"/>
    </x:row>
    <x:row r="309" ht="30" customHeight="1">
      <x:c r="C309" s="64"/>
      <x:c r="D309" s="63"/>
      <x:c r="E309" s="63"/>
      <x:c r="F309" s="63"/>
      <x:c r="G309" s="63"/>
      <x:c r="H309" s="63"/>
      <x:c r="I309" s="63"/>
    </x:row>
    <x:row r="310" ht="30" customHeight="1">
      <x:c r="C310" s="64"/>
      <x:c r="D310" s="63"/>
      <x:c r="E310" s="63"/>
      <x:c r="F310" s="63"/>
      <x:c r="G310" s="63"/>
      <x:c r="H310" s="63"/>
      <x:c r="I310" s="63"/>
    </x:row>
    <x:row r="311" ht="30" customHeight="1">
      <x:c r="C311" s="64"/>
      <x:c r="D311" s="63"/>
      <x:c r="E311" s="63"/>
      <x:c r="F311" s="63"/>
      <x:c r="G311" s="63"/>
      <x:c r="H311" s="63"/>
      <x:c r="I311" s="63"/>
    </x:row>
    <x:row r="312" ht="30" customHeight="1">
      <x:c r="C312" s="64"/>
      <x:c r="D312" s="63"/>
      <x:c r="E312" s="63"/>
      <x:c r="F312" s="63"/>
      <x:c r="G312" s="63"/>
      <x:c r="H312" s="63"/>
      <x:c r="I312" s="63"/>
    </x:row>
    <x:row r="313" ht="30" customHeight="1">
      <x:c r="C313" s="64"/>
      <x:c r="D313" s="63"/>
      <x:c r="E313" s="63"/>
      <x:c r="F313" s="63"/>
      <x:c r="G313" s="63"/>
      <x:c r="H313" s="63"/>
      <x:c r="I313" s="63"/>
    </x:row>
    <x:row r="314" ht="30" customHeight="1">
      <x:c r="C314" s="64"/>
      <x:c r="D314" s="63"/>
      <x:c r="E314" s="63"/>
      <x:c r="F314" s="63"/>
      <x:c r="G314" s="63"/>
      <x:c r="H314" s="63"/>
      <x:c r="I314" s="63"/>
    </x:row>
    <x:row r="315" ht="30" customHeight="1">
      <x:c r="C315" s="64"/>
      <x:c r="D315" s="63"/>
      <x:c r="E315" s="63"/>
      <x:c r="F315" s="63"/>
      <x:c r="G315" s="63"/>
      <x:c r="H315" s="63"/>
      <x:c r="I315" s="63"/>
    </x:row>
    <x:row r="316" ht="30" customHeight="1">
      <x:c r="C316" s="64"/>
      <x:c r="D316" s="63"/>
      <x:c r="E316" s="63"/>
      <x:c r="F316" s="63"/>
      <x:c r="G316" s="63"/>
      <x:c r="H316" s="63"/>
      <x:c r="I316" s="63"/>
    </x:row>
    <x:row r="317" ht="30" customHeight="1">
      <x:c r="C317" s="64"/>
      <x:c r="D317" s="63"/>
      <x:c r="E317" s="63"/>
      <x:c r="F317" s="63"/>
      <x:c r="G317" s="63"/>
      <x:c r="H317" s="63"/>
      <x:c r="I317" s="63"/>
    </x:row>
    <x:row r="318" ht="30" customHeight="1">
      <x:c r="C318" s="64"/>
      <x:c r="D318" s="63"/>
      <x:c r="E318" s="63"/>
      <x:c r="F318" s="63"/>
      <x:c r="G318" s="63"/>
      <x:c r="H318" s="63"/>
      <x:c r="I318" s="63"/>
    </x:row>
    <x:row r="319" ht="30" customHeight="1">
      <x:c r="C319" s="64"/>
      <x:c r="D319" s="63"/>
      <x:c r="E319" s="63"/>
      <x:c r="F319" s="63"/>
      <x:c r="G319" s="63"/>
      <x:c r="H319" s="63"/>
      <x:c r="I319" s="63"/>
    </x:row>
    <x:row r="320" ht="30" customHeight="1">
      <x:c r="C320" s="64"/>
      <x:c r="D320" s="63"/>
      <x:c r="E320" s="63"/>
      <x:c r="F320" s="63"/>
      <x:c r="G320" s="63"/>
      <x:c r="H320" s="63"/>
      <x:c r="I320" s="63"/>
    </x:row>
    <x:row r="321" ht="30" customHeight="1">
      <x:c r="C321" s="64"/>
      <x:c r="D321" s="63"/>
      <x:c r="E321" s="63"/>
      <x:c r="F321" s="63"/>
      <x:c r="G321" s="63"/>
      <x:c r="H321" s="63"/>
      <x:c r="I321" s="63"/>
    </x:row>
    <x:row r="322" ht="30" customHeight="1">
      <x:c r="C322" s="64"/>
      <x:c r="D322" s="63"/>
      <x:c r="E322" s="63"/>
      <x:c r="F322" s="63"/>
      <x:c r="G322" s="63"/>
      <x:c r="H322" s="63"/>
      <x:c r="I322" s="63"/>
    </x:row>
    <x:row r="323" ht="30" customHeight="1">
      <x:c r="C323" s="64"/>
      <x:c r="D323" s="63"/>
      <x:c r="E323" s="63"/>
      <x:c r="F323" s="63"/>
      <x:c r="G323" s="63"/>
      <x:c r="H323" s="63"/>
      <x:c r="I323" s="63"/>
    </x:row>
    <x:row r="324" ht="30" customHeight="1">
      <x:c r="C324" s="64"/>
      <x:c r="D324" s="63"/>
      <x:c r="E324" s="63"/>
      <x:c r="F324" s="63"/>
      <x:c r="G324" s="63"/>
      <x:c r="H324" s="63"/>
      <x:c r="I324" s="63"/>
    </x:row>
    <x:row r="325" ht="30" customHeight="1">
      <x:c r="C325" s="64"/>
      <x:c r="D325" s="63"/>
      <x:c r="E325" s="63"/>
      <x:c r="F325" s="63"/>
      <x:c r="G325" s="63"/>
      <x:c r="H325" s="63"/>
      <x:c r="I325" s="63"/>
    </x:row>
    <x:row r="326" ht="30" customHeight="1">
      <x:c r="C326" s="64"/>
      <x:c r="D326" s="63"/>
      <x:c r="E326" s="63"/>
      <x:c r="F326" s="63"/>
      <x:c r="G326" s="63"/>
      <x:c r="H326" s="63"/>
      <x:c r="I326" s="63"/>
    </x:row>
    <x:row r="327" ht="30" customHeight="1">
      <x:c r="C327" s="64"/>
      <x:c r="D327" s="63"/>
      <x:c r="E327" s="63"/>
      <x:c r="F327" s="63"/>
      <x:c r="G327" s="63"/>
      <x:c r="H327" s="63"/>
      <x:c r="I327" s="63"/>
    </x:row>
    <x:row r="328" ht="30" customHeight="1">
      <x:c r="C328" s="64"/>
      <x:c r="D328" s="63"/>
      <x:c r="E328" s="63"/>
      <x:c r="F328" s="63"/>
      <x:c r="G328" s="63"/>
      <x:c r="H328" s="63"/>
      <x:c r="I328" s="63"/>
    </x:row>
    <x:row r="329" ht="30" customHeight="1">
      <x:c r="C329" s="64"/>
      <x:c r="D329" s="63"/>
      <x:c r="E329" s="63"/>
      <x:c r="F329" s="63"/>
      <x:c r="G329" s="63"/>
      <x:c r="H329" s="63"/>
      <x:c r="I329" s="63"/>
    </x:row>
    <x:row r="330" ht="30" customHeight="1">
      <x:c r="C330" s="64"/>
      <x:c r="D330" s="63"/>
      <x:c r="E330" s="63"/>
      <x:c r="F330" s="63"/>
      <x:c r="G330" s="63"/>
      <x:c r="H330" s="63"/>
      <x:c r="I330" s="63"/>
    </x:row>
    <x:row r="331" ht="30" customHeight="1">
      <x:c r="C331" s="64"/>
      <x:c r="D331" s="63"/>
      <x:c r="E331" s="63"/>
      <x:c r="F331" s="63"/>
      <x:c r="G331" s="63"/>
      <x:c r="H331" s="63"/>
      <x:c r="I331" s="63"/>
    </x:row>
    <x:row r="332" ht="30" customHeight="1">
      <x:c r="C332" s="64"/>
      <x:c r="D332" s="63"/>
      <x:c r="E332" s="63"/>
      <x:c r="F332" s="63"/>
      <x:c r="G332" s="63"/>
      <x:c r="H332" s="63"/>
      <x:c r="I332" s="63"/>
    </x:row>
    <x:row r="333" ht="30" customHeight="1">
      <x:c r="C333" s="64"/>
      <x:c r="D333" s="63"/>
      <x:c r="E333" s="63"/>
      <x:c r="F333" s="63"/>
      <x:c r="G333" s="63"/>
      <x:c r="H333" s="63"/>
      <x:c r="I333" s="63"/>
    </x:row>
    <x:row r="334" ht="30" customHeight="1">
      <x:c r="C334" s="64"/>
      <x:c r="D334" s="63"/>
      <x:c r="E334" s="63"/>
      <x:c r="F334" s="63"/>
      <x:c r="G334" s="63"/>
      <x:c r="H334" s="63"/>
      <x:c r="I334" s="63"/>
    </x:row>
    <x:row r="335" ht="30" customHeight="1">
      <x:c r="C335" s="64"/>
      <x:c r="D335" s="63"/>
      <x:c r="E335" s="63"/>
      <x:c r="F335" s="63"/>
      <x:c r="G335" s="63"/>
      <x:c r="H335" s="63"/>
      <x:c r="I335" s="63"/>
    </x:row>
    <x:row r="336" ht="30" customHeight="1">
      <x:c r="C336" s="64"/>
      <x:c r="D336" s="63"/>
      <x:c r="E336" s="63"/>
      <x:c r="F336" s="63"/>
      <x:c r="G336" s="63"/>
      <x:c r="H336" s="63"/>
      <x:c r="I336" s="63"/>
    </x:row>
    <x:row r="337" ht="30" customHeight="1">
      <x:c r="C337" s="64"/>
      <x:c r="D337" s="63"/>
      <x:c r="E337" s="63"/>
      <x:c r="F337" s="63"/>
      <x:c r="G337" s="63"/>
      <x:c r="H337" s="63"/>
      <x:c r="I337" s="63"/>
    </x:row>
    <x:row r="338" ht="30" customHeight="1">
      <x:c r="C338" s="64"/>
      <x:c r="D338" s="63"/>
      <x:c r="E338" s="63"/>
      <x:c r="F338" s="63"/>
      <x:c r="G338" s="63"/>
      <x:c r="H338" s="63"/>
      <x:c r="I338" s="63"/>
    </x:row>
    <x:row r="339" ht="30" customHeight="1">
      <x:c r="C339" s="64"/>
      <x:c r="D339" s="63"/>
      <x:c r="E339" s="63"/>
      <x:c r="F339" s="63"/>
      <x:c r="G339" s="63"/>
      <x:c r="H339" s="63"/>
      <x:c r="I339" s="63"/>
    </x:row>
    <x:row r="340" ht="30" customHeight="1">
      <x:c r="C340" s="64"/>
      <x:c r="D340" s="63"/>
      <x:c r="E340" s="63"/>
      <x:c r="F340" s="63"/>
      <x:c r="G340" s="63"/>
      <x:c r="H340" s="63"/>
      <x:c r="I340" s="63"/>
    </x:row>
    <x:row r="341" ht="30" customHeight="1">
      <x:c r="C341" s="64"/>
      <x:c r="D341" s="63"/>
      <x:c r="E341" s="63"/>
      <x:c r="F341" s="63"/>
      <x:c r="G341" s="63"/>
      <x:c r="H341" s="63"/>
      <x:c r="I341" s="63"/>
    </x:row>
    <x:row r="342" ht="30" customHeight="1">
      <x:c r="C342" s="64"/>
      <x:c r="D342" s="63"/>
      <x:c r="E342" s="63"/>
      <x:c r="F342" s="63"/>
      <x:c r="G342" s="63"/>
      <x:c r="H342" s="63"/>
      <x:c r="I342" s="63"/>
    </x:row>
    <x:row r="343" ht="30" customHeight="1">
      <x:c r="C343" s="64"/>
      <x:c r="D343" s="63"/>
      <x:c r="E343" s="63"/>
      <x:c r="F343" s="63"/>
      <x:c r="G343" s="63"/>
      <x:c r="H343" s="63"/>
      <x:c r="I343" s="63"/>
    </x:row>
    <x:row r="344" ht="30" customHeight="1">
      <x:c r="C344" s="64"/>
      <x:c r="D344" s="63"/>
      <x:c r="E344" s="63"/>
      <x:c r="F344" s="63"/>
      <x:c r="G344" s="63"/>
      <x:c r="H344" s="63"/>
      <x:c r="I344" s="63"/>
    </x:row>
    <x:row r="345" ht="30" customHeight="1">
      <x:c r="C345" s="64"/>
      <x:c r="D345" s="63"/>
      <x:c r="E345" s="63"/>
      <x:c r="F345" s="63"/>
      <x:c r="G345" s="63"/>
      <x:c r="H345" s="63"/>
      <x:c r="I345" s="63"/>
    </x:row>
    <x:row r="346" ht="30" customHeight="1">
      <x:c r="C346" s="64"/>
      <x:c r="D346" s="63"/>
      <x:c r="E346" s="63"/>
      <x:c r="F346" s="63"/>
      <x:c r="G346" s="63"/>
      <x:c r="H346" s="63"/>
      <x:c r="I346" s="63"/>
    </x:row>
    <x:row r="347" ht="30" customHeight="1">
      <x:c r="C347" s="64"/>
      <x:c r="D347" s="63"/>
      <x:c r="E347" s="63"/>
      <x:c r="F347" s="63"/>
      <x:c r="G347" s="63"/>
      <x:c r="H347" s="63"/>
      <x:c r="I347" s="63"/>
    </x:row>
    <x:row r="348" ht="30" customHeight="1">
      <x:c r="C348" s="64"/>
      <x:c r="D348" s="63"/>
      <x:c r="E348" s="63"/>
      <x:c r="F348" s="63"/>
      <x:c r="G348" s="63"/>
      <x:c r="H348" s="63"/>
      <x:c r="I348" s="63"/>
    </x:row>
    <x:row r="349" ht="30" customHeight="1">
      <x:c r="C349" s="64"/>
      <x:c r="D349" s="63"/>
      <x:c r="E349" s="63"/>
      <x:c r="F349" s="63"/>
      <x:c r="G349" s="63"/>
      <x:c r="H349" s="63"/>
      <x:c r="I349" s="63"/>
    </x:row>
    <x:row r="350" ht="30" customHeight="1">
      <x:c r="C350" s="64"/>
      <x:c r="D350" s="63"/>
      <x:c r="E350" s="63"/>
      <x:c r="F350" s="63"/>
      <x:c r="G350" s="63"/>
      <x:c r="H350" s="63"/>
      <x:c r="I350" s="63"/>
    </x:row>
    <x:row r="351" ht="30" customHeight="1">
      <x:c r="C351" s="64"/>
      <x:c r="D351" s="63"/>
      <x:c r="E351" s="63"/>
      <x:c r="F351" s="63"/>
      <x:c r="G351" s="63"/>
      <x:c r="H351" s="63"/>
      <x:c r="I351" s="63"/>
    </x:row>
    <x:row r="352" ht="30" customHeight="1">
      <x:c r="C352" s="64"/>
      <x:c r="D352" s="63"/>
      <x:c r="E352" s="63"/>
      <x:c r="F352" s="63"/>
      <x:c r="G352" s="63"/>
      <x:c r="H352" s="63"/>
      <x:c r="I352" s="63"/>
    </x:row>
    <x:row r="353" ht="30" customHeight="1">
      <x:c r="C353" s="64"/>
      <x:c r="D353" s="63"/>
      <x:c r="E353" s="63"/>
      <x:c r="F353" s="63"/>
      <x:c r="G353" s="63"/>
      <x:c r="H353" s="63"/>
      <x:c r="I353" s="63"/>
    </x:row>
    <x:row r="354" ht="30" customHeight="1">
      <x:c r="C354" s="64"/>
      <x:c r="D354" s="63"/>
      <x:c r="E354" s="63"/>
      <x:c r="F354" s="63"/>
      <x:c r="G354" s="63"/>
      <x:c r="H354" s="63"/>
      <x:c r="I354" s="63"/>
    </x:row>
    <x:row r="355" ht="30" customHeight="1">
      <x:c r="C355" s="64"/>
      <x:c r="D355" s="63"/>
      <x:c r="E355" s="63"/>
      <x:c r="F355" s="63"/>
      <x:c r="G355" s="63"/>
      <x:c r="H355" s="63"/>
      <x:c r="I355" s="63"/>
    </x:row>
    <x:row r="356" ht="30" customHeight="1">
      <x:c r="C356" s="64"/>
      <x:c r="D356" s="63"/>
      <x:c r="E356" s="63"/>
      <x:c r="F356" s="63"/>
      <x:c r="G356" s="63"/>
      <x:c r="H356" s="63"/>
      <x:c r="I356" s="63"/>
    </x:row>
    <x:row r="357" ht="30" customHeight="1">
      <x:c r="C357" s="64"/>
      <x:c r="D357" s="63"/>
      <x:c r="E357" s="63"/>
      <x:c r="F357" s="63"/>
      <x:c r="G357" s="63"/>
      <x:c r="H357" s="63"/>
      <x:c r="I357" s="63"/>
    </x:row>
    <x:row r="358" ht="30" customHeight="1">
      <x:c r="C358" s="64"/>
      <x:c r="D358" s="63"/>
      <x:c r="E358" s="63"/>
      <x:c r="F358" s="63"/>
      <x:c r="G358" s="63"/>
      <x:c r="H358" s="63"/>
      <x:c r="I358" s="63"/>
    </x:row>
    <x:row r="359" ht="30" customHeight="1">
      <x:c r="C359" s="64"/>
      <x:c r="D359" s="63"/>
      <x:c r="E359" s="63"/>
      <x:c r="F359" s="63"/>
      <x:c r="G359" s="63"/>
      <x:c r="H359" s="63"/>
      <x:c r="I359" s="63"/>
    </x:row>
    <x:row r="360" ht="30" customHeight="1">
      <x:c r="C360" s="64"/>
      <x:c r="D360" s="63"/>
      <x:c r="E360" s="63"/>
      <x:c r="F360" s="63"/>
      <x:c r="G360" s="63"/>
      <x:c r="H360" s="63"/>
      <x:c r="I360" s="63"/>
    </x:row>
    <x:row r="361" ht="30" customHeight="1">
      <x:c r="C361" s="64"/>
      <x:c r="D361" s="63"/>
      <x:c r="E361" s="63"/>
      <x:c r="F361" s="63"/>
      <x:c r="G361" s="63"/>
      <x:c r="H361" s="63"/>
      <x:c r="I361" s="63"/>
    </x:row>
    <x:row r="362" ht="30" customHeight="1">
      <x:c r="C362" s="64"/>
      <x:c r="D362" s="63"/>
      <x:c r="E362" s="63"/>
      <x:c r="F362" s="63"/>
      <x:c r="G362" s="63"/>
      <x:c r="H362" s="63"/>
      <x:c r="I362" s="63"/>
    </x:row>
    <x:row r="363" ht="30" customHeight="1">
      <x:c r="C363" s="64"/>
      <x:c r="D363" s="63"/>
      <x:c r="E363" s="63"/>
      <x:c r="F363" s="63"/>
      <x:c r="G363" s="63"/>
      <x:c r="H363" s="63"/>
      <x:c r="I363" s="63"/>
    </x:row>
    <x:row r="364" ht="30" customHeight="1">
      <x:c r="C364" s="64"/>
      <x:c r="D364" s="63"/>
      <x:c r="E364" s="63"/>
      <x:c r="F364" s="63"/>
      <x:c r="G364" s="63"/>
      <x:c r="H364" s="63"/>
      <x:c r="I364" s="63"/>
    </x:row>
    <x:row r="365" ht="30" customHeight="1">
      <x:c r="C365" s="64"/>
      <x:c r="D365" s="63"/>
      <x:c r="E365" s="63"/>
      <x:c r="F365" s="63"/>
      <x:c r="G365" s="63"/>
      <x:c r="H365" s="63"/>
      <x:c r="I365" s="63"/>
    </x:row>
    <x:row r="366" ht="30" customHeight="1">
      <x:c r="C366" s="64"/>
      <x:c r="D366" s="63"/>
      <x:c r="E366" s="63"/>
      <x:c r="F366" s="63"/>
      <x:c r="G366" s="63"/>
      <x:c r="H366" s="63"/>
      <x:c r="I366" s="63"/>
    </x:row>
    <x:row r="367" ht="30" customHeight="1">
      <x:c r="C367" s="64"/>
      <x:c r="D367" s="63"/>
      <x:c r="E367" s="63"/>
      <x:c r="F367" s="63"/>
      <x:c r="G367" s="63"/>
      <x:c r="H367" s="63"/>
      <x:c r="I367" s="63"/>
    </x:row>
    <x:row r="368" ht="30" customHeight="1">
      <x:c r="C368" s="64"/>
      <x:c r="D368" s="63"/>
      <x:c r="E368" s="63"/>
      <x:c r="F368" s="63"/>
      <x:c r="G368" s="63"/>
      <x:c r="H368" s="63"/>
      <x:c r="I368" s="63"/>
    </x:row>
    <x:row r="369" ht="30" customHeight="1">
      <x:c r="C369" s="64"/>
      <x:c r="D369" s="63"/>
      <x:c r="E369" s="63"/>
      <x:c r="F369" s="63"/>
      <x:c r="G369" s="63"/>
      <x:c r="H369" s="63"/>
      <x:c r="I369" s="63"/>
    </x:row>
    <x:row r="370" ht="30" customHeight="1">
      <x:c r="C370" s="64"/>
      <x:c r="D370" s="63"/>
      <x:c r="E370" s="63"/>
      <x:c r="F370" s="63"/>
      <x:c r="G370" s="63"/>
      <x:c r="H370" s="63"/>
      <x:c r="I370" s="63"/>
    </x:row>
    <x:row r="371" ht="30" customHeight="1">
      <x:c r="C371" s="64"/>
      <x:c r="D371" s="63"/>
      <x:c r="E371" s="63"/>
      <x:c r="F371" s="63"/>
      <x:c r="G371" s="63"/>
      <x:c r="H371" s="63"/>
      <x:c r="I371" s="63"/>
    </x:row>
    <x:row r="372" ht="30" customHeight="1">
      <x:c r="C372" s="64"/>
      <x:c r="D372" s="63"/>
      <x:c r="E372" s="63"/>
      <x:c r="F372" s="63"/>
      <x:c r="G372" s="63"/>
      <x:c r="H372" s="63"/>
      <x:c r="I372" s="63"/>
    </x:row>
    <x:row r="373" ht="30" customHeight="1">
      <x:c r="C373" s="64"/>
      <x:c r="D373" s="63"/>
      <x:c r="E373" s="63"/>
      <x:c r="F373" s="63"/>
      <x:c r="G373" s="63"/>
      <x:c r="H373" s="63"/>
      <x:c r="I373" s="63"/>
    </x:row>
    <x:row r="374" ht="30" customHeight="1">
      <x:c r="C374" s="64"/>
      <x:c r="D374" s="63"/>
      <x:c r="E374" s="63"/>
      <x:c r="F374" s="63"/>
      <x:c r="G374" s="63"/>
      <x:c r="H374" s="63"/>
      <x:c r="I374" s="63"/>
    </x:row>
    <x:row r="375" ht="30" customHeight="1">
      <x:c r="C375" s="64"/>
      <x:c r="D375" s="63"/>
      <x:c r="E375" s="63"/>
      <x:c r="F375" s="63"/>
      <x:c r="G375" s="63"/>
      <x:c r="H375" s="63"/>
      <x:c r="I375" s="63"/>
    </x:row>
    <x:row r="376" ht="30" customHeight="1">
      <x:c r="C376" s="64"/>
      <x:c r="D376" s="63"/>
      <x:c r="E376" s="63"/>
      <x:c r="F376" s="63"/>
      <x:c r="G376" s="63"/>
      <x:c r="H376" s="63"/>
      <x:c r="I376" s="63"/>
    </x:row>
    <x:row r="377" ht="30" customHeight="1">
      <x:c r="C377" s="64"/>
      <x:c r="D377" s="63"/>
      <x:c r="E377" s="63"/>
      <x:c r="F377" s="63"/>
      <x:c r="G377" s="63"/>
      <x:c r="H377" s="63"/>
      <x:c r="I377" s="63"/>
    </x:row>
    <x:row r="378" ht="30" customHeight="1">
      <x:c r="C378" s="64"/>
      <x:c r="D378" s="63"/>
      <x:c r="E378" s="63"/>
      <x:c r="F378" s="63"/>
      <x:c r="G378" s="63"/>
      <x:c r="H378" s="63"/>
      <x:c r="I378" s="63"/>
    </x:row>
    <x:row r="379" ht="30" customHeight="1">
      <x:c r="C379" s="64"/>
      <x:c r="D379" s="63"/>
      <x:c r="E379" s="63"/>
      <x:c r="F379" s="63"/>
      <x:c r="G379" s="63"/>
      <x:c r="H379" s="63"/>
      <x:c r="I379" s="63"/>
    </x:row>
    <x:row r="380" ht="30" customHeight="1">
      <x:c r="C380" s="64"/>
      <x:c r="D380" s="63"/>
      <x:c r="E380" s="63"/>
      <x:c r="F380" s="63"/>
      <x:c r="G380" s="63"/>
      <x:c r="H380" s="63"/>
      <x:c r="I380" s="63"/>
    </x:row>
    <x:row r="381" ht="30" customHeight="1">
      <x:c r="C381" s="64"/>
      <x:c r="D381" s="63"/>
      <x:c r="E381" s="63"/>
      <x:c r="F381" s="63"/>
      <x:c r="G381" s="63"/>
      <x:c r="H381" s="63"/>
      <x:c r="I381" s="63"/>
    </x:row>
    <x:row r="382" ht="30" customHeight="1">
      <x:c r="C382" s="64"/>
      <x:c r="D382" s="63"/>
      <x:c r="E382" s="63"/>
      <x:c r="F382" s="63"/>
      <x:c r="G382" s="63"/>
      <x:c r="H382" s="63"/>
      <x:c r="I382" s="63"/>
    </x:row>
    <x:row r="383" ht="30" customHeight="1">
      <x:c r="C383" s="64"/>
      <x:c r="D383" s="63"/>
      <x:c r="E383" s="63"/>
      <x:c r="F383" s="63"/>
      <x:c r="G383" s="63"/>
      <x:c r="H383" s="63"/>
      <x:c r="I383" s="63"/>
    </x:row>
    <x:row r="384" ht="30" customHeight="1">
      <x:c r="C384" s="64"/>
      <x:c r="D384" s="63"/>
      <x:c r="E384" s="63"/>
      <x:c r="F384" s="63"/>
      <x:c r="G384" s="63"/>
      <x:c r="H384" s="63"/>
      <x:c r="I384" s="63"/>
    </x:row>
    <x:row r="385" ht="30" customHeight="1">
      <x:c r="C385" s="64"/>
      <x:c r="D385" s="63"/>
      <x:c r="E385" s="63"/>
      <x:c r="F385" s="63"/>
      <x:c r="G385" s="63"/>
      <x:c r="H385" s="63"/>
      <x:c r="I385" s="63"/>
    </x:row>
    <x:row r="386" ht="30" customHeight="1">
      <x:c r="C386" s="64"/>
      <x:c r="D386" s="63"/>
      <x:c r="E386" s="63"/>
      <x:c r="F386" s="63"/>
      <x:c r="G386" s="63"/>
      <x:c r="H386" s="63"/>
      <x:c r="I386" s="63"/>
    </x:row>
    <x:row r="387" ht="30" customHeight="1">
      <x:c r="C387" s="64"/>
      <x:c r="D387" s="63"/>
      <x:c r="E387" s="63"/>
      <x:c r="F387" s="63"/>
      <x:c r="G387" s="63"/>
      <x:c r="H387" s="63"/>
      <x:c r="I387" s="63"/>
    </x:row>
    <x:row r="388" ht="30" customHeight="1">
      <x:c r="C388" s="64"/>
      <x:c r="D388" s="63"/>
      <x:c r="E388" s="63"/>
      <x:c r="F388" s="63"/>
      <x:c r="G388" s="63"/>
      <x:c r="H388" s="63"/>
      <x:c r="I388" s="63"/>
    </x:row>
    <x:row r="389" ht="30" customHeight="1">
      <x:c r="C389" s="64"/>
      <x:c r="D389" s="63"/>
      <x:c r="E389" s="63"/>
      <x:c r="F389" s="63"/>
      <x:c r="G389" s="63"/>
      <x:c r="H389" s="63"/>
      <x:c r="I389" s="63"/>
    </x:row>
    <x:row r="390" ht="30" customHeight="1">
      <x:c r="C390" s="64"/>
      <x:c r="D390" s="63"/>
      <x:c r="E390" s="63"/>
      <x:c r="F390" s="63"/>
      <x:c r="G390" s="63"/>
      <x:c r="H390" s="63"/>
      <x:c r="I390" s="63"/>
    </x:row>
    <x:row r="391" ht="30" customHeight="1">
      <x:c r="C391" s="64"/>
      <x:c r="D391" s="63"/>
      <x:c r="E391" s="63"/>
      <x:c r="F391" s="63"/>
      <x:c r="G391" s="63"/>
      <x:c r="H391" s="63"/>
      <x:c r="I391" s="63"/>
    </x:row>
    <x:row r="392" ht="30" customHeight="1">
      <x:c r="C392" s="64"/>
      <x:c r="D392" s="63"/>
      <x:c r="E392" s="63"/>
      <x:c r="F392" s="63"/>
      <x:c r="G392" s="63"/>
      <x:c r="H392" s="63"/>
      <x:c r="I392" s="63"/>
    </x:row>
    <x:row r="393" ht="30" customHeight="1">
      <x:c r="C393" s="64"/>
      <x:c r="D393" s="63"/>
      <x:c r="E393" s="63"/>
      <x:c r="F393" s="63"/>
      <x:c r="G393" s="63"/>
      <x:c r="H393" s="63"/>
      <x:c r="I393" s="63"/>
    </x:row>
    <x:row r="394" ht="30" customHeight="1">
      <x:c r="C394" s="64"/>
      <x:c r="D394" s="63"/>
      <x:c r="E394" s="63"/>
      <x:c r="F394" s="63"/>
      <x:c r="G394" s="63"/>
      <x:c r="H394" s="63"/>
      <x:c r="I394" s="63"/>
    </x:row>
    <x:row r="395" ht="30" customHeight="1">
      <x:c r="C395" s="64"/>
      <x:c r="D395" s="63"/>
      <x:c r="E395" s="63"/>
      <x:c r="F395" s="63"/>
      <x:c r="G395" s="63"/>
      <x:c r="H395" s="63"/>
      <x:c r="I395" s="63"/>
    </x:row>
    <x:row r="396" ht="30" customHeight="1">
      <x:c r="C396" s="64"/>
      <x:c r="D396" s="63"/>
      <x:c r="E396" s="63"/>
      <x:c r="F396" s="63"/>
      <x:c r="G396" s="63"/>
      <x:c r="H396" s="63"/>
      <x:c r="I396" s="63"/>
    </x:row>
    <x:row r="397" ht="30" customHeight="1">
      <x:c r="C397" s="64"/>
      <x:c r="D397" s="63"/>
      <x:c r="E397" s="63"/>
      <x:c r="F397" s="63"/>
      <x:c r="G397" s="63"/>
      <x:c r="H397" s="63"/>
      <x:c r="I397" s="63"/>
    </x:row>
    <x:row r="398" ht="25" customHeight="1">
      <x:c r="C398" s="68" t="str">
        <x:v>SCENARIO ASSUMPTIONS</x:v>
      </x:c>
      <x:c r="D398" s="82"/>
      <x:c r="E398" s="82"/>
      <x:c r="F398" s="82"/>
      <x:c r="G398" s="82"/>
      <x:c r="H398" s="82"/>
      <x:c r="I398" s="82"/>
    </x:row>
    <x:row r="399" ht="30" customHeight="1">
      <x:c r="C399" s="64"/>
      <x:c r="D399" s="63"/>
      <x:c r="E399" s="63"/>
      <x:c r="F399" s="63"/>
      <x:c r="G399" s="63"/>
      <x:c r="H399" s="63"/>
      <x:c r="I399" s="63"/>
    </x:row>
    <x:row r="400" ht="30" customHeight="1">
      <x:c r="C400" s="64" t="str">
        <x:v>Capacity utilization — active</x:v>
      </x:c>
      <x:c r="D400" s="63"/>
      <x:c r="E400" s="83" t="n">
        <x:f>IF(COUNT(CHOOSE('Controls'!$E$5,E401,E402,E403))=1,CHOOSE('Controls'!$E$5,E401,E402,E403),NA())</x:f>
        <x:v>0.75</x:v>
      </x:c>
      <x:c r="F400" s="83" t="n">
        <x:f>IF(COUNT(CHOOSE('Controls'!$E$5,F401,F402,F403))=1,CHOOSE('Controls'!$E$5,F401,F402,F403),NA())</x:f>
        <x:v>0.75</x:v>
      </x:c>
      <x:c r="G400" s="83" t="n">
        <x:f>IF(COUNT(CHOOSE('Controls'!$E$5,G401,G402,G403))=1,CHOOSE('Controls'!$E$5,G401,G402,G403),NA())</x:f>
        <x:v>0.75</x:v>
      </x:c>
      <x:c r="H400" s="83" t="n">
        <x:f>IF(COUNT(CHOOSE('Controls'!$E$5,H401,H402,H403))=1,CHOOSE('Controls'!$E$5,H401,H402,H403),NA())</x:f>
        <x:v>0.75</x:v>
      </x:c>
      <x:c r="I400" s="83" t="n">
        <x:f>IF(COUNT(CHOOSE('Controls'!$E$5,I401,I402,I403))=1,CHOOSE('Controls'!$E$5,I401,I402,I403),NA())</x:f>
        <x:v>0.75</x:v>
      </x:c>
    </x:row>
    <x:row r="401" ht="30" customHeight="1">
      <x:c r="C401" s="64" t="str">
        <x:v>Base</x:v>
      </x:c>
      <x:c r="D401" s="63"/>
      <x:c r="E401" s="85" t="n">
        <x:v>0.75</x:v>
      </x:c>
      <x:c r="F401" s="85" t="n">
        <x:v>0.75</x:v>
      </x:c>
      <x:c r="G401" s="85" t="n">
        <x:v>0.75</x:v>
      </x:c>
      <x:c r="H401" s="85" t="n">
        <x:v>0.75</x:v>
      </x:c>
      <x:c r="I401" s="85" t="n">
        <x:v>0.75</x:v>
      </x:c>
    </x:row>
    <x:row r="402" ht="30" customHeight="1">
      <x:c r="C402" s="64" t="str">
        <x:v>Downside</x:v>
      </x:c>
      <x:c r="D402" s="63"/>
      <x:c r="E402" s="85" t="n">
        <x:v>0.75</x:v>
      </x:c>
      <x:c r="F402" s="85" t="n">
        <x:v>0.75</x:v>
      </x:c>
      <x:c r="G402" s="85" t="n">
        <x:v>0.75</x:v>
      </x:c>
      <x:c r="H402" s="85" t="n">
        <x:v>0.75</x:v>
      </x:c>
      <x:c r="I402" s="85" t="n">
        <x:v>0.75</x:v>
      </x:c>
    </x:row>
    <x:row r="403" ht="30" customHeight="1">
      <x:c r="C403" s="64" t="str">
        <x:v>Upside</x:v>
      </x:c>
      <x:c r="D403" s="63"/>
      <x:c r="E403" s="85" t="n">
        <x:v>0.75</x:v>
      </x:c>
      <x:c r="F403" s="85" t="n">
        <x:v>0.75</x:v>
      </x:c>
      <x:c r="G403" s="85" t="n">
        <x:v>0.75</x:v>
      </x:c>
      <x:c r="H403" s="85" t="n">
        <x:v>0.75</x:v>
      </x:c>
      <x:c r="I403" s="85" t="n">
        <x:v>0.75</x:v>
      </x:c>
    </x:row>
    <x:row r="404" ht="30" customHeight="1">
      <x:c r="C404" s="64"/>
      <x:c r="D404" s="63"/>
      <x:c r="E404" s="63"/>
      <x:c r="F404" s="63"/>
      <x:c r="G404" s="63"/>
      <x:c r="H404" s="63"/>
      <x:c r="I404" s="63"/>
    </x:row>
    <x:row r="405" ht="30" customHeight="1">
      <x:c r="C405" s="64" t="str">
        <x:v>Raw materials, fuel and freight / revenue — active</x:v>
      </x:c>
      <x:c r="D405" s="63"/>
      <x:c r="E405" s="83" t="n">
        <x:f>IF(COUNT(CHOOSE('Controls'!$E$5,E406,E407,E408))=1,CHOOSE('Controls'!$E$5,E406,E407,E408),NA())</x:f>
        <x:v>0.65</x:v>
      </x:c>
      <x:c r="F405" s="83" t="n">
        <x:f>IF(COUNT(CHOOSE('Controls'!$E$5,F406,F407,F408))=1,CHOOSE('Controls'!$E$5,F406,F407,F408),NA())</x:f>
        <x:v>0.65</x:v>
      </x:c>
      <x:c r="G405" s="83" t="n">
        <x:f>IF(COUNT(CHOOSE('Controls'!$E$5,G406,G407,G408))=1,CHOOSE('Controls'!$E$5,G406,G407,G408),NA())</x:f>
        <x:v>0.65</x:v>
      </x:c>
      <x:c r="H405" s="83" t="n">
        <x:f>IF(COUNT(CHOOSE('Controls'!$E$5,H406,H407,H408))=1,CHOOSE('Controls'!$E$5,H406,H407,H408),NA())</x:f>
        <x:v>0.65</x:v>
      </x:c>
      <x:c r="I405" s="83" t="n">
        <x:f>IF(COUNT(CHOOSE('Controls'!$E$5,I406,I407,I408))=1,CHOOSE('Controls'!$E$5,I406,I407,I408),NA())</x:f>
        <x:v>0.65</x:v>
      </x:c>
    </x:row>
    <x:row r="406" ht="30" customHeight="1">
      <x:c r="C406" s="64" t="str">
        <x:v>Base</x:v>
      </x:c>
      <x:c r="D406" s="63"/>
      <x:c r="E406" s="85" t="n">
        <x:v>0.65</x:v>
      </x:c>
      <x:c r="F406" s="85" t="n">
        <x:v>0.65</x:v>
      </x:c>
      <x:c r="G406" s="85" t="n">
        <x:v>0.65</x:v>
      </x:c>
      <x:c r="H406" s="85" t="n">
        <x:v>0.65</x:v>
      </x:c>
      <x:c r="I406" s="85" t="n">
        <x:v>0.65</x:v>
      </x:c>
    </x:row>
    <x:row r="407" ht="30" customHeight="1">
      <x:c r="C407" s="64" t="str">
        <x:v>Downside</x:v>
      </x:c>
      <x:c r="D407" s="63"/>
      <x:c r="E407" s="85" t="n">
        <x:v>0.65</x:v>
      </x:c>
      <x:c r="F407" s="85" t="n">
        <x:v>0.65</x:v>
      </x:c>
      <x:c r="G407" s="85" t="n">
        <x:v>0.65</x:v>
      </x:c>
      <x:c r="H407" s="85" t="n">
        <x:v>0.65</x:v>
      </x:c>
      <x:c r="I407" s="85" t="n">
        <x:v>0.65</x:v>
      </x:c>
    </x:row>
    <x:row r="408" ht="30" customHeight="1">
      <x:c r="C408" s="64" t="str">
        <x:v>Upside</x:v>
      </x:c>
      <x:c r="D408" s="63"/>
      <x:c r="E408" s="85" t="n">
        <x:v>0.65</x:v>
      </x:c>
      <x:c r="F408" s="85" t="n">
        <x:v>0.65</x:v>
      </x:c>
      <x:c r="G408" s="85" t="n">
        <x:v>0.65</x:v>
      </x:c>
      <x:c r="H408" s="85" t="n">
        <x:v>0.65</x:v>
      </x:c>
      <x:c r="I408" s="85" t="n">
        <x:v>0.65</x:v>
      </x:c>
    </x:row>
    <x:row r="409" ht="30" customHeight="1">
      <x:c r="C409" s="64"/>
      <x:c r="D409" s="63"/>
      <x:c r="E409" s="63"/>
      <x:c r="F409" s="63"/>
      <x:c r="G409" s="63"/>
      <x:c r="H409" s="63"/>
      <x:c r="I409" s="63"/>
    </x:row>
    <x:row r="410" ht="30" customHeight="1">
      <x:c r="C410" s="64" t="str">
        <x:v>Other cash operating costs / revenue — active</x:v>
      </x:c>
      <x:c r="D410" s="63"/>
      <x:c r="E410" s="83" t="n">
        <x:f>IF(COUNT(CHOOSE('Controls'!$E$5,E411,E412,E413))=1,CHOOSE('Controls'!$E$5,E411,E412,E413),NA())</x:f>
        <x:v>0.12</x:v>
      </x:c>
      <x:c r="F410" s="83" t="n">
        <x:f>IF(COUNT(CHOOSE('Controls'!$E$5,F411,F412,F413))=1,CHOOSE('Controls'!$E$5,F411,F412,F413),NA())</x:f>
        <x:v>0.12</x:v>
      </x:c>
      <x:c r="G410" s="83" t="n">
        <x:f>IF(COUNT(CHOOSE('Controls'!$E$5,G411,G412,G413))=1,CHOOSE('Controls'!$E$5,G411,G412,G413),NA())</x:f>
        <x:v>0.12</x:v>
      </x:c>
      <x:c r="H410" s="83" t="n">
        <x:f>IF(COUNT(CHOOSE('Controls'!$E$5,H411,H412,H413))=1,CHOOSE('Controls'!$E$5,H411,H412,H413),NA())</x:f>
        <x:v>0.12</x:v>
      </x:c>
      <x:c r="I410" s="83" t="n">
        <x:f>IF(COUNT(CHOOSE('Controls'!$E$5,I411,I412,I413))=1,CHOOSE('Controls'!$E$5,I411,I412,I413),NA())</x:f>
        <x:v>0.12</x:v>
      </x:c>
    </x:row>
    <x:row r="411" ht="30" customHeight="1">
      <x:c r="C411" s="64" t="str">
        <x:v>Base</x:v>
      </x:c>
      <x:c r="D411" s="63"/>
      <x:c r="E411" s="85" t="n">
        <x:v>0.12</x:v>
      </x:c>
      <x:c r="F411" s="85" t="n">
        <x:v>0.12</x:v>
      </x:c>
      <x:c r="G411" s="85" t="n">
        <x:v>0.12</x:v>
      </x:c>
      <x:c r="H411" s="85" t="n">
        <x:v>0.12</x:v>
      </x:c>
      <x:c r="I411" s="85" t="n">
        <x:v>0.12</x:v>
      </x:c>
    </x:row>
    <x:row r="412" ht="30" customHeight="1">
      <x:c r="C412" s="64" t="str">
        <x:v>Downside</x:v>
      </x:c>
      <x:c r="D412" s="63"/>
      <x:c r="E412" s="85" t="n">
        <x:v>0.12</x:v>
      </x:c>
      <x:c r="F412" s="85" t="n">
        <x:v>0.12</x:v>
      </x:c>
      <x:c r="G412" s="85" t="n">
        <x:v>0.12</x:v>
      </x:c>
      <x:c r="H412" s="85" t="n">
        <x:v>0.12</x:v>
      </x:c>
      <x:c r="I412" s="85" t="n">
        <x:v>0.12</x:v>
      </x:c>
    </x:row>
    <x:row r="413" ht="30" customHeight="1">
      <x:c r="C413" s="64" t="str">
        <x:v>Upside</x:v>
      </x:c>
      <x:c r="D413" s="63"/>
      <x:c r="E413" s="85" t="n">
        <x:v>0.12</x:v>
      </x:c>
      <x:c r="F413" s="85" t="n">
        <x:v>0.12</x:v>
      </x:c>
      <x:c r="G413" s="85" t="n">
        <x:v>0.12</x:v>
      </x:c>
      <x:c r="H413" s="85" t="n">
        <x:v>0.12</x:v>
      </x:c>
      <x:c r="I413" s="85" t="n">
        <x:v>0.12</x:v>
      </x:c>
    </x:row>
    <x:row r="414" ht="30" customHeight="1">
      <x:c r="C414" s="64"/>
      <x:c r="D414" s="63"/>
      <x:c r="E414" s="63"/>
      <x:c r="F414" s="63"/>
      <x:c r="G414" s="63"/>
      <x:c r="H414" s="63"/>
      <x:c r="I414" s="63"/>
    </x:row>
    <x:row r="415" ht="30" customHeight="1">
      <x:c r="C415" s="64" t="str">
        <x:v>Cash capex / revenue — active</x:v>
      </x:c>
      <x:c r="D415" s="63"/>
      <x:c r="E415" s="83" t="n">
        <x:f>IF(COUNT(CHOOSE('Controls'!$E$5,E416,E417,E418))=1,CHOOSE('Controls'!$E$5,E416,E417,E418),NA())</x:f>
        <x:v>0.08</x:v>
      </x:c>
      <x:c r="F415" s="83" t="n">
        <x:f>IF(COUNT(CHOOSE('Controls'!$E$5,F416,F417,F418))=1,CHOOSE('Controls'!$E$5,F416,F417,F418),NA())</x:f>
        <x:v>0.08</x:v>
      </x:c>
      <x:c r="G415" s="83" t="n">
        <x:f>IF(COUNT(CHOOSE('Controls'!$E$5,G416,G417,G418))=1,CHOOSE('Controls'!$E$5,G416,G417,G418),NA())</x:f>
        <x:v>0.08</x:v>
      </x:c>
      <x:c r="H415" s="83" t="n">
        <x:f>IF(COUNT(CHOOSE('Controls'!$E$5,H416,H417,H418))=1,CHOOSE('Controls'!$E$5,H416,H417,H418),NA())</x:f>
        <x:v>0.08</x:v>
      </x:c>
      <x:c r="I415" s="83" t="n">
        <x:f>IF(COUNT(CHOOSE('Controls'!$E$5,I416,I417,I418))=1,CHOOSE('Controls'!$E$5,I416,I417,I418),NA())</x:f>
        <x:v>0.08</x:v>
      </x:c>
    </x:row>
    <x:row r="416" ht="30" customHeight="1">
      <x:c r="C416" s="64" t="str">
        <x:v>Base</x:v>
      </x:c>
      <x:c r="D416" s="63"/>
      <x:c r="E416" s="85" t="n">
        <x:v>0.08</x:v>
      </x:c>
      <x:c r="F416" s="85" t="n">
        <x:v>0.08</x:v>
      </x:c>
      <x:c r="G416" s="85" t="n">
        <x:v>0.08</x:v>
      </x:c>
      <x:c r="H416" s="85" t="n">
        <x:v>0.08</x:v>
      </x:c>
      <x:c r="I416" s="85" t="n">
        <x:v>0.08</x:v>
      </x:c>
    </x:row>
    <x:row r="417" ht="30" customHeight="1">
      <x:c r="C417" s="64" t="str">
        <x:v>Downside</x:v>
      </x:c>
      <x:c r="D417" s="63"/>
      <x:c r="E417" s="85" t="n">
        <x:v>0.08</x:v>
      </x:c>
      <x:c r="F417" s="85" t="n">
        <x:v>0.08</x:v>
      </x:c>
      <x:c r="G417" s="85" t="n">
        <x:v>0.08</x:v>
      </x:c>
      <x:c r="H417" s="85" t="n">
        <x:v>0.08</x:v>
      </x:c>
      <x:c r="I417" s="85" t="n">
        <x:v>0.08</x:v>
      </x:c>
    </x:row>
    <x:row r="418" ht="30" customHeight="1">
      <x:c r="C418" s="64" t="str">
        <x:v>Upside</x:v>
      </x:c>
      <x:c r="D418" s="63"/>
      <x:c r="E418" s="85" t="n">
        <x:v>0.08</x:v>
      </x:c>
      <x:c r="F418" s="85" t="n">
        <x:v>0.08</x:v>
      </x:c>
      <x:c r="G418" s="85" t="n">
        <x:v>0.08</x:v>
      </x:c>
      <x:c r="H418" s="85" t="n">
        <x:v>0.08</x:v>
      </x:c>
      <x:c r="I418" s="85" t="n">
        <x:v>0.08</x:v>
      </x:c>
    </x:row>
    <x:row r="419" ht="30" customHeight="1">
      <x:c r="C419" s="64"/>
      <x:c r="D419" s="63"/>
      <x:c r="E419" s="63"/>
      <x:c r="F419" s="63"/>
      <x:c r="G419" s="63"/>
      <x:c r="H419" s="63"/>
      <x:c r="I419" s="63"/>
    </x:row>
    <x:row r="420" ht="30" customHeight="1">
      <x:c r="C420" s="64" t="str">
        <x:v>D&amp;A / opening net PP&amp;E — active</x:v>
      </x:c>
      <x:c r="D420" s="63"/>
      <x:c r="E420" s="83" t="n">
        <x:f>IF(COUNT(CHOOSE('Controls'!$E$5,E421,E422,E423))=1,CHOOSE('Controls'!$E$5,E421,E422,E423),NA())</x:f>
        <x:v>0.07</x:v>
      </x:c>
      <x:c r="F420" s="83" t="n">
        <x:f>IF(COUNT(CHOOSE('Controls'!$E$5,F421,F422,F423))=1,CHOOSE('Controls'!$E$5,F421,F422,F423),NA())</x:f>
        <x:v>0.07</x:v>
      </x:c>
      <x:c r="G420" s="83" t="n">
        <x:f>IF(COUNT(CHOOSE('Controls'!$E$5,G421,G422,G423))=1,CHOOSE('Controls'!$E$5,G421,G422,G423),NA())</x:f>
        <x:v>0.07</x:v>
      </x:c>
      <x:c r="H420" s="83" t="n">
        <x:f>IF(COUNT(CHOOSE('Controls'!$E$5,H421,H422,H423))=1,CHOOSE('Controls'!$E$5,H421,H422,H423),NA())</x:f>
        <x:v>0.07</x:v>
      </x:c>
      <x:c r="I420" s="83" t="n">
        <x:f>IF(COUNT(CHOOSE('Controls'!$E$5,I421,I422,I423))=1,CHOOSE('Controls'!$E$5,I421,I422,I423),NA())</x:f>
        <x:v>0.07</x:v>
      </x:c>
    </x:row>
    <x:row r="421" ht="30" customHeight="1">
      <x:c r="C421" s="64" t="str">
        <x:v>Base</x:v>
      </x:c>
      <x:c r="D421" s="63"/>
      <x:c r="E421" s="85" t="n">
        <x:v>0.07</x:v>
      </x:c>
      <x:c r="F421" s="85" t="n">
        <x:v>0.07</x:v>
      </x:c>
      <x:c r="G421" s="85" t="n">
        <x:v>0.07</x:v>
      </x:c>
      <x:c r="H421" s="85" t="n">
        <x:v>0.07</x:v>
      </x:c>
      <x:c r="I421" s="85" t="n">
        <x:v>0.07</x:v>
      </x:c>
    </x:row>
    <x:row r="422" ht="30" customHeight="1">
      <x:c r="C422" s="64" t="str">
        <x:v>Downside</x:v>
      </x:c>
      <x:c r="D422" s="63"/>
      <x:c r="E422" s="85" t="n">
        <x:v>0.07</x:v>
      </x:c>
      <x:c r="F422" s="85" t="n">
        <x:v>0.07</x:v>
      </x:c>
      <x:c r="G422" s="85" t="n">
        <x:v>0.07</x:v>
      </x:c>
      <x:c r="H422" s="85" t="n">
        <x:v>0.07</x:v>
      </x:c>
      <x:c r="I422" s="85" t="n">
        <x:v>0.07</x:v>
      </x:c>
    </x:row>
    <x:row r="423" ht="30" customHeight="1">
      <x:c r="C423" s="64" t="str">
        <x:v>Upside</x:v>
      </x:c>
      <x:c r="D423" s="63"/>
      <x:c r="E423" s="85" t="n">
        <x:v>0.07</x:v>
      </x:c>
      <x:c r="F423" s="85" t="n">
        <x:v>0.07</x:v>
      </x:c>
      <x:c r="G423" s="85" t="n">
        <x:v>0.07</x:v>
      </x:c>
      <x:c r="H423" s="85" t="n">
        <x:v>0.07</x:v>
      </x:c>
      <x:c r="I423" s="85" t="n">
        <x:v>0.07</x:v>
      </x:c>
    </x:row>
    <x:row r="424" ht="30" customHeight="1">
      <x:c r="C424" s="64"/>
      <x:c r="D424" s="63"/>
      <x:c r="E424" s="63"/>
      <x:c r="F424" s="63"/>
      <x:c r="G424" s="63"/>
      <x:c r="H424" s="63"/>
      <x:c r="I424" s="63"/>
    </x:row>
    <x:row r="425" ht="30" customHeight="1">
      <x:c r="C425" s="64" t="str">
        <x:v>Receivable days — active</x:v>
      </x:c>
      <x:c r="D425" s="63"/>
      <x:c r="E425" s="8" t="n">
        <x:f>IF(COUNT(CHOOSE('Controls'!$E$5,E426,E427,E428))=1,CHOOSE('Controls'!$E$5,E426,E427,E428),NA())</x:f>
        <x:v>20</x:v>
      </x:c>
      <x:c r="F425" s="8" t="n">
        <x:f>IF(COUNT(CHOOSE('Controls'!$E$5,F426,F427,F428))=1,CHOOSE('Controls'!$E$5,F426,F427,F428),NA())</x:f>
        <x:v>20</x:v>
      </x:c>
      <x:c r="G425" s="8" t="n">
        <x:f>IF(COUNT(CHOOSE('Controls'!$E$5,G426,G427,G428))=1,CHOOSE('Controls'!$E$5,G426,G427,G428),NA())</x:f>
        <x:v>20</x:v>
      </x:c>
      <x:c r="H425" s="8" t="n">
        <x:f>IF(COUNT(CHOOSE('Controls'!$E$5,H426,H427,H428))=1,CHOOSE('Controls'!$E$5,H426,H427,H428),NA())</x:f>
        <x:v>20</x:v>
      </x:c>
      <x:c r="I425" s="8" t="n">
        <x:f>IF(COUNT(CHOOSE('Controls'!$E$5,I426,I427,I428))=1,CHOOSE('Controls'!$E$5,I426,I427,I428),NA())</x:f>
        <x:v>20</x:v>
      </x:c>
    </x:row>
    <x:row r="426" ht="30" customHeight="1">
      <x:c r="C426" s="64" t="str">
        <x:v>Base</x:v>
      </x:c>
      <x:c r="D426" s="63"/>
      <x:c r="E426" s="74" t="n">
        <x:v>20</x:v>
      </x:c>
      <x:c r="F426" s="74" t="n">
        <x:v>20</x:v>
      </x:c>
      <x:c r="G426" s="74" t="n">
        <x:v>20</x:v>
      </x:c>
      <x:c r="H426" s="74" t="n">
        <x:v>20</x:v>
      </x:c>
      <x:c r="I426" s="74" t="n">
        <x:v>20</x:v>
      </x:c>
    </x:row>
    <x:row r="427" ht="30" customHeight="1">
      <x:c r="C427" s="64" t="str">
        <x:v>Downside</x:v>
      </x:c>
      <x:c r="D427" s="63"/>
      <x:c r="E427" s="74" t="n">
        <x:v>20</x:v>
      </x:c>
      <x:c r="F427" s="74" t="n">
        <x:v>20</x:v>
      </x:c>
      <x:c r="G427" s="74" t="n">
        <x:v>20</x:v>
      </x:c>
      <x:c r="H427" s="74" t="n">
        <x:v>20</x:v>
      </x:c>
      <x:c r="I427" s="74" t="n">
        <x:v>20</x:v>
      </x:c>
    </x:row>
    <x:row r="428" ht="30" customHeight="1">
      <x:c r="C428" s="64" t="str">
        <x:v>Upside</x:v>
      </x:c>
      <x:c r="D428" s="63"/>
      <x:c r="E428" s="74" t="n">
        <x:v>20</x:v>
      </x:c>
      <x:c r="F428" s="74" t="n">
        <x:v>20</x:v>
      </x:c>
      <x:c r="G428" s="74" t="n">
        <x:v>20</x:v>
      </x:c>
      <x:c r="H428" s="74" t="n">
        <x:v>20</x:v>
      </x:c>
      <x:c r="I428" s="74" t="n">
        <x:v>20</x:v>
      </x:c>
    </x:row>
    <x:row r="429" ht="30" customHeight="1">
      <x:c r="C429" s="64"/>
      <x:c r="D429" s="63"/>
      <x:c r="E429" s="63"/>
      <x:c r="F429" s="63"/>
      <x:c r="G429" s="63"/>
      <x:c r="H429" s="63"/>
      <x:c r="I429" s="63"/>
    </x:row>
    <x:row r="430" ht="30" customHeight="1">
      <x:c r="C430" s="64" t="str">
        <x:v>Inventory days — active</x:v>
      </x:c>
      <x:c r="D430" s="63"/>
      <x:c r="E430" s="8" t="n">
        <x:f>IF(COUNT(CHOOSE('Controls'!$E$5,E431,E432,E433))=1,CHOOSE('Controls'!$E$5,E431,E432,E433),NA())</x:f>
        <x:v>40</x:v>
      </x:c>
      <x:c r="F430" s="8" t="n">
        <x:f>IF(COUNT(CHOOSE('Controls'!$E$5,F431,F432,F433))=1,CHOOSE('Controls'!$E$5,F431,F432,F433),NA())</x:f>
        <x:v>40</x:v>
      </x:c>
      <x:c r="G430" s="8" t="n">
        <x:f>IF(COUNT(CHOOSE('Controls'!$E$5,G431,G432,G433))=1,CHOOSE('Controls'!$E$5,G431,G432,G433),NA())</x:f>
        <x:v>40</x:v>
      </x:c>
      <x:c r="H430" s="8" t="n">
        <x:f>IF(COUNT(CHOOSE('Controls'!$E$5,H431,H432,H433))=1,CHOOSE('Controls'!$E$5,H431,H432,H433),NA())</x:f>
        <x:v>40</x:v>
      </x:c>
      <x:c r="I430" s="8" t="n">
        <x:f>IF(COUNT(CHOOSE('Controls'!$E$5,I431,I432,I433))=1,CHOOSE('Controls'!$E$5,I431,I432,I433),NA())</x:f>
        <x:v>40</x:v>
      </x:c>
    </x:row>
    <x:row r="431" ht="30" customHeight="1">
      <x:c r="C431" s="64" t="str">
        <x:v>Base</x:v>
      </x:c>
      <x:c r="D431" s="63"/>
      <x:c r="E431" s="74" t="n">
        <x:v>40</x:v>
      </x:c>
      <x:c r="F431" s="74" t="n">
        <x:v>40</x:v>
      </x:c>
      <x:c r="G431" s="74" t="n">
        <x:v>40</x:v>
      </x:c>
      <x:c r="H431" s="74" t="n">
        <x:v>40</x:v>
      </x:c>
      <x:c r="I431" s="74" t="n">
        <x:v>40</x:v>
      </x:c>
    </x:row>
    <x:row r="432" ht="30" customHeight="1">
      <x:c r="C432" s="64" t="str">
        <x:v>Downside</x:v>
      </x:c>
      <x:c r="D432" s="63"/>
      <x:c r="E432" s="74" t="n">
        <x:v>40</x:v>
      </x:c>
      <x:c r="F432" s="74" t="n">
        <x:v>40</x:v>
      </x:c>
      <x:c r="G432" s="74" t="n">
        <x:v>40</x:v>
      </x:c>
      <x:c r="H432" s="74" t="n">
        <x:v>40</x:v>
      </x:c>
      <x:c r="I432" s="74" t="n">
        <x:v>40</x:v>
      </x:c>
    </x:row>
    <x:row r="433" ht="30" customHeight="1">
      <x:c r="C433" s="64" t="str">
        <x:v>Upside</x:v>
      </x:c>
      <x:c r="D433" s="63"/>
      <x:c r="E433" s="74" t="n">
        <x:v>40</x:v>
      </x:c>
      <x:c r="F433" s="74" t="n">
        <x:v>40</x:v>
      </x:c>
      <x:c r="G433" s="74" t="n">
        <x:v>40</x:v>
      </x:c>
      <x:c r="H433" s="74" t="n">
        <x:v>40</x:v>
      </x:c>
      <x:c r="I433" s="74" t="n">
        <x:v>40</x:v>
      </x:c>
    </x:row>
    <x:row r="434" ht="30" customHeight="1">
      <x:c r="C434" s="64"/>
      <x:c r="D434" s="63"/>
      <x:c r="E434" s="63"/>
      <x:c r="F434" s="63"/>
      <x:c r="G434" s="63"/>
      <x:c r="H434" s="63"/>
      <x:c r="I434" s="63"/>
    </x:row>
    <x:row r="435" ht="30" customHeight="1">
      <x:c r="C435" s="64" t="str">
        <x:v>Payable days — active</x:v>
      </x:c>
      <x:c r="D435" s="63"/>
      <x:c r="E435" s="8" t="n">
        <x:f>IF(COUNT(CHOOSE('Controls'!$E$5,E436,E437,E438))=1,CHOOSE('Controls'!$E$5,E436,E437,E438),NA())</x:f>
        <x:v>40</x:v>
      </x:c>
      <x:c r="F435" s="8" t="n">
        <x:f>IF(COUNT(CHOOSE('Controls'!$E$5,F436,F437,F438))=1,CHOOSE('Controls'!$E$5,F436,F437,F438),NA())</x:f>
        <x:v>40</x:v>
      </x:c>
      <x:c r="G435" s="8" t="n">
        <x:f>IF(COUNT(CHOOSE('Controls'!$E$5,G436,G437,G438))=1,CHOOSE('Controls'!$E$5,G436,G437,G438),NA())</x:f>
        <x:v>40</x:v>
      </x:c>
      <x:c r="H435" s="8" t="n">
        <x:f>IF(COUNT(CHOOSE('Controls'!$E$5,H436,H437,H438))=1,CHOOSE('Controls'!$E$5,H436,H437,H438),NA())</x:f>
        <x:v>40</x:v>
      </x:c>
      <x:c r="I435" s="8" t="n">
        <x:f>IF(COUNT(CHOOSE('Controls'!$E$5,I436,I437,I438))=1,CHOOSE('Controls'!$E$5,I436,I437,I438),NA())</x:f>
        <x:v>40</x:v>
      </x:c>
    </x:row>
    <x:row r="436" ht="30" customHeight="1">
      <x:c r="C436" s="64" t="str">
        <x:v>Base</x:v>
      </x:c>
      <x:c r="D436" s="63"/>
      <x:c r="E436" s="74" t="n">
        <x:v>40</x:v>
      </x:c>
      <x:c r="F436" s="74" t="n">
        <x:v>40</x:v>
      </x:c>
      <x:c r="G436" s="74" t="n">
        <x:v>40</x:v>
      </x:c>
      <x:c r="H436" s="74" t="n">
        <x:v>40</x:v>
      </x:c>
      <x:c r="I436" s="74" t="n">
        <x:v>40</x:v>
      </x:c>
    </x:row>
    <x:row r="437" ht="30" customHeight="1">
      <x:c r="C437" s="64" t="str">
        <x:v>Downside</x:v>
      </x:c>
      <x:c r="D437" s="63"/>
      <x:c r="E437" s="74" t="n">
        <x:v>40</x:v>
      </x:c>
      <x:c r="F437" s="74" t="n">
        <x:v>40</x:v>
      </x:c>
      <x:c r="G437" s="74" t="n">
        <x:v>40</x:v>
      </x:c>
      <x:c r="H437" s="74" t="n">
        <x:v>40</x:v>
      </x:c>
      <x:c r="I437" s="74" t="n">
        <x:v>40</x:v>
      </x:c>
    </x:row>
    <x:row r="438" ht="30" customHeight="1">
      <x:c r="C438" s="64" t="str">
        <x:v>Upside</x:v>
      </x:c>
      <x:c r="D438" s="63"/>
      <x:c r="E438" s="74" t="n">
        <x:v>40</x:v>
      </x:c>
      <x:c r="F438" s="74" t="n">
        <x:v>40</x:v>
      </x:c>
      <x:c r="G438" s="74" t="n">
        <x:v>40</x:v>
      </x:c>
      <x:c r="H438" s="74" t="n">
        <x:v>40</x:v>
      </x:c>
      <x:c r="I438" s="74" t="n">
        <x:v>40</x:v>
      </x:c>
    </x:row>
    <x:row r="439" ht="30" customHeight="1">
      <x:c r="C439" s="64"/>
      <x:c r="D439" s="63"/>
      <x:c r="E439" s="63"/>
      <x:c r="F439" s="63"/>
      <x:c r="G439" s="63"/>
      <x:c r="H439" s="63"/>
      <x:c r="I439" s="63"/>
    </x:row>
    <x:row r="440" ht="30" customHeight="1">
      <x:c r="C440" s="64" t="str">
        <x:v>Effective cash tax rate — active</x:v>
      </x:c>
      <x:c r="D440" s="63"/>
      <x:c r="E440" s="83" t="n">
        <x:f>IF(COUNT(CHOOSE('Controls'!$E$5,E441,E442,E443))=1,CHOOSE('Controls'!$E$5,E441,E442,E443),NA())</x:f>
        <x:v>0.25</x:v>
      </x:c>
      <x:c r="F440" s="83" t="n">
        <x:f>IF(COUNT(CHOOSE('Controls'!$E$5,F441,F442,F443))=1,CHOOSE('Controls'!$E$5,F441,F442,F443),NA())</x:f>
        <x:v>0.25</x:v>
      </x:c>
      <x:c r="G440" s="83" t="n">
        <x:f>IF(COUNT(CHOOSE('Controls'!$E$5,G441,G442,G443))=1,CHOOSE('Controls'!$E$5,G441,G442,G443),NA())</x:f>
        <x:v>0.25</x:v>
      </x:c>
      <x:c r="H440" s="83" t="n">
        <x:f>IF(COUNT(CHOOSE('Controls'!$E$5,H441,H442,H443))=1,CHOOSE('Controls'!$E$5,H441,H442,H443),NA())</x:f>
        <x:v>0.25</x:v>
      </x:c>
      <x:c r="I440" s="83" t="n">
        <x:f>IF(COUNT(CHOOSE('Controls'!$E$5,I441,I442,I443))=1,CHOOSE('Controls'!$E$5,I441,I442,I443),NA())</x:f>
        <x:v>0.25</x:v>
      </x:c>
    </x:row>
    <x:row r="441" ht="30" customHeight="1">
      <x:c r="C441" s="64" t="str">
        <x:v>Base</x:v>
      </x:c>
      <x:c r="D441" s="63"/>
      <x:c r="E441" s="85" t="n">
        <x:v>0.25</x:v>
      </x:c>
      <x:c r="F441" s="85" t="n">
        <x:v>0.25</x:v>
      </x:c>
      <x:c r="G441" s="85" t="n">
        <x:v>0.25</x:v>
      </x:c>
      <x:c r="H441" s="85" t="n">
        <x:v>0.25</x:v>
      </x:c>
      <x:c r="I441" s="85" t="n">
        <x:v>0.25</x:v>
      </x:c>
    </x:row>
    <x:row r="442" ht="30" customHeight="1">
      <x:c r="C442" s="64" t="str">
        <x:v>Downside</x:v>
      </x:c>
      <x:c r="D442" s="63"/>
      <x:c r="E442" s="85" t="n">
        <x:v>0.25</x:v>
      </x:c>
      <x:c r="F442" s="85" t="n">
        <x:v>0.25</x:v>
      </x:c>
      <x:c r="G442" s="85" t="n">
        <x:v>0.25</x:v>
      </x:c>
      <x:c r="H442" s="85" t="n">
        <x:v>0.25</x:v>
      </x:c>
      <x:c r="I442" s="85" t="n">
        <x:v>0.25</x:v>
      </x:c>
    </x:row>
    <x:row r="443" ht="30" customHeight="1">
      <x:c r="C443" s="64" t="str">
        <x:v>Upside</x:v>
      </x:c>
      <x:c r="D443" s="63"/>
      <x:c r="E443" s="85" t="n">
        <x:v>0.25</x:v>
      </x:c>
      <x:c r="F443" s="85" t="n">
        <x:v>0.25</x:v>
      </x:c>
      <x:c r="G443" s="85" t="n">
        <x:v>0.25</x:v>
      </x:c>
      <x:c r="H443" s="85" t="n">
        <x:v>0.25</x:v>
      </x:c>
      <x:c r="I443" s="85" t="n">
        <x:v>0.25</x:v>
      </x:c>
    </x:row>
    <x:row r="444" ht="30" customHeight="1">
      <x:c r="C444" s="64"/>
      <x:c r="D444" s="63"/>
      <x:c r="E444" s="63"/>
      <x:c r="F444" s="63"/>
      <x:c r="G444" s="63"/>
      <x:c r="H444" s="63"/>
      <x:c r="I444" s="63"/>
    </x:row>
    <x:row r="445" ht="30" customHeight="1">
      <x:c r="C445" s="64" t="str">
        <x:v>Interest on opening debt — active</x:v>
      </x:c>
      <x:c r="D445" s="63"/>
      <x:c r="E445" s="83" t="n">
        <x:f>IF(COUNT(CHOOSE('Controls'!$E$5,E446,E447,E448))=1,CHOOSE('Controls'!$E$5,E446,E447,E448),NA())</x:f>
        <x:v>0.085</x:v>
      </x:c>
      <x:c r="F445" s="83" t="n">
        <x:f>IF(COUNT(CHOOSE('Controls'!$E$5,F446,F447,F448))=1,CHOOSE('Controls'!$E$5,F446,F447,F448),NA())</x:f>
        <x:v>0.085</x:v>
      </x:c>
      <x:c r="G445" s="83" t="n">
        <x:f>IF(COUNT(CHOOSE('Controls'!$E$5,G446,G447,G448))=1,CHOOSE('Controls'!$E$5,G446,G447,G448),NA())</x:f>
        <x:v>0.085</x:v>
      </x:c>
      <x:c r="H445" s="83" t="n">
        <x:f>IF(COUNT(CHOOSE('Controls'!$E$5,H446,H447,H448))=1,CHOOSE('Controls'!$E$5,H446,H447,H448),NA())</x:f>
        <x:v>0.085</x:v>
      </x:c>
      <x:c r="I445" s="83" t="n">
        <x:f>IF(COUNT(CHOOSE('Controls'!$E$5,I446,I447,I448))=1,CHOOSE('Controls'!$E$5,I446,I447,I448),NA())</x:f>
        <x:v>0.085</x:v>
      </x:c>
    </x:row>
    <x:row r="446" ht="30" customHeight="1">
      <x:c r="C446" s="64" t="str">
        <x:v>Base</x:v>
      </x:c>
      <x:c r="D446" s="63"/>
      <x:c r="E446" s="85" t="n">
        <x:v>0.085</x:v>
      </x:c>
      <x:c r="F446" s="85" t="n">
        <x:v>0.085</x:v>
      </x:c>
      <x:c r="G446" s="85" t="n">
        <x:v>0.085</x:v>
      </x:c>
      <x:c r="H446" s="85" t="n">
        <x:v>0.085</x:v>
      </x:c>
      <x:c r="I446" s="85" t="n">
        <x:v>0.085</x:v>
      </x:c>
    </x:row>
    <x:row r="447" ht="30" customHeight="1">
      <x:c r="C447" s="64" t="str">
        <x:v>Downside</x:v>
      </x:c>
      <x:c r="D447" s="63"/>
      <x:c r="E447" s="85" t="n">
        <x:v>0.085</x:v>
      </x:c>
      <x:c r="F447" s="85" t="n">
        <x:v>0.085</x:v>
      </x:c>
      <x:c r="G447" s="85" t="n">
        <x:v>0.085</x:v>
      </x:c>
      <x:c r="H447" s="85" t="n">
        <x:v>0.085</x:v>
      </x:c>
      <x:c r="I447" s="85" t="n">
        <x:v>0.085</x:v>
      </x:c>
    </x:row>
    <x:row r="448" ht="30" customHeight="1">
      <x:c r="C448" s="64" t="str">
        <x:v>Upside</x:v>
      </x:c>
      <x:c r="D448" s="63"/>
      <x:c r="E448" s="85" t="n">
        <x:v>0.085</x:v>
      </x:c>
      <x:c r="F448" s="85" t="n">
        <x:v>0.085</x:v>
      </x:c>
      <x:c r="G448" s="85" t="n">
        <x:v>0.085</x:v>
      </x:c>
      <x:c r="H448" s="85" t="n">
        <x:v>0.085</x:v>
      </x:c>
      <x:c r="I448" s="85" t="n">
        <x:v>0.085</x:v>
      </x:c>
    </x:row>
    <x:row r="449" ht="30" customHeight="1">
      <x:c r="C449" s="64"/>
      <x:c r="D449" s="63"/>
      <x:c r="E449" s="63"/>
      <x:c r="F449" s="63"/>
      <x:c r="G449" s="63"/>
      <x:c r="H449" s="63"/>
      <x:c r="I449" s="63"/>
    </x:row>
    <x:row r="450" ht="30" customHeight="1">
      <x:c r="C450" s="64" t="str">
        <x:v>New borrowing — active</x:v>
      </x:c>
      <x:c r="D450" s="63"/>
      <x:c r="E450" s="8" t="n">
        <x:f>IF(COUNT(CHOOSE('Controls'!$E$5,E451,E452,E453))=1,CHOOSE('Controls'!$E$5,E451,E452,E453),NA())</x:f>
        <x:v>0</x:v>
      </x:c>
      <x:c r="F450" s="8" t="n">
        <x:f>IF(COUNT(CHOOSE('Controls'!$E$5,F451,F452,F453))=1,CHOOSE('Controls'!$E$5,F451,F452,F453),NA())</x:f>
        <x:v>0</x:v>
      </x:c>
      <x:c r="G450" s="8" t="n">
        <x:f>IF(COUNT(CHOOSE('Controls'!$E$5,G451,G452,G453))=1,CHOOSE('Controls'!$E$5,G451,G452,G453),NA())</x:f>
        <x:v>0</x:v>
      </x:c>
      <x:c r="H450" s="8" t="n">
        <x:f>IF(COUNT(CHOOSE('Controls'!$E$5,H451,H452,H453))=1,CHOOSE('Controls'!$E$5,H451,H452,H453),NA())</x:f>
        <x:v>0</x:v>
      </x:c>
      <x:c r="I450" s="8" t="n">
        <x:f>IF(COUNT(CHOOSE('Controls'!$E$5,I451,I452,I453))=1,CHOOSE('Controls'!$E$5,I451,I452,I453),NA())</x:f>
        <x:v>0</x:v>
      </x:c>
    </x:row>
    <x:row r="451" ht="30" customHeight="1">
      <x:c r="C451" s="64" t="str">
        <x:v>Base</x:v>
      </x:c>
      <x:c r="D451" s="63"/>
      <x:c r="E451" s="74" t="n">
        <x:v>0</x:v>
      </x:c>
      <x:c r="F451" s="74" t="n">
        <x:v>0</x:v>
      </x:c>
      <x:c r="G451" s="74" t="n">
        <x:v>0</x:v>
      </x:c>
      <x:c r="H451" s="74" t="n">
        <x:v>0</x:v>
      </x:c>
      <x:c r="I451" s="74" t="n">
        <x:v>0</x:v>
      </x:c>
    </x:row>
    <x:row r="452" ht="30" customHeight="1">
      <x:c r="C452" s="64" t="str">
        <x:v>Downside</x:v>
      </x:c>
      <x:c r="D452" s="63"/>
      <x:c r="E452" s="74" t="n">
        <x:v>0</x:v>
      </x:c>
      <x:c r="F452" s="74" t="n">
        <x:v>0</x:v>
      </x:c>
      <x:c r="G452" s="74" t="n">
        <x:v>0</x:v>
      </x:c>
      <x:c r="H452" s="74" t="n">
        <x:v>0</x:v>
      </x:c>
      <x:c r="I452" s="74" t="n">
        <x:v>0</x:v>
      </x:c>
    </x:row>
    <x:row r="453" ht="30" customHeight="1">
      <x:c r="C453" s="64" t="str">
        <x:v>Upside</x:v>
      </x:c>
      <x:c r="D453" s="63"/>
      <x:c r="E453" s="74" t="n">
        <x:v>0</x:v>
      </x:c>
      <x:c r="F453" s="74" t="n">
        <x:v>0</x:v>
      </x:c>
      <x:c r="G453" s="74" t="n">
        <x:v>0</x:v>
      </x:c>
      <x:c r="H453" s="74" t="n">
        <x:v>0</x:v>
      </x:c>
      <x:c r="I453" s="74" t="n">
        <x:v>0</x:v>
      </x:c>
    </x:row>
    <x:row r="454" ht="30" customHeight="1">
      <x:c r="C454" s="64"/>
      <x:c r="D454" s="63"/>
      <x:c r="E454" s="63"/>
      <x:c r="F454" s="63"/>
      <x:c r="G454" s="63"/>
      <x:c r="H454" s="63"/>
      <x:c r="I454" s="63"/>
    </x:row>
    <x:row r="455" ht="30" customHeight="1">
      <x:c r="C455" s="64" t="str">
        <x:v>Scheduled principal repayment — active</x:v>
      </x:c>
      <x:c r="D455" s="63"/>
      <x:c r="E455" s="8" t="n">
        <x:f>IF(COUNT(CHOOSE('Controls'!$E$5,E456,E457,E458))=1,CHOOSE('Controls'!$E$5,E456,E457,E458),NA())</x:f>
        <x:v>250</x:v>
      </x:c>
      <x:c r="F455" s="8" t="n">
        <x:f>IF(COUNT(CHOOSE('Controls'!$E$5,F456,F457,F458))=1,CHOOSE('Controls'!$E$5,F456,F457,F458),NA())</x:f>
        <x:v>250</x:v>
      </x:c>
      <x:c r="G455" s="8" t="n">
        <x:f>IF(COUNT(CHOOSE('Controls'!$E$5,G456,G457,G458))=1,CHOOSE('Controls'!$E$5,G456,G457,G458),NA())</x:f>
        <x:v>250</x:v>
      </x:c>
      <x:c r="H455" s="8" t="n">
        <x:f>IF(COUNT(CHOOSE('Controls'!$E$5,H456,H457,H458))=1,CHOOSE('Controls'!$E$5,H456,H457,H458),NA())</x:f>
        <x:v>250</x:v>
      </x:c>
      <x:c r="I455" s="8" t="n">
        <x:f>IF(COUNT(CHOOSE('Controls'!$E$5,I456,I457,I458))=1,CHOOSE('Controls'!$E$5,I456,I457,I458),NA())</x:f>
        <x:v>250</x:v>
      </x:c>
    </x:row>
    <x:row r="456" ht="30" customHeight="1">
      <x:c r="C456" s="64" t="str">
        <x:v>Base</x:v>
      </x:c>
      <x:c r="D456" s="63"/>
      <x:c r="E456" s="74" t="n">
        <x:v>250</x:v>
      </x:c>
      <x:c r="F456" s="74" t="n">
        <x:v>250</x:v>
      </x:c>
      <x:c r="G456" s="74" t="n">
        <x:v>250</x:v>
      </x:c>
      <x:c r="H456" s="74" t="n">
        <x:v>250</x:v>
      </x:c>
      <x:c r="I456" s="74" t="n">
        <x:v>250</x:v>
      </x:c>
    </x:row>
    <x:row r="457" ht="30" customHeight="1">
      <x:c r="C457" s="64" t="str">
        <x:v>Downside</x:v>
      </x:c>
      <x:c r="D457" s="63"/>
      <x:c r="E457" s="74" t="n">
        <x:v>250</x:v>
      </x:c>
      <x:c r="F457" s="74" t="n">
        <x:v>250</x:v>
      </x:c>
      <x:c r="G457" s="74" t="n">
        <x:v>250</x:v>
      </x:c>
      <x:c r="H457" s="74" t="n">
        <x:v>250</x:v>
      </x:c>
      <x:c r="I457" s="74" t="n">
        <x:v>250</x:v>
      </x:c>
    </x:row>
    <x:row r="458" ht="30" customHeight="1">
      <x:c r="C458" s="64" t="str">
        <x:v>Upside</x:v>
      </x:c>
      <x:c r="D458" s="63"/>
      <x:c r="E458" s="74" t="n">
        <x:v>250</x:v>
      </x:c>
      <x:c r="F458" s="74" t="n">
        <x:v>250</x:v>
      </x:c>
      <x:c r="G458" s="74" t="n">
        <x:v>250</x:v>
      </x:c>
      <x:c r="H458" s="74" t="n">
        <x:v>250</x:v>
      </x:c>
      <x:c r="I458" s="74" t="n">
        <x:v>250</x:v>
      </x:c>
    </x:row>
    <x:row r="459" ht="30" customHeight="1">
      <x:c r="C459" s="64"/>
      <x:c r="D459" s="63"/>
      <x:c r="E459" s="63"/>
      <x:c r="F459" s="63"/>
      <x:c r="G459" s="63"/>
      <x:c r="H459" s="63"/>
      <x:c r="I459" s="63"/>
    </x:row>
    <x:row r="460" ht="30" customHeight="1">
      <x:c r="C460" s="64" t="str">
        <x:v>Dividend payout on positive PAT — active</x:v>
      </x:c>
      <x:c r="D460" s="63"/>
      <x:c r="E460" s="83" t="n">
        <x:f>IF(COUNT(CHOOSE('Controls'!$E$5,E461,E462,E463))=1,CHOOSE('Controls'!$E$5,E461,E462,E463),NA())</x:f>
        <x:v>0.25</x:v>
      </x:c>
      <x:c r="F460" s="83" t="n">
        <x:f>IF(COUNT(CHOOSE('Controls'!$E$5,F461,F462,F463))=1,CHOOSE('Controls'!$E$5,F461,F462,F463),NA())</x:f>
        <x:v>0.25</x:v>
      </x:c>
      <x:c r="G460" s="83" t="n">
        <x:f>IF(COUNT(CHOOSE('Controls'!$E$5,G461,G462,G463))=1,CHOOSE('Controls'!$E$5,G461,G462,G463),NA())</x:f>
        <x:v>0.25</x:v>
      </x:c>
      <x:c r="H460" s="83" t="n">
        <x:f>IF(COUNT(CHOOSE('Controls'!$E$5,H461,H462,H463))=1,CHOOSE('Controls'!$E$5,H461,H462,H463),NA())</x:f>
        <x:v>0.25</x:v>
      </x:c>
      <x:c r="I460" s="83" t="n">
        <x:f>IF(COUNT(CHOOSE('Controls'!$E$5,I461,I462,I463))=1,CHOOSE('Controls'!$E$5,I461,I462,I463),NA())</x:f>
        <x:v>0.25</x:v>
      </x:c>
    </x:row>
    <x:row r="461" ht="30" customHeight="1">
      <x:c r="C461" s="64" t="str">
        <x:v>Base</x:v>
      </x:c>
      <x:c r="D461" s="63"/>
      <x:c r="E461" s="85" t="n">
        <x:v>0.25</x:v>
      </x:c>
      <x:c r="F461" s="85" t="n">
        <x:v>0.25</x:v>
      </x:c>
      <x:c r="G461" s="85" t="n">
        <x:v>0.25</x:v>
      </x:c>
      <x:c r="H461" s="85" t="n">
        <x:v>0.25</x:v>
      </x:c>
      <x:c r="I461" s="85" t="n">
        <x:v>0.25</x:v>
      </x:c>
    </x:row>
    <x:row r="462" ht="30" customHeight="1">
      <x:c r="C462" s="64" t="str">
        <x:v>Downside</x:v>
      </x:c>
      <x:c r="D462" s="63"/>
      <x:c r="E462" s="85" t="n">
        <x:v>0.25</x:v>
      </x:c>
      <x:c r="F462" s="85" t="n">
        <x:v>0.25</x:v>
      </x:c>
      <x:c r="G462" s="85" t="n">
        <x:v>0.25</x:v>
      </x:c>
      <x:c r="H462" s="85" t="n">
        <x:v>0.25</x:v>
      </x:c>
      <x:c r="I462" s="85" t="n">
        <x:v>0.25</x:v>
      </x:c>
    </x:row>
    <x:row r="463" ht="30" customHeight="1">
      <x:c r="C463" s="64" t="str">
        <x:v>Upside</x:v>
      </x:c>
      <x:c r="D463" s="63"/>
      <x:c r="E463" s="85" t="n">
        <x:v>0.25</x:v>
      </x:c>
      <x:c r="F463" s="85" t="n">
        <x:v>0.25</x:v>
      </x:c>
      <x:c r="G463" s="85" t="n">
        <x:v>0.25</x:v>
      </x:c>
      <x:c r="H463" s="85" t="n">
        <x:v>0.25</x:v>
      </x:c>
      <x:c r="I463" s="85" t="n">
        <x:v>0.25</x:v>
      </x:c>
    </x:row>
    <x:row r="464" ht="30" customHeight="1">
      <x:c r="C464" s="64"/>
      <x:c r="D464" s="63"/>
      <x:c r="E464" s="63"/>
      <x:c r="F464" s="63"/>
      <x:c r="G464" s="63"/>
      <x:c r="H464" s="63"/>
      <x:c r="I464" s="63"/>
    </x:row>
    <x:row r="465" ht="30" customHeight="1">
      <x:c r="C465" s="64"/>
      <x:c r="D465" s="63"/>
      <x:c r="E465" s="63"/>
      <x:c r="F465" s="63"/>
      <x:c r="G465" s="63"/>
      <x:c r="H465" s="63"/>
      <x:c r="I465" s="63"/>
    </x:row>
    <x:row r="466" ht="30" customHeight="1">
      <x:c r="C466" s="64"/>
      <x:c r="D466" s="63"/>
      <x:c r="E466" s="63"/>
      <x:c r="F466" s="63"/>
      <x:c r="G466" s="63"/>
      <x:c r="H466" s="63"/>
      <x:c r="I466" s="63"/>
    </x:row>
    <x:row r="467" ht="30" customHeight="1">
      <x:c r="C467" s="64"/>
      <x:c r="D467" s="63"/>
      <x:c r="E467" s="63"/>
      <x:c r="F467" s="63"/>
      <x:c r="G467" s="63"/>
      <x:c r="H467" s="63"/>
      <x:c r="I467" s="63"/>
    </x:row>
    <x:row r="468" ht="30" customHeight="1">
      <x:c r="C468" s="64"/>
      <x:c r="D468" s="63"/>
      <x:c r="E468" s="63"/>
      <x:c r="F468" s="63"/>
      <x:c r="G468" s="63"/>
      <x:c r="H468" s="63"/>
      <x:c r="I468" s="63"/>
    </x:row>
    <x:row r="469" ht="30" customHeight="1">
      <x:c r="C469" s="64"/>
      <x:c r="D469" s="63"/>
      <x:c r="E469" s="63"/>
      <x:c r="F469" s="63"/>
      <x:c r="G469" s="63"/>
      <x:c r="H469" s="63"/>
      <x:c r="I469" s="63"/>
    </x:row>
    <x:row r="470" ht="30" customHeight="1">
      <x:c r="C470" s="64"/>
      <x:c r="D470" s="63"/>
      <x:c r="E470" s="63"/>
      <x:c r="F470" s="63"/>
      <x:c r="G470" s="63"/>
      <x:c r="H470" s="63"/>
      <x:c r="I470" s="63"/>
    </x:row>
    <x:row r="471" ht="30" customHeight="1">
      <x:c r="C471" s="64"/>
      <x:c r="D471" s="63"/>
      <x:c r="E471" s="63"/>
      <x:c r="F471" s="63"/>
      <x:c r="G471" s="63"/>
      <x:c r="H471" s="63"/>
      <x:c r="I471" s="63"/>
    </x:row>
    <x:row r="472" ht="30" customHeight="1">
      <x:c r="C472" s="64"/>
      <x:c r="D472" s="63"/>
      <x:c r="E472" s="63"/>
      <x:c r="F472" s="63"/>
      <x:c r="G472" s="63"/>
      <x:c r="H472" s="63"/>
      <x:c r="I472" s="63"/>
    </x:row>
    <x:row r="473" ht="30" customHeight="1">
      <x:c r="C473" s="64"/>
      <x:c r="D473" s="63"/>
      <x:c r="E473" s="63"/>
      <x:c r="F473" s="63"/>
      <x:c r="G473" s="63"/>
      <x:c r="H473" s="63"/>
      <x:c r="I473" s="63"/>
    </x:row>
    <x:row r="474" ht="30" customHeight="1">
      <x:c r="C474" s="64"/>
      <x:c r="D474" s="63"/>
      <x:c r="E474" s="63"/>
      <x:c r="F474" s="63"/>
      <x:c r="G474" s="63"/>
      <x:c r="H474" s="63"/>
      <x:c r="I474" s="63"/>
    </x:row>
    <x:row r="475" ht="30" customHeight="1">
      <x:c r="C475" s="64"/>
      <x:c r="D475" s="63"/>
      <x:c r="E475" s="63"/>
      <x:c r="F475" s="63"/>
      <x:c r="G475" s="63"/>
      <x:c r="H475" s="63"/>
      <x:c r="I475" s="63"/>
    </x:row>
    <x:row r="476" ht="30" customHeight="1">
      <x:c r="C476" s="64"/>
      <x:c r="D476" s="63"/>
      <x:c r="E476" s="63"/>
      <x:c r="F476" s="63"/>
      <x:c r="G476" s="63"/>
      <x:c r="H476" s="63"/>
      <x:c r="I476" s="63"/>
    </x:row>
    <x:row r="477" ht="30" customHeight="1">
      <x:c r="C477" s="64"/>
      <x:c r="D477" s="63"/>
      <x:c r="E477" s="63"/>
      <x:c r="F477" s="63"/>
      <x:c r="G477" s="63"/>
      <x:c r="H477" s="63"/>
      <x:c r="I477" s="63"/>
    </x:row>
    <x:row r="478" ht="30" customHeight="1">
      <x:c r="C478" s="64"/>
      <x:c r="D478" s="63"/>
      <x:c r="E478" s="63"/>
      <x:c r="F478" s="63"/>
      <x:c r="G478" s="63"/>
      <x:c r="H478" s="63"/>
      <x:c r="I478" s="63"/>
    </x:row>
    <x:row r="479" ht="30" customHeight="1">
      <x:c r="C479" s="64"/>
      <x:c r="D479" s="63"/>
      <x:c r="E479" s="63"/>
      <x:c r="F479" s="63"/>
      <x:c r="G479" s="63"/>
      <x:c r="H479" s="63"/>
      <x:c r="I479" s="63"/>
    </x:row>
    <x:row r="480" ht="30" customHeight="1">
      <x:c r="C480" s="64"/>
      <x:c r="D480" s="63"/>
      <x:c r="E480" s="63"/>
      <x:c r="F480" s="63"/>
      <x:c r="G480" s="63"/>
      <x:c r="H480" s="63"/>
      <x:c r="I480" s="63"/>
    </x:row>
    <x:row r="481" ht="30" customHeight="1">
      <x:c r="C481" s="64"/>
      <x:c r="D481" s="63"/>
      <x:c r="E481" s="63"/>
      <x:c r="F481" s="63"/>
      <x:c r="G481" s="63"/>
      <x:c r="H481" s="63"/>
      <x:c r="I481" s="63"/>
    </x:row>
    <x:row r="482" ht="30" customHeight="1">
      <x:c r="C482" s="64"/>
      <x:c r="D482" s="63"/>
      <x:c r="E482" s="63"/>
      <x:c r="F482" s="63"/>
      <x:c r="G482" s="63"/>
      <x:c r="H482" s="63"/>
      <x:c r="I482" s="63"/>
    </x:row>
    <x:row r="483" ht="30" customHeight="1">
      <x:c r="C483" s="64"/>
      <x:c r="D483" s="63"/>
      <x:c r="E483" s="63"/>
      <x:c r="F483" s="63"/>
      <x:c r="G483" s="63"/>
      <x:c r="H483" s="63"/>
      <x:c r="I483" s="63"/>
    </x:row>
    <x:row r="484" ht="30" customHeight="1">
      <x:c r="C484" s="64"/>
      <x:c r="D484" s="63"/>
      <x:c r="E484" s="63"/>
      <x:c r="F484" s="63"/>
      <x:c r="G484" s="63"/>
      <x:c r="H484" s="63"/>
      <x:c r="I484" s="63"/>
    </x:row>
    <x:row r="485" ht="30" customHeight="1">
      <x:c r="C485" s="64"/>
      <x:c r="D485" s="63"/>
      <x:c r="E485" s="63"/>
      <x:c r="F485" s="63"/>
      <x:c r="G485" s="63"/>
      <x:c r="H485" s="63"/>
      <x:c r="I485" s="63"/>
    </x:row>
    <x:row r="486" ht="30" customHeight="1">
      <x:c r="C486" s="64"/>
      <x:c r="D486" s="63"/>
      <x:c r="E486" s="63"/>
      <x:c r="F486" s="63"/>
      <x:c r="G486" s="63"/>
      <x:c r="H486" s="63"/>
      <x:c r="I486" s="63"/>
    </x:row>
    <x:row r="487" ht="30" customHeight="1">
      <x:c r="C487" s="64"/>
      <x:c r="D487" s="63"/>
      <x:c r="E487" s="63"/>
      <x:c r="F487" s="63"/>
      <x:c r="G487" s="63"/>
      <x:c r="H487" s="63"/>
      <x:c r="I487" s="63"/>
    </x:row>
    <x:row r="488" ht="30" customHeight="1">
      <x:c r="C488" s="64"/>
      <x:c r="D488" s="63"/>
      <x:c r="E488" s="63"/>
      <x:c r="F488" s="63"/>
      <x:c r="G488" s="63"/>
      <x:c r="H488" s="63"/>
      <x:c r="I488" s="63"/>
    </x:row>
    <x:row r="489" ht="30" customHeight="1">
      <x:c r="C489" s="64"/>
      <x:c r="D489" s="63"/>
      <x:c r="E489" s="63"/>
      <x:c r="F489" s="63"/>
      <x:c r="G489" s="63"/>
      <x:c r="H489" s="63"/>
      <x:c r="I489" s="63"/>
    </x:row>
    <x:row r="490" ht="30" customHeight="1">
      <x:c r="C490" s="64"/>
      <x:c r="D490" s="63"/>
      <x:c r="E490" s="63"/>
      <x:c r="F490" s="63"/>
      <x:c r="G490" s="63"/>
      <x:c r="H490" s="63"/>
      <x:c r="I490" s="63"/>
    </x:row>
    <x:row r="491" ht="30" customHeight="1">
      <x:c r="C491" s="64"/>
      <x:c r="D491" s="63"/>
      <x:c r="E491" s="63"/>
      <x:c r="F491" s="63"/>
      <x:c r="G491" s="63"/>
      <x:c r="H491" s="63"/>
      <x:c r="I491" s="63"/>
    </x:row>
    <x:row r="492" ht="30" customHeight="1">
      <x:c r="C492" s="64"/>
      <x:c r="D492" s="63"/>
      <x:c r="E492" s="63"/>
      <x:c r="F492" s="63"/>
      <x:c r="G492" s="63"/>
      <x:c r="H492" s="63"/>
      <x:c r="I492" s="63"/>
    </x:row>
    <x:row r="493" ht="30" customHeight="1">
      <x:c r="C493" s="64"/>
      <x:c r="D493" s="63"/>
      <x:c r="E493" s="63"/>
      <x:c r="F493" s="63"/>
      <x:c r="G493" s="63"/>
      <x:c r="H493" s="63"/>
      <x:c r="I493" s="63"/>
    </x:row>
    <x:row r="494" ht="30" customHeight="1">
      <x:c r="C494" s="64"/>
      <x:c r="D494" s="63"/>
      <x:c r="E494" s="63"/>
      <x:c r="F494" s="63"/>
      <x:c r="G494" s="63"/>
      <x:c r="H494" s="63"/>
      <x:c r="I494" s="63"/>
    </x:row>
    <x:row r="495" ht="30" customHeight="1">
      <x:c r="C495" s="64"/>
      <x:c r="D495" s="63"/>
      <x:c r="E495" s="63"/>
      <x:c r="F495" s="63"/>
      <x:c r="G495" s="63"/>
      <x:c r="H495" s="63"/>
      <x:c r="I495" s="63"/>
    </x:row>
    <x:row r="496" ht="30" customHeight="1">
      <x:c r="C496" s="64"/>
      <x:c r="D496" s="63"/>
      <x:c r="E496" s="63"/>
      <x:c r="F496" s="63"/>
      <x:c r="G496" s="63"/>
      <x:c r="H496" s="63"/>
      <x:c r="I496" s="63"/>
    </x:row>
    <x:row r="497" ht="30" customHeight="1">
      <x:c r="C497" s="64"/>
      <x:c r="D497" s="63"/>
      <x:c r="E497" s="63"/>
      <x:c r="F497" s="63"/>
      <x:c r="G497" s="63"/>
      <x:c r="H497" s="63"/>
      <x:c r="I497" s="63"/>
    </x:row>
    <x:row r="498" ht="30" customHeight="1">
      <x:c r="C498" s="64"/>
      <x:c r="D498" s="63"/>
      <x:c r="E498" s="63"/>
      <x:c r="F498" s="63"/>
      <x:c r="G498" s="63"/>
      <x:c r="H498" s="63"/>
      <x:c r="I498" s="63"/>
    </x:row>
    <x:row r="499" ht="30" customHeight="1">
      <x:c r="C499" s="64"/>
      <x:c r="D499" s="63"/>
      <x:c r="E499" s="63"/>
      <x:c r="F499" s="63"/>
      <x:c r="G499" s="63"/>
      <x:c r="H499" s="63"/>
      <x:c r="I499" s="63"/>
    </x:row>
    <x:row r="500" ht="30" customHeight="1">
      <x:c r="C500" s="64"/>
      <x:c r="D500" s="63"/>
      <x:c r="E500" s="63"/>
      <x:c r="F500" s="63"/>
      <x:c r="G500" s="63"/>
      <x:c r="H500" s="63"/>
      <x:c r="I500" s="63"/>
    </x:row>
    <x:row r="501" ht="30" customHeight="1">
      <x:c r="C501" s="64"/>
      <x:c r="D501" s="63"/>
      <x:c r="E501" s="63"/>
      <x:c r="F501" s="63"/>
      <x:c r="G501" s="63"/>
      <x:c r="H501" s="63"/>
      <x:c r="I501" s="63"/>
    </x:row>
    <x:row r="502" ht="30" customHeight="1">
      <x:c r="C502" s="64"/>
      <x:c r="D502" s="63"/>
      <x:c r="E502" s="63"/>
      <x:c r="F502" s="63"/>
      <x:c r="G502" s="63"/>
      <x:c r="H502" s="63"/>
      <x:c r="I502" s="63"/>
    </x:row>
    <x:row r="503" ht="30" customHeight="1">
      <x:c r="C503" s="64"/>
      <x:c r="D503" s="63"/>
      <x:c r="E503" s="63"/>
      <x:c r="F503" s="63"/>
      <x:c r="G503" s="63"/>
      <x:c r="H503" s="63"/>
      <x:c r="I503" s="63"/>
    </x:row>
    <x:row r="504" ht="30" customHeight="1">
      <x:c r="C504" s="64"/>
      <x:c r="D504" s="63"/>
      <x:c r="E504" s="63"/>
      <x:c r="F504" s="63"/>
      <x:c r="G504" s="63"/>
      <x:c r="H504" s="63"/>
      <x:c r="I504" s="63"/>
    </x:row>
    <x:row r="505" ht="30" customHeight="1">
      <x:c r="C505" s="64"/>
      <x:c r="D505" s="63"/>
      <x:c r="E505" s="63"/>
      <x:c r="F505" s="63"/>
      <x:c r="G505" s="63"/>
      <x:c r="H505" s="63"/>
      <x:c r="I505" s="63"/>
    </x:row>
    <x:row r="506" ht="30" customHeight="1">
      <x:c r="C506" s="64"/>
      <x:c r="D506" s="63"/>
      <x:c r="E506" s="63"/>
      <x:c r="F506" s="63"/>
      <x:c r="G506" s="63"/>
      <x:c r="H506" s="63"/>
      <x:c r="I506" s="63"/>
    </x:row>
    <x:row r="507" ht="30" customHeight="1">
      <x:c r="C507" s="64"/>
      <x:c r="D507" s="63"/>
      <x:c r="E507" s="63"/>
      <x:c r="F507" s="63"/>
      <x:c r="G507" s="63"/>
      <x:c r="H507" s="63"/>
      <x:c r="I507" s="63"/>
    </x:row>
    <x:row r="508" ht="30" customHeight="1">
      <x:c r="C508" s="64"/>
      <x:c r="D508" s="63"/>
      <x:c r="E508" s="63"/>
      <x:c r="F508" s="63"/>
      <x:c r="G508" s="63"/>
      <x:c r="H508" s="63"/>
      <x:c r="I508" s="63"/>
    </x:row>
    <x:row r="509" ht="30" customHeight="1">
      <x:c r="C509" s="64"/>
      <x:c r="D509" s="63"/>
      <x:c r="E509" s="63"/>
      <x:c r="F509" s="63"/>
      <x:c r="G509" s="63"/>
      <x:c r="H509" s="63"/>
      <x:c r="I509" s="63"/>
    </x:row>
    <x:row r="510" ht="30" customHeight="1">
      <x:c r="C510" s="64"/>
      <x:c r="D510" s="63"/>
      <x:c r="E510" s="63"/>
      <x:c r="F510" s="63"/>
      <x:c r="G510" s="63"/>
      <x:c r="H510" s="63"/>
      <x:c r="I510" s="63"/>
    </x:row>
  </x:sheetData>
  <x:mergeCells>
    <x:mergeCell ref="M2:U2"/>
    <x:mergeCell ref="M9:U9"/>
    <x:mergeCell ref="M10:U10"/>
    <x:mergeCell ref="M30:U30"/>
    <x:mergeCell ref="M43:U44"/>
    <x:mergeCell ref="M48:R48"/>
    <x:mergeCell ref="M58:R58"/>
    <x:mergeCell ref="M68:R68"/>
  </x:mergeCells>
  <x:conditionalFormatting sqref="E100:I100">
    <x:cfRule type="expression" dxfId="15" priority="1">
      <x:formula>ABS(E100)&gt;0.01</x:formula>
    </x:cfRule>
  </x:conditionalFormatting>
  <x:conditionalFormatting sqref="E101:I101">
    <x:cfRule type="expression" dxfId="16" priority="2">
      <x:formula>ABS(E101)&gt;0.01</x:formula>
    </x:cfRule>
  </x:conditionalFormatting>
  <x:conditionalFormatting sqref="E102:I102">
    <x:cfRule type="expression" dxfId="17" priority="3">
      <x:formula>ABS(E102)&gt;0.01</x:formula>
    </x:cfRule>
  </x:conditionalFormatting>
  <x:conditionalFormatting sqref="E103:I103">
    <x:cfRule type="expression" dxfId="18" priority="4">
      <x:formula>ABS(E103)&gt;0.01</x:formula>
    </x:cfRule>
  </x:conditionalFormatting>
  <x:conditionalFormatting sqref="E104:I104">
    <x:cfRule type="expression" dxfId="19" priority="5">
      <x:formula>ABS(E104)&gt;0.01</x:formula>
    </x:cfRule>
  </x:conditionalFormatting>
  <x:conditionalFormatting sqref="E180:I205">
    <x:cfRule type="cellIs" dxfId="79" priority="6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78fae703e64b48dd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88" hidden="0" customWidth="1"/>
    <x:col min="13" max="13" width="3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45" hidden="0" customWidth="1"/>
  </x:cols>
  <x:sheetData>
    <x:row r="1" ht="18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  <x:c r="K1" s="1"/>
    </x:row>
    <x:row r="2" ht="32" customHeight="1">
      <x:c r="A2" s="1"/>
      <x:c r="B2" s="1"/>
      <x:c r="C2" s="3" t="str">
        <x:v>Steel</x:v>
      </x:c>
      <x:c r="D2" s="2"/>
      <x:c r="E2" s="2"/>
      <x:c r="F2" s="2"/>
      <x:c r="G2" s="2"/>
      <x:c r="H2" s="2"/>
      <x:c r="I2" s="2"/>
      <x:c r="J2" s="1"/>
      <x:c r="K2" s="1"/>
      <x:c r="M2" s="86" t="str">
        <x:v>Steel | Client summary</x:v>
      </x:c>
      <x:c r="N2" s="86"/>
      <x:c r="O2" s="86"/>
      <x:c r="P2" s="86"/>
      <x:c r="Q2" s="86"/>
      <x:c r="R2" s="86"/>
      <x:c r="S2" s="86"/>
      <x:c r="T2" s="86"/>
      <x:c r="U2" s="86"/>
      <x:c r="V2" s="63"/>
      <x:c r="X2" t="str">
        <x:v>Forecast year</x:v>
      </x:c>
      <x:c r="Y2" t="str">
        <x:v>Income</x:v>
      </x:c>
      <x:c r="Z2" t="str">
        <x:v>Profit after tax</x:v>
      </x:c>
    </x:row>
    <x:row r="3" ht="18" customHeight="1">
      <x:c r="A3" s="1"/>
      <x:c r="B3" s="1"/>
      <x:c r="C3" s="4"/>
      <x:c r="D3" s="5"/>
      <x:c r="E3" s="5"/>
      <x:c r="F3" s="5"/>
      <x:c r="G3" s="5"/>
      <x:c r="H3" s="5"/>
      <x:c r="I3" s="5"/>
      <x:c r="J3" s="1"/>
      <x:c r="K3" s="1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X3" t="n">
        <x:f>'Controls'!$E$17+0</x:f>
        <x:v>2027</x:v>
      </x:c>
      <x:c r="Y3" t="n">
        <x:f>E47</x:f>
        <x:v>23674.2</x:v>
      </x:c>
      <x:c r="Z3" t="n">
        <x:f>E58</x:f>
        <x:v>2031.8115000000016</x:v>
      </x:c>
    </x:row>
    <x:row r="4" ht="18" customHeight="1">
      <x:c r="A4" s="1"/>
      <x:c r="B4" s="1"/>
      <x:c r="C4" s="1" t="str">
        <x:v>Illustrative assumptions. Financial amounts in INR crore.</x:v>
      </x:c>
      <x:c r="D4" s="2"/>
      <x:c r="E4" s="2"/>
      <x:c r="F4" s="2"/>
      <x:c r="G4" s="2"/>
      <x:c r="H4" s="2"/>
      <x:c r="I4" s="2"/>
      <x:c r="J4" s="1"/>
      <x:c r="K4" s="1"/>
      <x:c r="M4" s="63" t="str">
        <x:v>Company / model name</x:v>
      </x:c>
      <x:c r="N4" s="63" t="str">
        <x:v>Illustrative company</x:v>
      </x:c>
      <x:c r="O4" s="63"/>
      <x:c r="P4" s="63"/>
      <x:c r="Q4" s="63"/>
      <x:c r="R4" s="63"/>
      <x:c r="S4" s="63"/>
      <x:c r="T4" s="63"/>
      <x:c r="U4" s="63"/>
      <x:c r="V4" s="63"/>
      <x:c r="X4" t="n">
        <x:f>'Controls'!$E$17+1</x:f>
        <x:v>2028</x:v>
      </x:c>
      <x:c r="Y4" t="n">
        <x:f>F47</x:f>
        <x:v>25475.806619999996</x:v>
      </x:c>
      <x:c r="Z4" t="n">
        <x:f>F58</x:f>
        <x:v>2338.7414476500007</x:v>
      </x:c>
    </x:row>
    <x:row r="5" ht="18" customHeight="1">
      <x:c r="A5" s="1"/>
      <x:c r="B5" s="1"/>
      <x:c r="C5" s="1" t="str">
        <x:v>Selected case</x:v>
      </x:c>
      <x:c r="D5" s="2"/>
      <x:c r="E5" s="10" t="str">
        <x:f>'Controls'!E6</x:f>
        <x:v>Base</x:v>
      </x:c>
      <x:c r="F5" s="2"/>
      <x:c r="G5" s="2"/>
      <x:c r="H5" s="2"/>
      <x:c r="I5" s="2"/>
      <x:c r="J5" s="1"/>
      <x:c r="K5" s="1"/>
      <x:c r="M5" s="63" t="str">
        <x:v>Valuation date</x:v>
      </x:c>
      <x:c r="N5" s="87" t="n">
        <x:f>'Controls'!E18</x:f>
        <x:v>46112</x:v>
      </x:c>
      <x:c r="O5" s="63"/>
      <x:c r="P5" s="63"/>
      <x:c r="Q5" s="63"/>
      <x:c r="R5" s="63"/>
      <x:c r="S5" s="63"/>
      <x:c r="T5" s="63"/>
      <x:c r="U5" s="63"/>
      <x:c r="V5" s="63"/>
      <x:c r="X5" t="n">
        <x:f>'Controls'!$E$17+2</x:f>
        <x:v>2029</x:v>
      </x:c>
      <x:c r="Y5" t="n">
        <x:f>G47</x:f>
        <x:v>27414.515503781997</x:v>
      </x:c>
      <x:c r="Z5" t="n">
        <x:f>G58</x:f>
        <x:v>2660.923152216166</x:v>
      </x:c>
    </x:row>
    <x:row r="6" ht="18" customHeight="1">
      <x:c r="A6" s="1"/>
      <x:c r="B6" s="1"/>
      <x:c r="C6" s="1"/>
      <x:c r="D6" s="2"/>
      <x:c r="E6" s="2"/>
      <x:c r="F6" s="2"/>
      <x:c r="G6" s="2"/>
      <x:c r="H6" s="2"/>
      <x:c r="I6" s="2"/>
      <x:c r="J6" s="1"/>
      <x:c r="K6" s="1"/>
      <x:c r="M6" s="63" t="str">
        <x:v>Selected case</x:v>
      </x:c>
      <x:c r="N6" s="63" t="str">
        <x:f>'Controls'!E6</x:f>
        <x:v>Base</x:v>
      </x:c>
      <x:c r="O6" s="63"/>
      <x:c r="P6" s="63"/>
      <x:c r="Q6" s="63"/>
      <x:c r="R6" s="63"/>
      <x:c r="S6" s="63"/>
      <x:c r="T6" s="63"/>
      <x:c r="U6" s="63"/>
      <x:c r="V6" s="63"/>
      <x:c r="X6" t="n">
        <x:f>'Controls'!$E$17+3</x:f>
        <x:v>2030</x:v>
      </x:c>
      <x:c r="Y6" t="n">
        <x:f>H47</x:f>
        <x:v>29500.760133619813</x:v>
      </x:c>
      <x:c r="Z6" t="n">
        <x:f>H58</x:f>
        <x:v>2999.796008434316</x:v>
      </x:c>
    </x:row>
    <x:row r="7" ht="18" customHeight="1">
      <x:c r="A7" s="1"/>
      <x:c r="B7" s="1"/>
      <x:c r="C7" s="15" t="str">
        <x:v>Metric</x:v>
      </x:c>
      <x:c r="D7" s="16" t="str">
        <x:v>Opening / seed</x:v>
      </x:c>
      <x:c r="E7" s="65" t="n">
        <x:f>'Controls'!$E$17+0</x:f>
        <x:v>2027</x:v>
      </x:c>
      <x:c r="F7" s="65" t="n">
        <x:f>'Controls'!$E$17+1</x:f>
        <x:v>2028</x:v>
      </x:c>
      <x:c r="G7" s="65" t="n">
        <x:f>'Controls'!$E$17+2</x:f>
        <x:v>2029</x:v>
      </x:c>
      <x:c r="H7" s="65" t="n">
        <x:f>'Controls'!$E$17+3</x:f>
        <x:v>2030</x:v>
      </x:c>
      <x:c r="I7" s="65" t="n">
        <x:f>'Controls'!$E$17+4</x:f>
        <x:v>2031</x:v>
      </x:c>
      <x:c r="J7" s="1"/>
      <x:c r="K7" s="1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X7" t="n">
        <x:f>'Controls'!$E$17+4</x:f>
        <x:v>2031</x:v>
      </x:c>
      <x:c r="Y7" t="n">
        <x:f>I47</x:f>
        <x:v>31745.767979788274</x:v>
      </x:c>
      <x:c r="Z7" t="n">
        <x:f>I58</x:f>
        <x:v>3356.889437457253</x:v>
      </x:c>
    </x:row>
    <x:row r="8" ht="18" customHeight="1">
      <x:c r="A8" s="1"/>
      <x:c r="B8" s="1"/>
      <x:c r="C8" s="1"/>
      <x:c r="D8" s="2"/>
      <x:c r="E8" s="2"/>
      <x:c r="F8" s="2"/>
      <x:c r="G8" s="2"/>
      <x:c r="H8" s="2"/>
      <x:c r="I8" s="2"/>
      <x:c r="J8" s="1"/>
      <x:c r="K8" s="1"/>
      <x:c r="M8" s="63" t="str">
        <x:v>Equity value (INR crore)</x:v>
      </x:c>
      <x:c r="N8" s="8" t="n">
        <x:f>E94</x:f>
        <x:v>20020.9273167345</x:v>
      </x:c>
      <x:c r="O8" s="63"/>
      <x:c r="P8" s="63"/>
      <x:c r="Q8" s="63"/>
      <x:c r="R8" s="63"/>
      <x:c r="S8" s="63"/>
      <x:c r="T8" s="63"/>
      <x:c r="U8" s="63"/>
      <x:c r="V8" s="63"/>
    </x:row>
    <x:row r="9" ht="18" customHeight="1">
      <x:c r="A9" s="1"/>
      <x:c r="B9" s="1"/>
      <x:c r="C9" s="19" t="str">
        <x:v>OPERATING ASSUMPTIONS</x:v>
      </x:c>
      <x:c r="D9" s="20"/>
      <x:c r="E9" s="20"/>
      <x:c r="F9" s="20"/>
      <x:c r="G9" s="20"/>
      <x:c r="H9" s="20"/>
      <x:c r="I9" s="20"/>
      <x:c r="J9" s="1"/>
      <x:c r="K9" s="1"/>
      <x:c r="M9" s="63" t="str">
        <x:f>IF(MAX(E100,F100,G100,H100,I100,E101,F101,G101,H101,I101,E102,F102,G102,H102,I102,E103,F103,G103,H103,I103,E104,F104,G104,H104,I104,E180:I205)&gt;0.01,"ATTENTION: model checks contain exceptions",IF(MIN(E100,F100,G100,H100,I100,E101,F101,G101,H101,I101,E102,F102,G102,H102,I102,E103,F103,G103,H103,I103,E104,F104,G104,H104,I104,E180:I205)&lt;-0.01,"ATTENTION: model checks contain exceptions","Model checks clear; review company assumptions"))</x:f>
        <x:v>Model checks clear; review company assumptions</x:v>
      </x:c>
      <x:c r="N9" s="63"/>
      <x:c r="O9" s="63"/>
      <x:c r="P9" s="63"/>
      <x:c r="Q9" s="63"/>
      <x:c r="R9" s="63"/>
      <x:c r="S9" s="63"/>
      <x:c r="T9" s="63"/>
      <x:c r="U9" s="63"/>
      <x:c r="V9" s="63"/>
    </x:row>
    <x:row r="10" ht="30" customHeight="1">
      <x:c r="A10" s="1"/>
      <x:c r="B10" s="1"/>
      <x:c r="C10" s="56" t="str">
        <x:v>Installed crude steel capacity (million tonnes) — seed</x:v>
      </x:c>
      <x:c r="D10" s="7" t="n">
        <x:v>5</x:v>
      </x:c>
      <x:c r="E10" s="2"/>
      <x:c r="F10" s="2"/>
      <x:c r="G10" s="2"/>
      <x:c r="H10" s="2"/>
      <x:c r="I10" s="2"/>
      <x:c r="J10" s="1"/>
      <x:c r="K10" s="1" t="str">
        <x:v>Input provenance: all amber cells are constructed examples, not external observations.</x:v>
      </x:c>
      <x:c r="M10" s="63" t="str">
        <x:v>Illustrative inputs; replace with company evidence.</x:v>
      </x:c>
      <x:c r="N10" s="63"/>
      <x:c r="O10" s="63"/>
      <x:c r="P10" s="63"/>
      <x:c r="Q10" s="63"/>
      <x:c r="R10" s="63"/>
      <x:c r="S10" s="63"/>
      <x:c r="T10" s="63"/>
      <x:c r="U10" s="63"/>
      <x:c r="V10" s="63"/>
    </x:row>
    <x:row r="11" ht="18" customHeight="1">
      <x:c r="A11" s="1"/>
      <x:c r="B11" s="1"/>
      <x:c r="C11" s="1" t="str">
        <x:v>Net realization (INR per tonne) — seed</x:v>
      </x:c>
      <x:c r="D11" s="7" t="n">
        <x:v>55000</x:v>
      </x:c>
      <x:c r="E11" s="2"/>
      <x:c r="F11" s="2"/>
      <x:c r="G11" s="2"/>
      <x:c r="H11" s="2"/>
      <x:c r="I11" s="2"/>
      <x:c r="J11" s="1"/>
      <x:c r="K11" s="1" t="str">
        <x:v>Integrated steel archetype; assumes saleable output equals utilized capacity. Model yields separately if material.</x:v>
      </x:c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</x:row>
    <x:row r="12" ht="18" customHeight="1">
      <x:c r="A12" s="1"/>
      <x:c r="B12" s="1"/>
      <x:c r="C12" s="28" t="str">
        <x:v>Operating scale growth — active</x:v>
      </x:c>
      <x:c r="D12" s="29"/>
      <x:c r="E12" s="30" t="n">
        <x:f>IF(COUNT(INDEX(E13:E15,'Controls'!$E$5))=0,NA(),INDEX(E13:E15,'Controls'!$E$5))</x:f>
        <x:v>0.055</x:v>
      </x:c>
      <x:c r="F12" s="30" t="n">
        <x:f>IF(COUNT(INDEX(F13:F15,'Controls'!$E$5))=0,NA(),INDEX(F13:F15,'Controls'!$E$5))</x:f>
        <x:v>0.055</x:v>
      </x:c>
      <x:c r="G12" s="30" t="n">
        <x:f>IF(COUNT(INDEX(G13:G15,'Controls'!$E$5))=0,NA(),INDEX(G13:G15,'Controls'!$E$5))</x:f>
        <x:v>0.055</x:v>
      </x:c>
      <x:c r="H12" s="30" t="n">
        <x:f>IF(COUNT(INDEX(H13:H15,'Controls'!$E$5))=0,NA(),INDEX(H13:H15,'Controls'!$E$5))</x:f>
        <x:v>0.055</x:v>
      </x:c>
      <x:c r="I12" s="30" t="n">
        <x:f>IF(COUNT(INDEX(I13:I15,'Controls'!$E$5))=0,NA(),INDEX(I13:I15,'Controls'!$E$5))</x:f>
        <x:v>0.055</x:v>
      </x:c>
      <x:c r="J12" s="1"/>
      <x:c r="K12" s="1" t="str">
        <x:v>Five-year nominal INR model. Positive costs are subtracted. Discounting is end-of-year.</x:v>
      </x:c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</x:row>
    <x:row r="13" ht="18" customHeight="1">
      <x:c r="A13" s="1"/>
      <x:c r="B13" s="1"/>
      <x:c r="C13" s="23" t="str">
        <x:v>Base</x:v>
      </x:c>
      <x:c r="D13" s="24"/>
      <x:c r="E13" s="26" t="n">
        <x:v>0.055</x:v>
      </x:c>
      <x:c r="F13" s="26" t="n">
        <x:v>0.055</x:v>
      </x:c>
      <x:c r="G13" s="26" t="n">
        <x:v>0.055</x:v>
      </x:c>
      <x:c r="H13" s="26" t="n">
        <x:v>0.055</x:v>
      </x:c>
      <x:c r="I13" s="26" t="n">
        <x:v>0.055</x:v>
      </x:c>
      <x:c r="J13" s="1"/>
      <x:c r="K13" s="1" t="str">
        <x:v>Cash earns no interest; borrowing is explicit. Negative cash is an unfunded shortfall.</x:v>
      </x:c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</x:row>
    <x:row r="14" ht="18" customHeight="1">
      <x:c r="A14" s="1"/>
      <x:c r="B14" s="1"/>
      <x:c r="C14" s="23" t="str">
        <x:v>Downside</x:v>
      </x:c>
      <x:c r="D14" s="24"/>
      <x:c r="E14" s="26" t="n">
        <x:v>0.0049999999999999975</x:v>
      </x:c>
      <x:c r="F14" s="26" t="n">
        <x:v>0.0049999999999999975</x:v>
      </x:c>
      <x:c r="G14" s="26" t="n">
        <x:v>0.0049999999999999975</x:v>
      </x:c>
      <x:c r="H14" s="26" t="n">
        <x:v>0.0049999999999999975</x:v>
      </x:c>
      <x:c r="I14" s="26" t="n">
        <x:v>0.0049999999999999975</x:v>
      </x:c>
      <x:c r="J14" s="1"/>
      <x:c r="K14" s="1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</x:row>
    <x:row r="15" ht="18" customHeight="1">
      <x:c r="A15" s="1"/>
      <x:c r="B15" s="1"/>
      <x:c r="C15" s="23" t="str">
        <x:v>Upside</x:v>
      </x:c>
      <x:c r="D15" s="24"/>
      <x:c r="E15" s="26" t="n">
        <x:v>0.095</x:v>
      </x:c>
      <x:c r="F15" s="26" t="n">
        <x:v>0.095</x:v>
      </x:c>
      <x:c r="G15" s="26" t="n">
        <x:v>0.095</x:v>
      </x:c>
      <x:c r="H15" s="26" t="n">
        <x:v>0.095</x:v>
      </x:c>
      <x:c r="I15" s="26" t="n">
        <x:v>0.095</x:v>
      </x:c>
      <x:c r="J15" s="1"/>
      <x:c r="K15" s="1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</x:row>
    <x:row r="16" ht="18" customHeight="1">
      <x:c r="A16" s="1"/>
      <x:c r="B16" s="1"/>
      <x:c r="C16" s="28" t="str">
        <x:v>Realization growth — active</x:v>
      </x:c>
      <x:c r="D16" s="29"/>
      <x:c r="E16" s="30" t="n">
        <x:f>IF(COUNT(INDEX(E17:E19,'Controls'!$E$5))=0,NA(),INDEX(E17:E19,'Controls'!$E$5))</x:f>
        <x:v>0.02</x:v>
      </x:c>
      <x:c r="F16" s="30" t="n">
        <x:f>IF(COUNT(INDEX(F17:F19,'Controls'!$E$5))=0,NA(),INDEX(F17:F19,'Controls'!$E$5))</x:f>
        <x:v>0.02</x:v>
      </x:c>
      <x:c r="G16" s="30" t="n">
        <x:f>IF(COUNT(INDEX(G17:G19,'Controls'!$E$5))=0,NA(),INDEX(G17:G19,'Controls'!$E$5))</x:f>
        <x:v>0.02</x:v>
      </x:c>
      <x:c r="H16" s="30" t="n">
        <x:f>IF(COUNT(INDEX(H17:H19,'Controls'!$E$5))=0,NA(),INDEX(H17:H19,'Controls'!$E$5))</x:f>
        <x:v>0.02</x:v>
      </x:c>
      <x:c r="I16" s="30" t="n">
        <x:f>IF(COUNT(INDEX(I17:I19,'Controls'!$E$5))=0,NA(),INDEX(I17:I19,'Controls'!$E$5))</x:f>
        <x:v>0.02</x:v>
      </x:c>
      <x:c r="J16" s="1"/>
      <x:c r="K16" s="1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</x:row>
    <x:row r="17" ht="18" customHeight="1">
      <x:c r="A17" s="1"/>
      <x:c r="B17" s="1"/>
      <x:c r="C17" s="23" t="str">
        <x:v>Base</x:v>
      </x:c>
      <x:c r="D17" s="24"/>
      <x:c r="E17" s="26" t="n">
        <x:v>0.02</x:v>
      </x:c>
      <x:c r="F17" s="26" t="n">
        <x:v>0.02</x:v>
      </x:c>
      <x:c r="G17" s="26" t="n">
        <x:v>0.02</x:v>
      </x:c>
      <x:c r="H17" s="26" t="n">
        <x:v>0.02</x:v>
      </x:c>
      <x:c r="I17" s="26" t="n">
        <x:v>0.02</x:v>
      </x:c>
      <x:c r="J17" s="1"/>
      <x:c r="K17" s="1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</x:row>
    <x:row r="18" ht="18" customHeight="1">
      <x:c r="A18" s="1"/>
      <x:c r="B18" s="1"/>
      <x:c r="C18" s="23" t="str">
        <x:v>Downside</x:v>
      </x:c>
      <x:c r="D18" s="24"/>
      <x:c r="E18" s="26" t="n">
        <x:v>-0.005000000000000001</x:v>
      </x:c>
      <x:c r="F18" s="26" t="n">
        <x:v>-0.005000000000000001</x:v>
      </x:c>
      <x:c r="G18" s="26" t="n">
        <x:v>-0.005000000000000001</x:v>
      </x:c>
      <x:c r="H18" s="26" t="n">
        <x:v>-0.005000000000000001</x:v>
      </x:c>
      <x:c r="I18" s="26" t="n">
        <x:v>-0.005000000000000001</x:v>
      </x:c>
      <x:c r="J18" s="1"/>
      <x:c r="K18" s="1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</x:row>
    <x:row r="19" ht="18" customHeight="1">
      <x:c r="A19" s="1"/>
      <x:c r="B19" s="1"/>
      <x:c r="C19" s="23" t="str">
        <x:v>Upside</x:v>
      </x:c>
      <x:c r="D19" s="24"/>
      <x:c r="E19" s="26" t="n">
        <x:v>0.04</x:v>
      </x:c>
      <x:c r="F19" s="26" t="n">
        <x:v>0.04</x:v>
      </x:c>
      <x:c r="G19" s="26" t="n">
        <x:v>0.04</x:v>
      </x:c>
      <x:c r="H19" s="26" t="n">
        <x:v>0.04</x:v>
      </x:c>
      <x:c r="I19" s="26" t="n">
        <x:v>0.04</x:v>
      </x:c>
      <x:c r="J19" s="1"/>
      <x:c r="K19" s="1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</x:row>
    <x:row r="20" ht="18" customHeight="1">
      <x:c r="A20" s="1"/>
      <x:c r="B20" s="1"/>
      <x:c r="C20" s="23" t="str">
        <x:v>Capacity utilization</x:v>
      </x:c>
      <x:c r="D20" s="24"/>
      <x:c r="E20" s="26" t="n">
        <x:f>E400</x:f>
        <x:v>0.8</x:v>
      </x:c>
      <x:c r="F20" s="26" t="n">
        <x:f>F400</x:f>
        <x:v>0.8</x:v>
      </x:c>
      <x:c r="G20" s="26" t="n">
        <x:f>G400</x:f>
        <x:v>0.8</x:v>
      </x:c>
      <x:c r="H20" s="26" t="n">
        <x:f>H400</x:f>
        <x:v>0.8</x:v>
      </x:c>
      <x:c r="I20" s="26" t="n">
        <x:f>I400</x:f>
        <x:v>0.8</x:v>
      </x:c>
      <x:c r="J20" s="1"/>
      <x:c r="K20" s="1" t="str">
        <x:v>Use 100% when volume already represents actual sales.</x:v>
      </x:c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</x:row>
    <x:row r="21" ht="18" customHeight="1">
      <x:c r="A21" s="1"/>
      <x:c r="B21" s="1"/>
      <x:c r="C21" s="23" t="str">
        <x:v>Ore, coking coal and conversion / revenue</x:v>
      </x:c>
      <x:c r="D21" s="24"/>
      <x:c r="E21" s="26" t="n">
        <x:f>E405</x:f>
        <x:v>0.69</x:v>
      </x:c>
      <x:c r="F21" s="26" t="n">
        <x:f>F405</x:f>
        <x:v>0.69</x:v>
      </x:c>
      <x:c r="G21" s="26" t="n">
        <x:f>G405</x:f>
        <x:v>0.69</x:v>
      </x:c>
      <x:c r="H21" s="26" t="n">
        <x:f>H405</x:f>
        <x:v>0.69</x:v>
      </x:c>
      <x:c r="I21" s="26" t="n">
        <x:f>I405</x:f>
        <x:v>0.69</x:v>
      </x:c>
      <x:c r="J21" s="1"/>
      <x:c r="K21" s="1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</x:row>
    <x:row r="22" ht="18" customHeight="1">
      <x:c r="A22" s="1"/>
      <x:c r="B22" s="1"/>
      <x:c r="C22" s="23" t="str">
        <x:v>Other cash operating costs / revenue</x:v>
      </x:c>
      <x:c r="D22" s="24"/>
      <x:c r="E22" s="26" t="n">
        <x:f>E410</x:f>
        <x:v>0.1</x:v>
      </x:c>
      <x:c r="F22" s="26" t="n">
        <x:f>F410</x:f>
        <x:v>0.1</x:v>
      </x:c>
      <x:c r="G22" s="26" t="n">
        <x:f>G410</x:f>
        <x:v>0.1</x:v>
      </x:c>
      <x:c r="H22" s="26" t="n">
        <x:f>H410</x:f>
        <x:v>0.1</x:v>
      </x:c>
      <x:c r="I22" s="26" t="n">
        <x:f>I410</x:f>
        <x:v>0.1</x:v>
      </x:c>
      <x:c r="J22" s="1"/>
      <x:c r="K22" s="1" t="str">
        <x:v>Includes fixed and selling costs, modeled as revenue share.</x:v>
      </x:c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</x:row>
    <x:row r="23" ht="18" customHeight="1">
      <x:c r="A23" s="1"/>
      <x:c r="B23" s="1"/>
      <x:c r="C23" s="23" t="str">
        <x:v>Cash capex / revenue</x:v>
      </x:c>
      <x:c r="D23" s="24"/>
      <x:c r="E23" s="26" t="n">
        <x:f>E415</x:f>
        <x:v>0.09</x:v>
      </x:c>
      <x:c r="F23" s="26" t="n">
        <x:f>F415</x:f>
        <x:v>0.09</x:v>
      </x:c>
      <x:c r="G23" s="26" t="n">
        <x:f>G415</x:f>
        <x:v>0.09</x:v>
      </x:c>
      <x:c r="H23" s="26" t="n">
        <x:f>H415</x:f>
        <x:v>0.09</x:v>
      </x:c>
      <x:c r="I23" s="26" t="n">
        <x:f>I415</x:f>
        <x:v>0.09</x:v>
      </x:c>
      <x:c r="J23" s="1"/>
      <x:c r="K23" s="1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</x:row>
    <x:row r="24" ht="18" customHeight="1">
      <x:c r="A24" s="1"/>
      <x:c r="B24" s="1"/>
      <x:c r="C24" s="23" t="str">
        <x:v>D&amp;A / opening net PP&amp;E</x:v>
      </x:c>
      <x:c r="D24" s="24"/>
      <x:c r="E24" s="26" t="n">
        <x:f>E420</x:f>
        <x:v>0.07</x:v>
      </x:c>
      <x:c r="F24" s="26" t="n">
        <x:f>F420</x:f>
        <x:v>0.07</x:v>
      </x:c>
      <x:c r="G24" s="26" t="n">
        <x:f>G420</x:f>
        <x:v>0.07</x:v>
      </x:c>
      <x:c r="H24" s="26" t="n">
        <x:f>H420</x:f>
        <x:v>0.07</x:v>
      </x:c>
      <x:c r="I24" s="26" t="n">
        <x:f>I420</x:f>
        <x:v>0.07</x:v>
      </x:c>
      <x:c r="J24" s="1"/>
      <x:c r="K24" s="1" t="str">
        <x:v>No disposals or impairments. Current-year capex begins depreciation next year.</x:v>
      </x:c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</x:row>
    <x:row r="25" ht="18" customHeight="1">
      <x:c r="A25" s="1"/>
      <x:c r="B25" s="1"/>
      <x:c r="C25" s="1" t="str">
        <x:v>Receivable days</x:v>
      </x:c>
      <x:c r="D25" s="2"/>
      <x:c r="E25" s="7" t="n">
        <x:f>E425</x:f>
        <x:v>30</x:v>
      </x:c>
      <x:c r="F25" s="7" t="n">
        <x:f>F425</x:f>
        <x:v>30</x:v>
      </x:c>
      <x:c r="G25" s="7" t="n">
        <x:f>G425</x:f>
        <x:v>30</x:v>
      </x:c>
      <x:c r="H25" s="7" t="n">
        <x:f>H425</x:f>
        <x:v>30</x:v>
      </x:c>
      <x:c r="I25" s="7" t="n">
        <x:f>I425</x:f>
        <x:v>30</x:v>
      </x:c>
      <x:c r="J25" s="1"/>
      <x:c r="K25" s="1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</x:row>
    <x:row r="26" ht="18" customHeight="1">
      <x:c r="A26" s="1"/>
      <x:c r="B26" s="1"/>
      <x:c r="C26" s="1" t="str">
        <x:v>Inventory days</x:v>
      </x:c>
      <x:c r="D26" s="2"/>
      <x:c r="E26" s="7" t="n">
        <x:f>E430</x:f>
        <x:v>70</x:v>
      </x:c>
      <x:c r="F26" s="7" t="n">
        <x:f>F430</x:f>
        <x:v>70</x:v>
      </x:c>
      <x:c r="G26" s="7" t="n">
        <x:f>G430</x:f>
        <x:v>70</x:v>
      </x:c>
      <x:c r="H26" s="7" t="n">
        <x:f>H430</x:f>
        <x:v>70</x:v>
      </x:c>
      <x:c r="I26" s="7" t="n">
        <x:f>I430</x:f>
        <x:v>70</x:v>
      </x:c>
      <x:c r="J26" s="1"/>
      <x:c r="K26" s="1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</x:row>
    <x:row r="27" ht="18" customHeight="1">
      <x:c r="A27" s="1"/>
      <x:c r="B27" s="1"/>
      <x:c r="C27" s="1" t="str">
        <x:v>Payable days</x:v>
      </x:c>
      <x:c r="D27" s="2"/>
      <x:c r="E27" s="7" t="n">
        <x:f>E435</x:f>
        <x:v>40</x:v>
      </x:c>
      <x:c r="F27" s="7" t="n">
        <x:f>F435</x:f>
        <x:v>40</x:v>
      </x:c>
      <x:c r="G27" s="7" t="n">
        <x:f>G435</x:f>
        <x:v>40</x:v>
      </x:c>
      <x:c r="H27" s="7" t="n">
        <x:f>H435</x:f>
        <x:v>40</x:v>
      </x:c>
      <x:c r="I27" s="7" t="n">
        <x:f>I435</x:f>
        <x:v>40</x:v>
      </x:c>
      <x:c r="J27" s="1"/>
      <x:c r="K27" s="1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</x:row>
    <x:row r="28" ht="18" customHeight="1">
      <x:c r="A28" s="1"/>
      <x:c r="B28" s="1"/>
      <x:c r="C28" s="23" t="str">
        <x:v>Effective cash tax rate</x:v>
      </x:c>
      <x:c r="D28" s="24"/>
      <x:c r="E28" s="26" t="n">
        <x:f>E440</x:f>
        <x:v>0.25</x:v>
      </x:c>
      <x:c r="F28" s="26" t="n">
        <x:f>F440</x:f>
        <x:v>0.25</x:v>
      </x:c>
      <x:c r="G28" s="26" t="n">
        <x:f>G440</x:f>
        <x:v>0.25</x:v>
      </x:c>
      <x:c r="H28" s="26" t="n">
        <x:f>H440</x:f>
        <x:v>0.25</x:v>
      </x:c>
      <x:c r="I28" s="26" t="n">
        <x:f>I440</x:f>
        <x:v>0.25</x:v>
      </x:c>
      <x:c r="J28" s="1"/>
      <x:c r="K28" s="1" t="str">
        <x:v>Illustrative assumption, not a statutory rate. No loss carryforwards or deferred tax.</x:v>
      </x:c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</x:row>
    <x:row r="29" ht="18" customHeight="1">
      <x:c r="A29" s="1"/>
      <x:c r="B29" s="1"/>
      <x:c r="C29" s="23" t="str">
        <x:v>Interest on opening debt</x:v>
      </x:c>
      <x:c r="D29" s="24"/>
      <x:c r="E29" s="26" t="n">
        <x:f>E445</x:f>
        <x:v>0.085</x:v>
      </x:c>
      <x:c r="F29" s="26" t="n">
        <x:f>F445</x:f>
        <x:v>0.085</x:v>
      </x:c>
      <x:c r="G29" s="26" t="n">
        <x:f>G445</x:f>
        <x:v>0.085</x:v>
      </x:c>
      <x:c r="H29" s="26" t="n">
        <x:f>H445</x:f>
        <x:v>0.085</x:v>
      </x:c>
      <x:c r="I29" s="26" t="n">
        <x:f>I445</x:f>
        <x:v>0.085</x:v>
      </x:c>
      <x:c r="J29" s="1"/>
      <x:c r="K29" s="1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</x:row>
    <x:row r="30" ht="18" customHeight="1">
      <x:c r="A30" s="1"/>
      <x:c r="B30" s="1"/>
      <x:c r="C30" s="1" t="str">
        <x:v>New borrowing</x:v>
      </x:c>
      <x:c r="D30" s="2"/>
      <x:c r="E30" s="7" t="n">
        <x:f>E450</x:f>
        <x:v>0</x:v>
      </x:c>
      <x:c r="F30" s="7" t="n">
        <x:f>F450</x:f>
        <x:v>0</x:v>
      </x:c>
      <x:c r="G30" s="7" t="n">
        <x:f>G450</x:f>
        <x:v>0</x:v>
      </x:c>
      <x:c r="H30" s="7" t="n">
        <x:f>H450</x:f>
        <x:v>0</x:v>
      </x:c>
      <x:c r="I30" s="7" t="n">
        <x:f>I450</x:f>
        <x:v>0</x:v>
      </x:c>
      <x:c r="J30" s="1"/>
      <x:c r="K30" s="1"/>
      <x:c r="M30" s="82" t="str">
        <x:v>Historical actuals and forecast | INR crore</x:v>
      </x:c>
      <x:c r="N30" s="82"/>
      <x:c r="O30" s="82"/>
      <x:c r="P30" s="82"/>
      <x:c r="Q30" s="82"/>
      <x:c r="R30" s="82"/>
      <x:c r="S30" s="82"/>
      <x:c r="T30" s="82"/>
      <x:c r="U30" s="82"/>
      <x:c r="V30" s="63"/>
    </x:row>
    <x:row r="31" ht="18" customHeight="1">
      <x:c r="A31" s="1"/>
      <x:c r="B31" s="1"/>
      <x:c r="C31" s="1" t="str">
        <x:v>Scheduled principal repayment</x:v>
      </x:c>
      <x:c r="D31" s="2"/>
      <x:c r="E31" s="7" t="n">
        <x:f>E455</x:f>
        <x:v>850</x:v>
      </x:c>
      <x:c r="F31" s="7" t="n">
        <x:f>F455</x:f>
        <x:v>850</x:v>
      </x:c>
      <x:c r="G31" s="7" t="n">
        <x:f>G455</x:f>
        <x:v>850</x:v>
      </x:c>
      <x:c r="H31" s="7" t="n">
        <x:f>H455</x:f>
        <x:v>850</x:v>
      </x:c>
      <x:c r="I31" s="7" t="n">
        <x:f>I455</x:f>
        <x:v>850</x:v>
      </x:c>
      <x:c r="J31" s="1"/>
      <x:c r="K31" s="1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</x:row>
    <x:row r="32" ht="18" customHeight="1">
      <x:c r="A32" s="1"/>
      <x:c r="B32" s="1"/>
      <x:c r="C32" s="23" t="str">
        <x:v>Dividend payout on positive PAT</x:v>
      </x:c>
      <x:c r="D32" s="24"/>
      <x:c r="E32" s="26" t="n">
        <x:f>E460</x:f>
        <x:v>0.25</x:v>
      </x:c>
      <x:c r="F32" s="26" t="n">
        <x:f>F460</x:f>
        <x:v>0.25</x:v>
      </x:c>
      <x:c r="G32" s="26" t="n">
        <x:f>G460</x:f>
        <x:v>0.25</x:v>
      </x:c>
      <x:c r="H32" s="26" t="n">
        <x:f>H460</x:f>
        <x:v>0.25</x:v>
      </x:c>
      <x:c r="I32" s="26" t="n">
        <x:f>I460</x:f>
        <x:v>0.25</x:v>
      </x:c>
      <x:c r="J32" s="1"/>
      <x:c r="K32" s="1"/>
      <x:c r="M32" s="63" t="str">
        <x:v>Metric</x:v>
      </x:c>
      <x:c r="N32" s="88" t="n">
        <x:f>'Controls'!$E$17+-3</x:f>
        <x:v>2024</x:v>
      </x:c>
      <x:c r="O32" s="88" t="n">
        <x:f>'Controls'!$E$17+-2</x:f>
        <x:v>2025</x:v>
      </x:c>
      <x:c r="P32" s="88" t="n">
        <x:f>'Controls'!$E$17+-1</x:f>
        <x:v>2026</x:v>
      </x:c>
      <x:c r="Q32" s="89" t="n">
        <x:f>'Controls'!$E$17+0</x:f>
        <x:v>2027</x:v>
      </x:c>
      <x:c r="R32" s="89" t="n">
        <x:f>'Controls'!$E$17+1</x:f>
        <x:v>2028</x:v>
      </x:c>
      <x:c r="S32" s="89" t="n">
        <x:f>'Controls'!$E$17+2</x:f>
        <x:v>2029</x:v>
      </x:c>
      <x:c r="T32" s="89" t="n">
        <x:f>'Controls'!$E$17+3</x:f>
        <x:v>2030</x:v>
      </x:c>
      <x:c r="U32" s="89" t="n">
        <x:f>'Controls'!$E$17+4</x:f>
        <x:v>2031</x:v>
      </x:c>
      <x:c r="V32" s="63" t="str">
        <x:v>Source / reporting date</x:v>
      </x:c>
    </x:row>
    <x:row r="33" ht="18" customHeight="1">
      <x:c r="A33" s="1"/>
      <x:c r="B33" s="1"/>
      <x:c r="C33" s="19" t="str">
        <x:v>OPENING BALANCE SHEET AND VALUATION INPUTS</x:v>
      </x:c>
      <x:c r="D33" s="20"/>
      <x:c r="E33" s="20"/>
      <x:c r="F33" s="20"/>
      <x:c r="G33" s="20"/>
      <x:c r="H33" s="20"/>
      <x:c r="I33" s="20"/>
      <x:c r="J33" s="1"/>
      <x:c r="K33" s="1"/>
      <x:c r="M33" s="63" t="str">
        <x:v>Income</x:v>
      </x:c>
      <x:c r="N33" s="74"/>
      <x:c r="O33" s="74"/>
      <x:c r="P33" s="74"/>
      <x:c r="Q33" s="8" t="n">
        <x:f>E47</x:f>
        <x:v>23674.2</x:v>
      </x:c>
      <x:c r="R33" s="8" t="n">
        <x:f>F47</x:f>
        <x:v>25475.806619999996</x:v>
      </x:c>
      <x:c r="S33" s="8" t="n">
        <x:f>G47</x:f>
        <x:v>27414.515503781997</x:v>
      </x:c>
      <x:c r="T33" s="8" t="n">
        <x:f>H47</x:f>
        <x:v>29500.760133619813</x:v>
      </x:c>
      <x:c r="U33" s="8" t="n">
        <x:f>I47</x:f>
        <x:v>31745.767979788274</x:v>
      </x:c>
      <x:c r="V33" s="63"/>
    </x:row>
    <x:row r="34" ht="18" customHeight="1">
      <x:c r="A34" s="1"/>
      <x:c r="B34" s="1"/>
      <x:c r="C34" s="1" t="str">
        <x:v>Opening net PP&amp;E</x:v>
      </x:c>
      <x:c r="D34" s="7" t="n">
        <x:v>22000</x:v>
      </x:c>
      <x:c r="E34" s="2"/>
      <x:c r="F34" s="2"/>
      <x:c r="G34" s="2"/>
      <x:c r="H34" s="2"/>
      <x:c r="I34" s="2"/>
      <x:c r="J34" s="1"/>
      <x:c r="K34" s="1"/>
      <x:c r="M34" s="63" t="str">
        <x:v>Profit after tax</x:v>
      </x:c>
      <x:c r="N34" s="74"/>
      <x:c r="O34" s="74"/>
      <x:c r="P34" s="74"/>
      <x:c r="Q34" s="8" t="n">
        <x:f>E58</x:f>
        <x:v>2031.8115000000016</x:v>
      </x:c>
      <x:c r="R34" s="8" t="n">
        <x:f>F58</x:f>
        <x:v>2338.7414476500007</x:v>
      </x:c>
      <x:c r="S34" s="8" t="n">
        <x:f>G58</x:f>
        <x:v>2660.923152216166</x:v>
      </x:c>
      <x:c r="T34" s="8" t="n">
        <x:f>H58</x:f>
        <x:v>2999.796008434316</x:v>
      </x:c>
      <x:c r="U34" s="8" t="n">
        <x:f>I58</x:f>
        <x:v>3356.889437457253</x:v>
      </x:c>
      <x:c r="V34" s="63"/>
    </x:row>
    <x:row r="35" ht="18" customHeight="1">
      <x:c r="A35" s="1"/>
      <x:c r="B35" s="1"/>
      <x:c r="C35" s="1" t="str">
        <x:v>Opening debt</x:v>
      </x:c>
      <x:c r="D35" s="7" t="n">
        <x:v>8500</x:v>
      </x:c>
      <x:c r="E35" s="2"/>
      <x:c r="F35" s="2"/>
      <x:c r="G35" s="2"/>
      <x:c r="H35" s="2"/>
      <x:c r="I35" s="2"/>
      <x:c r="J35" s="1"/>
      <x:c r="K35" s="1"/>
      <x:c r="M35" s="63" t="str">
        <x:v>EBITDA</x:v>
      </x:c>
      <x:c r="N35" s="74"/>
      <x:c r="O35" s="74"/>
      <x:c r="P35" s="74"/>
      <x:c r="Q35" s="8" t="n">
        <x:f>E52</x:f>
        <x:v>4971.582000000002</x:v>
      </x:c>
      <x:c r="R35" s="8" t="n">
        <x:f>F52</x:f>
        <x:v>5349.919390200001</x:v>
      </x:c>
      <x:c r="S35" s="8" t="n">
        <x:f>G52</x:f>
        <x:v>5757.048255794221</x:v>
      </x:c>
      <x:c r="T35" s="8" t="n">
        <x:f>H52</x:f>
        <x:v>6195.159628060162</x:v>
      </x:c>
      <x:c r="U35" s="8" t="n">
        <x:f>I52</x:f>
        <x:v>6666.61127575554</x:v>
      </x:c>
      <x:c r="V35" s="63"/>
    </x:row>
    <x:row r="36" ht="18" customHeight="1">
      <x:c r="A36" s="1"/>
      <x:c r="B36" s="1"/>
      <x:c r="C36" s="1" t="str">
        <x:v>Opening cash</x:v>
      </x:c>
      <x:c r="D36" s="7" t="n">
        <x:v>1500</x:v>
      </x:c>
      <x:c r="E36" s="2"/>
      <x:c r="F36" s="2"/>
      <x:c r="G36" s="2"/>
      <x:c r="H36" s="2"/>
      <x:c r="I36" s="2"/>
      <x:c r="J36" s="1"/>
      <x:c r="K36" s="1"/>
      <x:c r="M36" s="63" t="str">
        <x:v>Closing debt</x:v>
      </x:c>
      <x:c r="N36" s="74"/>
      <x:c r="O36" s="74"/>
      <x:c r="P36" s="74"/>
      <x:c r="Q36" s="8" t="n">
        <x:f>E67</x:f>
        <x:v>7650</x:v>
      </x:c>
      <x:c r="R36" s="8" t="n">
        <x:f>F67</x:f>
        <x:v>6800</x:v>
      </x:c>
      <x:c r="S36" s="8" t="n">
        <x:f>G67</x:f>
        <x:v>5950</x:v>
      </x:c>
      <x:c r="T36" s="8" t="n">
        <x:f>H67</x:f>
        <x:v>5100</x:v>
      </x:c>
      <x:c r="U36" s="8" t="n">
        <x:f>I67</x:f>
        <x:v>4250</x:v>
      </x:c>
      <x:c r="V36" s="63"/>
    </x:row>
    <x:row r="37" ht="18" customHeight="1">
      <x:c r="A37" s="1"/>
      <x:c r="B37" s="1"/>
      <x:c r="C37" s="1" t="str">
        <x:v>Opening net working capital</x:v>
      </x:c>
      <x:c r="D37" s="7" t="n">
        <x:v>3055.890410958904</x:v>
      </x:c>
      <x:c r="E37" s="2"/>
      <x:c r="F37" s="2"/>
      <x:c r="G37" s="2"/>
      <x:c r="H37" s="2"/>
      <x:c r="I37" s="2"/>
      <x:c r="J37" s="1"/>
      <x:c r="K37" s="1" t="str">
        <x:v>Illustrative opening net balance. Replace with receivables + inventory − payables.</x:v>
      </x:c>
      <x:c r="M37" s="63" t="str">
        <x:v>Closing cash / (funding gap)</x:v>
      </x:c>
      <x:c r="N37" s="74"/>
      <x:c r="O37" s="74"/>
      <x:c r="P37" s="74"/>
      <x:c r="Q37" s="8" t="n">
        <x:f>E72</x:f>
        <x:v>1350.6273647260286</x:v>
      </x:c>
      <x:c r="R37" s="8" t="n">
        <x:f>F72</x:f>
        <x:v>1292.957751282708</x:v>
      </x:c>
      <x:c r="S37" s="8" t="n">
        <x:f>G72</x:f>
        <x:v>1333.1998083563508</x:v>
      </x:c>
      <x:c r="T37" s="8" t="n">
        <x:f>H72</x:f>
        <x:v>1477.8720667781708</x:v>
      </x:c>
      <x:c r="U37" s="8" t="n">
        <x:f>I72</x:f>
        <x:v>1733.837903276927</x:v>
      </x:c>
      <x:c r="V37" s="63"/>
    </x:row>
    <x:row r="38" ht="18" customHeight="1">
      <x:c r="A38" s="1"/>
      <x:c r="B38" s="1"/>
      <x:c r="C38" s="1" t="str">
        <x:v>Diluted shares (crore)</x:v>
      </x:c>
      <x:c r="D38" s="7" t="n">
        <x:v>100</x:v>
      </x:c>
      <x:c r="E38" s="2"/>
      <x:c r="F38" s="2"/>
      <x:c r="G38" s="2"/>
      <x:c r="H38" s="2"/>
      <x:c r="I38" s="2"/>
      <x:c r="J38" s="1"/>
      <x:c r="K38" s="1"/>
      <x:c r="M38" s="63" t="str">
        <x:v>Closing book equity</x:v>
      </x:c>
      <x:c r="N38" s="74"/>
      <x:c r="O38" s="74"/>
      <x:c r="P38" s="74"/>
      <x:c r="Q38" s="8" t="n">
        <x:f>E73</x:f>
        <x:v>19579.74903595891</x:v>
      </x:c>
      <x:c r="R38" s="8" t="n">
        <x:f>F73</x:f>
        <x:v>21333.805121696412</x:v>
      </x:c>
      <x:c r="S38" s="8" t="n">
        <x:f>G73</x:f>
        <x:v>23329.497485858534</x:v>
      </x:c>
      <x:c r="T38" s="8" t="n">
        <x:f>H73</x:f>
        <x:v>25579.344492184267</x:v>
      </x:c>
      <x:c r="U38" s="8" t="n">
        <x:f>I73</x:f>
        <x:v>28097.011570277205</x:v>
      </x:c>
      <x:c r="V38" s="63"/>
    </x:row>
    <x:row r="39" ht="18" customHeight="1">
      <x:c r="A39" s="1"/>
      <x:c r="B39" s="1"/>
      <x:c r="C39" s="1" t="str">
        <x:v>WACC</x:v>
      </x:c>
      <x:c r="D39" s="25" t="n">
        <x:v>0.12</x:v>
      </x:c>
      <x:c r="E39" s="2"/>
      <x:c r="F39" s="2"/>
      <x:c r="G39" s="2"/>
      <x:c r="H39" s="2"/>
      <x:c r="I39" s="2"/>
      <x:c r="J39" s="1"/>
      <x:c r="K39" s="1"/>
      <x:c r="M39" s="63" t="str">
        <x:v>Operating cash flow after interest</x:v>
      </x:c>
      <x:c r="N39" s="74"/>
      <x:c r="O39" s="74"/>
      <x:c r="P39" s="74"/>
      <x:c r="Q39" s="8" t="n">
        <x:f>E69</x:f>
        <x:v>3339.258239726029</x:v>
      </x:c>
      <x:c r="R39" s="8" t="n">
        <x:f>F69</x:f>
        <x:v>3669.838344269179</x:v>
      </x:c>
      <x:c r="S39" s="8" t="n">
        <x:f>G69</x:f>
        <x:v>4022.779240468064</x:v>
      </x:c>
      <x:c r="T39" s="8" t="n">
        <x:f>H69</x:f>
        <x:v>4399.689672556182</x:v>
      </x:c>
      <x:c r="U39" s="8" t="n">
        <x:f>I69</x:f>
        <x:v>4802.307314044014</x:v>
      </x:c>
      <x:c r="V39" s="63"/>
    </x:row>
    <x:row r="40" ht="18" customHeight="1">
      <x:c r="A40" s="1"/>
      <x:c r="B40" s="1"/>
      <x:c r="C40" s="1" t="str">
        <x:v>Terminal growth</x:v>
      </x:c>
      <x:c r="D40" s="25" t="n">
        <x:v>0.04</x:v>
      </x:c>
      <x:c r="E40" s="2"/>
      <x:c r="F40" s="2"/>
      <x:c r="G40" s="2"/>
      <x:c r="H40" s="2"/>
      <x:c r="I40" s="2"/>
      <x:c r="J40" s="1"/>
      <x:c r="K40" s="1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</x:row>
    <x:row r="41" ht="18" customHeight="1">
      <x:c r="A41" s="1"/>
      <x:c r="B41" s="1"/>
      <x:c r="C41" s="1" t="str">
        <x:v>Terminal incremental ROIC</x:v>
      </x:c>
      <x:c r="D41" s="25" t="n">
        <x:v>0.15</x:v>
      </x:c>
      <x:c r="E41" s="2"/>
      <x:c r="F41" s="2"/>
      <x:c r="G41" s="2"/>
      <x:c r="H41" s="2"/>
      <x:c r="I41" s="2"/>
      <x:c r="J41" s="1"/>
      <x:c r="K41" s="1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</x:row>
    <x:row r="42" ht="18" customHeight="1">
      <x:c r="A42" s="1"/>
      <x:c r="B42" s="1"/>
      <x:c r="C42" s="1" t="str">
        <x:v>Forward EV / EBITDA</x:v>
      </x:c>
      <x:c r="D42" s="55" t="n">
        <x:v>7</x:v>
      </x:c>
      <x:c r="E42" s="2"/>
      <x:c r="F42" s="2"/>
      <x:c r="G42" s="2"/>
      <x:c r="H42" s="2"/>
      <x:c r="I42" s="2"/>
      <x:c r="J42" s="1"/>
      <x:c r="K42" s="1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</x:row>
    <x:row r="43" ht="18" customHeight="1">
      <x:c r="A43" s="1"/>
      <x:c r="B43" s="1"/>
      <x:c r="C43" s="19" t="str">
        <x:v>OPERATING BUILD</x:v>
      </x:c>
      <x:c r="D43" s="20"/>
      <x:c r="E43" s="20"/>
      <x:c r="F43" s="20"/>
      <x:c r="G43" s="20"/>
      <x:c r="H43" s="20"/>
      <x:c r="I43" s="20"/>
      <x:c r="J43" s="1"/>
      <x:c r="K43" s="1"/>
      <x:c r="M43" s="64" t="str">
        <x:v>Actuals are reference inputs. Calibrate the opening balances and forecast assumptions separately.</x:v>
      </x:c>
      <x:c r="N43" s="64"/>
      <x:c r="O43" s="64"/>
      <x:c r="P43" s="64"/>
      <x:c r="Q43" s="64"/>
      <x:c r="R43" s="64"/>
      <x:c r="S43" s="64"/>
      <x:c r="T43" s="64"/>
      <x:c r="U43" s="64"/>
      <x:c r="V43" s="63"/>
    </x:row>
    <x:row r="44" ht="30" customHeight="1">
      <x:c r="A44" s="1"/>
      <x:c r="B44" s="1"/>
      <x:c r="C44" s="56" t="str">
        <x:v>Installed crude steel capacity (million tonnes)</x:v>
      </x:c>
      <x:c r="D44" s="2"/>
      <x:c r="E44" s="8" t="n">
        <x:f>$D10*(1+E12)</x:f>
        <x:v>5.2749999999999995</x:v>
      </x:c>
      <x:c r="F44" s="8" t="n">
        <x:f>E44*(1+F12)</x:f>
        <x:v>5.565124999999999</x:v>
      </x:c>
      <x:c r="G44" s="8" t="n">
        <x:f>F44*(1+G12)</x:f>
        <x:v>5.871206874999999</x:v>
      </x:c>
      <x:c r="H44" s="8" t="n">
        <x:f>G44*(1+H12)</x:f>
        <x:v>6.194123253124999</x:v>
      </x:c>
      <x:c r="I44" s="8" t="n">
        <x:f>H44*(1+I12)</x:f>
        <x:v>6.534800032046873</x:v>
      </x:c>
      <x:c r="J44" s="1"/>
      <x:c r="K44" s="1"/>
      <x:c r="M44" s="64"/>
      <x:c r="N44" s="64"/>
      <x:c r="O44" s="64"/>
      <x:c r="P44" s="64"/>
      <x:c r="Q44" s="64"/>
      <x:c r="R44" s="64"/>
      <x:c r="S44" s="64"/>
      <x:c r="T44" s="64"/>
      <x:c r="U44" s="64"/>
      <x:c r="V44" s="63"/>
    </x:row>
    <x:row r="45" ht="18" customHeight="1">
      <x:c r="A45" s="1"/>
      <x:c r="B45" s="1"/>
      <x:c r="C45" s="1" t="str">
        <x:v>Net realization (INR per tonne)</x:v>
      </x:c>
      <x:c r="D45" s="2"/>
      <x:c r="E45" s="8" t="n">
        <x:f>$D11*(1+E16)</x:f>
        <x:v>56100</x:v>
      </x:c>
      <x:c r="F45" s="8" t="n">
        <x:f>E45*(1+F16)</x:f>
        <x:v>57222</x:v>
      </x:c>
      <x:c r="G45" s="8" t="n">
        <x:f>F45*(1+G16)</x:f>
        <x:v>58366.44</x:v>
      </x:c>
      <x:c r="H45" s="8" t="n">
        <x:f>G45*(1+H16)</x:f>
        <x:v>59533.768800000005</x:v>
      </x:c>
      <x:c r="I45" s="8" t="n">
        <x:f>H45*(1+I16)</x:f>
        <x:v>60724.444176000005</x:v>
      </x:c>
      <x:c r="J45" s="1"/>
      <x:c r="K45" s="1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</x:row>
    <x:row r="46" ht="18" customHeight="1">
      <x:c r="A46" s="1"/>
      <x:c r="B46" s="1"/>
      <x:c r="C46" s="1" t="str">
        <x:v>Billable / saleable volume</x:v>
      </x:c>
      <x:c r="D46" s="2"/>
      <x:c r="E46" s="8" t="n">
        <x:f>E44*E20</x:f>
        <x:v>4.22</x:v>
      </x:c>
      <x:c r="F46" s="8" t="n">
        <x:f>F44*F20</x:f>
        <x:v>4.4521</x:v>
      </x:c>
      <x:c r="G46" s="8" t="n">
        <x:f>G44*G20</x:f>
        <x:v>4.696965499999999</x:v>
      </x:c>
      <x:c r="H46" s="8" t="n">
        <x:f>H44*H20</x:f>
        <x:v>4.955298602499999</x:v>
      </x:c>
      <x:c r="I46" s="8" t="n">
        <x:f>I44*I20</x:f>
        <x:v>5.227840025637499</x:v>
      </x:c>
      <x:c r="J46" s="1"/>
      <x:c r="K46" s="1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</x:row>
    <x:row r="47" ht="18" customHeight="1">
      <x:c r="A47" s="1"/>
      <x:c r="B47" s="1"/>
      <x:c r="C47" s="38" t="str">
        <x:v>Revenue</x:v>
      </x:c>
      <x:c r="D47" s="39"/>
      <x:c r="E47" s="60" t="n">
        <x:f>E46*E45*'Controls'!$E$14/'Controls'!$E$9</x:f>
        <x:v>23674.2</x:v>
      </x:c>
      <x:c r="F47" s="60" t="n">
        <x:f>F46*F45*'Controls'!$E$14/'Controls'!$E$9</x:f>
        <x:v>25475.806619999996</x:v>
      </x:c>
      <x:c r="G47" s="60" t="n">
        <x:f>G46*G45*'Controls'!$E$14/'Controls'!$E$9</x:f>
        <x:v>27414.515503781997</x:v>
      </x:c>
      <x:c r="H47" s="60" t="n">
        <x:f>H46*H45*'Controls'!$E$14/'Controls'!$E$9</x:f>
        <x:v>29500.760133619813</x:v>
      </x:c>
      <x:c r="I47" s="60" t="n">
        <x:f>I46*I45*'Controls'!$E$14/'Controls'!$E$9</x:f>
        <x:v>31745.767979788274</x:v>
      </x:c>
      <x:c r="J47" s="1"/>
      <x:c r="K47" s="1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</x:row>
    <x:row r="48" ht="25" customHeight="1">
      <x:c r="A48" s="1"/>
      <x:c r="B48" s="1"/>
      <x:c r="C48" s="19" t="str">
        <x:v>INCOME STATEMENT</x:v>
      </x:c>
      <x:c r="D48" s="20"/>
      <x:c r="E48" s="20"/>
      <x:c r="F48" s="20"/>
      <x:c r="G48" s="20"/>
      <x:c r="H48" s="20"/>
      <x:c r="I48" s="20"/>
      <x:c r="J48" s="1"/>
      <x:c r="K48" s="1"/>
      <x:c r="M48" s="82" t="str">
        <x:v>DCF equity value | rows WACC / columns terminal growth</x:v>
      </x:c>
      <x:c r="N48" s="82"/>
      <x:c r="O48" s="82"/>
      <x:c r="P48" s="82"/>
      <x:c r="Q48" s="82"/>
      <x:c r="R48" s="82"/>
      <x:c r="S48" s="63"/>
      <x:c r="T48" s="63"/>
      <x:c r="U48" s="63"/>
      <x:c r="V48" s="63"/>
    </x:row>
    <x:row r="49" ht="18" customHeight="1">
      <x:c r="A49" s="1"/>
      <x:c r="B49" s="1"/>
      <x:c r="C49" s="1" t="str">
        <x:v>Direct cash costs</x:v>
      </x:c>
      <x:c r="D49" s="2"/>
      <x:c r="E49" s="8" t="n">
        <x:f>E47*E21</x:f>
        <x:v>16335.197999999999</x:v>
      </x:c>
      <x:c r="F49" s="8" t="n">
        <x:f>F47*F21</x:f>
        <x:v>17578.306567799995</x:v>
      </x:c>
      <x:c r="G49" s="8" t="n">
        <x:f>G47*G21</x:f>
        <x:v>18916.015697609575</x:v>
      </x:c>
      <x:c r="H49" s="8" t="n">
        <x:f>H47*H21</x:f>
        <x:v>20355.52449219767</x:v>
      </x:c>
      <x:c r="I49" s="8" t="n">
        <x:f>I47*I21</x:f>
        <x:v>21904.579906053907</x:v>
      </x:c>
      <x:c r="J49" s="1"/>
      <x:c r="K49" s="1"/>
      <x:c r="M49" s="63"/>
      <x:c r="N49" s="70" t="n">
        <x:f>$D$40+-0.01</x:f>
        <x:v>0.03</x:v>
      </x:c>
      <x:c r="O49" s="70" t="n">
        <x:f>$D$40+-0.005</x:f>
        <x:v>0.035</x:v>
      </x:c>
      <x:c r="P49" s="70" t="n">
        <x:f>$D$40+0</x:f>
        <x:v>0.04</x:v>
      </x:c>
      <x:c r="Q49" s="70" t="n">
        <x:f>$D$40+0.005</x:f>
        <x:v>0.045</x:v>
      </x:c>
      <x:c r="R49" s="70" t="n">
        <x:f>$D$40+0.01</x:f>
        <x:v>0.05</x:v>
      </x:c>
      <x:c r="S49" s="63"/>
      <x:c r="T49" s="63"/>
      <x:c r="U49" s="63"/>
      <x:c r="V49" s="63"/>
    </x:row>
    <x:row r="50" ht="18" customHeight="1">
      <x:c r="A50" s="1"/>
      <x:c r="B50" s="1"/>
      <x:c r="C50" s="1" t="str">
        <x:v>Gross profit</x:v>
      </x:c>
      <x:c r="D50" s="2"/>
      <x:c r="E50" s="8" t="n">
        <x:f>E47-E49</x:f>
        <x:v>7339.002000000002</x:v>
      </x:c>
      <x:c r="F50" s="8" t="n">
        <x:f>F47-F49</x:f>
        <x:v>7897.500052200001</x:v>
      </x:c>
      <x:c r="G50" s="8" t="n">
        <x:f>G47-G49</x:f>
        <x:v>8498.499806172422</x:v>
      </x:c>
      <x:c r="H50" s="8" t="n">
        <x:f>H47-H49</x:f>
        <x:v>9145.235641422143</x:v>
      </x:c>
      <x:c r="I50" s="8" t="n">
        <x:f>I47-I49</x:f>
        <x:v>9841.188073734367</x:v>
      </x:c>
      <x:c r="J50" s="1"/>
      <x:c r="K50" s="1"/>
      <x:c r="M50" s="70" t="n">
        <x:f>$D$39+-0.02</x:f>
        <x:v>0.09999999999999999</x:v>
      </x:c>
      <x:c r="N50" s="8" t="n">
        <x:f>IF($M50&lt;=N$49,"n/a",IF(N$49&gt;$D$41,"n/a",E77/(1+$M50)^1+F77/(1+$M50)^2+G77/(1+$M50)^3+H77/(1+$M50)^4+I77/(1+$M50)^5+I76*(1+N$49)*(1-N$49/D41)/($M50-N$49)/(1+$M50)^5-D35+D36))</x:f>
        <x:v>27399.431835097676</x:v>
      </x:c>
      <x:c r="O50" s="8" t="n">
        <x:f>IF($M50&lt;=O$49,"n/a",IF(O$49&gt;$D$41,"n/a",E77/(1+$M50)^1+F77/(1+$M50)^2+G77/(1+$M50)^3+H77/(1+$M50)^4+I77/(1+$M50)^5+I76*(1+O$49)*(1-O$49/D41)/($M50-O$49)/(1+$M50)^5-D35+D36))</x:f>
        <x:v>28396.835996178394</x:v>
      </x:c>
      <x:c r="P50" s="8" t="n">
        <x:f>IF($M50&lt;=P$49,"n/a",IF(P$49&gt;$D$41,"n/a",E77/(1+$M50)^1+F77/(1+$M50)^2+G77/(1+$M50)^3+H77/(1+$M50)^4+I77/(1+$M50)^5+I76*(1+P$49)*(1-P$49/D41)/($M50-P$49)/(1+$M50)^5-D35+D36))</x:f>
        <x:v>29547.77284368353</x:v>
      </x:c>
      <x:c r="Q50" s="8" t="n">
        <x:f>IF($M50&lt;=Q$49,"n/a",IF(Q$49&gt;$D$41,"n/a",E77/(1+$M50)^1+F77/(1+$M50)^2+G77/(1+$M50)^3+H77/(1+$M50)^4+I77/(1+$M50)^5+I76*(1+Q$49)*(1-Q$49/D41)/($M50-Q$49)/(1+$M50)^5-D35+D36))</x:f>
        <x:v>30894.11492845608</x:v>
      </x:c>
      <x:c r="R50" s="8" t="n">
        <x:f>IF($M50&lt;=R$49,"n/a",IF(R$49&gt;$D$41,"n/a",E77/(1+$M50)^1+F77/(1+$M50)^2+G77/(1+$M50)^3+H77/(1+$M50)^4+I77/(1+$M50)^5+I76*(1+R$49)*(1-R$49/D41)/($M50-R$49)/(1+$M50)^5-D35+D36))</x:f>
        <x:v>32494.483821676302</x:v>
      </x:c>
      <x:c r="S50" s="63"/>
      <x:c r="T50" s="63"/>
      <x:c r="U50" s="63"/>
      <x:c r="V50" s="63"/>
    </x:row>
    <x:row r="51" ht="18" customHeight="1">
      <x:c r="A51" s="1"/>
      <x:c r="B51" s="1"/>
      <x:c r="C51" s="1" t="str">
        <x:v>Other cash operating costs</x:v>
      </x:c>
      <x:c r="D51" s="2"/>
      <x:c r="E51" s="8" t="n">
        <x:f>E47*E22</x:f>
        <x:v>2367.42</x:v>
      </x:c>
      <x:c r="F51" s="8" t="n">
        <x:f>F47*F22</x:f>
        <x:v>2547.580662</x:v>
      </x:c>
      <x:c r="G51" s="8" t="n">
        <x:f>G47*G22</x:f>
        <x:v>2741.4515503782</x:v>
      </x:c>
      <x:c r="H51" s="8" t="n">
        <x:f>H47*H22</x:f>
        <x:v>2950.0760133619815</x:v>
      </x:c>
      <x:c r="I51" s="8" t="n">
        <x:f>I47*I22</x:f>
        <x:v>3174.5767979788275</x:v>
      </x:c>
      <x:c r="J51" s="1"/>
      <x:c r="K51" s="1"/>
      <x:c r="M51" s="70" t="n">
        <x:f>$D$39+-0.01</x:f>
        <x:v>0.11</x:v>
      </x:c>
      <x:c r="N51" s="8" t="n">
        <x:f>IF($M51&lt;=N$49,"n/a",IF(N$49&gt;$D$41,"n/a",E77/(1+$M51)^1+F77/(1+$M51)^2+G77/(1+$M51)^3+H77/(1+$M51)^4+I77/(1+$M51)^5+I76*(1+N$49)*(1-N$49/D41)/($M51-N$49)/(1+$M51)^5-D35+D36))</x:f>
        <x:v>22797.655314292846</x:v>
      </x:c>
      <x:c r="O51" s="8" t="n">
        <x:f>IF($M51&lt;=O$49,"n/a",IF(O$49&gt;$D$41,"n/a",E77/(1+$M51)^1+F77/(1+$M51)^2+G77/(1+$M51)^3+H77/(1+$M51)^4+I77/(1+$M51)^5+I76*(1+O$49)*(1-O$49/D41)/($M51-O$49)/(1+$M51)^5-D35+D36))</x:f>
        <x:v>23409.482294487985</x:v>
      </x:c>
      <x:c r="P51" s="8" t="n">
        <x:f>IF($M51&lt;=P$49,"n/a",IF(P$49&gt;$D$41,"n/a",E77/(1+$M51)^1+F77/(1+$M51)^2+G77/(1+$M51)^3+H77/(1+$M51)^4+I77/(1+$M51)^5+I76*(1+P$49)*(1-P$49/D41)/($M51-P$49)/(1+$M51)^5-D35+D36))</x:f>
        <x:v>24098.3079082451</x:v>
      </x:c>
      <x:c r="Q51" s="8" t="n">
        <x:f>IF($M51&lt;=Q$49,"n/a",IF(Q$49&gt;$D$41,"n/a",E77/(1+$M51)^1+F77/(1+$M51)^2+G77/(1+$M51)^3+H77/(1+$M51)^4+I77/(1+$M51)^5+I76*(1+Q$49)*(1-Q$49/D41)/($M51-Q$49)/(1+$M51)^5-D35+D36))</x:f>
        <x:v>24881.901071001572</x:v>
      </x:c>
      <x:c r="R51" s="8" t="n">
        <x:f>IF($M51&lt;=R$49,"n/a",IF(R$49&gt;$D$41,"n/a",E77/(1+$M51)^1+F77/(1+$M51)^2+G77/(1+$M51)^3+H77/(1+$M51)^4+I77/(1+$M51)^5+I76*(1+R$49)*(1-R$49/D41)/($M51-R$49)/(1+$M51)^5-D35+D36))</x:f>
        <x:v>25783.953670007228</x:v>
      </x:c>
      <x:c r="S51" s="63"/>
      <x:c r="T51" s="63"/>
      <x:c r="U51" s="63"/>
      <x:c r="V51" s="63"/>
    </x:row>
    <x:row r="52" ht="18" customHeight="1">
      <x:c r="A52" s="1"/>
      <x:c r="B52" s="1"/>
      <x:c r="C52" s="38" t="str">
        <x:v>EBITDA</x:v>
      </x:c>
      <x:c r="D52" s="39"/>
      <x:c r="E52" s="41" t="n">
        <x:f>E50-E51</x:f>
        <x:v>4971.582000000002</x:v>
      </x:c>
      <x:c r="F52" s="41" t="n">
        <x:f>F50-F51</x:f>
        <x:v>5349.919390200001</x:v>
      </x:c>
      <x:c r="G52" s="41" t="n">
        <x:f>G50-G51</x:f>
        <x:v>5757.048255794221</x:v>
      </x:c>
      <x:c r="H52" s="41" t="n">
        <x:f>H50-H51</x:f>
        <x:v>6195.159628060162</x:v>
      </x:c>
      <x:c r="I52" s="41" t="n">
        <x:f>I50-I51</x:f>
        <x:v>6666.61127575554</x:v>
      </x:c>
      <x:c r="J52" s="1"/>
      <x:c r="K52" s="1"/>
      <x:c r="M52" s="70" t="n">
        <x:f>$D$39+0</x:f>
        <x:v>0.12</x:v>
      </x:c>
      <x:c r="N52" s="8" t="n">
        <x:f>IF($M52&lt;=N$49,"n/a",IF(N$49&gt;$D$41,"n/a",E77/(1+$M52)^1+F77/(1+$M52)^2+G77/(1+$M52)^3+H77/(1+$M52)^4+I77/(1+$M52)^5+I76*(1+N$49)*(1-N$49/D41)/($M52-N$49)/(1+$M52)^5-D35+D36))</x:f>
        <x:v>19231.64607508413</x:v>
      </x:c>
      <x:c r="O52" s="8" t="n">
        <x:f>IF($M52&lt;=O$49,"n/a",IF(O$49&gt;$D$41,"n/a",E77/(1+$M52)^1+F77/(1+$M52)^2+G77/(1+$M52)^3+H77/(1+$M52)^4+I77/(1+$M52)^5+I76*(1+O$49)*(1-O$49/D41)/($M52-O$49)/(1+$M52)^5-D35+D36))</x:f>
        <x:v>19607.16915718421</x:v>
      </x:c>
      <x:c r="P52" s="8" t="n">
        <x:f>IF($M52&lt;=P$49,"n/a",IF(P$49&gt;$D$41,"n/a",E77/(1+$M52)^1+F77/(1+$M52)^2+G77/(1+$M52)^3+H77/(1+$M52)^4+I77/(1+$M52)^5+I76*(1+P$49)*(1-P$49/D41)/($M52-P$49)/(1+$M52)^5-D35+D36))</x:f>
        <x:v>20020.9273167345</x:v>
      </x:c>
      <x:c r="Q52" s="8" t="n">
        <x:f>IF($M52&lt;=Q$49,"n/a",IF(Q$49&gt;$D$41,"n/a",E77/(1+$M52)^1+F77/(1+$M52)^2+G77/(1+$M52)^3+H77/(1+$M52)^4+I77/(1+$M52)^5+I76*(1+Q$49)*(1-Q$49/D41)/($M52-Q$49)/(1+$M52)^5-D35+D36))</x:f>
        <x:v>20480.567569225008</x:v>
      </x:c>
      <x:c r="R52" s="8" t="n">
        <x:f>IF($M52&lt;=R$49,"n/a",IF(R$49&gt;$D$41,"n/a",E77/(1+$M52)^1+F77/(1+$M52)^2+G77/(1+$M52)^3+H77/(1+$M52)^4+I77/(1+$M52)^5+I76*(1+R$49)*(1-R$49/D41)/($M52-R$49)/(1+$M52)^5-D35+D36))</x:f>
        <x:v>20995.92179171436</x:v>
      </x:c>
      <x:c r="S52" s="63"/>
      <x:c r="T52" s="63"/>
      <x:c r="U52" s="63"/>
      <x:c r="V52" s="63"/>
    </x:row>
    <x:row r="53" ht="18" customHeight="1">
      <x:c r="A53" s="1"/>
      <x:c r="B53" s="1"/>
      <x:c r="C53" s="1" t="str">
        <x:v>Depreciation and amortization</x:v>
      </x:c>
      <x:c r="D53" s="2"/>
      <x:c r="E53" s="8" t="n">
        <x:f>E134</x:f>
        <x:v>1540.0000000000002</x:v>
      </x:c>
      <x:c r="F53" s="8" t="n">
        <x:f>F134</x:f>
        <x:v>1581.3474600000002</x:v>
      </x:c>
      <x:c r="G53" s="8" t="n">
        <x:f>G134</x:f>
        <x:v>1631.150719506</x:v>
      </x:c>
      <x:c r="H53" s="8" t="n">
        <x:f>H134</x:f>
        <x:v>1689.6816168144067</x:v>
      </x:c>
      <x:c r="I53" s="8" t="n">
        <x:f>I134</x:f>
        <x:v>1757.258692479203</x:v>
      </x:c>
      <x:c r="J53" s="1"/>
      <x:c r="K53" s="1"/>
      <x:c r="M53" s="70" t="n">
        <x:f>$D$39+0.01</x:f>
        <x:v>0.13</x:v>
      </x:c>
      <x:c r="N53" s="8" t="n">
        <x:f>IF($M53&lt;=N$49,"n/a",IF(N$49&gt;$D$41,"n/a",E77/(1+$M53)^1+F77/(1+$M53)^2+G77/(1+$M53)^3+H77/(1+$M53)^4+I77/(1+$M53)^5+I76*(1+N$49)*(1-N$49/D41)/($M53-N$49)/(1+$M53)^5-D35+D36))</x:f>
        <x:v>16389.980291839995</x:v>
      </x:c>
      <x:c r="O53" s="8" t="n">
        <x:f>IF($M53&lt;=O$49,"n/a",IF(O$49&gt;$D$41,"n/a",E77/(1+$M53)^1+F77/(1+$M53)^2+G77/(1+$M53)^3+H77/(1+$M53)^4+I77/(1+$M53)^5+I76*(1+O$49)*(1-O$49/D41)/($M53-O$49)/(1+$M53)^5-D35+D36))</x:f>
        <x:v>16615.06886182451</x:v>
      </x:c>
      <x:c r="P53" s="8" t="n">
        <x:f>IF($M53&lt;=P$49,"n/a",IF(P$49&gt;$D$41,"n/a",E77/(1+$M53)^1+F77/(1+$M53)^2+G77/(1+$M53)^3+H77/(1+$M53)^4+I77/(1+$M53)^5+I76*(1+P$49)*(1-P$49/D41)/($M53-P$49)/(1+$M53)^5-D35+D36))</x:f>
        <x:v>16857.765606546498</x:v>
      </x:c>
      <x:c r="Q53" s="8" t="n">
        <x:f>IF($M53&lt;=Q$49,"n/a",IF(Q$49&gt;$D$41,"n/a",E77/(1+$M53)^1+F77/(1+$M53)^2+G77/(1+$M53)^3+H77/(1+$M53)^4+I77/(1+$M53)^5+I76*(1+Q$49)*(1-Q$49/D41)/($M53-Q$49)/(1+$M53)^5-D35+D36))</x:f>
        <x:v>17121.17785095959</x:v>
      </x:c>
      <x:c r="R53" s="8" t="n">
        <x:f>IF($M53&lt;=R$49,"n/a",IF(R$49&gt;$D$41,"n/a",E77/(1+$M53)^1+F77/(1+$M53)^2+G77/(1+$M53)^3+H77/(1+$M53)^4+I77/(1+$M53)^5+I76*(1+R$49)*(1-R$49/D41)/($M53-R$49)/(1+$M53)^5-D35+D36))</x:f>
        <x:v>17409.1897512559</x:v>
      </x:c>
      <x:c r="S53" s="63"/>
      <x:c r="T53" s="63"/>
      <x:c r="U53" s="63"/>
      <x:c r="V53" s="63"/>
    </x:row>
    <x:row r="54" ht="18" customHeight="1">
      <x:c r="A54" s="1"/>
      <x:c r="B54" s="1"/>
      <x:c r="C54" s="1" t="str">
        <x:v>EBIT</x:v>
      </x:c>
      <x:c r="D54" s="2"/>
      <x:c r="E54" s="8" t="n">
        <x:f>E52-E53</x:f>
        <x:v>3431.582000000002</x:v>
      </x:c>
      <x:c r="F54" s="8" t="n">
        <x:f>F52-F53</x:f>
        <x:v>3768.5719302000007</x:v>
      </x:c>
      <x:c r="G54" s="8" t="n">
        <x:f>G52-G53</x:f>
        <x:v>4125.897536288221</x:v>
      </x:c>
      <x:c r="H54" s="8" t="n">
        <x:f>H52-H53</x:f>
        <x:v>4505.478011245755</x:v>
      </x:c>
      <x:c r="I54" s="8" t="n">
        <x:f>I52-I53</x:f>
        <x:v>4909.352583276337</x:v>
      </x:c>
      <x:c r="J54" s="1"/>
      <x:c r="K54" s="1"/>
      <x:c r="M54" s="70" t="n">
        <x:f>$D$39+0.02</x:f>
        <x:v>0.13999999999999999</x:v>
      </x:c>
      <x:c r="N54" s="8" t="n">
        <x:f>IF($M54&lt;=N$49,"n/a",IF(N$49&gt;$D$41,"n/a",E77/(1+$M54)^1+F77/(1+$M54)^2+G77/(1+$M54)^3+H77/(1+$M54)^4+I77/(1+$M54)^5+I76*(1+N$49)*(1-N$49/D41)/($M54-N$49)/(1+$M54)^5-D35+D36))</x:f>
        <x:v>14074.521641741398</x:v>
      </x:c>
      <x:c r="O54" s="8" t="n">
        <x:f>IF($M54&lt;=O$49,"n/a",IF(O$49&gt;$D$41,"n/a",E77/(1+$M54)^1+F77/(1+$M54)^2+G77/(1+$M54)^3+H77/(1+$M54)^4+I77/(1+$M54)^5+I76*(1+O$49)*(1-O$49/D41)/($M54-O$49)/(1+$M54)^5-D35+D36))</x:f>
        <x:v>14201.18199102363</x:v>
      </x:c>
      <x:c r="P54" s="8" t="n">
        <x:f>IF($M54&lt;=P$49,"n/a",IF(P$49&gt;$D$41,"n/a",E77/(1+$M54)^1+F77/(1+$M54)^2+G77/(1+$M54)^3+H77/(1+$M54)^4+I77/(1+$M54)^5+I76*(1+P$49)*(1-P$49/D41)/($M54-P$49)/(1+$M54)^5-D35+D36))</x:f>
        <x:v>14334.133965498979</x:v>
      </x:c>
      <x:c r="Q54" s="8" t="n">
        <x:f>IF($M54&lt;=Q$49,"n/a",IF(Q$49&gt;$D$41,"n/a",E77/(1+$M54)^1+F77/(1+$M54)^2+G77/(1+$M54)^3+H77/(1+$M54)^4+I77/(1+$M54)^5+I76*(1+Q$49)*(1-Q$49/D41)/($M54-Q$49)/(1+$M54)^5-D35+D36))</x:f>
        <x:v>14474.370979671596</x:v>
      </x:c>
      <x:c r="R54" s="8" t="n">
        <x:f>IF($M54&lt;=R$49,"n/a",IF(R$49&gt;$D$41,"n/a",E77/(1+$M54)^1+F77/(1+$M54)^2+G77/(1+$M54)^3+H77/(1+$M54)^4+I77/(1+$M54)^5+I76*(1+R$49)*(1-R$49/D41)/($M54-R$49)/(1+$M54)^5-D35+D36))</x:f>
        <x:v>14623.107206824377</x:v>
      </x:c>
      <x:c r="S54" s="63"/>
      <x:c r="T54" s="63"/>
      <x:c r="U54" s="63"/>
      <x:c r="V54" s="63"/>
    </x:row>
    <x:row r="55" ht="18" customHeight="1">
      <x:c r="A55" s="1"/>
      <x:c r="B55" s="1"/>
      <x:c r="C55" s="1" t="str">
        <x:v>Interest expense</x:v>
      </x:c>
      <x:c r="D55" s="2"/>
      <x:c r="E55" s="8" t="n">
        <x:f>E125</x:f>
        <x:v>722.5</x:v>
      </x:c>
      <x:c r="F55" s="8" t="n">
        <x:f>F125</x:f>
        <x:v>650.25</x:v>
      </x:c>
      <x:c r="G55" s="8" t="n">
        <x:f>G125</x:f>
        <x:v>578</x:v>
      </x:c>
      <x:c r="H55" s="8" t="n">
        <x:f>H125</x:f>
        <x:v>505.75000000000006</x:v>
      </x:c>
      <x:c r="I55" s="8" t="n">
        <x:f>I125</x:f>
        <x:v>433.50000000000006</x:v>
      </x:c>
      <x:c r="J55" s="1"/>
      <x:c r="K55" s="1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</x:row>
    <x:row r="56" ht="18" customHeight="1">
      <x:c r="A56" s="1"/>
      <x:c r="B56" s="1"/>
      <x:c r="C56" s="1" t="str">
        <x:v>Profit before tax</x:v>
      </x:c>
      <x:c r="D56" s="2"/>
      <x:c r="E56" s="8" t="n">
        <x:f>E54-E55</x:f>
        <x:v>2709.082000000002</x:v>
      </x:c>
      <x:c r="F56" s="8" t="n">
        <x:f>F54-F55</x:f>
        <x:v>3118.3219302000007</x:v>
      </x:c>
      <x:c r="G56" s="8" t="n">
        <x:f>G54-G55</x:f>
        <x:v>3547.897536288221</x:v>
      </x:c>
      <x:c r="H56" s="8" t="n">
        <x:f>H54-H55</x:f>
        <x:v>3999.7280112457547</x:v>
      </x:c>
      <x:c r="I56" s="8" t="n">
        <x:f>I54-I55</x:f>
        <x:v>4475.852583276337</x:v>
      </x:c>
      <x:c r="J56" s="1"/>
      <x:c r="K56" s="1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</x:row>
    <x:row r="57" ht="18" customHeight="1">
      <x:c r="A57" s="1"/>
      <x:c r="B57" s="1"/>
      <x:c r="C57" s="1" t="str">
        <x:v>Cash income tax</x:v>
      </x:c>
      <x:c r="D57" s="2"/>
      <x:c r="E57" s="8" t="n">
        <x:f>E144</x:f>
        <x:v>677.2705000000005</x:v>
      </x:c>
      <x:c r="F57" s="8" t="n">
        <x:f>F144</x:f>
        <x:v>779.5804825500002</x:v>
      </x:c>
      <x:c r="G57" s="8" t="n">
        <x:f>G144</x:f>
        <x:v>886.9743840720553</x:v>
      </x:c>
      <x:c r="H57" s="8" t="n">
        <x:f>H144</x:f>
        <x:v>999.9320028114387</x:v>
      </x:c>
      <x:c r="I57" s="8" t="n">
        <x:f>I144</x:f>
        <x:v>1118.9631458190843</x:v>
      </x:c>
      <x:c r="J57" s="1"/>
      <x:c r="K57" s="1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</x:row>
    <x:row r="58" ht="25" customHeight="1">
      <x:c r="A58" s="1"/>
      <x:c r="B58" s="1"/>
      <x:c r="C58" s="38" t="str">
        <x:v>Profit after tax</x:v>
      </x:c>
      <x:c r="D58" s="39"/>
      <x:c r="E58" s="41" t="n">
        <x:f>E56-E57</x:f>
        <x:v>2031.8115000000016</x:v>
      </x:c>
      <x:c r="F58" s="41" t="n">
        <x:f>F56-F57</x:f>
        <x:v>2338.7414476500007</x:v>
      </x:c>
      <x:c r="G58" s="41" t="n">
        <x:f>G56-G57</x:f>
        <x:v>2660.923152216166</x:v>
      </x:c>
      <x:c r="H58" s="41" t="n">
        <x:f>H56-H57</x:f>
        <x:v>2999.796008434316</x:v>
      </x:c>
      <x:c r="I58" s="41" t="n">
        <x:f>I56-I57</x:f>
        <x:v>3356.889437457253</x:v>
      </x:c>
      <x:c r="J58" s="1"/>
      <x:c r="K58" s="1"/>
      <x:c r="M58" s="82" t="str">
        <x:v>Forward equity value | rows EBITDA / columns EV/EBITDA</x:v>
      </x:c>
      <x:c r="N58" s="82"/>
      <x:c r="O58" s="82"/>
      <x:c r="P58" s="82"/>
      <x:c r="Q58" s="82"/>
      <x:c r="R58" s="82"/>
      <x:c r="S58" s="63"/>
      <x:c r="T58" s="63"/>
      <x:c r="U58" s="63"/>
      <x:c r="V58" s="63"/>
    </x:row>
    <x:row r="59" ht="18" customHeight="1">
      <x:c r="A59" s="1"/>
      <x:c r="B59" s="1"/>
      <x:c r="C59" s="19" t="str">
        <x:v>WORKING CAPITAL AND ASSET SCHEDULES</x:v>
      </x:c>
      <x:c r="D59" s="20"/>
      <x:c r="E59" s="20"/>
      <x:c r="F59" s="20"/>
      <x:c r="G59" s="20"/>
      <x:c r="H59" s="20"/>
      <x:c r="I59" s="20"/>
      <x:c r="J59" s="1"/>
      <x:c r="K59" s="1"/>
      <x:c r="M59" s="63"/>
      <x:c r="N59" s="78" t="n">
        <x:f>MAX(0,D42+-2)</x:f>
        <x:v>5</x:v>
      </x:c>
      <x:c r="O59" s="78" t="n">
        <x:f>MAX(0,D42+-1)</x:f>
        <x:v>6</x:v>
      </x:c>
      <x:c r="P59" s="78" t="n">
        <x:f>MAX(0,D42+0)</x:f>
        <x:v>7</x:v>
      </x:c>
      <x:c r="Q59" s="78" t="n">
        <x:f>MAX(0,D42+1)</x:f>
        <x:v>8</x:v>
      </x:c>
      <x:c r="R59" s="78" t="n">
        <x:f>MAX(0,D42+2)</x:f>
        <x:v>9</x:v>
      </x:c>
      <x:c r="S59" s="63"/>
      <x:c r="T59" s="63"/>
      <x:c r="U59" s="63"/>
      <x:c r="V59" s="63"/>
    </x:row>
    <x:row r="60" ht="18" customHeight="1">
      <x:c r="A60" s="1"/>
      <x:c r="B60" s="1"/>
      <x:c r="C60" s="1" t="str">
        <x:v>Trade receivables</x:v>
      </x:c>
      <x:c r="D60" s="2"/>
      <x:c r="E60" s="10" t="n">
        <x:f>E47*E25/'Controls'!$E$11</x:f>
        <x:v>1945.8246575342466</x:v>
      </x:c>
      <x:c r="F60" s="10" t="n">
        <x:f>F47*F25/'Controls'!$E$11</x:f>
        <x:v>2093.9019139726024</x:v>
      </x:c>
      <x:c r="G60" s="10" t="n">
        <x:f>G47*G25/'Controls'!$E$11</x:f>
        <x:v>2253.2478496259173</x:v>
      </x:c>
      <x:c r="H60" s="10" t="n">
        <x:f>H47*H25/'Controls'!$E$11</x:f>
        <x:v>2424.7200109824503</x:v>
      </x:c>
      <x:c r="I60" s="10" t="n">
        <x:f>I47*I25/'Controls'!$E$11</x:f>
        <x:v>2609.2412038182147</x:v>
      </x:c>
      <x:c r="J60" s="1"/>
      <x:c r="K60" s="1"/>
      <x:c r="M60" s="8" t="n">
        <x:f>E52*0.8</x:f>
        <x:v>3977.265600000002</x:v>
      </x:c>
      <x:c r="N60" s="8" t="n">
        <x:f>$M60*N$59-D35+D36</x:f>
        <x:v>12886.328000000009</x:v>
      </x:c>
      <x:c r="O60" s="8" t="n">
        <x:f>$M60*O$59-D35+D36</x:f>
        <x:v>16863.59360000001</x:v>
      </x:c>
      <x:c r="P60" s="8" t="n">
        <x:f>$M60*P$59-D35+D36</x:f>
        <x:v>20840.859200000014</x:v>
      </x:c>
      <x:c r="Q60" s="8" t="n">
        <x:f>$M60*Q$59-D35+D36</x:f>
        <x:v>24818.124800000016</x:v>
      </x:c>
      <x:c r="R60" s="8" t="n">
        <x:f>$M60*R$59-D35+D36</x:f>
        <x:v>28795.39040000002</x:v>
      </x:c>
      <x:c r="S60" s="63"/>
      <x:c r="T60" s="63"/>
      <x:c r="U60" s="63"/>
      <x:c r="V60" s="63"/>
    </x:row>
    <x:row r="61" ht="18" customHeight="1">
      <x:c r="A61" s="1"/>
      <x:c r="B61" s="1"/>
      <x:c r="C61" s="1" t="str">
        <x:v>Inventory</x:v>
      </x:c>
      <x:c r="D61" s="2"/>
      <x:c r="E61" s="10" t="n">
        <x:f>E49*E26/'Controls'!$E$11</x:f>
        <x:v>3132.7776986301365</x:v>
      </x:c>
      <x:c r="F61" s="10" t="n">
        <x:f>F49*F26/'Controls'!$E$11</x:f>
        <x:v>3371.1820814958896</x:v>
      </x:c>
      <x:c r="G61" s="10" t="n">
        <x:f>G49*G26/'Controls'!$E$11</x:f>
        <x:v>3627.7290378977264</x:v>
      </x:c>
      <x:c r="H61" s="10" t="n">
        <x:f>H49*H26/'Controls'!$E$11</x:f>
        <x:v>3903.7992176817447</x:v>
      </x:c>
      <x:c r="I61" s="10" t="n">
        <x:f>I49*I26/'Controls'!$E$11</x:f>
        <x:v>4200.878338147325</x:v>
      </x:c>
      <x:c r="J61" s="1"/>
      <x:c r="K61" s="1"/>
      <x:c r="M61" s="8" t="n">
        <x:f>E52*0.9</x:f>
        <x:v>4474.423800000002</x:v>
      </x:c>
      <x:c r="N61" s="8" t="n">
        <x:f>$M61*N$59-D35+D36</x:f>
        <x:v>15372.119000000013</x:v>
      </x:c>
      <x:c r="O61" s="8" t="n">
        <x:f>$M61*O$59-D35+D36</x:f>
        <x:v>19846.542800000014</x:v>
      </x:c>
      <x:c r="P61" s="8" t="n">
        <x:f>$M61*P$59-D35+D36</x:f>
        <x:v>24320.966600000014</x:v>
      </x:c>
      <x:c r="Q61" s="8" t="n">
        <x:f>$M61*Q$59-D35+D36</x:f>
        <x:v>28795.39040000002</x:v>
      </x:c>
      <x:c r="R61" s="8" t="n">
        <x:f>$M61*R$59-D35+D36</x:f>
        <x:v>33269.81420000002</x:v>
      </x:c>
      <x:c r="S61" s="63"/>
      <x:c r="T61" s="63"/>
      <x:c r="U61" s="63"/>
      <x:c r="V61" s="63"/>
    </x:row>
    <x:row r="62" ht="18" customHeight="1">
      <x:c r="A62" s="1"/>
      <x:c r="B62" s="1"/>
      <x:c r="C62" s="1" t="str">
        <x:v>Trade payables</x:v>
      </x:c>
      <x:c r="D62" s="2"/>
      <x:c r="E62" s="10" t="n">
        <x:f>E49*E27/'Controls'!$E$11</x:f>
        <x:v>1790.1586849315067</x:v>
      </x:c>
      <x:c r="F62" s="10" t="n">
        <x:f>F49*F27/'Controls'!$E$11</x:f>
        <x:v>1926.389760854794</x:v>
      </x:c>
      <x:c r="G62" s="10" t="n">
        <x:f>G49*G27/'Controls'!$E$11</x:f>
        <x:v>2072.988021655844</x:v>
      </x:c>
      <x:c r="H62" s="10" t="n">
        <x:f>H49*H27/'Controls'!$E$11</x:f>
        <x:v>2230.742410103854</x:v>
      </x:c>
      <x:c r="I62" s="10" t="n">
        <x:f>I49*I27/'Controls'!$E$11</x:f>
        <x:v>2400.5019075127566</x:v>
      </x:c>
      <x:c r="J62" s="1"/>
      <x:c r="K62" s="1"/>
      <x:c r="M62" s="8" t="n">
        <x:f>E52*1</x:f>
        <x:v>4971.582000000002</x:v>
      </x:c>
      <x:c r="N62" s="8" t="n">
        <x:f>$M62*N$59-D35+D36</x:f>
        <x:v>17857.91000000001</x:v>
      </x:c>
      <x:c r="O62" s="8" t="n">
        <x:f>$M62*O$59-D35+D36</x:f>
        <x:v>22829.492000000013</x:v>
      </x:c>
      <x:c r="P62" s="8" t="n">
        <x:f>$M62*P$59-D35+D36</x:f>
        <x:v>27801.074000000015</x:v>
      </x:c>
      <x:c r="Q62" s="8" t="n">
        <x:f>$M62*Q$59-D35+D36</x:f>
        <x:v>32772.65600000002</x:v>
      </x:c>
      <x:c r="R62" s="8" t="n">
        <x:f>$M62*R$59-D35+D36</x:f>
        <x:v>37744.23800000002</x:v>
      </x:c>
      <x:c r="S62" s="63"/>
      <x:c r="T62" s="63"/>
      <x:c r="U62" s="63"/>
      <x:c r="V62" s="63"/>
    </x:row>
    <x:row r="63" ht="18" customHeight="1">
      <x:c r="A63" s="1"/>
      <x:c r="B63" s="1"/>
      <x:c r="C63" s="1" t="str">
        <x:v>Net working capital</x:v>
      </x:c>
      <x:c r="D63" s="2"/>
      <x:c r="E63" s="8" t="n">
        <x:f>E60+E61-E62</x:f>
        <x:v>3288.4436712328766</x:v>
      </x:c>
      <x:c r="F63" s="8" t="n">
        <x:f>F60+F61-F62</x:f>
        <x:v>3538.6942346136984</x:v>
      </x:c>
      <x:c r="G63" s="8" t="n">
        <x:f>G60+G61-G62</x:f>
        <x:v>3807.9888658678</x:v>
      </x:c>
      <x:c r="H63" s="8" t="n">
        <x:f>H60+H61-H62</x:f>
        <x:v>4097.776818560341</x:v>
      </x:c>
      <x:c r="I63" s="8" t="n">
        <x:f>I60+I61-I62</x:f>
        <x:v>4409.617634452783</x:v>
      </x:c>
      <x:c r="J63" s="1"/>
      <x:c r="K63" s="1"/>
      <x:c r="M63" s="8" t="n">
        <x:f>E52*1.1</x:f>
        <x:v>5468.740200000003</x:v>
      </x:c>
      <x:c r="N63" s="8" t="n">
        <x:f>$M63*N$59-D35+D36</x:f>
        <x:v>20343.701000000015</x:v>
      </x:c>
      <x:c r="O63" s="8" t="n">
        <x:f>$M63*O$59-D35+D36</x:f>
        <x:v>25812.441200000016</x:v>
      </x:c>
      <x:c r="P63" s="8" t="n">
        <x:f>$M63*P$59-D35+D36</x:f>
        <x:v>31281.181400000023</x:v>
      </x:c>
      <x:c r="Q63" s="8" t="n">
        <x:f>$M63*Q$59-D35+D36</x:f>
        <x:v>36749.92160000002</x:v>
      </x:c>
      <x:c r="R63" s="8" t="n">
        <x:f>$M63*R$59-D35+D36</x:f>
        <x:v>42218.66180000002</x:v>
      </x:c>
      <x:c r="S63" s="63"/>
      <x:c r="T63" s="63"/>
      <x:c r="U63" s="63"/>
      <x:c r="V63" s="63"/>
    </x:row>
    <x:row r="64" ht="18" customHeight="1">
      <x:c r="A64" s="1"/>
      <x:c r="B64" s="1"/>
      <x:c r="C64" s="1" t="str">
        <x:v>Increase in net working capital</x:v>
      </x:c>
      <x:c r="D64" s="2"/>
      <x:c r="E64" s="8" t="n">
        <x:f>E63-$D37</x:f>
        <x:v>232.55326027397268</x:v>
      </x:c>
      <x:c r="F64" s="8" t="n">
        <x:f>F63-E63</x:f>
        <x:v>250.25056338082186</x:v>
      </x:c>
      <x:c r="G64" s="8" t="n">
        <x:f>G63-F63</x:f>
        <x:v>269.29463125410166</x:v>
      </x:c>
      <x:c r="H64" s="8" t="n">
        <x:f>H63-G63</x:f>
        <x:v>289.7879526925408</x:v>
      </x:c>
      <x:c r="I64" s="8" t="n">
        <x:f>I63-H63</x:f>
        <x:v>311.84081589244215</x:v>
      </x:c>
      <x:c r="J64" s="1"/>
      <x:c r="K64" s="1"/>
      <x:c r="M64" s="8" t="n">
        <x:f>E52*1.2</x:f>
        <x:v>5965.898400000003</x:v>
      </x:c>
      <x:c r="N64" s="8" t="n">
        <x:f>$M64*N$59-D35+D36</x:f>
        <x:v>22829.492000000013</x:v>
      </x:c>
      <x:c r="O64" s="8" t="n">
        <x:f>$M64*O$59-D35+D36</x:f>
        <x:v>28795.39040000002</x:v>
      </x:c>
      <x:c r="P64" s="8" t="n">
        <x:f>$M64*P$59-D35+D36</x:f>
        <x:v>34761.28880000002</x:v>
      </x:c>
      <x:c r="Q64" s="8" t="n">
        <x:f>$M64*Q$59-D35+D36</x:f>
        <x:v>40727.18720000002</x:v>
      </x:c>
      <x:c r="R64" s="8" t="n">
        <x:f>$M64*R$59-D35+D36</x:f>
        <x:v>46693.08560000003</x:v>
      </x:c>
      <x:c r="S64" s="63"/>
      <x:c r="T64" s="63"/>
      <x:c r="U64" s="63"/>
      <x:c r="V64" s="63"/>
    </x:row>
    <x:row r="65" ht="18" customHeight="1">
      <x:c r="A65" s="1"/>
      <x:c r="B65" s="1"/>
      <x:c r="C65" s="1" t="str">
        <x:v>Capital expenditure</x:v>
      </x:c>
      <x:c r="D65" s="2"/>
      <x:c r="E65" s="8" t="n">
        <x:f>E47*E23</x:f>
        <x:v>2130.678</x:v>
      </x:c>
      <x:c r="F65" s="8" t="n">
        <x:f>F47*F23</x:f>
        <x:v>2292.8225957999994</x:v>
      </x:c>
      <x:c r="G65" s="8" t="n">
        <x:f>G47*G23</x:f>
        <x:v>2467.30639534038</x:v>
      </x:c>
      <x:c r="H65" s="8" t="n">
        <x:f>H47*H23</x:f>
        <x:v>2655.068412025783</x:v>
      </x:c>
      <x:c r="I65" s="8" t="n">
        <x:f>I47*I23</x:f>
        <x:v>2857.1191181809445</x:v>
      </x:c>
      <x:c r="J65" s="1"/>
      <x:c r="K65" s="1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</x:row>
    <x:row r="66" ht="18" customHeight="1">
      <x:c r="A66" s="1"/>
      <x:c r="B66" s="1"/>
      <x:c r="C66" s="1" t="str">
        <x:v>Closing net PP&amp;E</x:v>
      </x:c>
      <x:c r="D66" s="2"/>
      <x:c r="E66" s="8" t="n">
        <x:f>E135</x:f>
        <x:v>22590.678</x:v>
      </x:c>
      <x:c r="F66" s="8" t="n">
        <x:f>F135</x:f>
        <x:v>23302.1531358</x:v>
      </x:c>
      <x:c r="G66" s="8" t="n">
        <x:f>G135</x:f>
        <x:v>24138.30881163438</x:v>
      </x:c>
      <x:c r="H66" s="8" t="n">
        <x:f>H135</x:f>
        <x:v>25103.695606845755</x:v>
      </x:c>
      <x:c r="I66" s="8" t="n">
        <x:f>I135</x:f>
        <x:v>26203.556032547494</x:v>
      </x:c>
      <x:c r="J66" s="1"/>
      <x:c r="K66" s="1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</x:row>
    <x:row r="67" ht="18" customHeight="1">
      <x:c r="A67" s="1"/>
      <x:c r="B67" s="1"/>
      <x:c r="C67" s="1" t="str">
        <x:v>Closing debt</x:v>
      </x:c>
      <x:c r="D67" s="2"/>
      <x:c r="E67" s="8" t="n">
        <x:f>E123</x:f>
        <x:v>7650</x:v>
      </x:c>
      <x:c r="F67" s="8" t="n">
        <x:f>F123</x:f>
        <x:v>6800</x:v>
      </x:c>
      <x:c r="G67" s="8" t="n">
        <x:f>G123</x:f>
        <x:v>5950</x:v>
      </x:c>
      <x:c r="H67" s="8" t="n">
        <x:f>H123</x:f>
        <x:v>5100</x:v>
      </x:c>
      <x:c r="I67" s="8" t="n">
        <x:f>I123</x:f>
        <x:v>4250</x:v>
      </x:c>
      <x:c r="J67" s="1"/>
      <x:c r="K67" s="1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</x:row>
    <x:row r="68" ht="25" customHeight="1">
      <x:c r="A68" s="1"/>
      <x:c r="B68" s="1"/>
      <x:c r="C68" s="19" t="str">
        <x:v>CASH FLOW AND BALANCE SHEET</x:v>
      </x:c>
      <x:c r="D68" s="20"/>
      <x:c r="E68" s="20"/>
      <x:c r="F68" s="20"/>
      <x:c r="G68" s="20"/>
      <x:c r="H68" s="20"/>
      <x:c r="I68" s="20"/>
      <x:c r="J68" s="1"/>
      <x:c r="K68" s="1"/>
      <x:c r="M68" s="82" t="str">
        <x:v>First-year EBITDA | rows revenue / columns EBITDA margin</x:v>
      </x:c>
      <x:c r="N68" s="82"/>
      <x:c r="O68" s="82"/>
      <x:c r="P68" s="82"/>
      <x:c r="Q68" s="82"/>
      <x:c r="R68" s="82"/>
      <x:c r="S68" s="63"/>
      <x:c r="T68" s="63"/>
      <x:c r="U68" s="63"/>
      <x:c r="V68" s="63"/>
    </x:row>
    <x:row r="69" ht="18" customHeight="1">
      <x:c r="A69" s="1"/>
      <x:c r="B69" s="1"/>
      <x:c r="C69" s="1" t="str">
        <x:v>Operating cash flow after interest</x:v>
      </x:c>
      <x:c r="D69" s="2"/>
      <x:c r="E69" s="8" t="n">
        <x:f>E58+E53-E64</x:f>
        <x:v>3339.258239726029</x:v>
      </x:c>
      <x:c r="F69" s="8" t="n">
        <x:f>F58+F53-F64</x:f>
        <x:v>3669.838344269179</x:v>
      </x:c>
      <x:c r="G69" s="8" t="n">
        <x:f>G58+G53-G64</x:f>
        <x:v>4022.779240468064</x:v>
      </x:c>
      <x:c r="H69" s="8" t="n">
        <x:f>H58+H53-H64</x:f>
        <x:v>4399.689672556182</x:v>
      </x:c>
      <x:c r="I69" s="8" t="n">
        <x:f>I58+I53-I64</x:f>
        <x:v>4802.307314044014</x:v>
      </x:c>
      <x:c r="J69" s="1"/>
      <x:c r="K69" s="1"/>
      <x:c r="M69" s="63"/>
      <x:c r="N69" s="70" t="n">
        <x:f>E52/E47+-0.04</x:f>
        <x:v>0.17000000000000007</x:v>
      </x:c>
      <x:c r="O69" s="70" t="n">
        <x:f>E52/E47+-0.02</x:f>
        <x:v>0.19000000000000009</x:v>
      </x:c>
      <x:c r="P69" s="70" t="n">
        <x:f>E52/E47+0</x:f>
        <x:v>0.21000000000000008</x:v>
      </x:c>
      <x:c r="Q69" s="70" t="n">
        <x:f>E52/E47+0.02</x:f>
        <x:v>0.23000000000000007</x:v>
      </x:c>
      <x:c r="R69" s="70" t="n">
        <x:f>E52/E47+0.04</x:f>
        <x:v>0.25000000000000006</x:v>
      </x:c>
      <x:c r="S69" s="63"/>
      <x:c r="T69" s="63"/>
      <x:c r="U69" s="63"/>
      <x:c r="V69" s="63"/>
    </x:row>
    <x:row r="70" ht="18" customHeight="1">
      <x:c r="A70" s="1"/>
      <x:c r="B70" s="1"/>
      <x:c r="C70" s="1" t="str">
        <x:v>Dividends</x:v>
      </x:c>
      <x:c r="D70" s="2"/>
      <x:c r="E70" s="8" t="n">
        <x:f>MAX(0,E58)*E32</x:f>
        <x:v>507.9528750000004</x:v>
      </x:c>
      <x:c r="F70" s="8" t="n">
        <x:f>MAX(0,F58)*F32</x:f>
        <x:v>584.6853619125002</x:v>
      </x:c>
      <x:c r="G70" s="8" t="n">
        <x:f>MAX(0,G58)*G32</x:f>
        <x:v>665.2307880540415</x:v>
      </x:c>
      <x:c r="H70" s="8" t="n">
        <x:f>MAX(0,H58)*H32</x:f>
        <x:v>749.949002108579</x:v>
      </x:c>
      <x:c r="I70" s="8" t="n">
        <x:f>MAX(0,I58)*I32</x:f>
        <x:v>839.2223593643132</x:v>
      </x:c>
      <x:c r="J70" s="1"/>
      <x:c r="K70" s="1"/>
      <x:c r="M70" s="8" t="n">
        <x:f>E47*0.8</x:f>
        <x:v>18939.36</x:v>
      </x:c>
      <x:c r="N70" s="8" t="n">
        <x:f>$M70*N$69</x:f>
        <x:v>3219.6912000000016</x:v>
      </x:c>
      <x:c r="O70" s="8" t="n">
        <x:f>$M70*O$69</x:f>
        <x:v>3598.478400000002</x:v>
      </x:c>
      <x:c r="P70" s="8" t="n">
        <x:f>$M70*P$69</x:f>
        <x:v>3977.2656000000015</x:v>
      </x:c>
      <x:c r="Q70" s="8" t="n">
        <x:f>$M70*Q$69</x:f>
        <x:v>4356.052800000001</x:v>
      </x:c>
      <x:c r="R70" s="8" t="n">
        <x:f>$M70*R$69</x:f>
        <x:v>4734.840000000001</x:v>
      </x:c>
      <x:c r="S70" s="63"/>
      <x:c r="T70" s="63"/>
      <x:c r="U70" s="63"/>
      <x:c r="V70" s="63"/>
    </x:row>
    <x:row r="71" ht="18" customHeight="1">
      <x:c r="A71" s="1"/>
      <x:c r="B71" s="1"/>
      <x:c r="C71" s="1" t="str">
        <x:v>Change in cash</x:v>
      </x:c>
      <x:c r="D71" s="2"/>
      <x:c r="E71" s="8" t="n">
        <x:f>E69-E65+E30-E31-E70</x:f>
        <x:v>-149.37263527397135</x:v>
      </x:c>
      <x:c r="F71" s="8" t="n">
        <x:f>F69-F65+F30-F31-F70</x:f>
        <x:v>-57.66961344332071</x:v>
      </x:c>
      <x:c r="G71" s="8" t="n">
        <x:f>G69-G65+G30-G31-G70</x:f>
        <x:v>40.24205707364274</x:v>
      </x:c>
      <x:c r="H71" s="8" t="n">
        <x:f>H69-H65+H30-H31-H70</x:f>
        <x:v>144.67225842182006</x:v>
      </x:c>
      <x:c r="I71" s="8" t="n">
        <x:f>I69-I65+I30-I31-I70</x:f>
        <x:v>255.96583649875606</x:v>
      </x:c>
      <x:c r="J71" s="1"/>
      <x:c r="K71" s="1"/>
      <x:c r="M71" s="8" t="n">
        <x:f>E47*0.9</x:f>
        <x:v>21306.780000000002</x:v>
      </x:c>
      <x:c r="N71" s="8" t="n">
        <x:f>$M71*N$69</x:f>
        <x:v>3622.1526000000017</x:v>
      </x:c>
      <x:c r="O71" s="8" t="n">
        <x:f>$M71*O$69</x:f>
        <x:v>4048.2882000000022</x:v>
      </x:c>
      <x:c r="P71" s="8" t="n">
        <x:f>$M71*P$69</x:f>
        <x:v>4474.423800000002</x:v>
      </x:c>
      <x:c r="Q71" s="8" t="n">
        <x:f>$M71*Q$69</x:f>
        <x:v>4900.559400000002</x:v>
      </x:c>
      <x:c r="R71" s="8" t="n">
        <x:f>$M71*R$69</x:f>
        <x:v>5326.6950000000015</x:v>
      </x:c>
      <x:c r="S71" s="63"/>
      <x:c r="T71" s="63"/>
      <x:c r="U71" s="63"/>
      <x:c r="V71" s="63"/>
    </x:row>
    <x:row r="72" ht="18" customHeight="1">
      <x:c r="A72" s="1"/>
      <x:c r="B72" s="1"/>
      <x:c r="C72" s="1" t="str">
        <x:v>Closing cash / (funding gap)</x:v>
      </x:c>
      <x:c r="D72" s="2"/>
      <x:c r="E72" s="8" t="n">
        <x:f>$D36+E71</x:f>
        <x:v>1350.6273647260286</x:v>
      </x:c>
      <x:c r="F72" s="8" t="n">
        <x:f>E72+F71</x:f>
        <x:v>1292.957751282708</x:v>
      </x:c>
      <x:c r="G72" s="8" t="n">
        <x:f>F72+G71</x:f>
        <x:v>1333.1998083563508</x:v>
      </x:c>
      <x:c r="H72" s="8" t="n">
        <x:f>G72+H71</x:f>
        <x:v>1477.8720667781708</x:v>
      </x:c>
      <x:c r="I72" s="8" t="n">
        <x:f>H72+I71</x:f>
        <x:v>1733.837903276927</x:v>
      </x:c>
      <x:c r="J72" s="1"/>
      <x:c r="K72" s="1"/>
      <x:c r="M72" s="8" t="n">
        <x:f>E47*1</x:f>
        <x:v>23674.2</x:v>
      </x:c>
      <x:c r="N72" s="8" t="n">
        <x:f>$M72*N$69</x:f>
        <x:v>4024.614000000002</x:v>
      </x:c>
      <x:c r="O72" s="8" t="n">
        <x:f>$M72*O$69</x:f>
        <x:v>4498.098000000002</x:v>
      </x:c>
      <x:c r="P72" s="8" t="n">
        <x:f>$M72*P$69</x:f>
        <x:v>4971.582000000002</x:v>
      </x:c>
      <x:c r="Q72" s="8" t="n">
        <x:f>$M72*Q$69</x:f>
        <x:v>5445.066000000002</x:v>
      </x:c>
      <x:c r="R72" s="8" t="n">
        <x:f>$M72*R$69</x:f>
        <x:v>5918.550000000001</x:v>
      </x:c>
      <x:c r="S72" s="63"/>
      <x:c r="T72" s="63"/>
      <x:c r="U72" s="63"/>
      <x:c r="V72" s="63"/>
    </x:row>
    <x:row r="73" ht="18" customHeight="1">
      <x:c r="A73" s="1"/>
      <x:c r="B73" s="1"/>
      <x:c r="C73" s="38" t="str">
        <x:v>Closing book equity</x:v>
      </x:c>
      <x:c r="D73" s="39"/>
      <x:c r="E73" s="41" t="n">
        <x:f>$D34+$D37+$D36-$D35+E58-E70</x:f>
        <x:v>19579.74903595891</x:v>
      </x:c>
      <x:c r="F73" s="41" t="n">
        <x:f>E73+F58-F70</x:f>
        <x:v>21333.805121696412</x:v>
      </x:c>
      <x:c r="G73" s="41" t="n">
        <x:f>F73+G58-G70</x:f>
        <x:v>23329.497485858534</x:v>
      </x:c>
      <x:c r="H73" s="41" t="n">
        <x:f>G73+H58-H70</x:f>
        <x:v>25579.344492184267</x:v>
      </x:c>
      <x:c r="I73" s="41" t="n">
        <x:f>H73+I58-I70</x:f>
        <x:v>28097.011570277205</x:v>
      </x:c>
      <x:c r="J73" s="1"/>
      <x:c r="K73" s="1"/>
      <x:c r="M73" s="8" t="n">
        <x:f>E47*1.1</x:f>
        <x:v>26041.620000000003</x:v>
      </x:c>
      <x:c r="N73" s="8" t="n">
        <x:f>$M73*N$69</x:f>
        <x:v>4427.075400000002</x:v>
      </x:c>
      <x:c r="O73" s="8" t="n">
        <x:f>$M73*O$69</x:f>
        <x:v>4947.907800000003</x:v>
      </x:c>
      <x:c r="P73" s="8" t="n">
        <x:f>$M73*P$69</x:f>
        <x:v>5468.740200000003</x:v>
      </x:c>
      <x:c r="Q73" s="8" t="n">
        <x:f>$M73*Q$69</x:f>
        <x:v>5989.572600000002</x:v>
      </x:c>
      <x:c r="R73" s="8" t="n">
        <x:f>$M73*R$69</x:f>
        <x:v>6510.4050000000025</x:v>
      </x:c>
      <x:c r="S73" s="63"/>
      <x:c r="T73" s="63"/>
      <x:c r="U73" s="63"/>
      <x:c r="V73" s="63"/>
    </x:row>
    <x:row r="74" ht="18" customHeight="1">
      <x:c r="A74" s="1"/>
      <x:c r="B74" s="1"/>
      <x:c r="C74" s="1" t="str">
        <x:v>Total assets</x:v>
      </x:c>
      <x:c r="D74" s="2"/>
      <x:c r="E74" s="8" t="n">
        <x:f>E72+E60+E61+E66</x:f>
        <x:v>29019.907720890413</x:v>
      </x:c>
      <x:c r="F74" s="8" t="n">
        <x:f>F72+F60+F61+F66</x:f>
        <x:v>30060.1948825512</x:v>
      </x:c>
      <x:c r="G74" s="8" t="n">
        <x:f>G72+G60+G61+G66</x:f>
        <x:v>31352.48550751437</x:v>
      </x:c>
      <x:c r="H74" s="8" t="n">
        <x:f>H72+H60+H61+H66</x:f>
        <x:v>32910.08690228812</x:v>
      </x:c>
      <x:c r="I74" s="8" t="n">
        <x:f>I72+I60+I61+I66</x:f>
        <x:v>34747.513477789966</x:v>
      </x:c>
      <x:c r="J74" s="1"/>
      <x:c r="K74" s="1"/>
      <x:c r="M74" s="8" t="n">
        <x:f>E47*1.2</x:f>
        <x:v>28409.04</x:v>
      </x:c>
      <x:c r="N74" s="8" t="n">
        <x:f>$M74*N$69</x:f>
        <x:v>4829.536800000002</x:v>
      </x:c>
      <x:c r="O74" s="8" t="n">
        <x:f>$M74*O$69</x:f>
        <x:v>5397.717600000003</x:v>
      </x:c>
      <x:c r="P74" s="8" t="n">
        <x:f>$M74*P$69</x:f>
        <x:v>5965.898400000003</x:v>
      </x:c>
      <x:c r="Q74" s="8" t="n">
        <x:f>$M74*Q$69</x:f>
        <x:v>6534.079200000002</x:v>
      </x:c>
      <x:c r="R74" s="8" t="n">
        <x:f>$M74*R$69</x:f>
        <x:v>7102.260000000002</x:v>
      </x:c>
      <x:c r="S74" s="63"/>
      <x:c r="T74" s="63"/>
      <x:c r="U74" s="63"/>
      <x:c r="V74" s="63"/>
    </x:row>
    <x:row r="75" ht="18" customHeight="1">
      <x:c r="A75" s="1"/>
      <x:c r="B75" s="1"/>
      <x:c r="C75" s="1" t="str">
        <x:v>Liabilities and equity</x:v>
      </x:c>
      <x:c r="D75" s="2"/>
      <x:c r="E75" s="8" t="n">
        <x:f>E62+E67+E73</x:f>
        <x:v>29019.907720890416</x:v>
      </x:c>
      <x:c r="F75" s="8" t="n">
        <x:f>F62+F67+F73</x:f>
        <x:v>30060.194882551208</x:v>
      </x:c>
      <x:c r="G75" s="8" t="n">
        <x:f>G62+G67+G73</x:f>
        <x:v>31352.48550751438</x:v>
      </x:c>
      <x:c r="H75" s="8" t="n">
        <x:f>H62+H67+H73</x:f>
        <x:v>32910.08690228812</x:v>
      </x:c>
      <x:c r="I75" s="8" t="n">
        <x:f>I62+I67+I73</x:f>
        <x:v>34747.513477789966</x:v>
      </x:c>
      <x:c r="J75" s="1"/>
      <x:c r="K75" s="1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</x:row>
    <x:row r="76" ht="18" customHeight="1">
      <x:c r="A76" s="1"/>
      <x:c r="B76" s="1"/>
      <x:c r="C76" s="1" t="str">
        <x:v>Unlevered operating profit after tax</x:v>
      </x:c>
      <x:c r="D76" s="2"/>
      <x:c r="E76" s="8" t="n">
        <x:f>E54-MAX(0,E54)*E28</x:f>
        <x:v>2573.6865000000016</x:v>
      </x:c>
      <x:c r="F76" s="8" t="n">
        <x:f>F54-MAX(0,F54)*F28</x:f>
        <x:v>2826.4289476500007</x:v>
      </x:c>
      <x:c r="G76" s="8" t="n">
        <x:f>G54-MAX(0,G54)*G28</x:f>
        <x:v>3094.423152216166</x:v>
      </x:c>
      <x:c r="H76" s="8" t="n">
        <x:f>H54-MAX(0,H54)*H28</x:f>
        <x:v>3379.108508434316</x:v>
      </x:c>
      <x:c r="I76" s="8" t="n">
        <x:f>I54-MAX(0,I54)*I28</x:f>
        <x:v>3682.014437457253</x:v>
      </x:c>
      <x:c r="J76" s="1"/>
      <x:c r="K76" s="1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</x:row>
    <x:row r="77" ht="18" customHeight="1">
      <x:c r="A77" s="1"/>
      <x:c r="B77" s="1"/>
      <x:c r="C77" s="38" t="str">
        <x:v>Free cash flow to firm</x:v>
      </x:c>
      <x:c r="D77" s="39"/>
      <x:c r="E77" s="41" t="n">
        <x:f>E76+E53-E65-E64</x:f>
        <x:v>1750.455239726029</x:v>
      </x:c>
      <x:c r="F77" s="41" t="n">
        <x:f>F76+F53-F65-F64</x:f>
        <x:v>1864.7032484691795</x:v>
      </x:c>
      <x:c r="G77" s="41" t="n">
        <x:f>G76+G53-G65-G64</x:f>
        <x:v>1988.9728451276842</x:v>
      </x:c>
      <x:c r="H77" s="41" t="n">
        <x:f>H76+H53-H65-H64</x:f>
        <x:v>2123.933760530399</x:v>
      </x:c>
      <x:c r="I77" s="41" t="n">
        <x:f>I76+I53-I65-I64</x:f>
        <x:v>2270.3131958630693</x:v>
      </x:c>
      <x:c r="J77" s="1"/>
      <x:c r="K77" s="1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</x:row>
    <x:row r="78" ht="18" customHeight="1">
      <x:c r="A78" s="1"/>
      <x:c r="B78" s="1"/>
      <x:c r="C78" s="19" t="str">
        <x:v>SECTOR KPIs AND RETURN METRICS</x:v>
      </x:c>
      <x:c r="D78" s="20"/>
      <x:c r="E78" s="20"/>
      <x:c r="F78" s="20"/>
      <x:c r="G78" s="20"/>
      <x:c r="H78" s="20"/>
      <x:c r="I78" s="20"/>
      <x:c r="J78" s="1"/>
      <x:c r="K78" s="1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</x:row>
    <x:row r="79" ht="18" customHeight="1">
      <x:c r="A79" s="1"/>
      <x:c r="B79" s="1"/>
      <x:c r="C79" s="23" t="str">
        <x:v>Gross margin</x:v>
      </x:c>
      <x:c r="D79" s="24"/>
      <x:c r="E79" s="35" t="n">
        <x:f>E50/E47</x:f>
        <x:v>0.3100000000000001</x:v>
      </x:c>
      <x:c r="F79" s="35" t="n">
        <x:f>F50/F47</x:f>
        <x:v>0.3100000000000001</x:v>
      </x:c>
      <x:c r="G79" s="35" t="n">
        <x:f>G50/G47</x:f>
        <x:v>0.3100000000000001</x:v>
      </x:c>
      <x:c r="H79" s="35" t="n">
        <x:f>H50/H47</x:f>
        <x:v>0.31000000000000005</x:v>
      </x:c>
      <x:c r="I79" s="35" t="n">
        <x:f>I50/I47</x:f>
        <x:v>0.31000000000000005</x:v>
      </x:c>
      <x:c r="J79" s="1"/>
      <x:c r="K79" s="1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</x:row>
    <x:row r="80" ht="18" customHeight="1">
      <x:c r="A80" s="1"/>
      <x:c r="B80" s="1"/>
      <x:c r="C80" s="23" t="str">
        <x:v>EBITDA margin</x:v>
      </x:c>
      <x:c r="D80" s="24"/>
      <x:c r="E80" s="35" t="n">
        <x:f>E52/E47</x:f>
        <x:v>0.21000000000000008</x:v>
      </x:c>
      <x:c r="F80" s="35" t="n">
        <x:f>F52/F47</x:f>
        <x:v>0.21000000000000005</x:v>
      </x:c>
      <x:c r="G80" s="35" t="n">
        <x:f>G52/G47</x:f>
        <x:v>0.21000000000000008</x:v>
      </x:c>
      <x:c r="H80" s="35" t="n">
        <x:f>H52/H47</x:f>
        <x:v>0.21000000000000002</x:v>
      </x:c>
      <x:c r="I80" s="35" t="n">
        <x:f>I52/I47</x:f>
        <x:v>0.21000000000000008</x:v>
      </x:c>
      <x:c r="J80" s="1"/>
      <x:c r="K80" s="1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</x:row>
    <x:row r="81" ht="18" customHeight="1">
      <x:c r="A81" s="1"/>
      <x:c r="B81" s="1"/>
      <x:c r="C81" s="23" t="str">
        <x:v>Net margin</x:v>
      </x:c>
      <x:c r="D81" s="24"/>
      <x:c r="E81" s="35" t="n">
        <x:f>E58/E47</x:f>
        <x:v>0.0858238715563779</x:v>
      </x:c>
      <x:c r="F81" s="35" t="n">
        <x:f>F58/F47</x:f>
        <x:v>0.09180244938010922</x:v>
      </x:c>
      <x:c r="G81" s="35" t="n">
        <x:f>G58/G47</x:f>
        <x:v>0.09706256351125649</x:v>
      </x:c>
      <x:c r="H81" s="35" t="n">
        <x:f>H58/H47</x:f>
        <x:v>0.10168538013417737</x:v>
      </x:c>
      <x:c r="I81" s="35" t="n">
        <x:f>I58/I47</x:f>
        <x:v>0.10574289585920553</x:v>
      </x:c>
      <x:c r="J81" s="1"/>
      <x:c r="K81" s="1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</x:row>
    <x:row r="82" ht="18" customHeight="1">
      <x:c r="A82" s="1"/>
      <x:c r="B82" s="1"/>
      <x:c r="C82" s="23" t="str">
        <x:v>Operating cash conversion</x:v>
      </x:c>
      <x:c r="D82" s="24"/>
      <x:c r="E82" s="35" t="n">
        <x:f>IF(E52=0,"n.a.",E69/E52)</x:f>
        <x:v>0.6716691467074318</x:v>
      </x:c>
      <x:c r="F82" s="35" t="n">
        <x:f>IF(F52=0,"n.a.",F69/F52)</x:f>
        <x:v>0.6859614279406901</x:v>
      </x:c>
      <x:c r="G82" s="35" t="n">
        <x:f>IF(G52=0,"n.a.",G69/G52)</x:f>
        <x:v>0.6987572557550321</x:v>
      </x:c>
      <x:c r="H82" s="35" t="n">
        <x:f>IF(H52=0,"n.a.",H69/H52)</x:f>
        <x:v>0.7101818091382772</x:v>
      </x:c>
      <x:c r="I82" s="35" t="n">
        <x:f>IF(I52=0,"n.a.",I69/I52)</x:f>
        <x:v>0.7203520822503272</x:v>
      </x:c>
      <x:c r="J82" s="1"/>
      <x:c r="K82" s="1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</x:row>
    <x:row r="83" ht="18" customHeight="1">
      <x:c r="A83" s="1"/>
      <x:c r="B83" s="1"/>
      <x:c r="C83" s="1" t="str">
        <x:v>Cash conversion cycle (days)</x:v>
      </x:c>
      <x:c r="D83" s="2"/>
      <x:c r="E83" s="8" t="n">
        <x:f>E25+E26-E27</x:f>
        <x:v>60</x:v>
      </x:c>
      <x:c r="F83" s="8" t="n">
        <x:f>F25+F26-F27</x:f>
        <x:v>60</x:v>
      </x:c>
      <x:c r="G83" s="8" t="n">
        <x:f>G25+G26-G27</x:f>
        <x:v>60</x:v>
      </x:c>
      <x:c r="H83" s="8" t="n">
        <x:f>H25+H26-H27</x:f>
        <x:v>60</x:v>
      </x:c>
      <x:c r="I83" s="8" t="n">
        <x:f>I25+I26-I27</x:f>
        <x:v>60</x:v>
      </x:c>
      <x:c r="J83" s="1"/>
      <x:c r="K83" s="1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</x:row>
    <x:row r="84" ht="18" customHeight="1">
      <x:c r="A84" s="1"/>
      <x:c r="B84" s="1"/>
      <x:c r="C84" s="23" t="str">
        <x:v>Net debt / EBITDA</x:v>
      </x:c>
      <x:c r="D84" s="32"/>
      <x:c r="E84" s="61" t="n">
        <x:f>IF(E52&lt;=0,"n.a.",(E67-E72)/E52)</x:f>
        <x:v>1.267076080666872</x:v>
      </x:c>
      <x:c r="F84" s="61" t="n">
        <x:f>IF(F52&lt;=0,"n.a.",(F67-F72)/F52)</x:f>
        <x:v>1.029369201114527</x:v>
      </x:c>
      <x:c r="G84" s="61" t="n">
        <x:f>IF(G52&lt;=0,"n.a.",(G67-G72)/G52)</x:f>
        <x:v>0.8019387690553121</x:v>
      </x:c>
      <x:c r="H84" s="61" t="n">
        <x:f>IF(H52&lt;=0,"n.a.",(H67-H72)/H52)</x:f>
        <x:v>0.584670638156905</x:v>
      </x:c>
      <x:c r="I84" s="61" t="n">
        <x:f>IF(I52&lt;=0,"n.a.",(I67-I72)/I52)</x:f>
        <x:v>0.37742745041601533</x:v>
      </x:c>
      <x:c r="J84" s="1"/>
      <x:c r="K84" s="1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</x:row>
    <x:row r="85" ht="18" customHeight="1">
      <x:c r="A85" s="1"/>
      <x:c r="B85" s="1"/>
      <x:c r="C85" s="23" t="str">
        <x:v>EBIT / interest</x:v>
      </x:c>
      <x:c r="D85" s="32"/>
      <x:c r="E85" s="61" t="n">
        <x:f>IF(E55=0,"n.a.",E54/E55)</x:f>
        <x:v>4.749594463667823</x:v>
      </x:c>
      <x:c r="F85" s="61" t="n">
        <x:f>IF(F55=0,"n.a.",F54/F55)</x:f>
        <x:v>5.795573902652827</x:v>
      </x:c>
      <x:c r="G85" s="61" t="n">
        <x:f>IF(G55=0,"n.a.",G54/G55)</x:f>
        <x:v>7.138231031640521</x:v>
      </x:c>
      <x:c r="H85" s="61" t="n">
        <x:f>IF(H55=0,"n.a.",H54/H55)</x:f>
        <x:v>8.908508178439455</x:v>
      </x:c>
      <x:c r="I85" s="61" t="n">
        <x:f>IF(I55=0,"n.a.",I54/I55)</x:f>
        <x:v>11.324919453924652</x:v>
      </x:c>
      <x:c r="J85" s="1"/>
      <x:c r="K85" s="1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</x:row>
    <x:row r="86" ht="18" customHeight="1">
      <x:c r="A86" s="1"/>
      <x:c r="B86" s="1"/>
      <x:c r="C86" s="23" t="str">
        <x:v>ROIC on average invested capital</x:v>
      </x:c>
      <x:c r="D86" s="24"/>
      <x:c r="E86" s="35" t="n">
        <x:f>E76/(($D34+$D37+E66+E63)/2)</x:f>
        <x:v>0.10105765738690499</x:v>
      </x:c>
      <x:c r="F86" s="35" t="n">
        <x:f>F76/((E66+E63+F66+F63)/2)</x:f>
        <x:v>0.10722422638060504</x:v>
      </x:c>
      <x:c r="G86" s="35" t="n">
        <x:f>G76/((F66+F63+G66+G63)/2)</x:f>
        <x:v>0.11296165001880779</x:v>
      </x:c>
      <x:c r="H86" s="35" t="n">
        <x:f>H76/((G66+G63+H66+H63)/2)</x:f>
        <x:v>0.11825863029648996</x:v>
      </x:c>
      <x:c r="I86" s="35" t="n">
        <x:f>I76/((H66+H63+I66+I63)/2)</x:f>
        <x:v>0.12311414270575093</x:v>
      </x:c>
      <x:c r="J86" s="1"/>
      <x:c r="K86" s="1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</x:row>
    <x:row r="87" ht="18" customHeight="1">
      <x:c r="A87" s="1"/>
      <x:c r="B87" s="1"/>
      <x:c r="C87" s="1" t="str">
        <x:v>EBITDA per tonne (INR)</x:v>
      </x:c>
      <x:c r="D87" s="2"/>
      <x:c r="E87" s="10" t="n">
        <x:f>E52*'Controls'!$E$9/(E46*'Controls'!$E$14)</x:f>
        <x:v>11781.000000000005</x:v>
      </x:c>
      <x:c r="F87" s="10" t="n">
        <x:f>F52*'Controls'!$E$9/(F46*'Controls'!$E$14)</x:f>
        <x:v>12016.620000000003</x:v>
      </x:c>
      <x:c r="G87" s="10" t="n">
        <x:f>G52*'Controls'!$E$9/(G46*'Controls'!$E$14)</x:f>
        <x:v>12256.952400000006</x:v>
      </x:c>
      <x:c r="H87" s="10" t="n">
        <x:f>H52*'Controls'!$E$9/(H46*'Controls'!$E$14)</x:f>
        <x:v>12502.091448000005</x:v>
      </x:c>
      <x:c r="I87" s="10" t="n">
        <x:f>I52*'Controls'!$E$9/(I46*'Controls'!$E$14)</x:f>
        <x:v>12752.133276960007</x:v>
      </x:c>
      <x:c r="J87" s="1"/>
      <x:c r="K87" s="1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</x:row>
    <x:row r="88" ht="18" customHeight="1">
      <x:c r="A88" s="1"/>
      <x:c r="B88" s="1"/>
      <x:c r="C88" s="1" t="str">
        <x:v>Direct cost per tonne (INR)</x:v>
      </x:c>
      <x:c r="D88" s="2"/>
      <x:c r="E88" s="10" t="n">
        <x:f>E49*'Controls'!$E$9/(E46*'Controls'!$E$14)</x:f>
        <x:v>38709</x:v>
      </x:c>
      <x:c r="F88" s="10" t="n">
        <x:f>F49*'Controls'!$E$9/(F46*'Controls'!$E$14)</x:f>
        <x:v>39483.179999999986</x:v>
      </x:c>
      <x:c r="G88" s="10" t="n">
        <x:f>G49*'Controls'!$E$9/(G46*'Controls'!$E$14)</x:f>
        <x:v>40272.8436</x:v>
      </x:c>
      <x:c r="H88" s="10" t="n">
        <x:f>H49*'Controls'!$E$9/(H46*'Controls'!$E$14)</x:f>
        <x:v>41078.30047200001</x:v>
      </x:c>
      <x:c r="I88" s="10" t="n">
        <x:f>I49*'Controls'!$E$9/(I46*'Controls'!$E$14)</x:f>
        <x:v>41899.866481439996</x:v>
      </x:c>
      <x:c r="J88" s="1"/>
      <x:c r="K88" s="1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</x:row>
    <x:row r="89" ht="18" customHeight="1">
      <x:c r="A89" s="1"/>
      <x:c r="B89" s="1"/>
      <x:c r="C89" s="19" t="str">
        <x:v>VALUATION AT 31 MARCH 2026</x:v>
      </x:c>
      <x:c r="D89" s="20"/>
      <x:c r="E89" s="20"/>
      <x:c r="F89" s="20"/>
      <x:c r="G89" s="20"/>
      <x:c r="H89" s="20"/>
      <x:c r="I89" s="20"/>
      <x:c r="J89" s="1"/>
      <x:c r="K89" s="1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</x:row>
    <x:row r="90" ht="18" customHeight="1">
      <x:c r="A90" s="1"/>
      <x:c r="B90" s="1"/>
      <x:c r="C90" s="1" t="str">
        <x:v>PV of annual FCFF</x:v>
      </x:c>
      <x:c r="D90" s="2"/>
      <x:c r="E90" s="8" t="n">
        <x:f>E77/(1+$D39)^1</x:f>
        <x:v>1562.9064640410973</x:v>
      </x:c>
      <x:c r="F90" s="8" t="n">
        <x:f>F77/(1+$D39)^2</x:f>
        <x:v>1486.5300131291287</x:v>
      </x:c>
      <x:c r="G90" s="8" t="n">
        <x:f>G77/(1+$D39)^3</x:f>
        <x:v>1415.711584599128</x:v>
      </x:c>
      <x:c r="H90" s="8" t="n">
        <x:f>H77/(1+$D39)^4</x:f>
        <x:v>1349.7983021514258</x:v>
      </x:c>
      <x:c r="I90" s="8" t="n">
        <x:f>I77/(1+$D39)^5</x:f>
        <x:v>1288.2366782250256</x:v>
      </x:c>
      <x:c r="J90" s="1"/>
      <x:c r="K90" s="1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</x:row>
    <x:row r="91" ht="18" customHeight="1">
      <x:c r="A91" s="1"/>
      <x:c r="B91" s="1"/>
      <x:c r="C91" s="1" t="str">
        <x:v>Normalized terminal FCFF</x:v>
      </x:c>
      <x:c r="D91" s="2"/>
      <x:c r="E91" s="8" t="n">
        <x:f>I76*(1+$D40)*(1-$D40/$D41)</x:f>
        <x:v>2808.149677634065</x:v>
      </x:c>
      <x:c r="F91" s="2"/>
      <x:c r="G91" s="2"/>
      <x:c r="H91" s="2"/>
      <x:c r="I91" s="2"/>
      <x:c r="J91" s="1"/>
      <x:c r="K91" s="1" t="str">
        <x:v>Terminal reinvestment = terminal NOPAT × growth / incremental ROIC.</x:v>
      </x:c>
    </x:row>
    <x:row r="92" ht="18" customHeight="1">
      <x:c r="A92" s="1"/>
      <x:c r="B92" s="1"/>
      <x:c r="C92" s="1" t="str">
        <x:v>Terminal enterprise value</x:v>
      </x:c>
      <x:c r="D92" s="2"/>
      <x:c r="E92" s="8" t="n">
        <x:f>IF($D39&lt;=$D40,NA(),E91/($D39-$D40))</x:f>
        <x:v>35101.87097042582</x:v>
      </x:c>
      <x:c r="F92" s="2"/>
      <x:c r="G92" s="2"/>
      <x:c r="H92" s="2"/>
      <x:c r="I92" s="2"/>
      <x:c r="J92" s="1"/>
      <x:c r="K92" s="1"/>
    </x:row>
    <x:row r="93" ht="18" customHeight="1">
      <x:c r="A93" s="1"/>
      <x:c r="B93" s="1"/>
      <x:c r="C93" s="1" t="str">
        <x:v>DCF enterprise value</x:v>
      </x:c>
      <x:c r="D93" s="2"/>
      <x:c r="E93" s="8" t="n">
        <x:f>SUM(E90:I90)+E92/(1+$D39)^5</x:f>
        <x:v>27020.9273167345</x:v>
      </x:c>
      <x:c r="F93" s="2"/>
      <x:c r="G93" s="2"/>
      <x:c r="H93" s="2"/>
      <x:c r="I93" s="2"/>
      <x:c r="J93" s="1"/>
      <x:c r="K93" s="1"/>
    </x:row>
    <x:row r="94" ht="18" customHeight="1">
      <x:c r="A94" s="1"/>
      <x:c r="B94" s="1"/>
      <x:c r="C94" s="38" t="str">
        <x:v>DCF equity value</x:v>
      </x:c>
      <x:c r="D94" s="39"/>
      <x:c r="E94" s="41" t="n">
        <x:f>E93-$D35+$D36</x:f>
        <x:v>20020.9273167345</x:v>
      </x:c>
      <x:c r="F94" s="39"/>
      <x:c r="G94" s="39"/>
      <x:c r="H94" s="39"/>
      <x:c r="I94" s="39"/>
      <x:c r="J94" s="1"/>
      <x:c r="K94" s="1"/>
    </x:row>
    <x:row r="95" ht="18" customHeight="1">
      <x:c r="A95" s="1"/>
      <x:c r="B95" s="1"/>
      <x:c r="C95" s="1" t="str">
        <x:v>DCF value per share (INR)</x:v>
      </x:c>
      <x:c r="D95" s="33"/>
      <x:c r="E95" s="34" t="n">
        <x:f>E94/$D38</x:f>
        <x:v>200.20927316734503</x:v>
      </x:c>
      <x:c r="F95" s="33"/>
      <x:c r="G95" s="33"/>
      <x:c r="H95" s="33"/>
      <x:c r="I95" s="33"/>
      <x:c r="J95" s="1"/>
      <x:c r="K95" s="1"/>
    </x:row>
    <x:row r="96" ht="18" customHeight="1">
      <x:c r="A96" s="1"/>
      <x:c r="B96" s="1"/>
      <x:c r="C96" s="1" t="str">
        <x:v>Forward multiple enterprise value</x:v>
      </x:c>
      <x:c r="D96" s="2"/>
      <x:c r="E96" s="8" t="n">
        <x:f>E52*$D42</x:f>
        <x:v>34801.074000000015</x:v>
      </x:c>
      <x:c r="F96" s="2"/>
      <x:c r="G96" s="2"/>
      <x:c r="H96" s="2"/>
      <x:c r="I96" s="2"/>
      <x:c r="J96" s="1"/>
      <x:c r="K96" s="1"/>
    </x:row>
    <x:row r="97" ht="18" customHeight="1">
      <x:c r="A97" s="1"/>
      <x:c r="B97" s="1"/>
      <x:c r="C97" s="1" t="str">
        <x:v>Forward multiple equity value</x:v>
      </x:c>
      <x:c r="D97" s="2"/>
      <x:c r="E97" s="8" t="n">
        <x:f>E96-$D35+$D36</x:f>
        <x:v>27801.074000000015</x:v>
      </x:c>
      <x:c r="F97" s="2"/>
      <x:c r="G97" s="2"/>
      <x:c r="H97" s="2"/>
      <x:c r="I97" s="2"/>
      <x:c r="J97" s="1"/>
      <x:c r="K97" s="1"/>
    </x:row>
    <x:row r="98" ht="18" customHeight="1">
      <x:c r="A98" s="1"/>
      <x:c r="B98" s="1"/>
      <x:c r="C98" s="23" t="str">
        <x:v>Terminal value / DCF enterprise value</x:v>
      </x:c>
      <x:c r="D98" s="24"/>
      <x:c r="E98" s="35" t="n">
        <x:f>(E92/(1+$D39)^5)/E93</x:f>
        <x:v>0.7371228988967123</x:v>
      </x:c>
      <x:c r="F98" s="24"/>
      <x:c r="G98" s="24"/>
      <x:c r="H98" s="24"/>
      <x:c r="I98" s="24"/>
      <x:c r="J98" s="1"/>
      <x:c r="K98" s="1"/>
    </x:row>
    <x:row r="99" ht="18" customHeight="1">
      <x:c r="A99" s="1"/>
      <x:c r="B99" s="1"/>
      <x:c r="C99" s="19" t="str">
        <x:v>MODEL CHECKS</x:v>
      </x:c>
      <x:c r="D99" s="20"/>
      <x:c r="E99" s="20"/>
      <x:c r="F99" s="20"/>
      <x:c r="G99" s="20"/>
      <x:c r="H99" s="20"/>
      <x:c r="I99" s="20"/>
      <x:c r="J99" s="1"/>
      <x:c r="K99" s="1"/>
    </x:row>
    <x:row r="100" ht="18" customHeight="1">
      <x:c r="A100" s="1"/>
      <x:c r="B100" s="1"/>
      <x:c r="C100" s="1" t="str">
        <x:v>Assets less liabilities and equity</x:v>
      </x:c>
      <x:c r="D100" s="33"/>
      <x:c r="E100" s="34" t="n">
        <x:f>E74-E75</x:f>
        <x:v>-3.637978807091713e-12</x:v>
      </x:c>
      <x:c r="F100" s="34" t="n">
        <x:f>F74-F75</x:f>
        <x:v>-7.275957614183426e-12</x:v>
      </x:c>
      <x:c r="G100" s="34" t="n">
        <x:f>G74-G75</x:f>
        <x:v>-7.275957614183426e-12</x:v>
      </x:c>
      <x:c r="H100" s="34" t="n">
        <x:f>H74-H75</x:f>
        <x:v>0</x:v>
      </x:c>
      <x:c r="I100" s="34" t="n">
        <x:f>I74-I75</x:f>
        <x:v>0</x:v>
      </x:c>
      <x:c r="J100" s="1"/>
      <x:c r="K100" s="1"/>
    </x:row>
    <x:row r="101" ht="18" customHeight="1">
      <x:c r="A101" s="1"/>
      <x:c r="B101" s="1"/>
      <x:c r="C101" s="1" t="str">
        <x:v>Cash funding shortfall</x:v>
      </x:c>
      <x:c r="D101" s="33"/>
      <x:c r="E101" s="34" t="n">
        <x:f>MAX(0,-E72)</x:f>
        <x:v>0</x:v>
      </x:c>
      <x:c r="F101" s="34" t="n">
        <x:f>MAX(0,-F72)</x:f>
        <x:v>0</x:v>
      </x:c>
      <x:c r="G101" s="34" t="n">
        <x:f>MAX(0,-G72)</x:f>
        <x:v>0</x:v>
      </x:c>
      <x:c r="H101" s="34" t="n">
        <x:f>MAX(0,-H72)</x:f>
        <x:v>0</x:v>
      </x:c>
      <x:c r="I101" s="34" t="n">
        <x:f>MAX(0,-I72)</x:f>
        <x:v>0</x:v>
      </x:c>
      <x:c r="J101" s="1"/>
      <x:c r="K101" s="1"/>
    </x:row>
    <x:row r="102" ht="18" customHeight="1">
      <x:c r="A102" s="1"/>
      <x:c r="B102" s="1"/>
      <x:c r="C102" s="1" t="str">
        <x:v>Debt below zero</x:v>
      </x:c>
      <x:c r="D102" s="33"/>
      <x:c r="E102" s="34" t="n">
        <x:f>MAX(0,-E67)</x:f>
        <x:v>0</x:v>
      </x:c>
      <x:c r="F102" s="34" t="n">
        <x:f>MAX(0,-F67)</x:f>
        <x:v>0</x:v>
      </x:c>
      <x:c r="G102" s="34" t="n">
        <x:f>MAX(0,-G67)</x:f>
        <x:v>0</x:v>
      </x:c>
      <x:c r="H102" s="34" t="n">
        <x:f>MAX(0,-H67)</x:f>
        <x:v>0</x:v>
      </x:c>
      <x:c r="I102" s="34" t="n">
        <x:f>MAX(0,-I67)</x:f>
        <x:v>0</x:v>
      </x:c>
      <x:c r="J102" s="1"/>
      <x:c r="K102" s="1"/>
    </x:row>
    <x:row r="103" ht="18" customHeight="1">
      <x:c r="A103" s="1"/>
      <x:c r="B103" s="1"/>
      <x:c r="C103" s="1" t="str">
        <x:v>Utilization above 100%</x:v>
      </x:c>
      <x:c r="D103" s="33"/>
      <x:c r="E103" s="34" t="n">
        <x:f>MAX(0,E20-1)</x:f>
        <x:v>0</x:v>
      </x:c>
      <x:c r="F103" s="34" t="n">
        <x:f>MAX(0,F20-1)</x:f>
        <x:v>0</x:v>
      </x:c>
      <x:c r="G103" s="34" t="n">
        <x:f>MAX(0,G20-1)</x:f>
        <x:v>0</x:v>
      </x:c>
      <x:c r="H103" s="34" t="n">
        <x:f>MAX(0,H20-1)</x:f>
        <x:v>0</x:v>
      </x:c>
      <x:c r="I103" s="34" t="n">
        <x:f>MAX(0,I20-1)</x:f>
        <x:v>0</x:v>
      </x:c>
      <x:c r="J103" s="1"/>
      <x:c r="K103" s="1"/>
    </x:row>
    <x:row r="104" ht="18" customHeight="1">
      <x:c r="A104" s="1"/>
      <x:c r="B104" s="1"/>
      <x:c r="C104" s="1" t="str">
        <x:v>Net PP&amp;E below zero</x:v>
      </x:c>
      <x:c r="D104" s="33"/>
      <x:c r="E104" s="34" t="n">
        <x:f>MAX(0,-E66)</x:f>
        <x:v>0</x:v>
      </x:c>
      <x:c r="F104" s="34" t="n">
        <x:f>MAX(0,-F66)</x:f>
        <x:v>0</x:v>
      </x:c>
      <x:c r="G104" s="34" t="n">
        <x:f>MAX(0,-G66)</x:f>
        <x:v>0</x:v>
      </x:c>
      <x:c r="H104" s="34" t="n">
        <x:f>MAX(0,-H66)</x:f>
        <x:v>0</x:v>
      </x:c>
      <x:c r="I104" s="34" t="n">
        <x:f>MAX(0,-I66)</x:f>
        <x:v>0</x:v>
      </x:c>
      <x:c r="J104" s="1"/>
      <x:c r="K104" s="1"/>
    </x:row>
    <x:row r="105" ht="18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1"/>
      <x:c r="K105" s="1"/>
    </x:row>
    <x:row r="106" ht="18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1"/>
      <x:c r="K106" s="1"/>
    </x:row>
    <x:row r="107" ht="18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1"/>
      <x:c r="K107" s="1"/>
    </x:row>
    <x:row r="108" ht="18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1"/>
      <x:c r="K108" s="1"/>
    </x:row>
    <x:row r="109" ht="18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1"/>
      <x:c r="K109" s="1"/>
    </x:row>
    <x:row r="110" ht="25" customHeight="1">
      <x:c r="A110" s="1"/>
      <x:c r="B110" s="1"/>
      <x:c r="C110" s="68" t="str">
        <x:v>SUPPORTING SCHEDULE ASSUMPTIONS</x:v>
      </x:c>
      <x:c r="D110" s="69"/>
      <x:c r="E110" s="69"/>
      <x:c r="F110" s="69"/>
      <x:c r="G110" s="69"/>
      <x:c r="H110" s="69"/>
      <x:c r="I110" s="69"/>
      <x:c r="J110" s="1"/>
      <x:c r="K110" s="1"/>
    </x:row>
    <x:row r="111" ht="30" customHeight="1">
      <x:c r="A111" s="1"/>
      <x:c r="B111" s="1"/>
      <x:c r="C111" s="64"/>
      <x:c r="D111" s="8"/>
      <x:c r="E111" s="8"/>
      <x:c r="F111" s="8"/>
      <x:c r="G111" s="8"/>
      <x:c r="H111" s="8"/>
      <x:c r="I111" s="8"/>
      <x:c r="J111" s="1"/>
      <x:c r="K111" s="1"/>
    </x:row>
    <x:row r="112" ht="30" customHeight="1">
      <x:c r="A112" s="1"/>
      <x:c r="B112" s="1"/>
      <x:c r="C112" s="64"/>
      <x:c r="D112" s="8"/>
      <x:c r="E112" s="8"/>
      <x:c r="F112" s="8"/>
      <x:c r="G112" s="8"/>
      <x:c r="H112" s="8"/>
      <x:c r="I112" s="8"/>
      <x:c r="J112" s="1"/>
      <x:c r="K112" s="1"/>
    </x:row>
    <x:row r="113" ht="30" customHeight="1">
      <x:c r="A113" s="1"/>
      <x:c r="B113" s="1"/>
      <x:c r="C113" s="64"/>
      <x:c r="D113" s="8"/>
      <x:c r="E113" s="8"/>
      <x:c r="F113" s="8"/>
      <x:c r="G113" s="8"/>
      <x:c r="H113" s="8"/>
      <x:c r="I113" s="8"/>
      <x:c r="J113" s="1"/>
      <x:c r="K113" s="1"/>
    </x:row>
    <x:row r="114" ht="30" customHeight="1">
      <x:c r="A114" s="1"/>
      <x:c r="B114" s="1"/>
      <x:c r="C114" s="64" t="str">
        <x:v>Current-year capex depreciation fraction</x:v>
      </x:c>
      <x:c r="D114" s="72" t="n">
        <x:v>0</x:v>
      </x:c>
      <x:c r="E114" s="8"/>
      <x:c r="F114" s="8"/>
      <x:c r="G114" s="8"/>
      <x:c r="H114" s="8"/>
      <x:c r="I114" s="8"/>
      <x:c r="J114" s="1"/>
      <x:c r="K114" s="1"/>
    </x:row>
    <x:row r="115" ht="30" customHeight="1">
      <x:c r="A115" s="1"/>
      <x:c r="B115" s="1"/>
      <x:c r="C115" s="64" t="str">
        <x:v>Debt movement interest weighting</x:v>
      </x:c>
      <x:c r="D115" s="72" t="n">
        <x:v>0</x:v>
      </x:c>
      <x:c r="E115" s="8"/>
      <x:c r="F115" s="8"/>
      <x:c r="G115" s="8"/>
      <x:c r="H115" s="8"/>
      <x:c r="I115" s="8"/>
      <x:c r="J115" s="1"/>
      <x:c r="K115" s="1" t="str">
        <x:v>0 = opening debt interest; 0.5 = mid-year movements; 1 = full-year movements.</x:v>
      </x:c>
    </x:row>
    <x:row r="116" ht="30" customHeight="1">
      <x:c r="A116" s="1"/>
      <x:c r="B116" s="1"/>
      <x:c r="C116" s="64" t="str">
        <x:v>Opening tax losses available for use</x:v>
      </x:c>
      <x:c r="D116" s="74" t="n">
        <x:v>0</x:v>
      </x:c>
      <x:c r="E116" s="8"/>
      <x:c r="F116" s="8"/>
      <x:c r="G116" s="8"/>
      <x:c r="H116" s="8"/>
      <x:c r="I116" s="8"/>
      <x:c r="J116" s="1"/>
      <x:c r="K116" s="1"/>
    </x:row>
    <x:row r="117" ht="30" customHeight="1">
      <x:c r="A117" s="1"/>
      <x:c r="B117" s="1"/>
      <x:c r="C117" s="64" t="str">
        <x:v>Tax loss utilization share of positive PBT</x:v>
      </x:c>
      <x:c r="D117" s="72" t="n">
        <x:v>1</x:v>
      </x:c>
      <x:c r="E117" s="8"/>
      <x:c r="F117" s="8"/>
      <x:c r="G117" s="8"/>
      <x:c r="H117" s="8"/>
      <x:c r="I117" s="8"/>
      <x:c r="J117" s="1"/>
      <x:c r="K117" s="1" t="str">
        <x:v>Simplified cash tax schedule. Check company-specific eligibility, expiry, MAT and deferred tax separately.</x:v>
      </x:c>
    </x:row>
    <x:row r="118" ht="30" customHeight="1">
      <x:c r="A118" s="1"/>
      <x:c r="B118" s="1"/>
      <x:c r="C118" s="64"/>
      <x:c r="D118" s="8"/>
      <x:c r="E118" s="8"/>
      <x:c r="F118" s="8"/>
      <x:c r="G118" s="8"/>
      <x:c r="H118" s="8"/>
      <x:c r="I118" s="8"/>
      <x:c r="J118" s="1"/>
      <x:c r="K118" s="1"/>
    </x:row>
    <x:row r="119" ht="25" customHeight="1">
      <x:c r="A119" s="1"/>
      <x:c r="B119" s="1"/>
      <x:c r="C119" s="68" t="str">
        <x:v>DEBT AND INTEREST SCHEDULE</x:v>
      </x:c>
      <x:c r="D119" s="69"/>
      <x:c r="E119" s="69"/>
      <x:c r="F119" s="69"/>
      <x:c r="G119" s="69"/>
      <x:c r="H119" s="69"/>
      <x:c r="I119" s="69"/>
      <x:c r="J119" s="1"/>
      <x:c r="K119" s="1"/>
    </x:row>
    <x:row r="120" ht="30" customHeight="1">
      <x:c r="A120" s="1"/>
      <x:c r="B120" s="1"/>
      <x:c r="C120" s="64" t="str">
        <x:v>Opening debt balance</x:v>
      </x:c>
      <x:c r="D120" s="8"/>
      <x:c r="E120" s="8" t="n">
        <x:f>D35</x:f>
        <x:v>8500</x:v>
      </x:c>
      <x:c r="F120" s="8" t="n">
        <x:f>E123</x:f>
        <x:v>7650</x:v>
      </x:c>
      <x:c r="G120" s="8" t="n">
        <x:f>F123</x:f>
        <x:v>6800</x:v>
      </x:c>
      <x:c r="H120" s="8" t="n">
        <x:f>G123</x:f>
        <x:v>5950</x:v>
      </x:c>
      <x:c r="I120" s="8" t="n">
        <x:f>H123</x:f>
        <x:v>5100</x:v>
      </x:c>
      <x:c r="J120" s="1"/>
      <x:c r="K120" s="1"/>
    </x:row>
    <x:row r="121" ht="30" customHeight="1">
      <x:c r="A121" s="1"/>
      <x:c r="B121" s="1"/>
      <x:c r="C121" s="64" t="str">
        <x:v>Debt drawn</x:v>
      </x:c>
      <x:c r="D121" s="8"/>
      <x:c r="E121" s="8" t="n">
        <x:f>E30</x:f>
        <x:v>0</x:v>
      </x:c>
      <x:c r="F121" s="8" t="n">
        <x:f>F30</x:f>
        <x:v>0</x:v>
      </x:c>
      <x:c r="G121" s="8" t="n">
        <x:f>G30</x:f>
        <x:v>0</x:v>
      </x:c>
      <x:c r="H121" s="8" t="n">
        <x:f>H30</x:f>
        <x:v>0</x:v>
      </x:c>
      <x:c r="I121" s="8" t="n">
        <x:f>I30</x:f>
        <x:v>0</x:v>
      </x:c>
      <x:c r="J121" s="1"/>
      <x:c r="K121" s="1"/>
    </x:row>
    <x:row r="122" ht="30" customHeight="1">
      <x:c r="A122" s="1"/>
      <x:c r="B122" s="1"/>
      <x:c r="C122" s="64" t="str">
        <x:v>Debt principal repaid</x:v>
      </x:c>
      <x:c r="D122" s="8"/>
      <x:c r="E122" s="8" t="n">
        <x:f>E31</x:f>
        <x:v>850</x:v>
      </x:c>
      <x:c r="F122" s="8" t="n">
        <x:f>F31</x:f>
        <x:v>850</x:v>
      </x:c>
      <x:c r="G122" s="8" t="n">
        <x:f>G31</x:f>
        <x:v>850</x:v>
      </x:c>
      <x:c r="H122" s="8" t="n">
        <x:f>H31</x:f>
        <x:v>850</x:v>
      </x:c>
      <x:c r="I122" s="8" t="n">
        <x:f>I31</x:f>
        <x:v>850</x:v>
      </x:c>
      <x:c r="J122" s="1"/>
      <x:c r="K122" s="1"/>
    </x:row>
    <x:row r="123" ht="30" customHeight="1">
      <x:c r="A123" s="1"/>
      <x:c r="B123" s="1"/>
      <x:c r="C123" s="64" t="str">
        <x:v>Closing debt balance</x:v>
      </x:c>
      <x:c r="D123" s="8"/>
      <x:c r="E123" s="8" t="n">
        <x:f>E120+E121-E122</x:f>
        <x:v>7650</x:v>
      </x:c>
      <x:c r="F123" s="8" t="n">
        <x:f>F120+F121-F122</x:f>
        <x:v>6800</x:v>
      </x:c>
      <x:c r="G123" s="8" t="n">
        <x:f>G120+G121-G122</x:f>
        <x:v>5950</x:v>
      </x:c>
      <x:c r="H123" s="8" t="n">
        <x:f>H120+H121-H122</x:f>
        <x:v>5100</x:v>
      </x:c>
      <x:c r="I123" s="8" t="n">
        <x:f>I120+I121-I122</x:f>
        <x:v>4250</x:v>
      </x:c>
      <x:c r="J123" s="1"/>
      <x:c r="K123" s="1"/>
    </x:row>
    <x:row r="124" ht="30" customHeight="1">
      <x:c r="A124" s="1"/>
      <x:c r="B124" s="1"/>
      <x:c r="C124" s="64" t="str">
        <x:v>Interest-bearing debt base</x:v>
      </x:c>
      <x:c r="D124" s="8"/>
      <x:c r="E124" s="8" t="n">
        <x:f>E120+(E121-E122)*$D$115</x:f>
        <x:v>8500</x:v>
      </x:c>
      <x:c r="F124" s="8" t="n">
        <x:f>F120+(F121-F122)*$D$115</x:f>
        <x:v>7650</x:v>
      </x:c>
      <x:c r="G124" s="8" t="n">
        <x:f>G120+(G121-G122)*$D$115</x:f>
        <x:v>6800</x:v>
      </x:c>
      <x:c r="H124" s="8" t="n">
        <x:f>H120+(H121-H122)*$D$115</x:f>
        <x:v>5950</x:v>
      </x:c>
      <x:c r="I124" s="8" t="n">
        <x:f>I120+(I121-I122)*$D$115</x:f>
        <x:v>5100</x:v>
      </x:c>
      <x:c r="J124" s="1"/>
      <x:c r="K124" s="1"/>
    </x:row>
    <x:row r="125" ht="30" customHeight="1">
      <x:c r="A125" s="1"/>
      <x:c r="B125" s="1"/>
      <x:c r="C125" s="64" t="str">
        <x:v>Scheduled interest expense</x:v>
      </x:c>
      <x:c r="D125" s="8"/>
      <x:c r="E125" s="8" t="n">
        <x:f>E124*E29</x:f>
        <x:v>722.5</x:v>
      </x:c>
      <x:c r="F125" s="8" t="n">
        <x:f>F124*F29</x:f>
        <x:v>650.25</x:v>
      </x:c>
      <x:c r="G125" s="8" t="n">
        <x:f>G124*G29</x:f>
        <x:v>578</x:v>
      </x:c>
      <x:c r="H125" s="8" t="n">
        <x:f>H124*H29</x:f>
        <x:v>505.75000000000006</x:v>
      </x:c>
      <x:c r="I125" s="8" t="n">
        <x:f>I124*I29</x:f>
        <x:v>433.50000000000006</x:v>
      </x:c>
      <x:c r="J125" s="1"/>
      <x:c r="K125" s="1"/>
    </x:row>
    <x:row r="126" ht="30" customHeight="1">
      <x:c r="A126" s="1"/>
      <x:c r="B126" s="1"/>
      <x:c r="C126" s="64"/>
      <x:c r="D126" s="8"/>
      <x:c r="E126" s="8"/>
      <x:c r="F126" s="8"/>
      <x:c r="G126" s="8"/>
      <x:c r="H126" s="8"/>
      <x:c r="I126" s="8"/>
      <x:c r="J126" s="1"/>
      <x:c r="K126" s="1"/>
    </x:row>
    <x:row r="127" ht="30" customHeight="1">
      <x:c r="A127" s="1"/>
      <x:c r="B127" s="1"/>
      <x:c r="C127" s="64"/>
      <x:c r="D127" s="8"/>
      <x:c r="E127" s="8"/>
      <x:c r="F127" s="8"/>
      <x:c r="G127" s="8"/>
      <x:c r="H127" s="8"/>
      <x:c r="I127" s="8"/>
      <x:c r="J127" s="1"/>
      <x:c r="K127" s="1"/>
    </x:row>
    <x:row r="128" ht="30" customHeight="1">
      <x:c r="A128" s="1"/>
      <x:c r="B128" s="1"/>
      <x:c r="C128" s="64"/>
      <x:c r="D128" s="8"/>
      <x:c r="E128" s="8"/>
      <x:c r="F128" s="8"/>
      <x:c r="G128" s="8"/>
      <x:c r="H128" s="8"/>
      <x:c r="I128" s="8"/>
      <x:c r="J128" s="1"/>
      <x:c r="K128" s="1"/>
    </x:row>
    <x:row r="129" ht="25" customHeight="1">
      <x:c r="A129" s="1"/>
      <x:c r="B129" s="1"/>
      <x:c r="C129" s="68" t="str">
        <x:v>CAPEX AND DEPRECIATION SCHEDULE</x:v>
      </x:c>
      <x:c r="D129" s="69"/>
      <x:c r="E129" s="69"/>
      <x:c r="F129" s="69"/>
      <x:c r="G129" s="69"/>
      <x:c r="H129" s="69"/>
      <x:c r="I129" s="69"/>
      <x:c r="J129" s="1"/>
      <x:c r="K129" s="1"/>
    </x:row>
    <x:row r="130" ht="30" customHeight="1">
      <x:c r="A130" s="1"/>
      <x:c r="B130" s="1"/>
      <x:c r="C130" s="64" t="str">
        <x:v>Opening net property plant and equipment</x:v>
      </x:c>
      <x:c r="D130" s="8"/>
      <x:c r="E130" s="8" t="n">
        <x:f>D34</x:f>
        <x:v>22000</x:v>
      </x:c>
      <x:c r="F130" s="8" t="n">
        <x:f>E135</x:f>
        <x:v>22590.678</x:v>
      </x:c>
      <x:c r="G130" s="8" t="n">
        <x:f>F135</x:f>
        <x:v>23302.1531358</x:v>
      </x:c>
      <x:c r="H130" s="8" t="n">
        <x:f>G135</x:f>
        <x:v>24138.30881163438</x:v>
      </x:c>
      <x:c r="I130" s="8" t="n">
        <x:f>H135</x:f>
        <x:v>25103.695606845755</x:v>
      </x:c>
      <x:c r="J130" s="1"/>
      <x:c r="K130" s="1"/>
    </x:row>
    <x:row r="131" ht="30" customHeight="1">
      <x:c r="A131" s="1"/>
      <x:c r="B131" s="1"/>
      <x:c r="C131" s="64" t="str">
        <x:v>Capital expenditure added</x:v>
      </x:c>
      <x:c r="D131" s="8"/>
      <x:c r="E131" s="8" t="n">
        <x:f>E65</x:f>
        <x:v>2130.678</x:v>
      </x:c>
      <x:c r="F131" s="8" t="n">
        <x:f>F65</x:f>
        <x:v>2292.8225957999994</x:v>
      </x:c>
      <x:c r="G131" s="8" t="n">
        <x:f>G65</x:f>
        <x:v>2467.30639534038</x:v>
      </x:c>
      <x:c r="H131" s="8" t="n">
        <x:f>H65</x:f>
        <x:v>2655.068412025783</x:v>
      </x:c>
      <x:c r="I131" s="8" t="n">
        <x:f>I65</x:f>
        <x:v>2857.1191181809445</x:v>
      </x:c>
      <x:c r="J131" s="1"/>
      <x:c r="K131" s="1"/>
    </x:row>
    <x:row r="132" ht="30" customHeight="1">
      <x:c r="A132" s="1"/>
      <x:c r="B132" s="1"/>
      <x:c r="C132" s="64" t="str">
        <x:v>Depreciation on opening assets</x:v>
      </x:c>
      <x:c r="D132" s="8"/>
      <x:c r="E132" s="8" t="n">
        <x:f>E130*E24</x:f>
        <x:v>1540.0000000000002</x:v>
      </x:c>
      <x:c r="F132" s="8" t="n">
        <x:f>F130*F24</x:f>
        <x:v>1581.3474600000002</x:v>
      </x:c>
      <x:c r="G132" s="8" t="n">
        <x:f>G130*G24</x:f>
        <x:v>1631.150719506</x:v>
      </x:c>
      <x:c r="H132" s="8" t="n">
        <x:f>H130*H24</x:f>
        <x:v>1689.6816168144067</x:v>
      </x:c>
      <x:c r="I132" s="8" t="n">
        <x:f>I130*I24</x:f>
        <x:v>1757.258692479203</x:v>
      </x:c>
      <x:c r="J132" s="1"/>
      <x:c r="K132" s="1"/>
    </x:row>
    <x:row r="133" ht="30" customHeight="1">
      <x:c r="A133" s="1"/>
      <x:c r="B133" s="1"/>
      <x:c r="C133" s="64" t="str">
        <x:v>Depreciation on current-year additions</x:v>
      </x:c>
      <x:c r="D133" s="8"/>
      <x:c r="E133" s="8" t="n">
        <x:f>E131*E24*$D$114</x:f>
        <x:v>0</x:v>
      </x:c>
      <x:c r="F133" s="8" t="n">
        <x:f>F131*F24*$D$114</x:f>
        <x:v>0</x:v>
      </x:c>
      <x:c r="G133" s="8" t="n">
        <x:f>G131*G24*$D$114</x:f>
        <x:v>0</x:v>
      </x:c>
      <x:c r="H133" s="8" t="n">
        <x:f>H131*H24*$D$114</x:f>
        <x:v>0</x:v>
      </x:c>
      <x:c r="I133" s="8" t="n">
        <x:f>I131*I24*$D$114</x:f>
        <x:v>0</x:v>
      </x:c>
      <x:c r="J133" s="1"/>
      <x:c r="K133" s="1"/>
    </x:row>
    <x:row r="134" ht="30" customHeight="1">
      <x:c r="A134" s="1"/>
      <x:c r="B134" s="1"/>
      <x:c r="C134" s="64" t="str">
        <x:v>Total depreciation charge</x:v>
      </x:c>
      <x:c r="D134" s="8"/>
      <x:c r="E134" s="8" t="n">
        <x:f>E132+E133</x:f>
        <x:v>1540.0000000000002</x:v>
      </x:c>
      <x:c r="F134" s="8" t="n">
        <x:f>F132+F133</x:f>
        <x:v>1581.3474600000002</x:v>
      </x:c>
      <x:c r="G134" s="8" t="n">
        <x:f>G132+G133</x:f>
        <x:v>1631.150719506</x:v>
      </x:c>
      <x:c r="H134" s="8" t="n">
        <x:f>H132+H133</x:f>
        <x:v>1689.6816168144067</x:v>
      </x:c>
      <x:c r="I134" s="8" t="n">
        <x:f>I132+I133</x:f>
        <x:v>1757.258692479203</x:v>
      </x:c>
      <x:c r="J134" s="1"/>
      <x:c r="K134" s="1"/>
    </x:row>
    <x:row r="135" ht="30" customHeight="1">
      <x:c r="A135" s="1"/>
      <x:c r="B135" s="1"/>
      <x:c r="C135" s="64" t="str">
        <x:v>Closing net property plant and equipment</x:v>
      </x:c>
      <x:c r="D135" s="8"/>
      <x:c r="E135" s="8" t="n">
        <x:f>E130+E131-E134</x:f>
        <x:v>22590.678</x:v>
      </x:c>
      <x:c r="F135" s="8" t="n">
        <x:f>F130+F131-F134</x:f>
        <x:v>23302.1531358</x:v>
      </x:c>
      <x:c r="G135" s="8" t="n">
        <x:f>G130+G131-G134</x:f>
        <x:v>24138.30881163438</x:v>
      </x:c>
      <x:c r="H135" s="8" t="n">
        <x:f>H130+H131-H134</x:f>
        <x:v>25103.695606845755</x:v>
      </x:c>
      <x:c r="I135" s="8" t="n">
        <x:f>I130+I131-I134</x:f>
        <x:v>26203.556032547494</x:v>
      </x:c>
      <x:c r="J135" s="1"/>
      <x:c r="K135" s="1"/>
    </x:row>
    <x:row r="136" ht="30" customHeight="1">
      <x:c r="A136" s="1"/>
      <x:c r="B136" s="1"/>
      <x:c r="C136" s="64"/>
      <x:c r="D136" s="8"/>
      <x:c r="E136" s="8"/>
      <x:c r="F136" s="8"/>
      <x:c r="G136" s="8"/>
      <x:c r="H136" s="8"/>
      <x:c r="I136" s="8"/>
      <x:c r="J136" s="1"/>
      <x:c r="K136" s="1"/>
    </x:row>
    <x:row r="137" ht="30" customHeight="1">
      <x:c r="A137" s="1"/>
      <x:c r="B137" s="1"/>
      <x:c r="C137" s="64"/>
      <x:c r="D137" s="8"/>
      <x:c r="E137" s="8"/>
      <x:c r="F137" s="8"/>
      <x:c r="G137" s="8"/>
      <x:c r="H137" s="8"/>
      <x:c r="I137" s="8"/>
      <x:c r="J137" s="1"/>
      <x:c r="K137" s="1"/>
    </x:row>
    <x:row r="138" ht="30" customHeight="1">
      <x:c r="A138" s="1"/>
      <x:c r="B138" s="1"/>
      <x:c r="C138" s="64"/>
      <x:c r="D138" s="8"/>
      <x:c r="E138" s="8"/>
      <x:c r="F138" s="8"/>
      <x:c r="G138" s="8"/>
      <x:c r="H138" s="8"/>
      <x:c r="I138" s="8"/>
      <x:c r="J138" s="1"/>
      <x:c r="K138" s="1"/>
    </x:row>
    <x:row r="139" ht="25" customHeight="1">
      <x:c r="A139" s="1"/>
      <x:c r="B139" s="1"/>
      <x:c r="C139" s="68" t="str">
        <x:v>CASH TAX SCHEDULE</x:v>
      </x:c>
      <x:c r="D139" s="69"/>
      <x:c r="E139" s="69"/>
      <x:c r="F139" s="69"/>
      <x:c r="G139" s="69"/>
      <x:c r="H139" s="69"/>
      <x:c r="I139" s="69"/>
      <x:c r="J139" s="1"/>
      <x:c r="K139" s="1"/>
    </x:row>
    <x:row r="140" ht="30" customHeight="1">
      <x:c r="A140" s="1"/>
      <x:c r="B140" s="1"/>
      <x:c r="C140" s="64" t="str">
        <x:v>Opening usable tax losses</x:v>
      </x:c>
      <x:c r="D140" s="8"/>
      <x:c r="E140" s="8" t="n">
        <x:f>$D$116</x:f>
        <x:v>0</x:v>
      </x:c>
      <x:c r="F140" s="8" t="n">
        <x:f>E145</x:f>
        <x:v>0</x:v>
      </x:c>
      <x:c r="G140" s="8" t="n">
        <x:f>F145</x:f>
        <x:v>0</x:v>
      </x:c>
      <x:c r="H140" s="8" t="n">
        <x:f>G145</x:f>
        <x:v>0</x:v>
      </x:c>
      <x:c r="I140" s="8" t="n">
        <x:f>H145</x:f>
        <x:v>0</x:v>
      </x:c>
      <x:c r="J140" s="1"/>
      <x:c r="K140" s="1"/>
    </x:row>
    <x:row r="141" ht="30" customHeight="1">
      <x:c r="A141" s="1"/>
      <x:c r="B141" s="1"/>
      <x:c r="C141" s="64" t="str">
        <x:v>Profit before tax for loss utilization</x:v>
      </x:c>
      <x:c r="D141" s="8"/>
      <x:c r="E141" s="8" t="n">
        <x:f>E56</x:f>
        <x:v>2709.082000000002</x:v>
      </x:c>
      <x:c r="F141" s="8" t="n">
        <x:f>F56</x:f>
        <x:v>3118.3219302000007</x:v>
      </x:c>
      <x:c r="G141" s="8" t="n">
        <x:f>G56</x:f>
        <x:v>3547.897536288221</x:v>
      </x:c>
      <x:c r="H141" s="8" t="n">
        <x:f>H56</x:f>
        <x:v>3999.7280112457547</x:v>
      </x:c>
      <x:c r="I141" s="8" t="n">
        <x:f>I56</x:f>
        <x:v>4475.852583276337</x:v>
      </x:c>
      <x:c r="J141" s="1"/>
      <x:c r="K141" s="1"/>
    </x:row>
    <x:row r="142" ht="30" customHeight="1">
      <x:c r="A142" s="1"/>
      <x:c r="B142" s="1"/>
      <x:c r="C142" s="64" t="str">
        <x:v>Tax losses utilized</x:v>
      </x:c>
      <x:c r="D142" s="8"/>
      <x:c r="E142" s="8" t="n">
        <x:f>MIN(E140,MAX(0,E141)*$D$117)</x:f>
        <x:v>0</x:v>
      </x:c>
      <x:c r="F142" s="8" t="n">
        <x:f>MIN(F140,MAX(0,F141)*$D$117)</x:f>
        <x:v>0</x:v>
      </x:c>
      <x:c r="G142" s="8" t="n">
        <x:f>MIN(G140,MAX(0,G141)*$D$117)</x:f>
        <x:v>0</x:v>
      </x:c>
      <x:c r="H142" s="8" t="n">
        <x:f>MIN(H140,MAX(0,H141)*$D$117)</x:f>
        <x:v>0</x:v>
      </x:c>
      <x:c r="I142" s="8" t="n">
        <x:f>MIN(I140,MAX(0,I141)*$D$117)</x:f>
        <x:v>0</x:v>
      </x:c>
      <x:c r="J142" s="1"/>
      <x:c r="K142" s="1"/>
    </x:row>
    <x:row r="143" ht="30" customHeight="1">
      <x:c r="A143" s="1"/>
      <x:c r="B143" s="1"/>
      <x:c r="C143" s="64" t="str">
        <x:v>Taxable profit after loss utilization</x:v>
      </x:c>
      <x:c r="D143" s="8"/>
      <x:c r="E143" s="8" t="n">
        <x:f>MAX(0,E141-E142)</x:f>
        <x:v>2709.082000000002</x:v>
      </x:c>
      <x:c r="F143" s="8" t="n">
        <x:f>MAX(0,F141-F142)</x:f>
        <x:v>3118.3219302000007</x:v>
      </x:c>
      <x:c r="G143" s="8" t="n">
        <x:f>MAX(0,G141-G142)</x:f>
        <x:v>3547.897536288221</x:v>
      </x:c>
      <x:c r="H143" s="8" t="n">
        <x:f>MAX(0,H141-H142)</x:f>
        <x:v>3999.7280112457547</x:v>
      </x:c>
      <x:c r="I143" s="8" t="n">
        <x:f>MAX(0,I141-I142)</x:f>
        <x:v>4475.852583276337</x:v>
      </x:c>
      <x:c r="J143" s="1"/>
      <x:c r="K143" s="1"/>
    </x:row>
    <x:row r="144" ht="30" customHeight="1">
      <x:c r="A144" s="1"/>
      <x:c r="B144" s="1"/>
      <x:c r="C144" s="64" t="str">
        <x:v>Cash income tax after loss utilization</x:v>
      </x:c>
      <x:c r="D144" s="8"/>
      <x:c r="E144" s="8" t="n">
        <x:f>E143*E28</x:f>
        <x:v>677.2705000000005</x:v>
      </x:c>
      <x:c r="F144" s="8" t="n">
        <x:f>F143*F28</x:f>
        <x:v>779.5804825500002</x:v>
      </x:c>
      <x:c r="G144" s="8" t="n">
        <x:f>G143*G28</x:f>
        <x:v>886.9743840720553</x:v>
      </x:c>
      <x:c r="H144" s="8" t="n">
        <x:f>H143*H28</x:f>
        <x:v>999.9320028114387</x:v>
      </x:c>
      <x:c r="I144" s="8" t="n">
        <x:f>I143*I28</x:f>
        <x:v>1118.9631458190843</x:v>
      </x:c>
      <x:c r="J144" s="1"/>
      <x:c r="K144" s="1"/>
    </x:row>
    <x:row r="145" ht="30" customHeight="1">
      <x:c r="A145" s="1"/>
      <x:c r="B145" s="1"/>
      <x:c r="C145" s="64" t="str">
        <x:v>Closing usable tax losses</x:v>
      </x:c>
      <x:c r="D145" s="8"/>
      <x:c r="E145" s="8" t="n">
        <x:f>E140-E142+MAX(0,-E141)</x:f>
        <x:v>0</x:v>
      </x:c>
      <x:c r="F145" s="8" t="n">
        <x:f>F140-F142+MAX(0,-F141)</x:f>
        <x:v>0</x:v>
      </x:c>
      <x:c r="G145" s="8" t="n">
        <x:f>G140-G142+MAX(0,-G141)</x:f>
        <x:v>0</x:v>
      </x:c>
      <x:c r="H145" s="8" t="n">
        <x:f>H140-H142+MAX(0,-H141)</x:f>
        <x:v>0</x:v>
      </x:c>
      <x:c r="I145" s="8" t="n">
        <x:f>I140-I142+MAX(0,-I141)</x:f>
        <x:v>0</x:v>
      </x:c>
      <x:c r="J145" s="1"/>
      <x:c r="K145" s="1"/>
    </x:row>
    <x:row r="146" ht="30" customHeight="1">
      <x:c r="A146" s="1"/>
      <x:c r="B146" s="1"/>
      <x:c r="C146" s="64"/>
      <x:c r="D146" s="8"/>
      <x:c r="E146" s="8"/>
      <x:c r="F146" s="8"/>
      <x:c r="G146" s="8"/>
      <x:c r="H146" s="8"/>
      <x:c r="I146" s="8"/>
      <x:c r="J146" s="1"/>
      <x:c r="K146" s="1"/>
    </x:row>
    <x:row r="147" ht="30" customHeight="1">
      <x:c r="A147" s="1"/>
      <x:c r="B147" s="1"/>
      <x:c r="C147" s="64"/>
      <x:c r="D147" s="8"/>
      <x:c r="E147" s="8"/>
      <x:c r="F147" s="8"/>
      <x:c r="G147" s="8"/>
      <x:c r="H147" s="8"/>
      <x:c r="I147" s="8"/>
      <x:c r="J147" s="1"/>
      <x:c r="K147" s="1"/>
    </x:row>
    <x:row r="148" ht="30" customHeight="1">
      <x:c r="A148" s="1"/>
      <x:c r="B148" s="1"/>
      <x:c r="C148" s="64"/>
      <x:c r="D148" s="8"/>
      <x:c r="E148" s="8"/>
      <x:c r="F148" s="8"/>
      <x:c r="G148" s="8"/>
      <x:c r="H148" s="8"/>
      <x:c r="I148" s="8"/>
      <x:c r="J148" s="1"/>
      <x:c r="K148" s="1"/>
    </x:row>
    <x:row r="149" ht="30" customHeight="1">
      <x:c r="A149" s="1"/>
      <x:c r="B149" s="1"/>
      <x:c r="C149" s="64"/>
      <x:c r="D149" s="8"/>
      <x:c r="E149" s="8"/>
      <x:c r="F149" s="8"/>
      <x:c r="G149" s="8"/>
      <x:c r="H149" s="8"/>
      <x:c r="I149" s="8"/>
      <x:c r="J149" s="1"/>
      <x:c r="K149" s="1"/>
    </x:row>
    <x:row r="150" ht="30" customHeight="1">
      <x:c r="A150" s="1"/>
      <x:c r="B150" s="1"/>
      <x:c r="C150" s="64"/>
      <x:c r="D150" s="8"/>
      <x:c r="E150" s="8"/>
      <x:c r="F150" s="8"/>
      <x:c r="G150" s="8"/>
      <x:c r="H150" s="8"/>
      <x:c r="I150" s="8"/>
      <x:c r="J150" s="1"/>
      <x:c r="K150" s="1"/>
    </x:row>
    <x:row r="151" ht="30" customHeight="1">
      <x:c r="A151" s="1"/>
      <x:c r="B151" s="1"/>
      <x:c r="C151" s="64"/>
      <x:c r="D151" s="8"/>
      <x:c r="E151" s="8"/>
      <x:c r="F151" s="8"/>
      <x:c r="G151" s="8"/>
      <x:c r="H151" s="8"/>
      <x:c r="I151" s="8"/>
      <x:c r="J151" s="1"/>
      <x:c r="K151" s="1"/>
    </x:row>
    <x:row r="152" ht="30" customHeight="1">
      <x:c r="A152" s="1"/>
      <x:c r="B152" s="1"/>
      <x:c r="C152" s="64"/>
      <x:c r="D152" s="8"/>
      <x:c r="E152" s="8"/>
      <x:c r="F152" s="8"/>
      <x:c r="G152" s="8"/>
      <x:c r="H152" s="8"/>
      <x:c r="I152" s="8"/>
      <x:c r="J152" s="1"/>
      <x:c r="K152" s="1"/>
    </x:row>
    <x:row r="153" ht="30" customHeight="1">
      <x:c r="A153" s="1"/>
      <x:c r="B153" s="1"/>
      <x:c r="C153" s="64"/>
      <x:c r="D153" s="8"/>
      <x:c r="E153" s="8"/>
      <x:c r="F153" s="8"/>
      <x:c r="G153" s="8"/>
      <x:c r="H153" s="8"/>
      <x:c r="I153" s="8"/>
      <x:c r="J153" s="1"/>
      <x:c r="K153" s="1"/>
    </x:row>
    <x:row r="154" ht="30" customHeight="1">
      <x:c r="A154" s="1"/>
      <x:c r="B154" s="1"/>
      <x:c r="C154" s="64"/>
      <x:c r="D154" s="8"/>
      <x:c r="E154" s="8"/>
      <x:c r="F154" s="8"/>
      <x:c r="G154" s="8"/>
      <x:c r="H154" s="8"/>
      <x:c r="I154" s="8"/>
      <x:c r="J154" s="1"/>
      <x:c r="K154" s="1"/>
    </x:row>
    <x:row r="155" ht="30" customHeight="1">
      <x:c r="A155" s="1"/>
      <x:c r="B155" s="1"/>
      <x:c r="C155" s="64"/>
      <x:c r="D155" s="8"/>
      <x:c r="E155" s="8"/>
      <x:c r="F155" s="8"/>
      <x:c r="G155" s="8"/>
      <x:c r="H155" s="8"/>
      <x:c r="I155" s="8"/>
      <x:c r="J155" s="1"/>
      <x:c r="K155" s="1"/>
    </x:row>
    <x:row r="156" ht="30" customHeight="1">
      <x:c r="A156" s="1"/>
      <x:c r="B156" s="1"/>
      <x:c r="C156" s="64"/>
      <x:c r="D156" s="8"/>
      <x:c r="E156" s="8"/>
      <x:c r="F156" s="8"/>
      <x:c r="G156" s="8"/>
      <x:c r="H156" s="8"/>
      <x:c r="I156" s="8"/>
      <x:c r="J156" s="1"/>
      <x:c r="K156" s="1"/>
    </x:row>
    <x:row r="157" ht="30" customHeight="1">
      <x:c r="A157" s="1"/>
      <x:c r="B157" s="1"/>
      <x:c r="C157" s="64"/>
      <x:c r="D157" s="8"/>
      <x:c r="E157" s="8"/>
      <x:c r="F157" s="8"/>
      <x:c r="G157" s="8"/>
      <x:c r="H157" s="8"/>
      <x:c r="I157" s="8"/>
      <x:c r="J157" s="1"/>
      <x:c r="K157" s="1"/>
    </x:row>
    <x:row r="158" ht="30" customHeight="1">
      <x:c r="A158" s="1"/>
      <x:c r="B158" s="1"/>
      <x:c r="C158" s="64"/>
      <x:c r="D158" s="8"/>
      <x:c r="E158" s="8"/>
      <x:c r="F158" s="8"/>
      <x:c r="G158" s="8"/>
      <x:c r="H158" s="8"/>
      <x:c r="I158" s="8"/>
      <x:c r="J158" s="1"/>
      <x:c r="K158" s="1"/>
    </x:row>
    <x:row r="159" ht="30" customHeight="1">
      <x:c r="A159" s="1"/>
      <x:c r="B159" s="1"/>
      <x:c r="C159" s="64"/>
      <x:c r="D159" s="8"/>
      <x:c r="E159" s="8"/>
      <x:c r="F159" s="8"/>
      <x:c r="G159" s="8"/>
      <x:c r="H159" s="8"/>
      <x:c r="I159" s="8"/>
      <x:c r="J159" s="1"/>
      <x:c r="K159" s="1"/>
    </x:row>
    <x:row r="160" ht="30" customHeight="1">
      <x:c r="A160" s="1"/>
      <x:c r="B160" s="1"/>
      <x:c r="C160" s="64"/>
      <x:c r="D160" s="8"/>
      <x:c r="E160" s="8"/>
      <x:c r="F160" s="8"/>
      <x:c r="G160" s="8"/>
      <x:c r="H160" s="8"/>
      <x:c r="I160" s="8"/>
      <x:c r="J160" s="1"/>
      <x:c r="K160" s="1"/>
    </x:row>
    <x:row r="161" ht="30" customHeight="1">
      <x:c r="A161" s="1"/>
      <x:c r="B161" s="1"/>
      <x:c r="C161" s="64"/>
      <x:c r="D161" s="8"/>
      <x:c r="E161" s="8"/>
      <x:c r="F161" s="8"/>
      <x:c r="G161" s="8"/>
      <x:c r="H161" s="8"/>
      <x:c r="I161" s="8"/>
      <x:c r="J161" s="1"/>
      <x:c r="K161" s="1"/>
    </x:row>
    <x:row r="162" ht="30" customHeight="1">
      <x:c r="A162" s="1"/>
      <x:c r="B162" s="1"/>
      <x:c r="C162" s="64"/>
      <x:c r="D162" s="8"/>
      <x:c r="E162" s="8"/>
      <x:c r="F162" s="8"/>
      <x:c r="G162" s="8"/>
      <x:c r="H162" s="8"/>
      <x:c r="I162" s="8"/>
      <x:c r="J162" s="1"/>
      <x:c r="K162" s="1"/>
    </x:row>
    <x:row r="163" ht="30" customHeight="1">
      <x:c r="A163" s="1"/>
      <x:c r="B163" s="1"/>
      <x:c r="C163" s="64"/>
      <x:c r="D163" s="8"/>
      <x:c r="E163" s="8"/>
      <x:c r="F163" s="8"/>
      <x:c r="G163" s="8"/>
      <x:c r="H163" s="8"/>
      <x:c r="I163" s="8"/>
      <x:c r="J163" s="1"/>
      <x:c r="K163" s="1"/>
    </x:row>
    <x:row r="164" ht="30" customHeight="1">
      <x:c r="A164" s="1"/>
      <x:c r="B164" s="1"/>
      <x:c r="C164" s="64"/>
      <x:c r="D164" s="8"/>
      <x:c r="E164" s="8"/>
      <x:c r="F164" s="8"/>
      <x:c r="G164" s="8"/>
      <x:c r="H164" s="8"/>
      <x:c r="I164" s="8"/>
      <x:c r="J164" s="1"/>
      <x:c r="K164" s="1"/>
    </x:row>
    <x:row r="165" ht="30" customHeight="1">
      <x:c r="A165" s="1"/>
      <x:c r="B165" s="1"/>
      <x:c r="C165" s="64"/>
      <x:c r="D165" s="8"/>
      <x:c r="E165" s="8"/>
      <x:c r="F165" s="8"/>
      <x:c r="G165" s="8"/>
      <x:c r="H165" s="8"/>
      <x:c r="I165" s="8"/>
      <x:c r="J165" s="1"/>
      <x:c r="K165" s="1"/>
    </x:row>
    <x:row r="166" ht="30" customHeight="1">
      <x:c r="A166" s="1"/>
      <x:c r="B166" s="1"/>
      <x:c r="C166" s="64"/>
      <x:c r="D166" s="8"/>
      <x:c r="E166" s="8"/>
      <x:c r="F166" s="8"/>
      <x:c r="G166" s="8"/>
      <x:c r="H166" s="8"/>
      <x:c r="I166" s="8"/>
      <x:c r="J166" s="1"/>
      <x:c r="K166" s="1"/>
    </x:row>
    <x:row r="167" ht="30" customHeight="1">
      <x:c r="A167" s="1"/>
      <x:c r="B167" s="1"/>
      <x:c r="C167" s="64"/>
      <x:c r="D167" s="8"/>
      <x:c r="E167" s="8"/>
      <x:c r="F167" s="8"/>
      <x:c r="G167" s="8"/>
      <x:c r="H167" s="8"/>
      <x:c r="I167" s="8"/>
      <x:c r="J167" s="1"/>
      <x:c r="K167" s="1"/>
    </x:row>
    <x:row r="168" ht="30" customHeight="1">
      <x:c r="A168" s="1"/>
      <x:c r="B168" s="1"/>
      <x:c r="C168" s="64"/>
      <x:c r="D168" s="8"/>
      <x:c r="E168" s="8"/>
      <x:c r="F168" s="8"/>
      <x:c r="G168" s="8"/>
      <x:c r="H168" s="8"/>
      <x:c r="I168" s="8"/>
      <x:c r="J168" s="1"/>
      <x:c r="K168" s="1"/>
    </x:row>
    <x:row r="169" ht="30" customHeight="1">
      <x:c r="A169" s="1"/>
      <x:c r="B169" s="1"/>
      <x:c r="C169" s="64"/>
      <x:c r="D169" s="8"/>
      <x:c r="E169" s="8"/>
      <x:c r="F169" s="8"/>
      <x:c r="G169" s="8"/>
      <x:c r="H169" s="8"/>
      <x:c r="I169" s="8"/>
      <x:c r="J169" s="1"/>
      <x:c r="K169" s="1"/>
    </x:row>
    <x:row r="170" ht="30" customHeight="1">
      <x:c r="A170" s="1"/>
      <x:c r="B170" s="1"/>
      <x:c r="C170" s="64"/>
      <x:c r="D170" s="8"/>
      <x:c r="E170" s="8"/>
      <x:c r="F170" s="8"/>
      <x:c r="G170" s="8"/>
      <x:c r="H170" s="8"/>
      <x:c r="I170" s="8"/>
      <x:c r="J170" s="1"/>
      <x:c r="K170" s="1"/>
    </x:row>
    <x:row r="171" ht="30" customHeight="1">
      <x:c r="A171" s="1"/>
      <x:c r="B171" s="1"/>
      <x:c r="C171" s="64"/>
      <x:c r="D171" s="8"/>
      <x:c r="E171" s="8"/>
      <x:c r="F171" s="8"/>
      <x:c r="G171" s="8"/>
      <x:c r="H171" s="8"/>
      <x:c r="I171" s="8"/>
      <x:c r="J171" s="1"/>
      <x:c r="K171" s="1"/>
    </x:row>
    <x:row r="172" ht="30" customHeight="1">
      <x:c r="A172" s="1"/>
      <x:c r="B172" s="1"/>
      <x:c r="C172" s="64"/>
      <x:c r="D172" s="8"/>
      <x:c r="E172" s="8"/>
      <x:c r="F172" s="8"/>
      <x:c r="G172" s="8"/>
      <x:c r="H172" s="8"/>
      <x:c r="I172" s="8"/>
      <x:c r="J172" s="1"/>
      <x:c r="K172" s="1"/>
    </x:row>
    <x:row r="173" ht="30" customHeight="1">
      <x:c r="A173" s="1"/>
      <x:c r="B173" s="1"/>
      <x:c r="C173" s="64"/>
      <x:c r="D173" s="8"/>
      <x:c r="E173" s="8"/>
      <x:c r="F173" s="8"/>
      <x:c r="G173" s="8"/>
      <x:c r="H173" s="8"/>
      <x:c r="I173" s="8"/>
      <x:c r="J173" s="1"/>
      <x:c r="K173" s="1"/>
    </x:row>
    <x:row r="174" ht="30" customHeight="1">
      <x:c r="A174" s="1"/>
      <x:c r="B174" s="1"/>
      <x:c r="C174" s="64"/>
      <x:c r="D174" s="8"/>
      <x:c r="E174" s="8"/>
      <x:c r="F174" s="8"/>
      <x:c r="G174" s="8"/>
      <x:c r="H174" s="8"/>
      <x:c r="I174" s="8"/>
      <x:c r="J174" s="1"/>
      <x:c r="K174" s="1"/>
    </x:row>
    <x:row r="175" ht="30" customHeight="1">
      <x:c r="A175" s="1"/>
      <x:c r="B175" s="1"/>
      <x:c r="C175" s="64"/>
      <x:c r="D175" s="8"/>
      <x:c r="E175" s="8"/>
      <x:c r="F175" s="8"/>
      <x:c r="G175" s="8"/>
      <x:c r="H175" s="8"/>
      <x:c r="I175" s="8"/>
      <x:c r="J175" s="1"/>
      <x:c r="K175" s="1"/>
    </x:row>
    <x:row r="176" ht="30" customHeight="1">
      <x:c r="A176" s="1"/>
      <x:c r="B176" s="1"/>
      <x:c r="C176" s="64"/>
      <x:c r="D176" s="8"/>
      <x:c r="E176" s="8"/>
      <x:c r="F176" s="8"/>
      <x:c r="G176" s="8"/>
      <x:c r="H176" s="8"/>
      <x:c r="I176" s="8"/>
      <x:c r="J176" s="1"/>
      <x:c r="K176" s="1"/>
    </x:row>
    <x:row r="177" ht="30" customHeight="1">
      <x:c r="A177" s="1"/>
      <x:c r="B177" s="1"/>
      <x:c r="C177" s="64"/>
      <x:c r="D177" s="8"/>
      <x:c r="E177" s="8"/>
      <x:c r="F177" s="8"/>
      <x:c r="G177" s="8"/>
      <x:c r="H177" s="8"/>
      <x:c r="I177" s="8"/>
      <x:c r="J177" s="1"/>
      <x:c r="K177" s="1"/>
    </x:row>
    <x:row r="178" ht="30" customHeight="1">
      <x:c r="A178" s="1"/>
      <x:c r="B178" s="1"/>
      <x:c r="C178" s="64"/>
      <x:c r="D178" s="8"/>
      <x:c r="E178" s="8"/>
      <x:c r="F178" s="8"/>
      <x:c r="G178" s="8"/>
      <x:c r="H178" s="8"/>
      <x:c r="I178" s="8"/>
      <x:c r="J178" s="1"/>
      <x:c r="K178" s="1"/>
    </x:row>
    <x:row r="179" ht="25" customHeight="1">
      <x:c r="A179" s="1"/>
      <x:c r="B179" s="1"/>
      <x:c r="C179" s="68" t="str">
        <x:v>MODEL CHECKS</x:v>
      </x:c>
      <x:c r="D179" s="69"/>
      <x:c r="E179" s="69"/>
      <x:c r="F179" s="69"/>
      <x:c r="G179" s="69"/>
      <x:c r="H179" s="69"/>
      <x:c r="I179" s="69"/>
      <x:c r="J179" s="1"/>
      <x:c r="K179" s="1"/>
    </x:row>
    <x:row r="180" ht="30" customHeight="1">
      <x:c r="A180" s="1"/>
      <x:c r="B180" s="1"/>
      <x:c r="C180" s="64" t="str">
        <x:v>Installed crude steel capacity (million tonnes) — seed input outside bounds</x:v>
      </x:c>
      <x:c r="D180" s="8"/>
      <x:c r="E180" s="75" t="n">
        <x:f>IF(COUNT(D10)=0,1,IF(D10&lt;0,1,0))</x:f>
        <x:v>0</x:v>
      </x:c>
      <x:c r="F180" s="75" t="n">
        <x:f>IF(COUNT(D10)=0,1,IF(D10&lt;0,1,0))</x:f>
        <x:v>0</x:v>
      </x:c>
      <x:c r="G180" s="75" t="n">
        <x:f>IF(COUNT(D10)=0,1,IF(D10&lt;0,1,0))</x:f>
        <x:v>0</x:v>
      </x:c>
      <x:c r="H180" s="75" t="n">
        <x:f>IF(COUNT(D10)=0,1,IF(D10&lt;0,1,0))</x:f>
        <x:v>0</x:v>
      </x:c>
      <x:c r="I180" s="75" t="n">
        <x:f>IF(COUNT(D10)=0,1,IF(D10&lt;0,1,0))</x:f>
        <x:v>0</x:v>
      </x:c>
      <x:c r="J180" s="1"/>
      <x:c r="K180" s="1"/>
    </x:row>
    <x:row r="181" ht="30" customHeight="1">
      <x:c r="A181" s="1"/>
      <x:c r="B181" s="1"/>
      <x:c r="C181" s="64" t="str">
        <x:v>Net realization (INR per tonne) — seed input outside bounds</x:v>
      </x:c>
      <x:c r="D181" s="8"/>
      <x:c r="E181" s="75" t="n">
        <x:f>IF(COUNT(D11)=0,1,IF(D11&lt;0,1,0))</x:f>
        <x:v>0</x:v>
      </x:c>
      <x:c r="F181" s="75" t="n">
        <x:f>IF(COUNT(D11)=0,1,IF(D11&lt;0,1,0))</x:f>
        <x:v>0</x:v>
      </x:c>
      <x:c r="G181" s="75" t="n">
        <x:f>IF(COUNT(D11)=0,1,IF(D11&lt;0,1,0))</x:f>
        <x:v>0</x:v>
      </x:c>
      <x:c r="H181" s="75" t="n">
        <x:f>IF(COUNT(D11)=0,1,IF(D11&lt;0,1,0))</x:f>
        <x:v>0</x:v>
      </x:c>
      <x:c r="I181" s="75" t="n">
        <x:f>IF(COUNT(D11)=0,1,IF(D11&lt;0,1,0))</x:f>
        <x:v>0</x:v>
      </x:c>
      <x:c r="J181" s="1"/>
      <x:c r="K181" s="1"/>
    </x:row>
    <x:row r="182" ht="30" customHeight="1">
      <x:c r="A182" s="1"/>
      <x:c r="B182" s="1"/>
      <x:c r="C182" s="64" t="str">
        <x:v>Operating scale growth input outside bounds</x:v>
      </x:c>
      <x:c r="D182" s="8"/>
      <x:c r="E182" s="75" t="n">
        <x:f>IF(COUNT(E12)=0,1,IF(E12&lt;-1,1,0))</x:f>
        <x:v>0</x:v>
      </x:c>
      <x:c r="F182" s="75" t="n">
        <x:f>IF(COUNT(F12)=0,1,IF(F12&lt;-1,1,0))</x:f>
        <x:v>0</x:v>
      </x:c>
      <x:c r="G182" s="75" t="n">
        <x:f>IF(COUNT(G12)=0,1,IF(G12&lt;-1,1,0))</x:f>
        <x:v>0</x:v>
      </x:c>
      <x:c r="H182" s="75" t="n">
        <x:f>IF(COUNT(H12)=0,1,IF(H12&lt;-1,1,0))</x:f>
        <x:v>0</x:v>
      </x:c>
      <x:c r="I182" s="75" t="n">
        <x:f>IF(COUNT(I12)=0,1,IF(I12&lt;-1,1,0))</x:f>
        <x:v>0</x:v>
      </x:c>
      <x:c r="J182" s="1"/>
      <x:c r="K182" s="1"/>
    </x:row>
    <x:row r="183" ht="30" customHeight="1">
      <x:c r="A183" s="1"/>
      <x:c r="B183" s="1"/>
      <x:c r="C183" s="64" t="str">
        <x:v>Realization growth input outside bounds</x:v>
      </x:c>
      <x:c r="D183" s="8"/>
      <x:c r="E183" s="75" t="n">
        <x:f>IF(COUNT(E16)=0,1,IF(E16&lt;-1,1,0))</x:f>
        <x:v>0</x:v>
      </x:c>
      <x:c r="F183" s="75" t="n">
        <x:f>IF(COUNT(F16)=0,1,IF(F16&lt;-1,1,0))</x:f>
        <x:v>0</x:v>
      </x:c>
      <x:c r="G183" s="75" t="n">
        <x:f>IF(COUNT(G16)=0,1,IF(G16&lt;-1,1,0))</x:f>
        <x:v>0</x:v>
      </x:c>
      <x:c r="H183" s="75" t="n">
        <x:f>IF(COUNT(H16)=0,1,IF(H16&lt;-1,1,0))</x:f>
        <x:v>0</x:v>
      </x:c>
      <x:c r="I183" s="75" t="n">
        <x:f>IF(COUNT(I16)=0,1,IF(I16&lt;-1,1,0))</x:f>
        <x:v>0</x:v>
      </x:c>
      <x:c r="J183" s="1"/>
      <x:c r="K183" s="1"/>
    </x:row>
    <x:row r="184" ht="30" customHeight="1">
      <x:c r="A184" s="1"/>
      <x:c r="B184" s="1"/>
      <x:c r="C184" s="64" t="str">
        <x:v>Capacity utilization input outside bounds</x:v>
      </x:c>
      <x:c r="D184" s="8"/>
      <x:c r="E184" s="75" t="n">
        <x:f>IF(COUNT(E20)=0,1,IF(E20&lt;0,1,IF(E20&gt;1,1,0)))</x:f>
        <x:v>0</x:v>
      </x:c>
      <x:c r="F184" s="75" t="n">
        <x:f>IF(COUNT(F20)=0,1,IF(F20&lt;0,1,IF(F20&gt;1,1,0)))</x:f>
        <x:v>0</x:v>
      </x:c>
      <x:c r="G184" s="75" t="n">
        <x:f>IF(COUNT(G20)=0,1,IF(G20&lt;0,1,IF(G20&gt;1,1,0)))</x:f>
        <x:v>0</x:v>
      </x:c>
      <x:c r="H184" s="75" t="n">
        <x:f>IF(COUNT(H20)=0,1,IF(H20&lt;0,1,IF(H20&gt;1,1,0)))</x:f>
        <x:v>0</x:v>
      </x:c>
      <x:c r="I184" s="75" t="n">
        <x:f>IF(COUNT(I20)=0,1,IF(I20&lt;0,1,IF(I20&gt;1,1,0)))</x:f>
        <x:v>0</x:v>
      </x:c>
      <x:c r="J184" s="1"/>
      <x:c r="K184" s="1"/>
    </x:row>
    <x:row r="185" ht="30" customHeight="1">
      <x:c r="A185" s="1"/>
      <x:c r="B185" s="1"/>
      <x:c r="C185" s="64" t="str">
        <x:v>Ore, coking coal and conversion / revenue input outside bounds</x:v>
      </x:c>
      <x:c r="D185" s="8"/>
      <x:c r="E185" s="75" t="n">
        <x:f>IF(COUNT(E21)=0,1,IF(E21&lt;0,1,0))</x:f>
        <x:v>0</x:v>
      </x:c>
      <x:c r="F185" s="75" t="n">
        <x:f>IF(COUNT(F21)=0,1,IF(F21&lt;0,1,0))</x:f>
        <x:v>0</x:v>
      </x:c>
      <x:c r="G185" s="75" t="n">
        <x:f>IF(COUNT(G21)=0,1,IF(G21&lt;0,1,0))</x:f>
        <x:v>0</x:v>
      </x:c>
      <x:c r="H185" s="75" t="n">
        <x:f>IF(COUNT(H21)=0,1,IF(H21&lt;0,1,0))</x:f>
        <x:v>0</x:v>
      </x:c>
      <x:c r="I185" s="75" t="n">
        <x:f>IF(COUNT(I21)=0,1,IF(I21&lt;0,1,0))</x:f>
        <x:v>0</x:v>
      </x:c>
      <x:c r="J185" s="1"/>
      <x:c r="K185" s="1"/>
    </x:row>
    <x:row r="186" ht="30" customHeight="1">
      <x:c r="A186" s="1"/>
      <x:c r="B186" s="1"/>
      <x:c r="C186" s="64" t="str">
        <x:v>Other cash operating costs / revenue input outside bounds</x:v>
      </x:c>
      <x:c r="D186" s="8"/>
      <x:c r="E186" s="75" t="n">
        <x:f>IF(COUNT(E22)=0,1,IF(E22&lt;0,1,0))</x:f>
        <x:v>0</x:v>
      </x:c>
      <x:c r="F186" s="75" t="n">
        <x:f>IF(COUNT(F22)=0,1,IF(F22&lt;0,1,0))</x:f>
        <x:v>0</x:v>
      </x:c>
      <x:c r="G186" s="75" t="n">
        <x:f>IF(COUNT(G22)=0,1,IF(G22&lt;0,1,0))</x:f>
        <x:v>0</x:v>
      </x:c>
      <x:c r="H186" s="75" t="n">
        <x:f>IF(COUNT(H22)=0,1,IF(H22&lt;0,1,0))</x:f>
        <x:v>0</x:v>
      </x:c>
      <x:c r="I186" s="75" t="n">
        <x:f>IF(COUNT(I22)=0,1,IF(I22&lt;0,1,0))</x:f>
        <x:v>0</x:v>
      </x:c>
      <x:c r="J186" s="1"/>
      <x:c r="K186" s="1"/>
    </x:row>
    <x:row r="187" ht="30" customHeight="1">
      <x:c r="A187" s="1"/>
      <x:c r="B187" s="1"/>
      <x:c r="C187" s="64" t="str">
        <x:v>Cash capex / revenue input outside bounds</x:v>
      </x:c>
      <x:c r="D187" s="8"/>
      <x:c r="E187" s="75" t="n">
        <x:f>IF(COUNT(E23)=0,1,IF(E23&lt;0,1,0))</x:f>
        <x:v>0</x:v>
      </x:c>
      <x:c r="F187" s="75" t="n">
        <x:f>IF(COUNT(F23)=0,1,IF(F23&lt;0,1,0))</x:f>
        <x:v>0</x:v>
      </x:c>
      <x:c r="G187" s="75" t="n">
        <x:f>IF(COUNT(G23)=0,1,IF(G23&lt;0,1,0))</x:f>
        <x:v>0</x:v>
      </x:c>
      <x:c r="H187" s="75" t="n">
        <x:f>IF(COUNT(H23)=0,1,IF(H23&lt;0,1,0))</x:f>
        <x:v>0</x:v>
      </x:c>
      <x:c r="I187" s="75" t="n">
        <x:f>IF(COUNT(I23)=0,1,IF(I23&lt;0,1,0))</x:f>
        <x:v>0</x:v>
      </x:c>
      <x:c r="J187" s="1"/>
      <x:c r="K187" s="1"/>
    </x:row>
    <x:row r="188" ht="30" customHeight="1">
      <x:c r="A188" s="1"/>
      <x:c r="B188" s="1"/>
      <x:c r="C188" s="64" t="str">
        <x:v>D&amp;A / opening net PP&amp;E input outside bounds</x:v>
      </x:c>
      <x:c r="D188" s="8"/>
      <x:c r="E188" s="75" t="n">
        <x:f>IF(COUNT(E24)=0,1,IF(E24&lt;0,1,IF(E24&gt;1,1,0)))</x:f>
        <x:v>0</x:v>
      </x:c>
      <x:c r="F188" s="75" t="n">
        <x:f>IF(COUNT(F24)=0,1,IF(F24&lt;0,1,IF(F24&gt;1,1,0)))</x:f>
        <x:v>0</x:v>
      </x:c>
      <x:c r="G188" s="75" t="n">
        <x:f>IF(COUNT(G24)=0,1,IF(G24&lt;0,1,IF(G24&gt;1,1,0)))</x:f>
        <x:v>0</x:v>
      </x:c>
      <x:c r="H188" s="75" t="n">
        <x:f>IF(COUNT(H24)=0,1,IF(H24&lt;0,1,IF(H24&gt;1,1,0)))</x:f>
        <x:v>0</x:v>
      </x:c>
      <x:c r="I188" s="75" t="n">
        <x:f>IF(COUNT(I24)=0,1,IF(I24&lt;0,1,IF(I24&gt;1,1,0)))</x:f>
        <x:v>0</x:v>
      </x:c>
      <x:c r="J188" s="1"/>
      <x:c r="K188" s="1"/>
    </x:row>
    <x:row r="189" ht="30" customHeight="1">
      <x:c r="A189" s="1"/>
      <x:c r="B189" s="1"/>
      <x:c r="C189" s="64" t="str">
        <x:v>Receivable days input outside bounds</x:v>
      </x:c>
      <x:c r="D189" s="8"/>
      <x:c r="E189" s="75" t="n">
        <x:f>IF(COUNT(E25)=0,1,IF(E25&lt;0,1,0))</x:f>
        <x:v>0</x:v>
      </x:c>
      <x:c r="F189" s="75" t="n">
        <x:f>IF(COUNT(F25)=0,1,IF(F25&lt;0,1,0))</x:f>
        <x:v>0</x:v>
      </x:c>
      <x:c r="G189" s="75" t="n">
        <x:f>IF(COUNT(G25)=0,1,IF(G25&lt;0,1,0))</x:f>
        <x:v>0</x:v>
      </x:c>
      <x:c r="H189" s="75" t="n">
        <x:f>IF(COUNT(H25)=0,1,IF(H25&lt;0,1,0))</x:f>
        <x:v>0</x:v>
      </x:c>
      <x:c r="I189" s="75" t="n">
        <x:f>IF(COUNT(I25)=0,1,IF(I25&lt;0,1,0))</x:f>
        <x:v>0</x:v>
      </x:c>
      <x:c r="J189" s="1"/>
      <x:c r="K189" s="1"/>
    </x:row>
    <x:row r="190" ht="30" customHeight="1">
      <x:c r="A190" s="1"/>
      <x:c r="B190" s="1"/>
      <x:c r="C190" s="64" t="str">
        <x:v>Inventory days input outside bounds</x:v>
      </x:c>
      <x:c r="D190" s="8"/>
      <x:c r="E190" s="75" t="n">
        <x:f>IF(COUNT(E26)=0,1,IF(E26&lt;0,1,0))</x:f>
        <x:v>0</x:v>
      </x:c>
      <x:c r="F190" s="75" t="n">
        <x:f>IF(COUNT(F26)=0,1,IF(F26&lt;0,1,0))</x:f>
        <x:v>0</x:v>
      </x:c>
      <x:c r="G190" s="75" t="n">
        <x:f>IF(COUNT(G26)=0,1,IF(G26&lt;0,1,0))</x:f>
        <x:v>0</x:v>
      </x:c>
      <x:c r="H190" s="75" t="n">
        <x:f>IF(COUNT(H26)=0,1,IF(H26&lt;0,1,0))</x:f>
        <x:v>0</x:v>
      </x:c>
      <x:c r="I190" s="75" t="n">
        <x:f>IF(COUNT(I26)=0,1,IF(I26&lt;0,1,0))</x:f>
        <x:v>0</x:v>
      </x:c>
      <x:c r="J190" s="1"/>
      <x:c r="K190" s="1"/>
    </x:row>
    <x:row r="191" ht="30" customHeight="1">
      <x:c r="A191" s="1"/>
      <x:c r="B191" s="1"/>
      <x:c r="C191" s="64" t="str">
        <x:v>Payable days input outside bounds</x:v>
      </x:c>
      <x:c r="D191" s="8"/>
      <x:c r="E191" s="75" t="n">
        <x:f>IF(COUNT(E27)=0,1,IF(E27&lt;0,1,0))</x:f>
        <x:v>0</x:v>
      </x:c>
      <x:c r="F191" s="75" t="n">
        <x:f>IF(COUNT(F27)=0,1,IF(F27&lt;0,1,0))</x:f>
        <x:v>0</x:v>
      </x:c>
      <x:c r="G191" s="75" t="n">
        <x:f>IF(COUNT(G27)=0,1,IF(G27&lt;0,1,0))</x:f>
        <x:v>0</x:v>
      </x:c>
      <x:c r="H191" s="75" t="n">
        <x:f>IF(COUNT(H27)=0,1,IF(H27&lt;0,1,0))</x:f>
        <x:v>0</x:v>
      </x:c>
      <x:c r="I191" s="75" t="n">
        <x:f>IF(COUNT(I27)=0,1,IF(I27&lt;0,1,0))</x:f>
        <x:v>0</x:v>
      </x:c>
      <x:c r="J191" s="1"/>
      <x:c r="K191" s="1"/>
    </x:row>
    <x:row r="192" ht="30" customHeight="1">
      <x:c r="A192" s="1"/>
      <x:c r="B192" s="1"/>
      <x:c r="C192" s="64" t="str">
        <x:v>Effective cash tax rate input outside bounds</x:v>
      </x:c>
      <x:c r="D192" s="8"/>
      <x:c r="E192" s="75" t="n">
        <x:f>IF(COUNT(E28)=0,1,IF(E28&lt;0,1,IF(E28&gt;1,1,0)))</x:f>
        <x:v>0</x:v>
      </x:c>
      <x:c r="F192" s="75" t="n">
        <x:f>IF(COUNT(F28)=0,1,IF(F28&lt;0,1,IF(F28&gt;1,1,0)))</x:f>
        <x:v>0</x:v>
      </x:c>
      <x:c r="G192" s="75" t="n">
        <x:f>IF(COUNT(G28)=0,1,IF(G28&lt;0,1,IF(G28&gt;1,1,0)))</x:f>
        <x:v>0</x:v>
      </x:c>
      <x:c r="H192" s="75" t="n">
        <x:f>IF(COUNT(H28)=0,1,IF(H28&lt;0,1,IF(H28&gt;1,1,0)))</x:f>
        <x:v>0</x:v>
      </x:c>
      <x:c r="I192" s="75" t="n">
        <x:f>IF(COUNT(I28)=0,1,IF(I28&lt;0,1,IF(I28&gt;1,1,0)))</x:f>
        <x:v>0</x:v>
      </x:c>
      <x:c r="J192" s="1"/>
      <x:c r="K192" s="1"/>
    </x:row>
    <x:row r="193" ht="30" customHeight="1">
      <x:c r="A193" s="1"/>
      <x:c r="B193" s="1"/>
      <x:c r="C193" s="64" t="str">
        <x:v>Interest on opening debt input outside bounds</x:v>
      </x:c>
      <x:c r="D193" s="8"/>
      <x:c r="E193" s="75" t="n">
        <x:f>IF(COUNT(E29)=0,1,IF(E29&lt;0,1,0))</x:f>
        <x:v>0</x:v>
      </x:c>
      <x:c r="F193" s="75" t="n">
        <x:f>IF(COUNT(F29)=0,1,IF(F29&lt;0,1,0))</x:f>
        <x:v>0</x:v>
      </x:c>
      <x:c r="G193" s="75" t="n">
        <x:f>IF(COUNT(G29)=0,1,IF(G29&lt;0,1,0))</x:f>
        <x:v>0</x:v>
      </x:c>
      <x:c r="H193" s="75" t="n">
        <x:f>IF(COUNT(H29)=0,1,IF(H29&lt;0,1,0))</x:f>
        <x:v>0</x:v>
      </x:c>
      <x:c r="I193" s="75" t="n">
        <x:f>IF(COUNT(I29)=0,1,IF(I29&lt;0,1,0))</x:f>
        <x:v>0</x:v>
      </x:c>
      <x:c r="J193" s="1"/>
      <x:c r="K193" s="1"/>
    </x:row>
    <x:row r="194" ht="30" customHeight="1">
      <x:c r="A194" s="1"/>
      <x:c r="B194" s="1"/>
      <x:c r="C194" s="64" t="str">
        <x:v>New borrowing input outside bounds</x:v>
      </x:c>
      <x:c r="D194" s="8"/>
      <x:c r="E194" s="75" t="n">
        <x:f>IF(COUNT(E30)=0,1,IF(E30&lt;0,1,0))</x:f>
        <x:v>0</x:v>
      </x:c>
      <x:c r="F194" s="75" t="n">
        <x:f>IF(COUNT(F30)=0,1,IF(F30&lt;0,1,0))</x:f>
        <x:v>0</x:v>
      </x:c>
      <x:c r="G194" s="75" t="n">
        <x:f>IF(COUNT(G30)=0,1,IF(G30&lt;0,1,0))</x:f>
        <x:v>0</x:v>
      </x:c>
      <x:c r="H194" s="75" t="n">
        <x:f>IF(COUNT(H30)=0,1,IF(H30&lt;0,1,0))</x:f>
        <x:v>0</x:v>
      </x:c>
      <x:c r="I194" s="75" t="n">
        <x:f>IF(COUNT(I30)=0,1,IF(I30&lt;0,1,0))</x:f>
        <x:v>0</x:v>
      </x:c>
      <x:c r="J194" s="1"/>
      <x:c r="K194" s="1"/>
    </x:row>
    <x:row r="195" ht="30" customHeight="1">
      <x:c r="A195" s="1"/>
      <x:c r="B195" s="1"/>
      <x:c r="C195" s="64" t="str">
        <x:v>Scheduled principal repayment input outside bounds</x:v>
      </x:c>
      <x:c r="D195" s="8"/>
      <x:c r="E195" s="75" t="n">
        <x:f>IF(COUNT(E31)=0,1,IF(E31&lt;0,1,0))</x:f>
        <x:v>0</x:v>
      </x:c>
      <x:c r="F195" s="75" t="n">
        <x:f>IF(COUNT(F31)=0,1,IF(F31&lt;0,1,0))</x:f>
        <x:v>0</x:v>
      </x:c>
      <x:c r="G195" s="75" t="n">
        <x:f>IF(COUNT(G31)=0,1,IF(G31&lt;0,1,0))</x:f>
        <x:v>0</x:v>
      </x:c>
      <x:c r="H195" s="75" t="n">
        <x:f>IF(COUNT(H31)=0,1,IF(H31&lt;0,1,0))</x:f>
        <x:v>0</x:v>
      </x:c>
      <x:c r="I195" s="75" t="n">
        <x:f>IF(COUNT(I31)=0,1,IF(I31&lt;0,1,0))</x:f>
        <x:v>0</x:v>
      </x:c>
      <x:c r="J195" s="1"/>
      <x:c r="K195" s="1"/>
    </x:row>
    <x:row r="196" ht="30" customHeight="1">
      <x:c r="A196" s="1"/>
      <x:c r="B196" s="1"/>
      <x:c r="C196" s="64" t="str">
        <x:v>Dividend payout on positive PAT input outside bounds</x:v>
      </x:c>
      <x:c r="D196" s="8"/>
      <x:c r="E196" s="75" t="n">
        <x:f>IF(COUNT(E32)=0,1,IF(E32&lt;0,1,IF(E32&gt;1,1,0)))</x:f>
        <x:v>0</x:v>
      </x:c>
      <x:c r="F196" s="75" t="n">
        <x:f>IF(COUNT(F32)=0,1,IF(F32&lt;0,1,IF(F32&gt;1,1,0)))</x:f>
        <x:v>0</x:v>
      </x:c>
      <x:c r="G196" s="75" t="n">
        <x:f>IF(COUNT(G32)=0,1,IF(G32&lt;0,1,IF(G32&gt;1,1,0)))</x:f>
        <x:v>0</x:v>
      </x:c>
      <x:c r="H196" s="75" t="n">
        <x:f>IF(COUNT(H32)=0,1,IF(H32&lt;0,1,IF(H32&gt;1,1,0)))</x:f>
        <x:v>0</x:v>
      </x:c>
      <x:c r="I196" s="75" t="n">
        <x:f>IF(COUNT(I32)=0,1,IF(I32&lt;0,1,IF(I32&gt;1,1,0)))</x:f>
        <x:v>0</x:v>
      </x:c>
      <x:c r="J196" s="1"/>
      <x:c r="K196" s="1"/>
    </x:row>
    <x:row r="197" ht="30" customHeight="1">
      <x:c r="A197" s="1"/>
      <x:c r="B197" s="1"/>
      <x:c r="C197" s="64" t="str">
        <x:v>Opening net PP&amp;E input outside bounds</x:v>
      </x:c>
      <x:c r="D197" s="8"/>
      <x:c r="E197" s="75" t="n">
        <x:f>IF(COUNT(D34)=0,1,IF(D34&lt;0,1,0))</x:f>
        <x:v>0</x:v>
      </x:c>
      <x:c r="F197" s="75" t="n">
        <x:f>IF(COUNT(D34)=0,1,IF(D34&lt;0,1,0))</x:f>
        <x:v>0</x:v>
      </x:c>
      <x:c r="G197" s="75" t="n">
        <x:f>IF(COUNT(D34)=0,1,IF(D34&lt;0,1,0))</x:f>
        <x:v>0</x:v>
      </x:c>
      <x:c r="H197" s="75" t="n">
        <x:f>IF(COUNT(D34)=0,1,IF(D34&lt;0,1,0))</x:f>
        <x:v>0</x:v>
      </x:c>
      <x:c r="I197" s="75" t="n">
        <x:f>IF(COUNT(D34)=0,1,IF(D34&lt;0,1,0))</x:f>
        <x:v>0</x:v>
      </x:c>
      <x:c r="J197" s="1"/>
      <x:c r="K197" s="1"/>
    </x:row>
    <x:row r="198" ht="30" customHeight="1">
      <x:c r="A198" s="1"/>
      <x:c r="B198" s="1"/>
      <x:c r="C198" s="64" t="str">
        <x:v>Opening debt input outside bounds</x:v>
      </x:c>
      <x:c r="D198" s="8"/>
      <x:c r="E198" s="75" t="n">
        <x:f>IF(COUNT(D35)=0,1,IF(D35&lt;0,1,0))</x:f>
        <x:v>0</x:v>
      </x:c>
      <x:c r="F198" s="75" t="n">
        <x:f>IF(COUNT(D35)=0,1,IF(D35&lt;0,1,0))</x:f>
        <x:v>0</x:v>
      </x:c>
      <x:c r="G198" s="75" t="n">
        <x:f>IF(COUNT(D35)=0,1,IF(D35&lt;0,1,0))</x:f>
        <x:v>0</x:v>
      </x:c>
      <x:c r="H198" s="75" t="n">
        <x:f>IF(COUNT(D35)=0,1,IF(D35&lt;0,1,0))</x:f>
        <x:v>0</x:v>
      </x:c>
      <x:c r="I198" s="75" t="n">
        <x:f>IF(COUNT(D35)=0,1,IF(D35&lt;0,1,0))</x:f>
        <x:v>0</x:v>
      </x:c>
      <x:c r="J198" s="1"/>
      <x:c r="K198" s="1"/>
    </x:row>
    <x:row r="199" ht="30" customHeight="1">
      <x:c r="A199" s="1"/>
      <x:c r="B199" s="1"/>
      <x:c r="C199" s="64" t="str">
        <x:v>Opening cash input outside bounds</x:v>
      </x:c>
      <x:c r="D199" s="8"/>
      <x:c r="E199" s="75" t="n">
        <x:f>IF(COUNT(D36)=0,1,IF(D36&lt;0,1,0))</x:f>
        <x:v>0</x:v>
      </x:c>
      <x:c r="F199" s="75" t="n">
        <x:f>IF(COUNT(D36)=0,1,IF(D36&lt;0,1,0))</x:f>
        <x:v>0</x:v>
      </x:c>
      <x:c r="G199" s="75" t="n">
        <x:f>IF(COUNT(D36)=0,1,IF(D36&lt;0,1,0))</x:f>
        <x:v>0</x:v>
      </x:c>
      <x:c r="H199" s="75" t="n">
        <x:f>IF(COUNT(D36)=0,1,IF(D36&lt;0,1,0))</x:f>
        <x:v>0</x:v>
      </x:c>
      <x:c r="I199" s="75" t="n">
        <x:f>IF(COUNT(D36)=0,1,IF(D36&lt;0,1,0))</x:f>
        <x:v>0</x:v>
      </x:c>
      <x:c r="J199" s="1"/>
      <x:c r="K199" s="1"/>
    </x:row>
    <x:row r="200" ht="30" customHeight="1">
      <x:c r="A200" s="1"/>
      <x:c r="B200" s="1"/>
      <x:c r="C200" s="64" t="str">
        <x:v>Diluted shares (crore) input outside bounds</x:v>
      </x:c>
      <x:c r="D200" s="8"/>
      <x:c r="E200" s="75" t="n">
        <x:f>IF(COUNT(D38)=0,1,IF(D38&lt;0,1,0))</x:f>
        <x:v>0</x:v>
      </x:c>
      <x:c r="F200" s="75" t="n">
        <x:f>IF(COUNT(D38)=0,1,IF(D38&lt;0,1,0))</x:f>
        <x:v>0</x:v>
      </x:c>
      <x:c r="G200" s="75" t="n">
        <x:f>IF(COUNT(D38)=0,1,IF(D38&lt;0,1,0))</x:f>
        <x:v>0</x:v>
      </x:c>
      <x:c r="H200" s="75" t="n">
        <x:f>IF(COUNT(D38)=0,1,IF(D38&lt;0,1,0))</x:f>
        <x:v>0</x:v>
      </x:c>
      <x:c r="I200" s="75" t="n">
        <x:f>IF(COUNT(D38)=0,1,IF(D38&lt;0,1,0))</x:f>
        <x:v>0</x:v>
      </x:c>
      <x:c r="J200" s="1"/>
      <x:c r="K200" s="1"/>
    </x:row>
    <x:row r="201" ht="30" customHeight="1">
      <x:c r="A201" s="1"/>
      <x:c r="B201" s="1"/>
      <x:c r="C201" s="64" t="str">
        <x:v>WACC input outside bounds</x:v>
      </x:c>
      <x:c r="D201" s="8"/>
      <x:c r="E201" s="75" t="n">
        <x:f>IF(COUNT(D39)=0,1,IF(D39&lt;0,1,0))</x:f>
        <x:v>0</x:v>
      </x:c>
      <x:c r="F201" s="75" t="n">
        <x:f>IF(COUNT(D39)=0,1,IF(D39&lt;0,1,0))</x:f>
        <x:v>0</x:v>
      </x:c>
      <x:c r="G201" s="75" t="n">
        <x:f>IF(COUNT(D39)=0,1,IF(D39&lt;0,1,0))</x:f>
        <x:v>0</x:v>
      </x:c>
      <x:c r="H201" s="75" t="n">
        <x:f>IF(COUNT(D39)=0,1,IF(D39&lt;0,1,0))</x:f>
        <x:v>0</x:v>
      </x:c>
      <x:c r="I201" s="75" t="n">
        <x:f>IF(COUNT(D39)=0,1,IF(D39&lt;0,1,0))</x:f>
        <x:v>0</x:v>
      </x:c>
      <x:c r="J201" s="1"/>
      <x:c r="K201" s="1"/>
    </x:row>
    <x:row r="202" ht="30" customHeight="1">
      <x:c r="A202" s="1"/>
      <x:c r="B202" s="1"/>
      <x:c r="C202" s="64" t="str">
        <x:v>Terminal growth input outside bounds</x:v>
      </x:c>
      <x:c r="D202" s="8"/>
      <x:c r="E202" s="75" t="n">
        <x:f>IF(COUNT(D40)=0,1,IF(D40&lt;-1,1,0))</x:f>
        <x:v>0</x:v>
      </x:c>
      <x:c r="F202" s="75" t="n">
        <x:f>IF(COUNT(D40)=0,1,IF(D40&lt;-1,1,0))</x:f>
        <x:v>0</x:v>
      </x:c>
      <x:c r="G202" s="75" t="n">
        <x:f>IF(COUNT(D40)=0,1,IF(D40&lt;-1,1,0))</x:f>
        <x:v>0</x:v>
      </x:c>
      <x:c r="H202" s="75" t="n">
        <x:f>IF(COUNT(D40)=0,1,IF(D40&lt;-1,1,0))</x:f>
        <x:v>0</x:v>
      </x:c>
      <x:c r="I202" s="75" t="n">
        <x:f>IF(COUNT(D40)=0,1,IF(D40&lt;-1,1,0))</x:f>
        <x:v>0</x:v>
      </x:c>
      <x:c r="J202" s="1"/>
      <x:c r="K202" s="1"/>
    </x:row>
    <x:row r="203" ht="30" customHeight="1">
      <x:c r="A203" s="1"/>
      <x:c r="B203" s="1"/>
      <x:c r="C203" s="64" t="str">
        <x:v>Terminal incremental ROIC input outside bounds</x:v>
      </x:c>
      <x:c r="D203" s="8"/>
      <x:c r="E203" s="75" t="n">
        <x:f>IF(COUNT(D41)=0,1,IF(D41&lt;0,1,0))</x:f>
        <x:v>0</x:v>
      </x:c>
      <x:c r="F203" s="75" t="n">
        <x:f>IF(COUNT(D41)=0,1,IF(D41&lt;0,1,0))</x:f>
        <x:v>0</x:v>
      </x:c>
      <x:c r="G203" s="75" t="n">
        <x:f>IF(COUNT(D41)=0,1,IF(D41&lt;0,1,0))</x:f>
        <x:v>0</x:v>
      </x:c>
      <x:c r="H203" s="75" t="n">
        <x:f>IF(COUNT(D41)=0,1,IF(D41&lt;0,1,0))</x:f>
        <x:v>0</x:v>
      </x:c>
      <x:c r="I203" s="75" t="n">
        <x:f>IF(COUNT(D41)=0,1,IF(D41&lt;0,1,0))</x:f>
        <x:v>0</x:v>
      </x:c>
      <x:c r="J203" s="1"/>
      <x:c r="K203" s="1"/>
    </x:row>
    <x:row r="204" ht="30" customHeight="1">
      <x:c r="A204" s="1"/>
      <x:c r="B204" s="1"/>
      <x:c r="C204" s="64" t="str">
        <x:v>Forward EV / EBITDA input outside bounds</x:v>
      </x:c>
      <x:c r="D204" s="8"/>
      <x:c r="E204" s="75" t="n">
        <x:f>IF(COUNT(D42)=0,1,IF(D42&lt;0,1,0))</x:f>
        <x:v>0</x:v>
      </x:c>
      <x:c r="F204" s="75" t="n">
        <x:f>IF(COUNT(D42)=0,1,IF(D42&lt;0,1,0))</x:f>
        <x:v>0</x:v>
      </x:c>
      <x:c r="G204" s="75" t="n">
        <x:f>IF(COUNT(D42)=0,1,IF(D42&lt;0,1,0))</x:f>
        <x:v>0</x:v>
      </x:c>
      <x:c r="H204" s="75" t="n">
        <x:f>IF(COUNT(D42)=0,1,IF(D42&lt;0,1,0))</x:f>
        <x:v>0</x:v>
      </x:c>
      <x:c r="I204" s="75" t="n">
        <x:f>IF(COUNT(D42)=0,1,IF(D42&lt;0,1,0))</x:f>
        <x:v>0</x:v>
      </x:c>
      <x:c r="J204" s="1"/>
      <x:c r="K204" s="1"/>
    </x:row>
    <x:row r="205" ht="30" customHeight="1">
      <x:c r="A205" s="1"/>
      <x:c r="B205" s="1"/>
      <x:c r="C205" s="64" t="str">
        <x:v>Terminal valuation assumptions invalid</x:v>
      </x:c>
      <x:c r="D205" s="8"/>
      <x:c r="E205" s="75" t="n">
        <x:f>IF(D39&lt;=D40,1,IF(D41&lt;=0,1,IF(D40&gt;D41,1,0)))</x:f>
        <x:v>0</x:v>
      </x:c>
      <x:c r="F205" s="75" t="n">
        <x:f>IF(D39&lt;=D40,1,IF(D41&lt;=0,1,IF(D40&gt;D41,1,0)))</x:f>
        <x:v>0</x:v>
      </x:c>
      <x:c r="G205" s="75" t="n">
        <x:f>IF(D39&lt;=D40,1,IF(D41&lt;=0,1,IF(D40&gt;D41,1,0)))</x:f>
        <x:v>0</x:v>
      </x:c>
      <x:c r="H205" s="75" t="n">
        <x:f>IF(D39&lt;=D40,1,IF(D41&lt;=0,1,IF(D40&gt;D41,1,0)))</x:f>
        <x:v>0</x:v>
      </x:c>
      <x:c r="I205" s="75" t="n">
        <x:f>IF(D39&lt;=D40,1,IF(D41&lt;=0,1,IF(D40&gt;D41,1,0)))</x:f>
        <x:v>0</x:v>
      </x:c>
      <x:c r="J205" s="1"/>
      <x:c r="K205" s="1"/>
    </x:row>
    <x:row r="206" ht="30" customHeight="1">
      <x:c r="A206" s="1"/>
      <x:c r="B206" s="1"/>
      <x:c r="C206" s="64"/>
      <x:c r="D206" s="8"/>
      <x:c r="E206" s="8"/>
      <x:c r="F206" s="8"/>
      <x:c r="G206" s="8"/>
      <x:c r="H206" s="8"/>
      <x:c r="I206" s="8"/>
      <x:c r="J206" s="1"/>
      <x:c r="K206" s="1"/>
    </x:row>
    <x:row r="207" ht="30" customHeight="1">
      <x:c r="A207" s="1"/>
      <x:c r="B207" s="1"/>
      <x:c r="C207" s="64"/>
      <x:c r="D207" s="8"/>
      <x:c r="E207" s="8"/>
      <x:c r="F207" s="8"/>
      <x:c r="G207" s="8"/>
      <x:c r="H207" s="8"/>
      <x:c r="I207" s="8"/>
      <x:c r="J207" s="1"/>
      <x:c r="K207" s="1"/>
    </x:row>
    <x:row r="208" ht="30" customHeight="1">
      <x:c r="A208" s="1"/>
      <x:c r="B208" s="1"/>
      <x:c r="C208" s="64"/>
      <x:c r="D208" s="8"/>
      <x:c r="E208" s="8"/>
      <x:c r="F208" s="8"/>
      <x:c r="G208" s="8"/>
      <x:c r="H208" s="8"/>
      <x:c r="I208" s="8"/>
      <x:c r="J208" s="1"/>
      <x:c r="K208" s="1"/>
    </x:row>
    <x:row r="209" ht="30" customHeight="1">
      <x:c r="A209" s="1"/>
      <x:c r="B209" s="1"/>
      <x:c r="C209" s="64"/>
      <x:c r="D209" s="8"/>
      <x:c r="E209" s="8"/>
      <x:c r="F209" s="8"/>
      <x:c r="G209" s="8"/>
      <x:c r="H209" s="8"/>
      <x:c r="I209" s="8"/>
      <x:c r="J209" s="1"/>
      <x:c r="K209" s="1"/>
    </x:row>
    <x:row r="210" ht="30" customHeight="1">
      <x:c r="A210" s="1"/>
      <x:c r="B210" s="1"/>
      <x:c r="C210" s="64"/>
      <x:c r="D210" s="8"/>
      <x:c r="E210" s="8"/>
      <x:c r="F210" s="8"/>
      <x:c r="G210" s="8"/>
      <x:c r="H210" s="8"/>
      <x:c r="I210" s="8"/>
      <x:c r="J210" s="1"/>
      <x:c r="K210" s="1"/>
    </x:row>
    <x:row r="211" ht="30" customHeight="1">
      <x:c r="C211" s="64"/>
      <x:c r="D211" s="63"/>
      <x:c r="E211" s="63"/>
      <x:c r="F211" s="63"/>
      <x:c r="G211" s="63"/>
      <x:c r="H211" s="63"/>
      <x:c r="I211" s="63"/>
    </x:row>
    <x:row r="212" ht="30" customHeight="1">
      <x:c r="C212" s="64"/>
      <x:c r="D212" s="63"/>
      <x:c r="E212" s="63"/>
      <x:c r="F212" s="63"/>
      <x:c r="G212" s="63"/>
      <x:c r="H212" s="63"/>
      <x:c r="I212" s="63"/>
    </x:row>
    <x:row r="213" ht="30" customHeight="1">
      <x:c r="C213" s="64"/>
      <x:c r="D213" s="63"/>
      <x:c r="E213" s="63"/>
      <x:c r="F213" s="63"/>
      <x:c r="G213" s="63"/>
      <x:c r="H213" s="63"/>
      <x:c r="I213" s="63"/>
    </x:row>
    <x:row r="214" ht="30" customHeight="1">
      <x:c r="C214" s="64"/>
      <x:c r="D214" s="63"/>
      <x:c r="E214" s="63"/>
      <x:c r="F214" s="63"/>
      <x:c r="G214" s="63"/>
      <x:c r="H214" s="63"/>
      <x:c r="I214" s="63"/>
    </x:row>
    <x:row r="215" ht="30" customHeight="1">
      <x:c r="C215" s="64"/>
      <x:c r="D215" s="63"/>
      <x:c r="E215" s="63"/>
      <x:c r="F215" s="63"/>
      <x:c r="G215" s="63"/>
      <x:c r="H215" s="63"/>
      <x:c r="I215" s="63"/>
    </x:row>
    <x:row r="216" ht="30" customHeight="1">
      <x:c r="C216" s="64"/>
      <x:c r="D216" s="63"/>
      <x:c r="E216" s="63"/>
      <x:c r="F216" s="63"/>
      <x:c r="G216" s="63"/>
      <x:c r="H216" s="63"/>
      <x:c r="I216" s="63"/>
    </x:row>
    <x:row r="217" ht="30" customHeight="1">
      <x:c r="C217" s="64"/>
      <x:c r="D217" s="63"/>
      <x:c r="E217" s="63"/>
      <x:c r="F217" s="63"/>
      <x:c r="G217" s="63"/>
      <x:c r="H217" s="63"/>
      <x:c r="I217" s="63"/>
    </x:row>
    <x:row r="218" ht="30" customHeight="1">
      <x:c r="C218" s="64"/>
      <x:c r="D218" s="63"/>
      <x:c r="E218" s="63"/>
      <x:c r="F218" s="63"/>
      <x:c r="G218" s="63"/>
      <x:c r="H218" s="63"/>
      <x:c r="I218" s="63"/>
    </x:row>
    <x:row r="219" ht="30" customHeight="1">
      <x:c r="C219" s="64"/>
      <x:c r="D219" s="63"/>
      <x:c r="E219" s="63"/>
      <x:c r="F219" s="63"/>
      <x:c r="G219" s="63"/>
      <x:c r="H219" s="63"/>
      <x:c r="I219" s="63"/>
    </x:row>
    <x:row r="220" ht="30" customHeight="1">
      <x:c r="C220" s="64"/>
      <x:c r="D220" s="63"/>
      <x:c r="E220" s="63"/>
      <x:c r="F220" s="63"/>
      <x:c r="G220" s="63"/>
      <x:c r="H220" s="63"/>
      <x:c r="I220" s="63"/>
    </x:row>
    <x:row r="221" ht="30" customHeight="1">
      <x:c r="C221" s="64"/>
      <x:c r="D221" s="63"/>
      <x:c r="E221" s="63"/>
      <x:c r="F221" s="63"/>
      <x:c r="G221" s="63"/>
      <x:c r="H221" s="63"/>
      <x:c r="I221" s="63"/>
    </x:row>
    <x:row r="222" ht="30" customHeight="1">
      <x:c r="C222" s="64"/>
      <x:c r="D222" s="63"/>
      <x:c r="E222" s="63"/>
      <x:c r="F222" s="63"/>
      <x:c r="G222" s="63"/>
      <x:c r="H222" s="63"/>
      <x:c r="I222" s="63"/>
    </x:row>
    <x:row r="223" ht="30" customHeight="1">
      <x:c r="C223" s="64"/>
      <x:c r="D223" s="63"/>
      <x:c r="E223" s="63"/>
      <x:c r="F223" s="63"/>
      <x:c r="G223" s="63"/>
      <x:c r="H223" s="63"/>
      <x:c r="I223" s="63"/>
    </x:row>
    <x:row r="224" ht="30" customHeight="1">
      <x:c r="C224" s="64"/>
      <x:c r="D224" s="63"/>
      <x:c r="E224" s="63"/>
      <x:c r="F224" s="63"/>
      <x:c r="G224" s="63"/>
      <x:c r="H224" s="63"/>
      <x:c r="I224" s="63"/>
    </x:row>
    <x:row r="225" ht="30" customHeight="1">
      <x:c r="C225" s="64"/>
      <x:c r="D225" s="63"/>
      <x:c r="E225" s="63"/>
      <x:c r="F225" s="63"/>
      <x:c r="G225" s="63"/>
      <x:c r="H225" s="63"/>
      <x:c r="I225" s="63"/>
    </x:row>
    <x:row r="226" ht="30" customHeight="1">
      <x:c r="C226" s="64"/>
      <x:c r="D226" s="63"/>
      <x:c r="E226" s="63"/>
      <x:c r="F226" s="63"/>
      <x:c r="G226" s="63"/>
      <x:c r="H226" s="63"/>
      <x:c r="I226" s="63"/>
    </x:row>
    <x:row r="227" ht="30" customHeight="1">
      <x:c r="C227" s="64"/>
      <x:c r="D227" s="63"/>
      <x:c r="E227" s="63"/>
      <x:c r="F227" s="63"/>
      <x:c r="G227" s="63"/>
      <x:c r="H227" s="63"/>
      <x:c r="I227" s="63"/>
    </x:row>
    <x:row r="228" ht="30" customHeight="1">
      <x:c r="C228" s="64"/>
      <x:c r="D228" s="63"/>
      <x:c r="E228" s="63"/>
      <x:c r="F228" s="63"/>
      <x:c r="G228" s="63"/>
      <x:c r="H228" s="63"/>
      <x:c r="I228" s="63"/>
    </x:row>
    <x:row r="229" ht="30" customHeight="1">
      <x:c r="C229" s="64"/>
      <x:c r="D229" s="63"/>
      <x:c r="E229" s="63"/>
      <x:c r="F229" s="63"/>
      <x:c r="G229" s="63"/>
      <x:c r="H229" s="63"/>
      <x:c r="I229" s="63"/>
    </x:row>
    <x:row r="230" ht="30" customHeight="1">
      <x:c r="C230" s="64"/>
      <x:c r="D230" s="63"/>
      <x:c r="E230" s="63"/>
      <x:c r="F230" s="63"/>
      <x:c r="G230" s="63"/>
      <x:c r="H230" s="63"/>
      <x:c r="I230" s="63"/>
    </x:row>
    <x:row r="231" ht="30" customHeight="1">
      <x:c r="C231" s="64"/>
      <x:c r="D231" s="63"/>
      <x:c r="E231" s="63"/>
      <x:c r="F231" s="63"/>
      <x:c r="G231" s="63"/>
      <x:c r="H231" s="63"/>
      <x:c r="I231" s="63"/>
    </x:row>
    <x:row r="232" ht="30" customHeight="1">
      <x:c r="C232" s="64"/>
      <x:c r="D232" s="63"/>
      <x:c r="E232" s="63"/>
      <x:c r="F232" s="63"/>
      <x:c r="G232" s="63"/>
      <x:c r="H232" s="63"/>
      <x:c r="I232" s="63"/>
    </x:row>
    <x:row r="233" ht="30" customHeight="1">
      <x:c r="C233" s="64"/>
      <x:c r="D233" s="63"/>
      <x:c r="E233" s="63"/>
      <x:c r="F233" s="63"/>
      <x:c r="G233" s="63"/>
      <x:c r="H233" s="63"/>
      <x:c r="I233" s="63"/>
    </x:row>
    <x:row r="234" ht="30" customHeight="1">
      <x:c r="C234" s="64"/>
      <x:c r="D234" s="63"/>
      <x:c r="E234" s="63"/>
      <x:c r="F234" s="63"/>
      <x:c r="G234" s="63"/>
      <x:c r="H234" s="63"/>
      <x:c r="I234" s="63"/>
    </x:row>
    <x:row r="235" ht="30" customHeight="1">
      <x:c r="C235" s="64"/>
      <x:c r="D235" s="63"/>
      <x:c r="E235" s="63"/>
      <x:c r="F235" s="63"/>
      <x:c r="G235" s="63"/>
      <x:c r="H235" s="63"/>
      <x:c r="I235" s="63"/>
    </x:row>
    <x:row r="236" ht="30" customHeight="1">
      <x:c r="C236" s="64"/>
      <x:c r="D236" s="63"/>
      <x:c r="E236" s="63"/>
      <x:c r="F236" s="63"/>
      <x:c r="G236" s="63"/>
      <x:c r="H236" s="63"/>
      <x:c r="I236" s="63"/>
    </x:row>
    <x:row r="237" ht="30" customHeight="1">
      <x:c r="C237" s="64"/>
      <x:c r="D237" s="63"/>
      <x:c r="E237" s="63"/>
      <x:c r="F237" s="63"/>
      <x:c r="G237" s="63"/>
      <x:c r="H237" s="63"/>
      <x:c r="I237" s="63"/>
    </x:row>
    <x:row r="238" ht="30" customHeight="1">
      <x:c r="C238" s="64"/>
      <x:c r="D238" s="63"/>
      <x:c r="E238" s="63"/>
      <x:c r="F238" s="63"/>
      <x:c r="G238" s="63"/>
      <x:c r="H238" s="63"/>
      <x:c r="I238" s="63"/>
    </x:row>
    <x:row r="239" ht="30" customHeight="1">
      <x:c r="C239" s="64"/>
      <x:c r="D239" s="63"/>
      <x:c r="E239" s="63"/>
      <x:c r="F239" s="63"/>
      <x:c r="G239" s="63"/>
      <x:c r="H239" s="63"/>
      <x:c r="I239" s="63"/>
    </x:row>
    <x:row r="240" ht="30" customHeight="1">
      <x:c r="C240" s="64"/>
      <x:c r="D240" s="63"/>
      <x:c r="E240" s="63"/>
      <x:c r="F240" s="63"/>
      <x:c r="G240" s="63"/>
      <x:c r="H240" s="63"/>
      <x:c r="I240" s="63"/>
    </x:row>
    <x:row r="241" ht="30" customHeight="1">
      <x:c r="C241" s="64"/>
      <x:c r="D241" s="63"/>
      <x:c r="E241" s="63"/>
      <x:c r="F241" s="63"/>
      <x:c r="G241" s="63"/>
      <x:c r="H241" s="63"/>
      <x:c r="I241" s="63"/>
    </x:row>
    <x:row r="242" ht="30" customHeight="1">
      <x:c r="C242" s="64"/>
      <x:c r="D242" s="63"/>
      <x:c r="E242" s="63"/>
      <x:c r="F242" s="63"/>
      <x:c r="G242" s="63"/>
      <x:c r="H242" s="63"/>
      <x:c r="I242" s="63"/>
    </x:row>
    <x:row r="243" ht="30" customHeight="1">
      <x:c r="C243" s="64"/>
      <x:c r="D243" s="63"/>
      <x:c r="E243" s="63"/>
      <x:c r="F243" s="63"/>
      <x:c r="G243" s="63"/>
      <x:c r="H243" s="63"/>
      <x:c r="I243" s="63"/>
    </x:row>
    <x:row r="244" ht="30" customHeight="1">
      <x:c r="C244" s="64"/>
      <x:c r="D244" s="63"/>
      <x:c r="E244" s="63"/>
      <x:c r="F244" s="63"/>
      <x:c r="G244" s="63"/>
      <x:c r="H244" s="63"/>
      <x:c r="I244" s="63"/>
    </x:row>
    <x:row r="245" ht="30" customHeight="1">
      <x:c r="C245" s="64"/>
      <x:c r="D245" s="63"/>
      <x:c r="E245" s="63"/>
      <x:c r="F245" s="63"/>
      <x:c r="G245" s="63"/>
      <x:c r="H245" s="63"/>
      <x:c r="I245" s="63"/>
    </x:row>
    <x:row r="246" ht="30" customHeight="1">
      <x:c r="C246" s="64"/>
      <x:c r="D246" s="63"/>
      <x:c r="E246" s="63"/>
      <x:c r="F246" s="63"/>
      <x:c r="G246" s="63"/>
      <x:c r="H246" s="63"/>
      <x:c r="I246" s="63"/>
    </x:row>
    <x:row r="247" ht="30" customHeight="1">
      <x:c r="C247" s="64"/>
      <x:c r="D247" s="63"/>
      <x:c r="E247" s="63"/>
      <x:c r="F247" s="63"/>
      <x:c r="G247" s="63"/>
      <x:c r="H247" s="63"/>
      <x:c r="I247" s="63"/>
    </x:row>
    <x:row r="248" ht="30" customHeight="1">
      <x:c r="C248" s="64"/>
      <x:c r="D248" s="63"/>
      <x:c r="E248" s="63"/>
      <x:c r="F248" s="63"/>
      <x:c r="G248" s="63"/>
      <x:c r="H248" s="63"/>
      <x:c r="I248" s="63"/>
    </x:row>
    <x:row r="249" ht="30" customHeight="1">
      <x:c r="C249" s="64"/>
      <x:c r="D249" s="63"/>
      <x:c r="E249" s="63"/>
      <x:c r="F249" s="63"/>
      <x:c r="G249" s="63"/>
      <x:c r="H249" s="63"/>
      <x:c r="I249" s="63"/>
    </x:row>
    <x:row r="250" ht="30" customHeight="1">
      <x:c r="C250" s="64"/>
      <x:c r="D250" s="63"/>
      <x:c r="E250" s="63"/>
      <x:c r="F250" s="63"/>
      <x:c r="G250" s="63"/>
      <x:c r="H250" s="63"/>
      <x:c r="I250" s="63"/>
    </x:row>
    <x:row r="251" ht="30" customHeight="1">
      <x:c r="C251" s="64"/>
      <x:c r="D251" s="63"/>
      <x:c r="E251" s="63"/>
      <x:c r="F251" s="63"/>
      <x:c r="G251" s="63"/>
      <x:c r="H251" s="63"/>
      <x:c r="I251" s="63"/>
    </x:row>
    <x:row r="252" ht="30" customHeight="1">
      <x:c r="C252" s="64"/>
      <x:c r="D252" s="63"/>
      <x:c r="E252" s="63"/>
      <x:c r="F252" s="63"/>
      <x:c r="G252" s="63"/>
      <x:c r="H252" s="63"/>
      <x:c r="I252" s="63"/>
    </x:row>
    <x:row r="253" ht="30" customHeight="1">
      <x:c r="C253" s="64"/>
      <x:c r="D253" s="63"/>
      <x:c r="E253" s="63"/>
      <x:c r="F253" s="63"/>
      <x:c r="G253" s="63"/>
      <x:c r="H253" s="63"/>
      <x:c r="I253" s="63"/>
    </x:row>
    <x:row r="254" ht="30" customHeight="1">
      <x:c r="C254" s="64"/>
      <x:c r="D254" s="63"/>
      <x:c r="E254" s="63"/>
      <x:c r="F254" s="63"/>
      <x:c r="G254" s="63"/>
      <x:c r="H254" s="63"/>
      <x:c r="I254" s="63"/>
    </x:row>
    <x:row r="255" ht="30" customHeight="1">
      <x:c r="C255" s="64"/>
      <x:c r="D255" s="63"/>
      <x:c r="E255" s="63"/>
      <x:c r="F255" s="63"/>
      <x:c r="G255" s="63"/>
      <x:c r="H255" s="63"/>
      <x:c r="I255" s="63"/>
    </x:row>
    <x:row r="256" ht="30" customHeight="1">
      <x:c r="C256" s="64"/>
      <x:c r="D256" s="63"/>
      <x:c r="E256" s="63"/>
      <x:c r="F256" s="63"/>
      <x:c r="G256" s="63"/>
      <x:c r="H256" s="63"/>
      <x:c r="I256" s="63"/>
    </x:row>
    <x:row r="257" ht="30" customHeight="1">
      <x:c r="C257" s="64"/>
      <x:c r="D257" s="63"/>
      <x:c r="E257" s="63"/>
      <x:c r="F257" s="63"/>
      <x:c r="G257" s="63"/>
      <x:c r="H257" s="63"/>
      <x:c r="I257" s="63"/>
    </x:row>
    <x:row r="258" ht="30" customHeight="1">
      <x:c r="C258" s="64"/>
      <x:c r="D258" s="63"/>
      <x:c r="E258" s="63"/>
      <x:c r="F258" s="63"/>
      <x:c r="G258" s="63"/>
      <x:c r="H258" s="63"/>
      <x:c r="I258" s="63"/>
    </x:row>
    <x:row r="259" ht="30" customHeight="1">
      <x:c r="C259" s="64"/>
      <x:c r="D259" s="63"/>
      <x:c r="E259" s="63"/>
      <x:c r="F259" s="63"/>
      <x:c r="G259" s="63"/>
      <x:c r="H259" s="63"/>
      <x:c r="I259" s="63"/>
    </x:row>
    <x:row r="260" ht="30" customHeight="1">
      <x:c r="C260" s="64"/>
      <x:c r="D260" s="63"/>
      <x:c r="E260" s="63"/>
      <x:c r="F260" s="63"/>
      <x:c r="G260" s="63"/>
      <x:c r="H260" s="63"/>
      <x:c r="I260" s="63"/>
    </x:row>
    <x:row r="261" ht="30" customHeight="1">
      <x:c r="C261" s="64"/>
      <x:c r="D261" s="63"/>
      <x:c r="E261" s="63"/>
      <x:c r="F261" s="63"/>
      <x:c r="G261" s="63"/>
      <x:c r="H261" s="63"/>
      <x:c r="I261" s="63"/>
    </x:row>
    <x:row r="262" ht="30" customHeight="1">
      <x:c r="C262" s="64"/>
      <x:c r="D262" s="63"/>
      <x:c r="E262" s="63"/>
      <x:c r="F262" s="63"/>
      <x:c r="G262" s="63"/>
      <x:c r="H262" s="63"/>
      <x:c r="I262" s="63"/>
    </x:row>
    <x:row r="263" ht="30" customHeight="1">
      <x:c r="C263" s="64"/>
      <x:c r="D263" s="63"/>
      <x:c r="E263" s="63"/>
      <x:c r="F263" s="63"/>
      <x:c r="G263" s="63"/>
      <x:c r="H263" s="63"/>
      <x:c r="I263" s="63"/>
    </x:row>
    <x:row r="264" ht="30" customHeight="1">
      <x:c r="C264" s="64"/>
      <x:c r="D264" s="63"/>
      <x:c r="E264" s="63"/>
      <x:c r="F264" s="63"/>
      <x:c r="G264" s="63"/>
      <x:c r="H264" s="63"/>
      <x:c r="I264" s="63"/>
    </x:row>
    <x:row r="265" ht="30" customHeight="1">
      <x:c r="C265" s="64"/>
      <x:c r="D265" s="63"/>
      <x:c r="E265" s="63"/>
      <x:c r="F265" s="63"/>
      <x:c r="G265" s="63"/>
      <x:c r="H265" s="63"/>
      <x:c r="I265" s="63"/>
    </x:row>
    <x:row r="266" ht="30" customHeight="1">
      <x:c r="C266" s="64"/>
      <x:c r="D266" s="63"/>
      <x:c r="E266" s="63"/>
      <x:c r="F266" s="63"/>
      <x:c r="G266" s="63"/>
      <x:c r="H266" s="63"/>
      <x:c r="I266" s="63"/>
    </x:row>
    <x:row r="267" ht="30" customHeight="1">
      <x:c r="C267" s="64"/>
      <x:c r="D267" s="63"/>
      <x:c r="E267" s="63"/>
      <x:c r="F267" s="63"/>
      <x:c r="G267" s="63"/>
      <x:c r="H267" s="63"/>
      <x:c r="I267" s="63"/>
    </x:row>
    <x:row r="268" ht="30" customHeight="1">
      <x:c r="C268" s="64"/>
      <x:c r="D268" s="63"/>
      <x:c r="E268" s="63"/>
      <x:c r="F268" s="63"/>
      <x:c r="G268" s="63"/>
      <x:c r="H268" s="63"/>
      <x:c r="I268" s="63"/>
    </x:row>
    <x:row r="269" ht="30" customHeight="1">
      <x:c r="C269" s="64"/>
      <x:c r="D269" s="63"/>
      <x:c r="E269" s="63"/>
      <x:c r="F269" s="63"/>
      <x:c r="G269" s="63"/>
      <x:c r="H269" s="63"/>
      <x:c r="I269" s="63"/>
    </x:row>
    <x:row r="270" ht="30" customHeight="1">
      <x:c r="C270" s="64"/>
      <x:c r="D270" s="63"/>
      <x:c r="E270" s="63"/>
      <x:c r="F270" s="63"/>
      <x:c r="G270" s="63"/>
      <x:c r="H270" s="63"/>
      <x:c r="I270" s="63"/>
    </x:row>
    <x:row r="271" ht="30" customHeight="1">
      <x:c r="C271" s="64"/>
      <x:c r="D271" s="63"/>
      <x:c r="E271" s="63"/>
      <x:c r="F271" s="63"/>
      <x:c r="G271" s="63"/>
      <x:c r="H271" s="63"/>
      <x:c r="I271" s="63"/>
    </x:row>
    <x:row r="272" ht="30" customHeight="1">
      <x:c r="C272" s="64"/>
      <x:c r="D272" s="63"/>
      <x:c r="E272" s="63"/>
      <x:c r="F272" s="63"/>
      <x:c r="G272" s="63"/>
      <x:c r="H272" s="63"/>
      <x:c r="I272" s="63"/>
    </x:row>
    <x:row r="273" ht="30" customHeight="1">
      <x:c r="C273" s="64"/>
      <x:c r="D273" s="63"/>
      <x:c r="E273" s="63"/>
      <x:c r="F273" s="63"/>
      <x:c r="G273" s="63"/>
      <x:c r="H273" s="63"/>
      <x:c r="I273" s="63"/>
    </x:row>
    <x:row r="274" ht="30" customHeight="1">
      <x:c r="C274" s="64"/>
      <x:c r="D274" s="63"/>
      <x:c r="E274" s="63"/>
      <x:c r="F274" s="63"/>
      <x:c r="G274" s="63"/>
      <x:c r="H274" s="63"/>
      <x:c r="I274" s="63"/>
    </x:row>
    <x:row r="275" ht="30" customHeight="1">
      <x:c r="C275" s="64"/>
      <x:c r="D275" s="63"/>
      <x:c r="E275" s="63"/>
      <x:c r="F275" s="63"/>
      <x:c r="G275" s="63"/>
      <x:c r="H275" s="63"/>
      <x:c r="I275" s="63"/>
    </x:row>
    <x:row r="276" ht="30" customHeight="1">
      <x:c r="C276" s="64"/>
      <x:c r="D276" s="63"/>
      <x:c r="E276" s="63"/>
      <x:c r="F276" s="63"/>
      <x:c r="G276" s="63"/>
      <x:c r="H276" s="63"/>
      <x:c r="I276" s="63"/>
    </x:row>
    <x:row r="277" ht="30" customHeight="1">
      <x:c r="C277" s="64"/>
      <x:c r="D277" s="63"/>
      <x:c r="E277" s="63"/>
      <x:c r="F277" s="63"/>
      <x:c r="G277" s="63"/>
      <x:c r="H277" s="63"/>
      <x:c r="I277" s="63"/>
    </x:row>
    <x:row r="278" ht="30" customHeight="1">
      <x:c r="C278" s="64"/>
      <x:c r="D278" s="63"/>
      <x:c r="E278" s="63"/>
      <x:c r="F278" s="63"/>
      <x:c r="G278" s="63"/>
      <x:c r="H278" s="63"/>
      <x:c r="I278" s="63"/>
    </x:row>
    <x:row r="279" ht="30" customHeight="1">
      <x:c r="C279" s="64"/>
      <x:c r="D279" s="63"/>
      <x:c r="E279" s="63"/>
      <x:c r="F279" s="63"/>
      <x:c r="G279" s="63"/>
      <x:c r="H279" s="63"/>
      <x:c r="I279" s="63"/>
    </x:row>
    <x:row r="280" ht="30" customHeight="1">
      <x:c r="C280" s="64"/>
      <x:c r="D280" s="63"/>
      <x:c r="E280" s="63"/>
      <x:c r="F280" s="63"/>
      <x:c r="G280" s="63"/>
      <x:c r="H280" s="63"/>
      <x:c r="I280" s="63"/>
    </x:row>
    <x:row r="281" ht="30" customHeight="1">
      <x:c r="C281" s="64"/>
      <x:c r="D281" s="63"/>
      <x:c r="E281" s="63"/>
      <x:c r="F281" s="63"/>
      <x:c r="G281" s="63"/>
      <x:c r="H281" s="63"/>
      <x:c r="I281" s="63"/>
    </x:row>
    <x:row r="282" ht="30" customHeight="1">
      <x:c r="C282" s="64"/>
      <x:c r="D282" s="63"/>
      <x:c r="E282" s="63"/>
      <x:c r="F282" s="63"/>
      <x:c r="G282" s="63"/>
      <x:c r="H282" s="63"/>
      <x:c r="I282" s="63"/>
    </x:row>
    <x:row r="283" ht="30" customHeight="1">
      <x:c r="C283" s="64"/>
      <x:c r="D283" s="63"/>
      <x:c r="E283" s="63"/>
      <x:c r="F283" s="63"/>
      <x:c r="G283" s="63"/>
      <x:c r="H283" s="63"/>
      <x:c r="I283" s="63"/>
    </x:row>
    <x:row r="284" ht="30" customHeight="1">
      <x:c r="C284" s="64"/>
      <x:c r="D284" s="63"/>
      <x:c r="E284" s="63"/>
      <x:c r="F284" s="63"/>
      <x:c r="G284" s="63"/>
      <x:c r="H284" s="63"/>
      <x:c r="I284" s="63"/>
    </x:row>
    <x:row r="285" ht="30" customHeight="1">
      <x:c r="C285" s="64"/>
      <x:c r="D285" s="63"/>
      <x:c r="E285" s="63"/>
      <x:c r="F285" s="63"/>
      <x:c r="G285" s="63"/>
      <x:c r="H285" s="63"/>
      <x:c r="I285" s="63"/>
    </x:row>
    <x:row r="286" ht="30" customHeight="1">
      <x:c r="C286" s="64"/>
      <x:c r="D286" s="63"/>
      <x:c r="E286" s="63"/>
      <x:c r="F286" s="63"/>
      <x:c r="G286" s="63"/>
      <x:c r="H286" s="63"/>
      <x:c r="I286" s="63"/>
    </x:row>
    <x:row r="287" ht="30" customHeight="1">
      <x:c r="C287" s="64"/>
      <x:c r="D287" s="63"/>
      <x:c r="E287" s="63"/>
      <x:c r="F287" s="63"/>
      <x:c r="G287" s="63"/>
      <x:c r="H287" s="63"/>
      <x:c r="I287" s="63"/>
    </x:row>
    <x:row r="288" ht="30" customHeight="1">
      <x:c r="C288" s="64"/>
      <x:c r="D288" s="63"/>
      <x:c r="E288" s="63"/>
      <x:c r="F288" s="63"/>
      <x:c r="G288" s="63"/>
      <x:c r="H288" s="63"/>
      <x:c r="I288" s="63"/>
    </x:row>
    <x:row r="289" ht="30" customHeight="1">
      <x:c r="C289" s="64"/>
      <x:c r="D289" s="63"/>
      <x:c r="E289" s="63"/>
      <x:c r="F289" s="63"/>
      <x:c r="G289" s="63"/>
      <x:c r="H289" s="63"/>
      <x:c r="I289" s="63"/>
    </x:row>
    <x:row r="290" ht="30" customHeight="1">
      <x:c r="C290" s="64"/>
      <x:c r="D290" s="63"/>
      <x:c r="E290" s="63"/>
      <x:c r="F290" s="63"/>
      <x:c r="G290" s="63"/>
      <x:c r="H290" s="63"/>
      <x:c r="I290" s="63"/>
    </x:row>
    <x:row r="291" ht="30" customHeight="1">
      <x:c r="C291" s="64"/>
      <x:c r="D291" s="63"/>
      <x:c r="E291" s="63"/>
      <x:c r="F291" s="63"/>
      <x:c r="G291" s="63"/>
      <x:c r="H291" s="63"/>
      <x:c r="I291" s="63"/>
    </x:row>
    <x:row r="292" ht="30" customHeight="1">
      <x:c r="C292" s="64"/>
      <x:c r="D292" s="63"/>
      <x:c r="E292" s="63"/>
      <x:c r="F292" s="63"/>
      <x:c r="G292" s="63"/>
      <x:c r="H292" s="63"/>
      <x:c r="I292" s="63"/>
    </x:row>
    <x:row r="293" ht="30" customHeight="1">
      <x:c r="C293" s="64"/>
      <x:c r="D293" s="63"/>
      <x:c r="E293" s="63"/>
      <x:c r="F293" s="63"/>
      <x:c r="G293" s="63"/>
      <x:c r="H293" s="63"/>
      <x:c r="I293" s="63"/>
    </x:row>
    <x:row r="294" ht="30" customHeight="1">
      <x:c r="C294" s="64"/>
      <x:c r="D294" s="63"/>
      <x:c r="E294" s="63"/>
      <x:c r="F294" s="63"/>
      <x:c r="G294" s="63"/>
      <x:c r="H294" s="63"/>
      <x:c r="I294" s="63"/>
    </x:row>
    <x:row r="295" ht="30" customHeight="1">
      <x:c r="C295" s="64"/>
      <x:c r="D295" s="63"/>
      <x:c r="E295" s="63"/>
      <x:c r="F295" s="63"/>
      <x:c r="G295" s="63"/>
      <x:c r="H295" s="63"/>
      <x:c r="I295" s="63"/>
    </x:row>
    <x:row r="296" ht="30" customHeight="1">
      <x:c r="C296" s="64"/>
      <x:c r="D296" s="63"/>
      <x:c r="E296" s="63"/>
      <x:c r="F296" s="63"/>
      <x:c r="G296" s="63"/>
      <x:c r="H296" s="63"/>
      <x:c r="I296" s="63"/>
    </x:row>
    <x:row r="297" ht="30" customHeight="1">
      <x:c r="C297" s="64"/>
      <x:c r="D297" s="63"/>
      <x:c r="E297" s="63"/>
      <x:c r="F297" s="63"/>
      <x:c r="G297" s="63"/>
      <x:c r="H297" s="63"/>
      <x:c r="I297" s="63"/>
    </x:row>
    <x:row r="298" ht="30" customHeight="1">
      <x:c r="C298" s="64"/>
      <x:c r="D298" s="63"/>
      <x:c r="E298" s="63"/>
      <x:c r="F298" s="63"/>
      <x:c r="G298" s="63"/>
      <x:c r="H298" s="63"/>
      <x:c r="I298" s="63"/>
    </x:row>
    <x:row r="299" ht="30" customHeight="1">
      <x:c r="C299" s="64"/>
      <x:c r="D299" s="63"/>
      <x:c r="E299" s="63"/>
      <x:c r="F299" s="63"/>
      <x:c r="G299" s="63"/>
      <x:c r="H299" s="63"/>
      <x:c r="I299" s="63"/>
    </x:row>
    <x:row r="300" ht="30" customHeight="1">
      <x:c r="C300" s="64"/>
      <x:c r="D300" s="63"/>
      <x:c r="E300" s="63"/>
      <x:c r="F300" s="63"/>
      <x:c r="G300" s="63"/>
      <x:c r="H300" s="63"/>
      <x:c r="I300" s="63"/>
    </x:row>
    <x:row r="301" ht="30" customHeight="1">
      <x:c r="C301" s="64"/>
      <x:c r="D301" s="63"/>
      <x:c r="E301" s="63"/>
      <x:c r="F301" s="63"/>
      <x:c r="G301" s="63"/>
      <x:c r="H301" s="63"/>
      <x:c r="I301" s="63"/>
    </x:row>
    <x:row r="302" ht="30" customHeight="1">
      <x:c r="C302" s="64"/>
      <x:c r="D302" s="63"/>
      <x:c r="E302" s="63"/>
      <x:c r="F302" s="63"/>
      <x:c r="G302" s="63"/>
      <x:c r="H302" s="63"/>
      <x:c r="I302" s="63"/>
    </x:row>
    <x:row r="303" ht="30" customHeight="1">
      <x:c r="C303" s="64"/>
      <x:c r="D303" s="63"/>
      <x:c r="E303" s="63"/>
      <x:c r="F303" s="63"/>
      <x:c r="G303" s="63"/>
      <x:c r="H303" s="63"/>
      <x:c r="I303" s="63"/>
    </x:row>
    <x:row r="304" ht="30" customHeight="1">
      <x:c r="C304" s="64"/>
      <x:c r="D304" s="63"/>
      <x:c r="E304" s="63"/>
      <x:c r="F304" s="63"/>
      <x:c r="G304" s="63"/>
      <x:c r="H304" s="63"/>
      <x:c r="I304" s="63"/>
    </x:row>
    <x:row r="305" ht="30" customHeight="1">
      <x:c r="C305" s="64"/>
      <x:c r="D305" s="63"/>
      <x:c r="E305" s="63"/>
      <x:c r="F305" s="63"/>
      <x:c r="G305" s="63"/>
      <x:c r="H305" s="63"/>
      <x:c r="I305" s="63"/>
    </x:row>
    <x:row r="306" ht="30" customHeight="1">
      <x:c r="C306" s="64"/>
      <x:c r="D306" s="63"/>
      <x:c r="E306" s="63"/>
      <x:c r="F306" s="63"/>
      <x:c r="G306" s="63"/>
      <x:c r="H306" s="63"/>
      <x:c r="I306" s="63"/>
    </x:row>
    <x:row r="307" ht="30" customHeight="1">
      <x:c r="C307" s="64"/>
      <x:c r="D307" s="63"/>
      <x:c r="E307" s="63"/>
      <x:c r="F307" s="63"/>
      <x:c r="G307" s="63"/>
      <x:c r="H307" s="63"/>
      <x:c r="I307" s="63"/>
    </x:row>
    <x:row r="308" ht="30" customHeight="1">
      <x:c r="C308" s="64"/>
      <x:c r="D308" s="63"/>
      <x:c r="E308" s="63"/>
      <x:c r="F308" s="63"/>
      <x:c r="G308" s="63"/>
      <x:c r="H308" s="63"/>
      <x:c r="I308" s="63"/>
    </x:row>
    <x:row r="309" ht="30" customHeight="1">
      <x:c r="C309" s="64"/>
      <x:c r="D309" s="63"/>
      <x:c r="E309" s="63"/>
      <x:c r="F309" s="63"/>
      <x:c r="G309" s="63"/>
      <x:c r="H309" s="63"/>
      <x:c r="I309" s="63"/>
    </x:row>
    <x:row r="310" ht="30" customHeight="1">
      <x:c r="C310" s="64"/>
      <x:c r="D310" s="63"/>
      <x:c r="E310" s="63"/>
      <x:c r="F310" s="63"/>
      <x:c r="G310" s="63"/>
      <x:c r="H310" s="63"/>
      <x:c r="I310" s="63"/>
    </x:row>
    <x:row r="311" ht="30" customHeight="1">
      <x:c r="C311" s="64"/>
      <x:c r="D311" s="63"/>
      <x:c r="E311" s="63"/>
      <x:c r="F311" s="63"/>
      <x:c r="G311" s="63"/>
      <x:c r="H311" s="63"/>
      <x:c r="I311" s="63"/>
    </x:row>
    <x:row r="312" ht="30" customHeight="1">
      <x:c r="C312" s="64"/>
      <x:c r="D312" s="63"/>
      <x:c r="E312" s="63"/>
      <x:c r="F312" s="63"/>
      <x:c r="G312" s="63"/>
      <x:c r="H312" s="63"/>
      <x:c r="I312" s="63"/>
    </x:row>
    <x:row r="313" ht="30" customHeight="1">
      <x:c r="C313" s="64"/>
      <x:c r="D313" s="63"/>
      <x:c r="E313" s="63"/>
      <x:c r="F313" s="63"/>
      <x:c r="G313" s="63"/>
      <x:c r="H313" s="63"/>
      <x:c r="I313" s="63"/>
    </x:row>
    <x:row r="314" ht="30" customHeight="1">
      <x:c r="C314" s="64"/>
      <x:c r="D314" s="63"/>
      <x:c r="E314" s="63"/>
      <x:c r="F314" s="63"/>
      <x:c r="G314" s="63"/>
      <x:c r="H314" s="63"/>
      <x:c r="I314" s="63"/>
    </x:row>
    <x:row r="315" ht="30" customHeight="1">
      <x:c r="C315" s="64"/>
      <x:c r="D315" s="63"/>
      <x:c r="E315" s="63"/>
      <x:c r="F315" s="63"/>
      <x:c r="G315" s="63"/>
      <x:c r="H315" s="63"/>
      <x:c r="I315" s="63"/>
    </x:row>
    <x:row r="316" ht="30" customHeight="1">
      <x:c r="C316" s="64"/>
      <x:c r="D316" s="63"/>
      <x:c r="E316" s="63"/>
      <x:c r="F316" s="63"/>
      <x:c r="G316" s="63"/>
      <x:c r="H316" s="63"/>
      <x:c r="I316" s="63"/>
    </x:row>
    <x:row r="317" ht="30" customHeight="1">
      <x:c r="C317" s="64"/>
      <x:c r="D317" s="63"/>
      <x:c r="E317" s="63"/>
      <x:c r="F317" s="63"/>
      <x:c r="G317" s="63"/>
      <x:c r="H317" s="63"/>
      <x:c r="I317" s="63"/>
    </x:row>
    <x:row r="318" ht="30" customHeight="1">
      <x:c r="C318" s="64"/>
      <x:c r="D318" s="63"/>
      <x:c r="E318" s="63"/>
      <x:c r="F318" s="63"/>
      <x:c r="G318" s="63"/>
      <x:c r="H318" s="63"/>
      <x:c r="I318" s="63"/>
    </x:row>
    <x:row r="319" ht="30" customHeight="1">
      <x:c r="C319" s="64"/>
      <x:c r="D319" s="63"/>
      <x:c r="E319" s="63"/>
      <x:c r="F319" s="63"/>
      <x:c r="G319" s="63"/>
      <x:c r="H319" s="63"/>
      <x:c r="I319" s="63"/>
    </x:row>
    <x:row r="320" ht="30" customHeight="1">
      <x:c r="C320" s="64"/>
      <x:c r="D320" s="63"/>
      <x:c r="E320" s="63"/>
      <x:c r="F320" s="63"/>
      <x:c r="G320" s="63"/>
      <x:c r="H320" s="63"/>
      <x:c r="I320" s="63"/>
    </x:row>
    <x:row r="321" ht="30" customHeight="1">
      <x:c r="C321" s="64"/>
      <x:c r="D321" s="63"/>
      <x:c r="E321" s="63"/>
      <x:c r="F321" s="63"/>
      <x:c r="G321" s="63"/>
      <x:c r="H321" s="63"/>
      <x:c r="I321" s="63"/>
    </x:row>
    <x:row r="322" ht="30" customHeight="1">
      <x:c r="C322" s="64"/>
      <x:c r="D322" s="63"/>
      <x:c r="E322" s="63"/>
      <x:c r="F322" s="63"/>
      <x:c r="G322" s="63"/>
      <x:c r="H322" s="63"/>
      <x:c r="I322" s="63"/>
    </x:row>
    <x:row r="323" ht="30" customHeight="1">
      <x:c r="C323" s="64"/>
      <x:c r="D323" s="63"/>
      <x:c r="E323" s="63"/>
      <x:c r="F323" s="63"/>
      <x:c r="G323" s="63"/>
      <x:c r="H323" s="63"/>
      <x:c r="I323" s="63"/>
    </x:row>
    <x:row r="324" ht="30" customHeight="1">
      <x:c r="C324" s="64"/>
      <x:c r="D324" s="63"/>
      <x:c r="E324" s="63"/>
      <x:c r="F324" s="63"/>
      <x:c r="G324" s="63"/>
      <x:c r="H324" s="63"/>
      <x:c r="I324" s="63"/>
    </x:row>
    <x:row r="325" ht="30" customHeight="1">
      <x:c r="C325" s="64"/>
      <x:c r="D325" s="63"/>
      <x:c r="E325" s="63"/>
      <x:c r="F325" s="63"/>
      <x:c r="G325" s="63"/>
      <x:c r="H325" s="63"/>
      <x:c r="I325" s="63"/>
    </x:row>
    <x:row r="326" ht="30" customHeight="1">
      <x:c r="C326" s="64"/>
      <x:c r="D326" s="63"/>
      <x:c r="E326" s="63"/>
      <x:c r="F326" s="63"/>
      <x:c r="G326" s="63"/>
      <x:c r="H326" s="63"/>
      <x:c r="I326" s="63"/>
    </x:row>
    <x:row r="327" ht="30" customHeight="1">
      <x:c r="C327" s="64"/>
      <x:c r="D327" s="63"/>
      <x:c r="E327" s="63"/>
      <x:c r="F327" s="63"/>
      <x:c r="G327" s="63"/>
      <x:c r="H327" s="63"/>
      <x:c r="I327" s="63"/>
    </x:row>
    <x:row r="328" ht="30" customHeight="1">
      <x:c r="C328" s="64"/>
      <x:c r="D328" s="63"/>
      <x:c r="E328" s="63"/>
      <x:c r="F328" s="63"/>
      <x:c r="G328" s="63"/>
      <x:c r="H328" s="63"/>
      <x:c r="I328" s="63"/>
    </x:row>
    <x:row r="329" ht="30" customHeight="1">
      <x:c r="C329" s="64"/>
      <x:c r="D329" s="63"/>
      <x:c r="E329" s="63"/>
      <x:c r="F329" s="63"/>
      <x:c r="G329" s="63"/>
      <x:c r="H329" s="63"/>
      <x:c r="I329" s="63"/>
    </x:row>
    <x:row r="330" ht="30" customHeight="1">
      <x:c r="C330" s="64"/>
      <x:c r="D330" s="63"/>
      <x:c r="E330" s="63"/>
      <x:c r="F330" s="63"/>
      <x:c r="G330" s="63"/>
      <x:c r="H330" s="63"/>
      <x:c r="I330" s="63"/>
    </x:row>
    <x:row r="331" ht="30" customHeight="1">
      <x:c r="C331" s="64"/>
      <x:c r="D331" s="63"/>
      <x:c r="E331" s="63"/>
      <x:c r="F331" s="63"/>
      <x:c r="G331" s="63"/>
      <x:c r="H331" s="63"/>
      <x:c r="I331" s="63"/>
    </x:row>
    <x:row r="332" ht="30" customHeight="1">
      <x:c r="C332" s="64"/>
      <x:c r="D332" s="63"/>
      <x:c r="E332" s="63"/>
      <x:c r="F332" s="63"/>
      <x:c r="G332" s="63"/>
      <x:c r="H332" s="63"/>
      <x:c r="I332" s="63"/>
    </x:row>
    <x:row r="333" ht="30" customHeight="1">
      <x:c r="C333" s="64"/>
      <x:c r="D333" s="63"/>
      <x:c r="E333" s="63"/>
      <x:c r="F333" s="63"/>
      <x:c r="G333" s="63"/>
      <x:c r="H333" s="63"/>
      <x:c r="I333" s="63"/>
    </x:row>
    <x:row r="334" ht="30" customHeight="1">
      <x:c r="C334" s="64"/>
      <x:c r="D334" s="63"/>
      <x:c r="E334" s="63"/>
      <x:c r="F334" s="63"/>
      <x:c r="G334" s="63"/>
      <x:c r="H334" s="63"/>
      <x:c r="I334" s="63"/>
    </x:row>
    <x:row r="335" ht="30" customHeight="1">
      <x:c r="C335" s="64"/>
      <x:c r="D335" s="63"/>
      <x:c r="E335" s="63"/>
      <x:c r="F335" s="63"/>
      <x:c r="G335" s="63"/>
      <x:c r="H335" s="63"/>
      <x:c r="I335" s="63"/>
    </x:row>
    <x:row r="336" ht="30" customHeight="1">
      <x:c r="C336" s="64"/>
      <x:c r="D336" s="63"/>
      <x:c r="E336" s="63"/>
      <x:c r="F336" s="63"/>
      <x:c r="G336" s="63"/>
      <x:c r="H336" s="63"/>
      <x:c r="I336" s="63"/>
    </x:row>
    <x:row r="337" ht="30" customHeight="1">
      <x:c r="C337" s="64"/>
      <x:c r="D337" s="63"/>
      <x:c r="E337" s="63"/>
      <x:c r="F337" s="63"/>
      <x:c r="G337" s="63"/>
      <x:c r="H337" s="63"/>
      <x:c r="I337" s="63"/>
    </x:row>
    <x:row r="338" ht="30" customHeight="1">
      <x:c r="C338" s="64"/>
      <x:c r="D338" s="63"/>
      <x:c r="E338" s="63"/>
      <x:c r="F338" s="63"/>
      <x:c r="G338" s="63"/>
      <x:c r="H338" s="63"/>
      <x:c r="I338" s="63"/>
    </x:row>
    <x:row r="339" ht="30" customHeight="1">
      <x:c r="C339" s="64"/>
      <x:c r="D339" s="63"/>
      <x:c r="E339" s="63"/>
      <x:c r="F339" s="63"/>
      <x:c r="G339" s="63"/>
      <x:c r="H339" s="63"/>
      <x:c r="I339" s="63"/>
    </x:row>
    <x:row r="340" ht="30" customHeight="1">
      <x:c r="C340" s="64"/>
      <x:c r="D340" s="63"/>
      <x:c r="E340" s="63"/>
      <x:c r="F340" s="63"/>
      <x:c r="G340" s="63"/>
      <x:c r="H340" s="63"/>
      <x:c r="I340" s="63"/>
    </x:row>
    <x:row r="341" ht="30" customHeight="1">
      <x:c r="C341" s="64"/>
      <x:c r="D341" s="63"/>
      <x:c r="E341" s="63"/>
      <x:c r="F341" s="63"/>
      <x:c r="G341" s="63"/>
      <x:c r="H341" s="63"/>
      <x:c r="I341" s="63"/>
    </x:row>
    <x:row r="342" ht="30" customHeight="1">
      <x:c r="C342" s="64"/>
      <x:c r="D342" s="63"/>
      <x:c r="E342" s="63"/>
      <x:c r="F342" s="63"/>
      <x:c r="G342" s="63"/>
      <x:c r="H342" s="63"/>
      <x:c r="I342" s="63"/>
    </x:row>
    <x:row r="343" ht="30" customHeight="1">
      <x:c r="C343" s="64"/>
      <x:c r="D343" s="63"/>
      <x:c r="E343" s="63"/>
      <x:c r="F343" s="63"/>
      <x:c r="G343" s="63"/>
      <x:c r="H343" s="63"/>
      <x:c r="I343" s="63"/>
    </x:row>
    <x:row r="344" ht="30" customHeight="1">
      <x:c r="C344" s="64"/>
      <x:c r="D344" s="63"/>
      <x:c r="E344" s="63"/>
      <x:c r="F344" s="63"/>
      <x:c r="G344" s="63"/>
      <x:c r="H344" s="63"/>
      <x:c r="I344" s="63"/>
    </x:row>
    <x:row r="345" ht="30" customHeight="1">
      <x:c r="C345" s="64"/>
      <x:c r="D345" s="63"/>
      <x:c r="E345" s="63"/>
      <x:c r="F345" s="63"/>
      <x:c r="G345" s="63"/>
      <x:c r="H345" s="63"/>
      <x:c r="I345" s="63"/>
    </x:row>
    <x:row r="346" ht="30" customHeight="1">
      <x:c r="C346" s="64"/>
      <x:c r="D346" s="63"/>
      <x:c r="E346" s="63"/>
      <x:c r="F346" s="63"/>
      <x:c r="G346" s="63"/>
      <x:c r="H346" s="63"/>
      <x:c r="I346" s="63"/>
    </x:row>
    <x:row r="347" ht="30" customHeight="1">
      <x:c r="C347" s="64"/>
      <x:c r="D347" s="63"/>
      <x:c r="E347" s="63"/>
      <x:c r="F347" s="63"/>
      <x:c r="G347" s="63"/>
      <x:c r="H347" s="63"/>
      <x:c r="I347" s="63"/>
    </x:row>
    <x:row r="348" ht="30" customHeight="1">
      <x:c r="C348" s="64"/>
      <x:c r="D348" s="63"/>
      <x:c r="E348" s="63"/>
      <x:c r="F348" s="63"/>
      <x:c r="G348" s="63"/>
      <x:c r="H348" s="63"/>
      <x:c r="I348" s="63"/>
    </x:row>
    <x:row r="349" ht="30" customHeight="1">
      <x:c r="C349" s="64"/>
      <x:c r="D349" s="63"/>
      <x:c r="E349" s="63"/>
      <x:c r="F349" s="63"/>
      <x:c r="G349" s="63"/>
      <x:c r="H349" s="63"/>
      <x:c r="I349" s="63"/>
    </x:row>
    <x:row r="350" ht="30" customHeight="1">
      <x:c r="C350" s="64"/>
      <x:c r="D350" s="63"/>
      <x:c r="E350" s="63"/>
      <x:c r="F350" s="63"/>
      <x:c r="G350" s="63"/>
      <x:c r="H350" s="63"/>
      <x:c r="I350" s="63"/>
    </x:row>
    <x:row r="351" ht="30" customHeight="1">
      <x:c r="C351" s="64"/>
      <x:c r="D351" s="63"/>
      <x:c r="E351" s="63"/>
      <x:c r="F351" s="63"/>
      <x:c r="G351" s="63"/>
      <x:c r="H351" s="63"/>
      <x:c r="I351" s="63"/>
    </x:row>
    <x:row r="352" ht="30" customHeight="1">
      <x:c r="C352" s="64"/>
      <x:c r="D352" s="63"/>
      <x:c r="E352" s="63"/>
      <x:c r="F352" s="63"/>
      <x:c r="G352" s="63"/>
      <x:c r="H352" s="63"/>
      <x:c r="I352" s="63"/>
    </x:row>
    <x:row r="353" ht="30" customHeight="1">
      <x:c r="C353" s="64"/>
      <x:c r="D353" s="63"/>
      <x:c r="E353" s="63"/>
      <x:c r="F353" s="63"/>
      <x:c r="G353" s="63"/>
      <x:c r="H353" s="63"/>
      <x:c r="I353" s="63"/>
    </x:row>
    <x:row r="354" ht="30" customHeight="1">
      <x:c r="C354" s="64"/>
      <x:c r="D354" s="63"/>
      <x:c r="E354" s="63"/>
      <x:c r="F354" s="63"/>
      <x:c r="G354" s="63"/>
      <x:c r="H354" s="63"/>
      <x:c r="I354" s="63"/>
    </x:row>
    <x:row r="355" ht="30" customHeight="1">
      <x:c r="C355" s="64"/>
      <x:c r="D355" s="63"/>
      <x:c r="E355" s="63"/>
      <x:c r="F355" s="63"/>
      <x:c r="G355" s="63"/>
      <x:c r="H355" s="63"/>
      <x:c r="I355" s="63"/>
    </x:row>
    <x:row r="356" ht="30" customHeight="1">
      <x:c r="C356" s="64"/>
      <x:c r="D356" s="63"/>
      <x:c r="E356" s="63"/>
      <x:c r="F356" s="63"/>
      <x:c r="G356" s="63"/>
      <x:c r="H356" s="63"/>
      <x:c r="I356" s="63"/>
    </x:row>
    <x:row r="357" ht="30" customHeight="1">
      <x:c r="C357" s="64"/>
      <x:c r="D357" s="63"/>
      <x:c r="E357" s="63"/>
      <x:c r="F357" s="63"/>
      <x:c r="G357" s="63"/>
      <x:c r="H357" s="63"/>
      <x:c r="I357" s="63"/>
    </x:row>
    <x:row r="358" ht="30" customHeight="1">
      <x:c r="C358" s="64"/>
      <x:c r="D358" s="63"/>
      <x:c r="E358" s="63"/>
      <x:c r="F358" s="63"/>
      <x:c r="G358" s="63"/>
      <x:c r="H358" s="63"/>
      <x:c r="I358" s="63"/>
    </x:row>
    <x:row r="359" ht="30" customHeight="1">
      <x:c r="C359" s="64"/>
      <x:c r="D359" s="63"/>
      <x:c r="E359" s="63"/>
      <x:c r="F359" s="63"/>
      <x:c r="G359" s="63"/>
      <x:c r="H359" s="63"/>
      <x:c r="I359" s="63"/>
    </x:row>
    <x:row r="360" ht="30" customHeight="1">
      <x:c r="C360" s="64"/>
      <x:c r="D360" s="63"/>
      <x:c r="E360" s="63"/>
      <x:c r="F360" s="63"/>
      <x:c r="G360" s="63"/>
      <x:c r="H360" s="63"/>
      <x:c r="I360" s="63"/>
    </x:row>
    <x:row r="361" ht="30" customHeight="1">
      <x:c r="C361" s="64"/>
      <x:c r="D361" s="63"/>
      <x:c r="E361" s="63"/>
      <x:c r="F361" s="63"/>
      <x:c r="G361" s="63"/>
      <x:c r="H361" s="63"/>
      <x:c r="I361" s="63"/>
    </x:row>
    <x:row r="362" ht="30" customHeight="1">
      <x:c r="C362" s="64"/>
      <x:c r="D362" s="63"/>
      <x:c r="E362" s="63"/>
      <x:c r="F362" s="63"/>
      <x:c r="G362" s="63"/>
      <x:c r="H362" s="63"/>
      <x:c r="I362" s="63"/>
    </x:row>
    <x:row r="363" ht="30" customHeight="1">
      <x:c r="C363" s="64"/>
      <x:c r="D363" s="63"/>
      <x:c r="E363" s="63"/>
      <x:c r="F363" s="63"/>
      <x:c r="G363" s="63"/>
      <x:c r="H363" s="63"/>
      <x:c r="I363" s="63"/>
    </x:row>
    <x:row r="364" ht="30" customHeight="1">
      <x:c r="C364" s="64"/>
      <x:c r="D364" s="63"/>
      <x:c r="E364" s="63"/>
      <x:c r="F364" s="63"/>
      <x:c r="G364" s="63"/>
      <x:c r="H364" s="63"/>
      <x:c r="I364" s="63"/>
    </x:row>
    <x:row r="365" ht="30" customHeight="1">
      <x:c r="C365" s="64"/>
      <x:c r="D365" s="63"/>
      <x:c r="E365" s="63"/>
      <x:c r="F365" s="63"/>
      <x:c r="G365" s="63"/>
      <x:c r="H365" s="63"/>
      <x:c r="I365" s="63"/>
    </x:row>
    <x:row r="366" ht="30" customHeight="1">
      <x:c r="C366" s="64"/>
      <x:c r="D366" s="63"/>
      <x:c r="E366" s="63"/>
      <x:c r="F366" s="63"/>
      <x:c r="G366" s="63"/>
      <x:c r="H366" s="63"/>
      <x:c r="I366" s="63"/>
    </x:row>
    <x:row r="367" ht="30" customHeight="1">
      <x:c r="C367" s="64"/>
      <x:c r="D367" s="63"/>
      <x:c r="E367" s="63"/>
      <x:c r="F367" s="63"/>
      <x:c r="G367" s="63"/>
      <x:c r="H367" s="63"/>
      <x:c r="I367" s="63"/>
    </x:row>
    <x:row r="368" ht="30" customHeight="1">
      <x:c r="C368" s="64"/>
      <x:c r="D368" s="63"/>
      <x:c r="E368" s="63"/>
      <x:c r="F368" s="63"/>
      <x:c r="G368" s="63"/>
      <x:c r="H368" s="63"/>
      <x:c r="I368" s="63"/>
    </x:row>
    <x:row r="369" ht="30" customHeight="1">
      <x:c r="C369" s="64"/>
      <x:c r="D369" s="63"/>
      <x:c r="E369" s="63"/>
      <x:c r="F369" s="63"/>
      <x:c r="G369" s="63"/>
      <x:c r="H369" s="63"/>
      <x:c r="I369" s="63"/>
    </x:row>
    <x:row r="370" ht="30" customHeight="1">
      <x:c r="C370" s="64"/>
      <x:c r="D370" s="63"/>
      <x:c r="E370" s="63"/>
      <x:c r="F370" s="63"/>
      <x:c r="G370" s="63"/>
      <x:c r="H370" s="63"/>
      <x:c r="I370" s="63"/>
    </x:row>
    <x:row r="371" ht="30" customHeight="1">
      <x:c r="C371" s="64"/>
      <x:c r="D371" s="63"/>
      <x:c r="E371" s="63"/>
      <x:c r="F371" s="63"/>
      <x:c r="G371" s="63"/>
      <x:c r="H371" s="63"/>
      <x:c r="I371" s="63"/>
    </x:row>
    <x:row r="372" ht="30" customHeight="1">
      <x:c r="C372" s="64"/>
      <x:c r="D372" s="63"/>
      <x:c r="E372" s="63"/>
      <x:c r="F372" s="63"/>
      <x:c r="G372" s="63"/>
      <x:c r="H372" s="63"/>
      <x:c r="I372" s="63"/>
    </x:row>
    <x:row r="373" ht="30" customHeight="1">
      <x:c r="C373" s="64"/>
      <x:c r="D373" s="63"/>
      <x:c r="E373" s="63"/>
      <x:c r="F373" s="63"/>
      <x:c r="G373" s="63"/>
      <x:c r="H373" s="63"/>
      <x:c r="I373" s="63"/>
    </x:row>
    <x:row r="374" ht="30" customHeight="1">
      <x:c r="C374" s="64"/>
      <x:c r="D374" s="63"/>
      <x:c r="E374" s="63"/>
      <x:c r="F374" s="63"/>
      <x:c r="G374" s="63"/>
      <x:c r="H374" s="63"/>
      <x:c r="I374" s="63"/>
    </x:row>
    <x:row r="375" ht="30" customHeight="1">
      <x:c r="C375" s="64"/>
      <x:c r="D375" s="63"/>
      <x:c r="E375" s="63"/>
      <x:c r="F375" s="63"/>
      <x:c r="G375" s="63"/>
      <x:c r="H375" s="63"/>
      <x:c r="I375" s="63"/>
    </x:row>
    <x:row r="376" ht="30" customHeight="1">
      <x:c r="C376" s="64"/>
      <x:c r="D376" s="63"/>
      <x:c r="E376" s="63"/>
      <x:c r="F376" s="63"/>
      <x:c r="G376" s="63"/>
      <x:c r="H376" s="63"/>
      <x:c r="I376" s="63"/>
    </x:row>
    <x:row r="377" ht="30" customHeight="1">
      <x:c r="C377" s="64"/>
      <x:c r="D377" s="63"/>
      <x:c r="E377" s="63"/>
      <x:c r="F377" s="63"/>
      <x:c r="G377" s="63"/>
      <x:c r="H377" s="63"/>
      <x:c r="I377" s="63"/>
    </x:row>
    <x:row r="378" ht="30" customHeight="1">
      <x:c r="C378" s="64"/>
      <x:c r="D378" s="63"/>
      <x:c r="E378" s="63"/>
      <x:c r="F378" s="63"/>
      <x:c r="G378" s="63"/>
      <x:c r="H378" s="63"/>
      <x:c r="I378" s="63"/>
    </x:row>
    <x:row r="379" ht="30" customHeight="1">
      <x:c r="C379" s="64"/>
      <x:c r="D379" s="63"/>
      <x:c r="E379" s="63"/>
      <x:c r="F379" s="63"/>
      <x:c r="G379" s="63"/>
      <x:c r="H379" s="63"/>
      <x:c r="I379" s="63"/>
    </x:row>
    <x:row r="380" ht="30" customHeight="1">
      <x:c r="C380" s="64"/>
      <x:c r="D380" s="63"/>
      <x:c r="E380" s="63"/>
      <x:c r="F380" s="63"/>
      <x:c r="G380" s="63"/>
      <x:c r="H380" s="63"/>
      <x:c r="I380" s="63"/>
    </x:row>
    <x:row r="381" ht="30" customHeight="1">
      <x:c r="C381" s="64"/>
      <x:c r="D381" s="63"/>
      <x:c r="E381" s="63"/>
      <x:c r="F381" s="63"/>
      <x:c r="G381" s="63"/>
      <x:c r="H381" s="63"/>
      <x:c r="I381" s="63"/>
    </x:row>
    <x:row r="382" ht="30" customHeight="1">
      <x:c r="C382" s="64"/>
      <x:c r="D382" s="63"/>
      <x:c r="E382" s="63"/>
      <x:c r="F382" s="63"/>
      <x:c r="G382" s="63"/>
      <x:c r="H382" s="63"/>
      <x:c r="I382" s="63"/>
    </x:row>
    <x:row r="383" ht="30" customHeight="1">
      <x:c r="C383" s="64"/>
      <x:c r="D383" s="63"/>
      <x:c r="E383" s="63"/>
      <x:c r="F383" s="63"/>
      <x:c r="G383" s="63"/>
      <x:c r="H383" s="63"/>
      <x:c r="I383" s="63"/>
    </x:row>
    <x:row r="384" ht="30" customHeight="1">
      <x:c r="C384" s="64"/>
      <x:c r="D384" s="63"/>
      <x:c r="E384" s="63"/>
      <x:c r="F384" s="63"/>
      <x:c r="G384" s="63"/>
      <x:c r="H384" s="63"/>
      <x:c r="I384" s="63"/>
    </x:row>
    <x:row r="385" ht="30" customHeight="1">
      <x:c r="C385" s="64"/>
      <x:c r="D385" s="63"/>
      <x:c r="E385" s="63"/>
      <x:c r="F385" s="63"/>
      <x:c r="G385" s="63"/>
      <x:c r="H385" s="63"/>
      <x:c r="I385" s="63"/>
    </x:row>
    <x:row r="386" ht="30" customHeight="1">
      <x:c r="C386" s="64"/>
      <x:c r="D386" s="63"/>
      <x:c r="E386" s="63"/>
      <x:c r="F386" s="63"/>
      <x:c r="G386" s="63"/>
      <x:c r="H386" s="63"/>
      <x:c r="I386" s="63"/>
    </x:row>
    <x:row r="387" ht="30" customHeight="1">
      <x:c r="C387" s="64"/>
      <x:c r="D387" s="63"/>
      <x:c r="E387" s="63"/>
      <x:c r="F387" s="63"/>
      <x:c r="G387" s="63"/>
      <x:c r="H387" s="63"/>
      <x:c r="I387" s="63"/>
    </x:row>
    <x:row r="388" ht="30" customHeight="1">
      <x:c r="C388" s="64"/>
      <x:c r="D388" s="63"/>
      <x:c r="E388" s="63"/>
      <x:c r="F388" s="63"/>
      <x:c r="G388" s="63"/>
      <x:c r="H388" s="63"/>
      <x:c r="I388" s="63"/>
    </x:row>
    <x:row r="389" ht="30" customHeight="1">
      <x:c r="C389" s="64"/>
      <x:c r="D389" s="63"/>
      <x:c r="E389" s="63"/>
      <x:c r="F389" s="63"/>
      <x:c r="G389" s="63"/>
      <x:c r="H389" s="63"/>
      <x:c r="I389" s="63"/>
    </x:row>
    <x:row r="390" ht="30" customHeight="1">
      <x:c r="C390" s="64"/>
      <x:c r="D390" s="63"/>
      <x:c r="E390" s="63"/>
      <x:c r="F390" s="63"/>
      <x:c r="G390" s="63"/>
      <x:c r="H390" s="63"/>
      <x:c r="I390" s="63"/>
    </x:row>
    <x:row r="391" ht="30" customHeight="1">
      <x:c r="C391" s="64"/>
      <x:c r="D391" s="63"/>
      <x:c r="E391" s="63"/>
      <x:c r="F391" s="63"/>
      <x:c r="G391" s="63"/>
      <x:c r="H391" s="63"/>
      <x:c r="I391" s="63"/>
    </x:row>
    <x:row r="392" ht="30" customHeight="1">
      <x:c r="C392" s="64"/>
      <x:c r="D392" s="63"/>
      <x:c r="E392" s="63"/>
      <x:c r="F392" s="63"/>
      <x:c r="G392" s="63"/>
      <x:c r="H392" s="63"/>
      <x:c r="I392" s="63"/>
    </x:row>
    <x:row r="393" ht="30" customHeight="1">
      <x:c r="C393" s="64"/>
      <x:c r="D393" s="63"/>
      <x:c r="E393" s="63"/>
      <x:c r="F393" s="63"/>
      <x:c r="G393" s="63"/>
      <x:c r="H393" s="63"/>
      <x:c r="I393" s="63"/>
    </x:row>
    <x:row r="394" ht="30" customHeight="1">
      <x:c r="C394" s="64"/>
      <x:c r="D394" s="63"/>
      <x:c r="E394" s="63"/>
      <x:c r="F394" s="63"/>
      <x:c r="G394" s="63"/>
      <x:c r="H394" s="63"/>
      <x:c r="I394" s="63"/>
    </x:row>
    <x:row r="395" ht="30" customHeight="1">
      <x:c r="C395" s="64"/>
      <x:c r="D395" s="63"/>
      <x:c r="E395" s="63"/>
      <x:c r="F395" s="63"/>
      <x:c r="G395" s="63"/>
      <x:c r="H395" s="63"/>
      <x:c r="I395" s="63"/>
    </x:row>
    <x:row r="396" ht="30" customHeight="1">
      <x:c r="C396" s="64"/>
      <x:c r="D396" s="63"/>
      <x:c r="E396" s="63"/>
      <x:c r="F396" s="63"/>
      <x:c r="G396" s="63"/>
      <x:c r="H396" s="63"/>
      <x:c r="I396" s="63"/>
    </x:row>
    <x:row r="397" ht="30" customHeight="1">
      <x:c r="C397" s="64"/>
      <x:c r="D397" s="63"/>
      <x:c r="E397" s="63"/>
      <x:c r="F397" s="63"/>
      <x:c r="G397" s="63"/>
      <x:c r="H397" s="63"/>
      <x:c r="I397" s="63"/>
    </x:row>
    <x:row r="398" ht="25" customHeight="1">
      <x:c r="C398" s="68" t="str">
        <x:v>SCENARIO ASSUMPTIONS</x:v>
      </x:c>
      <x:c r="D398" s="82"/>
      <x:c r="E398" s="82"/>
      <x:c r="F398" s="82"/>
      <x:c r="G398" s="82"/>
      <x:c r="H398" s="82"/>
      <x:c r="I398" s="82"/>
    </x:row>
    <x:row r="399" ht="30" customHeight="1">
      <x:c r="C399" s="64"/>
      <x:c r="D399" s="63"/>
      <x:c r="E399" s="63"/>
      <x:c r="F399" s="63"/>
      <x:c r="G399" s="63"/>
      <x:c r="H399" s="63"/>
      <x:c r="I399" s="63"/>
    </x:row>
    <x:row r="400" ht="30" customHeight="1">
      <x:c r="C400" s="64" t="str">
        <x:v>Capacity utilization — active</x:v>
      </x:c>
      <x:c r="D400" s="63"/>
      <x:c r="E400" s="83" t="n">
        <x:f>IF(COUNT(CHOOSE('Controls'!$E$5,E401,E402,E403))=1,CHOOSE('Controls'!$E$5,E401,E402,E403),NA())</x:f>
        <x:v>0.8</x:v>
      </x:c>
      <x:c r="F400" s="83" t="n">
        <x:f>IF(COUNT(CHOOSE('Controls'!$E$5,F401,F402,F403))=1,CHOOSE('Controls'!$E$5,F401,F402,F403),NA())</x:f>
        <x:v>0.8</x:v>
      </x:c>
      <x:c r="G400" s="83" t="n">
        <x:f>IF(COUNT(CHOOSE('Controls'!$E$5,G401,G402,G403))=1,CHOOSE('Controls'!$E$5,G401,G402,G403),NA())</x:f>
        <x:v>0.8</x:v>
      </x:c>
      <x:c r="H400" s="83" t="n">
        <x:f>IF(COUNT(CHOOSE('Controls'!$E$5,H401,H402,H403))=1,CHOOSE('Controls'!$E$5,H401,H402,H403),NA())</x:f>
        <x:v>0.8</x:v>
      </x:c>
      <x:c r="I400" s="83" t="n">
        <x:f>IF(COUNT(CHOOSE('Controls'!$E$5,I401,I402,I403))=1,CHOOSE('Controls'!$E$5,I401,I402,I403),NA())</x:f>
        <x:v>0.8</x:v>
      </x:c>
    </x:row>
    <x:row r="401" ht="30" customHeight="1">
      <x:c r="C401" s="64" t="str">
        <x:v>Base</x:v>
      </x:c>
      <x:c r="D401" s="63"/>
      <x:c r="E401" s="85" t="n">
        <x:v>0.8</x:v>
      </x:c>
      <x:c r="F401" s="85" t="n">
        <x:v>0.8</x:v>
      </x:c>
      <x:c r="G401" s="85" t="n">
        <x:v>0.8</x:v>
      </x:c>
      <x:c r="H401" s="85" t="n">
        <x:v>0.8</x:v>
      </x:c>
      <x:c r="I401" s="85" t="n">
        <x:v>0.8</x:v>
      </x:c>
    </x:row>
    <x:row r="402" ht="30" customHeight="1">
      <x:c r="C402" s="64" t="str">
        <x:v>Downside</x:v>
      </x:c>
      <x:c r="D402" s="63"/>
      <x:c r="E402" s="85" t="n">
        <x:v>0.8</x:v>
      </x:c>
      <x:c r="F402" s="85" t="n">
        <x:v>0.8</x:v>
      </x:c>
      <x:c r="G402" s="85" t="n">
        <x:v>0.8</x:v>
      </x:c>
      <x:c r="H402" s="85" t="n">
        <x:v>0.8</x:v>
      </x:c>
      <x:c r="I402" s="85" t="n">
        <x:v>0.8</x:v>
      </x:c>
    </x:row>
    <x:row r="403" ht="30" customHeight="1">
      <x:c r="C403" s="64" t="str">
        <x:v>Upside</x:v>
      </x:c>
      <x:c r="D403" s="63"/>
      <x:c r="E403" s="85" t="n">
        <x:v>0.8</x:v>
      </x:c>
      <x:c r="F403" s="85" t="n">
        <x:v>0.8</x:v>
      </x:c>
      <x:c r="G403" s="85" t="n">
        <x:v>0.8</x:v>
      </x:c>
      <x:c r="H403" s="85" t="n">
        <x:v>0.8</x:v>
      </x:c>
      <x:c r="I403" s="85" t="n">
        <x:v>0.8</x:v>
      </x:c>
    </x:row>
    <x:row r="404" ht="30" customHeight="1">
      <x:c r="C404" s="64"/>
      <x:c r="D404" s="63"/>
      <x:c r="E404" s="63"/>
      <x:c r="F404" s="63"/>
      <x:c r="G404" s="63"/>
      <x:c r="H404" s="63"/>
      <x:c r="I404" s="63"/>
    </x:row>
    <x:row r="405" ht="30" customHeight="1">
      <x:c r="C405" s="64" t="str">
        <x:v>Ore, coking coal and conversion / revenue — active</x:v>
      </x:c>
      <x:c r="D405" s="63"/>
      <x:c r="E405" s="83" t="n">
        <x:f>IF(COUNT(CHOOSE('Controls'!$E$5,E406,E407,E408))=1,CHOOSE('Controls'!$E$5,E406,E407,E408),NA())</x:f>
        <x:v>0.69</x:v>
      </x:c>
      <x:c r="F405" s="83" t="n">
        <x:f>IF(COUNT(CHOOSE('Controls'!$E$5,F406,F407,F408))=1,CHOOSE('Controls'!$E$5,F406,F407,F408),NA())</x:f>
        <x:v>0.69</x:v>
      </x:c>
      <x:c r="G405" s="83" t="n">
        <x:f>IF(COUNT(CHOOSE('Controls'!$E$5,G406,G407,G408))=1,CHOOSE('Controls'!$E$5,G406,G407,G408),NA())</x:f>
        <x:v>0.69</x:v>
      </x:c>
      <x:c r="H405" s="83" t="n">
        <x:f>IF(COUNT(CHOOSE('Controls'!$E$5,H406,H407,H408))=1,CHOOSE('Controls'!$E$5,H406,H407,H408),NA())</x:f>
        <x:v>0.69</x:v>
      </x:c>
      <x:c r="I405" s="83" t="n">
        <x:f>IF(COUNT(CHOOSE('Controls'!$E$5,I406,I407,I408))=1,CHOOSE('Controls'!$E$5,I406,I407,I408),NA())</x:f>
        <x:v>0.69</x:v>
      </x:c>
    </x:row>
    <x:row r="406" ht="30" customHeight="1">
      <x:c r="C406" s="64" t="str">
        <x:v>Base</x:v>
      </x:c>
      <x:c r="D406" s="63"/>
      <x:c r="E406" s="85" t="n">
        <x:v>0.69</x:v>
      </x:c>
      <x:c r="F406" s="85" t="n">
        <x:v>0.69</x:v>
      </x:c>
      <x:c r="G406" s="85" t="n">
        <x:v>0.69</x:v>
      </x:c>
      <x:c r="H406" s="85" t="n">
        <x:v>0.69</x:v>
      </x:c>
      <x:c r="I406" s="85" t="n">
        <x:v>0.69</x:v>
      </x:c>
    </x:row>
    <x:row r="407" ht="30" customHeight="1">
      <x:c r="C407" s="64" t="str">
        <x:v>Downside</x:v>
      </x:c>
      <x:c r="D407" s="63"/>
      <x:c r="E407" s="85" t="n">
        <x:v>0.69</x:v>
      </x:c>
      <x:c r="F407" s="85" t="n">
        <x:v>0.69</x:v>
      </x:c>
      <x:c r="G407" s="85" t="n">
        <x:v>0.69</x:v>
      </x:c>
      <x:c r="H407" s="85" t="n">
        <x:v>0.69</x:v>
      </x:c>
      <x:c r="I407" s="85" t="n">
        <x:v>0.69</x:v>
      </x:c>
    </x:row>
    <x:row r="408" ht="30" customHeight="1">
      <x:c r="C408" s="64" t="str">
        <x:v>Upside</x:v>
      </x:c>
      <x:c r="D408" s="63"/>
      <x:c r="E408" s="85" t="n">
        <x:v>0.69</x:v>
      </x:c>
      <x:c r="F408" s="85" t="n">
        <x:v>0.69</x:v>
      </x:c>
      <x:c r="G408" s="85" t="n">
        <x:v>0.69</x:v>
      </x:c>
      <x:c r="H408" s="85" t="n">
        <x:v>0.69</x:v>
      </x:c>
      <x:c r="I408" s="85" t="n">
        <x:v>0.69</x:v>
      </x:c>
    </x:row>
    <x:row r="409" ht="30" customHeight="1">
      <x:c r="C409" s="64"/>
      <x:c r="D409" s="63"/>
      <x:c r="E409" s="63"/>
      <x:c r="F409" s="63"/>
      <x:c r="G409" s="63"/>
      <x:c r="H409" s="63"/>
      <x:c r="I409" s="63"/>
    </x:row>
    <x:row r="410" ht="30" customHeight="1">
      <x:c r="C410" s="64" t="str">
        <x:v>Other cash operating costs / revenue — active</x:v>
      </x:c>
      <x:c r="D410" s="63"/>
      <x:c r="E410" s="83" t="n">
        <x:f>IF(COUNT(CHOOSE('Controls'!$E$5,E411,E412,E413))=1,CHOOSE('Controls'!$E$5,E411,E412,E413),NA())</x:f>
        <x:v>0.1</x:v>
      </x:c>
      <x:c r="F410" s="83" t="n">
        <x:f>IF(COUNT(CHOOSE('Controls'!$E$5,F411,F412,F413))=1,CHOOSE('Controls'!$E$5,F411,F412,F413),NA())</x:f>
        <x:v>0.1</x:v>
      </x:c>
      <x:c r="G410" s="83" t="n">
        <x:f>IF(COUNT(CHOOSE('Controls'!$E$5,G411,G412,G413))=1,CHOOSE('Controls'!$E$5,G411,G412,G413),NA())</x:f>
        <x:v>0.1</x:v>
      </x:c>
      <x:c r="H410" s="83" t="n">
        <x:f>IF(COUNT(CHOOSE('Controls'!$E$5,H411,H412,H413))=1,CHOOSE('Controls'!$E$5,H411,H412,H413),NA())</x:f>
        <x:v>0.1</x:v>
      </x:c>
      <x:c r="I410" s="83" t="n">
        <x:f>IF(COUNT(CHOOSE('Controls'!$E$5,I411,I412,I413))=1,CHOOSE('Controls'!$E$5,I411,I412,I413),NA())</x:f>
        <x:v>0.1</x:v>
      </x:c>
    </x:row>
    <x:row r="411" ht="30" customHeight="1">
      <x:c r="C411" s="64" t="str">
        <x:v>Base</x:v>
      </x:c>
      <x:c r="D411" s="63"/>
      <x:c r="E411" s="85" t="n">
        <x:v>0.1</x:v>
      </x:c>
      <x:c r="F411" s="85" t="n">
        <x:v>0.1</x:v>
      </x:c>
      <x:c r="G411" s="85" t="n">
        <x:v>0.1</x:v>
      </x:c>
      <x:c r="H411" s="85" t="n">
        <x:v>0.1</x:v>
      </x:c>
      <x:c r="I411" s="85" t="n">
        <x:v>0.1</x:v>
      </x:c>
    </x:row>
    <x:row r="412" ht="30" customHeight="1">
      <x:c r="C412" s="64" t="str">
        <x:v>Downside</x:v>
      </x:c>
      <x:c r="D412" s="63"/>
      <x:c r="E412" s="85" t="n">
        <x:v>0.1</x:v>
      </x:c>
      <x:c r="F412" s="85" t="n">
        <x:v>0.1</x:v>
      </x:c>
      <x:c r="G412" s="85" t="n">
        <x:v>0.1</x:v>
      </x:c>
      <x:c r="H412" s="85" t="n">
        <x:v>0.1</x:v>
      </x:c>
      <x:c r="I412" s="85" t="n">
        <x:v>0.1</x:v>
      </x:c>
    </x:row>
    <x:row r="413" ht="30" customHeight="1">
      <x:c r="C413" s="64" t="str">
        <x:v>Upside</x:v>
      </x:c>
      <x:c r="D413" s="63"/>
      <x:c r="E413" s="85" t="n">
        <x:v>0.1</x:v>
      </x:c>
      <x:c r="F413" s="85" t="n">
        <x:v>0.1</x:v>
      </x:c>
      <x:c r="G413" s="85" t="n">
        <x:v>0.1</x:v>
      </x:c>
      <x:c r="H413" s="85" t="n">
        <x:v>0.1</x:v>
      </x:c>
      <x:c r="I413" s="85" t="n">
        <x:v>0.1</x:v>
      </x:c>
    </x:row>
    <x:row r="414" ht="30" customHeight="1">
      <x:c r="C414" s="64"/>
      <x:c r="D414" s="63"/>
      <x:c r="E414" s="63"/>
      <x:c r="F414" s="63"/>
      <x:c r="G414" s="63"/>
      <x:c r="H414" s="63"/>
      <x:c r="I414" s="63"/>
    </x:row>
    <x:row r="415" ht="30" customHeight="1">
      <x:c r="C415" s="64" t="str">
        <x:v>Cash capex / revenue — active</x:v>
      </x:c>
      <x:c r="D415" s="63"/>
      <x:c r="E415" s="83" t="n">
        <x:f>IF(COUNT(CHOOSE('Controls'!$E$5,E416,E417,E418))=1,CHOOSE('Controls'!$E$5,E416,E417,E418),NA())</x:f>
        <x:v>0.09</x:v>
      </x:c>
      <x:c r="F415" s="83" t="n">
        <x:f>IF(COUNT(CHOOSE('Controls'!$E$5,F416,F417,F418))=1,CHOOSE('Controls'!$E$5,F416,F417,F418),NA())</x:f>
        <x:v>0.09</x:v>
      </x:c>
      <x:c r="G415" s="83" t="n">
        <x:f>IF(COUNT(CHOOSE('Controls'!$E$5,G416,G417,G418))=1,CHOOSE('Controls'!$E$5,G416,G417,G418),NA())</x:f>
        <x:v>0.09</x:v>
      </x:c>
      <x:c r="H415" s="83" t="n">
        <x:f>IF(COUNT(CHOOSE('Controls'!$E$5,H416,H417,H418))=1,CHOOSE('Controls'!$E$5,H416,H417,H418),NA())</x:f>
        <x:v>0.09</x:v>
      </x:c>
      <x:c r="I415" s="83" t="n">
        <x:f>IF(COUNT(CHOOSE('Controls'!$E$5,I416,I417,I418))=1,CHOOSE('Controls'!$E$5,I416,I417,I418),NA())</x:f>
        <x:v>0.09</x:v>
      </x:c>
    </x:row>
    <x:row r="416" ht="30" customHeight="1">
      <x:c r="C416" s="64" t="str">
        <x:v>Base</x:v>
      </x:c>
      <x:c r="D416" s="63"/>
      <x:c r="E416" s="85" t="n">
        <x:v>0.09</x:v>
      </x:c>
      <x:c r="F416" s="85" t="n">
        <x:v>0.09</x:v>
      </x:c>
      <x:c r="G416" s="85" t="n">
        <x:v>0.09</x:v>
      </x:c>
      <x:c r="H416" s="85" t="n">
        <x:v>0.09</x:v>
      </x:c>
      <x:c r="I416" s="85" t="n">
        <x:v>0.09</x:v>
      </x:c>
    </x:row>
    <x:row r="417" ht="30" customHeight="1">
      <x:c r="C417" s="64" t="str">
        <x:v>Downside</x:v>
      </x:c>
      <x:c r="D417" s="63"/>
      <x:c r="E417" s="85" t="n">
        <x:v>0.09</x:v>
      </x:c>
      <x:c r="F417" s="85" t="n">
        <x:v>0.09</x:v>
      </x:c>
      <x:c r="G417" s="85" t="n">
        <x:v>0.09</x:v>
      </x:c>
      <x:c r="H417" s="85" t="n">
        <x:v>0.09</x:v>
      </x:c>
      <x:c r="I417" s="85" t="n">
        <x:v>0.09</x:v>
      </x:c>
    </x:row>
    <x:row r="418" ht="30" customHeight="1">
      <x:c r="C418" s="64" t="str">
        <x:v>Upside</x:v>
      </x:c>
      <x:c r="D418" s="63"/>
      <x:c r="E418" s="85" t="n">
        <x:v>0.09</x:v>
      </x:c>
      <x:c r="F418" s="85" t="n">
        <x:v>0.09</x:v>
      </x:c>
      <x:c r="G418" s="85" t="n">
        <x:v>0.09</x:v>
      </x:c>
      <x:c r="H418" s="85" t="n">
        <x:v>0.09</x:v>
      </x:c>
      <x:c r="I418" s="85" t="n">
        <x:v>0.09</x:v>
      </x:c>
    </x:row>
    <x:row r="419" ht="30" customHeight="1">
      <x:c r="C419" s="64"/>
      <x:c r="D419" s="63"/>
      <x:c r="E419" s="63"/>
      <x:c r="F419" s="63"/>
      <x:c r="G419" s="63"/>
      <x:c r="H419" s="63"/>
      <x:c r="I419" s="63"/>
    </x:row>
    <x:row r="420" ht="30" customHeight="1">
      <x:c r="C420" s="64" t="str">
        <x:v>D&amp;A / opening net PP&amp;E — active</x:v>
      </x:c>
      <x:c r="D420" s="63"/>
      <x:c r="E420" s="83" t="n">
        <x:f>IF(COUNT(CHOOSE('Controls'!$E$5,E421,E422,E423))=1,CHOOSE('Controls'!$E$5,E421,E422,E423),NA())</x:f>
        <x:v>0.07</x:v>
      </x:c>
      <x:c r="F420" s="83" t="n">
        <x:f>IF(COUNT(CHOOSE('Controls'!$E$5,F421,F422,F423))=1,CHOOSE('Controls'!$E$5,F421,F422,F423),NA())</x:f>
        <x:v>0.07</x:v>
      </x:c>
      <x:c r="G420" s="83" t="n">
        <x:f>IF(COUNT(CHOOSE('Controls'!$E$5,G421,G422,G423))=1,CHOOSE('Controls'!$E$5,G421,G422,G423),NA())</x:f>
        <x:v>0.07</x:v>
      </x:c>
      <x:c r="H420" s="83" t="n">
        <x:f>IF(COUNT(CHOOSE('Controls'!$E$5,H421,H422,H423))=1,CHOOSE('Controls'!$E$5,H421,H422,H423),NA())</x:f>
        <x:v>0.07</x:v>
      </x:c>
      <x:c r="I420" s="83" t="n">
        <x:f>IF(COUNT(CHOOSE('Controls'!$E$5,I421,I422,I423))=1,CHOOSE('Controls'!$E$5,I421,I422,I423),NA())</x:f>
        <x:v>0.07</x:v>
      </x:c>
    </x:row>
    <x:row r="421" ht="30" customHeight="1">
      <x:c r="C421" s="64" t="str">
        <x:v>Base</x:v>
      </x:c>
      <x:c r="D421" s="63"/>
      <x:c r="E421" s="85" t="n">
        <x:v>0.07</x:v>
      </x:c>
      <x:c r="F421" s="85" t="n">
        <x:v>0.07</x:v>
      </x:c>
      <x:c r="G421" s="85" t="n">
        <x:v>0.07</x:v>
      </x:c>
      <x:c r="H421" s="85" t="n">
        <x:v>0.07</x:v>
      </x:c>
      <x:c r="I421" s="85" t="n">
        <x:v>0.07</x:v>
      </x:c>
    </x:row>
    <x:row r="422" ht="30" customHeight="1">
      <x:c r="C422" s="64" t="str">
        <x:v>Downside</x:v>
      </x:c>
      <x:c r="D422" s="63"/>
      <x:c r="E422" s="85" t="n">
        <x:v>0.07</x:v>
      </x:c>
      <x:c r="F422" s="85" t="n">
        <x:v>0.07</x:v>
      </x:c>
      <x:c r="G422" s="85" t="n">
        <x:v>0.07</x:v>
      </x:c>
      <x:c r="H422" s="85" t="n">
        <x:v>0.07</x:v>
      </x:c>
      <x:c r="I422" s="85" t="n">
        <x:v>0.07</x:v>
      </x:c>
    </x:row>
    <x:row r="423" ht="30" customHeight="1">
      <x:c r="C423" s="64" t="str">
        <x:v>Upside</x:v>
      </x:c>
      <x:c r="D423" s="63"/>
      <x:c r="E423" s="85" t="n">
        <x:v>0.07</x:v>
      </x:c>
      <x:c r="F423" s="85" t="n">
        <x:v>0.07</x:v>
      </x:c>
      <x:c r="G423" s="85" t="n">
        <x:v>0.07</x:v>
      </x:c>
      <x:c r="H423" s="85" t="n">
        <x:v>0.07</x:v>
      </x:c>
      <x:c r="I423" s="85" t="n">
        <x:v>0.07</x:v>
      </x:c>
    </x:row>
    <x:row r="424" ht="30" customHeight="1">
      <x:c r="C424" s="64"/>
      <x:c r="D424" s="63"/>
      <x:c r="E424" s="63"/>
      <x:c r="F424" s="63"/>
      <x:c r="G424" s="63"/>
      <x:c r="H424" s="63"/>
      <x:c r="I424" s="63"/>
    </x:row>
    <x:row r="425" ht="30" customHeight="1">
      <x:c r="C425" s="64" t="str">
        <x:v>Receivable days — active</x:v>
      </x:c>
      <x:c r="D425" s="63"/>
      <x:c r="E425" s="8" t="n">
        <x:f>IF(COUNT(CHOOSE('Controls'!$E$5,E426,E427,E428))=1,CHOOSE('Controls'!$E$5,E426,E427,E428),NA())</x:f>
        <x:v>30</x:v>
      </x:c>
      <x:c r="F425" s="8" t="n">
        <x:f>IF(COUNT(CHOOSE('Controls'!$E$5,F426,F427,F428))=1,CHOOSE('Controls'!$E$5,F426,F427,F428),NA())</x:f>
        <x:v>30</x:v>
      </x:c>
      <x:c r="G425" s="8" t="n">
        <x:f>IF(COUNT(CHOOSE('Controls'!$E$5,G426,G427,G428))=1,CHOOSE('Controls'!$E$5,G426,G427,G428),NA())</x:f>
        <x:v>30</x:v>
      </x:c>
      <x:c r="H425" s="8" t="n">
        <x:f>IF(COUNT(CHOOSE('Controls'!$E$5,H426,H427,H428))=1,CHOOSE('Controls'!$E$5,H426,H427,H428),NA())</x:f>
        <x:v>30</x:v>
      </x:c>
      <x:c r="I425" s="8" t="n">
        <x:f>IF(COUNT(CHOOSE('Controls'!$E$5,I426,I427,I428))=1,CHOOSE('Controls'!$E$5,I426,I427,I428),NA())</x:f>
        <x:v>30</x:v>
      </x:c>
    </x:row>
    <x:row r="426" ht="30" customHeight="1">
      <x:c r="C426" s="64" t="str">
        <x:v>Base</x:v>
      </x:c>
      <x:c r="D426" s="63"/>
      <x:c r="E426" s="74" t="n">
        <x:v>30</x:v>
      </x:c>
      <x:c r="F426" s="74" t="n">
        <x:v>30</x:v>
      </x:c>
      <x:c r="G426" s="74" t="n">
        <x:v>30</x:v>
      </x:c>
      <x:c r="H426" s="74" t="n">
        <x:v>30</x:v>
      </x:c>
      <x:c r="I426" s="74" t="n">
        <x:v>30</x:v>
      </x:c>
    </x:row>
    <x:row r="427" ht="30" customHeight="1">
      <x:c r="C427" s="64" t="str">
        <x:v>Downside</x:v>
      </x:c>
      <x:c r="D427" s="63"/>
      <x:c r="E427" s="74" t="n">
        <x:v>30</x:v>
      </x:c>
      <x:c r="F427" s="74" t="n">
        <x:v>30</x:v>
      </x:c>
      <x:c r="G427" s="74" t="n">
        <x:v>30</x:v>
      </x:c>
      <x:c r="H427" s="74" t="n">
        <x:v>30</x:v>
      </x:c>
      <x:c r="I427" s="74" t="n">
        <x:v>30</x:v>
      </x:c>
    </x:row>
    <x:row r="428" ht="30" customHeight="1">
      <x:c r="C428" s="64" t="str">
        <x:v>Upside</x:v>
      </x:c>
      <x:c r="D428" s="63"/>
      <x:c r="E428" s="74" t="n">
        <x:v>30</x:v>
      </x:c>
      <x:c r="F428" s="74" t="n">
        <x:v>30</x:v>
      </x:c>
      <x:c r="G428" s="74" t="n">
        <x:v>30</x:v>
      </x:c>
      <x:c r="H428" s="74" t="n">
        <x:v>30</x:v>
      </x:c>
      <x:c r="I428" s="74" t="n">
        <x:v>30</x:v>
      </x:c>
    </x:row>
    <x:row r="429" ht="30" customHeight="1">
      <x:c r="C429" s="64"/>
      <x:c r="D429" s="63"/>
      <x:c r="E429" s="63"/>
      <x:c r="F429" s="63"/>
      <x:c r="G429" s="63"/>
      <x:c r="H429" s="63"/>
      <x:c r="I429" s="63"/>
    </x:row>
    <x:row r="430" ht="30" customHeight="1">
      <x:c r="C430" s="64" t="str">
        <x:v>Inventory days — active</x:v>
      </x:c>
      <x:c r="D430" s="63"/>
      <x:c r="E430" s="8" t="n">
        <x:f>IF(COUNT(CHOOSE('Controls'!$E$5,E431,E432,E433))=1,CHOOSE('Controls'!$E$5,E431,E432,E433),NA())</x:f>
        <x:v>70</x:v>
      </x:c>
      <x:c r="F430" s="8" t="n">
        <x:f>IF(COUNT(CHOOSE('Controls'!$E$5,F431,F432,F433))=1,CHOOSE('Controls'!$E$5,F431,F432,F433),NA())</x:f>
        <x:v>70</x:v>
      </x:c>
      <x:c r="G430" s="8" t="n">
        <x:f>IF(COUNT(CHOOSE('Controls'!$E$5,G431,G432,G433))=1,CHOOSE('Controls'!$E$5,G431,G432,G433),NA())</x:f>
        <x:v>70</x:v>
      </x:c>
      <x:c r="H430" s="8" t="n">
        <x:f>IF(COUNT(CHOOSE('Controls'!$E$5,H431,H432,H433))=1,CHOOSE('Controls'!$E$5,H431,H432,H433),NA())</x:f>
        <x:v>70</x:v>
      </x:c>
      <x:c r="I430" s="8" t="n">
        <x:f>IF(COUNT(CHOOSE('Controls'!$E$5,I431,I432,I433))=1,CHOOSE('Controls'!$E$5,I431,I432,I433),NA())</x:f>
        <x:v>70</x:v>
      </x:c>
    </x:row>
    <x:row r="431" ht="30" customHeight="1">
      <x:c r="C431" s="64" t="str">
        <x:v>Base</x:v>
      </x:c>
      <x:c r="D431" s="63"/>
      <x:c r="E431" s="74" t="n">
        <x:v>70</x:v>
      </x:c>
      <x:c r="F431" s="74" t="n">
        <x:v>70</x:v>
      </x:c>
      <x:c r="G431" s="74" t="n">
        <x:v>70</x:v>
      </x:c>
      <x:c r="H431" s="74" t="n">
        <x:v>70</x:v>
      </x:c>
      <x:c r="I431" s="74" t="n">
        <x:v>70</x:v>
      </x:c>
    </x:row>
    <x:row r="432" ht="30" customHeight="1">
      <x:c r="C432" s="64" t="str">
        <x:v>Downside</x:v>
      </x:c>
      <x:c r="D432" s="63"/>
      <x:c r="E432" s="74" t="n">
        <x:v>70</x:v>
      </x:c>
      <x:c r="F432" s="74" t="n">
        <x:v>70</x:v>
      </x:c>
      <x:c r="G432" s="74" t="n">
        <x:v>70</x:v>
      </x:c>
      <x:c r="H432" s="74" t="n">
        <x:v>70</x:v>
      </x:c>
      <x:c r="I432" s="74" t="n">
        <x:v>70</x:v>
      </x:c>
    </x:row>
    <x:row r="433" ht="30" customHeight="1">
      <x:c r="C433" s="64" t="str">
        <x:v>Upside</x:v>
      </x:c>
      <x:c r="D433" s="63"/>
      <x:c r="E433" s="74" t="n">
        <x:v>70</x:v>
      </x:c>
      <x:c r="F433" s="74" t="n">
        <x:v>70</x:v>
      </x:c>
      <x:c r="G433" s="74" t="n">
        <x:v>70</x:v>
      </x:c>
      <x:c r="H433" s="74" t="n">
        <x:v>70</x:v>
      </x:c>
      <x:c r="I433" s="74" t="n">
        <x:v>70</x:v>
      </x:c>
    </x:row>
    <x:row r="434" ht="30" customHeight="1">
      <x:c r="C434" s="64"/>
      <x:c r="D434" s="63"/>
      <x:c r="E434" s="63"/>
      <x:c r="F434" s="63"/>
      <x:c r="G434" s="63"/>
      <x:c r="H434" s="63"/>
      <x:c r="I434" s="63"/>
    </x:row>
    <x:row r="435" ht="30" customHeight="1">
      <x:c r="C435" s="64" t="str">
        <x:v>Payable days — active</x:v>
      </x:c>
      <x:c r="D435" s="63"/>
      <x:c r="E435" s="8" t="n">
        <x:f>IF(COUNT(CHOOSE('Controls'!$E$5,E436,E437,E438))=1,CHOOSE('Controls'!$E$5,E436,E437,E438),NA())</x:f>
        <x:v>40</x:v>
      </x:c>
      <x:c r="F435" s="8" t="n">
        <x:f>IF(COUNT(CHOOSE('Controls'!$E$5,F436,F437,F438))=1,CHOOSE('Controls'!$E$5,F436,F437,F438),NA())</x:f>
        <x:v>40</x:v>
      </x:c>
      <x:c r="G435" s="8" t="n">
        <x:f>IF(COUNT(CHOOSE('Controls'!$E$5,G436,G437,G438))=1,CHOOSE('Controls'!$E$5,G436,G437,G438),NA())</x:f>
        <x:v>40</x:v>
      </x:c>
      <x:c r="H435" s="8" t="n">
        <x:f>IF(COUNT(CHOOSE('Controls'!$E$5,H436,H437,H438))=1,CHOOSE('Controls'!$E$5,H436,H437,H438),NA())</x:f>
        <x:v>40</x:v>
      </x:c>
      <x:c r="I435" s="8" t="n">
        <x:f>IF(COUNT(CHOOSE('Controls'!$E$5,I436,I437,I438))=1,CHOOSE('Controls'!$E$5,I436,I437,I438),NA())</x:f>
        <x:v>40</x:v>
      </x:c>
    </x:row>
    <x:row r="436" ht="30" customHeight="1">
      <x:c r="C436" s="64" t="str">
        <x:v>Base</x:v>
      </x:c>
      <x:c r="D436" s="63"/>
      <x:c r="E436" s="74" t="n">
        <x:v>40</x:v>
      </x:c>
      <x:c r="F436" s="74" t="n">
        <x:v>40</x:v>
      </x:c>
      <x:c r="G436" s="74" t="n">
        <x:v>40</x:v>
      </x:c>
      <x:c r="H436" s="74" t="n">
        <x:v>40</x:v>
      </x:c>
      <x:c r="I436" s="74" t="n">
        <x:v>40</x:v>
      </x:c>
    </x:row>
    <x:row r="437" ht="30" customHeight="1">
      <x:c r="C437" s="64" t="str">
        <x:v>Downside</x:v>
      </x:c>
      <x:c r="D437" s="63"/>
      <x:c r="E437" s="74" t="n">
        <x:v>40</x:v>
      </x:c>
      <x:c r="F437" s="74" t="n">
        <x:v>40</x:v>
      </x:c>
      <x:c r="G437" s="74" t="n">
        <x:v>40</x:v>
      </x:c>
      <x:c r="H437" s="74" t="n">
        <x:v>40</x:v>
      </x:c>
      <x:c r="I437" s="74" t="n">
        <x:v>40</x:v>
      </x:c>
    </x:row>
    <x:row r="438" ht="30" customHeight="1">
      <x:c r="C438" s="64" t="str">
        <x:v>Upside</x:v>
      </x:c>
      <x:c r="D438" s="63"/>
      <x:c r="E438" s="74" t="n">
        <x:v>40</x:v>
      </x:c>
      <x:c r="F438" s="74" t="n">
        <x:v>40</x:v>
      </x:c>
      <x:c r="G438" s="74" t="n">
        <x:v>40</x:v>
      </x:c>
      <x:c r="H438" s="74" t="n">
        <x:v>40</x:v>
      </x:c>
      <x:c r="I438" s="74" t="n">
        <x:v>40</x:v>
      </x:c>
    </x:row>
    <x:row r="439" ht="30" customHeight="1">
      <x:c r="C439" s="64"/>
      <x:c r="D439" s="63"/>
      <x:c r="E439" s="63"/>
      <x:c r="F439" s="63"/>
      <x:c r="G439" s="63"/>
      <x:c r="H439" s="63"/>
      <x:c r="I439" s="63"/>
    </x:row>
    <x:row r="440" ht="30" customHeight="1">
      <x:c r="C440" s="64" t="str">
        <x:v>Effective cash tax rate — active</x:v>
      </x:c>
      <x:c r="D440" s="63"/>
      <x:c r="E440" s="83" t="n">
        <x:f>IF(COUNT(CHOOSE('Controls'!$E$5,E441,E442,E443))=1,CHOOSE('Controls'!$E$5,E441,E442,E443),NA())</x:f>
        <x:v>0.25</x:v>
      </x:c>
      <x:c r="F440" s="83" t="n">
        <x:f>IF(COUNT(CHOOSE('Controls'!$E$5,F441,F442,F443))=1,CHOOSE('Controls'!$E$5,F441,F442,F443),NA())</x:f>
        <x:v>0.25</x:v>
      </x:c>
      <x:c r="G440" s="83" t="n">
        <x:f>IF(COUNT(CHOOSE('Controls'!$E$5,G441,G442,G443))=1,CHOOSE('Controls'!$E$5,G441,G442,G443),NA())</x:f>
        <x:v>0.25</x:v>
      </x:c>
      <x:c r="H440" s="83" t="n">
        <x:f>IF(COUNT(CHOOSE('Controls'!$E$5,H441,H442,H443))=1,CHOOSE('Controls'!$E$5,H441,H442,H443),NA())</x:f>
        <x:v>0.25</x:v>
      </x:c>
      <x:c r="I440" s="83" t="n">
        <x:f>IF(COUNT(CHOOSE('Controls'!$E$5,I441,I442,I443))=1,CHOOSE('Controls'!$E$5,I441,I442,I443),NA())</x:f>
        <x:v>0.25</x:v>
      </x:c>
    </x:row>
    <x:row r="441" ht="30" customHeight="1">
      <x:c r="C441" s="64" t="str">
        <x:v>Base</x:v>
      </x:c>
      <x:c r="D441" s="63"/>
      <x:c r="E441" s="85" t="n">
        <x:v>0.25</x:v>
      </x:c>
      <x:c r="F441" s="85" t="n">
        <x:v>0.25</x:v>
      </x:c>
      <x:c r="G441" s="85" t="n">
        <x:v>0.25</x:v>
      </x:c>
      <x:c r="H441" s="85" t="n">
        <x:v>0.25</x:v>
      </x:c>
      <x:c r="I441" s="85" t="n">
        <x:v>0.25</x:v>
      </x:c>
    </x:row>
    <x:row r="442" ht="30" customHeight="1">
      <x:c r="C442" s="64" t="str">
        <x:v>Downside</x:v>
      </x:c>
      <x:c r="D442" s="63"/>
      <x:c r="E442" s="85" t="n">
        <x:v>0.25</x:v>
      </x:c>
      <x:c r="F442" s="85" t="n">
        <x:v>0.25</x:v>
      </x:c>
      <x:c r="G442" s="85" t="n">
        <x:v>0.25</x:v>
      </x:c>
      <x:c r="H442" s="85" t="n">
        <x:v>0.25</x:v>
      </x:c>
      <x:c r="I442" s="85" t="n">
        <x:v>0.25</x:v>
      </x:c>
    </x:row>
    <x:row r="443" ht="30" customHeight="1">
      <x:c r="C443" s="64" t="str">
        <x:v>Upside</x:v>
      </x:c>
      <x:c r="D443" s="63"/>
      <x:c r="E443" s="85" t="n">
        <x:v>0.25</x:v>
      </x:c>
      <x:c r="F443" s="85" t="n">
        <x:v>0.25</x:v>
      </x:c>
      <x:c r="G443" s="85" t="n">
        <x:v>0.25</x:v>
      </x:c>
      <x:c r="H443" s="85" t="n">
        <x:v>0.25</x:v>
      </x:c>
      <x:c r="I443" s="85" t="n">
        <x:v>0.25</x:v>
      </x:c>
    </x:row>
    <x:row r="444" ht="30" customHeight="1">
      <x:c r="C444" s="64"/>
      <x:c r="D444" s="63"/>
      <x:c r="E444" s="63"/>
      <x:c r="F444" s="63"/>
      <x:c r="G444" s="63"/>
      <x:c r="H444" s="63"/>
      <x:c r="I444" s="63"/>
    </x:row>
    <x:row r="445" ht="30" customHeight="1">
      <x:c r="C445" s="64" t="str">
        <x:v>Interest on opening debt — active</x:v>
      </x:c>
      <x:c r="D445" s="63"/>
      <x:c r="E445" s="83" t="n">
        <x:f>IF(COUNT(CHOOSE('Controls'!$E$5,E446,E447,E448))=1,CHOOSE('Controls'!$E$5,E446,E447,E448),NA())</x:f>
        <x:v>0.085</x:v>
      </x:c>
      <x:c r="F445" s="83" t="n">
        <x:f>IF(COUNT(CHOOSE('Controls'!$E$5,F446,F447,F448))=1,CHOOSE('Controls'!$E$5,F446,F447,F448),NA())</x:f>
        <x:v>0.085</x:v>
      </x:c>
      <x:c r="G445" s="83" t="n">
        <x:f>IF(COUNT(CHOOSE('Controls'!$E$5,G446,G447,G448))=1,CHOOSE('Controls'!$E$5,G446,G447,G448),NA())</x:f>
        <x:v>0.085</x:v>
      </x:c>
      <x:c r="H445" s="83" t="n">
        <x:f>IF(COUNT(CHOOSE('Controls'!$E$5,H446,H447,H448))=1,CHOOSE('Controls'!$E$5,H446,H447,H448),NA())</x:f>
        <x:v>0.085</x:v>
      </x:c>
      <x:c r="I445" s="83" t="n">
        <x:f>IF(COUNT(CHOOSE('Controls'!$E$5,I446,I447,I448))=1,CHOOSE('Controls'!$E$5,I446,I447,I448),NA())</x:f>
        <x:v>0.085</x:v>
      </x:c>
    </x:row>
    <x:row r="446" ht="30" customHeight="1">
      <x:c r="C446" s="64" t="str">
        <x:v>Base</x:v>
      </x:c>
      <x:c r="D446" s="63"/>
      <x:c r="E446" s="85" t="n">
        <x:v>0.085</x:v>
      </x:c>
      <x:c r="F446" s="85" t="n">
        <x:v>0.085</x:v>
      </x:c>
      <x:c r="G446" s="85" t="n">
        <x:v>0.085</x:v>
      </x:c>
      <x:c r="H446" s="85" t="n">
        <x:v>0.085</x:v>
      </x:c>
      <x:c r="I446" s="85" t="n">
        <x:v>0.085</x:v>
      </x:c>
    </x:row>
    <x:row r="447" ht="30" customHeight="1">
      <x:c r="C447" s="64" t="str">
        <x:v>Downside</x:v>
      </x:c>
      <x:c r="D447" s="63"/>
      <x:c r="E447" s="85" t="n">
        <x:v>0.085</x:v>
      </x:c>
      <x:c r="F447" s="85" t="n">
        <x:v>0.085</x:v>
      </x:c>
      <x:c r="G447" s="85" t="n">
        <x:v>0.085</x:v>
      </x:c>
      <x:c r="H447" s="85" t="n">
        <x:v>0.085</x:v>
      </x:c>
      <x:c r="I447" s="85" t="n">
        <x:v>0.085</x:v>
      </x:c>
    </x:row>
    <x:row r="448" ht="30" customHeight="1">
      <x:c r="C448" s="64" t="str">
        <x:v>Upside</x:v>
      </x:c>
      <x:c r="D448" s="63"/>
      <x:c r="E448" s="85" t="n">
        <x:v>0.085</x:v>
      </x:c>
      <x:c r="F448" s="85" t="n">
        <x:v>0.085</x:v>
      </x:c>
      <x:c r="G448" s="85" t="n">
        <x:v>0.085</x:v>
      </x:c>
      <x:c r="H448" s="85" t="n">
        <x:v>0.085</x:v>
      </x:c>
      <x:c r="I448" s="85" t="n">
        <x:v>0.085</x:v>
      </x:c>
    </x:row>
    <x:row r="449" ht="30" customHeight="1">
      <x:c r="C449" s="64"/>
      <x:c r="D449" s="63"/>
      <x:c r="E449" s="63"/>
      <x:c r="F449" s="63"/>
      <x:c r="G449" s="63"/>
      <x:c r="H449" s="63"/>
      <x:c r="I449" s="63"/>
    </x:row>
    <x:row r="450" ht="30" customHeight="1">
      <x:c r="C450" s="64" t="str">
        <x:v>New borrowing — active</x:v>
      </x:c>
      <x:c r="D450" s="63"/>
      <x:c r="E450" s="8" t="n">
        <x:f>IF(COUNT(CHOOSE('Controls'!$E$5,E451,E452,E453))=1,CHOOSE('Controls'!$E$5,E451,E452,E453),NA())</x:f>
        <x:v>0</x:v>
      </x:c>
      <x:c r="F450" s="8" t="n">
        <x:f>IF(COUNT(CHOOSE('Controls'!$E$5,F451,F452,F453))=1,CHOOSE('Controls'!$E$5,F451,F452,F453),NA())</x:f>
        <x:v>0</x:v>
      </x:c>
      <x:c r="G450" s="8" t="n">
        <x:f>IF(COUNT(CHOOSE('Controls'!$E$5,G451,G452,G453))=1,CHOOSE('Controls'!$E$5,G451,G452,G453),NA())</x:f>
        <x:v>0</x:v>
      </x:c>
      <x:c r="H450" s="8" t="n">
        <x:f>IF(COUNT(CHOOSE('Controls'!$E$5,H451,H452,H453))=1,CHOOSE('Controls'!$E$5,H451,H452,H453),NA())</x:f>
        <x:v>0</x:v>
      </x:c>
      <x:c r="I450" s="8" t="n">
        <x:f>IF(COUNT(CHOOSE('Controls'!$E$5,I451,I452,I453))=1,CHOOSE('Controls'!$E$5,I451,I452,I453),NA())</x:f>
        <x:v>0</x:v>
      </x:c>
    </x:row>
    <x:row r="451" ht="30" customHeight="1">
      <x:c r="C451" s="64" t="str">
        <x:v>Base</x:v>
      </x:c>
      <x:c r="D451" s="63"/>
      <x:c r="E451" s="74" t="n">
        <x:v>0</x:v>
      </x:c>
      <x:c r="F451" s="74" t="n">
        <x:v>0</x:v>
      </x:c>
      <x:c r="G451" s="74" t="n">
        <x:v>0</x:v>
      </x:c>
      <x:c r="H451" s="74" t="n">
        <x:v>0</x:v>
      </x:c>
      <x:c r="I451" s="74" t="n">
        <x:v>0</x:v>
      </x:c>
    </x:row>
    <x:row r="452" ht="30" customHeight="1">
      <x:c r="C452" s="64" t="str">
        <x:v>Downside</x:v>
      </x:c>
      <x:c r="D452" s="63"/>
      <x:c r="E452" s="74" t="n">
        <x:v>0</x:v>
      </x:c>
      <x:c r="F452" s="74" t="n">
        <x:v>0</x:v>
      </x:c>
      <x:c r="G452" s="74" t="n">
        <x:v>0</x:v>
      </x:c>
      <x:c r="H452" s="74" t="n">
        <x:v>0</x:v>
      </x:c>
      <x:c r="I452" s="74" t="n">
        <x:v>0</x:v>
      </x:c>
    </x:row>
    <x:row r="453" ht="30" customHeight="1">
      <x:c r="C453" s="64" t="str">
        <x:v>Upside</x:v>
      </x:c>
      <x:c r="D453" s="63"/>
      <x:c r="E453" s="74" t="n">
        <x:v>0</x:v>
      </x:c>
      <x:c r="F453" s="74" t="n">
        <x:v>0</x:v>
      </x:c>
      <x:c r="G453" s="74" t="n">
        <x:v>0</x:v>
      </x:c>
      <x:c r="H453" s="74" t="n">
        <x:v>0</x:v>
      </x:c>
      <x:c r="I453" s="74" t="n">
        <x:v>0</x:v>
      </x:c>
    </x:row>
    <x:row r="454" ht="30" customHeight="1">
      <x:c r="C454" s="64"/>
      <x:c r="D454" s="63"/>
      <x:c r="E454" s="63"/>
      <x:c r="F454" s="63"/>
      <x:c r="G454" s="63"/>
      <x:c r="H454" s="63"/>
      <x:c r="I454" s="63"/>
    </x:row>
    <x:row r="455" ht="30" customHeight="1">
      <x:c r="C455" s="64" t="str">
        <x:v>Scheduled principal repayment — active</x:v>
      </x:c>
      <x:c r="D455" s="63"/>
      <x:c r="E455" s="8" t="n">
        <x:f>IF(COUNT(CHOOSE('Controls'!$E$5,E456,E457,E458))=1,CHOOSE('Controls'!$E$5,E456,E457,E458),NA())</x:f>
        <x:v>850</x:v>
      </x:c>
      <x:c r="F455" s="8" t="n">
        <x:f>IF(COUNT(CHOOSE('Controls'!$E$5,F456,F457,F458))=1,CHOOSE('Controls'!$E$5,F456,F457,F458),NA())</x:f>
        <x:v>850</x:v>
      </x:c>
      <x:c r="G455" s="8" t="n">
        <x:f>IF(COUNT(CHOOSE('Controls'!$E$5,G456,G457,G458))=1,CHOOSE('Controls'!$E$5,G456,G457,G458),NA())</x:f>
        <x:v>850</x:v>
      </x:c>
      <x:c r="H455" s="8" t="n">
        <x:f>IF(COUNT(CHOOSE('Controls'!$E$5,H456,H457,H458))=1,CHOOSE('Controls'!$E$5,H456,H457,H458),NA())</x:f>
        <x:v>850</x:v>
      </x:c>
      <x:c r="I455" s="8" t="n">
        <x:f>IF(COUNT(CHOOSE('Controls'!$E$5,I456,I457,I458))=1,CHOOSE('Controls'!$E$5,I456,I457,I458),NA())</x:f>
        <x:v>850</x:v>
      </x:c>
    </x:row>
    <x:row r="456" ht="30" customHeight="1">
      <x:c r="C456" s="64" t="str">
        <x:v>Base</x:v>
      </x:c>
      <x:c r="D456" s="63"/>
      <x:c r="E456" s="74" t="n">
        <x:v>850</x:v>
      </x:c>
      <x:c r="F456" s="74" t="n">
        <x:v>850</x:v>
      </x:c>
      <x:c r="G456" s="74" t="n">
        <x:v>850</x:v>
      </x:c>
      <x:c r="H456" s="74" t="n">
        <x:v>850</x:v>
      </x:c>
      <x:c r="I456" s="74" t="n">
        <x:v>850</x:v>
      </x:c>
    </x:row>
    <x:row r="457" ht="30" customHeight="1">
      <x:c r="C457" s="64" t="str">
        <x:v>Downside</x:v>
      </x:c>
      <x:c r="D457" s="63"/>
      <x:c r="E457" s="74" t="n">
        <x:v>850</x:v>
      </x:c>
      <x:c r="F457" s="74" t="n">
        <x:v>850</x:v>
      </x:c>
      <x:c r="G457" s="74" t="n">
        <x:v>850</x:v>
      </x:c>
      <x:c r="H457" s="74" t="n">
        <x:v>850</x:v>
      </x:c>
      <x:c r="I457" s="74" t="n">
        <x:v>850</x:v>
      </x:c>
    </x:row>
    <x:row r="458" ht="30" customHeight="1">
      <x:c r="C458" s="64" t="str">
        <x:v>Upside</x:v>
      </x:c>
      <x:c r="D458" s="63"/>
      <x:c r="E458" s="74" t="n">
        <x:v>850</x:v>
      </x:c>
      <x:c r="F458" s="74" t="n">
        <x:v>850</x:v>
      </x:c>
      <x:c r="G458" s="74" t="n">
        <x:v>850</x:v>
      </x:c>
      <x:c r="H458" s="74" t="n">
        <x:v>850</x:v>
      </x:c>
      <x:c r="I458" s="74" t="n">
        <x:v>850</x:v>
      </x:c>
    </x:row>
    <x:row r="459" ht="30" customHeight="1">
      <x:c r="C459" s="64"/>
      <x:c r="D459" s="63"/>
      <x:c r="E459" s="63"/>
      <x:c r="F459" s="63"/>
      <x:c r="G459" s="63"/>
      <x:c r="H459" s="63"/>
      <x:c r="I459" s="63"/>
    </x:row>
    <x:row r="460" ht="30" customHeight="1">
      <x:c r="C460" s="64" t="str">
        <x:v>Dividend payout on positive PAT — active</x:v>
      </x:c>
      <x:c r="D460" s="63"/>
      <x:c r="E460" s="83" t="n">
        <x:f>IF(COUNT(CHOOSE('Controls'!$E$5,E461,E462,E463))=1,CHOOSE('Controls'!$E$5,E461,E462,E463),NA())</x:f>
        <x:v>0.25</x:v>
      </x:c>
      <x:c r="F460" s="83" t="n">
        <x:f>IF(COUNT(CHOOSE('Controls'!$E$5,F461,F462,F463))=1,CHOOSE('Controls'!$E$5,F461,F462,F463),NA())</x:f>
        <x:v>0.25</x:v>
      </x:c>
      <x:c r="G460" s="83" t="n">
        <x:f>IF(COUNT(CHOOSE('Controls'!$E$5,G461,G462,G463))=1,CHOOSE('Controls'!$E$5,G461,G462,G463),NA())</x:f>
        <x:v>0.25</x:v>
      </x:c>
      <x:c r="H460" s="83" t="n">
        <x:f>IF(COUNT(CHOOSE('Controls'!$E$5,H461,H462,H463))=1,CHOOSE('Controls'!$E$5,H461,H462,H463),NA())</x:f>
        <x:v>0.25</x:v>
      </x:c>
      <x:c r="I460" s="83" t="n">
        <x:f>IF(COUNT(CHOOSE('Controls'!$E$5,I461,I462,I463))=1,CHOOSE('Controls'!$E$5,I461,I462,I463),NA())</x:f>
        <x:v>0.25</x:v>
      </x:c>
    </x:row>
    <x:row r="461" ht="30" customHeight="1">
      <x:c r="C461" s="64" t="str">
        <x:v>Base</x:v>
      </x:c>
      <x:c r="D461" s="63"/>
      <x:c r="E461" s="85" t="n">
        <x:v>0.25</x:v>
      </x:c>
      <x:c r="F461" s="85" t="n">
        <x:v>0.25</x:v>
      </x:c>
      <x:c r="G461" s="85" t="n">
        <x:v>0.25</x:v>
      </x:c>
      <x:c r="H461" s="85" t="n">
        <x:v>0.25</x:v>
      </x:c>
      <x:c r="I461" s="85" t="n">
        <x:v>0.25</x:v>
      </x:c>
    </x:row>
    <x:row r="462" ht="30" customHeight="1">
      <x:c r="C462" s="64" t="str">
        <x:v>Downside</x:v>
      </x:c>
      <x:c r="D462" s="63"/>
      <x:c r="E462" s="85" t="n">
        <x:v>0.25</x:v>
      </x:c>
      <x:c r="F462" s="85" t="n">
        <x:v>0.25</x:v>
      </x:c>
      <x:c r="G462" s="85" t="n">
        <x:v>0.25</x:v>
      </x:c>
      <x:c r="H462" s="85" t="n">
        <x:v>0.25</x:v>
      </x:c>
      <x:c r="I462" s="85" t="n">
        <x:v>0.25</x:v>
      </x:c>
    </x:row>
    <x:row r="463" ht="30" customHeight="1">
      <x:c r="C463" s="64" t="str">
        <x:v>Upside</x:v>
      </x:c>
      <x:c r="D463" s="63"/>
      <x:c r="E463" s="85" t="n">
        <x:v>0.25</x:v>
      </x:c>
      <x:c r="F463" s="85" t="n">
        <x:v>0.25</x:v>
      </x:c>
      <x:c r="G463" s="85" t="n">
        <x:v>0.25</x:v>
      </x:c>
      <x:c r="H463" s="85" t="n">
        <x:v>0.25</x:v>
      </x:c>
      <x:c r="I463" s="85" t="n">
        <x:v>0.25</x:v>
      </x:c>
    </x:row>
    <x:row r="464" ht="30" customHeight="1">
      <x:c r="C464" s="64"/>
      <x:c r="D464" s="63"/>
      <x:c r="E464" s="63"/>
      <x:c r="F464" s="63"/>
      <x:c r="G464" s="63"/>
      <x:c r="H464" s="63"/>
      <x:c r="I464" s="63"/>
    </x:row>
    <x:row r="465" ht="30" customHeight="1">
      <x:c r="C465" s="64"/>
      <x:c r="D465" s="63"/>
      <x:c r="E465" s="63"/>
      <x:c r="F465" s="63"/>
      <x:c r="G465" s="63"/>
      <x:c r="H465" s="63"/>
      <x:c r="I465" s="63"/>
    </x:row>
    <x:row r="466" ht="30" customHeight="1">
      <x:c r="C466" s="64"/>
      <x:c r="D466" s="63"/>
      <x:c r="E466" s="63"/>
      <x:c r="F466" s="63"/>
      <x:c r="G466" s="63"/>
      <x:c r="H466" s="63"/>
      <x:c r="I466" s="63"/>
    </x:row>
    <x:row r="467" ht="30" customHeight="1">
      <x:c r="C467" s="64"/>
      <x:c r="D467" s="63"/>
      <x:c r="E467" s="63"/>
      <x:c r="F467" s="63"/>
      <x:c r="G467" s="63"/>
      <x:c r="H467" s="63"/>
      <x:c r="I467" s="63"/>
    </x:row>
    <x:row r="468" ht="30" customHeight="1">
      <x:c r="C468" s="64"/>
      <x:c r="D468" s="63"/>
      <x:c r="E468" s="63"/>
      <x:c r="F468" s="63"/>
      <x:c r="G468" s="63"/>
      <x:c r="H468" s="63"/>
      <x:c r="I468" s="63"/>
    </x:row>
    <x:row r="469" ht="30" customHeight="1">
      <x:c r="C469" s="64"/>
      <x:c r="D469" s="63"/>
      <x:c r="E469" s="63"/>
      <x:c r="F469" s="63"/>
      <x:c r="G469" s="63"/>
      <x:c r="H469" s="63"/>
      <x:c r="I469" s="63"/>
    </x:row>
    <x:row r="470" ht="30" customHeight="1">
      <x:c r="C470" s="64"/>
      <x:c r="D470" s="63"/>
      <x:c r="E470" s="63"/>
      <x:c r="F470" s="63"/>
      <x:c r="G470" s="63"/>
      <x:c r="H470" s="63"/>
      <x:c r="I470" s="63"/>
    </x:row>
    <x:row r="471" ht="30" customHeight="1">
      <x:c r="C471" s="64"/>
      <x:c r="D471" s="63"/>
      <x:c r="E471" s="63"/>
      <x:c r="F471" s="63"/>
      <x:c r="G471" s="63"/>
      <x:c r="H471" s="63"/>
      <x:c r="I471" s="63"/>
    </x:row>
    <x:row r="472" ht="30" customHeight="1">
      <x:c r="C472" s="64"/>
      <x:c r="D472" s="63"/>
      <x:c r="E472" s="63"/>
      <x:c r="F472" s="63"/>
      <x:c r="G472" s="63"/>
      <x:c r="H472" s="63"/>
      <x:c r="I472" s="63"/>
    </x:row>
    <x:row r="473" ht="30" customHeight="1">
      <x:c r="C473" s="64"/>
      <x:c r="D473" s="63"/>
      <x:c r="E473" s="63"/>
      <x:c r="F473" s="63"/>
      <x:c r="G473" s="63"/>
      <x:c r="H473" s="63"/>
      <x:c r="I473" s="63"/>
    </x:row>
    <x:row r="474" ht="30" customHeight="1">
      <x:c r="C474" s="64"/>
      <x:c r="D474" s="63"/>
      <x:c r="E474" s="63"/>
      <x:c r="F474" s="63"/>
      <x:c r="G474" s="63"/>
      <x:c r="H474" s="63"/>
      <x:c r="I474" s="63"/>
    </x:row>
    <x:row r="475" ht="30" customHeight="1">
      <x:c r="C475" s="64"/>
      <x:c r="D475" s="63"/>
      <x:c r="E475" s="63"/>
      <x:c r="F475" s="63"/>
      <x:c r="G475" s="63"/>
      <x:c r="H475" s="63"/>
      <x:c r="I475" s="63"/>
    </x:row>
    <x:row r="476" ht="30" customHeight="1">
      <x:c r="C476" s="64"/>
      <x:c r="D476" s="63"/>
      <x:c r="E476" s="63"/>
      <x:c r="F476" s="63"/>
      <x:c r="G476" s="63"/>
      <x:c r="H476" s="63"/>
      <x:c r="I476" s="63"/>
    </x:row>
    <x:row r="477" ht="30" customHeight="1">
      <x:c r="C477" s="64"/>
      <x:c r="D477" s="63"/>
      <x:c r="E477" s="63"/>
      <x:c r="F477" s="63"/>
      <x:c r="G477" s="63"/>
      <x:c r="H477" s="63"/>
      <x:c r="I477" s="63"/>
    </x:row>
    <x:row r="478" ht="30" customHeight="1">
      <x:c r="C478" s="64"/>
      <x:c r="D478" s="63"/>
      <x:c r="E478" s="63"/>
      <x:c r="F478" s="63"/>
      <x:c r="G478" s="63"/>
      <x:c r="H478" s="63"/>
      <x:c r="I478" s="63"/>
    </x:row>
    <x:row r="479" ht="30" customHeight="1">
      <x:c r="C479" s="64"/>
      <x:c r="D479" s="63"/>
      <x:c r="E479" s="63"/>
      <x:c r="F479" s="63"/>
      <x:c r="G479" s="63"/>
      <x:c r="H479" s="63"/>
      <x:c r="I479" s="63"/>
    </x:row>
    <x:row r="480" ht="30" customHeight="1">
      <x:c r="C480" s="64"/>
      <x:c r="D480" s="63"/>
      <x:c r="E480" s="63"/>
      <x:c r="F480" s="63"/>
      <x:c r="G480" s="63"/>
      <x:c r="H480" s="63"/>
      <x:c r="I480" s="63"/>
    </x:row>
    <x:row r="481" ht="30" customHeight="1">
      <x:c r="C481" s="64"/>
      <x:c r="D481" s="63"/>
      <x:c r="E481" s="63"/>
      <x:c r="F481" s="63"/>
      <x:c r="G481" s="63"/>
      <x:c r="H481" s="63"/>
      <x:c r="I481" s="63"/>
    </x:row>
    <x:row r="482" ht="30" customHeight="1">
      <x:c r="C482" s="64"/>
      <x:c r="D482" s="63"/>
      <x:c r="E482" s="63"/>
      <x:c r="F482" s="63"/>
      <x:c r="G482" s="63"/>
      <x:c r="H482" s="63"/>
      <x:c r="I482" s="63"/>
    </x:row>
    <x:row r="483" ht="30" customHeight="1">
      <x:c r="C483" s="64"/>
      <x:c r="D483" s="63"/>
      <x:c r="E483" s="63"/>
      <x:c r="F483" s="63"/>
      <x:c r="G483" s="63"/>
      <x:c r="H483" s="63"/>
      <x:c r="I483" s="63"/>
    </x:row>
    <x:row r="484" ht="30" customHeight="1">
      <x:c r="C484" s="64"/>
      <x:c r="D484" s="63"/>
      <x:c r="E484" s="63"/>
      <x:c r="F484" s="63"/>
      <x:c r="G484" s="63"/>
      <x:c r="H484" s="63"/>
      <x:c r="I484" s="63"/>
    </x:row>
    <x:row r="485" ht="30" customHeight="1">
      <x:c r="C485" s="64"/>
      <x:c r="D485" s="63"/>
      <x:c r="E485" s="63"/>
      <x:c r="F485" s="63"/>
      <x:c r="G485" s="63"/>
      <x:c r="H485" s="63"/>
      <x:c r="I485" s="63"/>
    </x:row>
    <x:row r="486" ht="30" customHeight="1">
      <x:c r="C486" s="64"/>
      <x:c r="D486" s="63"/>
      <x:c r="E486" s="63"/>
      <x:c r="F486" s="63"/>
      <x:c r="G486" s="63"/>
      <x:c r="H486" s="63"/>
      <x:c r="I486" s="63"/>
    </x:row>
    <x:row r="487" ht="30" customHeight="1">
      <x:c r="C487" s="64"/>
      <x:c r="D487" s="63"/>
      <x:c r="E487" s="63"/>
      <x:c r="F487" s="63"/>
      <x:c r="G487" s="63"/>
      <x:c r="H487" s="63"/>
      <x:c r="I487" s="63"/>
    </x:row>
    <x:row r="488" ht="30" customHeight="1">
      <x:c r="C488" s="64"/>
      <x:c r="D488" s="63"/>
      <x:c r="E488" s="63"/>
      <x:c r="F488" s="63"/>
      <x:c r="G488" s="63"/>
      <x:c r="H488" s="63"/>
      <x:c r="I488" s="63"/>
    </x:row>
    <x:row r="489" ht="30" customHeight="1">
      <x:c r="C489" s="64"/>
      <x:c r="D489" s="63"/>
      <x:c r="E489" s="63"/>
      <x:c r="F489" s="63"/>
      <x:c r="G489" s="63"/>
      <x:c r="H489" s="63"/>
      <x:c r="I489" s="63"/>
    </x:row>
    <x:row r="490" ht="30" customHeight="1">
      <x:c r="C490" s="64"/>
      <x:c r="D490" s="63"/>
      <x:c r="E490" s="63"/>
      <x:c r="F490" s="63"/>
      <x:c r="G490" s="63"/>
      <x:c r="H490" s="63"/>
      <x:c r="I490" s="63"/>
    </x:row>
    <x:row r="491" ht="30" customHeight="1">
      <x:c r="C491" s="64"/>
      <x:c r="D491" s="63"/>
      <x:c r="E491" s="63"/>
      <x:c r="F491" s="63"/>
      <x:c r="G491" s="63"/>
      <x:c r="H491" s="63"/>
      <x:c r="I491" s="63"/>
    </x:row>
    <x:row r="492" ht="30" customHeight="1">
      <x:c r="C492" s="64"/>
      <x:c r="D492" s="63"/>
      <x:c r="E492" s="63"/>
      <x:c r="F492" s="63"/>
      <x:c r="G492" s="63"/>
      <x:c r="H492" s="63"/>
      <x:c r="I492" s="63"/>
    </x:row>
    <x:row r="493" ht="30" customHeight="1">
      <x:c r="C493" s="64"/>
      <x:c r="D493" s="63"/>
      <x:c r="E493" s="63"/>
      <x:c r="F493" s="63"/>
      <x:c r="G493" s="63"/>
      <x:c r="H493" s="63"/>
      <x:c r="I493" s="63"/>
    </x:row>
    <x:row r="494" ht="30" customHeight="1">
      <x:c r="C494" s="64"/>
      <x:c r="D494" s="63"/>
      <x:c r="E494" s="63"/>
      <x:c r="F494" s="63"/>
      <x:c r="G494" s="63"/>
      <x:c r="H494" s="63"/>
      <x:c r="I494" s="63"/>
    </x:row>
    <x:row r="495" ht="30" customHeight="1">
      <x:c r="C495" s="64"/>
      <x:c r="D495" s="63"/>
      <x:c r="E495" s="63"/>
      <x:c r="F495" s="63"/>
      <x:c r="G495" s="63"/>
      <x:c r="H495" s="63"/>
      <x:c r="I495" s="63"/>
    </x:row>
    <x:row r="496" ht="30" customHeight="1">
      <x:c r="C496" s="64"/>
      <x:c r="D496" s="63"/>
      <x:c r="E496" s="63"/>
      <x:c r="F496" s="63"/>
      <x:c r="G496" s="63"/>
      <x:c r="H496" s="63"/>
      <x:c r="I496" s="63"/>
    </x:row>
    <x:row r="497" ht="30" customHeight="1">
      <x:c r="C497" s="64"/>
      <x:c r="D497" s="63"/>
      <x:c r="E497" s="63"/>
      <x:c r="F497" s="63"/>
      <x:c r="G497" s="63"/>
      <x:c r="H497" s="63"/>
      <x:c r="I497" s="63"/>
    </x:row>
    <x:row r="498" ht="30" customHeight="1">
      <x:c r="C498" s="64"/>
      <x:c r="D498" s="63"/>
      <x:c r="E498" s="63"/>
      <x:c r="F498" s="63"/>
      <x:c r="G498" s="63"/>
      <x:c r="H498" s="63"/>
      <x:c r="I498" s="63"/>
    </x:row>
    <x:row r="499" ht="30" customHeight="1">
      <x:c r="C499" s="64"/>
      <x:c r="D499" s="63"/>
      <x:c r="E499" s="63"/>
      <x:c r="F499" s="63"/>
      <x:c r="G499" s="63"/>
      <x:c r="H499" s="63"/>
      <x:c r="I499" s="63"/>
    </x:row>
    <x:row r="500" ht="30" customHeight="1">
      <x:c r="C500" s="64"/>
      <x:c r="D500" s="63"/>
      <x:c r="E500" s="63"/>
      <x:c r="F500" s="63"/>
      <x:c r="G500" s="63"/>
      <x:c r="H500" s="63"/>
      <x:c r="I500" s="63"/>
    </x:row>
    <x:row r="501" ht="30" customHeight="1">
      <x:c r="C501" s="64"/>
      <x:c r="D501" s="63"/>
      <x:c r="E501" s="63"/>
      <x:c r="F501" s="63"/>
      <x:c r="G501" s="63"/>
      <x:c r="H501" s="63"/>
      <x:c r="I501" s="63"/>
    </x:row>
    <x:row r="502" ht="30" customHeight="1">
      <x:c r="C502" s="64"/>
      <x:c r="D502" s="63"/>
      <x:c r="E502" s="63"/>
      <x:c r="F502" s="63"/>
      <x:c r="G502" s="63"/>
      <x:c r="H502" s="63"/>
      <x:c r="I502" s="63"/>
    </x:row>
    <x:row r="503" ht="30" customHeight="1">
      <x:c r="C503" s="64"/>
      <x:c r="D503" s="63"/>
      <x:c r="E503" s="63"/>
      <x:c r="F503" s="63"/>
      <x:c r="G503" s="63"/>
      <x:c r="H503" s="63"/>
      <x:c r="I503" s="63"/>
    </x:row>
    <x:row r="504" ht="30" customHeight="1">
      <x:c r="C504" s="64"/>
      <x:c r="D504" s="63"/>
      <x:c r="E504" s="63"/>
      <x:c r="F504" s="63"/>
      <x:c r="G504" s="63"/>
      <x:c r="H504" s="63"/>
      <x:c r="I504" s="63"/>
    </x:row>
    <x:row r="505" ht="30" customHeight="1">
      <x:c r="C505" s="64"/>
      <x:c r="D505" s="63"/>
      <x:c r="E505" s="63"/>
      <x:c r="F505" s="63"/>
      <x:c r="G505" s="63"/>
      <x:c r="H505" s="63"/>
      <x:c r="I505" s="63"/>
    </x:row>
    <x:row r="506" ht="30" customHeight="1">
      <x:c r="C506" s="64"/>
      <x:c r="D506" s="63"/>
      <x:c r="E506" s="63"/>
      <x:c r="F506" s="63"/>
      <x:c r="G506" s="63"/>
      <x:c r="H506" s="63"/>
      <x:c r="I506" s="63"/>
    </x:row>
    <x:row r="507" ht="30" customHeight="1">
      <x:c r="C507" s="64"/>
      <x:c r="D507" s="63"/>
      <x:c r="E507" s="63"/>
      <x:c r="F507" s="63"/>
      <x:c r="G507" s="63"/>
      <x:c r="H507" s="63"/>
      <x:c r="I507" s="63"/>
    </x:row>
    <x:row r="508" ht="30" customHeight="1">
      <x:c r="C508" s="64"/>
      <x:c r="D508" s="63"/>
      <x:c r="E508" s="63"/>
      <x:c r="F508" s="63"/>
      <x:c r="G508" s="63"/>
      <x:c r="H508" s="63"/>
      <x:c r="I508" s="63"/>
    </x:row>
    <x:row r="509" ht="30" customHeight="1">
      <x:c r="C509" s="64"/>
      <x:c r="D509" s="63"/>
      <x:c r="E509" s="63"/>
      <x:c r="F509" s="63"/>
      <x:c r="G509" s="63"/>
      <x:c r="H509" s="63"/>
      <x:c r="I509" s="63"/>
    </x:row>
    <x:row r="510" ht="30" customHeight="1">
      <x:c r="C510" s="64"/>
      <x:c r="D510" s="63"/>
      <x:c r="E510" s="63"/>
      <x:c r="F510" s="63"/>
      <x:c r="G510" s="63"/>
      <x:c r="H510" s="63"/>
      <x:c r="I510" s="63"/>
    </x:row>
  </x:sheetData>
  <x:mergeCells>
    <x:mergeCell ref="M2:U2"/>
    <x:mergeCell ref="M9:U9"/>
    <x:mergeCell ref="M10:U10"/>
    <x:mergeCell ref="M30:U30"/>
    <x:mergeCell ref="M43:U44"/>
    <x:mergeCell ref="M48:R48"/>
    <x:mergeCell ref="M58:R58"/>
    <x:mergeCell ref="M68:R68"/>
  </x:mergeCells>
  <x:conditionalFormatting sqref="E100:I100">
    <x:cfRule type="expression" dxfId="20" priority="1">
      <x:formula>ABS(E100)&gt;0.01</x:formula>
    </x:cfRule>
  </x:conditionalFormatting>
  <x:conditionalFormatting sqref="E101:I101">
    <x:cfRule type="expression" dxfId="21" priority="2">
      <x:formula>ABS(E101)&gt;0.01</x:formula>
    </x:cfRule>
  </x:conditionalFormatting>
  <x:conditionalFormatting sqref="E102:I102">
    <x:cfRule type="expression" dxfId="22" priority="3">
      <x:formula>ABS(E102)&gt;0.01</x:formula>
    </x:cfRule>
  </x:conditionalFormatting>
  <x:conditionalFormatting sqref="E103:I103">
    <x:cfRule type="expression" dxfId="23" priority="4">
      <x:formula>ABS(E103)&gt;0.01</x:formula>
    </x:cfRule>
  </x:conditionalFormatting>
  <x:conditionalFormatting sqref="E104:I104">
    <x:cfRule type="expression" dxfId="24" priority="5">
      <x:formula>ABS(E104)&gt;0.01</x:formula>
    </x:cfRule>
  </x:conditionalFormatting>
  <x:conditionalFormatting sqref="E180:I205">
    <x:cfRule type="cellIs" dxfId="80" priority="6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b3eb582df3fd4a65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88" hidden="0" customWidth="1"/>
    <x:col min="13" max="13" width="3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45" hidden="0" customWidth="1"/>
  </x:cols>
  <x:sheetData>
    <x:row r="1" ht="18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  <x:c r="K1" s="1"/>
    </x:row>
    <x:row r="2" ht="32" customHeight="1">
      <x:c r="A2" s="1"/>
      <x:c r="B2" s="1"/>
      <x:c r="C2" s="3" t="str">
        <x:v>Pharma</x:v>
      </x:c>
      <x:c r="D2" s="2"/>
      <x:c r="E2" s="2"/>
      <x:c r="F2" s="2"/>
      <x:c r="G2" s="2"/>
      <x:c r="H2" s="2"/>
      <x:c r="I2" s="2"/>
      <x:c r="J2" s="1"/>
      <x:c r="K2" s="1"/>
      <x:c r="M2" s="86" t="str">
        <x:v>Pharma | Client summary</x:v>
      </x:c>
      <x:c r="N2" s="86"/>
      <x:c r="O2" s="86"/>
      <x:c r="P2" s="86"/>
      <x:c r="Q2" s="86"/>
      <x:c r="R2" s="86"/>
      <x:c r="S2" s="86"/>
      <x:c r="T2" s="86"/>
      <x:c r="U2" s="86"/>
      <x:c r="V2" s="63"/>
      <x:c r="X2" t="str">
        <x:v>Forecast year</x:v>
      </x:c>
      <x:c r="Y2" t="str">
        <x:v>Income</x:v>
      </x:c>
      <x:c r="Z2" t="str">
        <x:v>Profit after tax</x:v>
      </x:c>
    </x:row>
    <x:row r="3" ht="18" customHeight="1">
      <x:c r="A3" s="1"/>
      <x:c r="B3" s="1"/>
      <x:c r="C3" s="4"/>
      <x:c r="D3" s="5"/>
      <x:c r="E3" s="5"/>
      <x:c r="F3" s="5"/>
      <x:c r="G3" s="5"/>
      <x:c r="H3" s="5"/>
      <x:c r="I3" s="5"/>
      <x:c r="J3" s="1"/>
      <x:c r="K3" s="1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X3" t="n">
        <x:f>'Controls'!$E$17+0</x:f>
        <x:v>2027</x:v>
      </x:c>
      <x:c r="Y3" t="n">
        <x:f>E47</x:f>
        <x:v>5692.499999999999</x:v>
      </x:c>
      <x:c r="Z3" t="n">
        <x:f>E58</x:f>
        <x:v>1075.14375</x:v>
      </x:c>
    </x:row>
    <x:row r="4" ht="18" customHeight="1">
      <x:c r="A4" s="1"/>
      <x:c r="B4" s="1"/>
      <x:c r="C4" s="1" t="str">
        <x:v>Illustrative assumptions. Financial amounts in INR crore.</x:v>
      </x:c>
      <x:c r="D4" s="2"/>
      <x:c r="E4" s="2"/>
      <x:c r="F4" s="2"/>
      <x:c r="G4" s="2"/>
      <x:c r="H4" s="2"/>
      <x:c r="I4" s="2"/>
      <x:c r="J4" s="1"/>
      <x:c r="K4" s="1"/>
      <x:c r="M4" s="63" t="str">
        <x:v>Company / model name</x:v>
      </x:c>
      <x:c r="N4" s="63" t="str">
        <x:v>Illustrative company</x:v>
      </x:c>
      <x:c r="O4" s="63"/>
      <x:c r="P4" s="63"/>
      <x:c r="Q4" s="63"/>
      <x:c r="R4" s="63"/>
      <x:c r="S4" s="63"/>
      <x:c r="T4" s="63"/>
      <x:c r="U4" s="63"/>
      <x:c r="V4" s="63"/>
      <x:c r="X4" t="n">
        <x:f>'Controls'!$E$17+1</x:f>
        <x:v>2028</x:v>
      </x:c>
      <x:c r="Y4" t="n">
        <x:f>F47</x:f>
        <x:v>6480.911249999998</x:v>
      </x:c>
      <x:c r="Z4" t="n">
        <x:f>F58</x:f>
        <x:v>1273.1877843749994</x:v>
      </x:c>
    </x:row>
    <x:row r="5" ht="18" customHeight="1">
      <x:c r="A5" s="1"/>
      <x:c r="B5" s="1"/>
      <x:c r="C5" s="1" t="str">
        <x:v>Selected case</x:v>
      </x:c>
      <x:c r="D5" s="2"/>
      <x:c r="E5" s="10" t="str">
        <x:f>'Controls'!E6</x:f>
        <x:v>Base</x:v>
      </x:c>
      <x:c r="F5" s="2"/>
      <x:c r="G5" s="2"/>
      <x:c r="H5" s="2"/>
      <x:c r="I5" s="2"/>
      <x:c r="J5" s="1"/>
      <x:c r="K5" s="1"/>
      <x:c r="M5" s="63" t="str">
        <x:v>Valuation date</x:v>
      </x:c>
      <x:c r="N5" s="87" t="n">
        <x:f>'Controls'!E18</x:f>
        <x:v>46112</x:v>
      </x:c>
      <x:c r="O5" s="63"/>
      <x:c r="P5" s="63"/>
      <x:c r="Q5" s="63"/>
      <x:c r="R5" s="63"/>
      <x:c r="S5" s="63"/>
      <x:c r="T5" s="63"/>
      <x:c r="U5" s="63"/>
      <x:c r="V5" s="63"/>
      <x:c r="X5" t="n">
        <x:f>'Controls'!$E$17+2</x:f>
        <x:v>2029</x:v>
      </x:c>
      <x:c r="Y5" t="n">
        <x:f>G47</x:f>
        <x:v>7378.517458124997</x:v>
      </x:c>
      <x:c r="Z5" t="n">
        <x:f>G58</x:f>
        <x:v>1493.7061100109368</x:v>
      </x:c>
    </x:row>
    <x:row r="6" ht="18" customHeight="1">
      <x:c r="A6" s="1"/>
      <x:c r="B6" s="1"/>
      <x:c r="C6" s="1"/>
      <x:c r="D6" s="2"/>
      <x:c r="E6" s="2"/>
      <x:c r="F6" s="2"/>
      <x:c r="G6" s="2"/>
      <x:c r="H6" s="2"/>
      <x:c r="I6" s="2"/>
      <x:c r="J6" s="1"/>
      <x:c r="K6" s="1"/>
      <x:c r="M6" s="63" t="str">
        <x:v>Selected case</x:v>
      </x:c>
      <x:c r="N6" s="63" t="str">
        <x:f>'Controls'!E6</x:f>
        <x:v>Base</x:v>
      </x:c>
      <x:c r="O6" s="63"/>
      <x:c r="P6" s="63"/>
      <x:c r="Q6" s="63"/>
      <x:c r="R6" s="63"/>
      <x:c r="S6" s="63"/>
      <x:c r="T6" s="63"/>
      <x:c r="U6" s="63"/>
      <x:c r="V6" s="63"/>
      <x:c r="X6" t="n">
        <x:f>'Controls'!$E$17+3</x:f>
        <x:v>2030</x:v>
      </x:c>
      <x:c r="Y6" t="n">
        <x:f>H47</x:f>
        <x:v>8400.44212607531</x:v>
      </x:c>
      <x:c r="Z6" t="n">
        <x:f>H58</x:f>
        <x:v>1740.3000406474516</x:v>
      </x:c>
    </x:row>
    <x:row r="7" ht="18" customHeight="1">
      <x:c r="A7" s="1"/>
      <x:c r="B7" s="1"/>
      <x:c r="C7" s="15" t="str">
        <x:v>Metric</x:v>
      </x:c>
      <x:c r="D7" s="16" t="str">
        <x:v>Opening / seed</x:v>
      </x:c>
      <x:c r="E7" s="65" t="n">
        <x:f>'Controls'!$E$17+0</x:f>
        <x:v>2027</x:v>
      </x:c>
      <x:c r="F7" s="65" t="n">
        <x:f>'Controls'!$E$17+1</x:f>
        <x:v>2028</x:v>
      </x:c>
      <x:c r="G7" s="65" t="n">
        <x:f>'Controls'!$E$17+2</x:f>
        <x:v>2029</x:v>
      </x:c>
      <x:c r="H7" s="65" t="n">
        <x:f>'Controls'!$E$17+3</x:f>
        <x:v>2030</x:v>
      </x:c>
      <x:c r="I7" s="65" t="n">
        <x:f>'Controls'!$E$17+4</x:f>
        <x:v>2031</x:v>
      </x:c>
      <x:c r="J7" s="1"/>
      <x:c r="K7" s="1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X7" t="n">
        <x:f>'Controls'!$E$17+4</x:f>
        <x:v>2031</x:v>
      </x:c>
      <x:c r="Y7" t="n">
        <x:f>I47</x:f>
        <x:v>9563.90336053674</x:v>
      </x:c>
      <x:c r="Z7" t="n">
        <x:f>I58</x:f>
        <x:v>2017.0110370491243</x:v>
      </x:c>
    </x:row>
    <x:row r="8" ht="18" customHeight="1">
      <x:c r="A8" s="1"/>
      <x:c r="B8" s="1"/>
      <x:c r="C8" s="1"/>
      <x:c r="D8" s="2"/>
      <x:c r="E8" s="2"/>
      <x:c r="F8" s="2"/>
      <x:c r="G8" s="2"/>
      <x:c r="H8" s="2"/>
      <x:c r="I8" s="2"/>
      <x:c r="J8" s="1"/>
      <x:c r="K8" s="1"/>
      <x:c r="M8" s="63" t="str">
        <x:v>Equity value (INR crore)</x:v>
      </x:c>
      <x:c r="N8" s="8" t="n">
        <x:f>E94</x:f>
        <x:v>15000.311269326807</x:v>
      </x:c>
      <x:c r="O8" s="63"/>
      <x:c r="P8" s="63"/>
      <x:c r="Q8" s="63"/>
      <x:c r="R8" s="63"/>
      <x:c r="S8" s="63"/>
      <x:c r="T8" s="63"/>
      <x:c r="U8" s="63"/>
      <x:c r="V8" s="63"/>
    </x:row>
    <x:row r="9" ht="18" customHeight="1">
      <x:c r="A9" s="1"/>
      <x:c r="B9" s="1"/>
      <x:c r="C9" s="19" t="str">
        <x:v>OPERATING ASSUMPTIONS</x:v>
      </x:c>
      <x:c r="D9" s="20"/>
      <x:c r="E9" s="20"/>
      <x:c r="F9" s="20"/>
      <x:c r="G9" s="20"/>
      <x:c r="H9" s="20"/>
      <x:c r="I9" s="20"/>
      <x:c r="J9" s="1"/>
      <x:c r="K9" s="1"/>
      <x:c r="M9" s="63" t="str">
        <x:f>IF(MAX(E100,F100,G100,H100,I100,E101,F101,G101,H101,I101,E102,F102,G102,H102,I102,E103,F103,G103,H103,I103,E104,F104,G104,H104,I104,E180:I205)&gt;0.01,"ATTENTION: model checks contain exceptions",IF(MIN(E100,F100,G100,H100,I100,E101,F101,G101,H101,I101,E102,F102,G102,H102,I102,E103,F103,G103,H103,I103,E104,F104,G104,H104,I104,E180:I205)&lt;-0.01,"ATTENTION: model checks contain exceptions","Model checks clear; review company assumptions"))</x:f>
        <x:v>Model checks clear; review company assumptions</x:v>
      </x:c>
      <x:c r="N9" s="63"/>
      <x:c r="O9" s="63"/>
      <x:c r="P9" s="63"/>
      <x:c r="Q9" s="63"/>
      <x:c r="R9" s="63"/>
      <x:c r="S9" s="63"/>
      <x:c r="T9" s="63"/>
      <x:c r="U9" s="63"/>
      <x:c r="V9" s="63"/>
    </x:row>
    <x:row r="10" ht="18" customHeight="1">
      <x:c r="A10" s="1"/>
      <x:c r="B10" s="1"/>
      <x:c r="C10" s="1" t="str">
        <x:v>Equivalent doses sold (million) — seed</x:v>
      </x:c>
      <x:c r="D10" s="7" t="n">
        <x:v>500</x:v>
      </x:c>
      <x:c r="E10" s="2"/>
      <x:c r="F10" s="2"/>
      <x:c r="G10" s="2"/>
      <x:c r="H10" s="2"/>
      <x:c r="I10" s="2"/>
      <x:c r="J10" s="1"/>
      <x:c r="K10" s="1" t="str">
        <x:v>Input provenance: all amber cells are constructed examples, not external observations.</x:v>
      </x:c>
      <x:c r="M10" s="63" t="str">
        <x:v>Illustrative inputs; replace with company evidence.</x:v>
      </x:c>
      <x:c r="N10" s="63"/>
      <x:c r="O10" s="63"/>
      <x:c r="P10" s="63"/>
      <x:c r="Q10" s="63"/>
      <x:c r="R10" s="63"/>
      <x:c r="S10" s="63"/>
      <x:c r="T10" s="63"/>
      <x:c r="U10" s="63"/>
      <x:c r="V10" s="63"/>
    </x:row>
    <x:row r="11" ht="18" customHeight="1">
      <x:c r="A11" s="1"/>
      <x:c r="B11" s="1"/>
      <x:c r="C11" s="1" t="str">
        <x:v>Net realization (INR per dose) — seed</x:v>
      </x:c>
      <x:c r="D11" s="7" t="n">
        <x:v>100</x:v>
      </x:c>
      <x:c r="E11" s="2"/>
      <x:c r="F11" s="2"/>
      <x:c r="G11" s="2"/>
      <x:c r="H11" s="2"/>
      <x:c r="I11" s="2"/>
      <x:c r="J11" s="1"/>
      <x:c r="K11" s="1" t="str">
        <x:v>Aggregated formulations model. SG&amp;A includes R&amp;D; add geography, product and launch cohorts for diligence.</x:v>
      </x:c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</x:row>
    <x:row r="12" ht="18" customHeight="1">
      <x:c r="A12" s="1"/>
      <x:c r="B12" s="1"/>
      <x:c r="C12" s="28" t="str">
        <x:v>Operating scale growth — active</x:v>
      </x:c>
      <x:c r="D12" s="29"/>
      <x:c r="E12" s="30" t="n">
        <x:f>IF(COUNT(INDEX(E13:E15,'Controls'!$E$5))=0,NA(),INDEX(E13:E15,'Controls'!$E$5))</x:f>
        <x:v>0.1</x:v>
      </x:c>
      <x:c r="F12" s="30" t="n">
        <x:f>IF(COUNT(INDEX(F13:F15,'Controls'!$E$5))=0,NA(),INDEX(F13:F15,'Controls'!$E$5))</x:f>
        <x:v>0.1</x:v>
      </x:c>
      <x:c r="G12" s="30" t="n">
        <x:f>IF(COUNT(INDEX(G13:G15,'Controls'!$E$5))=0,NA(),INDEX(G13:G15,'Controls'!$E$5))</x:f>
        <x:v>0.1</x:v>
      </x:c>
      <x:c r="H12" s="30" t="n">
        <x:f>IF(COUNT(INDEX(H13:H15,'Controls'!$E$5))=0,NA(),INDEX(H13:H15,'Controls'!$E$5))</x:f>
        <x:v>0.1</x:v>
      </x:c>
      <x:c r="I12" s="30" t="n">
        <x:f>IF(COUNT(INDEX(I13:I15,'Controls'!$E$5))=0,NA(),INDEX(I13:I15,'Controls'!$E$5))</x:f>
        <x:v>0.1</x:v>
      </x:c>
      <x:c r="J12" s="1"/>
      <x:c r="K12" s="1" t="str">
        <x:v>Five-year nominal INR model. Positive costs are subtracted. Discounting is end-of-year.</x:v>
      </x:c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</x:row>
    <x:row r="13" ht="18" customHeight="1">
      <x:c r="A13" s="1"/>
      <x:c r="B13" s="1"/>
      <x:c r="C13" s="23" t="str">
        <x:v>Base</x:v>
      </x:c>
      <x:c r="D13" s="24"/>
      <x:c r="E13" s="26" t="n">
        <x:v>0.1</x:v>
      </x:c>
      <x:c r="F13" s="26" t="n">
        <x:v>0.1</x:v>
      </x:c>
      <x:c r="G13" s="26" t="n">
        <x:v>0.1</x:v>
      </x:c>
      <x:c r="H13" s="26" t="n">
        <x:v>0.1</x:v>
      </x:c>
      <x:c r="I13" s="26" t="n">
        <x:v>0.1</x:v>
      </x:c>
      <x:c r="J13" s="1"/>
      <x:c r="K13" s="1" t="str">
        <x:v>Cash earns no interest; borrowing is explicit. Negative cash is an unfunded shortfall.</x:v>
      </x:c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</x:row>
    <x:row r="14" ht="18" customHeight="1">
      <x:c r="A14" s="1"/>
      <x:c r="B14" s="1"/>
      <x:c r="C14" s="23" t="str">
        <x:v>Downside</x:v>
      </x:c>
      <x:c r="D14" s="24"/>
      <x:c r="E14" s="26" t="n">
        <x:v>0.05</x:v>
      </x:c>
      <x:c r="F14" s="26" t="n">
        <x:v>0.05</x:v>
      </x:c>
      <x:c r="G14" s="26" t="n">
        <x:v>0.05</x:v>
      </x:c>
      <x:c r="H14" s="26" t="n">
        <x:v>0.05</x:v>
      </x:c>
      <x:c r="I14" s="26" t="n">
        <x:v>0.05</x:v>
      </x:c>
      <x:c r="J14" s="1"/>
      <x:c r="K14" s="1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</x:row>
    <x:row r="15" ht="18" customHeight="1">
      <x:c r="A15" s="1"/>
      <x:c r="B15" s="1"/>
      <x:c r="C15" s="23" t="str">
        <x:v>Upside</x:v>
      </x:c>
      <x:c r="D15" s="24"/>
      <x:c r="E15" s="26" t="n">
        <x:v>0.14</x:v>
      </x:c>
      <x:c r="F15" s="26" t="n">
        <x:v>0.14</x:v>
      </x:c>
      <x:c r="G15" s="26" t="n">
        <x:v>0.14</x:v>
      </x:c>
      <x:c r="H15" s="26" t="n">
        <x:v>0.14</x:v>
      </x:c>
      <x:c r="I15" s="26" t="n">
        <x:v>0.14</x:v>
      </x:c>
      <x:c r="J15" s="1"/>
      <x:c r="K15" s="1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</x:row>
    <x:row r="16" ht="18" customHeight="1">
      <x:c r="A16" s="1"/>
      <x:c r="B16" s="1"/>
      <x:c r="C16" s="28" t="str">
        <x:v>Realization growth — active</x:v>
      </x:c>
      <x:c r="D16" s="29"/>
      <x:c r="E16" s="30" t="n">
        <x:f>IF(COUNT(INDEX(E17:E19,'Controls'!$E$5))=0,NA(),INDEX(E17:E19,'Controls'!$E$5))</x:f>
        <x:v>0.035</x:v>
      </x:c>
      <x:c r="F16" s="30" t="n">
        <x:f>IF(COUNT(INDEX(F17:F19,'Controls'!$E$5))=0,NA(),INDEX(F17:F19,'Controls'!$E$5))</x:f>
        <x:v>0.035</x:v>
      </x:c>
      <x:c r="G16" s="30" t="n">
        <x:f>IF(COUNT(INDEX(G17:G19,'Controls'!$E$5))=0,NA(),INDEX(G17:G19,'Controls'!$E$5))</x:f>
        <x:v>0.035</x:v>
      </x:c>
      <x:c r="H16" s="30" t="n">
        <x:f>IF(COUNT(INDEX(H17:H19,'Controls'!$E$5))=0,NA(),INDEX(H17:H19,'Controls'!$E$5))</x:f>
        <x:v>0.035</x:v>
      </x:c>
      <x:c r="I16" s="30" t="n">
        <x:f>IF(COUNT(INDEX(I17:I19,'Controls'!$E$5))=0,NA(),INDEX(I17:I19,'Controls'!$E$5))</x:f>
        <x:v>0.035</x:v>
      </x:c>
      <x:c r="J16" s="1"/>
      <x:c r="K16" s="1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</x:row>
    <x:row r="17" ht="18" customHeight="1">
      <x:c r="A17" s="1"/>
      <x:c r="B17" s="1"/>
      <x:c r="C17" s="23" t="str">
        <x:v>Base</x:v>
      </x:c>
      <x:c r="D17" s="24"/>
      <x:c r="E17" s="26" t="n">
        <x:v>0.035</x:v>
      </x:c>
      <x:c r="F17" s="26" t="n">
        <x:v>0.035</x:v>
      </x:c>
      <x:c r="G17" s="26" t="n">
        <x:v>0.035</x:v>
      </x:c>
      <x:c r="H17" s="26" t="n">
        <x:v>0.035</x:v>
      </x:c>
      <x:c r="I17" s="26" t="n">
        <x:v>0.035</x:v>
      </x:c>
      <x:c r="J17" s="1"/>
      <x:c r="K17" s="1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</x:row>
    <x:row r="18" ht="18" customHeight="1">
      <x:c r="A18" s="1"/>
      <x:c r="B18" s="1"/>
      <x:c r="C18" s="23" t="str">
        <x:v>Downside</x:v>
      </x:c>
      <x:c r="D18" s="24"/>
      <x:c r="E18" s="26" t="n">
        <x:v>0.010000000000000002</x:v>
      </x:c>
      <x:c r="F18" s="26" t="n">
        <x:v>0.010000000000000002</x:v>
      </x:c>
      <x:c r="G18" s="26" t="n">
        <x:v>0.010000000000000002</x:v>
      </x:c>
      <x:c r="H18" s="26" t="n">
        <x:v>0.010000000000000002</x:v>
      </x:c>
      <x:c r="I18" s="26" t="n">
        <x:v>0.010000000000000002</x:v>
      </x:c>
      <x:c r="J18" s="1"/>
      <x:c r="K18" s="1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</x:row>
    <x:row r="19" ht="18" customHeight="1">
      <x:c r="A19" s="1"/>
      <x:c r="B19" s="1"/>
      <x:c r="C19" s="23" t="str">
        <x:v>Upside</x:v>
      </x:c>
      <x:c r="D19" s="24"/>
      <x:c r="E19" s="26" t="n">
        <x:v>0.05500000000000001</x:v>
      </x:c>
      <x:c r="F19" s="26" t="n">
        <x:v>0.05500000000000001</x:v>
      </x:c>
      <x:c r="G19" s="26" t="n">
        <x:v>0.05500000000000001</x:v>
      </x:c>
      <x:c r="H19" s="26" t="n">
        <x:v>0.05500000000000001</x:v>
      </x:c>
      <x:c r="I19" s="26" t="n">
        <x:v>0.05500000000000001</x:v>
      </x:c>
      <x:c r="J19" s="1"/>
      <x:c r="K19" s="1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</x:row>
    <x:row r="20" ht="18" customHeight="1">
      <x:c r="A20" s="1"/>
      <x:c r="B20" s="1"/>
      <x:c r="C20" s="23" t="str">
        <x:v>Capacity utilization</x:v>
      </x:c>
      <x:c r="D20" s="24"/>
      <x:c r="E20" s="26" t="n">
        <x:f>E400</x:f>
        <x:v>1</x:v>
      </x:c>
      <x:c r="F20" s="26" t="n">
        <x:f>F400</x:f>
        <x:v>1</x:v>
      </x:c>
      <x:c r="G20" s="26" t="n">
        <x:f>G400</x:f>
        <x:v>1</x:v>
      </x:c>
      <x:c r="H20" s="26" t="n">
        <x:f>H400</x:f>
        <x:v>1</x:v>
      </x:c>
      <x:c r="I20" s="26" t="n">
        <x:f>I400</x:f>
        <x:v>1</x:v>
      </x:c>
      <x:c r="J20" s="1"/>
      <x:c r="K20" s="1" t="str">
        <x:v>Use 100% when volume already represents actual sales.</x:v>
      </x:c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</x:row>
    <x:row r="21" ht="18" customHeight="1">
      <x:c r="A21" s="1"/>
      <x:c r="B21" s="1"/>
      <x:c r="C21" s="23" t="str">
        <x:v>Manufacturing and materials / revenue</x:v>
      </x:c>
      <x:c r="D21" s="24"/>
      <x:c r="E21" s="26" t="n">
        <x:f>E405</x:f>
        <x:v>0.38</x:v>
      </x:c>
      <x:c r="F21" s="26" t="n">
        <x:f>F405</x:f>
        <x:v>0.38</x:v>
      </x:c>
      <x:c r="G21" s="26" t="n">
        <x:f>G405</x:f>
        <x:v>0.38</x:v>
      </x:c>
      <x:c r="H21" s="26" t="n">
        <x:f>H405</x:f>
        <x:v>0.38</x:v>
      </x:c>
      <x:c r="I21" s="26" t="n">
        <x:f>I405</x:f>
        <x:v>0.38</x:v>
      </x:c>
      <x:c r="J21" s="1"/>
      <x:c r="K21" s="1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</x:row>
    <x:row r="22" ht="18" customHeight="1">
      <x:c r="A22" s="1"/>
      <x:c r="B22" s="1"/>
      <x:c r="C22" s="23" t="str">
        <x:v>Other cash operating costs / revenue</x:v>
      </x:c>
      <x:c r="D22" s="24"/>
      <x:c r="E22" s="26" t="n">
        <x:f>E410</x:f>
        <x:v>0.29</x:v>
      </x:c>
      <x:c r="F22" s="26" t="n">
        <x:f>F410</x:f>
        <x:v>0.29</x:v>
      </x:c>
      <x:c r="G22" s="26" t="n">
        <x:f>G410</x:f>
        <x:v>0.29</x:v>
      </x:c>
      <x:c r="H22" s="26" t="n">
        <x:f>H410</x:f>
        <x:v>0.29</x:v>
      </x:c>
      <x:c r="I22" s="26" t="n">
        <x:f>I410</x:f>
        <x:v>0.29</x:v>
      </x:c>
      <x:c r="J22" s="1"/>
      <x:c r="K22" s="1" t="str">
        <x:v>Includes R&amp;D spending; expense treatment assumed.</x:v>
      </x:c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</x:row>
    <x:row r="23" ht="18" customHeight="1">
      <x:c r="A23" s="1"/>
      <x:c r="B23" s="1"/>
      <x:c r="C23" s="23" t="str">
        <x:v>Cash capex / revenue</x:v>
      </x:c>
      <x:c r="D23" s="24"/>
      <x:c r="E23" s="26" t="n">
        <x:f>E415</x:f>
        <x:v>0.07</x:v>
      </x:c>
      <x:c r="F23" s="26" t="n">
        <x:f>F415</x:f>
        <x:v>0.07</x:v>
      </x:c>
      <x:c r="G23" s="26" t="n">
        <x:f>G415</x:f>
        <x:v>0.07</x:v>
      </x:c>
      <x:c r="H23" s="26" t="n">
        <x:f>H415</x:f>
        <x:v>0.07</x:v>
      </x:c>
      <x:c r="I23" s="26" t="n">
        <x:f>I415</x:f>
        <x:v>0.07</x:v>
      </x:c>
      <x:c r="J23" s="1"/>
      <x:c r="K23" s="1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</x:row>
    <x:row r="24" ht="18" customHeight="1">
      <x:c r="A24" s="1"/>
      <x:c r="B24" s="1"/>
      <x:c r="C24" s="23" t="str">
        <x:v>D&amp;A / opening net PP&amp;E</x:v>
      </x:c>
      <x:c r="D24" s="24"/>
      <x:c r="E24" s="26" t="n">
        <x:f>E420</x:f>
        <x:v>0.12</x:v>
      </x:c>
      <x:c r="F24" s="26" t="n">
        <x:f>F420</x:f>
        <x:v>0.12</x:v>
      </x:c>
      <x:c r="G24" s="26" t="n">
        <x:f>G420</x:f>
        <x:v>0.12</x:v>
      </x:c>
      <x:c r="H24" s="26" t="n">
        <x:f>H420</x:f>
        <x:v>0.12</x:v>
      </x:c>
      <x:c r="I24" s="26" t="n">
        <x:f>I420</x:f>
        <x:v>0.12</x:v>
      </x:c>
      <x:c r="J24" s="1"/>
      <x:c r="K24" s="1" t="str">
        <x:v>No disposals or impairments. Current-year capex begins depreciation next year.</x:v>
      </x:c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</x:row>
    <x:row r="25" ht="18" customHeight="1">
      <x:c r="A25" s="1"/>
      <x:c r="B25" s="1"/>
      <x:c r="C25" s="1" t="str">
        <x:v>Receivable days</x:v>
      </x:c>
      <x:c r="D25" s="2"/>
      <x:c r="E25" s="7" t="n">
        <x:f>E425</x:f>
        <x:v>90</x:v>
      </x:c>
      <x:c r="F25" s="7" t="n">
        <x:f>F425</x:f>
        <x:v>90</x:v>
      </x:c>
      <x:c r="G25" s="7" t="n">
        <x:f>G425</x:f>
        <x:v>90</x:v>
      </x:c>
      <x:c r="H25" s="7" t="n">
        <x:f>H425</x:f>
        <x:v>90</x:v>
      </x:c>
      <x:c r="I25" s="7" t="n">
        <x:f>I425</x:f>
        <x:v>90</x:v>
      </x:c>
      <x:c r="J25" s="1"/>
      <x:c r="K25" s="1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</x:row>
    <x:row r="26" ht="18" customHeight="1">
      <x:c r="A26" s="1"/>
      <x:c r="B26" s="1"/>
      <x:c r="C26" s="1" t="str">
        <x:v>Inventory days</x:v>
      </x:c>
      <x:c r="D26" s="2"/>
      <x:c r="E26" s="7" t="n">
        <x:f>E430</x:f>
        <x:v>100</x:v>
      </x:c>
      <x:c r="F26" s="7" t="n">
        <x:f>F430</x:f>
        <x:v>100</x:v>
      </x:c>
      <x:c r="G26" s="7" t="n">
        <x:f>G430</x:f>
        <x:v>100</x:v>
      </x:c>
      <x:c r="H26" s="7" t="n">
        <x:f>H430</x:f>
        <x:v>100</x:v>
      </x:c>
      <x:c r="I26" s="7" t="n">
        <x:f>I430</x:f>
        <x:v>100</x:v>
      </x:c>
      <x:c r="J26" s="1"/>
      <x:c r="K26" s="1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</x:row>
    <x:row r="27" ht="18" customHeight="1">
      <x:c r="A27" s="1"/>
      <x:c r="B27" s="1"/>
      <x:c r="C27" s="1" t="str">
        <x:v>Payable days</x:v>
      </x:c>
      <x:c r="D27" s="2"/>
      <x:c r="E27" s="7" t="n">
        <x:f>E435</x:f>
        <x:v>60</x:v>
      </x:c>
      <x:c r="F27" s="7" t="n">
        <x:f>F435</x:f>
        <x:v>60</x:v>
      </x:c>
      <x:c r="G27" s="7" t="n">
        <x:f>G435</x:f>
        <x:v>60</x:v>
      </x:c>
      <x:c r="H27" s="7" t="n">
        <x:f>H435</x:f>
        <x:v>60</x:v>
      </x:c>
      <x:c r="I27" s="7" t="n">
        <x:f>I435</x:f>
        <x:v>60</x:v>
      </x:c>
      <x:c r="J27" s="1"/>
      <x:c r="K27" s="1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</x:row>
    <x:row r="28" ht="18" customHeight="1">
      <x:c r="A28" s="1"/>
      <x:c r="B28" s="1"/>
      <x:c r="C28" s="23" t="str">
        <x:v>Effective cash tax rate</x:v>
      </x:c>
      <x:c r="D28" s="24"/>
      <x:c r="E28" s="26" t="n">
        <x:f>E440</x:f>
        <x:v>0.25</x:v>
      </x:c>
      <x:c r="F28" s="26" t="n">
        <x:f>F440</x:f>
        <x:v>0.25</x:v>
      </x:c>
      <x:c r="G28" s="26" t="n">
        <x:f>G440</x:f>
        <x:v>0.25</x:v>
      </x:c>
      <x:c r="H28" s="26" t="n">
        <x:f>H440</x:f>
        <x:v>0.25</x:v>
      </x:c>
      <x:c r="I28" s="26" t="n">
        <x:f>I440</x:f>
        <x:v>0.25</x:v>
      </x:c>
      <x:c r="J28" s="1"/>
      <x:c r="K28" s="1" t="str">
        <x:v>Illustrative assumption, not a statutory rate. No loss carryforwards or deferred tax.</x:v>
      </x:c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</x:row>
    <x:row r="29" ht="18" customHeight="1">
      <x:c r="A29" s="1"/>
      <x:c r="B29" s="1"/>
      <x:c r="C29" s="23" t="str">
        <x:v>Interest on opening debt</x:v>
      </x:c>
      <x:c r="D29" s="24"/>
      <x:c r="E29" s="26" t="n">
        <x:f>E445</x:f>
        <x:v>0.085</x:v>
      </x:c>
      <x:c r="F29" s="26" t="n">
        <x:f>F445</x:f>
        <x:v>0.085</x:v>
      </x:c>
      <x:c r="G29" s="26" t="n">
        <x:f>G445</x:f>
        <x:v>0.085</x:v>
      </x:c>
      <x:c r="H29" s="26" t="n">
        <x:f>H445</x:f>
        <x:v>0.085</x:v>
      </x:c>
      <x:c r="I29" s="26" t="n">
        <x:f>I445</x:f>
        <x:v>0.085</x:v>
      </x:c>
      <x:c r="J29" s="1"/>
      <x:c r="K29" s="1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</x:row>
    <x:row r="30" ht="18" customHeight="1">
      <x:c r="A30" s="1"/>
      <x:c r="B30" s="1"/>
      <x:c r="C30" s="1" t="str">
        <x:v>New borrowing</x:v>
      </x:c>
      <x:c r="D30" s="2"/>
      <x:c r="E30" s="7" t="n">
        <x:f>E450</x:f>
        <x:v>0</x:v>
      </x:c>
      <x:c r="F30" s="7" t="n">
        <x:f>F450</x:f>
        <x:v>0</x:v>
      </x:c>
      <x:c r="G30" s="7" t="n">
        <x:f>G450</x:f>
        <x:v>0</x:v>
      </x:c>
      <x:c r="H30" s="7" t="n">
        <x:f>H450</x:f>
        <x:v>0</x:v>
      </x:c>
      <x:c r="I30" s="7" t="n">
        <x:f>I450</x:f>
        <x:v>0</x:v>
      </x:c>
      <x:c r="J30" s="1"/>
      <x:c r="K30" s="1"/>
      <x:c r="M30" s="82" t="str">
        <x:v>Historical actuals and forecast | INR crore</x:v>
      </x:c>
      <x:c r="N30" s="82"/>
      <x:c r="O30" s="82"/>
      <x:c r="P30" s="82"/>
      <x:c r="Q30" s="82"/>
      <x:c r="R30" s="82"/>
      <x:c r="S30" s="82"/>
      <x:c r="T30" s="82"/>
      <x:c r="U30" s="82"/>
      <x:c r="V30" s="63"/>
    </x:row>
    <x:row r="31" ht="18" customHeight="1">
      <x:c r="A31" s="1"/>
      <x:c r="B31" s="1"/>
      <x:c r="C31" s="1" t="str">
        <x:v>Scheduled principal repayment</x:v>
      </x:c>
      <x:c r="D31" s="2"/>
      <x:c r="E31" s="7" t="n">
        <x:f>E455</x:f>
        <x:v>100</x:v>
      </x:c>
      <x:c r="F31" s="7" t="n">
        <x:f>F455</x:f>
        <x:v>100</x:v>
      </x:c>
      <x:c r="G31" s="7" t="n">
        <x:f>G455</x:f>
        <x:v>100</x:v>
      </x:c>
      <x:c r="H31" s="7" t="n">
        <x:f>H455</x:f>
        <x:v>100</x:v>
      </x:c>
      <x:c r="I31" s="7" t="n">
        <x:f>I455</x:f>
        <x:v>100</x:v>
      </x:c>
      <x:c r="J31" s="1"/>
      <x:c r="K31" s="1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</x:row>
    <x:row r="32" ht="18" customHeight="1">
      <x:c r="A32" s="1"/>
      <x:c r="B32" s="1"/>
      <x:c r="C32" s="23" t="str">
        <x:v>Dividend payout on positive PAT</x:v>
      </x:c>
      <x:c r="D32" s="24"/>
      <x:c r="E32" s="26" t="n">
        <x:f>E460</x:f>
        <x:v>0.25</x:v>
      </x:c>
      <x:c r="F32" s="26" t="n">
        <x:f>F460</x:f>
        <x:v>0.25</x:v>
      </x:c>
      <x:c r="G32" s="26" t="n">
        <x:f>G460</x:f>
        <x:v>0.25</x:v>
      </x:c>
      <x:c r="H32" s="26" t="n">
        <x:f>H460</x:f>
        <x:v>0.25</x:v>
      </x:c>
      <x:c r="I32" s="26" t="n">
        <x:f>I460</x:f>
        <x:v>0.25</x:v>
      </x:c>
      <x:c r="J32" s="1"/>
      <x:c r="K32" s="1"/>
      <x:c r="M32" s="63" t="str">
        <x:v>Metric</x:v>
      </x:c>
      <x:c r="N32" s="88" t="n">
        <x:f>'Controls'!$E$17+-3</x:f>
        <x:v>2024</x:v>
      </x:c>
      <x:c r="O32" s="88" t="n">
        <x:f>'Controls'!$E$17+-2</x:f>
        <x:v>2025</x:v>
      </x:c>
      <x:c r="P32" s="88" t="n">
        <x:f>'Controls'!$E$17+-1</x:f>
        <x:v>2026</x:v>
      </x:c>
      <x:c r="Q32" s="89" t="n">
        <x:f>'Controls'!$E$17+0</x:f>
        <x:v>2027</x:v>
      </x:c>
      <x:c r="R32" s="89" t="n">
        <x:f>'Controls'!$E$17+1</x:f>
        <x:v>2028</x:v>
      </x:c>
      <x:c r="S32" s="89" t="n">
        <x:f>'Controls'!$E$17+2</x:f>
        <x:v>2029</x:v>
      </x:c>
      <x:c r="T32" s="89" t="n">
        <x:f>'Controls'!$E$17+3</x:f>
        <x:v>2030</x:v>
      </x:c>
      <x:c r="U32" s="89" t="n">
        <x:f>'Controls'!$E$17+4</x:f>
        <x:v>2031</x:v>
      </x:c>
      <x:c r="V32" s="63" t="str">
        <x:v>Source / reporting date</x:v>
      </x:c>
    </x:row>
    <x:row r="33" ht="18" customHeight="1">
      <x:c r="A33" s="1"/>
      <x:c r="B33" s="1"/>
      <x:c r="C33" s="19" t="str">
        <x:v>OPENING BALANCE SHEET AND VALUATION INPUTS</x:v>
      </x:c>
      <x:c r="D33" s="20"/>
      <x:c r="E33" s="20"/>
      <x:c r="F33" s="20"/>
      <x:c r="G33" s="20"/>
      <x:c r="H33" s="20"/>
      <x:c r="I33" s="20"/>
      <x:c r="J33" s="1"/>
      <x:c r="K33" s="1"/>
      <x:c r="M33" s="63" t="str">
        <x:v>Income</x:v>
      </x:c>
      <x:c r="N33" s="74"/>
      <x:c r="O33" s="74"/>
      <x:c r="P33" s="74"/>
      <x:c r="Q33" s="8" t="n">
        <x:f>E47</x:f>
        <x:v>5692.499999999999</x:v>
      </x:c>
      <x:c r="R33" s="8" t="n">
        <x:f>F47</x:f>
        <x:v>6480.911249999998</x:v>
      </x:c>
      <x:c r="S33" s="8" t="n">
        <x:f>G47</x:f>
        <x:v>7378.517458124997</x:v>
      </x:c>
      <x:c r="T33" s="8" t="n">
        <x:f>H47</x:f>
        <x:v>8400.44212607531</x:v>
      </x:c>
      <x:c r="U33" s="8" t="n">
        <x:f>I47</x:f>
        <x:v>9563.90336053674</x:v>
      </x:c>
      <x:c r="V33" s="63"/>
    </x:row>
    <x:row r="34" ht="18" customHeight="1">
      <x:c r="A34" s="1"/>
      <x:c r="B34" s="1"/>
      <x:c r="C34" s="1" t="str">
        <x:v>Opening net PP&amp;E</x:v>
      </x:c>
      <x:c r="D34" s="7" t="n">
        <x:v>3000</x:v>
      </x:c>
      <x:c r="E34" s="2"/>
      <x:c r="F34" s="2"/>
      <x:c r="G34" s="2"/>
      <x:c r="H34" s="2"/>
      <x:c r="I34" s="2"/>
      <x:c r="J34" s="1"/>
      <x:c r="K34" s="1"/>
      <x:c r="M34" s="63" t="str">
        <x:v>Profit after tax</x:v>
      </x:c>
      <x:c r="N34" s="74"/>
      <x:c r="O34" s="74"/>
      <x:c r="P34" s="74"/>
      <x:c r="Q34" s="8" t="n">
        <x:f>E58</x:f>
        <x:v>1075.14375</x:v>
      </x:c>
      <x:c r="R34" s="8" t="n">
        <x:f>F58</x:f>
        <x:v>1273.1877843749994</x:v>
      </x:c>
      <x:c r="S34" s="8" t="n">
        <x:f>G58</x:f>
        <x:v>1493.7061100109368</x:v>
      </x:c>
      <x:c r="T34" s="8" t="n">
        <x:f>H58</x:f>
        <x:v>1740.3000406474516</x:v>
      </x:c>
      <x:c r="U34" s="8" t="n">
        <x:f>I58</x:f>
        <x:v>2017.0110370491243</x:v>
      </x:c>
      <x:c r="V34" s="63"/>
    </x:row>
    <x:row r="35" ht="18" customHeight="1">
      <x:c r="A35" s="1"/>
      <x:c r="B35" s="1"/>
      <x:c r="C35" s="1" t="str">
        <x:v>Opening debt</x:v>
      </x:c>
      <x:c r="D35" s="7" t="n">
        <x:v>1000</x:v>
      </x:c>
      <x:c r="E35" s="2"/>
      <x:c r="F35" s="2"/>
      <x:c r="G35" s="2"/>
      <x:c r="H35" s="2"/>
      <x:c r="I35" s="2"/>
      <x:c r="J35" s="1"/>
      <x:c r="K35" s="1"/>
      <x:c r="M35" s="63" t="str">
        <x:v>EBITDA</x:v>
      </x:c>
      <x:c r="N35" s="74"/>
      <x:c r="O35" s="74"/>
      <x:c r="P35" s="74"/>
      <x:c r="Q35" s="8" t="n">
        <x:f>E52</x:f>
        <x:v>1878.5249999999999</x:v>
      </x:c>
      <x:c r="R35" s="8" t="n">
        <x:f>F52</x:f>
        <x:v>2138.700712499999</x:v>
      </x:c>
      <x:c r="S35" s="8" t="n">
        <x:f>G52</x:f>
        <x:v>2434.9107611812487</x:v>
      </x:c>
      <x:c r="T35" s="8" t="n">
        <x:f>H52</x:f>
        <x:v>2772.145901604852</x:v>
      </x:c>
      <x:c r="U35" s="8" t="n">
        <x:f>I52</x:f>
        <x:v>3156.0881089771246</x:v>
      </x:c>
      <x:c r="V35" s="63"/>
    </x:row>
    <x:row r="36" ht="18" customHeight="1">
      <x:c r="A36" s="1"/>
      <x:c r="B36" s="1"/>
      <x:c r="C36" s="1" t="str">
        <x:v>Opening cash</x:v>
      </x:c>
      <x:c r="D36" s="7" t="n">
        <x:v>800</x:v>
      </x:c>
      <x:c r="E36" s="2"/>
      <x:c r="F36" s="2"/>
      <x:c r="G36" s="2"/>
      <x:c r="H36" s="2"/>
      <x:c r="I36" s="2"/>
      <x:c r="J36" s="1"/>
      <x:c r="K36" s="1"/>
      <x:c r="M36" s="63" t="str">
        <x:v>Closing debt</x:v>
      </x:c>
      <x:c r="N36" s="74"/>
      <x:c r="O36" s="74"/>
      <x:c r="P36" s="74"/>
      <x:c r="Q36" s="8" t="n">
        <x:f>E67</x:f>
        <x:v>900</x:v>
      </x:c>
      <x:c r="R36" s="8" t="n">
        <x:f>F67</x:f>
        <x:v>800</x:v>
      </x:c>
      <x:c r="S36" s="8" t="n">
        <x:f>G67</x:f>
        <x:v>700</x:v>
      </x:c>
      <x:c r="T36" s="8" t="n">
        <x:f>H67</x:f>
        <x:v>600</x:v>
      </x:c>
      <x:c r="U36" s="8" t="n">
        <x:f>I67</x:f>
        <x:v>500</x:v>
      </x:c>
      <x:c r="V36" s="63"/>
    </x:row>
    <x:row r="37" ht="18" customHeight="1">
      <x:c r="A37" s="1"/>
      <x:c r="B37" s="1"/>
      <x:c r="C37" s="1" t="str">
        <x:v>Opening net working capital</x:v>
      </x:c>
      <x:c r="D37" s="7" t="n">
        <x:v>1441.0958904109589</x:v>
      </x:c>
      <x:c r="E37" s="2"/>
      <x:c r="F37" s="2"/>
      <x:c r="G37" s="2"/>
      <x:c r="H37" s="2"/>
      <x:c r="I37" s="2"/>
      <x:c r="J37" s="1"/>
      <x:c r="K37" s="1" t="str">
        <x:v>Illustrative opening net balance. Replace with receivables + inventory − payables.</x:v>
      </x:c>
      <x:c r="M37" s="63" t="str">
        <x:v>Closing cash / (funding gap)</x:v>
      </x:c>
      <x:c r="N37" s="74"/>
      <x:c r="O37" s="74"/>
      <x:c r="P37" s="74"/>
      <x:c r="Q37" s="8" t="n">
        <x:f>E72</x:f>
        <x:v>1268.2910316780822</x:v>
      </x:c>
      <x:c r="R37" s="8" t="n">
        <x:f>F72</x:f>
        <x:v>1806.8998399935786</x:v>
      </x:c>
      <x:c r="S37" s="8" t="n">
        <x:f>G72</x:f>
        <x:v>2427.2784913857713</x:v>
      </x:c>
      <x:c r="T37" s="8" t="n">
        <x:f>H72</x:f>
        <x:v>3142.180132595782</x:v>
      </x:c>
      <x:c r="U37" s="8" t="n">
        <x:f>I72</x:f>
        <x:v>3965.873393996381</x:v>
      </x:c>
      <x:c r="V37" s="63"/>
    </x:row>
    <x:row r="38" ht="18" customHeight="1">
      <x:c r="A38" s="1"/>
      <x:c r="B38" s="1"/>
      <x:c r="C38" s="1" t="str">
        <x:v>Diluted shares (crore)</x:v>
      </x:c>
      <x:c r="D38" s="7" t="n">
        <x:v>100</x:v>
      </x:c>
      <x:c r="E38" s="2"/>
      <x:c r="F38" s="2"/>
      <x:c r="G38" s="2"/>
      <x:c r="H38" s="2"/>
      <x:c r="I38" s="2"/>
      <x:c r="J38" s="1"/>
      <x:c r="K38" s="1"/>
      <x:c r="M38" s="63" t="str">
        <x:v>Closing book equity</x:v>
      </x:c>
      <x:c r="N38" s="74"/>
      <x:c r="O38" s="74"/>
      <x:c r="P38" s="74"/>
      <x:c r="Q38" s="8" t="n">
        <x:f>E73</x:f>
        <x:v>5047.45370291096</x:v>
      </x:c>
      <x:c r="R38" s="8" t="n">
        <x:f>F73</x:f>
        <x:v>6002.344541192208</x:v>
      </x:c>
      <x:c r="S38" s="8" t="n">
        <x:f>G73</x:f>
        <x:v>7122.624123700411</x:v>
      </x:c>
      <x:c r="T38" s="8" t="n">
        <x:f>H73</x:f>
        <x:v>8427.849154185998</x:v>
      </x:c>
      <x:c r="U38" s="8" t="n">
        <x:f>I73</x:f>
        <x:v>9940.607431972841</x:v>
      </x:c>
      <x:c r="V38" s="63"/>
    </x:row>
    <x:row r="39" ht="18" customHeight="1">
      <x:c r="A39" s="1"/>
      <x:c r="B39" s="1"/>
      <x:c r="C39" s="1" t="str">
        <x:v>WACC</x:v>
      </x:c>
      <x:c r="D39" s="25" t="n">
        <x:v>0.12</x:v>
      </x:c>
      <x:c r="E39" s="2"/>
      <x:c r="F39" s="2"/>
      <x:c r="G39" s="2"/>
      <x:c r="H39" s="2"/>
      <x:c r="I39" s="2"/>
      <x:c r="J39" s="1"/>
      <x:c r="K39" s="1"/>
      <x:c r="M39" s="63" t="str">
        <x:v>Operating cash flow after interest</x:v>
      </x:c>
      <x:c r="N39" s="74"/>
      <x:c r="O39" s="74"/>
      <x:c r="P39" s="74"/>
      <x:c r="Q39" s="8" t="n">
        <x:f>E69</x:f>
        <x:v>1235.5519691780821</x:v>
      </x:c>
      <x:c r="R39" s="8" t="n">
        <x:f>F69</x:f>
        <x:v>1410.5695419092463</x:v>
      </x:c>
      <x:c r="S39" s="8" t="n">
        <x:f>G69</x:f>
        <x:v>1610.301400963677</x:v>
      </x:c>
      <x:c r="T39" s="8" t="n">
        <x:f>H69</x:f>
        <x:v>1838.0076001971456</x:v>
      </x:c>
      <x:c r="U39" s="8" t="n">
        <x:f>I69</x:f>
        <x:v>2097.4192559004514</x:v>
      </x:c>
      <x:c r="V39" s="63"/>
    </x:row>
    <x:row r="40" ht="18" customHeight="1">
      <x:c r="A40" s="1"/>
      <x:c r="B40" s="1"/>
      <x:c r="C40" s="1" t="str">
        <x:v>Terminal growth</x:v>
      </x:c>
      <x:c r="D40" s="25" t="n">
        <x:v>0.04</x:v>
      </x:c>
      <x:c r="E40" s="2"/>
      <x:c r="F40" s="2"/>
      <x:c r="G40" s="2"/>
      <x:c r="H40" s="2"/>
      <x:c r="I40" s="2"/>
      <x:c r="J40" s="1"/>
      <x:c r="K40" s="1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</x:row>
    <x:row r="41" ht="18" customHeight="1">
      <x:c r="A41" s="1"/>
      <x:c r="B41" s="1"/>
      <x:c r="C41" s="1" t="str">
        <x:v>Terminal incremental ROIC</x:v>
      </x:c>
      <x:c r="D41" s="25" t="n">
        <x:v>0.15</x:v>
      </x:c>
      <x:c r="E41" s="2"/>
      <x:c r="F41" s="2"/>
      <x:c r="G41" s="2"/>
      <x:c r="H41" s="2"/>
      <x:c r="I41" s="2"/>
      <x:c r="J41" s="1"/>
      <x:c r="K41" s="1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</x:row>
    <x:row r="42" ht="18" customHeight="1">
      <x:c r="A42" s="1"/>
      <x:c r="B42" s="1"/>
      <x:c r="C42" s="1" t="str">
        <x:v>Forward EV / EBITDA</x:v>
      </x:c>
      <x:c r="D42" s="55" t="n">
        <x:v>20</x:v>
      </x:c>
      <x:c r="E42" s="2"/>
      <x:c r="F42" s="2"/>
      <x:c r="G42" s="2"/>
      <x:c r="H42" s="2"/>
      <x:c r="I42" s="2"/>
      <x:c r="J42" s="1"/>
      <x:c r="K42" s="1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</x:row>
    <x:row r="43" ht="18" customHeight="1">
      <x:c r="A43" s="1"/>
      <x:c r="B43" s="1"/>
      <x:c r="C43" s="19" t="str">
        <x:v>OPERATING BUILD</x:v>
      </x:c>
      <x:c r="D43" s="20"/>
      <x:c r="E43" s="20"/>
      <x:c r="F43" s="20"/>
      <x:c r="G43" s="20"/>
      <x:c r="H43" s="20"/>
      <x:c r="I43" s="20"/>
      <x:c r="J43" s="1"/>
      <x:c r="K43" s="1"/>
      <x:c r="M43" s="64" t="str">
        <x:v>Actuals are reference inputs. Calibrate the opening balances and forecast assumptions separately.</x:v>
      </x:c>
      <x:c r="N43" s="64"/>
      <x:c r="O43" s="64"/>
      <x:c r="P43" s="64"/>
      <x:c r="Q43" s="64"/>
      <x:c r="R43" s="64"/>
      <x:c r="S43" s="64"/>
      <x:c r="T43" s="64"/>
      <x:c r="U43" s="64"/>
      <x:c r="V43" s="63"/>
    </x:row>
    <x:row r="44" ht="18" customHeight="1">
      <x:c r="A44" s="1"/>
      <x:c r="B44" s="1"/>
      <x:c r="C44" s="1" t="str">
        <x:v>Equivalent doses sold (million)</x:v>
      </x:c>
      <x:c r="D44" s="2"/>
      <x:c r="E44" s="8" t="n">
        <x:f>$D10*(1+E12)</x:f>
        <x:v>550</x:v>
      </x:c>
      <x:c r="F44" s="8" t="n">
        <x:f>E44*(1+F12)</x:f>
        <x:v>605</x:v>
      </x:c>
      <x:c r="G44" s="8" t="n">
        <x:f>F44*(1+G12)</x:f>
        <x:v>665.5</x:v>
      </x:c>
      <x:c r="H44" s="8" t="n">
        <x:f>G44*(1+H12)</x:f>
        <x:v>732.0500000000001</x:v>
      </x:c>
      <x:c r="I44" s="8" t="n">
        <x:f>H44*(1+I12)</x:f>
        <x:v>805.2550000000001</x:v>
      </x:c>
      <x:c r="J44" s="1"/>
      <x:c r="K44" s="1"/>
      <x:c r="M44" s="64"/>
      <x:c r="N44" s="64"/>
      <x:c r="O44" s="64"/>
      <x:c r="P44" s="64"/>
      <x:c r="Q44" s="64"/>
      <x:c r="R44" s="64"/>
      <x:c r="S44" s="64"/>
      <x:c r="T44" s="64"/>
      <x:c r="U44" s="64"/>
      <x:c r="V44" s="63"/>
    </x:row>
    <x:row r="45" ht="18" customHeight="1">
      <x:c r="A45" s="1"/>
      <x:c r="B45" s="1"/>
      <x:c r="C45" s="1" t="str">
        <x:v>Net realization (INR per dose)</x:v>
      </x:c>
      <x:c r="D45" s="2"/>
      <x:c r="E45" s="8" t="n">
        <x:f>$D11*(1+E16)</x:f>
        <x:v>103.49999999999999</x:v>
      </x:c>
      <x:c r="F45" s="8" t="n">
        <x:f>E45*(1+F16)</x:f>
        <x:v>107.12249999999997</x:v>
      </x:c>
      <x:c r="G45" s="8" t="n">
        <x:f>F45*(1+G16)</x:f>
        <x:v>110.87178749999997</x:v>
      </x:c>
      <x:c r="H45" s="8" t="n">
        <x:f>G45*(1+H16)</x:f>
        <x:v>114.75230006249996</x:v>
      </x:c>
      <x:c r="I45" s="8" t="n">
        <x:f>H45*(1+I16)</x:f>
        <x:v>118.76863056468744</x:v>
      </x:c>
      <x:c r="J45" s="1"/>
      <x:c r="K45" s="1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</x:row>
    <x:row r="46" ht="18" customHeight="1">
      <x:c r="A46" s="1"/>
      <x:c r="B46" s="1"/>
      <x:c r="C46" s="1" t="str">
        <x:v>Billable / saleable volume</x:v>
      </x:c>
      <x:c r="D46" s="2"/>
      <x:c r="E46" s="8" t="n">
        <x:f>E44*E20</x:f>
        <x:v>550</x:v>
      </x:c>
      <x:c r="F46" s="8" t="n">
        <x:f>F44*F20</x:f>
        <x:v>605</x:v>
      </x:c>
      <x:c r="G46" s="8" t="n">
        <x:f>G44*G20</x:f>
        <x:v>665.5</x:v>
      </x:c>
      <x:c r="H46" s="8" t="n">
        <x:f>H44*H20</x:f>
        <x:v>732.0500000000001</x:v>
      </x:c>
      <x:c r="I46" s="8" t="n">
        <x:f>I44*I20</x:f>
        <x:v>805.2550000000001</x:v>
      </x:c>
      <x:c r="J46" s="1"/>
      <x:c r="K46" s="1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</x:row>
    <x:row r="47" ht="18" customHeight="1">
      <x:c r="A47" s="1"/>
      <x:c r="B47" s="1"/>
      <x:c r="C47" s="38" t="str">
        <x:v>Revenue</x:v>
      </x:c>
      <x:c r="D47" s="39"/>
      <x:c r="E47" s="60" t="n">
        <x:f>E46*E45*'Controls'!$E$14/'Controls'!$E$9</x:f>
        <x:v>5692.499999999999</x:v>
      </x:c>
      <x:c r="F47" s="60" t="n">
        <x:f>F46*F45*'Controls'!$E$14/'Controls'!$E$9</x:f>
        <x:v>6480.911249999998</x:v>
      </x:c>
      <x:c r="G47" s="60" t="n">
        <x:f>G46*G45*'Controls'!$E$14/'Controls'!$E$9</x:f>
        <x:v>7378.517458124997</x:v>
      </x:c>
      <x:c r="H47" s="60" t="n">
        <x:f>H46*H45*'Controls'!$E$14/'Controls'!$E$9</x:f>
        <x:v>8400.44212607531</x:v>
      </x:c>
      <x:c r="I47" s="60" t="n">
        <x:f>I46*I45*'Controls'!$E$14/'Controls'!$E$9</x:f>
        <x:v>9563.90336053674</x:v>
      </x:c>
      <x:c r="J47" s="1"/>
      <x:c r="K47" s="1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</x:row>
    <x:row r="48" ht="25" customHeight="1">
      <x:c r="A48" s="1"/>
      <x:c r="B48" s="1"/>
      <x:c r="C48" s="19" t="str">
        <x:v>INCOME STATEMENT</x:v>
      </x:c>
      <x:c r="D48" s="20"/>
      <x:c r="E48" s="20"/>
      <x:c r="F48" s="20"/>
      <x:c r="G48" s="20"/>
      <x:c r="H48" s="20"/>
      <x:c r="I48" s="20"/>
      <x:c r="J48" s="1"/>
      <x:c r="K48" s="1"/>
      <x:c r="M48" s="82" t="str">
        <x:v>DCF equity value | rows WACC / columns terminal growth</x:v>
      </x:c>
      <x:c r="N48" s="82"/>
      <x:c r="O48" s="82"/>
      <x:c r="P48" s="82"/>
      <x:c r="Q48" s="82"/>
      <x:c r="R48" s="82"/>
      <x:c r="S48" s="63"/>
      <x:c r="T48" s="63"/>
      <x:c r="U48" s="63"/>
      <x:c r="V48" s="63"/>
    </x:row>
    <x:row r="49" ht="18" customHeight="1">
      <x:c r="A49" s="1"/>
      <x:c r="B49" s="1"/>
      <x:c r="C49" s="1" t="str">
        <x:v>Direct cash costs</x:v>
      </x:c>
      <x:c r="D49" s="2"/>
      <x:c r="E49" s="8" t="n">
        <x:f>E47*E21</x:f>
        <x:v>2163.1499999999996</x:v>
      </x:c>
      <x:c r="F49" s="8" t="n">
        <x:f>F47*F21</x:f>
        <x:v>2462.7462749999995</x:v>
      </x:c>
      <x:c r="G49" s="8" t="n">
        <x:f>G47*G21</x:f>
        <x:v>2803.8366340874986</x:v>
      </x:c>
      <x:c r="H49" s="8" t="n">
        <x:f>H47*H21</x:f>
        <x:v>3192.1680079086177</x:v>
      </x:c>
      <x:c r="I49" s="8" t="n">
        <x:f>I47*I21</x:f>
        <x:v>3634.2832770039613</x:v>
      </x:c>
      <x:c r="J49" s="1"/>
      <x:c r="K49" s="1"/>
      <x:c r="M49" s="63"/>
      <x:c r="N49" s="70" t="n">
        <x:f>$D$40+-0.01</x:f>
        <x:v>0.03</x:v>
      </x:c>
      <x:c r="O49" s="70" t="n">
        <x:f>$D$40+-0.005</x:f>
        <x:v>0.035</x:v>
      </x:c>
      <x:c r="P49" s="70" t="n">
        <x:f>$D$40+0</x:f>
        <x:v>0.04</x:v>
      </x:c>
      <x:c r="Q49" s="70" t="n">
        <x:f>$D$40+0.005</x:f>
        <x:v>0.045</x:v>
      </x:c>
      <x:c r="R49" s="70" t="n">
        <x:f>$D$40+0.01</x:f>
        <x:v>0.05</x:v>
      </x:c>
      <x:c r="S49" s="63"/>
      <x:c r="T49" s="63"/>
      <x:c r="U49" s="63"/>
      <x:c r="V49" s="63"/>
    </x:row>
    <x:row r="50" ht="18" customHeight="1">
      <x:c r="A50" s="1"/>
      <x:c r="B50" s="1"/>
      <x:c r="C50" s="1" t="str">
        <x:v>Gross profit</x:v>
      </x:c>
      <x:c r="D50" s="2"/>
      <x:c r="E50" s="8" t="n">
        <x:f>E47-E49</x:f>
        <x:v>3529.3499999999995</x:v>
      </x:c>
      <x:c r="F50" s="8" t="n">
        <x:f>F47-F49</x:f>
        <x:v>4018.164974999999</x:v>
      </x:c>
      <x:c r="G50" s="8" t="n">
        <x:f>G47-G49</x:f>
        <x:v>4574.680824037498</x:v>
      </x:c>
      <x:c r="H50" s="8" t="n">
        <x:f>H47-H49</x:f>
        <x:v>5208.274118166692</x:v>
      </x:c>
      <x:c r="I50" s="8" t="n">
        <x:f>I47-I49</x:f>
        <x:v>5929.620083532779</x:v>
      </x:c>
      <x:c r="J50" s="1"/>
      <x:c r="K50" s="1"/>
      <x:c r="M50" s="70" t="n">
        <x:f>$D$39+-0.02</x:f>
        <x:v>0.09999999999999999</x:v>
      </x:c>
      <x:c r="N50" s="8" t="n">
        <x:f>IF($M50&lt;=N$49,"n/a",IF(N$49&gt;$D$41,"n/a",E77/(1+$M50)^1+F77/(1+$M50)^2+G77/(1+$M50)^3+H77/(1+$M50)^4+I77/(1+$M50)^5+I76*(1+N$49)*(1-N$49/D41)/($M50-N$49)/(1+$M50)^5-D35+D36))</x:f>
        <x:v>19134.08612588007</x:v>
      </x:c>
      <x:c r="O50" s="8" t="n">
        <x:f>IF($M50&lt;=O$49,"n/a",IF(O$49&gt;$D$41,"n/a",E77/(1+$M50)^1+F77/(1+$M50)^2+G77/(1+$M50)^3+H77/(1+$M50)^4+I77/(1+$M50)^5+I76*(1+O$49)*(1-O$49/D41)/($M50-O$49)/(1+$M50)^5-D35+D36))</x:f>
        <x:v>19690.826449765256</x:v>
      </x:c>
      <x:c r="P50" s="8" t="n">
        <x:f>IF($M50&lt;=P$49,"n/a",IF(P$49&gt;$D$41,"n/a",E77/(1+$M50)^1+F77/(1+$M50)^2+G77/(1+$M50)^3+H77/(1+$M50)^4+I77/(1+$M50)^5+I76*(1+P$49)*(1-P$49/D41)/($M50-P$49)/(1+$M50)^5-D35+D36))</x:f>
        <x:v>20333.267075395997</x:v>
      </x:c>
      <x:c r="Q50" s="8" t="n">
        <x:f>IF($M50&lt;=Q$49,"n/a",IF(Q$49&gt;$D$41,"n/a",E77/(1+$M50)^1+F77/(1+$M50)^2+G77/(1+$M50)^3+H77/(1+$M50)^4+I77/(1+$M50)^5+I76*(1+Q$49)*(1-Q$49/D41)/($M50-Q$49)/(1+$M50)^5-D35+D36))</x:f>
        <x:v>21084.780812339246</x:v>
      </x:c>
      <x:c r="R50" s="8" t="n">
        <x:f>IF($M50&lt;=R$49,"n/a",IF(R$49&gt;$D$41,"n/a",E77/(1+$M50)^1+F77/(1+$M50)^2+G77/(1+$M50)^3+H77/(1+$M50)^4+I77/(1+$M50)^5+I76*(1+R$49)*(1-R$49/D41)/($M50-R$49)/(1+$M50)^5-D35+D36))</x:f>
        <x:v>21978.089593988778</x:v>
      </x:c>
      <x:c r="S50" s="63"/>
      <x:c r="T50" s="63"/>
      <x:c r="U50" s="63"/>
      <x:c r="V50" s="63"/>
    </x:row>
    <x:row r="51" ht="18" customHeight="1">
      <x:c r="A51" s="1"/>
      <x:c r="B51" s="1"/>
      <x:c r="C51" s="1" t="str">
        <x:v>Other cash operating costs</x:v>
      </x:c>
      <x:c r="D51" s="2"/>
      <x:c r="E51" s="8" t="n">
        <x:f>E47*E22</x:f>
        <x:v>1650.8249999999996</x:v>
      </x:c>
      <x:c r="F51" s="8" t="n">
        <x:f>F47*F22</x:f>
        <x:v>1879.4642624999994</x:v>
      </x:c>
      <x:c r="G51" s="8" t="n">
        <x:f>G47*G22</x:f>
        <x:v>2139.770062856249</x:v>
      </x:c>
      <x:c r="H51" s="8" t="n">
        <x:f>H47*H22</x:f>
        <x:v>2436.1282165618395</x:v>
      </x:c>
      <x:c r="I51" s="8" t="n">
        <x:f>I47*I22</x:f>
        <x:v>2773.5319745556544</x:v>
      </x:c>
      <x:c r="J51" s="1"/>
      <x:c r="K51" s="1"/>
      <x:c r="M51" s="70" t="n">
        <x:f>$D$39+-0.01</x:f>
        <x:v>0.11</x:v>
      </x:c>
      <x:c r="N51" s="8" t="n">
        <x:f>IF($M51&lt;=N$49,"n/a",IF(N$49&gt;$D$41,"n/a",E77/(1+$M51)^1+F77/(1+$M51)^2+G77/(1+$M51)^3+H77/(1+$M51)^4+I77/(1+$M51)^5+I76*(1+N$49)*(1-N$49/D41)/($M51-N$49)/(1+$M51)^5-D35+D36))</x:f>
        <x:v>16557.633841667026</x:v>
      </x:c>
      <x:c r="O51" s="8" t="n">
        <x:f>IF($M51&lt;=O$49,"n/a",IF(O$49&gt;$D$41,"n/a",E77/(1+$M51)^1+F77/(1+$M51)^2+G77/(1+$M51)^3+H77/(1+$M51)^4+I77/(1+$M51)^5+I76*(1+O$49)*(1-O$49/D41)/($M51-O$49)/(1+$M51)^5-D35+D36))</x:f>
        <x:v>16899.149111411294</x:v>
      </x:c>
      <x:c r="P51" s="8" t="n">
        <x:f>IF($M51&lt;=P$49,"n/a",IF(P$49&gt;$D$41,"n/a",E77/(1+$M51)^1+F77/(1+$M51)^2+G77/(1+$M51)^3+H77/(1+$M51)^4+I77/(1+$M51)^5+I76*(1+P$49)*(1-P$49/D41)/($M51-P$49)/(1+$M51)^5-D35+D36))</x:f>
        <x:v>17283.644194014538</x:v>
      </x:c>
      <x:c r="Q51" s="8" t="n">
        <x:f>IF($M51&lt;=Q$49,"n/a",IF(Q$49&gt;$D$41,"n/a",E77/(1+$M51)^1+F77/(1+$M51)^2+G77/(1+$M51)^3+H77/(1+$M51)^4+I77/(1+$M51)^5+I76*(1+Q$49)*(1-Q$49/D41)/($M51-Q$49)/(1+$M51)^5-D35+D36))</x:f>
        <x:v>17721.037507828816</x:v>
      </x:c>
      <x:c r="R51" s="8" t="n">
        <x:f>IF($M51&lt;=R$49,"n/a",IF(R$49&gt;$D$41,"n/a",E77/(1+$M51)^1+F77/(1+$M51)^2+G77/(1+$M51)^3+H77/(1+$M51)^4+I77/(1+$M51)^5+I76*(1+R$49)*(1-R$49/D41)/($M51-R$49)/(1+$M51)^5-D35+D36))</x:f>
        <x:v>18224.553610656905</x:v>
      </x:c>
      <x:c r="S51" s="63"/>
      <x:c r="T51" s="63"/>
      <x:c r="U51" s="63"/>
      <x:c r="V51" s="63"/>
    </x:row>
    <x:row r="52" ht="18" customHeight="1">
      <x:c r="A52" s="1"/>
      <x:c r="B52" s="1"/>
      <x:c r="C52" s="38" t="str">
        <x:v>EBITDA</x:v>
      </x:c>
      <x:c r="D52" s="39"/>
      <x:c r="E52" s="41" t="n">
        <x:f>E50-E51</x:f>
        <x:v>1878.5249999999999</x:v>
      </x:c>
      <x:c r="F52" s="41" t="n">
        <x:f>F50-F51</x:f>
        <x:v>2138.700712499999</x:v>
      </x:c>
      <x:c r="G52" s="41" t="n">
        <x:f>G50-G51</x:f>
        <x:v>2434.9107611812487</x:v>
      </x:c>
      <x:c r="H52" s="41" t="n">
        <x:f>H50-H51</x:f>
        <x:v>2772.145901604852</x:v>
      </x:c>
      <x:c r="I52" s="41" t="n">
        <x:f>I50-I51</x:f>
        <x:v>3156.0881089771246</x:v>
      </x:c>
      <x:c r="J52" s="1"/>
      <x:c r="K52" s="1"/>
      <x:c r="M52" s="70" t="n">
        <x:f>$D$39+0</x:f>
        <x:v>0.12</x:v>
      </x:c>
      <x:c r="N52" s="8" t="n">
        <x:f>IF($M52&lt;=N$49,"n/a",IF(N$49&gt;$D$41,"n/a",E77/(1+$M52)^1+F77/(1+$M52)^2+G77/(1+$M52)^3+H77/(1+$M52)^4+I77/(1+$M52)^5+I76*(1+N$49)*(1-N$49/D41)/($M52-N$49)/(1+$M52)^5-D35+D36))</x:f>
        <x:v>14559.742930774059</x:v>
      </x:c>
      <x:c r="O52" s="8" t="n">
        <x:f>IF($M52&lt;=O$49,"n/a",IF(O$49&gt;$D$41,"n/a",E77/(1+$M52)^1+F77/(1+$M52)^2+G77/(1+$M52)^3+H77/(1+$M52)^4+I77/(1+$M52)^5+I76*(1+O$49)*(1-O$49/D41)/($M52-O$49)/(1+$M52)^5-D35+D36))</x:f>
        <x:v>14769.355894618358</x:v>
      </x:c>
      <x:c r="P52" s="8" t="n">
        <x:f>IF($M52&lt;=P$49,"n/a",IF(P$49&gt;$D$41,"n/a",E77/(1+$M52)^1+F77/(1+$M52)^2+G77/(1+$M52)^3+H77/(1+$M52)^4+I77/(1+$M52)^5+I76*(1+P$49)*(1-P$49/D41)/($M52-P$49)/(1+$M52)^5-D35+D36))</x:f>
        <x:v>15000.311269326807</x:v>
      </x:c>
      <x:c r="Q52" s="8" t="n">
        <x:f>IF($M52&lt;=Q$49,"n/a",IF(Q$49&gt;$D$41,"n/a",E77/(1+$M52)^1+F77/(1+$M52)^2+G77/(1+$M52)^3+H77/(1+$M52)^4+I77/(1+$M52)^5+I76*(1+Q$49)*(1-Q$49/D41)/($M52-Q$49)/(1+$M52)^5-D35+D36))</x:f>
        <x:v>15256.877537072221</x:v>
      </x:c>
      <x:c r="R52" s="8" t="n">
        <x:f>IF($M52&lt;=R$49,"n/a",IF(R$49&gt;$D$41,"n/a",E77/(1+$M52)^1+F77/(1+$M52)^2+G77/(1+$M52)^3+H77/(1+$M52)^4+I77/(1+$M52)^5+I76*(1+R$49)*(1-R$49/D41)/($M52-R$49)/(1+$M52)^5-D35+D36))</x:f>
        <x:v>15544.542746362544</x:v>
      </x:c>
      <x:c r="S52" s="63"/>
      <x:c r="T52" s="63"/>
      <x:c r="U52" s="63"/>
      <x:c r="V52" s="63"/>
    </x:row>
    <x:row r="53" ht="18" customHeight="1">
      <x:c r="A53" s="1"/>
      <x:c r="B53" s="1"/>
      <x:c r="C53" s="1" t="str">
        <x:v>Depreciation and amortization</x:v>
      </x:c>
      <x:c r="D53" s="2"/>
      <x:c r="E53" s="8" t="n">
        <x:f>E134</x:f>
        <x:v>360</x:v>
      </x:c>
      <x:c r="F53" s="8" t="n">
        <x:f>F134</x:f>
        <x:v>364.61699999999996</x:v>
      </x:c>
      <x:c r="G53" s="8" t="n">
        <x:f>G134</x:f>
        <x:v>375.30261449999995</x:v>
      </x:c>
      <x:c r="H53" s="8" t="n">
        <x:f>H134</x:f>
        <x:v>392.24584740825</x:v>
      </x:c>
      <x:c r="I53" s="8" t="n">
        <x:f>I134</x:f>
        <x:v>415.7400595782925</x:v>
      </x:c>
      <x:c r="J53" s="1"/>
      <x:c r="K53" s="1"/>
      <x:c r="M53" s="70" t="n">
        <x:f>$D$39+0.01</x:f>
        <x:v>0.13</x:v>
      </x:c>
      <x:c r="N53" s="8" t="n">
        <x:f>IF($M53&lt;=N$49,"n/a",IF(N$49&gt;$D$41,"n/a",E77/(1+$M53)^1+F77/(1+$M53)^2+G77/(1+$M53)^3+H77/(1+$M53)^4+I77/(1+$M53)^5+I76*(1+N$49)*(1-N$49/D41)/($M53-N$49)/(1+$M53)^5-D35+D36))</x:f>
        <x:v>12966.555923156762</x:v>
      </x:c>
      <x:c r="O53" s="8" t="n">
        <x:f>IF($M53&lt;=O$49,"n/a",IF(O$49&gt;$D$41,"n/a",E77/(1+$M53)^1+F77/(1+$M53)^2+G77/(1+$M53)^3+H77/(1+$M53)^4+I77/(1+$M53)^5+I76*(1+O$49)*(1-O$49/D41)/($M53-O$49)/(1+$M53)^5-D35+D36))</x:f>
        <x:v>13092.197952983723</x:v>
      </x:c>
      <x:c r="P53" s="8" t="n">
        <x:f>IF($M53&lt;=P$49,"n/a",IF(P$49&gt;$D$41,"n/a",E77/(1+$M53)^1+F77/(1+$M53)^2+G77/(1+$M53)^3+H77/(1+$M53)^4+I77/(1+$M53)^5+I76*(1+P$49)*(1-P$49/D41)/($M53-P$49)/(1+$M53)^5-D35+D36))</x:f>
        <x:v>13227.668677425045</x:v>
      </x:c>
      <x:c r="Q53" s="8" t="n">
        <x:f>IF($M53&lt;=Q$49,"n/a",IF(Q$49&gt;$D$41,"n/a",E77/(1+$M53)^1+F77/(1+$M53)^2+G77/(1+$M53)^3+H77/(1+$M53)^4+I77/(1+$M53)^5+I76*(1+Q$49)*(1-Q$49/D41)/($M53-Q$49)/(1+$M53)^5-D35+D36))</x:f>
        <x:v>13374.702572000904</x:v>
      </x:c>
      <x:c r="R53" s="8" t="n">
        <x:f>IF($M53&lt;=R$49,"n/a",IF(R$49&gt;$D$41,"n/a",E77/(1+$M53)^1+F77/(1+$M53)^2+G77/(1+$M53)^3+H77/(1+$M53)^4+I77/(1+$M53)^5+I76*(1+R$49)*(1-R$49/D41)/($M53-R$49)/(1+$M53)^5-D35+D36))</x:f>
        <x:v>13535.467731111543</x:v>
      </x:c>
      <x:c r="S53" s="63"/>
      <x:c r="T53" s="63"/>
      <x:c r="U53" s="63"/>
      <x:c r="V53" s="63"/>
    </x:row>
    <x:row r="54" ht="18" customHeight="1">
      <x:c r="A54" s="1"/>
      <x:c r="B54" s="1"/>
      <x:c r="C54" s="1" t="str">
        <x:v>EBIT</x:v>
      </x:c>
      <x:c r="D54" s="2"/>
      <x:c r="E54" s="8" t="n">
        <x:f>E52-E53</x:f>
        <x:v>1518.5249999999999</x:v>
      </x:c>
      <x:c r="F54" s="8" t="n">
        <x:f>F52-F53</x:f>
        <x:v>1774.0837124999991</x:v>
      </x:c>
      <x:c r="G54" s="8" t="n">
        <x:f>G52-G53</x:f>
        <x:v>2059.608146681249</x:v>
      </x:c>
      <x:c r="H54" s="8" t="n">
        <x:f>H52-H53</x:f>
        <x:v>2379.900054196602</x:v>
      </x:c>
      <x:c r="I54" s="8" t="n">
        <x:f>I52-I53</x:f>
        <x:v>2740.3480493988322</x:v>
      </x:c>
      <x:c r="J54" s="1"/>
      <x:c r="K54" s="1"/>
      <x:c r="M54" s="70" t="n">
        <x:f>$D$39+0.02</x:f>
        <x:v>0.13999999999999999</x:v>
      </x:c>
      <x:c r="N54" s="8" t="n">
        <x:f>IF($M54&lt;=N$49,"n/a",IF(N$49&gt;$D$41,"n/a",E77/(1+$M54)^1+F77/(1+$M54)^2+G77/(1+$M54)^3+H77/(1+$M54)^4+I77/(1+$M54)^5+I76*(1+N$49)*(1-N$49/D41)/($M54-N$49)/(1+$M54)^5-D35+D36))</x:f>
        <x:v>11667.452826634946</x:v>
      </x:c>
      <x:c r="O54" s="8" t="n">
        <x:f>IF($M54&lt;=O$49,"n/a",IF(O$49&gt;$D$41,"n/a",E77/(1+$M54)^1+F77/(1+$M54)^2+G77/(1+$M54)^3+H77/(1+$M54)^4+I77/(1+$M54)^5+I76*(1+O$49)*(1-O$49/D41)/($M54-O$49)/(1+$M54)^5-D35+D36))</x:f>
        <x:v>11738.153277499714</x:v>
      </x:c>
      <x:c r="P54" s="8" t="n">
        <x:f>IF($M54&lt;=P$49,"n/a",IF(P$49&gt;$D$41,"n/a",E77/(1+$M54)^1+F77/(1+$M54)^2+G77/(1+$M54)^3+H77/(1+$M54)^4+I77/(1+$M54)^5+I76*(1+P$49)*(1-P$49/D41)/($M54-P$49)/(1+$M54)^5-D35+D36))</x:f>
        <x:v>11812.365646185219</x:v>
      </x:c>
      <x:c r="Q54" s="8" t="n">
        <x:f>IF($M54&lt;=Q$49,"n/a",IF(Q$49&gt;$D$41,"n/a",E77/(1+$M54)^1+F77/(1+$M54)^2+G77/(1+$M54)^3+H77/(1+$M54)^4+I77/(1+$M54)^5+I76*(1+Q$49)*(1-Q$49/D41)/($M54-Q$49)/(1+$M54)^5-D35+D36))</x:f>
        <x:v>11890.644446031565</x:v>
      </x:c>
      <x:c r="R54" s="8" t="n">
        <x:f>IF($M54&lt;=R$49,"n/a",IF(R$49&gt;$D$41,"n/a",E77/(1+$M54)^1+F77/(1+$M54)^2+G77/(1+$M54)^3+H77/(1+$M54)^4+I77/(1+$M54)^5+I76*(1+R$49)*(1-R$49/D41)/($M54-R$49)/(1+$M54)^5-D35+D36))</x:f>
        <x:v>11973.667415565578</x:v>
      </x:c>
      <x:c r="S54" s="63"/>
      <x:c r="T54" s="63"/>
      <x:c r="U54" s="63"/>
      <x:c r="V54" s="63"/>
    </x:row>
    <x:row r="55" ht="18" customHeight="1">
      <x:c r="A55" s="1"/>
      <x:c r="B55" s="1"/>
      <x:c r="C55" s="1" t="str">
        <x:v>Interest expense</x:v>
      </x:c>
      <x:c r="D55" s="2"/>
      <x:c r="E55" s="8" t="n">
        <x:f>E125</x:f>
        <x:v>85</x:v>
      </x:c>
      <x:c r="F55" s="8" t="n">
        <x:f>F125</x:f>
        <x:v>76.5</x:v>
      </x:c>
      <x:c r="G55" s="8" t="n">
        <x:f>G125</x:f>
        <x:v>68</x:v>
      </x:c>
      <x:c r="H55" s="8" t="n">
        <x:f>H125</x:f>
        <x:v>59.50000000000001</x:v>
      </x:c>
      <x:c r="I55" s="8" t="n">
        <x:f>I125</x:f>
        <x:v>51.00000000000001</x:v>
      </x:c>
      <x:c r="J55" s="1"/>
      <x:c r="K55" s="1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</x:row>
    <x:row r="56" ht="18" customHeight="1">
      <x:c r="A56" s="1"/>
      <x:c r="B56" s="1"/>
      <x:c r="C56" s="1" t="str">
        <x:v>Profit before tax</x:v>
      </x:c>
      <x:c r="D56" s="2"/>
      <x:c r="E56" s="8" t="n">
        <x:f>E54-E55</x:f>
        <x:v>1433.5249999999999</x:v>
      </x:c>
      <x:c r="F56" s="8" t="n">
        <x:f>F54-F55</x:f>
        <x:v>1697.5837124999991</x:v>
      </x:c>
      <x:c r="G56" s="8" t="n">
        <x:f>G54-G55</x:f>
        <x:v>1991.6081466812489</x:v>
      </x:c>
      <x:c r="H56" s="8" t="n">
        <x:f>H54-H55</x:f>
        <x:v>2320.400054196602</x:v>
      </x:c>
      <x:c r="I56" s="8" t="n">
        <x:f>I54-I55</x:f>
        <x:v>2689.3480493988322</x:v>
      </x:c>
      <x:c r="J56" s="1"/>
      <x:c r="K56" s="1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</x:row>
    <x:row r="57" ht="18" customHeight="1">
      <x:c r="A57" s="1"/>
      <x:c r="B57" s="1"/>
      <x:c r="C57" s="1" t="str">
        <x:v>Cash income tax</x:v>
      </x:c>
      <x:c r="D57" s="2"/>
      <x:c r="E57" s="8" t="n">
        <x:f>E144</x:f>
        <x:v>358.38124999999997</x:v>
      </x:c>
      <x:c r="F57" s="8" t="n">
        <x:f>F144</x:f>
        <x:v>424.3959281249998</x:v>
      </x:c>
      <x:c r="G57" s="8" t="n">
        <x:f>G144</x:f>
        <x:v>497.9020366703122</x:v>
      </x:c>
      <x:c r="H57" s="8" t="n">
        <x:f>H144</x:f>
        <x:v>580.1000135491505</x:v>
      </x:c>
      <x:c r="I57" s="8" t="n">
        <x:f>I144</x:f>
        <x:v>672.3370123497081</x:v>
      </x:c>
      <x:c r="J57" s="1"/>
      <x:c r="K57" s="1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</x:row>
    <x:row r="58" ht="25" customHeight="1">
      <x:c r="A58" s="1"/>
      <x:c r="B58" s="1"/>
      <x:c r="C58" s="38" t="str">
        <x:v>Profit after tax</x:v>
      </x:c>
      <x:c r="D58" s="39"/>
      <x:c r="E58" s="41" t="n">
        <x:f>E56-E57</x:f>
        <x:v>1075.14375</x:v>
      </x:c>
      <x:c r="F58" s="41" t="n">
        <x:f>F56-F57</x:f>
        <x:v>1273.1877843749994</x:v>
      </x:c>
      <x:c r="G58" s="41" t="n">
        <x:f>G56-G57</x:f>
        <x:v>1493.7061100109368</x:v>
      </x:c>
      <x:c r="H58" s="41" t="n">
        <x:f>H56-H57</x:f>
        <x:v>1740.3000406474516</x:v>
      </x:c>
      <x:c r="I58" s="41" t="n">
        <x:f>I56-I57</x:f>
        <x:v>2017.0110370491243</x:v>
      </x:c>
      <x:c r="J58" s="1"/>
      <x:c r="K58" s="1"/>
      <x:c r="M58" s="82" t="str">
        <x:v>Forward equity value | rows EBITDA / columns EV/EBITDA</x:v>
      </x:c>
      <x:c r="N58" s="82"/>
      <x:c r="O58" s="82"/>
      <x:c r="P58" s="82"/>
      <x:c r="Q58" s="82"/>
      <x:c r="R58" s="82"/>
      <x:c r="S58" s="63"/>
      <x:c r="T58" s="63"/>
      <x:c r="U58" s="63"/>
      <x:c r="V58" s="63"/>
    </x:row>
    <x:row r="59" ht="18" customHeight="1">
      <x:c r="A59" s="1"/>
      <x:c r="B59" s="1"/>
      <x:c r="C59" s="19" t="str">
        <x:v>WORKING CAPITAL AND ASSET SCHEDULES</x:v>
      </x:c>
      <x:c r="D59" s="20"/>
      <x:c r="E59" s="20"/>
      <x:c r="F59" s="20"/>
      <x:c r="G59" s="20"/>
      <x:c r="H59" s="20"/>
      <x:c r="I59" s="20"/>
      <x:c r="J59" s="1"/>
      <x:c r="K59" s="1"/>
      <x:c r="M59" s="63"/>
      <x:c r="N59" s="78" t="n">
        <x:f>MAX(0,D42+-2)</x:f>
        <x:v>18</x:v>
      </x:c>
      <x:c r="O59" s="78" t="n">
        <x:f>MAX(0,D42+-1)</x:f>
        <x:v>19</x:v>
      </x:c>
      <x:c r="P59" s="78" t="n">
        <x:f>MAX(0,D42+0)</x:f>
        <x:v>20</x:v>
      </x:c>
      <x:c r="Q59" s="78" t="n">
        <x:f>MAX(0,D42+1)</x:f>
        <x:v>21</x:v>
      </x:c>
      <x:c r="R59" s="78" t="n">
        <x:f>MAX(0,D42+2)</x:f>
        <x:v>22</x:v>
      </x:c>
      <x:c r="S59" s="63"/>
      <x:c r="T59" s="63"/>
      <x:c r="U59" s="63"/>
      <x:c r="V59" s="63"/>
    </x:row>
    <x:row r="60" ht="18" customHeight="1">
      <x:c r="A60" s="1"/>
      <x:c r="B60" s="1"/>
      <x:c r="C60" s="1" t="str">
        <x:v>Trade receivables</x:v>
      </x:c>
      <x:c r="D60" s="2"/>
      <x:c r="E60" s="10" t="n">
        <x:f>E47*E25/'Controls'!$E$11</x:f>
        <x:v>1403.6301369863013</x:v>
      </x:c>
      <x:c r="F60" s="10" t="n">
        <x:f>F47*F25/'Controls'!$E$11</x:f>
        <x:v>1598.0329109589036</x:v>
      </x:c>
      <x:c r="G60" s="10" t="n">
        <x:f>G47*G25/'Controls'!$E$11</x:f>
        <x:v>1819.3604691267115</x:v>
      </x:c>
      <x:c r="H60" s="10" t="n">
        <x:f>H47*H25/'Controls'!$E$11</x:f>
        <x:v>2071.3418941007612</x:v>
      </x:c>
      <x:c r="I60" s="10" t="n">
        <x:f>I47*I25/'Controls'!$E$11</x:f>
        <x:v>2358.2227464337166</x:v>
      </x:c>
      <x:c r="J60" s="1"/>
      <x:c r="K60" s="1"/>
      <x:c r="M60" s="8" t="n">
        <x:f>E52*0.8</x:f>
        <x:v>1502.82</x:v>
      </x:c>
      <x:c r="N60" s="8" t="n">
        <x:f>$M60*N$59-D35+D36</x:f>
        <x:v>26850.76</x:v>
      </x:c>
      <x:c r="O60" s="8" t="n">
        <x:f>$M60*O$59-D35+D36</x:f>
        <x:v>28353.579999999998</x:v>
      </x:c>
      <x:c r="P60" s="8" t="n">
        <x:f>$M60*P$59-D35+D36</x:f>
        <x:v>29856.399999999998</x:v>
      </x:c>
      <x:c r="Q60" s="8" t="n">
        <x:f>$M60*Q$59-D35+D36</x:f>
        <x:v>31359.219999999998</x:v>
      </x:c>
      <x:c r="R60" s="8" t="n">
        <x:f>$M60*R$59-D35+D36</x:f>
        <x:v>32862.04</x:v>
      </x:c>
      <x:c r="S60" s="63"/>
      <x:c r="T60" s="63"/>
      <x:c r="U60" s="63"/>
      <x:c r="V60" s="63"/>
    </x:row>
    <x:row r="61" ht="18" customHeight="1">
      <x:c r="A61" s="1"/>
      <x:c r="B61" s="1"/>
      <x:c r="C61" s="1" t="str">
        <x:v>Inventory</x:v>
      </x:c>
      <x:c r="D61" s="2"/>
      <x:c r="E61" s="10" t="n">
        <x:f>E49*E26/'Controls'!$E$11</x:f>
        <x:v>592.6438356164383</x:v>
      </x:c>
      <x:c r="F61" s="10" t="n">
        <x:f>F49*F26/'Controls'!$E$11</x:f>
        <x:v>674.7250068493149</x:v>
      </x:c>
      <x:c r="G61" s="10" t="n">
        <x:f>G49*G26/'Controls'!$E$11</x:f>
        <x:v>768.1744202979448</x:v>
      </x:c>
      <x:c r="H61" s="10" t="n">
        <x:f>H49*H26/'Controls'!$E$11</x:f>
        <x:v>874.5665775092103</x:v>
      </x:c>
      <x:c r="I61" s="10" t="n">
        <x:f>I49*I26/'Controls'!$E$11</x:f>
        <x:v>995.694048494236</x:v>
      </x:c>
      <x:c r="J61" s="1"/>
      <x:c r="K61" s="1"/>
      <x:c r="M61" s="8" t="n">
        <x:f>E52*0.9</x:f>
        <x:v>1690.6725</x:v>
      </x:c>
      <x:c r="N61" s="8" t="n">
        <x:f>$M61*N$59-D35+D36</x:f>
        <x:v>30232.105</x:v>
      </x:c>
      <x:c r="O61" s="8" t="n">
        <x:f>$M61*O$59-D35+D36</x:f>
        <x:v>31922.777499999997</x:v>
      </x:c>
      <x:c r="P61" s="8" t="n">
        <x:f>$M61*P$59-D35+D36</x:f>
        <x:v>33613.45</x:v>
      </x:c>
      <x:c r="Q61" s="8" t="n">
        <x:f>$M61*Q$59-D35+D36</x:f>
        <x:v>35304.1225</x:v>
      </x:c>
      <x:c r="R61" s="8" t="n">
        <x:f>$M61*R$59-D35+D36</x:f>
        <x:v>36994.795</x:v>
      </x:c>
      <x:c r="S61" s="63"/>
      <x:c r="T61" s="63"/>
      <x:c r="U61" s="63"/>
      <x:c r="V61" s="63"/>
    </x:row>
    <x:row r="62" ht="18" customHeight="1">
      <x:c r="A62" s="1"/>
      <x:c r="B62" s="1"/>
      <x:c r="C62" s="1" t="str">
        <x:v>Trade payables</x:v>
      </x:c>
      <x:c r="D62" s="2"/>
      <x:c r="E62" s="10" t="n">
        <x:f>E49*E27/'Controls'!$E$11</x:f>
        <x:v>355.58630136986295</x:v>
      </x:c>
      <x:c r="F62" s="10" t="n">
        <x:f>F49*F27/'Controls'!$E$11</x:f>
        <x:v>404.83500410958897</x:v>
      </x:c>
      <x:c r="G62" s="10" t="n">
        <x:f>G49*G27/'Controls'!$E$11</x:f>
        <x:v>460.90465217876687</x:v>
      </x:c>
      <x:c r="H62" s="10" t="n">
        <x:f>H49*H27/'Controls'!$E$11</x:f>
        <x:v>524.7399465055262</x:v>
      </x:c>
      <x:c r="I62" s="10" t="n">
        <x:f>I49*I27/'Controls'!$E$11</x:f>
        <x:v>597.4164290965416</x:v>
      </x:c>
      <x:c r="J62" s="1"/>
      <x:c r="K62" s="1"/>
      <x:c r="M62" s="8" t="n">
        <x:f>E52*1</x:f>
        <x:v>1878.5249999999999</x:v>
      </x:c>
      <x:c r="N62" s="8" t="n">
        <x:f>$M62*N$59-D35+D36</x:f>
        <x:v>33613.45</x:v>
      </x:c>
      <x:c r="O62" s="8" t="n">
        <x:f>$M62*O$59-D35+D36</x:f>
        <x:v>35491.975</x:v>
      </x:c>
      <x:c r="P62" s="8" t="n">
        <x:f>$M62*P$59-D35+D36</x:f>
        <x:v>37370.5</x:v>
      </x:c>
      <x:c r="Q62" s="8" t="n">
        <x:f>$M62*Q$59-D35+D36</x:f>
        <x:v>39249.024999999994</x:v>
      </x:c>
      <x:c r="R62" s="8" t="n">
        <x:f>$M62*R$59-D35+D36</x:f>
        <x:v>41127.549999999996</x:v>
      </x:c>
      <x:c r="S62" s="63"/>
      <x:c r="T62" s="63"/>
      <x:c r="U62" s="63"/>
      <x:c r="V62" s="63"/>
    </x:row>
    <x:row r="63" ht="18" customHeight="1">
      <x:c r="A63" s="1"/>
      <x:c r="B63" s="1"/>
      <x:c r="C63" s="1" t="str">
        <x:v>Net working capital</x:v>
      </x:c>
      <x:c r="D63" s="2"/>
      <x:c r="E63" s="8" t="n">
        <x:f>E60+E61-E62</x:f>
        <x:v>1640.6876712328767</x:v>
      </x:c>
      <x:c r="F63" s="8" t="n">
        <x:f>F60+F61-F62</x:f>
        <x:v>1867.9229136986298</x:v>
      </x:c>
      <x:c r="G63" s="8" t="n">
        <x:f>G60+G61-G62</x:f>
        <x:v>2126.6302372458895</x:v>
      </x:c>
      <x:c r="H63" s="8" t="n">
        <x:f>H60+H61-H62</x:f>
        <x:v>2421.1685251044455</x:v>
      </x:c>
      <x:c r="I63" s="8" t="n">
        <x:f>I60+I61-I62</x:f>
        <x:v>2756.500365831411</x:v>
      </x:c>
      <x:c r="J63" s="1"/>
      <x:c r="K63" s="1"/>
      <x:c r="M63" s="8" t="n">
        <x:f>E52*1.1</x:f>
        <x:v>2066.3775</x:v>
      </x:c>
      <x:c r="N63" s="8" t="n">
        <x:f>$M63*N$59-D35+D36</x:f>
        <x:v>36994.795</x:v>
      </x:c>
      <x:c r="O63" s="8" t="n">
        <x:f>$M63*O$59-D35+D36</x:f>
        <x:v>39061.1725</x:v>
      </x:c>
      <x:c r="P63" s="8" t="n">
        <x:f>$M63*P$59-D35+D36</x:f>
        <x:v>41127.55</x:v>
      </x:c>
      <x:c r="Q63" s="8" t="n">
        <x:f>$M63*Q$59-D35+D36</x:f>
        <x:v>43193.9275</x:v>
      </x:c>
      <x:c r="R63" s="8" t="n">
        <x:f>$M63*R$59-D35+D36</x:f>
        <x:v>45260.305</x:v>
      </x:c>
      <x:c r="S63" s="63"/>
      <x:c r="T63" s="63"/>
      <x:c r="U63" s="63"/>
      <x:c r="V63" s="63"/>
    </x:row>
    <x:row r="64" ht="18" customHeight="1">
      <x:c r="A64" s="1"/>
      <x:c r="B64" s="1"/>
      <x:c r="C64" s="1" t="str">
        <x:v>Increase in net working capital</x:v>
      </x:c>
      <x:c r="D64" s="2"/>
      <x:c r="E64" s="8" t="n">
        <x:f>E63-$D37</x:f>
        <x:v>199.59178082191784</x:v>
      </x:c>
      <x:c r="F64" s="8" t="n">
        <x:f>F63-E63</x:f>
        <x:v>227.23524246575312</x:v>
      </x:c>
      <x:c r="G64" s="8" t="n">
        <x:f>G63-F63</x:f>
        <x:v>258.70732354725965</x:v>
      </x:c>
      <x:c r="H64" s="8" t="n">
        <x:f>H63-G63</x:f>
        <x:v>294.53828785855603</x:v>
      </x:c>
      <x:c r="I64" s="8" t="n">
        <x:f>I63-H63</x:f>
        <x:v>335.3318407269653</x:v>
      </x:c>
      <x:c r="J64" s="1"/>
      <x:c r="K64" s="1"/>
      <x:c r="M64" s="8" t="n">
        <x:f>E52*1.2</x:f>
        <x:v>2254.2299999999996</x:v>
      </x:c>
      <x:c r="N64" s="8" t="n">
        <x:f>$M64*N$59-D35+D36</x:f>
        <x:v>40376.13999999999</x:v>
      </x:c>
      <x:c r="O64" s="8" t="n">
        <x:f>$M64*O$59-D35+D36</x:f>
        <x:v>42630.369999999995</x:v>
      </x:c>
      <x:c r="P64" s="8" t="n">
        <x:f>$M64*P$59-D35+D36</x:f>
        <x:v>44884.59999999999</x:v>
      </x:c>
      <x:c r="Q64" s="8" t="n">
        <x:f>$M64*Q$59-D35+D36</x:f>
        <x:v>47138.82999999999</x:v>
      </x:c>
      <x:c r="R64" s="8" t="n">
        <x:f>$M64*R$59-D35+D36</x:f>
        <x:v>49393.05999999999</x:v>
      </x:c>
      <x:c r="S64" s="63"/>
      <x:c r="T64" s="63"/>
      <x:c r="U64" s="63"/>
      <x:c r="V64" s="63"/>
    </x:row>
    <x:row r="65" ht="18" customHeight="1">
      <x:c r="A65" s="1"/>
      <x:c r="B65" s="1"/>
      <x:c r="C65" s="1" t="str">
        <x:v>Capital expenditure</x:v>
      </x:c>
      <x:c r="D65" s="2"/>
      <x:c r="E65" s="8" t="n">
        <x:f>E47*E23</x:f>
        <x:v>398.47499999999997</x:v>
      </x:c>
      <x:c r="F65" s="8" t="n">
        <x:f>F47*F23</x:f>
        <x:v>453.6637874999999</x:v>
      </x:c>
      <x:c r="G65" s="8" t="n">
        <x:f>G47*G23</x:f>
        <x:v>516.4962220687498</x:v>
      </x:c>
      <x:c r="H65" s="8" t="n">
        <x:f>H47*H23</x:f>
        <x:v>588.0309488252717</x:v>
      </x:c>
      <x:c r="I65" s="8" t="n">
        <x:f>I47*I23</x:f>
        <x:v>669.4732352375719</x:v>
      </x:c>
      <x:c r="J65" s="1"/>
      <x:c r="K65" s="1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</x:row>
    <x:row r="66" ht="18" customHeight="1">
      <x:c r="A66" s="1"/>
      <x:c r="B66" s="1"/>
      <x:c r="C66" s="1" t="str">
        <x:v>Closing net PP&amp;E</x:v>
      </x:c>
      <x:c r="D66" s="2"/>
      <x:c r="E66" s="8" t="n">
        <x:f>E135</x:f>
        <x:v>3038.475</x:v>
      </x:c>
      <x:c r="F66" s="8" t="n">
        <x:f>F135</x:f>
        <x:v>3127.5217875</x:v>
      </x:c>
      <x:c r="G66" s="8" t="n">
        <x:f>G135</x:f>
        <x:v>3268.71539506875</x:v>
      </x:c>
      <x:c r="H66" s="8" t="n">
        <x:f>H135</x:f>
        <x:v>3464.5004964857712</x:v>
      </x:c>
      <x:c r="I66" s="8" t="n">
        <x:f>I135</x:f>
        <x:v>3718.2336721450506</x:v>
      </x:c>
      <x:c r="J66" s="1"/>
      <x:c r="K66" s="1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</x:row>
    <x:row r="67" ht="18" customHeight="1">
      <x:c r="A67" s="1"/>
      <x:c r="B67" s="1"/>
      <x:c r="C67" s="1" t="str">
        <x:v>Closing debt</x:v>
      </x:c>
      <x:c r="D67" s="2"/>
      <x:c r="E67" s="8" t="n">
        <x:f>E123</x:f>
        <x:v>900</x:v>
      </x:c>
      <x:c r="F67" s="8" t="n">
        <x:f>F123</x:f>
        <x:v>800</x:v>
      </x:c>
      <x:c r="G67" s="8" t="n">
        <x:f>G123</x:f>
        <x:v>700</x:v>
      </x:c>
      <x:c r="H67" s="8" t="n">
        <x:f>H123</x:f>
        <x:v>600</x:v>
      </x:c>
      <x:c r="I67" s="8" t="n">
        <x:f>I123</x:f>
        <x:v>500</x:v>
      </x:c>
      <x:c r="J67" s="1"/>
      <x:c r="K67" s="1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</x:row>
    <x:row r="68" ht="25" customHeight="1">
      <x:c r="A68" s="1"/>
      <x:c r="B68" s="1"/>
      <x:c r="C68" s="19" t="str">
        <x:v>CASH FLOW AND BALANCE SHEET</x:v>
      </x:c>
      <x:c r="D68" s="20"/>
      <x:c r="E68" s="20"/>
      <x:c r="F68" s="20"/>
      <x:c r="G68" s="20"/>
      <x:c r="H68" s="20"/>
      <x:c r="I68" s="20"/>
      <x:c r="J68" s="1"/>
      <x:c r="K68" s="1"/>
      <x:c r="M68" s="82" t="str">
        <x:v>First-year EBITDA | rows revenue / columns EBITDA margin</x:v>
      </x:c>
      <x:c r="N68" s="82"/>
      <x:c r="O68" s="82"/>
      <x:c r="P68" s="82"/>
      <x:c r="Q68" s="82"/>
      <x:c r="R68" s="82"/>
      <x:c r="S68" s="63"/>
      <x:c r="T68" s="63"/>
      <x:c r="U68" s="63"/>
      <x:c r="V68" s="63"/>
    </x:row>
    <x:row r="69" ht="18" customHeight="1">
      <x:c r="A69" s="1"/>
      <x:c r="B69" s="1"/>
      <x:c r="C69" s="1" t="str">
        <x:v>Operating cash flow after interest</x:v>
      </x:c>
      <x:c r="D69" s="2"/>
      <x:c r="E69" s="8" t="n">
        <x:f>E58+E53-E64</x:f>
        <x:v>1235.5519691780821</x:v>
      </x:c>
      <x:c r="F69" s="8" t="n">
        <x:f>F58+F53-F64</x:f>
        <x:v>1410.5695419092463</x:v>
      </x:c>
      <x:c r="G69" s="8" t="n">
        <x:f>G58+G53-G64</x:f>
        <x:v>1610.301400963677</x:v>
      </x:c>
      <x:c r="H69" s="8" t="n">
        <x:f>H58+H53-H64</x:f>
        <x:v>1838.0076001971456</x:v>
      </x:c>
      <x:c r="I69" s="8" t="n">
        <x:f>I58+I53-I64</x:f>
        <x:v>2097.4192559004514</x:v>
      </x:c>
      <x:c r="J69" s="1"/>
      <x:c r="K69" s="1"/>
      <x:c r="M69" s="63"/>
      <x:c r="N69" s="70" t="n">
        <x:f>E52/E47+-0.04</x:f>
        <x:v>0.29000000000000004</x:v>
      </x:c>
      <x:c r="O69" s="70" t="n">
        <x:f>E52/E47+-0.02</x:f>
        <x:v>0.31</x:v>
      </x:c>
      <x:c r="P69" s="70" t="n">
        <x:f>E52/E47+0</x:f>
        <x:v>0.33</x:v>
      </x:c>
      <x:c r="Q69" s="70" t="n">
        <x:f>E52/E47+0.02</x:f>
        <x:v>0.35000000000000003</x:v>
      </x:c>
      <x:c r="R69" s="70" t="n">
        <x:f>E52/E47+0.04</x:f>
        <x:v>0.37</x:v>
      </x:c>
      <x:c r="S69" s="63"/>
      <x:c r="T69" s="63"/>
      <x:c r="U69" s="63"/>
      <x:c r="V69" s="63"/>
    </x:row>
    <x:row r="70" ht="18" customHeight="1">
      <x:c r="A70" s="1"/>
      <x:c r="B70" s="1"/>
      <x:c r="C70" s="1" t="str">
        <x:v>Dividends</x:v>
      </x:c>
      <x:c r="D70" s="2"/>
      <x:c r="E70" s="8" t="n">
        <x:f>MAX(0,E58)*E32</x:f>
        <x:v>268.7859375</x:v>
      </x:c>
      <x:c r="F70" s="8" t="n">
        <x:f>MAX(0,F58)*F32</x:f>
        <x:v>318.29694609374985</x:v>
      </x:c>
      <x:c r="G70" s="8" t="n">
        <x:f>MAX(0,G58)*G32</x:f>
        <x:v>373.4265275027342</x:v>
      </x:c>
      <x:c r="H70" s="8" t="n">
        <x:f>MAX(0,H58)*H32</x:f>
        <x:v>435.0750101618629</x:v>
      </x:c>
      <x:c r="I70" s="8" t="n">
        <x:f>MAX(0,I58)*I32</x:f>
        <x:v>504.2527592622811</x:v>
      </x:c>
      <x:c r="J70" s="1"/>
      <x:c r="K70" s="1"/>
      <x:c r="M70" s="8" t="n">
        <x:f>E47*0.8</x:f>
        <x:v>4553.999999999999</x:v>
      </x:c>
      <x:c r="N70" s="8" t="n">
        <x:f>$M70*N$69</x:f>
        <x:v>1320.6599999999999</x:v>
      </x:c>
      <x:c r="O70" s="8" t="n">
        <x:f>$M70*O$69</x:f>
        <x:v>1411.7399999999998</x:v>
      </x:c>
      <x:c r="P70" s="8" t="n">
        <x:f>$M70*P$69</x:f>
        <x:v>1502.8199999999997</x:v>
      </x:c>
      <x:c r="Q70" s="8" t="n">
        <x:f>$M70*Q$69</x:f>
        <x:v>1593.8999999999999</x:v>
      </x:c>
      <x:c r="R70" s="8" t="n">
        <x:f>$M70*R$69</x:f>
        <x:v>1684.9799999999996</x:v>
      </x:c>
      <x:c r="S70" s="63"/>
      <x:c r="T70" s="63"/>
      <x:c r="U70" s="63"/>
      <x:c r="V70" s="63"/>
    </x:row>
    <x:row r="71" ht="18" customHeight="1">
      <x:c r="A71" s="1"/>
      <x:c r="B71" s="1"/>
      <x:c r="C71" s="1" t="str">
        <x:v>Change in cash</x:v>
      </x:c>
      <x:c r="D71" s="2"/>
      <x:c r="E71" s="8" t="n">
        <x:f>E69-E65+E30-E31-E70</x:f>
        <x:v>468.2910316780822</x:v>
      </x:c>
      <x:c r="F71" s="8" t="n">
        <x:f>F69-F65+F30-F31-F70</x:f>
        <x:v>538.6088083154965</x:v>
      </x:c>
      <x:c r="G71" s="8" t="n">
        <x:f>G69-G65+G30-G31-G70</x:f>
        <x:v>620.378651392193</x:v>
      </x:c>
      <x:c r="H71" s="8" t="n">
        <x:f>H69-H65+H30-H31-H70</x:f>
        <x:v>714.901641210011</x:v>
      </x:c>
      <x:c r="I71" s="8" t="n">
        <x:f>I69-I65+I30-I31-I70</x:f>
        <x:v>823.6932614005985</x:v>
      </x:c>
      <x:c r="J71" s="1"/>
      <x:c r="K71" s="1"/>
      <x:c r="M71" s="8" t="n">
        <x:f>E47*0.9</x:f>
        <x:v>5123.249999999999</x:v>
      </x:c>
      <x:c r="N71" s="8" t="n">
        <x:f>$M71*N$69</x:f>
        <x:v>1485.7424999999998</x:v>
      </x:c>
      <x:c r="O71" s="8" t="n">
        <x:f>$M71*O$69</x:f>
        <x:v>1588.2074999999998</x:v>
      </x:c>
      <x:c r="P71" s="8" t="n">
        <x:f>$M71*P$69</x:f>
        <x:v>1690.6724999999997</x:v>
      </x:c>
      <x:c r="Q71" s="8" t="n">
        <x:f>$M71*Q$69</x:f>
        <x:v>1793.1374999999998</x:v>
      </x:c>
      <x:c r="R71" s="8" t="n">
        <x:f>$M71*R$69</x:f>
        <x:v>1895.6024999999997</x:v>
      </x:c>
      <x:c r="S71" s="63"/>
      <x:c r="T71" s="63"/>
      <x:c r="U71" s="63"/>
      <x:c r="V71" s="63"/>
    </x:row>
    <x:row r="72" ht="18" customHeight="1">
      <x:c r="A72" s="1"/>
      <x:c r="B72" s="1"/>
      <x:c r="C72" s="1" t="str">
        <x:v>Closing cash / (funding gap)</x:v>
      </x:c>
      <x:c r="D72" s="2"/>
      <x:c r="E72" s="8" t="n">
        <x:f>$D36+E71</x:f>
        <x:v>1268.2910316780822</x:v>
      </x:c>
      <x:c r="F72" s="8" t="n">
        <x:f>E72+F71</x:f>
        <x:v>1806.8998399935786</x:v>
      </x:c>
      <x:c r="G72" s="8" t="n">
        <x:f>F72+G71</x:f>
        <x:v>2427.2784913857713</x:v>
      </x:c>
      <x:c r="H72" s="8" t="n">
        <x:f>G72+H71</x:f>
        <x:v>3142.180132595782</x:v>
      </x:c>
      <x:c r="I72" s="8" t="n">
        <x:f>H72+I71</x:f>
        <x:v>3965.873393996381</x:v>
      </x:c>
      <x:c r="J72" s="1"/>
      <x:c r="K72" s="1"/>
      <x:c r="M72" s="8" t="n">
        <x:f>E47*1</x:f>
        <x:v>5692.499999999999</x:v>
      </x:c>
      <x:c r="N72" s="8" t="n">
        <x:f>$M72*N$69</x:f>
        <x:v>1650.825</x:v>
      </x:c>
      <x:c r="O72" s="8" t="n">
        <x:f>$M72*O$69</x:f>
        <x:v>1764.6749999999997</x:v>
      </x:c>
      <x:c r="P72" s="8" t="n">
        <x:f>$M72*P$69</x:f>
        <x:v>1878.5249999999999</x:v>
      </x:c>
      <x:c r="Q72" s="8" t="n">
        <x:f>$M72*Q$69</x:f>
        <x:v>1992.3749999999998</x:v>
      </x:c>
      <x:c r="R72" s="8" t="n">
        <x:f>$M72*R$69</x:f>
        <x:v>2106.2249999999995</x:v>
      </x:c>
      <x:c r="S72" s="63"/>
      <x:c r="T72" s="63"/>
      <x:c r="U72" s="63"/>
      <x:c r="V72" s="63"/>
    </x:row>
    <x:row r="73" ht="18" customHeight="1">
      <x:c r="A73" s="1"/>
      <x:c r="B73" s="1"/>
      <x:c r="C73" s="38" t="str">
        <x:v>Closing book equity</x:v>
      </x:c>
      <x:c r="D73" s="39"/>
      <x:c r="E73" s="41" t="n">
        <x:f>$D34+$D37+$D36-$D35+E58-E70</x:f>
        <x:v>5047.45370291096</x:v>
      </x:c>
      <x:c r="F73" s="41" t="n">
        <x:f>E73+F58-F70</x:f>
        <x:v>6002.344541192208</x:v>
      </x:c>
      <x:c r="G73" s="41" t="n">
        <x:f>F73+G58-G70</x:f>
        <x:v>7122.624123700411</x:v>
      </x:c>
      <x:c r="H73" s="41" t="n">
        <x:f>G73+H58-H70</x:f>
        <x:v>8427.849154185998</x:v>
      </x:c>
      <x:c r="I73" s="41" t="n">
        <x:f>H73+I58-I70</x:f>
        <x:v>9940.607431972841</x:v>
      </x:c>
      <x:c r="J73" s="1"/>
      <x:c r="K73" s="1"/>
      <x:c r="M73" s="8" t="n">
        <x:f>E47*1.1</x:f>
        <x:v>6261.749999999999</x:v>
      </x:c>
      <x:c r="N73" s="8" t="n">
        <x:f>$M73*N$69</x:f>
        <x:v>1815.9075</x:v>
      </x:c>
      <x:c r="O73" s="8" t="n">
        <x:f>$M73*O$69</x:f>
        <x:v>1941.1424999999997</x:v>
      </x:c>
      <x:c r="P73" s="8" t="n">
        <x:f>$M73*P$69</x:f>
        <x:v>2066.3774999999996</x:v>
      </x:c>
      <x:c r="Q73" s="8" t="n">
        <x:f>$M73*Q$69</x:f>
        <x:v>2191.6124999999997</x:v>
      </x:c>
      <x:c r="R73" s="8" t="n">
        <x:f>$M73*R$69</x:f>
        <x:v>2316.8475</x:v>
      </x:c>
      <x:c r="S73" s="63"/>
      <x:c r="T73" s="63"/>
      <x:c r="U73" s="63"/>
      <x:c r="V73" s="63"/>
    </x:row>
    <x:row r="74" ht="18" customHeight="1">
      <x:c r="A74" s="1"/>
      <x:c r="B74" s="1"/>
      <x:c r="C74" s="1" t="str">
        <x:v>Total assets</x:v>
      </x:c>
      <x:c r="D74" s="2"/>
      <x:c r="E74" s="8" t="n">
        <x:f>E72+E60+E61+E66</x:f>
        <x:v>6303.040004280821</x:v>
      </x:c>
      <x:c r="F74" s="8" t="n">
        <x:f>F72+F60+F61+F66</x:f>
        <x:v>7207.179545301797</x:v>
      </x:c>
      <x:c r="G74" s="8" t="n">
        <x:f>G72+G60+G61+G66</x:f>
        <x:v>8283.528775879176</x:v>
      </x:c>
      <x:c r="H74" s="8" t="n">
        <x:f>H72+H60+H61+H66</x:f>
        <x:v>9552.589100691524</x:v>
      </x:c>
      <x:c r="I74" s="8" t="n">
        <x:f>I72+I60+I61+I66</x:f>
        <x:v>11038.023861069385</x:v>
      </x:c>
      <x:c r="J74" s="1"/>
      <x:c r="K74" s="1"/>
      <x:c r="M74" s="8" t="n">
        <x:f>E47*1.2</x:f>
        <x:v>6830.999999999999</x:v>
      </x:c>
      <x:c r="N74" s="8" t="n">
        <x:f>$M74*N$69</x:f>
        <x:v>1980.99</x:v>
      </x:c>
      <x:c r="O74" s="8" t="n">
        <x:f>$M74*O$69</x:f>
        <x:v>2117.6099999999997</x:v>
      </x:c>
      <x:c r="P74" s="8" t="n">
        <x:f>$M74*P$69</x:f>
        <x:v>2254.23</x:v>
      </x:c>
      <x:c r="Q74" s="8" t="n">
        <x:f>$M74*Q$69</x:f>
        <x:v>2390.85</x:v>
      </x:c>
      <x:c r="R74" s="8" t="n">
        <x:f>$M74*R$69</x:f>
        <x:v>2527.47</x:v>
      </x:c>
      <x:c r="S74" s="63"/>
      <x:c r="T74" s="63"/>
      <x:c r="U74" s="63"/>
      <x:c r="V74" s="63"/>
    </x:row>
    <x:row r="75" ht="18" customHeight="1">
      <x:c r="A75" s="1"/>
      <x:c r="B75" s="1"/>
      <x:c r="C75" s="1" t="str">
        <x:v>Liabilities and equity</x:v>
      </x:c>
      <x:c r="D75" s="2"/>
      <x:c r="E75" s="8" t="n">
        <x:f>E62+E67+E73</x:f>
        <x:v>6303.040004280822</x:v>
      </x:c>
      <x:c r="F75" s="8" t="n">
        <x:f>F62+F67+F73</x:f>
        <x:v>7207.179545301798</x:v>
      </x:c>
      <x:c r="G75" s="8" t="n">
        <x:f>G62+G67+G73</x:f>
        <x:v>8283.528775879178</x:v>
      </x:c>
      <x:c r="H75" s="8" t="n">
        <x:f>H62+H67+H73</x:f>
        <x:v>9552.589100691524</x:v>
      </x:c>
      <x:c r="I75" s="8" t="n">
        <x:f>I62+I67+I73</x:f>
        <x:v>11038.023861069383</x:v>
      </x:c>
      <x:c r="J75" s="1"/>
      <x:c r="K75" s="1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</x:row>
    <x:row r="76" ht="18" customHeight="1">
      <x:c r="A76" s="1"/>
      <x:c r="B76" s="1"/>
      <x:c r="C76" s="1" t="str">
        <x:v>Unlevered operating profit after tax</x:v>
      </x:c>
      <x:c r="D76" s="2"/>
      <x:c r="E76" s="8" t="n">
        <x:f>E54-MAX(0,E54)*E28</x:f>
        <x:v>1138.89375</x:v>
      </x:c>
      <x:c r="F76" s="8" t="n">
        <x:f>F54-MAX(0,F54)*F28</x:f>
        <x:v>1330.5627843749994</x:v>
      </x:c>
      <x:c r="G76" s="8" t="n">
        <x:f>G54-MAX(0,G54)*G28</x:f>
        <x:v>1544.7061100109368</x:v>
      </x:c>
      <x:c r="H76" s="8" t="n">
        <x:f>H54-MAX(0,H54)*H28</x:f>
        <x:v>1784.9250406474516</x:v>
      </x:c>
      <x:c r="I76" s="8" t="n">
        <x:f>I54-MAX(0,I54)*I28</x:f>
        <x:v>2055.2610370491243</x:v>
      </x:c>
      <x:c r="J76" s="1"/>
      <x:c r="K76" s="1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</x:row>
    <x:row r="77" ht="18" customHeight="1">
      <x:c r="A77" s="1"/>
      <x:c r="B77" s="1"/>
      <x:c r="C77" s="38" t="str">
        <x:v>Free cash flow to firm</x:v>
      </x:c>
      <x:c r="D77" s="39"/>
      <x:c r="E77" s="41" t="n">
        <x:f>E76+E53-E65-E64</x:f>
        <x:v>900.8269691780822</x:v>
      </x:c>
      <x:c r="F77" s="41" t="n">
        <x:f>F76+F53-F65-F64</x:f>
        <x:v>1014.2807544092464</x:v>
      </x:c>
      <x:c r="G77" s="41" t="n">
        <x:f>G76+G53-G65-G64</x:f>
        <x:v>1144.8051788949272</x:v>
      </x:c>
      <x:c r="H77" s="41" t="n">
        <x:f>H76+H53-H65-H64</x:f>
        <x:v>1294.601651371874</x:v>
      </x:c>
      <x:c r="I77" s="41" t="n">
        <x:f>I76+I53-I65-I64</x:f>
        <x:v>1466.1960206628796</x:v>
      </x:c>
      <x:c r="J77" s="1"/>
      <x:c r="K77" s="1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</x:row>
    <x:row r="78" ht="18" customHeight="1">
      <x:c r="A78" s="1"/>
      <x:c r="B78" s="1"/>
      <x:c r="C78" s="19" t="str">
        <x:v>SECTOR KPIs AND RETURN METRICS</x:v>
      </x:c>
      <x:c r="D78" s="20"/>
      <x:c r="E78" s="20"/>
      <x:c r="F78" s="20"/>
      <x:c r="G78" s="20"/>
      <x:c r="H78" s="20"/>
      <x:c r="I78" s="20"/>
      <x:c r="J78" s="1"/>
      <x:c r="K78" s="1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</x:row>
    <x:row r="79" ht="18" customHeight="1">
      <x:c r="A79" s="1"/>
      <x:c r="B79" s="1"/>
      <x:c r="C79" s="23" t="str">
        <x:v>Gross margin</x:v>
      </x:c>
      <x:c r="D79" s="24"/>
      <x:c r="E79" s="35" t="n">
        <x:f>E50/E47</x:f>
        <x:v>0.62</x:v>
      </x:c>
      <x:c r="F79" s="35" t="n">
        <x:f>F50/F47</x:f>
        <x:v>0.62</x:v>
      </x:c>
      <x:c r="G79" s="35" t="n">
        <x:f>G50/G47</x:f>
        <x:v>0.62</x:v>
      </x:c>
      <x:c r="H79" s="35" t="n">
        <x:f>H50/H47</x:f>
        <x:v>0.62</x:v>
      </x:c>
      <x:c r="I79" s="35" t="n">
        <x:f>I50/I47</x:f>
        <x:v>0.62</x:v>
      </x:c>
      <x:c r="J79" s="1"/>
      <x:c r="K79" s="1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</x:row>
    <x:row r="80" ht="18" customHeight="1">
      <x:c r="A80" s="1"/>
      <x:c r="B80" s="1"/>
      <x:c r="C80" s="23" t="str">
        <x:v>EBITDA margin</x:v>
      </x:c>
      <x:c r="D80" s="24"/>
      <x:c r="E80" s="35" t="n">
        <x:f>E52/E47</x:f>
        <x:v>0.33</x:v>
      </x:c>
      <x:c r="F80" s="35" t="n">
        <x:f>F52/F47</x:f>
        <x:v>0.32999999999999996</x:v>
      </x:c>
      <x:c r="G80" s="35" t="n">
        <x:f>G52/G47</x:f>
        <x:v>0.32999999999999996</x:v>
      </x:c>
      <x:c r="H80" s="35" t="n">
        <x:f>H52/H47</x:f>
        <x:v>0.32999999999999996</x:v>
      </x:c>
      <x:c r="I80" s="35" t="n">
        <x:f>I52/I47</x:f>
        <x:v>0.33</x:v>
      </x:c>
      <x:c r="J80" s="1"/>
      <x:c r="K80" s="1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</x:row>
    <x:row r="81" ht="18" customHeight="1">
      <x:c r="A81" s="1"/>
      <x:c r="B81" s="1"/>
      <x:c r="C81" s="23" t="str">
        <x:v>Net margin</x:v>
      </x:c>
      <x:c r="D81" s="24"/>
      <x:c r="E81" s="35" t="n">
        <x:f>E58/E47</x:f>
        <x:v>0.18887022397891964</x:v>
      </x:c>
      <x:c r="F81" s="35" t="n">
        <x:f>F58/F47</x:f>
        <x:v>0.19645197029584377</x:v>
      </x:c>
      <x:c r="G81" s="35" t="n">
        <x:f>G58/G47</x:f>
        <x:v>0.20243986932173122</x:v>
      </x:c>
      <x:c r="H81" s="35" t="n">
        <x:f>H58/H47</x:f>
        <x:v>0.2071676721925731</x:v>
      </x:c>
      <x:c r="I81" s="35" t="n">
        <x:f>I58/I47</x:f>
        <x:v>0.21089830804563114</x:v>
      </x:c>
      <x:c r="J81" s="1"/>
      <x:c r="K81" s="1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</x:row>
    <x:row r="82" ht="18" customHeight="1">
      <x:c r="A82" s="1"/>
      <x:c r="B82" s="1"/>
      <x:c r="C82" s="23" t="str">
        <x:v>Operating cash conversion</x:v>
      </x:c>
      <x:c r="D82" s="24"/>
      <x:c r="E82" s="35" t="n">
        <x:f>IF(E52=0,"n.a.",E69/E52)</x:f>
        <x:v>0.6577245281154535</x:v>
      </x:c>
      <x:c r="F82" s="35" t="n">
        <x:f>IF(F52=0,"n.a.",F69/F52)</x:f>
        <x:v>0.6595450843892898</x:v>
      </x:c>
      <x:c r="G82" s="35" t="n">
        <x:f>IF(G52=0,"n.a.",G69/G52)</x:f>
        <x:v>0.6613389807281771</x:v>
      </x:c>
      <x:c r="H82" s="35" t="n">
        <x:f>IF(H52=0,"n.a.",H69/H52)</x:f>
        <x:v>0.66302700703202</x:v>
      </x:c>
      <x:c r="I82" s="35" t="n">
        <x:f>IF(I52=0,"n.a.",I69/I52)</x:f>
        <x:v>0.664562960056339</x:v>
      </x:c>
      <x:c r="J82" s="1"/>
      <x:c r="K82" s="1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</x:row>
    <x:row r="83" ht="18" customHeight="1">
      <x:c r="A83" s="1"/>
      <x:c r="B83" s="1"/>
      <x:c r="C83" s="1" t="str">
        <x:v>Cash conversion cycle (days)</x:v>
      </x:c>
      <x:c r="D83" s="2"/>
      <x:c r="E83" s="8" t="n">
        <x:f>E25+E26-E27</x:f>
        <x:v>130</x:v>
      </x:c>
      <x:c r="F83" s="8" t="n">
        <x:f>F25+F26-F27</x:f>
        <x:v>130</x:v>
      </x:c>
      <x:c r="G83" s="8" t="n">
        <x:f>G25+G26-G27</x:f>
        <x:v>130</x:v>
      </x:c>
      <x:c r="H83" s="8" t="n">
        <x:f>H25+H26-H27</x:f>
        <x:v>130</x:v>
      </x:c>
      <x:c r="I83" s="8" t="n">
        <x:f>I25+I26-I27</x:f>
        <x:v>130</x:v>
      </x:c>
      <x:c r="J83" s="1"/>
      <x:c r="K83" s="1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</x:row>
    <x:row r="84" ht="18" customHeight="1">
      <x:c r="A84" s="1"/>
      <x:c r="B84" s="1"/>
      <x:c r="C84" s="23" t="str">
        <x:v>Net debt / EBITDA</x:v>
      </x:c>
      <x:c r="D84" s="32"/>
      <x:c r="E84" s="61" t="n">
        <x:f>IF(E52&lt;=0,"n.a.",(E67-E72)/E52)</x:f>
        <x:v>-0.1960533033513433</x:v>
      </x:c>
      <x:c r="F84" s="61" t="n">
        <x:f>IF(F52&lt;=0,"n.a.",(F67-F72)/F52)</x:f>
        <x:v>-0.4707997870429376</x:v>
      </x:c>
      <x:c r="G84" s="61" t="n">
        <x:f>IF(G52&lt;=0,"n.a.",(G67-G72)/G52)</x:f>
        <x:v>-0.7093806142397664</x:v>
      </x:c>
      <x:c r="H84" s="61" t="n">
        <x:f>IF(H52&lt;=0,"n.a.",(H67-H72)/H52)</x:f>
        <x:v>-0.9170441321735852</x:v>
      </x:c>
      <x:c r="I84" s="61" t="n">
        <x:f>IF(I52&lt;=0,"n.a.",(I67-I72)/I52)</x:f>
        <x:v>-1.0981548278510058</x:v>
      </x:c>
      <x:c r="J84" s="1"/>
      <x:c r="K84" s="1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</x:row>
    <x:row r="85" ht="18" customHeight="1">
      <x:c r="A85" s="1"/>
      <x:c r="B85" s="1"/>
      <x:c r="C85" s="23" t="str">
        <x:v>EBIT / interest</x:v>
      </x:c>
      <x:c r="D85" s="32"/>
      <x:c r="E85" s="61" t="n">
        <x:f>IF(E55=0,"n.a.",E54/E55)</x:f>
        <x:v>17.865</x:v>
      </x:c>
      <x:c r="F85" s="61" t="n">
        <x:f>IF(F55=0,"n.a.",F54/F55)</x:f>
        <x:v>23.19063676470587</x:v>
      </x:c>
      <x:c r="G85" s="61" t="n">
        <x:f>IF(G55=0,"n.a.",G54/G55)</x:f>
        <x:v>30.28835509825366</x:v>
      </x:c>
      <x:c r="H85" s="61" t="n">
        <x:f>IF(H55=0,"n.a.",H54/H55)</x:f>
        <x:v>39.998320238598346</x:v>
      </x:c>
      <x:c r="I85" s="61" t="n">
        <x:f>IF(I55=0,"n.a.",I54/I55)</x:f>
        <x:v>53.73231469409474</x:v>
      </x:c>
      <x:c r="J85" s="1"/>
      <x:c r="K85" s="1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</x:row>
    <x:row r="86" ht="18" customHeight="1">
      <x:c r="A86" s="1"/>
      <x:c r="B86" s="1"/>
      <x:c r="C86" s="23" t="str">
        <x:v>ROIC on average invested capital</x:v>
      </x:c>
      <x:c r="D86" s="24"/>
      <x:c r="E86" s="35" t="n">
        <x:f>E76/(($D34+$D37+E66+E63)/2)</x:f>
        <x:v>0.24975032063010405</x:v>
      </x:c>
      <x:c r="F86" s="35" t="n">
        <x:f>F76/((E66+E63+F66+F63)/2)</x:f>
        <x:v>0.27506290088144236</x:v>
      </x:c>
      <x:c r="G86" s="35" t="n">
        <x:f>G76/((F66+F63+G66+G63)/2)</x:f>
        <x:v>0.2973221594181952</x:v>
      </x:c>
      <x:c r="H86" s="35" t="n">
        <x:f>H76/((G66+G63+H66+H63)/2)</x:f>
        <x:v>0.31644760607231553</x:v>
      </x:c>
      <x:c r="I86" s="35" t="n">
        <x:f>I76/((H66+H63+I66+I63)/2)</x:f>
        <x:v>0.3325556662099943</x:v>
      </x:c>
      <x:c r="J86" s="1"/>
      <x:c r="K86" s="1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</x:row>
    <x:row r="87" ht="18" customHeight="1">
      <x:c r="A87" s="1"/>
      <x:c r="B87" s="1"/>
      <x:c r="C87" s="1" t="str">
        <x:v>Gross profit per dose (INR)</x:v>
      </x:c>
      <x:c r="D87" s="2"/>
      <x:c r="E87" s="10" t="n">
        <x:f>E50*'Controls'!$E$9/(E46*'Controls'!$E$14)</x:f>
        <x:v>64.16999999999999</x:v>
      </x:c>
      <x:c r="F87" s="10" t="n">
        <x:f>F50*'Controls'!$E$9/(F46*'Controls'!$E$14)</x:f>
        <x:v>66.41594999999998</x:v>
      </x:c>
      <x:c r="G87" s="10" t="n">
        <x:f>G50*'Controls'!$E$9/(G46*'Controls'!$E$14)</x:f>
        <x:v>68.74050824999996</x:v>
      </x:c>
      <x:c r="H87" s="10" t="n">
        <x:f>H50*'Controls'!$E$9/(H46*'Controls'!$E$14)</x:f>
        <x:v>71.14642603874996</x:v>
      </x:c>
      <x:c r="I87" s="10" t="n">
        <x:f>I50*'Controls'!$E$9/(I46*'Controls'!$E$14)</x:f>
        <x:v>73.63655095010621</x:v>
      </x:c>
      <x:c r="J87" s="1"/>
      <x:c r="K87" s="1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</x:row>
    <x:row r="88" ht="18" customHeight="1">
      <x:c r="A88" s="1"/>
      <x:c r="B88" s="1"/>
      <x:c r="C88" s="1" t="str">
        <x:v>Other operating costs per dose (INR)</x:v>
      </x:c>
      <x:c r="D88" s="2"/>
      <x:c r="E88" s="10" t="n">
        <x:f>E51*'Controls'!$E$9/(E46*'Controls'!$E$14)</x:f>
        <x:v>30.014999999999993</x:v>
      </x:c>
      <x:c r="F88" s="10" t="n">
        <x:f>F51*'Controls'!$E$9/(F46*'Controls'!$E$14)</x:f>
        <x:v>31.065524999999994</x:v>
      </x:c>
      <x:c r="G88" s="10" t="n">
        <x:f>G51*'Controls'!$E$9/(G46*'Controls'!$E$14)</x:f>
        <x:v>32.15281837499998</x:v>
      </x:c>
      <x:c r="H88" s="10" t="n">
        <x:f>H51*'Controls'!$E$9/(H46*'Controls'!$E$14)</x:f>
        <x:v>33.27816701812498</x:v>
      </x:c>
      <x:c r="I88" s="10" t="n">
        <x:f>I51*'Controls'!$E$9/(I46*'Controls'!$E$14)</x:f>
        <x:v>34.44290286375936</x:v>
      </x:c>
      <x:c r="J88" s="1"/>
      <x:c r="K88" s="1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</x:row>
    <x:row r="89" ht="18" customHeight="1">
      <x:c r="A89" s="1"/>
      <x:c r="B89" s="1"/>
      <x:c r="C89" s="19" t="str">
        <x:v>VALUATION AT 31 MARCH 2026</x:v>
      </x:c>
      <x:c r="D89" s="20"/>
      <x:c r="E89" s="20"/>
      <x:c r="F89" s="20"/>
      <x:c r="G89" s="20"/>
      <x:c r="H89" s="20"/>
      <x:c r="I89" s="20"/>
      <x:c r="J89" s="1"/>
      <x:c r="K89" s="1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</x:row>
    <x:row r="90" ht="18" customHeight="1">
      <x:c r="A90" s="1"/>
      <x:c r="B90" s="1"/>
      <x:c r="C90" s="1" t="str">
        <x:v>PV of annual FCFF</x:v>
      </x:c>
      <x:c r="D90" s="2"/>
      <x:c r="E90" s="8" t="n">
        <x:f>E77/(1+$D39)^1</x:f>
        <x:v>804.3097939090019</x:v>
      </x:c>
      <x:c r="F90" s="8" t="n">
        <x:f>F77/(1+$D39)^2</x:f>
        <x:v>808.5784075328812</x:v>
      </x:c>
      <x:c r="G90" s="8" t="n">
        <x:f>G77/(1+$D39)^3</x:f>
        <x:v>814.8497139319074</x:v>
      </x:c>
      <x:c r="H90" s="8" t="n">
        <x:f>H77/(1+$D39)^4</x:f>
        <x:v>822.7427537795744</x:v>
      </x:c>
      <x:c r="I90" s="8" t="n">
        <x:f>I77/(1+$D39)^5</x:f>
        <x:v>831.95899787186</x:v>
      </x:c>
      <x:c r="J90" s="1"/>
      <x:c r="K90" s="1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</x:row>
    <x:row r="91" ht="18" customHeight="1">
      <x:c r="A91" s="1"/>
      <x:c r="B91" s="1"/>
      <x:c r="C91" s="1" t="str">
        <x:v>Normalized terminal FCFF</x:v>
      </x:c>
      <x:c r="D91" s="2"/>
      <x:c r="E91" s="8" t="n">
        <x:f>I76*(1+$D40)*(1-$D40/$D41)</x:f>
        <x:v>1567.4790842561324</x:v>
      </x:c>
      <x:c r="F91" s="2"/>
      <x:c r="G91" s="2"/>
      <x:c r="H91" s="2"/>
      <x:c r="I91" s="2"/>
      <x:c r="J91" s="1"/>
      <x:c r="K91" s="1" t="str">
        <x:v>Terminal reinvestment = terminal NOPAT × growth / incremental ROIC.</x:v>
      </x:c>
    </x:row>
    <x:row r="92" ht="18" customHeight="1">
      <x:c r="A92" s="1"/>
      <x:c r="B92" s="1"/>
      <x:c r="C92" s="1" t="str">
        <x:v>Terminal enterprise value</x:v>
      </x:c>
      <x:c r="D92" s="2"/>
      <x:c r="E92" s="8" t="n">
        <x:f>IF($D39&lt;=$D40,NA(),E91/($D39-$D40))</x:f>
        <x:v>19593.48855320166</x:v>
      </x:c>
      <x:c r="F92" s="2"/>
      <x:c r="G92" s="2"/>
      <x:c r="H92" s="2"/>
      <x:c r="I92" s="2"/>
      <x:c r="J92" s="1"/>
      <x:c r="K92" s="1"/>
    </x:row>
    <x:row r="93" ht="18" customHeight="1">
      <x:c r="A93" s="1"/>
      <x:c r="B93" s="1"/>
      <x:c r="C93" s="1" t="str">
        <x:v>DCF enterprise value</x:v>
      </x:c>
      <x:c r="D93" s="2"/>
      <x:c r="E93" s="8" t="n">
        <x:f>SUM(E90:I90)+E92/(1+$D39)^5</x:f>
        <x:v>15200.311269326807</x:v>
      </x:c>
      <x:c r="F93" s="2"/>
      <x:c r="G93" s="2"/>
      <x:c r="H93" s="2"/>
      <x:c r="I93" s="2"/>
      <x:c r="J93" s="1"/>
      <x:c r="K93" s="1"/>
    </x:row>
    <x:row r="94" ht="18" customHeight="1">
      <x:c r="A94" s="1"/>
      <x:c r="B94" s="1"/>
      <x:c r="C94" s="38" t="str">
        <x:v>DCF equity value</x:v>
      </x:c>
      <x:c r="D94" s="39"/>
      <x:c r="E94" s="41" t="n">
        <x:f>E93-$D35+$D36</x:f>
        <x:v>15000.311269326807</x:v>
      </x:c>
      <x:c r="F94" s="39"/>
      <x:c r="G94" s="39"/>
      <x:c r="H94" s="39"/>
      <x:c r="I94" s="39"/>
      <x:c r="J94" s="1"/>
      <x:c r="K94" s="1"/>
    </x:row>
    <x:row r="95" ht="18" customHeight="1">
      <x:c r="A95" s="1"/>
      <x:c r="B95" s="1"/>
      <x:c r="C95" s="1" t="str">
        <x:v>DCF value per share (INR)</x:v>
      </x:c>
      <x:c r="D95" s="33"/>
      <x:c r="E95" s="34" t="n">
        <x:f>E94/$D38</x:f>
        <x:v>150.00311269326806</x:v>
      </x:c>
      <x:c r="F95" s="33"/>
      <x:c r="G95" s="33"/>
      <x:c r="H95" s="33"/>
      <x:c r="I95" s="33"/>
      <x:c r="J95" s="1"/>
      <x:c r="K95" s="1"/>
    </x:row>
    <x:row r="96" ht="18" customHeight="1">
      <x:c r="A96" s="1"/>
      <x:c r="B96" s="1"/>
      <x:c r="C96" s="1" t="str">
        <x:v>Forward multiple enterprise value</x:v>
      </x:c>
      <x:c r="D96" s="2"/>
      <x:c r="E96" s="8" t="n">
        <x:f>E52*$D42</x:f>
        <x:v>37570.5</x:v>
      </x:c>
      <x:c r="F96" s="2"/>
      <x:c r="G96" s="2"/>
      <x:c r="H96" s="2"/>
      <x:c r="I96" s="2"/>
      <x:c r="J96" s="1"/>
      <x:c r="K96" s="1"/>
    </x:row>
    <x:row r="97" ht="18" customHeight="1">
      <x:c r="A97" s="1"/>
      <x:c r="B97" s="1"/>
      <x:c r="C97" s="1" t="str">
        <x:v>Forward multiple equity value</x:v>
      </x:c>
      <x:c r="D97" s="2"/>
      <x:c r="E97" s="8" t="n">
        <x:f>E96-$D35+$D36</x:f>
        <x:v>37370.5</x:v>
      </x:c>
      <x:c r="F97" s="2"/>
      <x:c r="G97" s="2"/>
      <x:c r="H97" s="2"/>
      <x:c r="I97" s="2"/>
      <x:c r="J97" s="1"/>
      <x:c r="K97" s="1"/>
    </x:row>
    <x:row r="98" ht="18" customHeight="1">
      <x:c r="A98" s="1"/>
      <x:c r="B98" s="1"/>
      <x:c r="C98" s="23" t="str">
        <x:v>Terminal value / DCF enterprise value</x:v>
      </x:c>
      <x:c r="D98" s="24"/>
      <x:c r="E98" s="35" t="n">
        <x:f>(E92/(1+$D39)^5)/E93</x:f>
        <x:v>0.7314239429252143</x:v>
      </x:c>
      <x:c r="F98" s="24"/>
      <x:c r="G98" s="24"/>
      <x:c r="H98" s="24"/>
      <x:c r="I98" s="24"/>
      <x:c r="J98" s="1"/>
      <x:c r="K98" s="1"/>
    </x:row>
    <x:row r="99" ht="18" customHeight="1">
      <x:c r="A99" s="1"/>
      <x:c r="B99" s="1"/>
      <x:c r="C99" s="19" t="str">
        <x:v>MODEL CHECKS</x:v>
      </x:c>
      <x:c r="D99" s="20"/>
      <x:c r="E99" s="20"/>
      <x:c r="F99" s="20"/>
      <x:c r="G99" s="20"/>
      <x:c r="H99" s="20"/>
      <x:c r="I99" s="20"/>
      <x:c r="J99" s="1"/>
      <x:c r="K99" s="1"/>
    </x:row>
    <x:row r="100" ht="18" customHeight="1">
      <x:c r="A100" s="1"/>
      <x:c r="B100" s="1"/>
      <x:c r="C100" s="1" t="str">
        <x:v>Assets less liabilities and equity</x:v>
      </x:c>
      <x:c r="D100" s="33"/>
      <x:c r="E100" s="34" t="n">
        <x:f>E74-E75</x:f>
        <x:v>-9.094947017729282e-13</x:v>
      </x:c>
      <x:c r="F100" s="34" t="n">
        <x:f>F74-F75</x:f>
        <x:v>-9.094947017729282e-13</x:v>
      </x:c>
      <x:c r="G100" s="34" t="n">
        <x:f>G74-G75</x:f>
        <x:v>-1.8189894035458565e-12</x:v>
      </x:c>
      <x:c r="H100" s="34" t="n">
        <x:f>H74-H75</x:f>
        <x:v>0</x:v>
      </x:c>
      <x:c r="I100" s="34" t="n">
        <x:f>I74-I75</x:f>
        <x:v>1.8189894035458565e-12</x:v>
      </x:c>
      <x:c r="J100" s="1"/>
      <x:c r="K100" s="1"/>
    </x:row>
    <x:row r="101" ht="18" customHeight="1">
      <x:c r="A101" s="1"/>
      <x:c r="B101" s="1"/>
      <x:c r="C101" s="1" t="str">
        <x:v>Cash funding shortfall</x:v>
      </x:c>
      <x:c r="D101" s="33"/>
      <x:c r="E101" s="34" t="n">
        <x:f>MAX(0,-E72)</x:f>
        <x:v>0</x:v>
      </x:c>
      <x:c r="F101" s="34" t="n">
        <x:f>MAX(0,-F72)</x:f>
        <x:v>0</x:v>
      </x:c>
      <x:c r="G101" s="34" t="n">
        <x:f>MAX(0,-G72)</x:f>
        <x:v>0</x:v>
      </x:c>
      <x:c r="H101" s="34" t="n">
        <x:f>MAX(0,-H72)</x:f>
        <x:v>0</x:v>
      </x:c>
      <x:c r="I101" s="34" t="n">
        <x:f>MAX(0,-I72)</x:f>
        <x:v>0</x:v>
      </x:c>
      <x:c r="J101" s="1"/>
      <x:c r="K101" s="1"/>
    </x:row>
    <x:row r="102" ht="18" customHeight="1">
      <x:c r="A102" s="1"/>
      <x:c r="B102" s="1"/>
      <x:c r="C102" s="1" t="str">
        <x:v>Debt below zero</x:v>
      </x:c>
      <x:c r="D102" s="33"/>
      <x:c r="E102" s="34" t="n">
        <x:f>MAX(0,-E67)</x:f>
        <x:v>0</x:v>
      </x:c>
      <x:c r="F102" s="34" t="n">
        <x:f>MAX(0,-F67)</x:f>
        <x:v>0</x:v>
      </x:c>
      <x:c r="G102" s="34" t="n">
        <x:f>MAX(0,-G67)</x:f>
        <x:v>0</x:v>
      </x:c>
      <x:c r="H102" s="34" t="n">
        <x:f>MAX(0,-H67)</x:f>
        <x:v>0</x:v>
      </x:c>
      <x:c r="I102" s="34" t="n">
        <x:f>MAX(0,-I67)</x:f>
        <x:v>0</x:v>
      </x:c>
      <x:c r="J102" s="1"/>
      <x:c r="K102" s="1"/>
    </x:row>
    <x:row r="103" ht="18" customHeight="1">
      <x:c r="A103" s="1"/>
      <x:c r="B103" s="1"/>
      <x:c r="C103" s="1" t="str">
        <x:v>Utilization above 100%</x:v>
      </x:c>
      <x:c r="D103" s="33"/>
      <x:c r="E103" s="34" t="n">
        <x:f>MAX(0,E20-1)</x:f>
        <x:v>0</x:v>
      </x:c>
      <x:c r="F103" s="34" t="n">
        <x:f>MAX(0,F20-1)</x:f>
        <x:v>0</x:v>
      </x:c>
      <x:c r="G103" s="34" t="n">
        <x:f>MAX(0,G20-1)</x:f>
        <x:v>0</x:v>
      </x:c>
      <x:c r="H103" s="34" t="n">
        <x:f>MAX(0,H20-1)</x:f>
        <x:v>0</x:v>
      </x:c>
      <x:c r="I103" s="34" t="n">
        <x:f>MAX(0,I20-1)</x:f>
        <x:v>0</x:v>
      </x:c>
      <x:c r="J103" s="1"/>
      <x:c r="K103" s="1"/>
    </x:row>
    <x:row r="104" ht="18" customHeight="1">
      <x:c r="A104" s="1"/>
      <x:c r="B104" s="1"/>
      <x:c r="C104" s="1" t="str">
        <x:v>Net PP&amp;E below zero</x:v>
      </x:c>
      <x:c r="D104" s="33"/>
      <x:c r="E104" s="34" t="n">
        <x:f>MAX(0,-E66)</x:f>
        <x:v>0</x:v>
      </x:c>
      <x:c r="F104" s="34" t="n">
        <x:f>MAX(0,-F66)</x:f>
        <x:v>0</x:v>
      </x:c>
      <x:c r="G104" s="34" t="n">
        <x:f>MAX(0,-G66)</x:f>
        <x:v>0</x:v>
      </x:c>
      <x:c r="H104" s="34" t="n">
        <x:f>MAX(0,-H66)</x:f>
        <x:v>0</x:v>
      </x:c>
      <x:c r="I104" s="34" t="n">
        <x:f>MAX(0,-I66)</x:f>
        <x:v>0</x:v>
      </x:c>
      <x:c r="J104" s="1"/>
      <x:c r="K104" s="1"/>
    </x:row>
    <x:row r="105" ht="18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1"/>
      <x:c r="K105" s="1"/>
    </x:row>
    <x:row r="106" ht="18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1"/>
      <x:c r="K106" s="1"/>
    </x:row>
    <x:row r="107" ht="18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1"/>
      <x:c r="K107" s="1"/>
    </x:row>
    <x:row r="108" ht="18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1"/>
      <x:c r="K108" s="1"/>
    </x:row>
    <x:row r="109" ht="18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1"/>
      <x:c r="K109" s="1"/>
    </x:row>
    <x:row r="110" ht="25" customHeight="1">
      <x:c r="A110" s="1"/>
      <x:c r="B110" s="1"/>
      <x:c r="C110" s="68" t="str">
        <x:v>SUPPORTING SCHEDULE ASSUMPTIONS</x:v>
      </x:c>
      <x:c r="D110" s="69"/>
      <x:c r="E110" s="69"/>
      <x:c r="F110" s="69"/>
      <x:c r="G110" s="69"/>
      <x:c r="H110" s="69"/>
      <x:c r="I110" s="69"/>
      <x:c r="J110" s="1"/>
      <x:c r="K110" s="1"/>
    </x:row>
    <x:row r="111" ht="30" customHeight="1">
      <x:c r="A111" s="1"/>
      <x:c r="B111" s="1"/>
      <x:c r="C111" s="64"/>
      <x:c r="D111" s="8"/>
      <x:c r="E111" s="8"/>
      <x:c r="F111" s="8"/>
      <x:c r="G111" s="8"/>
      <x:c r="H111" s="8"/>
      <x:c r="I111" s="8"/>
      <x:c r="J111" s="1"/>
      <x:c r="K111" s="1"/>
    </x:row>
    <x:row r="112" ht="30" customHeight="1">
      <x:c r="A112" s="1"/>
      <x:c r="B112" s="1"/>
      <x:c r="C112" s="64"/>
      <x:c r="D112" s="8"/>
      <x:c r="E112" s="8"/>
      <x:c r="F112" s="8"/>
      <x:c r="G112" s="8"/>
      <x:c r="H112" s="8"/>
      <x:c r="I112" s="8"/>
      <x:c r="J112" s="1"/>
      <x:c r="K112" s="1"/>
    </x:row>
    <x:row r="113" ht="30" customHeight="1">
      <x:c r="A113" s="1"/>
      <x:c r="B113" s="1"/>
      <x:c r="C113" s="64"/>
      <x:c r="D113" s="8"/>
      <x:c r="E113" s="8"/>
      <x:c r="F113" s="8"/>
      <x:c r="G113" s="8"/>
      <x:c r="H113" s="8"/>
      <x:c r="I113" s="8"/>
      <x:c r="J113" s="1"/>
      <x:c r="K113" s="1"/>
    </x:row>
    <x:row r="114" ht="30" customHeight="1">
      <x:c r="A114" s="1"/>
      <x:c r="B114" s="1"/>
      <x:c r="C114" s="64" t="str">
        <x:v>Current-year capex depreciation fraction</x:v>
      </x:c>
      <x:c r="D114" s="72" t="n">
        <x:v>0</x:v>
      </x:c>
      <x:c r="E114" s="8"/>
      <x:c r="F114" s="8"/>
      <x:c r="G114" s="8"/>
      <x:c r="H114" s="8"/>
      <x:c r="I114" s="8"/>
      <x:c r="J114" s="1"/>
      <x:c r="K114" s="1"/>
    </x:row>
    <x:row r="115" ht="30" customHeight="1">
      <x:c r="A115" s="1"/>
      <x:c r="B115" s="1"/>
      <x:c r="C115" s="64" t="str">
        <x:v>Debt movement interest weighting</x:v>
      </x:c>
      <x:c r="D115" s="72" t="n">
        <x:v>0</x:v>
      </x:c>
      <x:c r="E115" s="8"/>
      <x:c r="F115" s="8"/>
      <x:c r="G115" s="8"/>
      <x:c r="H115" s="8"/>
      <x:c r="I115" s="8"/>
      <x:c r="J115" s="1"/>
      <x:c r="K115" s="1" t="str">
        <x:v>0 = opening debt interest; 0.5 = mid-year movements; 1 = full-year movements.</x:v>
      </x:c>
    </x:row>
    <x:row r="116" ht="30" customHeight="1">
      <x:c r="A116" s="1"/>
      <x:c r="B116" s="1"/>
      <x:c r="C116" s="64" t="str">
        <x:v>Opening tax losses available for use</x:v>
      </x:c>
      <x:c r="D116" s="74" t="n">
        <x:v>0</x:v>
      </x:c>
      <x:c r="E116" s="8"/>
      <x:c r="F116" s="8"/>
      <x:c r="G116" s="8"/>
      <x:c r="H116" s="8"/>
      <x:c r="I116" s="8"/>
      <x:c r="J116" s="1"/>
      <x:c r="K116" s="1"/>
    </x:row>
    <x:row r="117" ht="30" customHeight="1">
      <x:c r="A117" s="1"/>
      <x:c r="B117" s="1"/>
      <x:c r="C117" s="64" t="str">
        <x:v>Tax loss utilization share of positive PBT</x:v>
      </x:c>
      <x:c r="D117" s="72" t="n">
        <x:v>1</x:v>
      </x:c>
      <x:c r="E117" s="8"/>
      <x:c r="F117" s="8"/>
      <x:c r="G117" s="8"/>
      <x:c r="H117" s="8"/>
      <x:c r="I117" s="8"/>
      <x:c r="J117" s="1"/>
      <x:c r="K117" s="1" t="str">
        <x:v>Simplified cash tax schedule. Check company-specific eligibility, expiry, MAT and deferred tax separately.</x:v>
      </x:c>
    </x:row>
    <x:row r="118" ht="30" customHeight="1">
      <x:c r="A118" s="1"/>
      <x:c r="B118" s="1"/>
      <x:c r="C118" s="64"/>
      <x:c r="D118" s="8"/>
      <x:c r="E118" s="8"/>
      <x:c r="F118" s="8"/>
      <x:c r="G118" s="8"/>
      <x:c r="H118" s="8"/>
      <x:c r="I118" s="8"/>
      <x:c r="J118" s="1"/>
      <x:c r="K118" s="1"/>
    </x:row>
    <x:row r="119" ht="25" customHeight="1">
      <x:c r="A119" s="1"/>
      <x:c r="B119" s="1"/>
      <x:c r="C119" s="68" t="str">
        <x:v>DEBT AND INTEREST SCHEDULE</x:v>
      </x:c>
      <x:c r="D119" s="69"/>
      <x:c r="E119" s="69"/>
      <x:c r="F119" s="69"/>
      <x:c r="G119" s="69"/>
      <x:c r="H119" s="69"/>
      <x:c r="I119" s="69"/>
      <x:c r="J119" s="1"/>
      <x:c r="K119" s="1"/>
    </x:row>
    <x:row r="120" ht="30" customHeight="1">
      <x:c r="A120" s="1"/>
      <x:c r="B120" s="1"/>
      <x:c r="C120" s="64" t="str">
        <x:v>Opening debt balance</x:v>
      </x:c>
      <x:c r="D120" s="8"/>
      <x:c r="E120" s="8" t="n">
        <x:f>D35</x:f>
        <x:v>1000</x:v>
      </x:c>
      <x:c r="F120" s="8" t="n">
        <x:f>E123</x:f>
        <x:v>900</x:v>
      </x:c>
      <x:c r="G120" s="8" t="n">
        <x:f>F123</x:f>
        <x:v>800</x:v>
      </x:c>
      <x:c r="H120" s="8" t="n">
        <x:f>G123</x:f>
        <x:v>700</x:v>
      </x:c>
      <x:c r="I120" s="8" t="n">
        <x:f>H123</x:f>
        <x:v>600</x:v>
      </x:c>
      <x:c r="J120" s="1"/>
      <x:c r="K120" s="1"/>
    </x:row>
    <x:row r="121" ht="30" customHeight="1">
      <x:c r="A121" s="1"/>
      <x:c r="B121" s="1"/>
      <x:c r="C121" s="64" t="str">
        <x:v>Debt drawn</x:v>
      </x:c>
      <x:c r="D121" s="8"/>
      <x:c r="E121" s="8" t="n">
        <x:f>E30</x:f>
        <x:v>0</x:v>
      </x:c>
      <x:c r="F121" s="8" t="n">
        <x:f>F30</x:f>
        <x:v>0</x:v>
      </x:c>
      <x:c r="G121" s="8" t="n">
        <x:f>G30</x:f>
        <x:v>0</x:v>
      </x:c>
      <x:c r="H121" s="8" t="n">
        <x:f>H30</x:f>
        <x:v>0</x:v>
      </x:c>
      <x:c r="I121" s="8" t="n">
        <x:f>I30</x:f>
        <x:v>0</x:v>
      </x:c>
      <x:c r="J121" s="1"/>
      <x:c r="K121" s="1"/>
    </x:row>
    <x:row r="122" ht="30" customHeight="1">
      <x:c r="A122" s="1"/>
      <x:c r="B122" s="1"/>
      <x:c r="C122" s="64" t="str">
        <x:v>Debt principal repaid</x:v>
      </x:c>
      <x:c r="D122" s="8"/>
      <x:c r="E122" s="8" t="n">
        <x:f>E31</x:f>
        <x:v>100</x:v>
      </x:c>
      <x:c r="F122" s="8" t="n">
        <x:f>F31</x:f>
        <x:v>100</x:v>
      </x:c>
      <x:c r="G122" s="8" t="n">
        <x:f>G31</x:f>
        <x:v>100</x:v>
      </x:c>
      <x:c r="H122" s="8" t="n">
        <x:f>H31</x:f>
        <x:v>100</x:v>
      </x:c>
      <x:c r="I122" s="8" t="n">
        <x:f>I31</x:f>
        <x:v>100</x:v>
      </x:c>
      <x:c r="J122" s="1"/>
      <x:c r="K122" s="1"/>
    </x:row>
    <x:row r="123" ht="30" customHeight="1">
      <x:c r="A123" s="1"/>
      <x:c r="B123" s="1"/>
      <x:c r="C123" s="64" t="str">
        <x:v>Closing debt balance</x:v>
      </x:c>
      <x:c r="D123" s="8"/>
      <x:c r="E123" s="8" t="n">
        <x:f>E120+E121-E122</x:f>
        <x:v>900</x:v>
      </x:c>
      <x:c r="F123" s="8" t="n">
        <x:f>F120+F121-F122</x:f>
        <x:v>800</x:v>
      </x:c>
      <x:c r="G123" s="8" t="n">
        <x:f>G120+G121-G122</x:f>
        <x:v>700</x:v>
      </x:c>
      <x:c r="H123" s="8" t="n">
        <x:f>H120+H121-H122</x:f>
        <x:v>600</x:v>
      </x:c>
      <x:c r="I123" s="8" t="n">
        <x:f>I120+I121-I122</x:f>
        <x:v>500</x:v>
      </x:c>
      <x:c r="J123" s="1"/>
      <x:c r="K123" s="1"/>
    </x:row>
    <x:row r="124" ht="30" customHeight="1">
      <x:c r="A124" s="1"/>
      <x:c r="B124" s="1"/>
      <x:c r="C124" s="64" t="str">
        <x:v>Interest-bearing debt base</x:v>
      </x:c>
      <x:c r="D124" s="8"/>
      <x:c r="E124" s="8" t="n">
        <x:f>E120+(E121-E122)*$D$115</x:f>
        <x:v>1000</x:v>
      </x:c>
      <x:c r="F124" s="8" t="n">
        <x:f>F120+(F121-F122)*$D$115</x:f>
        <x:v>900</x:v>
      </x:c>
      <x:c r="G124" s="8" t="n">
        <x:f>G120+(G121-G122)*$D$115</x:f>
        <x:v>800</x:v>
      </x:c>
      <x:c r="H124" s="8" t="n">
        <x:f>H120+(H121-H122)*$D$115</x:f>
        <x:v>700</x:v>
      </x:c>
      <x:c r="I124" s="8" t="n">
        <x:f>I120+(I121-I122)*$D$115</x:f>
        <x:v>600</x:v>
      </x:c>
      <x:c r="J124" s="1"/>
      <x:c r="K124" s="1"/>
    </x:row>
    <x:row r="125" ht="30" customHeight="1">
      <x:c r="A125" s="1"/>
      <x:c r="B125" s="1"/>
      <x:c r="C125" s="64" t="str">
        <x:v>Scheduled interest expense</x:v>
      </x:c>
      <x:c r="D125" s="8"/>
      <x:c r="E125" s="8" t="n">
        <x:f>E124*E29</x:f>
        <x:v>85</x:v>
      </x:c>
      <x:c r="F125" s="8" t="n">
        <x:f>F124*F29</x:f>
        <x:v>76.5</x:v>
      </x:c>
      <x:c r="G125" s="8" t="n">
        <x:f>G124*G29</x:f>
        <x:v>68</x:v>
      </x:c>
      <x:c r="H125" s="8" t="n">
        <x:f>H124*H29</x:f>
        <x:v>59.50000000000001</x:v>
      </x:c>
      <x:c r="I125" s="8" t="n">
        <x:f>I124*I29</x:f>
        <x:v>51.00000000000001</x:v>
      </x:c>
      <x:c r="J125" s="1"/>
      <x:c r="K125" s="1"/>
    </x:row>
    <x:row r="126" ht="30" customHeight="1">
      <x:c r="A126" s="1"/>
      <x:c r="B126" s="1"/>
      <x:c r="C126" s="64"/>
      <x:c r="D126" s="8"/>
      <x:c r="E126" s="8"/>
      <x:c r="F126" s="8"/>
      <x:c r="G126" s="8"/>
      <x:c r="H126" s="8"/>
      <x:c r="I126" s="8"/>
      <x:c r="J126" s="1"/>
      <x:c r="K126" s="1"/>
    </x:row>
    <x:row r="127" ht="30" customHeight="1">
      <x:c r="A127" s="1"/>
      <x:c r="B127" s="1"/>
      <x:c r="C127" s="64"/>
      <x:c r="D127" s="8"/>
      <x:c r="E127" s="8"/>
      <x:c r="F127" s="8"/>
      <x:c r="G127" s="8"/>
      <x:c r="H127" s="8"/>
      <x:c r="I127" s="8"/>
      <x:c r="J127" s="1"/>
      <x:c r="K127" s="1"/>
    </x:row>
    <x:row r="128" ht="30" customHeight="1">
      <x:c r="A128" s="1"/>
      <x:c r="B128" s="1"/>
      <x:c r="C128" s="64"/>
      <x:c r="D128" s="8"/>
      <x:c r="E128" s="8"/>
      <x:c r="F128" s="8"/>
      <x:c r="G128" s="8"/>
      <x:c r="H128" s="8"/>
      <x:c r="I128" s="8"/>
      <x:c r="J128" s="1"/>
      <x:c r="K128" s="1"/>
    </x:row>
    <x:row r="129" ht="25" customHeight="1">
      <x:c r="A129" s="1"/>
      <x:c r="B129" s="1"/>
      <x:c r="C129" s="68" t="str">
        <x:v>CAPEX AND DEPRECIATION SCHEDULE</x:v>
      </x:c>
      <x:c r="D129" s="69"/>
      <x:c r="E129" s="69"/>
      <x:c r="F129" s="69"/>
      <x:c r="G129" s="69"/>
      <x:c r="H129" s="69"/>
      <x:c r="I129" s="69"/>
      <x:c r="J129" s="1"/>
      <x:c r="K129" s="1"/>
    </x:row>
    <x:row r="130" ht="30" customHeight="1">
      <x:c r="A130" s="1"/>
      <x:c r="B130" s="1"/>
      <x:c r="C130" s="64" t="str">
        <x:v>Opening net property plant and equipment</x:v>
      </x:c>
      <x:c r="D130" s="8"/>
      <x:c r="E130" s="8" t="n">
        <x:f>D34</x:f>
        <x:v>3000</x:v>
      </x:c>
      <x:c r="F130" s="8" t="n">
        <x:f>E135</x:f>
        <x:v>3038.475</x:v>
      </x:c>
      <x:c r="G130" s="8" t="n">
        <x:f>F135</x:f>
        <x:v>3127.5217875</x:v>
      </x:c>
      <x:c r="H130" s="8" t="n">
        <x:f>G135</x:f>
        <x:v>3268.71539506875</x:v>
      </x:c>
      <x:c r="I130" s="8" t="n">
        <x:f>H135</x:f>
        <x:v>3464.5004964857712</x:v>
      </x:c>
      <x:c r="J130" s="1"/>
      <x:c r="K130" s="1"/>
    </x:row>
    <x:row r="131" ht="30" customHeight="1">
      <x:c r="A131" s="1"/>
      <x:c r="B131" s="1"/>
      <x:c r="C131" s="64" t="str">
        <x:v>Capital expenditure added</x:v>
      </x:c>
      <x:c r="D131" s="8"/>
      <x:c r="E131" s="8" t="n">
        <x:f>E65</x:f>
        <x:v>398.47499999999997</x:v>
      </x:c>
      <x:c r="F131" s="8" t="n">
        <x:f>F65</x:f>
        <x:v>453.6637874999999</x:v>
      </x:c>
      <x:c r="G131" s="8" t="n">
        <x:f>G65</x:f>
        <x:v>516.4962220687498</x:v>
      </x:c>
      <x:c r="H131" s="8" t="n">
        <x:f>H65</x:f>
        <x:v>588.0309488252717</x:v>
      </x:c>
      <x:c r="I131" s="8" t="n">
        <x:f>I65</x:f>
        <x:v>669.4732352375719</x:v>
      </x:c>
      <x:c r="J131" s="1"/>
      <x:c r="K131" s="1"/>
    </x:row>
    <x:row r="132" ht="30" customHeight="1">
      <x:c r="A132" s="1"/>
      <x:c r="B132" s="1"/>
      <x:c r="C132" s="64" t="str">
        <x:v>Depreciation on opening assets</x:v>
      </x:c>
      <x:c r="D132" s="8"/>
      <x:c r="E132" s="8" t="n">
        <x:f>E130*E24</x:f>
        <x:v>360</x:v>
      </x:c>
      <x:c r="F132" s="8" t="n">
        <x:f>F130*F24</x:f>
        <x:v>364.61699999999996</x:v>
      </x:c>
      <x:c r="G132" s="8" t="n">
        <x:f>G130*G24</x:f>
        <x:v>375.30261449999995</x:v>
      </x:c>
      <x:c r="H132" s="8" t="n">
        <x:f>H130*H24</x:f>
        <x:v>392.24584740825</x:v>
      </x:c>
      <x:c r="I132" s="8" t="n">
        <x:f>I130*I24</x:f>
        <x:v>415.7400595782925</x:v>
      </x:c>
      <x:c r="J132" s="1"/>
      <x:c r="K132" s="1"/>
    </x:row>
    <x:row r="133" ht="30" customHeight="1">
      <x:c r="A133" s="1"/>
      <x:c r="B133" s="1"/>
      <x:c r="C133" s="64" t="str">
        <x:v>Depreciation on current-year additions</x:v>
      </x:c>
      <x:c r="D133" s="8"/>
      <x:c r="E133" s="8" t="n">
        <x:f>E131*E24*$D$114</x:f>
        <x:v>0</x:v>
      </x:c>
      <x:c r="F133" s="8" t="n">
        <x:f>F131*F24*$D$114</x:f>
        <x:v>0</x:v>
      </x:c>
      <x:c r="G133" s="8" t="n">
        <x:f>G131*G24*$D$114</x:f>
        <x:v>0</x:v>
      </x:c>
      <x:c r="H133" s="8" t="n">
        <x:f>H131*H24*$D$114</x:f>
        <x:v>0</x:v>
      </x:c>
      <x:c r="I133" s="8" t="n">
        <x:f>I131*I24*$D$114</x:f>
        <x:v>0</x:v>
      </x:c>
      <x:c r="J133" s="1"/>
      <x:c r="K133" s="1"/>
    </x:row>
    <x:row r="134" ht="30" customHeight="1">
      <x:c r="A134" s="1"/>
      <x:c r="B134" s="1"/>
      <x:c r="C134" s="64" t="str">
        <x:v>Total depreciation charge</x:v>
      </x:c>
      <x:c r="D134" s="8"/>
      <x:c r="E134" s="8" t="n">
        <x:f>E132+E133</x:f>
        <x:v>360</x:v>
      </x:c>
      <x:c r="F134" s="8" t="n">
        <x:f>F132+F133</x:f>
        <x:v>364.61699999999996</x:v>
      </x:c>
      <x:c r="G134" s="8" t="n">
        <x:f>G132+G133</x:f>
        <x:v>375.30261449999995</x:v>
      </x:c>
      <x:c r="H134" s="8" t="n">
        <x:f>H132+H133</x:f>
        <x:v>392.24584740825</x:v>
      </x:c>
      <x:c r="I134" s="8" t="n">
        <x:f>I132+I133</x:f>
        <x:v>415.7400595782925</x:v>
      </x:c>
      <x:c r="J134" s="1"/>
      <x:c r="K134" s="1"/>
    </x:row>
    <x:row r="135" ht="30" customHeight="1">
      <x:c r="A135" s="1"/>
      <x:c r="B135" s="1"/>
      <x:c r="C135" s="64" t="str">
        <x:v>Closing net property plant and equipment</x:v>
      </x:c>
      <x:c r="D135" s="8"/>
      <x:c r="E135" s="8" t="n">
        <x:f>E130+E131-E134</x:f>
        <x:v>3038.475</x:v>
      </x:c>
      <x:c r="F135" s="8" t="n">
        <x:f>F130+F131-F134</x:f>
        <x:v>3127.5217875</x:v>
      </x:c>
      <x:c r="G135" s="8" t="n">
        <x:f>G130+G131-G134</x:f>
        <x:v>3268.71539506875</x:v>
      </x:c>
      <x:c r="H135" s="8" t="n">
        <x:f>H130+H131-H134</x:f>
        <x:v>3464.5004964857712</x:v>
      </x:c>
      <x:c r="I135" s="8" t="n">
        <x:f>I130+I131-I134</x:f>
        <x:v>3718.2336721450506</x:v>
      </x:c>
      <x:c r="J135" s="1"/>
      <x:c r="K135" s="1"/>
    </x:row>
    <x:row r="136" ht="30" customHeight="1">
      <x:c r="A136" s="1"/>
      <x:c r="B136" s="1"/>
      <x:c r="C136" s="64"/>
      <x:c r="D136" s="8"/>
      <x:c r="E136" s="8"/>
      <x:c r="F136" s="8"/>
      <x:c r="G136" s="8"/>
      <x:c r="H136" s="8"/>
      <x:c r="I136" s="8"/>
      <x:c r="J136" s="1"/>
      <x:c r="K136" s="1"/>
    </x:row>
    <x:row r="137" ht="30" customHeight="1">
      <x:c r="A137" s="1"/>
      <x:c r="B137" s="1"/>
      <x:c r="C137" s="64"/>
      <x:c r="D137" s="8"/>
      <x:c r="E137" s="8"/>
      <x:c r="F137" s="8"/>
      <x:c r="G137" s="8"/>
      <x:c r="H137" s="8"/>
      <x:c r="I137" s="8"/>
      <x:c r="J137" s="1"/>
      <x:c r="K137" s="1"/>
    </x:row>
    <x:row r="138" ht="30" customHeight="1">
      <x:c r="A138" s="1"/>
      <x:c r="B138" s="1"/>
      <x:c r="C138" s="64"/>
      <x:c r="D138" s="8"/>
      <x:c r="E138" s="8"/>
      <x:c r="F138" s="8"/>
      <x:c r="G138" s="8"/>
      <x:c r="H138" s="8"/>
      <x:c r="I138" s="8"/>
      <x:c r="J138" s="1"/>
      <x:c r="K138" s="1"/>
    </x:row>
    <x:row r="139" ht="25" customHeight="1">
      <x:c r="A139" s="1"/>
      <x:c r="B139" s="1"/>
      <x:c r="C139" s="68" t="str">
        <x:v>CASH TAX SCHEDULE</x:v>
      </x:c>
      <x:c r="D139" s="69"/>
      <x:c r="E139" s="69"/>
      <x:c r="F139" s="69"/>
      <x:c r="G139" s="69"/>
      <x:c r="H139" s="69"/>
      <x:c r="I139" s="69"/>
      <x:c r="J139" s="1"/>
      <x:c r="K139" s="1"/>
    </x:row>
    <x:row r="140" ht="30" customHeight="1">
      <x:c r="A140" s="1"/>
      <x:c r="B140" s="1"/>
      <x:c r="C140" s="64" t="str">
        <x:v>Opening usable tax losses</x:v>
      </x:c>
      <x:c r="D140" s="8"/>
      <x:c r="E140" s="8" t="n">
        <x:f>$D$116</x:f>
        <x:v>0</x:v>
      </x:c>
      <x:c r="F140" s="8" t="n">
        <x:f>E145</x:f>
        <x:v>0</x:v>
      </x:c>
      <x:c r="G140" s="8" t="n">
        <x:f>F145</x:f>
        <x:v>0</x:v>
      </x:c>
      <x:c r="H140" s="8" t="n">
        <x:f>G145</x:f>
        <x:v>0</x:v>
      </x:c>
      <x:c r="I140" s="8" t="n">
        <x:f>H145</x:f>
        <x:v>0</x:v>
      </x:c>
      <x:c r="J140" s="1"/>
      <x:c r="K140" s="1"/>
    </x:row>
    <x:row r="141" ht="30" customHeight="1">
      <x:c r="A141" s="1"/>
      <x:c r="B141" s="1"/>
      <x:c r="C141" s="64" t="str">
        <x:v>Profit before tax for loss utilization</x:v>
      </x:c>
      <x:c r="D141" s="8"/>
      <x:c r="E141" s="8" t="n">
        <x:f>E56</x:f>
        <x:v>1433.5249999999999</x:v>
      </x:c>
      <x:c r="F141" s="8" t="n">
        <x:f>F56</x:f>
        <x:v>1697.5837124999991</x:v>
      </x:c>
      <x:c r="G141" s="8" t="n">
        <x:f>G56</x:f>
        <x:v>1991.6081466812489</x:v>
      </x:c>
      <x:c r="H141" s="8" t="n">
        <x:f>H56</x:f>
        <x:v>2320.400054196602</x:v>
      </x:c>
      <x:c r="I141" s="8" t="n">
        <x:f>I56</x:f>
        <x:v>2689.3480493988322</x:v>
      </x:c>
      <x:c r="J141" s="1"/>
      <x:c r="K141" s="1"/>
    </x:row>
    <x:row r="142" ht="30" customHeight="1">
      <x:c r="A142" s="1"/>
      <x:c r="B142" s="1"/>
      <x:c r="C142" s="64" t="str">
        <x:v>Tax losses utilized</x:v>
      </x:c>
      <x:c r="D142" s="8"/>
      <x:c r="E142" s="8" t="n">
        <x:f>MIN(E140,MAX(0,E141)*$D$117)</x:f>
        <x:v>0</x:v>
      </x:c>
      <x:c r="F142" s="8" t="n">
        <x:f>MIN(F140,MAX(0,F141)*$D$117)</x:f>
        <x:v>0</x:v>
      </x:c>
      <x:c r="G142" s="8" t="n">
        <x:f>MIN(G140,MAX(0,G141)*$D$117)</x:f>
        <x:v>0</x:v>
      </x:c>
      <x:c r="H142" s="8" t="n">
        <x:f>MIN(H140,MAX(0,H141)*$D$117)</x:f>
        <x:v>0</x:v>
      </x:c>
      <x:c r="I142" s="8" t="n">
        <x:f>MIN(I140,MAX(0,I141)*$D$117)</x:f>
        <x:v>0</x:v>
      </x:c>
      <x:c r="J142" s="1"/>
      <x:c r="K142" s="1"/>
    </x:row>
    <x:row r="143" ht="30" customHeight="1">
      <x:c r="A143" s="1"/>
      <x:c r="B143" s="1"/>
      <x:c r="C143" s="64" t="str">
        <x:v>Taxable profit after loss utilization</x:v>
      </x:c>
      <x:c r="D143" s="8"/>
      <x:c r="E143" s="8" t="n">
        <x:f>MAX(0,E141-E142)</x:f>
        <x:v>1433.5249999999999</x:v>
      </x:c>
      <x:c r="F143" s="8" t="n">
        <x:f>MAX(0,F141-F142)</x:f>
        <x:v>1697.5837124999991</x:v>
      </x:c>
      <x:c r="G143" s="8" t="n">
        <x:f>MAX(0,G141-G142)</x:f>
        <x:v>1991.6081466812489</x:v>
      </x:c>
      <x:c r="H143" s="8" t="n">
        <x:f>MAX(0,H141-H142)</x:f>
        <x:v>2320.400054196602</x:v>
      </x:c>
      <x:c r="I143" s="8" t="n">
        <x:f>MAX(0,I141-I142)</x:f>
        <x:v>2689.3480493988322</x:v>
      </x:c>
      <x:c r="J143" s="1"/>
      <x:c r="K143" s="1"/>
    </x:row>
    <x:row r="144" ht="30" customHeight="1">
      <x:c r="A144" s="1"/>
      <x:c r="B144" s="1"/>
      <x:c r="C144" s="64" t="str">
        <x:v>Cash income tax after loss utilization</x:v>
      </x:c>
      <x:c r="D144" s="8"/>
      <x:c r="E144" s="8" t="n">
        <x:f>E143*E28</x:f>
        <x:v>358.38124999999997</x:v>
      </x:c>
      <x:c r="F144" s="8" t="n">
        <x:f>F143*F28</x:f>
        <x:v>424.3959281249998</x:v>
      </x:c>
      <x:c r="G144" s="8" t="n">
        <x:f>G143*G28</x:f>
        <x:v>497.9020366703122</x:v>
      </x:c>
      <x:c r="H144" s="8" t="n">
        <x:f>H143*H28</x:f>
        <x:v>580.1000135491505</x:v>
      </x:c>
      <x:c r="I144" s="8" t="n">
        <x:f>I143*I28</x:f>
        <x:v>672.3370123497081</x:v>
      </x:c>
      <x:c r="J144" s="1"/>
      <x:c r="K144" s="1"/>
    </x:row>
    <x:row r="145" ht="30" customHeight="1">
      <x:c r="A145" s="1"/>
      <x:c r="B145" s="1"/>
      <x:c r="C145" s="64" t="str">
        <x:v>Closing usable tax losses</x:v>
      </x:c>
      <x:c r="D145" s="8"/>
      <x:c r="E145" s="8" t="n">
        <x:f>E140-E142+MAX(0,-E141)</x:f>
        <x:v>0</x:v>
      </x:c>
      <x:c r="F145" s="8" t="n">
        <x:f>F140-F142+MAX(0,-F141)</x:f>
        <x:v>0</x:v>
      </x:c>
      <x:c r="G145" s="8" t="n">
        <x:f>G140-G142+MAX(0,-G141)</x:f>
        <x:v>0</x:v>
      </x:c>
      <x:c r="H145" s="8" t="n">
        <x:f>H140-H142+MAX(0,-H141)</x:f>
        <x:v>0</x:v>
      </x:c>
      <x:c r="I145" s="8" t="n">
        <x:f>I140-I142+MAX(0,-I141)</x:f>
        <x:v>0</x:v>
      </x:c>
      <x:c r="J145" s="1"/>
      <x:c r="K145" s="1"/>
    </x:row>
    <x:row r="146" ht="30" customHeight="1">
      <x:c r="A146" s="1"/>
      <x:c r="B146" s="1"/>
      <x:c r="C146" s="64"/>
      <x:c r="D146" s="8"/>
      <x:c r="E146" s="8"/>
      <x:c r="F146" s="8"/>
      <x:c r="G146" s="8"/>
      <x:c r="H146" s="8"/>
      <x:c r="I146" s="8"/>
      <x:c r="J146" s="1"/>
      <x:c r="K146" s="1"/>
    </x:row>
    <x:row r="147" ht="30" customHeight="1">
      <x:c r="A147" s="1"/>
      <x:c r="B147" s="1"/>
      <x:c r="C147" s="64"/>
      <x:c r="D147" s="8"/>
      <x:c r="E147" s="8"/>
      <x:c r="F147" s="8"/>
      <x:c r="G147" s="8"/>
      <x:c r="H147" s="8"/>
      <x:c r="I147" s="8"/>
      <x:c r="J147" s="1"/>
      <x:c r="K147" s="1"/>
    </x:row>
    <x:row r="148" ht="30" customHeight="1">
      <x:c r="A148" s="1"/>
      <x:c r="B148" s="1"/>
      <x:c r="C148" s="64"/>
      <x:c r="D148" s="8"/>
      <x:c r="E148" s="8"/>
      <x:c r="F148" s="8"/>
      <x:c r="G148" s="8"/>
      <x:c r="H148" s="8"/>
      <x:c r="I148" s="8"/>
      <x:c r="J148" s="1"/>
      <x:c r="K148" s="1"/>
    </x:row>
    <x:row r="149" ht="30" customHeight="1">
      <x:c r="A149" s="1"/>
      <x:c r="B149" s="1"/>
      <x:c r="C149" s="64"/>
      <x:c r="D149" s="8"/>
      <x:c r="E149" s="8"/>
      <x:c r="F149" s="8"/>
      <x:c r="G149" s="8"/>
      <x:c r="H149" s="8"/>
      <x:c r="I149" s="8"/>
      <x:c r="J149" s="1"/>
      <x:c r="K149" s="1"/>
    </x:row>
    <x:row r="150" ht="30" customHeight="1">
      <x:c r="A150" s="1"/>
      <x:c r="B150" s="1"/>
      <x:c r="C150" s="64"/>
      <x:c r="D150" s="8"/>
      <x:c r="E150" s="8"/>
      <x:c r="F150" s="8"/>
      <x:c r="G150" s="8"/>
      <x:c r="H150" s="8"/>
      <x:c r="I150" s="8"/>
      <x:c r="J150" s="1"/>
      <x:c r="K150" s="1"/>
    </x:row>
    <x:row r="151" ht="30" customHeight="1">
      <x:c r="A151" s="1"/>
      <x:c r="B151" s="1"/>
      <x:c r="C151" s="64"/>
      <x:c r="D151" s="8"/>
      <x:c r="E151" s="8"/>
      <x:c r="F151" s="8"/>
      <x:c r="G151" s="8"/>
      <x:c r="H151" s="8"/>
      <x:c r="I151" s="8"/>
      <x:c r="J151" s="1"/>
      <x:c r="K151" s="1"/>
    </x:row>
    <x:row r="152" ht="30" customHeight="1">
      <x:c r="A152" s="1"/>
      <x:c r="B152" s="1"/>
      <x:c r="C152" s="64"/>
      <x:c r="D152" s="8"/>
      <x:c r="E152" s="8"/>
      <x:c r="F152" s="8"/>
      <x:c r="G152" s="8"/>
      <x:c r="H152" s="8"/>
      <x:c r="I152" s="8"/>
      <x:c r="J152" s="1"/>
      <x:c r="K152" s="1"/>
    </x:row>
    <x:row r="153" ht="30" customHeight="1">
      <x:c r="A153" s="1"/>
      <x:c r="B153" s="1"/>
      <x:c r="C153" s="64"/>
      <x:c r="D153" s="8"/>
      <x:c r="E153" s="8"/>
      <x:c r="F153" s="8"/>
      <x:c r="G153" s="8"/>
      <x:c r="H153" s="8"/>
      <x:c r="I153" s="8"/>
      <x:c r="J153" s="1"/>
      <x:c r="K153" s="1"/>
    </x:row>
    <x:row r="154" ht="30" customHeight="1">
      <x:c r="A154" s="1"/>
      <x:c r="B154" s="1"/>
      <x:c r="C154" s="64"/>
      <x:c r="D154" s="8"/>
      <x:c r="E154" s="8"/>
      <x:c r="F154" s="8"/>
      <x:c r="G154" s="8"/>
      <x:c r="H154" s="8"/>
      <x:c r="I154" s="8"/>
      <x:c r="J154" s="1"/>
      <x:c r="K154" s="1"/>
    </x:row>
    <x:row r="155" ht="30" customHeight="1">
      <x:c r="A155" s="1"/>
      <x:c r="B155" s="1"/>
      <x:c r="C155" s="64"/>
      <x:c r="D155" s="8"/>
      <x:c r="E155" s="8"/>
      <x:c r="F155" s="8"/>
      <x:c r="G155" s="8"/>
      <x:c r="H155" s="8"/>
      <x:c r="I155" s="8"/>
      <x:c r="J155" s="1"/>
      <x:c r="K155" s="1"/>
    </x:row>
    <x:row r="156" ht="30" customHeight="1">
      <x:c r="A156" s="1"/>
      <x:c r="B156" s="1"/>
      <x:c r="C156" s="64"/>
      <x:c r="D156" s="8"/>
      <x:c r="E156" s="8"/>
      <x:c r="F156" s="8"/>
      <x:c r="G156" s="8"/>
      <x:c r="H156" s="8"/>
      <x:c r="I156" s="8"/>
      <x:c r="J156" s="1"/>
      <x:c r="K156" s="1"/>
    </x:row>
    <x:row r="157" ht="30" customHeight="1">
      <x:c r="A157" s="1"/>
      <x:c r="B157" s="1"/>
      <x:c r="C157" s="64"/>
      <x:c r="D157" s="8"/>
      <x:c r="E157" s="8"/>
      <x:c r="F157" s="8"/>
      <x:c r="G157" s="8"/>
      <x:c r="H157" s="8"/>
      <x:c r="I157" s="8"/>
      <x:c r="J157" s="1"/>
      <x:c r="K157" s="1"/>
    </x:row>
    <x:row r="158" ht="30" customHeight="1">
      <x:c r="A158" s="1"/>
      <x:c r="B158" s="1"/>
      <x:c r="C158" s="64"/>
      <x:c r="D158" s="8"/>
      <x:c r="E158" s="8"/>
      <x:c r="F158" s="8"/>
      <x:c r="G158" s="8"/>
      <x:c r="H158" s="8"/>
      <x:c r="I158" s="8"/>
      <x:c r="J158" s="1"/>
      <x:c r="K158" s="1"/>
    </x:row>
    <x:row r="159" ht="30" customHeight="1">
      <x:c r="A159" s="1"/>
      <x:c r="B159" s="1"/>
      <x:c r="C159" s="64"/>
      <x:c r="D159" s="8"/>
      <x:c r="E159" s="8"/>
      <x:c r="F159" s="8"/>
      <x:c r="G159" s="8"/>
      <x:c r="H159" s="8"/>
      <x:c r="I159" s="8"/>
      <x:c r="J159" s="1"/>
      <x:c r="K159" s="1"/>
    </x:row>
    <x:row r="160" ht="30" customHeight="1">
      <x:c r="A160" s="1"/>
      <x:c r="B160" s="1"/>
      <x:c r="C160" s="64"/>
      <x:c r="D160" s="8"/>
      <x:c r="E160" s="8"/>
      <x:c r="F160" s="8"/>
      <x:c r="G160" s="8"/>
      <x:c r="H160" s="8"/>
      <x:c r="I160" s="8"/>
      <x:c r="J160" s="1"/>
      <x:c r="K160" s="1"/>
    </x:row>
    <x:row r="161" ht="30" customHeight="1">
      <x:c r="A161" s="1"/>
      <x:c r="B161" s="1"/>
      <x:c r="C161" s="64"/>
      <x:c r="D161" s="8"/>
      <x:c r="E161" s="8"/>
      <x:c r="F161" s="8"/>
      <x:c r="G161" s="8"/>
      <x:c r="H161" s="8"/>
      <x:c r="I161" s="8"/>
      <x:c r="J161" s="1"/>
      <x:c r="K161" s="1"/>
    </x:row>
    <x:row r="162" ht="30" customHeight="1">
      <x:c r="A162" s="1"/>
      <x:c r="B162" s="1"/>
      <x:c r="C162" s="64"/>
      <x:c r="D162" s="8"/>
      <x:c r="E162" s="8"/>
      <x:c r="F162" s="8"/>
      <x:c r="G162" s="8"/>
      <x:c r="H162" s="8"/>
      <x:c r="I162" s="8"/>
      <x:c r="J162" s="1"/>
      <x:c r="K162" s="1"/>
    </x:row>
    <x:row r="163" ht="30" customHeight="1">
      <x:c r="A163" s="1"/>
      <x:c r="B163" s="1"/>
      <x:c r="C163" s="64"/>
      <x:c r="D163" s="8"/>
      <x:c r="E163" s="8"/>
      <x:c r="F163" s="8"/>
      <x:c r="G163" s="8"/>
      <x:c r="H163" s="8"/>
      <x:c r="I163" s="8"/>
      <x:c r="J163" s="1"/>
      <x:c r="K163" s="1"/>
    </x:row>
    <x:row r="164" ht="30" customHeight="1">
      <x:c r="A164" s="1"/>
      <x:c r="B164" s="1"/>
      <x:c r="C164" s="64"/>
      <x:c r="D164" s="8"/>
      <x:c r="E164" s="8"/>
      <x:c r="F164" s="8"/>
      <x:c r="G164" s="8"/>
      <x:c r="H164" s="8"/>
      <x:c r="I164" s="8"/>
      <x:c r="J164" s="1"/>
      <x:c r="K164" s="1"/>
    </x:row>
    <x:row r="165" ht="30" customHeight="1">
      <x:c r="A165" s="1"/>
      <x:c r="B165" s="1"/>
      <x:c r="C165" s="64"/>
      <x:c r="D165" s="8"/>
      <x:c r="E165" s="8"/>
      <x:c r="F165" s="8"/>
      <x:c r="G165" s="8"/>
      <x:c r="H165" s="8"/>
      <x:c r="I165" s="8"/>
      <x:c r="J165" s="1"/>
      <x:c r="K165" s="1"/>
    </x:row>
    <x:row r="166" ht="30" customHeight="1">
      <x:c r="A166" s="1"/>
      <x:c r="B166" s="1"/>
      <x:c r="C166" s="64"/>
      <x:c r="D166" s="8"/>
      <x:c r="E166" s="8"/>
      <x:c r="F166" s="8"/>
      <x:c r="G166" s="8"/>
      <x:c r="H166" s="8"/>
      <x:c r="I166" s="8"/>
      <x:c r="J166" s="1"/>
      <x:c r="K166" s="1"/>
    </x:row>
    <x:row r="167" ht="30" customHeight="1">
      <x:c r="A167" s="1"/>
      <x:c r="B167" s="1"/>
      <x:c r="C167" s="64"/>
      <x:c r="D167" s="8"/>
      <x:c r="E167" s="8"/>
      <x:c r="F167" s="8"/>
      <x:c r="G167" s="8"/>
      <x:c r="H167" s="8"/>
      <x:c r="I167" s="8"/>
      <x:c r="J167" s="1"/>
      <x:c r="K167" s="1"/>
    </x:row>
    <x:row r="168" ht="30" customHeight="1">
      <x:c r="A168" s="1"/>
      <x:c r="B168" s="1"/>
      <x:c r="C168" s="64"/>
      <x:c r="D168" s="8"/>
      <x:c r="E168" s="8"/>
      <x:c r="F168" s="8"/>
      <x:c r="G168" s="8"/>
      <x:c r="H168" s="8"/>
      <x:c r="I168" s="8"/>
      <x:c r="J168" s="1"/>
      <x:c r="K168" s="1"/>
    </x:row>
    <x:row r="169" ht="30" customHeight="1">
      <x:c r="A169" s="1"/>
      <x:c r="B169" s="1"/>
      <x:c r="C169" s="64"/>
      <x:c r="D169" s="8"/>
      <x:c r="E169" s="8"/>
      <x:c r="F169" s="8"/>
      <x:c r="G169" s="8"/>
      <x:c r="H169" s="8"/>
      <x:c r="I169" s="8"/>
      <x:c r="J169" s="1"/>
      <x:c r="K169" s="1"/>
    </x:row>
    <x:row r="170" ht="30" customHeight="1">
      <x:c r="A170" s="1"/>
      <x:c r="B170" s="1"/>
      <x:c r="C170" s="64"/>
      <x:c r="D170" s="8"/>
      <x:c r="E170" s="8"/>
      <x:c r="F170" s="8"/>
      <x:c r="G170" s="8"/>
      <x:c r="H170" s="8"/>
      <x:c r="I170" s="8"/>
      <x:c r="J170" s="1"/>
      <x:c r="K170" s="1"/>
    </x:row>
    <x:row r="171" ht="30" customHeight="1">
      <x:c r="A171" s="1"/>
      <x:c r="B171" s="1"/>
      <x:c r="C171" s="64"/>
      <x:c r="D171" s="8"/>
      <x:c r="E171" s="8"/>
      <x:c r="F171" s="8"/>
      <x:c r="G171" s="8"/>
      <x:c r="H171" s="8"/>
      <x:c r="I171" s="8"/>
      <x:c r="J171" s="1"/>
      <x:c r="K171" s="1"/>
    </x:row>
    <x:row r="172" ht="30" customHeight="1">
      <x:c r="A172" s="1"/>
      <x:c r="B172" s="1"/>
      <x:c r="C172" s="64"/>
      <x:c r="D172" s="8"/>
      <x:c r="E172" s="8"/>
      <x:c r="F172" s="8"/>
      <x:c r="G172" s="8"/>
      <x:c r="H172" s="8"/>
      <x:c r="I172" s="8"/>
      <x:c r="J172" s="1"/>
      <x:c r="K172" s="1"/>
    </x:row>
    <x:row r="173" ht="30" customHeight="1">
      <x:c r="A173" s="1"/>
      <x:c r="B173" s="1"/>
      <x:c r="C173" s="64"/>
      <x:c r="D173" s="8"/>
      <x:c r="E173" s="8"/>
      <x:c r="F173" s="8"/>
      <x:c r="G173" s="8"/>
      <x:c r="H173" s="8"/>
      <x:c r="I173" s="8"/>
      <x:c r="J173" s="1"/>
      <x:c r="K173" s="1"/>
    </x:row>
    <x:row r="174" ht="30" customHeight="1">
      <x:c r="A174" s="1"/>
      <x:c r="B174" s="1"/>
      <x:c r="C174" s="64"/>
      <x:c r="D174" s="8"/>
      <x:c r="E174" s="8"/>
      <x:c r="F174" s="8"/>
      <x:c r="G174" s="8"/>
      <x:c r="H174" s="8"/>
      <x:c r="I174" s="8"/>
      <x:c r="J174" s="1"/>
      <x:c r="K174" s="1"/>
    </x:row>
    <x:row r="175" ht="30" customHeight="1">
      <x:c r="A175" s="1"/>
      <x:c r="B175" s="1"/>
      <x:c r="C175" s="64"/>
      <x:c r="D175" s="8"/>
      <x:c r="E175" s="8"/>
      <x:c r="F175" s="8"/>
      <x:c r="G175" s="8"/>
      <x:c r="H175" s="8"/>
      <x:c r="I175" s="8"/>
      <x:c r="J175" s="1"/>
      <x:c r="K175" s="1"/>
    </x:row>
    <x:row r="176" ht="30" customHeight="1">
      <x:c r="A176" s="1"/>
      <x:c r="B176" s="1"/>
      <x:c r="C176" s="64"/>
      <x:c r="D176" s="8"/>
      <x:c r="E176" s="8"/>
      <x:c r="F176" s="8"/>
      <x:c r="G176" s="8"/>
      <x:c r="H176" s="8"/>
      <x:c r="I176" s="8"/>
      <x:c r="J176" s="1"/>
      <x:c r="K176" s="1"/>
    </x:row>
    <x:row r="177" ht="30" customHeight="1">
      <x:c r="A177" s="1"/>
      <x:c r="B177" s="1"/>
      <x:c r="C177" s="64"/>
      <x:c r="D177" s="8"/>
      <x:c r="E177" s="8"/>
      <x:c r="F177" s="8"/>
      <x:c r="G177" s="8"/>
      <x:c r="H177" s="8"/>
      <x:c r="I177" s="8"/>
      <x:c r="J177" s="1"/>
      <x:c r="K177" s="1"/>
    </x:row>
    <x:row r="178" ht="30" customHeight="1">
      <x:c r="A178" s="1"/>
      <x:c r="B178" s="1"/>
      <x:c r="C178" s="64"/>
      <x:c r="D178" s="8"/>
      <x:c r="E178" s="8"/>
      <x:c r="F178" s="8"/>
      <x:c r="G178" s="8"/>
      <x:c r="H178" s="8"/>
      <x:c r="I178" s="8"/>
      <x:c r="J178" s="1"/>
      <x:c r="K178" s="1"/>
    </x:row>
    <x:row r="179" ht="25" customHeight="1">
      <x:c r="A179" s="1"/>
      <x:c r="B179" s="1"/>
      <x:c r="C179" s="68" t="str">
        <x:v>MODEL CHECKS</x:v>
      </x:c>
      <x:c r="D179" s="69"/>
      <x:c r="E179" s="69"/>
      <x:c r="F179" s="69"/>
      <x:c r="G179" s="69"/>
      <x:c r="H179" s="69"/>
      <x:c r="I179" s="69"/>
      <x:c r="J179" s="1"/>
      <x:c r="K179" s="1"/>
    </x:row>
    <x:row r="180" ht="30" customHeight="1">
      <x:c r="A180" s="1"/>
      <x:c r="B180" s="1"/>
      <x:c r="C180" s="64" t="str">
        <x:v>Equivalent doses sold (million) — seed input outside bounds</x:v>
      </x:c>
      <x:c r="D180" s="8"/>
      <x:c r="E180" s="75" t="n">
        <x:f>IF(COUNT(D10)=0,1,IF(D10&lt;0,1,0))</x:f>
        <x:v>0</x:v>
      </x:c>
      <x:c r="F180" s="75" t="n">
        <x:f>IF(COUNT(D10)=0,1,IF(D10&lt;0,1,0))</x:f>
        <x:v>0</x:v>
      </x:c>
      <x:c r="G180" s="75" t="n">
        <x:f>IF(COUNT(D10)=0,1,IF(D10&lt;0,1,0))</x:f>
        <x:v>0</x:v>
      </x:c>
      <x:c r="H180" s="75" t="n">
        <x:f>IF(COUNT(D10)=0,1,IF(D10&lt;0,1,0))</x:f>
        <x:v>0</x:v>
      </x:c>
      <x:c r="I180" s="75" t="n">
        <x:f>IF(COUNT(D10)=0,1,IF(D10&lt;0,1,0))</x:f>
        <x:v>0</x:v>
      </x:c>
      <x:c r="J180" s="1"/>
      <x:c r="K180" s="1"/>
    </x:row>
    <x:row r="181" ht="30" customHeight="1">
      <x:c r="A181" s="1"/>
      <x:c r="B181" s="1"/>
      <x:c r="C181" s="64" t="str">
        <x:v>Net realization (INR per dose) — seed input outside bounds</x:v>
      </x:c>
      <x:c r="D181" s="8"/>
      <x:c r="E181" s="75" t="n">
        <x:f>IF(COUNT(D11)=0,1,IF(D11&lt;0,1,0))</x:f>
        <x:v>0</x:v>
      </x:c>
      <x:c r="F181" s="75" t="n">
        <x:f>IF(COUNT(D11)=0,1,IF(D11&lt;0,1,0))</x:f>
        <x:v>0</x:v>
      </x:c>
      <x:c r="G181" s="75" t="n">
        <x:f>IF(COUNT(D11)=0,1,IF(D11&lt;0,1,0))</x:f>
        <x:v>0</x:v>
      </x:c>
      <x:c r="H181" s="75" t="n">
        <x:f>IF(COUNT(D11)=0,1,IF(D11&lt;0,1,0))</x:f>
        <x:v>0</x:v>
      </x:c>
      <x:c r="I181" s="75" t="n">
        <x:f>IF(COUNT(D11)=0,1,IF(D11&lt;0,1,0))</x:f>
        <x:v>0</x:v>
      </x:c>
      <x:c r="J181" s="1"/>
      <x:c r="K181" s="1"/>
    </x:row>
    <x:row r="182" ht="30" customHeight="1">
      <x:c r="A182" s="1"/>
      <x:c r="B182" s="1"/>
      <x:c r="C182" s="64" t="str">
        <x:v>Operating scale growth input outside bounds</x:v>
      </x:c>
      <x:c r="D182" s="8"/>
      <x:c r="E182" s="75" t="n">
        <x:f>IF(COUNT(E12)=0,1,IF(E12&lt;-1,1,0))</x:f>
        <x:v>0</x:v>
      </x:c>
      <x:c r="F182" s="75" t="n">
        <x:f>IF(COUNT(F12)=0,1,IF(F12&lt;-1,1,0))</x:f>
        <x:v>0</x:v>
      </x:c>
      <x:c r="G182" s="75" t="n">
        <x:f>IF(COUNT(G12)=0,1,IF(G12&lt;-1,1,0))</x:f>
        <x:v>0</x:v>
      </x:c>
      <x:c r="H182" s="75" t="n">
        <x:f>IF(COUNT(H12)=0,1,IF(H12&lt;-1,1,0))</x:f>
        <x:v>0</x:v>
      </x:c>
      <x:c r="I182" s="75" t="n">
        <x:f>IF(COUNT(I12)=0,1,IF(I12&lt;-1,1,0))</x:f>
        <x:v>0</x:v>
      </x:c>
      <x:c r="J182" s="1"/>
      <x:c r="K182" s="1"/>
    </x:row>
    <x:row r="183" ht="30" customHeight="1">
      <x:c r="A183" s="1"/>
      <x:c r="B183" s="1"/>
      <x:c r="C183" s="64" t="str">
        <x:v>Realization growth input outside bounds</x:v>
      </x:c>
      <x:c r="D183" s="8"/>
      <x:c r="E183" s="75" t="n">
        <x:f>IF(COUNT(E16)=0,1,IF(E16&lt;-1,1,0))</x:f>
        <x:v>0</x:v>
      </x:c>
      <x:c r="F183" s="75" t="n">
        <x:f>IF(COUNT(F16)=0,1,IF(F16&lt;-1,1,0))</x:f>
        <x:v>0</x:v>
      </x:c>
      <x:c r="G183" s="75" t="n">
        <x:f>IF(COUNT(G16)=0,1,IF(G16&lt;-1,1,0))</x:f>
        <x:v>0</x:v>
      </x:c>
      <x:c r="H183" s="75" t="n">
        <x:f>IF(COUNT(H16)=0,1,IF(H16&lt;-1,1,0))</x:f>
        <x:v>0</x:v>
      </x:c>
      <x:c r="I183" s="75" t="n">
        <x:f>IF(COUNT(I16)=0,1,IF(I16&lt;-1,1,0))</x:f>
        <x:v>0</x:v>
      </x:c>
      <x:c r="J183" s="1"/>
      <x:c r="K183" s="1"/>
    </x:row>
    <x:row r="184" ht="30" customHeight="1">
      <x:c r="A184" s="1"/>
      <x:c r="B184" s="1"/>
      <x:c r="C184" s="64" t="str">
        <x:v>Capacity utilization input outside bounds</x:v>
      </x:c>
      <x:c r="D184" s="8"/>
      <x:c r="E184" s="75" t="n">
        <x:f>IF(COUNT(E20)=0,1,IF(E20&lt;0,1,IF(E20&gt;1,1,0)))</x:f>
        <x:v>0</x:v>
      </x:c>
      <x:c r="F184" s="75" t="n">
        <x:f>IF(COUNT(F20)=0,1,IF(F20&lt;0,1,IF(F20&gt;1,1,0)))</x:f>
        <x:v>0</x:v>
      </x:c>
      <x:c r="G184" s="75" t="n">
        <x:f>IF(COUNT(G20)=0,1,IF(G20&lt;0,1,IF(G20&gt;1,1,0)))</x:f>
        <x:v>0</x:v>
      </x:c>
      <x:c r="H184" s="75" t="n">
        <x:f>IF(COUNT(H20)=0,1,IF(H20&lt;0,1,IF(H20&gt;1,1,0)))</x:f>
        <x:v>0</x:v>
      </x:c>
      <x:c r="I184" s="75" t="n">
        <x:f>IF(COUNT(I20)=0,1,IF(I20&lt;0,1,IF(I20&gt;1,1,0)))</x:f>
        <x:v>0</x:v>
      </x:c>
      <x:c r="J184" s="1"/>
      <x:c r="K184" s="1"/>
    </x:row>
    <x:row r="185" ht="30" customHeight="1">
      <x:c r="A185" s="1"/>
      <x:c r="B185" s="1"/>
      <x:c r="C185" s="64" t="str">
        <x:v>Manufacturing and materials / revenue input outside bounds</x:v>
      </x:c>
      <x:c r="D185" s="8"/>
      <x:c r="E185" s="75" t="n">
        <x:f>IF(COUNT(E21)=0,1,IF(E21&lt;0,1,0))</x:f>
        <x:v>0</x:v>
      </x:c>
      <x:c r="F185" s="75" t="n">
        <x:f>IF(COUNT(F21)=0,1,IF(F21&lt;0,1,0))</x:f>
        <x:v>0</x:v>
      </x:c>
      <x:c r="G185" s="75" t="n">
        <x:f>IF(COUNT(G21)=0,1,IF(G21&lt;0,1,0))</x:f>
        <x:v>0</x:v>
      </x:c>
      <x:c r="H185" s="75" t="n">
        <x:f>IF(COUNT(H21)=0,1,IF(H21&lt;0,1,0))</x:f>
        <x:v>0</x:v>
      </x:c>
      <x:c r="I185" s="75" t="n">
        <x:f>IF(COUNT(I21)=0,1,IF(I21&lt;0,1,0))</x:f>
        <x:v>0</x:v>
      </x:c>
      <x:c r="J185" s="1"/>
      <x:c r="K185" s="1"/>
    </x:row>
    <x:row r="186" ht="30" customHeight="1">
      <x:c r="A186" s="1"/>
      <x:c r="B186" s="1"/>
      <x:c r="C186" s="64" t="str">
        <x:v>Other cash operating costs / revenue input outside bounds</x:v>
      </x:c>
      <x:c r="D186" s="8"/>
      <x:c r="E186" s="75" t="n">
        <x:f>IF(COUNT(E22)=0,1,IF(E22&lt;0,1,0))</x:f>
        <x:v>0</x:v>
      </x:c>
      <x:c r="F186" s="75" t="n">
        <x:f>IF(COUNT(F22)=0,1,IF(F22&lt;0,1,0))</x:f>
        <x:v>0</x:v>
      </x:c>
      <x:c r="G186" s="75" t="n">
        <x:f>IF(COUNT(G22)=0,1,IF(G22&lt;0,1,0))</x:f>
        <x:v>0</x:v>
      </x:c>
      <x:c r="H186" s="75" t="n">
        <x:f>IF(COUNT(H22)=0,1,IF(H22&lt;0,1,0))</x:f>
        <x:v>0</x:v>
      </x:c>
      <x:c r="I186" s="75" t="n">
        <x:f>IF(COUNT(I22)=0,1,IF(I22&lt;0,1,0))</x:f>
        <x:v>0</x:v>
      </x:c>
      <x:c r="J186" s="1"/>
      <x:c r="K186" s="1"/>
    </x:row>
    <x:row r="187" ht="30" customHeight="1">
      <x:c r="A187" s="1"/>
      <x:c r="B187" s="1"/>
      <x:c r="C187" s="64" t="str">
        <x:v>Cash capex / revenue input outside bounds</x:v>
      </x:c>
      <x:c r="D187" s="8"/>
      <x:c r="E187" s="75" t="n">
        <x:f>IF(COUNT(E23)=0,1,IF(E23&lt;0,1,0))</x:f>
        <x:v>0</x:v>
      </x:c>
      <x:c r="F187" s="75" t="n">
        <x:f>IF(COUNT(F23)=0,1,IF(F23&lt;0,1,0))</x:f>
        <x:v>0</x:v>
      </x:c>
      <x:c r="G187" s="75" t="n">
        <x:f>IF(COUNT(G23)=0,1,IF(G23&lt;0,1,0))</x:f>
        <x:v>0</x:v>
      </x:c>
      <x:c r="H187" s="75" t="n">
        <x:f>IF(COUNT(H23)=0,1,IF(H23&lt;0,1,0))</x:f>
        <x:v>0</x:v>
      </x:c>
      <x:c r="I187" s="75" t="n">
        <x:f>IF(COUNT(I23)=0,1,IF(I23&lt;0,1,0))</x:f>
        <x:v>0</x:v>
      </x:c>
      <x:c r="J187" s="1"/>
      <x:c r="K187" s="1"/>
    </x:row>
    <x:row r="188" ht="30" customHeight="1">
      <x:c r="A188" s="1"/>
      <x:c r="B188" s="1"/>
      <x:c r="C188" s="64" t="str">
        <x:v>D&amp;A / opening net PP&amp;E input outside bounds</x:v>
      </x:c>
      <x:c r="D188" s="8"/>
      <x:c r="E188" s="75" t="n">
        <x:f>IF(COUNT(E24)=0,1,IF(E24&lt;0,1,IF(E24&gt;1,1,0)))</x:f>
        <x:v>0</x:v>
      </x:c>
      <x:c r="F188" s="75" t="n">
        <x:f>IF(COUNT(F24)=0,1,IF(F24&lt;0,1,IF(F24&gt;1,1,0)))</x:f>
        <x:v>0</x:v>
      </x:c>
      <x:c r="G188" s="75" t="n">
        <x:f>IF(COUNT(G24)=0,1,IF(G24&lt;0,1,IF(G24&gt;1,1,0)))</x:f>
        <x:v>0</x:v>
      </x:c>
      <x:c r="H188" s="75" t="n">
        <x:f>IF(COUNT(H24)=0,1,IF(H24&lt;0,1,IF(H24&gt;1,1,0)))</x:f>
        <x:v>0</x:v>
      </x:c>
      <x:c r="I188" s="75" t="n">
        <x:f>IF(COUNT(I24)=0,1,IF(I24&lt;0,1,IF(I24&gt;1,1,0)))</x:f>
        <x:v>0</x:v>
      </x:c>
      <x:c r="J188" s="1"/>
      <x:c r="K188" s="1"/>
    </x:row>
    <x:row r="189" ht="30" customHeight="1">
      <x:c r="A189" s="1"/>
      <x:c r="B189" s="1"/>
      <x:c r="C189" s="64" t="str">
        <x:v>Receivable days input outside bounds</x:v>
      </x:c>
      <x:c r="D189" s="8"/>
      <x:c r="E189" s="75" t="n">
        <x:f>IF(COUNT(E25)=0,1,IF(E25&lt;0,1,0))</x:f>
        <x:v>0</x:v>
      </x:c>
      <x:c r="F189" s="75" t="n">
        <x:f>IF(COUNT(F25)=0,1,IF(F25&lt;0,1,0))</x:f>
        <x:v>0</x:v>
      </x:c>
      <x:c r="G189" s="75" t="n">
        <x:f>IF(COUNT(G25)=0,1,IF(G25&lt;0,1,0))</x:f>
        <x:v>0</x:v>
      </x:c>
      <x:c r="H189" s="75" t="n">
        <x:f>IF(COUNT(H25)=0,1,IF(H25&lt;0,1,0))</x:f>
        <x:v>0</x:v>
      </x:c>
      <x:c r="I189" s="75" t="n">
        <x:f>IF(COUNT(I25)=0,1,IF(I25&lt;0,1,0))</x:f>
        <x:v>0</x:v>
      </x:c>
      <x:c r="J189" s="1"/>
      <x:c r="K189" s="1"/>
    </x:row>
    <x:row r="190" ht="30" customHeight="1">
      <x:c r="A190" s="1"/>
      <x:c r="B190" s="1"/>
      <x:c r="C190" s="64" t="str">
        <x:v>Inventory days input outside bounds</x:v>
      </x:c>
      <x:c r="D190" s="8"/>
      <x:c r="E190" s="75" t="n">
        <x:f>IF(COUNT(E26)=0,1,IF(E26&lt;0,1,0))</x:f>
        <x:v>0</x:v>
      </x:c>
      <x:c r="F190" s="75" t="n">
        <x:f>IF(COUNT(F26)=0,1,IF(F26&lt;0,1,0))</x:f>
        <x:v>0</x:v>
      </x:c>
      <x:c r="G190" s="75" t="n">
        <x:f>IF(COUNT(G26)=0,1,IF(G26&lt;0,1,0))</x:f>
        <x:v>0</x:v>
      </x:c>
      <x:c r="H190" s="75" t="n">
        <x:f>IF(COUNT(H26)=0,1,IF(H26&lt;0,1,0))</x:f>
        <x:v>0</x:v>
      </x:c>
      <x:c r="I190" s="75" t="n">
        <x:f>IF(COUNT(I26)=0,1,IF(I26&lt;0,1,0))</x:f>
        <x:v>0</x:v>
      </x:c>
      <x:c r="J190" s="1"/>
      <x:c r="K190" s="1"/>
    </x:row>
    <x:row r="191" ht="30" customHeight="1">
      <x:c r="A191" s="1"/>
      <x:c r="B191" s="1"/>
      <x:c r="C191" s="64" t="str">
        <x:v>Payable days input outside bounds</x:v>
      </x:c>
      <x:c r="D191" s="8"/>
      <x:c r="E191" s="75" t="n">
        <x:f>IF(COUNT(E27)=0,1,IF(E27&lt;0,1,0))</x:f>
        <x:v>0</x:v>
      </x:c>
      <x:c r="F191" s="75" t="n">
        <x:f>IF(COUNT(F27)=0,1,IF(F27&lt;0,1,0))</x:f>
        <x:v>0</x:v>
      </x:c>
      <x:c r="G191" s="75" t="n">
        <x:f>IF(COUNT(G27)=0,1,IF(G27&lt;0,1,0))</x:f>
        <x:v>0</x:v>
      </x:c>
      <x:c r="H191" s="75" t="n">
        <x:f>IF(COUNT(H27)=0,1,IF(H27&lt;0,1,0))</x:f>
        <x:v>0</x:v>
      </x:c>
      <x:c r="I191" s="75" t="n">
        <x:f>IF(COUNT(I27)=0,1,IF(I27&lt;0,1,0))</x:f>
        <x:v>0</x:v>
      </x:c>
      <x:c r="J191" s="1"/>
      <x:c r="K191" s="1"/>
    </x:row>
    <x:row r="192" ht="30" customHeight="1">
      <x:c r="A192" s="1"/>
      <x:c r="B192" s="1"/>
      <x:c r="C192" s="64" t="str">
        <x:v>Effective cash tax rate input outside bounds</x:v>
      </x:c>
      <x:c r="D192" s="8"/>
      <x:c r="E192" s="75" t="n">
        <x:f>IF(COUNT(E28)=0,1,IF(E28&lt;0,1,IF(E28&gt;1,1,0)))</x:f>
        <x:v>0</x:v>
      </x:c>
      <x:c r="F192" s="75" t="n">
        <x:f>IF(COUNT(F28)=0,1,IF(F28&lt;0,1,IF(F28&gt;1,1,0)))</x:f>
        <x:v>0</x:v>
      </x:c>
      <x:c r="G192" s="75" t="n">
        <x:f>IF(COUNT(G28)=0,1,IF(G28&lt;0,1,IF(G28&gt;1,1,0)))</x:f>
        <x:v>0</x:v>
      </x:c>
      <x:c r="H192" s="75" t="n">
        <x:f>IF(COUNT(H28)=0,1,IF(H28&lt;0,1,IF(H28&gt;1,1,0)))</x:f>
        <x:v>0</x:v>
      </x:c>
      <x:c r="I192" s="75" t="n">
        <x:f>IF(COUNT(I28)=0,1,IF(I28&lt;0,1,IF(I28&gt;1,1,0)))</x:f>
        <x:v>0</x:v>
      </x:c>
      <x:c r="J192" s="1"/>
      <x:c r="K192" s="1"/>
    </x:row>
    <x:row r="193" ht="30" customHeight="1">
      <x:c r="A193" s="1"/>
      <x:c r="B193" s="1"/>
      <x:c r="C193" s="64" t="str">
        <x:v>Interest on opening debt input outside bounds</x:v>
      </x:c>
      <x:c r="D193" s="8"/>
      <x:c r="E193" s="75" t="n">
        <x:f>IF(COUNT(E29)=0,1,IF(E29&lt;0,1,0))</x:f>
        <x:v>0</x:v>
      </x:c>
      <x:c r="F193" s="75" t="n">
        <x:f>IF(COUNT(F29)=0,1,IF(F29&lt;0,1,0))</x:f>
        <x:v>0</x:v>
      </x:c>
      <x:c r="G193" s="75" t="n">
        <x:f>IF(COUNT(G29)=0,1,IF(G29&lt;0,1,0))</x:f>
        <x:v>0</x:v>
      </x:c>
      <x:c r="H193" s="75" t="n">
        <x:f>IF(COUNT(H29)=0,1,IF(H29&lt;0,1,0))</x:f>
        <x:v>0</x:v>
      </x:c>
      <x:c r="I193" s="75" t="n">
        <x:f>IF(COUNT(I29)=0,1,IF(I29&lt;0,1,0))</x:f>
        <x:v>0</x:v>
      </x:c>
      <x:c r="J193" s="1"/>
      <x:c r="K193" s="1"/>
    </x:row>
    <x:row r="194" ht="30" customHeight="1">
      <x:c r="A194" s="1"/>
      <x:c r="B194" s="1"/>
      <x:c r="C194" s="64" t="str">
        <x:v>New borrowing input outside bounds</x:v>
      </x:c>
      <x:c r="D194" s="8"/>
      <x:c r="E194" s="75" t="n">
        <x:f>IF(COUNT(E30)=0,1,IF(E30&lt;0,1,0))</x:f>
        <x:v>0</x:v>
      </x:c>
      <x:c r="F194" s="75" t="n">
        <x:f>IF(COUNT(F30)=0,1,IF(F30&lt;0,1,0))</x:f>
        <x:v>0</x:v>
      </x:c>
      <x:c r="G194" s="75" t="n">
        <x:f>IF(COUNT(G30)=0,1,IF(G30&lt;0,1,0))</x:f>
        <x:v>0</x:v>
      </x:c>
      <x:c r="H194" s="75" t="n">
        <x:f>IF(COUNT(H30)=0,1,IF(H30&lt;0,1,0))</x:f>
        <x:v>0</x:v>
      </x:c>
      <x:c r="I194" s="75" t="n">
        <x:f>IF(COUNT(I30)=0,1,IF(I30&lt;0,1,0))</x:f>
        <x:v>0</x:v>
      </x:c>
      <x:c r="J194" s="1"/>
      <x:c r="K194" s="1"/>
    </x:row>
    <x:row r="195" ht="30" customHeight="1">
      <x:c r="A195" s="1"/>
      <x:c r="B195" s="1"/>
      <x:c r="C195" s="64" t="str">
        <x:v>Scheduled principal repayment input outside bounds</x:v>
      </x:c>
      <x:c r="D195" s="8"/>
      <x:c r="E195" s="75" t="n">
        <x:f>IF(COUNT(E31)=0,1,IF(E31&lt;0,1,0))</x:f>
        <x:v>0</x:v>
      </x:c>
      <x:c r="F195" s="75" t="n">
        <x:f>IF(COUNT(F31)=0,1,IF(F31&lt;0,1,0))</x:f>
        <x:v>0</x:v>
      </x:c>
      <x:c r="G195" s="75" t="n">
        <x:f>IF(COUNT(G31)=0,1,IF(G31&lt;0,1,0))</x:f>
        <x:v>0</x:v>
      </x:c>
      <x:c r="H195" s="75" t="n">
        <x:f>IF(COUNT(H31)=0,1,IF(H31&lt;0,1,0))</x:f>
        <x:v>0</x:v>
      </x:c>
      <x:c r="I195" s="75" t="n">
        <x:f>IF(COUNT(I31)=0,1,IF(I31&lt;0,1,0))</x:f>
        <x:v>0</x:v>
      </x:c>
      <x:c r="J195" s="1"/>
      <x:c r="K195" s="1"/>
    </x:row>
    <x:row r="196" ht="30" customHeight="1">
      <x:c r="A196" s="1"/>
      <x:c r="B196" s="1"/>
      <x:c r="C196" s="64" t="str">
        <x:v>Dividend payout on positive PAT input outside bounds</x:v>
      </x:c>
      <x:c r="D196" s="8"/>
      <x:c r="E196" s="75" t="n">
        <x:f>IF(COUNT(E32)=0,1,IF(E32&lt;0,1,IF(E32&gt;1,1,0)))</x:f>
        <x:v>0</x:v>
      </x:c>
      <x:c r="F196" s="75" t="n">
        <x:f>IF(COUNT(F32)=0,1,IF(F32&lt;0,1,IF(F32&gt;1,1,0)))</x:f>
        <x:v>0</x:v>
      </x:c>
      <x:c r="G196" s="75" t="n">
        <x:f>IF(COUNT(G32)=0,1,IF(G32&lt;0,1,IF(G32&gt;1,1,0)))</x:f>
        <x:v>0</x:v>
      </x:c>
      <x:c r="H196" s="75" t="n">
        <x:f>IF(COUNT(H32)=0,1,IF(H32&lt;0,1,IF(H32&gt;1,1,0)))</x:f>
        <x:v>0</x:v>
      </x:c>
      <x:c r="I196" s="75" t="n">
        <x:f>IF(COUNT(I32)=0,1,IF(I32&lt;0,1,IF(I32&gt;1,1,0)))</x:f>
        <x:v>0</x:v>
      </x:c>
      <x:c r="J196" s="1"/>
      <x:c r="K196" s="1"/>
    </x:row>
    <x:row r="197" ht="30" customHeight="1">
      <x:c r="A197" s="1"/>
      <x:c r="B197" s="1"/>
      <x:c r="C197" s="64" t="str">
        <x:v>Opening net PP&amp;E input outside bounds</x:v>
      </x:c>
      <x:c r="D197" s="8"/>
      <x:c r="E197" s="75" t="n">
        <x:f>IF(COUNT(D34)=0,1,IF(D34&lt;0,1,0))</x:f>
        <x:v>0</x:v>
      </x:c>
      <x:c r="F197" s="75" t="n">
        <x:f>IF(COUNT(D34)=0,1,IF(D34&lt;0,1,0))</x:f>
        <x:v>0</x:v>
      </x:c>
      <x:c r="G197" s="75" t="n">
        <x:f>IF(COUNT(D34)=0,1,IF(D34&lt;0,1,0))</x:f>
        <x:v>0</x:v>
      </x:c>
      <x:c r="H197" s="75" t="n">
        <x:f>IF(COUNT(D34)=0,1,IF(D34&lt;0,1,0))</x:f>
        <x:v>0</x:v>
      </x:c>
      <x:c r="I197" s="75" t="n">
        <x:f>IF(COUNT(D34)=0,1,IF(D34&lt;0,1,0))</x:f>
        <x:v>0</x:v>
      </x:c>
      <x:c r="J197" s="1"/>
      <x:c r="K197" s="1"/>
    </x:row>
    <x:row r="198" ht="30" customHeight="1">
      <x:c r="A198" s="1"/>
      <x:c r="B198" s="1"/>
      <x:c r="C198" s="64" t="str">
        <x:v>Opening debt input outside bounds</x:v>
      </x:c>
      <x:c r="D198" s="8"/>
      <x:c r="E198" s="75" t="n">
        <x:f>IF(COUNT(D35)=0,1,IF(D35&lt;0,1,0))</x:f>
        <x:v>0</x:v>
      </x:c>
      <x:c r="F198" s="75" t="n">
        <x:f>IF(COUNT(D35)=0,1,IF(D35&lt;0,1,0))</x:f>
        <x:v>0</x:v>
      </x:c>
      <x:c r="G198" s="75" t="n">
        <x:f>IF(COUNT(D35)=0,1,IF(D35&lt;0,1,0))</x:f>
        <x:v>0</x:v>
      </x:c>
      <x:c r="H198" s="75" t="n">
        <x:f>IF(COUNT(D35)=0,1,IF(D35&lt;0,1,0))</x:f>
        <x:v>0</x:v>
      </x:c>
      <x:c r="I198" s="75" t="n">
        <x:f>IF(COUNT(D35)=0,1,IF(D35&lt;0,1,0))</x:f>
        <x:v>0</x:v>
      </x:c>
      <x:c r="J198" s="1"/>
      <x:c r="K198" s="1"/>
    </x:row>
    <x:row r="199" ht="30" customHeight="1">
      <x:c r="A199" s="1"/>
      <x:c r="B199" s="1"/>
      <x:c r="C199" s="64" t="str">
        <x:v>Opening cash input outside bounds</x:v>
      </x:c>
      <x:c r="D199" s="8"/>
      <x:c r="E199" s="75" t="n">
        <x:f>IF(COUNT(D36)=0,1,IF(D36&lt;0,1,0))</x:f>
        <x:v>0</x:v>
      </x:c>
      <x:c r="F199" s="75" t="n">
        <x:f>IF(COUNT(D36)=0,1,IF(D36&lt;0,1,0))</x:f>
        <x:v>0</x:v>
      </x:c>
      <x:c r="G199" s="75" t="n">
        <x:f>IF(COUNT(D36)=0,1,IF(D36&lt;0,1,0))</x:f>
        <x:v>0</x:v>
      </x:c>
      <x:c r="H199" s="75" t="n">
        <x:f>IF(COUNT(D36)=0,1,IF(D36&lt;0,1,0))</x:f>
        <x:v>0</x:v>
      </x:c>
      <x:c r="I199" s="75" t="n">
        <x:f>IF(COUNT(D36)=0,1,IF(D36&lt;0,1,0))</x:f>
        <x:v>0</x:v>
      </x:c>
      <x:c r="J199" s="1"/>
      <x:c r="K199" s="1"/>
    </x:row>
    <x:row r="200" ht="30" customHeight="1">
      <x:c r="A200" s="1"/>
      <x:c r="B200" s="1"/>
      <x:c r="C200" s="64" t="str">
        <x:v>Diluted shares (crore) input outside bounds</x:v>
      </x:c>
      <x:c r="D200" s="8"/>
      <x:c r="E200" s="75" t="n">
        <x:f>IF(COUNT(D38)=0,1,IF(D38&lt;0,1,0))</x:f>
        <x:v>0</x:v>
      </x:c>
      <x:c r="F200" s="75" t="n">
        <x:f>IF(COUNT(D38)=0,1,IF(D38&lt;0,1,0))</x:f>
        <x:v>0</x:v>
      </x:c>
      <x:c r="G200" s="75" t="n">
        <x:f>IF(COUNT(D38)=0,1,IF(D38&lt;0,1,0))</x:f>
        <x:v>0</x:v>
      </x:c>
      <x:c r="H200" s="75" t="n">
        <x:f>IF(COUNT(D38)=0,1,IF(D38&lt;0,1,0))</x:f>
        <x:v>0</x:v>
      </x:c>
      <x:c r="I200" s="75" t="n">
        <x:f>IF(COUNT(D38)=0,1,IF(D38&lt;0,1,0))</x:f>
        <x:v>0</x:v>
      </x:c>
      <x:c r="J200" s="1"/>
      <x:c r="K200" s="1"/>
    </x:row>
    <x:row r="201" ht="30" customHeight="1">
      <x:c r="A201" s="1"/>
      <x:c r="B201" s="1"/>
      <x:c r="C201" s="64" t="str">
        <x:v>WACC input outside bounds</x:v>
      </x:c>
      <x:c r="D201" s="8"/>
      <x:c r="E201" s="75" t="n">
        <x:f>IF(COUNT(D39)=0,1,IF(D39&lt;0,1,0))</x:f>
        <x:v>0</x:v>
      </x:c>
      <x:c r="F201" s="75" t="n">
        <x:f>IF(COUNT(D39)=0,1,IF(D39&lt;0,1,0))</x:f>
        <x:v>0</x:v>
      </x:c>
      <x:c r="G201" s="75" t="n">
        <x:f>IF(COUNT(D39)=0,1,IF(D39&lt;0,1,0))</x:f>
        <x:v>0</x:v>
      </x:c>
      <x:c r="H201" s="75" t="n">
        <x:f>IF(COUNT(D39)=0,1,IF(D39&lt;0,1,0))</x:f>
        <x:v>0</x:v>
      </x:c>
      <x:c r="I201" s="75" t="n">
        <x:f>IF(COUNT(D39)=0,1,IF(D39&lt;0,1,0))</x:f>
        <x:v>0</x:v>
      </x:c>
      <x:c r="J201" s="1"/>
      <x:c r="K201" s="1"/>
    </x:row>
    <x:row r="202" ht="30" customHeight="1">
      <x:c r="A202" s="1"/>
      <x:c r="B202" s="1"/>
      <x:c r="C202" s="64" t="str">
        <x:v>Terminal growth input outside bounds</x:v>
      </x:c>
      <x:c r="D202" s="8"/>
      <x:c r="E202" s="75" t="n">
        <x:f>IF(COUNT(D40)=0,1,IF(D40&lt;-1,1,0))</x:f>
        <x:v>0</x:v>
      </x:c>
      <x:c r="F202" s="75" t="n">
        <x:f>IF(COUNT(D40)=0,1,IF(D40&lt;-1,1,0))</x:f>
        <x:v>0</x:v>
      </x:c>
      <x:c r="G202" s="75" t="n">
        <x:f>IF(COUNT(D40)=0,1,IF(D40&lt;-1,1,0))</x:f>
        <x:v>0</x:v>
      </x:c>
      <x:c r="H202" s="75" t="n">
        <x:f>IF(COUNT(D40)=0,1,IF(D40&lt;-1,1,0))</x:f>
        <x:v>0</x:v>
      </x:c>
      <x:c r="I202" s="75" t="n">
        <x:f>IF(COUNT(D40)=0,1,IF(D40&lt;-1,1,0))</x:f>
        <x:v>0</x:v>
      </x:c>
      <x:c r="J202" s="1"/>
      <x:c r="K202" s="1"/>
    </x:row>
    <x:row r="203" ht="30" customHeight="1">
      <x:c r="A203" s="1"/>
      <x:c r="B203" s="1"/>
      <x:c r="C203" s="64" t="str">
        <x:v>Terminal incremental ROIC input outside bounds</x:v>
      </x:c>
      <x:c r="D203" s="8"/>
      <x:c r="E203" s="75" t="n">
        <x:f>IF(COUNT(D41)=0,1,IF(D41&lt;0,1,0))</x:f>
        <x:v>0</x:v>
      </x:c>
      <x:c r="F203" s="75" t="n">
        <x:f>IF(COUNT(D41)=0,1,IF(D41&lt;0,1,0))</x:f>
        <x:v>0</x:v>
      </x:c>
      <x:c r="G203" s="75" t="n">
        <x:f>IF(COUNT(D41)=0,1,IF(D41&lt;0,1,0))</x:f>
        <x:v>0</x:v>
      </x:c>
      <x:c r="H203" s="75" t="n">
        <x:f>IF(COUNT(D41)=0,1,IF(D41&lt;0,1,0))</x:f>
        <x:v>0</x:v>
      </x:c>
      <x:c r="I203" s="75" t="n">
        <x:f>IF(COUNT(D41)=0,1,IF(D41&lt;0,1,0))</x:f>
        <x:v>0</x:v>
      </x:c>
      <x:c r="J203" s="1"/>
      <x:c r="K203" s="1"/>
    </x:row>
    <x:row r="204" ht="30" customHeight="1">
      <x:c r="A204" s="1"/>
      <x:c r="B204" s="1"/>
      <x:c r="C204" s="64" t="str">
        <x:v>Forward EV / EBITDA input outside bounds</x:v>
      </x:c>
      <x:c r="D204" s="8"/>
      <x:c r="E204" s="75" t="n">
        <x:f>IF(COUNT(D42)=0,1,IF(D42&lt;0,1,0))</x:f>
        <x:v>0</x:v>
      </x:c>
      <x:c r="F204" s="75" t="n">
        <x:f>IF(COUNT(D42)=0,1,IF(D42&lt;0,1,0))</x:f>
        <x:v>0</x:v>
      </x:c>
      <x:c r="G204" s="75" t="n">
        <x:f>IF(COUNT(D42)=0,1,IF(D42&lt;0,1,0))</x:f>
        <x:v>0</x:v>
      </x:c>
      <x:c r="H204" s="75" t="n">
        <x:f>IF(COUNT(D42)=0,1,IF(D42&lt;0,1,0))</x:f>
        <x:v>0</x:v>
      </x:c>
      <x:c r="I204" s="75" t="n">
        <x:f>IF(COUNT(D42)=0,1,IF(D42&lt;0,1,0))</x:f>
        <x:v>0</x:v>
      </x:c>
      <x:c r="J204" s="1"/>
      <x:c r="K204" s="1"/>
    </x:row>
    <x:row r="205" ht="30" customHeight="1">
      <x:c r="A205" s="1"/>
      <x:c r="B205" s="1"/>
      <x:c r="C205" s="64" t="str">
        <x:v>Terminal valuation assumptions invalid</x:v>
      </x:c>
      <x:c r="D205" s="8"/>
      <x:c r="E205" s="75" t="n">
        <x:f>IF(D39&lt;=D40,1,IF(D41&lt;=0,1,IF(D40&gt;D41,1,0)))</x:f>
        <x:v>0</x:v>
      </x:c>
      <x:c r="F205" s="75" t="n">
        <x:f>IF(D39&lt;=D40,1,IF(D41&lt;=0,1,IF(D40&gt;D41,1,0)))</x:f>
        <x:v>0</x:v>
      </x:c>
      <x:c r="G205" s="75" t="n">
        <x:f>IF(D39&lt;=D40,1,IF(D41&lt;=0,1,IF(D40&gt;D41,1,0)))</x:f>
        <x:v>0</x:v>
      </x:c>
      <x:c r="H205" s="75" t="n">
        <x:f>IF(D39&lt;=D40,1,IF(D41&lt;=0,1,IF(D40&gt;D41,1,0)))</x:f>
        <x:v>0</x:v>
      </x:c>
      <x:c r="I205" s="75" t="n">
        <x:f>IF(D39&lt;=D40,1,IF(D41&lt;=0,1,IF(D40&gt;D41,1,0)))</x:f>
        <x:v>0</x:v>
      </x:c>
      <x:c r="J205" s="1"/>
      <x:c r="K205" s="1"/>
    </x:row>
    <x:row r="206" ht="30" customHeight="1">
      <x:c r="A206" s="1"/>
      <x:c r="B206" s="1"/>
      <x:c r="C206" s="64"/>
      <x:c r="D206" s="8"/>
      <x:c r="E206" s="8"/>
      <x:c r="F206" s="8"/>
      <x:c r="G206" s="8"/>
      <x:c r="H206" s="8"/>
      <x:c r="I206" s="8"/>
      <x:c r="J206" s="1"/>
      <x:c r="K206" s="1"/>
    </x:row>
    <x:row r="207" ht="30" customHeight="1">
      <x:c r="A207" s="1"/>
      <x:c r="B207" s="1"/>
      <x:c r="C207" s="64"/>
      <x:c r="D207" s="8"/>
      <x:c r="E207" s="8"/>
      <x:c r="F207" s="8"/>
      <x:c r="G207" s="8"/>
      <x:c r="H207" s="8"/>
      <x:c r="I207" s="8"/>
      <x:c r="J207" s="1"/>
      <x:c r="K207" s="1"/>
    </x:row>
    <x:row r="208" ht="30" customHeight="1">
      <x:c r="A208" s="1"/>
      <x:c r="B208" s="1"/>
      <x:c r="C208" s="64"/>
      <x:c r="D208" s="8"/>
      <x:c r="E208" s="8"/>
      <x:c r="F208" s="8"/>
      <x:c r="G208" s="8"/>
      <x:c r="H208" s="8"/>
      <x:c r="I208" s="8"/>
      <x:c r="J208" s="1"/>
      <x:c r="K208" s="1"/>
    </x:row>
    <x:row r="209" ht="30" customHeight="1">
      <x:c r="A209" s="1"/>
      <x:c r="B209" s="1"/>
      <x:c r="C209" s="64"/>
      <x:c r="D209" s="8"/>
      <x:c r="E209" s="8"/>
      <x:c r="F209" s="8"/>
      <x:c r="G209" s="8"/>
      <x:c r="H209" s="8"/>
      <x:c r="I209" s="8"/>
      <x:c r="J209" s="1"/>
      <x:c r="K209" s="1"/>
    </x:row>
    <x:row r="210" ht="30" customHeight="1">
      <x:c r="A210" s="1"/>
      <x:c r="B210" s="1"/>
      <x:c r="C210" s="64"/>
      <x:c r="D210" s="8"/>
      <x:c r="E210" s="8"/>
      <x:c r="F210" s="8"/>
      <x:c r="G210" s="8"/>
      <x:c r="H210" s="8"/>
      <x:c r="I210" s="8"/>
      <x:c r="J210" s="1"/>
      <x:c r="K210" s="1"/>
    </x:row>
    <x:row r="211" ht="30" customHeight="1">
      <x:c r="C211" s="64"/>
      <x:c r="D211" s="63"/>
      <x:c r="E211" s="63"/>
      <x:c r="F211" s="63"/>
      <x:c r="G211" s="63"/>
      <x:c r="H211" s="63"/>
      <x:c r="I211" s="63"/>
    </x:row>
    <x:row r="212" ht="30" customHeight="1">
      <x:c r="C212" s="64"/>
      <x:c r="D212" s="63"/>
      <x:c r="E212" s="63"/>
      <x:c r="F212" s="63"/>
      <x:c r="G212" s="63"/>
      <x:c r="H212" s="63"/>
      <x:c r="I212" s="63"/>
    </x:row>
    <x:row r="213" ht="30" customHeight="1">
      <x:c r="C213" s="64"/>
      <x:c r="D213" s="63"/>
      <x:c r="E213" s="63"/>
      <x:c r="F213" s="63"/>
      <x:c r="G213" s="63"/>
      <x:c r="H213" s="63"/>
      <x:c r="I213" s="63"/>
    </x:row>
    <x:row r="214" ht="30" customHeight="1">
      <x:c r="C214" s="64"/>
      <x:c r="D214" s="63"/>
      <x:c r="E214" s="63"/>
      <x:c r="F214" s="63"/>
      <x:c r="G214" s="63"/>
      <x:c r="H214" s="63"/>
      <x:c r="I214" s="63"/>
    </x:row>
    <x:row r="215" ht="30" customHeight="1">
      <x:c r="C215" s="64"/>
      <x:c r="D215" s="63"/>
      <x:c r="E215" s="63"/>
      <x:c r="F215" s="63"/>
      <x:c r="G215" s="63"/>
      <x:c r="H215" s="63"/>
      <x:c r="I215" s="63"/>
    </x:row>
    <x:row r="216" ht="30" customHeight="1">
      <x:c r="C216" s="64"/>
      <x:c r="D216" s="63"/>
      <x:c r="E216" s="63"/>
      <x:c r="F216" s="63"/>
      <x:c r="G216" s="63"/>
      <x:c r="H216" s="63"/>
      <x:c r="I216" s="63"/>
    </x:row>
    <x:row r="217" ht="30" customHeight="1">
      <x:c r="C217" s="64"/>
      <x:c r="D217" s="63"/>
      <x:c r="E217" s="63"/>
      <x:c r="F217" s="63"/>
      <x:c r="G217" s="63"/>
      <x:c r="H217" s="63"/>
      <x:c r="I217" s="63"/>
    </x:row>
    <x:row r="218" ht="30" customHeight="1">
      <x:c r="C218" s="64"/>
      <x:c r="D218" s="63"/>
      <x:c r="E218" s="63"/>
      <x:c r="F218" s="63"/>
      <x:c r="G218" s="63"/>
      <x:c r="H218" s="63"/>
      <x:c r="I218" s="63"/>
    </x:row>
    <x:row r="219" ht="30" customHeight="1">
      <x:c r="C219" s="64"/>
      <x:c r="D219" s="63"/>
      <x:c r="E219" s="63"/>
      <x:c r="F219" s="63"/>
      <x:c r="G219" s="63"/>
      <x:c r="H219" s="63"/>
      <x:c r="I219" s="63"/>
    </x:row>
    <x:row r="220" ht="30" customHeight="1">
      <x:c r="C220" s="64"/>
      <x:c r="D220" s="63"/>
      <x:c r="E220" s="63"/>
      <x:c r="F220" s="63"/>
      <x:c r="G220" s="63"/>
      <x:c r="H220" s="63"/>
      <x:c r="I220" s="63"/>
    </x:row>
    <x:row r="221" ht="30" customHeight="1">
      <x:c r="C221" s="64"/>
      <x:c r="D221" s="63"/>
      <x:c r="E221" s="63"/>
      <x:c r="F221" s="63"/>
      <x:c r="G221" s="63"/>
      <x:c r="H221" s="63"/>
      <x:c r="I221" s="63"/>
    </x:row>
    <x:row r="222" ht="30" customHeight="1">
      <x:c r="C222" s="64"/>
      <x:c r="D222" s="63"/>
      <x:c r="E222" s="63"/>
      <x:c r="F222" s="63"/>
      <x:c r="G222" s="63"/>
      <x:c r="H222" s="63"/>
      <x:c r="I222" s="63"/>
    </x:row>
    <x:row r="223" ht="30" customHeight="1">
      <x:c r="C223" s="64"/>
      <x:c r="D223" s="63"/>
      <x:c r="E223" s="63"/>
      <x:c r="F223" s="63"/>
      <x:c r="G223" s="63"/>
      <x:c r="H223" s="63"/>
      <x:c r="I223" s="63"/>
    </x:row>
    <x:row r="224" ht="30" customHeight="1">
      <x:c r="C224" s="64"/>
      <x:c r="D224" s="63"/>
      <x:c r="E224" s="63"/>
      <x:c r="F224" s="63"/>
      <x:c r="G224" s="63"/>
      <x:c r="H224" s="63"/>
      <x:c r="I224" s="63"/>
    </x:row>
    <x:row r="225" ht="30" customHeight="1">
      <x:c r="C225" s="64"/>
      <x:c r="D225" s="63"/>
      <x:c r="E225" s="63"/>
      <x:c r="F225" s="63"/>
      <x:c r="G225" s="63"/>
      <x:c r="H225" s="63"/>
      <x:c r="I225" s="63"/>
    </x:row>
    <x:row r="226" ht="30" customHeight="1">
      <x:c r="C226" s="64"/>
      <x:c r="D226" s="63"/>
      <x:c r="E226" s="63"/>
      <x:c r="F226" s="63"/>
      <x:c r="G226" s="63"/>
      <x:c r="H226" s="63"/>
      <x:c r="I226" s="63"/>
    </x:row>
    <x:row r="227" ht="30" customHeight="1">
      <x:c r="C227" s="64"/>
      <x:c r="D227" s="63"/>
      <x:c r="E227" s="63"/>
      <x:c r="F227" s="63"/>
      <x:c r="G227" s="63"/>
      <x:c r="H227" s="63"/>
      <x:c r="I227" s="63"/>
    </x:row>
    <x:row r="228" ht="30" customHeight="1">
      <x:c r="C228" s="64"/>
      <x:c r="D228" s="63"/>
      <x:c r="E228" s="63"/>
      <x:c r="F228" s="63"/>
      <x:c r="G228" s="63"/>
      <x:c r="H228" s="63"/>
      <x:c r="I228" s="63"/>
    </x:row>
    <x:row r="229" ht="30" customHeight="1">
      <x:c r="C229" s="64"/>
      <x:c r="D229" s="63"/>
      <x:c r="E229" s="63"/>
      <x:c r="F229" s="63"/>
      <x:c r="G229" s="63"/>
      <x:c r="H229" s="63"/>
      <x:c r="I229" s="63"/>
    </x:row>
    <x:row r="230" ht="30" customHeight="1">
      <x:c r="C230" s="64"/>
      <x:c r="D230" s="63"/>
      <x:c r="E230" s="63"/>
      <x:c r="F230" s="63"/>
      <x:c r="G230" s="63"/>
      <x:c r="H230" s="63"/>
      <x:c r="I230" s="63"/>
    </x:row>
    <x:row r="231" ht="30" customHeight="1">
      <x:c r="C231" s="64"/>
      <x:c r="D231" s="63"/>
      <x:c r="E231" s="63"/>
      <x:c r="F231" s="63"/>
      <x:c r="G231" s="63"/>
      <x:c r="H231" s="63"/>
      <x:c r="I231" s="63"/>
    </x:row>
    <x:row r="232" ht="30" customHeight="1">
      <x:c r="C232" s="64"/>
      <x:c r="D232" s="63"/>
      <x:c r="E232" s="63"/>
      <x:c r="F232" s="63"/>
      <x:c r="G232" s="63"/>
      <x:c r="H232" s="63"/>
      <x:c r="I232" s="63"/>
    </x:row>
    <x:row r="233" ht="30" customHeight="1">
      <x:c r="C233" s="64"/>
      <x:c r="D233" s="63"/>
      <x:c r="E233" s="63"/>
      <x:c r="F233" s="63"/>
      <x:c r="G233" s="63"/>
      <x:c r="H233" s="63"/>
      <x:c r="I233" s="63"/>
    </x:row>
    <x:row r="234" ht="30" customHeight="1">
      <x:c r="C234" s="64"/>
      <x:c r="D234" s="63"/>
      <x:c r="E234" s="63"/>
      <x:c r="F234" s="63"/>
      <x:c r="G234" s="63"/>
      <x:c r="H234" s="63"/>
      <x:c r="I234" s="63"/>
    </x:row>
    <x:row r="235" ht="30" customHeight="1">
      <x:c r="C235" s="64"/>
      <x:c r="D235" s="63"/>
      <x:c r="E235" s="63"/>
      <x:c r="F235" s="63"/>
      <x:c r="G235" s="63"/>
      <x:c r="H235" s="63"/>
      <x:c r="I235" s="63"/>
    </x:row>
    <x:row r="236" ht="30" customHeight="1">
      <x:c r="C236" s="64"/>
      <x:c r="D236" s="63"/>
      <x:c r="E236" s="63"/>
      <x:c r="F236" s="63"/>
      <x:c r="G236" s="63"/>
      <x:c r="H236" s="63"/>
      <x:c r="I236" s="63"/>
    </x:row>
    <x:row r="237" ht="30" customHeight="1">
      <x:c r="C237" s="64"/>
      <x:c r="D237" s="63"/>
      <x:c r="E237" s="63"/>
      <x:c r="F237" s="63"/>
      <x:c r="G237" s="63"/>
      <x:c r="H237" s="63"/>
      <x:c r="I237" s="63"/>
    </x:row>
    <x:row r="238" ht="30" customHeight="1">
      <x:c r="C238" s="64"/>
      <x:c r="D238" s="63"/>
      <x:c r="E238" s="63"/>
      <x:c r="F238" s="63"/>
      <x:c r="G238" s="63"/>
      <x:c r="H238" s="63"/>
      <x:c r="I238" s="63"/>
    </x:row>
    <x:row r="239" ht="30" customHeight="1">
      <x:c r="C239" s="64"/>
      <x:c r="D239" s="63"/>
      <x:c r="E239" s="63"/>
      <x:c r="F239" s="63"/>
      <x:c r="G239" s="63"/>
      <x:c r="H239" s="63"/>
      <x:c r="I239" s="63"/>
    </x:row>
    <x:row r="240" ht="30" customHeight="1">
      <x:c r="C240" s="64"/>
      <x:c r="D240" s="63"/>
      <x:c r="E240" s="63"/>
      <x:c r="F240" s="63"/>
      <x:c r="G240" s="63"/>
      <x:c r="H240" s="63"/>
      <x:c r="I240" s="63"/>
    </x:row>
    <x:row r="241" ht="30" customHeight="1">
      <x:c r="C241" s="64"/>
      <x:c r="D241" s="63"/>
      <x:c r="E241" s="63"/>
      <x:c r="F241" s="63"/>
      <x:c r="G241" s="63"/>
      <x:c r="H241" s="63"/>
      <x:c r="I241" s="63"/>
    </x:row>
    <x:row r="242" ht="30" customHeight="1">
      <x:c r="C242" s="64"/>
      <x:c r="D242" s="63"/>
      <x:c r="E242" s="63"/>
      <x:c r="F242" s="63"/>
      <x:c r="G242" s="63"/>
      <x:c r="H242" s="63"/>
      <x:c r="I242" s="63"/>
    </x:row>
    <x:row r="243" ht="30" customHeight="1">
      <x:c r="C243" s="64"/>
      <x:c r="D243" s="63"/>
      <x:c r="E243" s="63"/>
      <x:c r="F243" s="63"/>
      <x:c r="G243" s="63"/>
      <x:c r="H243" s="63"/>
      <x:c r="I243" s="63"/>
    </x:row>
    <x:row r="244" ht="30" customHeight="1">
      <x:c r="C244" s="64"/>
      <x:c r="D244" s="63"/>
      <x:c r="E244" s="63"/>
      <x:c r="F244" s="63"/>
      <x:c r="G244" s="63"/>
      <x:c r="H244" s="63"/>
      <x:c r="I244" s="63"/>
    </x:row>
    <x:row r="245" ht="30" customHeight="1">
      <x:c r="C245" s="64"/>
      <x:c r="D245" s="63"/>
      <x:c r="E245" s="63"/>
      <x:c r="F245" s="63"/>
      <x:c r="G245" s="63"/>
      <x:c r="H245" s="63"/>
      <x:c r="I245" s="63"/>
    </x:row>
    <x:row r="246" ht="30" customHeight="1">
      <x:c r="C246" s="64"/>
      <x:c r="D246" s="63"/>
      <x:c r="E246" s="63"/>
      <x:c r="F246" s="63"/>
      <x:c r="G246" s="63"/>
      <x:c r="H246" s="63"/>
      <x:c r="I246" s="63"/>
    </x:row>
    <x:row r="247" ht="30" customHeight="1">
      <x:c r="C247" s="64"/>
      <x:c r="D247" s="63"/>
      <x:c r="E247" s="63"/>
      <x:c r="F247" s="63"/>
      <x:c r="G247" s="63"/>
      <x:c r="H247" s="63"/>
      <x:c r="I247" s="63"/>
    </x:row>
    <x:row r="248" ht="30" customHeight="1">
      <x:c r="C248" s="64"/>
      <x:c r="D248" s="63"/>
      <x:c r="E248" s="63"/>
      <x:c r="F248" s="63"/>
      <x:c r="G248" s="63"/>
      <x:c r="H248" s="63"/>
      <x:c r="I248" s="63"/>
    </x:row>
    <x:row r="249" ht="30" customHeight="1">
      <x:c r="C249" s="64"/>
      <x:c r="D249" s="63"/>
      <x:c r="E249" s="63"/>
      <x:c r="F249" s="63"/>
      <x:c r="G249" s="63"/>
      <x:c r="H249" s="63"/>
      <x:c r="I249" s="63"/>
    </x:row>
    <x:row r="250" ht="30" customHeight="1">
      <x:c r="C250" s="64"/>
      <x:c r="D250" s="63"/>
      <x:c r="E250" s="63"/>
      <x:c r="F250" s="63"/>
      <x:c r="G250" s="63"/>
      <x:c r="H250" s="63"/>
      <x:c r="I250" s="63"/>
    </x:row>
    <x:row r="251" ht="30" customHeight="1">
      <x:c r="C251" s="64"/>
      <x:c r="D251" s="63"/>
      <x:c r="E251" s="63"/>
      <x:c r="F251" s="63"/>
      <x:c r="G251" s="63"/>
      <x:c r="H251" s="63"/>
      <x:c r="I251" s="63"/>
    </x:row>
    <x:row r="252" ht="30" customHeight="1">
      <x:c r="C252" s="64"/>
      <x:c r="D252" s="63"/>
      <x:c r="E252" s="63"/>
      <x:c r="F252" s="63"/>
      <x:c r="G252" s="63"/>
      <x:c r="H252" s="63"/>
      <x:c r="I252" s="63"/>
    </x:row>
    <x:row r="253" ht="30" customHeight="1">
      <x:c r="C253" s="64"/>
      <x:c r="D253" s="63"/>
      <x:c r="E253" s="63"/>
      <x:c r="F253" s="63"/>
      <x:c r="G253" s="63"/>
      <x:c r="H253" s="63"/>
      <x:c r="I253" s="63"/>
    </x:row>
    <x:row r="254" ht="30" customHeight="1">
      <x:c r="C254" s="64"/>
      <x:c r="D254" s="63"/>
      <x:c r="E254" s="63"/>
      <x:c r="F254" s="63"/>
      <x:c r="G254" s="63"/>
      <x:c r="H254" s="63"/>
      <x:c r="I254" s="63"/>
    </x:row>
    <x:row r="255" ht="30" customHeight="1">
      <x:c r="C255" s="64"/>
      <x:c r="D255" s="63"/>
      <x:c r="E255" s="63"/>
      <x:c r="F255" s="63"/>
      <x:c r="G255" s="63"/>
      <x:c r="H255" s="63"/>
      <x:c r="I255" s="63"/>
    </x:row>
    <x:row r="256" ht="30" customHeight="1">
      <x:c r="C256" s="64"/>
      <x:c r="D256" s="63"/>
      <x:c r="E256" s="63"/>
      <x:c r="F256" s="63"/>
      <x:c r="G256" s="63"/>
      <x:c r="H256" s="63"/>
      <x:c r="I256" s="63"/>
    </x:row>
    <x:row r="257" ht="30" customHeight="1">
      <x:c r="C257" s="64"/>
      <x:c r="D257" s="63"/>
      <x:c r="E257" s="63"/>
      <x:c r="F257" s="63"/>
      <x:c r="G257" s="63"/>
      <x:c r="H257" s="63"/>
      <x:c r="I257" s="63"/>
    </x:row>
    <x:row r="258" ht="30" customHeight="1">
      <x:c r="C258" s="64"/>
      <x:c r="D258" s="63"/>
      <x:c r="E258" s="63"/>
      <x:c r="F258" s="63"/>
      <x:c r="G258" s="63"/>
      <x:c r="H258" s="63"/>
      <x:c r="I258" s="63"/>
    </x:row>
    <x:row r="259" ht="30" customHeight="1">
      <x:c r="C259" s="64"/>
      <x:c r="D259" s="63"/>
      <x:c r="E259" s="63"/>
      <x:c r="F259" s="63"/>
      <x:c r="G259" s="63"/>
      <x:c r="H259" s="63"/>
      <x:c r="I259" s="63"/>
    </x:row>
    <x:row r="260" ht="30" customHeight="1">
      <x:c r="C260" s="64"/>
      <x:c r="D260" s="63"/>
      <x:c r="E260" s="63"/>
      <x:c r="F260" s="63"/>
      <x:c r="G260" s="63"/>
      <x:c r="H260" s="63"/>
      <x:c r="I260" s="63"/>
    </x:row>
    <x:row r="261" ht="30" customHeight="1">
      <x:c r="C261" s="64"/>
      <x:c r="D261" s="63"/>
      <x:c r="E261" s="63"/>
      <x:c r="F261" s="63"/>
      <x:c r="G261" s="63"/>
      <x:c r="H261" s="63"/>
      <x:c r="I261" s="63"/>
    </x:row>
    <x:row r="262" ht="30" customHeight="1">
      <x:c r="C262" s="64"/>
      <x:c r="D262" s="63"/>
      <x:c r="E262" s="63"/>
      <x:c r="F262" s="63"/>
      <x:c r="G262" s="63"/>
      <x:c r="H262" s="63"/>
      <x:c r="I262" s="63"/>
    </x:row>
    <x:row r="263" ht="30" customHeight="1">
      <x:c r="C263" s="64"/>
      <x:c r="D263" s="63"/>
      <x:c r="E263" s="63"/>
      <x:c r="F263" s="63"/>
      <x:c r="G263" s="63"/>
      <x:c r="H263" s="63"/>
      <x:c r="I263" s="63"/>
    </x:row>
    <x:row r="264" ht="30" customHeight="1">
      <x:c r="C264" s="64"/>
      <x:c r="D264" s="63"/>
      <x:c r="E264" s="63"/>
      <x:c r="F264" s="63"/>
      <x:c r="G264" s="63"/>
      <x:c r="H264" s="63"/>
      <x:c r="I264" s="63"/>
    </x:row>
    <x:row r="265" ht="30" customHeight="1">
      <x:c r="C265" s="64"/>
      <x:c r="D265" s="63"/>
      <x:c r="E265" s="63"/>
      <x:c r="F265" s="63"/>
      <x:c r="G265" s="63"/>
      <x:c r="H265" s="63"/>
      <x:c r="I265" s="63"/>
    </x:row>
    <x:row r="266" ht="30" customHeight="1">
      <x:c r="C266" s="64"/>
      <x:c r="D266" s="63"/>
      <x:c r="E266" s="63"/>
      <x:c r="F266" s="63"/>
      <x:c r="G266" s="63"/>
      <x:c r="H266" s="63"/>
      <x:c r="I266" s="63"/>
    </x:row>
    <x:row r="267" ht="30" customHeight="1">
      <x:c r="C267" s="64"/>
      <x:c r="D267" s="63"/>
      <x:c r="E267" s="63"/>
      <x:c r="F267" s="63"/>
      <x:c r="G267" s="63"/>
      <x:c r="H267" s="63"/>
      <x:c r="I267" s="63"/>
    </x:row>
    <x:row r="268" ht="30" customHeight="1">
      <x:c r="C268" s="64"/>
      <x:c r="D268" s="63"/>
      <x:c r="E268" s="63"/>
      <x:c r="F268" s="63"/>
      <x:c r="G268" s="63"/>
      <x:c r="H268" s="63"/>
      <x:c r="I268" s="63"/>
    </x:row>
    <x:row r="269" ht="30" customHeight="1">
      <x:c r="C269" s="64"/>
      <x:c r="D269" s="63"/>
      <x:c r="E269" s="63"/>
      <x:c r="F269" s="63"/>
      <x:c r="G269" s="63"/>
      <x:c r="H269" s="63"/>
      <x:c r="I269" s="63"/>
    </x:row>
    <x:row r="270" ht="30" customHeight="1">
      <x:c r="C270" s="64"/>
      <x:c r="D270" s="63"/>
      <x:c r="E270" s="63"/>
      <x:c r="F270" s="63"/>
      <x:c r="G270" s="63"/>
      <x:c r="H270" s="63"/>
      <x:c r="I270" s="63"/>
    </x:row>
    <x:row r="271" ht="30" customHeight="1">
      <x:c r="C271" s="64"/>
      <x:c r="D271" s="63"/>
      <x:c r="E271" s="63"/>
      <x:c r="F271" s="63"/>
      <x:c r="G271" s="63"/>
      <x:c r="H271" s="63"/>
      <x:c r="I271" s="63"/>
    </x:row>
    <x:row r="272" ht="30" customHeight="1">
      <x:c r="C272" s="64"/>
      <x:c r="D272" s="63"/>
      <x:c r="E272" s="63"/>
      <x:c r="F272" s="63"/>
      <x:c r="G272" s="63"/>
      <x:c r="H272" s="63"/>
      <x:c r="I272" s="63"/>
    </x:row>
    <x:row r="273" ht="30" customHeight="1">
      <x:c r="C273" s="64"/>
      <x:c r="D273" s="63"/>
      <x:c r="E273" s="63"/>
      <x:c r="F273" s="63"/>
      <x:c r="G273" s="63"/>
      <x:c r="H273" s="63"/>
      <x:c r="I273" s="63"/>
    </x:row>
    <x:row r="274" ht="30" customHeight="1">
      <x:c r="C274" s="64"/>
      <x:c r="D274" s="63"/>
      <x:c r="E274" s="63"/>
      <x:c r="F274" s="63"/>
      <x:c r="G274" s="63"/>
      <x:c r="H274" s="63"/>
      <x:c r="I274" s="63"/>
    </x:row>
    <x:row r="275" ht="30" customHeight="1">
      <x:c r="C275" s="64"/>
      <x:c r="D275" s="63"/>
      <x:c r="E275" s="63"/>
      <x:c r="F275" s="63"/>
      <x:c r="G275" s="63"/>
      <x:c r="H275" s="63"/>
      <x:c r="I275" s="63"/>
    </x:row>
    <x:row r="276" ht="30" customHeight="1">
      <x:c r="C276" s="64"/>
      <x:c r="D276" s="63"/>
      <x:c r="E276" s="63"/>
      <x:c r="F276" s="63"/>
      <x:c r="G276" s="63"/>
      <x:c r="H276" s="63"/>
      <x:c r="I276" s="63"/>
    </x:row>
    <x:row r="277" ht="30" customHeight="1">
      <x:c r="C277" s="64"/>
      <x:c r="D277" s="63"/>
      <x:c r="E277" s="63"/>
      <x:c r="F277" s="63"/>
      <x:c r="G277" s="63"/>
      <x:c r="H277" s="63"/>
      <x:c r="I277" s="63"/>
    </x:row>
    <x:row r="278" ht="30" customHeight="1">
      <x:c r="C278" s="64"/>
      <x:c r="D278" s="63"/>
      <x:c r="E278" s="63"/>
      <x:c r="F278" s="63"/>
      <x:c r="G278" s="63"/>
      <x:c r="H278" s="63"/>
      <x:c r="I278" s="63"/>
    </x:row>
    <x:row r="279" ht="30" customHeight="1">
      <x:c r="C279" s="64"/>
      <x:c r="D279" s="63"/>
      <x:c r="E279" s="63"/>
      <x:c r="F279" s="63"/>
      <x:c r="G279" s="63"/>
      <x:c r="H279" s="63"/>
      <x:c r="I279" s="63"/>
    </x:row>
    <x:row r="280" ht="30" customHeight="1">
      <x:c r="C280" s="64"/>
      <x:c r="D280" s="63"/>
      <x:c r="E280" s="63"/>
      <x:c r="F280" s="63"/>
      <x:c r="G280" s="63"/>
      <x:c r="H280" s="63"/>
      <x:c r="I280" s="63"/>
    </x:row>
    <x:row r="281" ht="30" customHeight="1">
      <x:c r="C281" s="64"/>
      <x:c r="D281" s="63"/>
      <x:c r="E281" s="63"/>
      <x:c r="F281" s="63"/>
      <x:c r="G281" s="63"/>
      <x:c r="H281" s="63"/>
      <x:c r="I281" s="63"/>
    </x:row>
    <x:row r="282" ht="30" customHeight="1">
      <x:c r="C282" s="64"/>
      <x:c r="D282" s="63"/>
      <x:c r="E282" s="63"/>
      <x:c r="F282" s="63"/>
      <x:c r="G282" s="63"/>
      <x:c r="H282" s="63"/>
      <x:c r="I282" s="63"/>
    </x:row>
    <x:row r="283" ht="30" customHeight="1">
      <x:c r="C283" s="64"/>
      <x:c r="D283" s="63"/>
      <x:c r="E283" s="63"/>
      <x:c r="F283" s="63"/>
      <x:c r="G283" s="63"/>
      <x:c r="H283" s="63"/>
      <x:c r="I283" s="63"/>
    </x:row>
    <x:row r="284" ht="30" customHeight="1">
      <x:c r="C284" s="64"/>
      <x:c r="D284" s="63"/>
      <x:c r="E284" s="63"/>
      <x:c r="F284" s="63"/>
      <x:c r="G284" s="63"/>
      <x:c r="H284" s="63"/>
      <x:c r="I284" s="63"/>
    </x:row>
    <x:row r="285" ht="30" customHeight="1">
      <x:c r="C285" s="64"/>
      <x:c r="D285" s="63"/>
      <x:c r="E285" s="63"/>
      <x:c r="F285" s="63"/>
      <x:c r="G285" s="63"/>
      <x:c r="H285" s="63"/>
      <x:c r="I285" s="63"/>
    </x:row>
    <x:row r="286" ht="30" customHeight="1">
      <x:c r="C286" s="64"/>
      <x:c r="D286" s="63"/>
      <x:c r="E286" s="63"/>
      <x:c r="F286" s="63"/>
      <x:c r="G286" s="63"/>
      <x:c r="H286" s="63"/>
      <x:c r="I286" s="63"/>
    </x:row>
    <x:row r="287" ht="30" customHeight="1">
      <x:c r="C287" s="64"/>
      <x:c r="D287" s="63"/>
      <x:c r="E287" s="63"/>
      <x:c r="F287" s="63"/>
      <x:c r="G287" s="63"/>
      <x:c r="H287" s="63"/>
      <x:c r="I287" s="63"/>
    </x:row>
    <x:row r="288" ht="30" customHeight="1">
      <x:c r="C288" s="64"/>
      <x:c r="D288" s="63"/>
      <x:c r="E288" s="63"/>
      <x:c r="F288" s="63"/>
      <x:c r="G288" s="63"/>
      <x:c r="H288" s="63"/>
      <x:c r="I288" s="63"/>
    </x:row>
    <x:row r="289" ht="30" customHeight="1">
      <x:c r="C289" s="64"/>
      <x:c r="D289" s="63"/>
      <x:c r="E289" s="63"/>
      <x:c r="F289" s="63"/>
      <x:c r="G289" s="63"/>
      <x:c r="H289" s="63"/>
      <x:c r="I289" s="63"/>
    </x:row>
    <x:row r="290" ht="30" customHeight="1">
      <x:c r="C290" s="64"/>
      <x:c r="D290" s="63"/>
      <x:c r="E290" s="63"/>
      <x:c r="F290" s="63"/>
      <x:c r="G290" s="63"/>
      <x:c r="H290" s="63"/>
      <x:c r="I290" s="63"/>
    </x:row>
    <x:row r="291" ht="30" customHeight="1">
      <x:c r="C291" s="64"/>
      <x:c r="D291" s="63"/>
      <x:c r="E291" s="63"/>
      <x:c r="F291" s="63"/>
      <x:c r="G291" s="63"/>
      <x:c r="H291" s="63"/>
      <x:c r="I291" s="63"/>
    </x:row>
    <x:row r="292" ht="30" customHeight="1">
      <x:c r="C292" s="64"/>
      <x:c r="D292" s="63"/>
      <x:c r="E292" s="63"/>
      <x:c r="F292" s="63"/>
      <x:c r="G292" s="63"/>
      <x:c r="H292" s="63"/>
      <x:c r="I292" s="63"/>
    </x:row>
    <x:row r="293" ht="30" customHeight="1">
      <x:c r="C293" s="64"/>
      <x:c r="D293" s="63"/>
      <x:c r="E293" s="63"/>
      <x:c r="F293" s="63"/>
      <x:c r="G293" s="63"/>
      <x:c r="H293" s="63"/>
      <x:c r="I293" s="63"/>
    </x:row>
    <x:row r="294" ht="30" customHeight="1">
      <x:c r="C294" s="64"/>
      <x:c r="D294" s="63"/>
      <x:c r="E294" s="63"/>
      <x:c r="F294" s="63"/>
      <x:c r="G294" s="63"/>
      <x:c r="H294" s="63"/>
      <x:c r="I294" s="63"/>
    </x:row>
    <x:row r="295" ht="30" customHeight="1">
      <x:c r="C295" s="64"/>
      <x:c r="D295" s="63"/>
      <x:c r="E295" s="63"/>
      <x:c r="F295" s="63"/>
      <x:c r="G295" s="63"/>
      <x:c r="H295" s="63"/>
      <x:c r="I295" s="63"/>
    </x:row>
    <x:row r="296" ht="30" customHeight="1">
      <x:c r="C296" s="64"/>
      <x:c r="D296" s="63"/>
      <x:c r="E296" s="63"/>
      <x:c r="F296" s="63"/>
      <x:c r="G296" s="63"/>
      <x:c r="H296" s="63"/>
      <x:c r="I296" s="63"/>
    </x:row>
    <x:row r="297" ht="30" customHeight="1">
      <x:c r="C297" s="64"/>
      <x:c r="D297" s="63"/>
      <x:c r="E297" s="63"/>
      <x:c r="F297" s="63"/>
      <x:c r="G297" s="63"/>
      <x:c r="H297" s="63"/>
      <x:c r="I297" s="63"/>
    </x:row>
    <x:row r="298" ht="30" customHeight="1">
      <x:c r="C298" s="64"/>
      <x:c r="D298" s="63"/>
      <x:c r="E298" s="63"/>
      <x:c r="F298" s="63"/>
      <x:c r="G298" s="63"/>
      <x:c r="H298" s="63"/>
      <x:c r="I298" s="63"/>
    </x:row>
    <x:row r="299" ht="30" customHeight="1">
      <x:c r="C299" s="64"/>
      <x:c r="D299" s="63"/>
      <x:c r="E299" s="63"/>
      <x:c r="F299" s="63"/>
      <x:c r="G299" s="63"/>
      <x:c r="H299" s="63"/>
      <x:c r="I299" s="63"/>
    </x:row>
    <x:row r="300" ht="30" customHeight="1">
      <x:c r="C300" s="64"/>
      <x:c r="D300" s="63"/>
      <x:c r="E300" s="63"/>
      <x:c r="F300" s="63"/>
      <x:c r="G300" s="63"/>
      <x:c r="H300" s="63"/>
      <x:c r="I300" s="63"/>
    </x:row>
    <x:row r="301" ht="30" customHeight="1">
      <x:c r="C301" s="64"/>
      <x:c r="D301" s="63"/>
      <x:c r="E301" s="63"/>
      <x:c r="F301" s="63"/>
      <x:c r="G301" s="63"/>
      <x:c r="H301" s="63"/>
      <x:c r="I301" s="63"/>
    </x:row>
    <x:row r="302" ht="30" customHeight="1">
      <x:c r="C302" s="64"/>
      <x:c r="D302" s="63"/>
      <x:c r="E302" s="63"/>
      <x:c r="F302" s="63"/>
      <x:c r="G302" s="63"/>
      <x:c r="H302" s="63"/>
      <x:c r="I302" s="63"/>
    </x:row>
    <x:row r="303" ht="30" customHeight="1">
      <x:c r="C303" s="64"/>
      <x:c r="D303" s="63"/>
      <x:c r="E303" s="63"/>
      <x:c r="F303" s="63"/>
      <x:c r="G303" s="63"/>
      <x:c r="H303" s="63"/>
      <x:c r="I303" s="63"/>
    </x:row>
    <x:row r="304" ht="30" customHeight="1">
      <x:c r="C304" s="64"/>
      <x:c r="D304" s="63"/>
      <x:c r="E304" s="63"/>
      <x:c r="F304" s="63"/>
      <x:c r="G304" s="63"/>
      <x:c r="H304" s="63"/>
      <x:c r="I304" s="63"/>
    </x:row>
    <x:row r="305" ht="30" customHeight="1">
      <x:c r="C305" s="64"/>
      <x:c r="D305" s="63"/>
      <x:c r="E305" s="63"/>
      <x:c r="F305" s="63"/>
      <x:c r="G305" s="63"/>
      <x:c r="H305" s="63"/>
      <x:c r="I305" s="63"/>
    </x:row>
    <x:row r="306" ht="30" customHeight="1">
      <x:c r="C306" s="64"/>
      <x:c r="D306" s="63"/>
      <x:c r="E306" s="63"/>
      <x:c r="F306" s="63"/>
      <x:c r="G306" s="63"/>
      <x:c r="H306" s="63"/>
      <x:c r="I306" s="63"/>
    </x:row>
    <x:row r="307" ht="30" customHeight="1">
      <x:c r="C307" s="64"/>
      <x:c r="D307" s="63"/>
      <x:c r="E307" s="63"/>
      <x:c r="F307" s="63"/>
      <x:c r="G307" s="63"/>
      <x:c r="H307" s="63"/>
      <x:c r="I307" s="63"/>
    </x:row>
    <x:row r="308" ht="30" customHeight="1">
      <x:c r="C308" s="64"/>
      <x:c r="D308" s="63"/>
      <x:c r="E308" s="63"/>
      <x:c r="F308" s="63"/>
      <x:c r="G308" s="63"/>
      <x:c r="H308" s="63"/>
      <x:c r="I308" s="63"/>
    </x:row>
    <x:row r="309" ht="30" customHeight="1">
      <x:c r="C309" s="64"/>
      <x:c r="D309" s="63"/>
      <x:c r="E309" s="63"/>
      <x:c r="F309" s="63"/>
      <x:c r="G309" s="63"/>
      <x:c r="H309" s="63"/>
      <x:c r="I309" s="63"/>
    </x:row>
    <x:row r="310" ht="30" customHeight="1">
      <x:c r="C310" s="64"/>
      <x:c r="D310" s="63"/>
      <x:c r="E310" s="63"/>
      <x:c r="F310" s="63"/>
      <x:c r="G310" s="63"/>
      <x:c r="H310" s="63"/>
      <x:c r="I310" s="63"/>
    </x:row>
    <x:row r="311" ht="30" customHeight="1">
      <x:c r="C311" s="64"/>
      <x:c r="D311" s="63"/>
      <x:c r="E311" s="63"/>
      <x:c r="F311" s="63"/>
      <x:c r="G311" s="63"/>
      <x:c r="H311" s="63"/>
      <x:c r="I311" s="63"/>
    </x:row>
    <x:row r="312" ht="30" customHeight="1">
      <x:c r="C312" s="64"/>
      <x:c r="D312" s="63"/>
      <x:c r="E312" s="63"/>
      <x:c r="F312" s="63"/>
      <x:c r="G312" s="63"/>
      <x:c r="H312" s="63"/>
      <x:c r="I312" s="63"/>
    </x:row>
    <x:row r="313" ht="30" customHeight="1">
      <x:c r="C313" s="64"/>
      <x:c r="D313" s="63"/>
      <x:c r="E313" s="63"/>
      <x:c r="F313" s="63"/>
      <x:c r="G313" s="63"/>
      <x:c r="H313" s="63"/>
      <x:c r="I313" s="63"/>
    </x:row>
    <x:row r="314" ht="30" customHeight="1">
      <x:c r="C314" s="64"/>
      <x:c r="D314" s="63"/>
      <x:c r="E314" s="63"/>
      <x:c r="F314" s="63"/>
      <x:c r="G314" s="63"/>
      <x:c r="H314" s="63"/>
      <x:c r="I314" s="63"/>
    </x:row>
    <x:row r="315" ht="30" customHeight="1">
      <x:c r="C315" s="64"/>
      <x:c r="D315" s="63"/>
      <x:c r="E315" s="63"/>
      <x:c r="F315" s="63"/>
      <x:c r="G315" s="63"/>
      <x:c r="H315" s="63"/>
      <x:c r="I315" s="63"/>
    </x:row>
    <x:row r="316" ht="30" customHeight="1">
      <x:c r="C316" s="64"/>
      <x:c r="D316" s="63"/>
      <x:c r="E316" s="63"/>
      <x:c r="F316" s="63"/>
      <x:c r="G316" s="63"/>
      <x:c r="H316" s="63"/>
      <x:c r="I316" s="63"/>
    </x:row>
    <x:row r="317" ht="30" customHeight="1">
      <x:c r="C317" s="64"/>
      <x:c r="D317" s="63"/>
      <x:c r="E317" s="63"/>
      <x:c r="F317" s="63"/>
      <x:c r="G317" s="63"/>
      <x:c r="H317" s="63"/>
      <x:c r="I317" s="63"/>
    </x:row>
    <x:row r="318" ht="30" customHeight="1">
      <x:c r="C318" s="64"/>
      <x:c r="D318" s="63"/>
      <x:c r="E318" s="63"/>
      <x:c r="F318" s="63"/>
      <x:c r="G318" s="63"/>
      <x:c r="H318" s="63"/>
      <x:c r="I318" s="63"/>
    </x:row>
    <x:row r="319" ht="30" customHeight="1">
      <x:c r="C319" s="64"/>
      <x:c r="D319" s="63"/>
      <x:c r="E319" s="63"/>
      <x:c r="F319" s="63"/>
      <x:c r="G319" s="63"/>
      <x:c r="H319" s="63"/>
      <x:c r="I319" s="63"/>
    </x:row>
    <x:row r="320" ht="30" customHeight="1">
      <x:c r="C320" s="64"/>
      <x:c r="D320" s="63"/>
      <x:c r="E320" s="63"/>
      <x:c r="F320" s="63"/>
      <x:c r="G320" s="63"/>
      <x:c r="H320" s="63"/>
      <x:c r="I320" s="63"/>
    </x:row>
    <x:row r="321" ht="30" customHeight="1">
      <x:c r="C321" s="64"/>
      <x:c r="D321" s="63"/>
      <x:c r="E321" s="63"/>
      <x:c r="F321" s="63"/>
      <x:c r="G321" s="63"/>
      <x:c r="H321" s="63"/>
      <x:c r="I321" s="63"/>
    </x:row>
    <x:row r="322" ht="30" customHeight="1">
      <x:c r="C322" s="64"/>
      <x:c r="D322" s="63"/>
      <x:c r="E322" s="63"/>
      <x:c r="F322" s="63"/>
      <x:c r="G322" s="63"/>
      <x:c r="H322" s="63"/>
      <x:c r="I322" s="63"/>
    </x:row>
    <x:row r="323" ht="30" customHeight="1">
      <x:c r="C323" s="64"/>
      <x:c r="D323" s="63"/>
      <x:c r="E323" s="63"/>
      <x:c r="F323" s="63"/>
      <x:c r="G323" s="63"/>
      <x:c r="H323" s="63"/>
      <x:c r="I323" s="63"/>
    </x:row>
    <x:row r="324" ht="30" customHeight="1">
      <x:c r="C324" s="64"/>
      <x:c r="D324" s="63"/>
      <x:c r="E324" s="63"/>
      <x:c r="F324" s="63"/>
      <x:c r="G324" s="63"/>
      <x:c r="H324" s="63"/>
      <x:c r="I324" s="63"/>
    </x:row>
    <x:row r="325" ht="30" customHeight="1">
      <x:c r="C325" s="64"/>
      <x:c r="D325" s="63"/>
      <x:c r="E325" s="63"/>
      <x:c r="F325" s="63"/>
      <x:c r="G325" s="63"/>
      <x:c r="H325" s="63"/>
      <x:c r="I325" s="63"/>
    </x:row>
    <x:row r="326" ht="30" customHeight="1">
      <x:c r="C326" s="64"/>
      <x:c r="D326" s="63"/>
      <x:c r="E326" s="63"/>
      <x:c r="F326" s="63"/>
      <x:c r="G326" s="63"/>
      <x:c r="H326" s="63"/>
      <x:c r="I326" s="63"/>
    </x:row>
    <x:row r="327" ht="30" customHeight="1">
      <x:c r="C327" s="64"/>
      <x:c r="D327" s="63"/>
      <x:c r="E327" s="63"/>
      <x:c r="F327" s="63"/>
      <x:c r="G327" s="63"/>
      <x:c r="H327" s="63"/>
      <x:c r="I327" s="63"/>
    </x:row>
    <x:row r="328" ht="30" customHeight="1">
      <x:c r="C328" s="64"/>
      <x:c r="D328" s="63"/>
      <x:c r="E328" s="63"/>
      <x:c r="F328" s="63"/>
      <x:c r="G328" s="63"/>
      <x:c r="H328" s="63"/>
      <x:c r="I328" s="63"/>
    </x:row>
    <x:row r="329" ht="30" customHeight="1">
      <x:c r="C329" s="64"/>
      <x:c r="D329" s="63"/>
      <x:c r="E329" s="63"/>
      <x:c r="F329" s="63"/>
      <x:c r="G329" s="63"/>
      <x:c r="H329" s="63"/>
      <x:c r="I329" s="63"/>
    </x:row>
    <x:row r="330" ht="30" customHeight="1">
      <x:c r="C330" s="64"/>
      <x:c r="D330" s="63"/>
      <x:c r="E330" s="63"/>
      <x:c r="F330" s="63"/>
      <x:c r="G330" s="63"/>
      <x:c r="H330" s="63"/>
      <x:c r="I330" s="63"/>
    </x:row>
    <x:row r="331" ht="30" customHeight="1">
      <x:c r="C331" s="64"/>
      <x:c r="D331" s="63"/>
      <x:c r="E331" s="63"/>
      <x:c r="F331" s="63"/>
      <x:c r="G331" s="63"/>
      <x:c r="H331" s="63"/>
      <x:c r="I331" s="63"/>
    </x:row>
    <x:row r="332" ht="30" customHeight="1">
      <x:c r="C332" s="64"/>
      <x:c r="D332" s="63"/>
      <x:c r="E332" s="63"/>
      <x:c r="F332" s="63"/>
      <x:c r="G332" s="63"/>
      <x:c r="H332" s="63"/>
      <x:c r="I332" s="63"/>
    </x:row>
    <x:row r="333" ht="30" customHeight="1">
      <x:c r="C333" s="64"/>
      <x:c r="D333" s="63"/>
      <x:c r="E333" s="63"/>
      <x:c r="F333" s="63"/>
      <x:c r="G333" s="63"/>
      <x:c r="H333" s="63"/>
      <x:c r="I333" s="63"/>
    </x:row>
    <x:row r="334" ht="30" customHeight="1">
      <x:c r="C334" s="64"/>
      <x:c r="D334" s="63"/>
      <x:c r="E334" s="63"/>
      <x:c r="F334" s="63"/>
      <x:c r="G334" s="63"/>
      <x:c r="H334" s="63"/>
      <x:c r="I334" s="63"/>
    </x:row>
    <x:row r="335" ht="30" customHeight="1">
      <x:c r="C335" s="64"/>
      <x:c r="D335" s="63"/>
      <x:c r="E335" s="63"/>
      <x:c r="F335" s="63"/>
      <x:c r="G335" s="63"/>
      <x:c r="H335" s="63"/>
      <x:c r="I335" s="63"/>
    </x:row>
    <x:row r="336" ht="30" customHeight="1">
      <x:c r="C336" s="64"/>
      <x:c r="D336" s="63"/>
      <x:c r="E336" s="63"/>
      <x:c r="F336" s="63"/>
      <x:c r="G336" s="63"/>
      <x:c r="H336" s="63"/>
      <x:c r="I336" s="63"/>
    </x:row>
    <x:row r="337" ht="30" customHeight="1">
      <x:c r="C337" s="64"/>
      <x:c r="D337" s="63"/>
      <x:c r="E337" s="63"/>
      <x:c r="F337" s="63"/>
      <x:c r="G337" s="63"/>
      <x:c r="H337" s="63"/>
      <x:c r="I337" s="63"/>
    </x:row>
    <x:row r="338" ht="30" customHeight="1">
      <x:c r="C338" s="64"/>
      <x:c r="D338" s="63"/>
      <x:c r="E338" s="63"/>
      <x:c r="F338" s="63"/>
      <x:c r="G338" s="63"/>
      <x:c r="H338" s="63"/>
      <x:c r="I338" s="63"/>
    </x:row>
    <x:row r="339" ht="30" customHeight="1">
      <x:c r="C339" s="64"/>
      <x:c r="D339" s="63"/>
      <x:c r="E339" s="63"/>
      <x:c r="F339" s="63"/>
      <x:c r="G339" s="63"/>
      <x:c r="H339" s="63"/>
      <x:c r="I339" s="63"/>
    </x:row>
    <x:row r="340" ht="30" customHeight="1">
      <x:c r="C340" s="64"/>
      <x:c r="D340" s="63"/>
      <x:c r="E340" s="63"/>
      <x:c r="F340" s="63"/>
      <x:c r="G340" s="63"/>
      <x:c r="H340" s="63"/>
      <x:c r="I340" s="63"/>
    </x:row>
    <x:row r="341" ht="30" customHeight="1">
      <x:c r="C341" s="64"/>
      <x:c r="D341" s="63"/>
      <x:c r="E341" s="63"/>
      <x:c r="F341" s="63"/>
      <x:c r="G341" s="63"/>
      <x:c r="H341" s="63"/>
      <x:c r="I341" s="63"/>
    </x:row>
    <x:row r="342" ht="30" customHeight="1">
      <x:c r="C342" s="64"/>
      <x:c r="D342" s="63"/>
      <x:c r="E342" s="63"/>
      <x:c r="F342" s="63"/>
      <x:c r="G342" s="63"/>
      <x:c r="H342" s="63"/>
      <x:c r="I342" s="63"/>
    </x:row>
    <x:row r="343" ht="30" customHeight="1">
      <x:c r="C343" s="64"/>
      <x:c r="D343" s="63"/>
      <x:c r="E343" s="63"/>
      <x:c r="F343" s="63"/>
      <x:c r="G343" s="63"/>
      <x:c r="H343" s="63"/>
      <x:c r="I343" s="63"/>
    </x:row>
    <x:row r="344" ht="30" customHeight="1">
      <x:c r="C344" s="64"/>
      <x:c r="D344" s="63"/>
      <x:c r="E344" s="63"/>
      <x:c r="F344" s="63"/>
      <x:c r="G344" s="63"/>
      <x:c r="H344" s="63"/>
      <x:c r="I344" s="63"/>
    </x:row>
    <x:row r="345" ht="30" customHeight="1">
      <x:c r="C345" s="64"/>
      <x:c r="D345" s="63"/>
      <x:c r="E345" s="63"/>
      <x:c r="F345" s="63"/>
      <x:c r="G345" s="63"/>
      <x:c r="H345" s="63"/>
      <x:c r="I345" s="63"/>
    </x:row>
    <x:row r="346" ht="30" customHeight="1">
      <x:c r="C346" s="64"/>
      <x:c r="D346" s="63"/>
      <x:c r="E346" s="63"/>
      <x:c r="F346" s="63"/>
      <x:c r="G346" s="63"/>
      <x:c r="H346" s="63"/>
      <x:c r="I346" s="63"/>
    </x:row>
    <x:row r="347" ht="30" customHeight="1">
      <x:c r="C347" s="64"/>
      <x:c r="D347" s="63"/>
      <x:c r="E347" s="63"/>
      <x:c r="F347" s="63"/>
      <x:c r="G347" s="63"/>
      <x:c r="H347" s="63"/>
      <x:c r="I347" s="63"/>
    </x:row>
    <x:row r="348" ht="30" customHeight="1">
      <x:c r="C348" s="64"/>
      <x:c r="D348" s="63"/>
      <x:c r="E348" s="63"/>
      <x:c r="F348" s="63"/>
      <x:c r="G348" s="63"/>
      <x:c r="H348" s="63"/>
      <x:c r="I348" s="63"/>
    </x:row>
    <x:row r="349" ht="30" customHeight="1">
      <x:c r="C349" s="64"/>
      <x:c r="D349" s="63"/>
      <x:c r="E349" s="63"/>
      <x:c r="F349" s="63"/>
      <x:c r="G349" s="63"/>
      <x:c r="H349" s="63"/>
      <x:c r="I349" s="63"/>
    </x:row>
    <x:row r="350" ht="30" customHeight="1">
      <x:c r="C350" s="64"/>
      <x:c r="D350" s="63"/>
      <x:c r="E350" s="63"/>
      <x:c r="F350" s="63"/>
      <x:c r="G350" s="63"/>
      <x:c r="H350" s="63"/>
      <x:c r="I350" s="63"/>
    </x:row>
    <x:row r="351" ht="30" customHeight="1">
      <x:c r="C351" s="64"/>
      <x:c r="D351" s="63"/>
      <x:c r="E351" s="63"/>
      <x:c r="F351" s="63"/>
      <x:c r="G351" s="63"/>
      <x:c r="H351" s="63"/>
      <x:c r="I351" s="63"/>
    </x:row>
    <x:row r="352" ht="30" customHeight="1">
      <x:c r="C352" s="64"/>
      <x:c r="D352" s="63"/>
      <x:c r="E352" s="63"/>
      <x:c r="F352" s="63"/>
      <x:c r="G352" s="63"/>
      <x:c r="H352" s="63"/>
      <x:c r="I352" s="63"/>
    </x:row>
    <x:row r="353" ht="30" customHeight="1">
      <x:c r="C353" s="64"/>
      <x:c r="D353" s="63"/>
      <x:c r="E353" s="63"/>
      <x:c r="F353" s="63"/>
      <x:c r="G353" s="63"/>
      <x:c r="H353" s="63"/>
      <x:c r="I353" s="63"/>
    </x:row>
    <x:row r="354" ht="30" customHeight="1">
      <x:c r="C354" s="64"/>
      <x:c r="D354" s="63"/>
      <x:c r="E354" s="63"/>
      <x:c r="F354" s="63"/>
      <x:c r="G354" s="63"/>
      <x:c r="H354" s="63"/>
      <x:c r="I354" s="63"/>
    </x:row>
    <x:row r="355" ht="30" customHeight="1">
      <x:c r="C355" s="64"/>
      <x:c r="D355" s="63"/>
      <x:c r="E355" s="63"/>
      <x:c r="F355" s="63"/>
      <x:c r="G355" s="63"/>
      <x:c r="H355" s="63"/>
      <x:c r="I355" s="63"/>
    </x:row>
    <x:row r="356" ht="30" customHeight="1">
      <x:c r="C356" s="64"/>
      <x:c r="D356" s="63"/>
      <x:c r="E356" s="63"/>
      <x:c r="F356" s="63"/>
      <x:c r="G356" s="63"/>
      <x:c r="H356" s="63"/>
      <x:c r="I356" s="63"/>
    </x:row>
    <x:row r="357" ht="30" customHeight="1">
      <x:c r="C357" s="64"/>
      <x:c r="D357" s="63"/>
      <x:c r="E357" s="63"/>
      <x:c r="F357" s="63"/>
      <x:c r="G357" s="63"/>
      <x:c r="H357" s="63"/>
      <x:c r="I357" s="63"/>
    </x:row>
    <x:row r="358" ht="30" customHeight="1">
      <x:c r="C358" s="64"/>
      <x:c r="D358" s="63"/>
      <x:c r="E358" s="63"/>
      <x:c r="F358" s="63"/>
      <x:c r="G358" s="63"/>
      <x:c r="H358" s="63"/>
      <x:c r="I358" s="63"/>
    </x:row>
    <x:row r="359" ht="30" customHeight="1">
      <x:c r="C359" s="64"/>
      <x:c r="D359" s="63"/>
      <x:c r="E359" s="63"/>
      <x:c r="F359" s="63"/>
      <x:c r="G359" s="63"/>
      <x:c r="H359" s="63"/>
      <x:c r="I359" s="63"/>
    </x:row>
    <x:row r="360" ht="30" customHeight="1">
      <x:c r="C360" s="64"/>
      <x:c r="D360" s="63"/>
      <x:c r="E360" s="63"/>
      <x:c r="F360" s="63"/>
      <x:c r="G360" s="63"/>
      <x:c r="H360" s="63"/>
      <x:c r="I360" s="63"/>
    </x:row>
    <x:row r="361" ht="30" customHeight="1">
      <x:c r="C361" s="64"/>
      <x:c r="D361" s="63"/>
      <x:c r="E361" s="63"/>
      <x:c r="F361" s="63"/>
      <x:c r="G361" s="63"/>
      <x:c r="H361" s="63"/>
      <x:c r="I361" s="63"/>
    </x:row>
    <x:row r="362" ht="30" customHeight="1">
      <x:c r="C362" s="64"/>
      <x:c r="D362" s="63"/>
      <x:c r="E362" s="63"/>
      <x:c r="F362" s="63"/>
      <x:c r="G362" s="63"/>
      <x:c r="H362" s="63"/>
      <x:c r="I362" s="63"/>
    </x:row>
    <x:row r="363" ht="30" customHeight="1">
      <x:c r="C363" s="64"/>
      <x:c r="D363" s="63"/>
      <x:c r="E363" s="63"/>
      <x:c r="F363" s="63"/>
      <x:c r="G363" s="63"/>
      <x:c r="H363" s="63"/>
      <x:c r="I363" s="63"/>
    </x:row>
    <x:row r="364" ht="30" customHeight="1">
      <x:c r="C364" s="64"/>
      <x:c r="D364" s="63"/>
      <x:c r="E364" s="63"/>
      <x:c r="F364" s="63"/>
      <x:c r="G364" s="63"/>
      <x:c r="H364" s="63"/>
      <x:c r="I364" s="63"/>
    </x:row>
    <x:row r="365" ht="30" customHeight="1">
      <x:c r="C365" s="64"/>
      <x:c r="D365" s="63"/>
      <x:c r="E365" s="63"/>
      <x:c r="F365" s="63"/>
      <x:c r="G365" s="63"/>
      <x:c r="H365" s="63"/>
      <x:c r="I365" s="63"/>
    </x:row>
    <x:row r="366" ht="30" customHeight="1">
      <x:c r="C366" s="64"/>
      <x:c r="D366" s="63"/>
      <x:c r="E366" s="63"/>
      <x:c r="F366" s="63"/>
      <x:c r="G366" s="63"/>
      <x:c r="H366" s="63"/>
      <x:c r="I366" s="63"/>
    </x:row>
    <x:row r="367" ht="30" customHeight="1">
      <x:c r="C367" s="64"/>
      <x:c r="D367" s="63"/>
      <x:c r="E367" s="63"/>
      <x:c r="F367" s="63"/>
      <x:c r="G367" s="63"/>
      <x:c r="H367" s="63"/>
      <x:c r="I367" s="63"/>
    </x:row>
    <x:row r="368" ht="30" customHeight="1">
      <x:c r="C368" s="64"/>
      <x:c r="D368" s="63"/>
      <x:c r="E368" s="63"/>
      <x:c r="F368" s="63"/>
      <x:c r="G368" s="63"/>
      <x:c r="H368" s="63"/>
      <x:c r="I368" s="63"/>
    </x:row>
    <x:row r="369" ht="30" customHeight="1">
      <x:c r="C369" s="64"/>
      <x:c r="D369" s="63"/>
      <x:c r="E369" s="63"/>
      <x:c r="F369" s="63"/>
      <x:c r="G369" s="63"/>
      <x:c r="H369" s="63"/>
      <x:c r="I369" s="63"/>
    </x:row>
    <x:row r="370" ht="30" customHeight="1">
      <x:c r="C370" s="64"/>
      <x:c r="D370" s="63"/>
      <x:c r="E370" s="63"/>
      <x:c r="F370" s="63"/>
      <x:c r="G370" s="63"/>
      <x:c r="H370" s="63"/>
      <x:c r="I370" s="63"/>
    </x:row>
    <x:row r="371" ht="30" customHeight="1">
      <x:c r="C371" s="64"/>
      <x:c r="D371" s="63"/>
      <x:c r="E371" s="63"/>
      <x:c r="F371" s="63"/>
      <x:c r="G371" s="63"/>
      <x:c r="H371" s="63"/>
      <x:c r="I371" s="63"/>
    </x:row>
    <x:row r="372" ht="30" customHeight="1">
      <x:c r="C372" s="64"/>
      <x:c r="D372" s="63"/>
      <x:c r="E372" s="63"/>
      <x:c r="F372" s="63"/>
      <x:c r="G372" s="63"/>
      <x:c r="H372" s="63"/>
      <x:c r="I372" s="63"/>
    </x:row>
    <x:row r="373" ht="30" customHeight="1">
      <x:c r="C373" s="64"/>
      <x:c r="D373" s="63"/>
      <x:c r="E373" s="63"/>
      <x:c r="F373" s="63"/>
      <x:c r="G373" s="63"/>
      <x:c r="H373" s="63"/>
      <x:c r="I373" s="63"/>
    </x:row>
    <x:row r="374" ht="30" customHeight="1">
      <x:c r="C374" s="64"/>
      <x:c r="D374" s="63"/>
      <x:c r="E374" s="63"/>
      <x:c r="F374" s="63"/>
      <x:c r="G374" s="63"/>
      <x:c r="H374" s="63"/>
      <x:c r="I374" s="63"/>
    </x:row>
    <x:row r="375" ht="30" customHeight="1">
      <x:c r="C375" s="64"/>
      <x:c r="D375" s="63"/>
      <x:c r="E375" s="63"/>
      <x:c r="F375" s="63"/>
      <x:c r="G375" s="63"/>
      <x:c r="H375" s="63"/>
      <x:c r="I375" s="63"/>
    </x:row>
    <x:row r="376" ht="30" customHeight="1">
      <x:c r="C376" s="64"/>
      <x:c r="D376" s="63"/>
      <x:c r="E376" s="63"/>
      <x:c r="F376" s="63"/>
      <x:c r="G376" s="63"/>
      <x:c r="H376" s="63"/>
      <x:c r="I376" s="63"/>
    </x:row>
    <x:row r="377" ht="30" customHeight="1">
      <x:c r="C377" s="64"/>
      <x:c r="D377" s="63"/>
      <x:c r="E377" s="63"/>
      <x:c r="F377" s="63"/>
      <x:c r="G377" s="63"/>
      <x:c r="H377" s="63"/>
      <x:c r="I377" s="63"/>
    </x:row>
    <x:row r="378" ht="30" customHeight="1">
      <x:c r="C378" s="64"/>
      <x:c r="D378" s="63"/>
      <x:c r="E378" s="63"/>
      <x:c r="F378" s="63"/>
      <x:c r="G378" s="63"/>
      <x:c r="H378" s="63"/>
      <x:c r="I378" s="63"/>
    </x:row>
    <x:row r="379" ht="30" customHeight="1">
      <x:c r="C379" s="64"/>
      <x:c r="D379" s="63"/>
      <x:c r="E379" s="63"/>
      <x:c r="F379" s="63"/>
      <x:c r="G379" s="63"/>
      <x:c r="H379" s="63"/>
      <x:c r="I379" s="63"/>
    </x:row>
    <x:row r="380" ht="30" customHeight="1">
      <x:c r="C380" s="64"/>
      <x:c r="D380" s="63"/>
      <x:c r="E380" s="63"/>
      <x:c r="F380" s="63"/>
      <x:c r="G380" s="63"/>
      <x:c r="H380" s="63"/>
      <x:c r="I380" s="63"/>
    </x:row>
    <x:row r="381" ht="30" customHeight="1">
      <x:c r="C381" s="64"/>
      <x:c r="D381" s="63"/>
      <x:c r="E381" s="63"/>
      <x:c r="F381" s="63"/>
      <x:c r="G381" s="63"/>
      <x:c r="H381" s="63"/>
      <x:c r="I381" s="63"/>
    </x:row>
    <x:row r="382" ht="30" customHeight="1">
      <x:c r="C382" s="64"/>
      <x:c r="D382" s="63"/>
      <x:c r="E382" s="63"/>
      <x:c r="F382" s="63"/>
      <x:c r="G382" s="63"/>
      <x:c r="H382" s="63"/>
      <x:c r="I382" s="63"/>
    </x:row>
    <x:row r="383" ht="30" customHeight="1">
      <x:c r="C383" s="64"/>
      <x:c r="D383" s="63"/>
      <x:c r="E383" s="63"/>
      <x:c r="F383" s="63"/>
      <x:c r="G383" s="63"/>
      <x:c r="H383" s="63"/>
      <x:c r="I383" s="63"/>
    </x:row>
    <x:row r="384" ht="30" customHeight="1">
      <x:c r="C384" s="64"/>
      <x:c r="D384" s="63"/>
      <x:c r="E384" s="63"/>
      <x:c r="F384" s="63"/>
      <x:c r="G384" s="63"/>
      <x:c r="H384" s="63"/>
      <x:c r="I384" s="63"/>
    </x:row>
    <x:row r="385" ht="30" customHeight="1">
      <x:c r="C385" s="64"/>
      <x:c r="D385" s="63"/>
      <x:c r="E385" s="63"/>
      <x:c r="F385" s="63"/>
      <x:c r="G385" s="63"/>
      <x:c r="H385" s="63"/>
      <x:c r="I385" s="63"/>
    </x:row>
    <x:row r="386" ht="30" customHeight="1">
      <x:c r="C386" s="64"/>
      <x:c r="D386" s="63"/>
      <x:c r="E386" s="63"/>
      <x:c r="F386" s="63"/>
      <x:c r="G386" s="63"/>
      <x:c r="H386" s="63"/>
      <x:c r="I386" s="63"/>
    </x:row>
    <x:row r="387" ht="30" customHeight="1">
      <x:c r="C387" s="64"/>
      <x:c r="D387" s="63"/>
      <x:c r="E387" s="63"/>
      <x:c r="F387" s="63"/>
      <x:c r="G387" s="63"/>
      <x:c r="H387" s="63"/>
      <x:c r="I387" s="63"/>
    </x:row>
    <x:row r="388" ht="30" customHeight="1">
      <x:c r="C388" s="64"/>
      <x:c r="D388" s="63"/>
      <x:c r="E388" s="63"/>
      <x:c r="F388" s="63"/>
      <x:c r="G388" s="63"/>
      <x:c r="H388" s="63"/>
      <x:c r="I388" s="63"/>
    </x:row>
    <x:row r="389" ht="30" customHeight="1">
      <x:c r="C389" s="64"/>
      <x:c r="D389" s="63"/>
      <x:c r="E389" s="63"/>
      <x:c r="F389" s="63"/>
      <x:c r="G389" s="63"/>
      <x:c r="H389" s="63"/>
      <x:c r="I389" s="63"/>
    </x:row>
    <x:row r="390" ht="30" customHeight="1">
      <x:c r="C390" s="64"/>
      <x:c r="D390" s="63"/>
      <x:c r="E390" s="63"/>
      <x:c r="F390" s="63"/>
      <x:c r="G390" s="63"/>
      <x:c r="H390" s="63"/>
      <x:c r="I390" s="63"/>
    </x:row>
    <x:row r="391" ht="30" customHeight="1">
      <x:c r="C391" s="64"/>
      <x:c r="D391" s="63"/>
      <x:c r="E391" s="63"/>
      <x:c r="F391" s="63"/>
      <x:c r="G391" s="63"/>
      <x:c r="H391" s="63"/>
      <x:c r="I391" s="63"/>
    </x:row>
    <x:row r="392" ht="30" customHeight="1">
      <x:c r="C392" s="64"/>
      <x:c r="D392" s="63"/>
      <x:c r="E392" s="63"/>
      <x:c r="F392" s="63"/>
      <x:c r="G392" s="63"/>
      <x:c r="H392" s="63"/>
      <x:c r="I392" s="63"/>
    </x:row>
    <x:row r="393" ht="30" customHeight="1">
      <x:c r="C393" s="64"/>
      <x:c r="D393" s="63"/>
      <x:c r="E393" s="63"/>
      <x:c r="F393" s="63"/>
      <x:c r="G393" s="63"/>
      <x:c r="H393" s="63"/>
      <x:c r="I393" s="63"/>
    </x:row>
    <x:row r="394" ht="30" customHeight="1">
      <x:c r="C394" s="64"/>
      <x:c r="D394" s="63"/>
      <x:c r="E394" s="63"/>
      <x:c r="F394" s="63"/>
      <x:c r="G394" s="63"/>
      <x:c r="H394" s="63"/>
      <x:c r="I394" s="63"/>
    </x:row>
    <x:row r="395" ht="30" customHeight="1">
      <x:c r="C395" s="64"/>
      <x:c r="D395" s="63"/>
      <x:c r="E395" s="63"/>
      <x:c r="F395" s="63"/>
      <x:c r="G395" s="63"/>
      <x:c r="H395" s="63"/>
      <x:c r="I395" s="63"/>
    </x:row>
    <x:row r="396" ht="30" customHeight="1">
      <x:c r="C396" s="64"/>
      <x:c r="D396" s="63"/>
      <x:c r="E396" s="63"/>
      <x:c r="F396" s="63"/>
      <x:c r="G396" s="63"/>
      <x:c r="H396" s="63"/>
      <x:c r="I396" s="63"/>
    </x:row>
    <x:row r="397" ht="30" customHeight="1">
      <x:c r="C397" s="64"/>
      <x:c r="D397" s="63"/>
      <x:c r="E397" s="63"/>
      <x:c r="F397" s="63"/>
      <x:c r="G397" s="63"/>
      <x:c r="H397" s="63"/>
      <x:c r="I397" s="63"/>
    </x:row>
    <x:row r="398" ht="25" customHeight="1">
      <x:c r="C398" s="68" t="str">
        <x:v>SCENARIO ASSUMPTIONS</x:v>
      </x:c>
      <x:c r="D398" s="82"/>
      <x:c r="E398" s="82"/>
      <x:c r="F398" s="82"/>
      <x:c r="G398" s="82"/>
      <x:c r="H398" s="82"/>
      <x:c r="I398" s="82"/>
    </x:row>
    <x:row r="399" ht="30" customHeight="1">
      <x:c r="C399" s="64"/>
      <x:c r="D399" s="63"/>
      <x:c r="E399" s="63"/>
      <x:c r="F399" s="63"/>
      <x:c r="G399" s="63"/>
      <x:c r="H399" s="63"/>
      <x:c r="I399" s="63"/>
    </x:row>
    <x:row r="400" ht="30" customHeight="1">
      <x:c r="C400" s="64" t="str">
        <x:v>Capacity utilization — active</x:v>
      </x:c>
      <x:c r="D400" s="63"/>
      <x:c r="E400" s="83" t="n">
        <x:f>IF(COUNT(CHOOSE('Controls'!$E$5,E401,E402,E403))=1,CHOOSE('Controls'!$E$5,E401,E402,E403),NA())</x:f>
        <x:v>1</x:v>
      </x:c>
      <x:c r="F400" s="83" t="n">
        <x:f>IF(COUNT(CHOOSE('Controls'!$E$5,F401,F402,F403))=1,CHOOSE('Controls'!$E$5,F401,F402,F403),NA())</x:f>
        <x:v>1</x:v>
      </x:c>
      <x:c r="G400" s="83" t="n">
        <x:f>IF(COUNT(CHOOSE('Controls'!$E$5,G401,G402,G403))=1,CHOOSE('Controls'!$E$5,G401,G402,G403),NA())</x:f>
        <x:v>1</x:v>
      </x:c>
      <x:c r="H400" s="83" t="n">
        <x:f>IF(COUNT(CHOOSE('Controls'!$E$5,H401,H402,H403))=1,CHOOSE('Controls'!$E$5,H401,H402,H403),NA())</x:f>
        <x:v>1</x:v>
      </x:c>
      <x:c r="I400" s="83" t="n">
        <x:f>IF(COUNT(CHOOSE('Controls'!$E$5,I401,I402,I403))=1,CHOOSE('Controls'!$E$5,I401,I402,I403),NA())</x:f>
        <x:v>1</x:v>
      </x:c>
    </x:row>
    <x:row r="401" ht="30" customHeight="1">
      <x:c r="C401" s="64" t="str">
        <x:v>Base</x:v>
      </x:c>
      <x:c r="D401" s="63"/>
      <x:c r="E401" s="85" t="n">
        <x:v>1</x:v>
      </x:c>
      <x:c r="F401" s="85" t="n">
        <x:v>1</x:v>
      </x:c>
      <x:c r="G401" s="85" t="n">
        <x:v>1</x:v>
      </x:c>
      <x:c r="H401" s="85" t="n">
        <x:v>1</x:v>
      </x:c>
      <x:c r="I401" s="85" t="n">
        <x:v>1</x:v>
      </x:c>
    </x:row>
    <x:row r="402" ht="30" customHeight="1">
      <x:c r="C402" s="64" t="str">
        <x:v>Downside</x:v>
      </x:c>
      <x:c r="D402" s="63"/>
      <x:c r="E402" s="85" t="n">
        <x:v>1</x:v>
      </x:c>
      <x:c r="F402" s="85" t="n">
        <x:v>1</x:v>
      </x:c>
      <x:c r="G402" s="85" t="n">
        <x:v>1</x:v>
      </x:c>
      <x:c r="H402" s="85" t="n">
        <x:v>1</x:v>
      </x:c>
      <x:c r="I402" s="85" t="n">
        <x:v>1</x:v>
      </x:c>
    </x:row>
    <x:row r="403" ht="30" customHeight="1">
      <x:c r="C403" s="64" t="str">
        <x:v>Upside</x:v>
      </x:c>
      <x:c r="D403" s="63"/>
      <x:c r="E403" s="85" t="n">
        <x:v>1</x:v>
      </x:c>
      <x:c r="F403" s="85" t="n">
        <x:v>1</x:v>
      </x:c>
      <x:c r="G403" s="85" t="n">
        <x:v>1</x:v>
      </x:c>
      <x:c r="H403" s="85" t="n">
        <x:v>1</x:v>
      </x:c>
      <x:c r="I403" s="85" t="n">
        <x:v>1</x:v>
      </x:c>
    </x:row>
    <x:row r="404" ht="30" customHeight="1">
      <x:c r="C404" s="64"/>
      <x:c r="D404" s="63"/>
      <x:c r="E404" s="63"/>
      <x:c r="F404" s="63"/>
      <x:c r="G404" s="63"/>
      <x:c r="H404" s="63"/>
      <x:c r="I404" s="63"/>
    </x:row>
    <x:row r="405" ht="30" customHeight="1">
      <x:c r="C405" s="64" t="str">
        <x:v>Manufacturing and materials / revenue — active</x:v>
      </x:c>
      <x:c r="D405" s="63"/>
      <x:c r="E405" s="83" t="n">
        <x:f>IF(COUNT(CHOOSE('Controls'!$E$5,E406,E407,E408))=1,CHOOSE('Controls'!$E$5,E406,E407,E408),NA())</x:f>
        <x:v>0.38</x:v>
      </x:c>
      <x:c r="F405" s="83" t="n">
        <x:f>IF(COUNT(CHOOSE('Controls'!$E$5,F406,F407,F408))=1,CHOOSE('Controls'!$E$5,F406,F407,F408),NA())</x:f>
        <x:v>0.38</x:v>
      </x:c>
      <x:c r="G405" s="83" t="n">
        <x:f>IF(COUNT(CHOOSE('Controls'!$E$5,G406,G407,G408))=1,CHOOSE('Controls'!$E$5,G406,G407,G408),NA())</x:f>
        <x:v>0.38</x:v>
      </x:c>
      <x:c r="H405" s="83" t="n">
        <x:f>IF(COUNT(CHOOSE('Controls'!$E$5,H406,H407,H408))=1,CHOOSE('Controls'!$E$5,H406,H407,H408),NA())</x:f>
        <x:v>0.38</x:v>
      </x:c>
      <x:c r="I405" s="83" t="n">
        <x:f>IF(COUNT(CHOOSE('Controls'!$E$5,I406,I407,I408))=1,CHOOSE('Controls'!$E$5,I406,I407,I408),NA())</x:f>
        <x:v>0.38</x:v>
      </x:c>
    </x:row>
    <x:row r="406" ht="30" customHeight="1">
      <x:c r="C406" s="64" t="str">
        <x:v>Base</x:v>
      </x:c>
      <x:c r="D406" s="63"/>
      <x:c r="E406" s="85" t="n">
        <x:v>0.38</x:v>
      </x:c>
      <x:c r="F406" s="85" t="n">
        <x:v>0.38</x:v>
      </x:c>
      <x:c r="G406" s="85" t="n">
        <x:v>0.38</x:v>
      </x:c>
      <x:c r="H406" s="85" t="n">
        <x:v>0.38</x:v>
      </x:c>
      <x:c r="I406" s="85" t="n">
        <x:v>0.38</x:v>
      </x:c>
    </x:row>
    <x:row r="407" ht="30" customHeight="1">
      <x:c r="C407" s="64" t="str">
        <x:v>Downside</x:v>
      </x:c>
      <x:c r="D407" s="63"/>
      <x:c r="E407" s="85" t="n">
        <x:v>0.38</x:v>
      </x:c>
      <x:c r="F407" s="85" t="n">
        <x:v>0.38</x:v>
      </x:c>
      <x:c r="G407" s="85" t="n">
        <x:v>0.38</x:v>
      </x:c>
      <x:c r="H407" s="85" t="n">
        <x:v>0.38</x:v>
      </x:c>
      <x:c r="I407" s="85" t="n">
        <x:v>0.38</x:v>
      </x:c>
    </x:row>
    <x:row r="408" ht="30" customHeight="1">
      <x:c r="C408" s="64" t="str">
        <x:v>Upside</x:v>
      </x:c>
      <x:c r="D408" s="63"/>
      <x:c r="E408" s="85" t="n">
        <x:v>0.38</x:v>
      </x:c>
      <x:c r="F408" s="85" t="n">
        <x:v>0.38</x:v>
      </x:c>
      <x:c r="G408" s="85" t="n">
        <x:v>0.38</x:v>
      </x:c>
      <x:c r="H408" s="85" t="n">
        <x:v>0.38</x:v>
      </x:c>
      <x:c r="I408" s="85" t="n">
        <x:v>0.38</x:v>
      </x:c>
    </x:row>
    <x:row r="409" ht="30" customHeight="1">
      <x:c r="C409" s="64"/>
      <x:c r="D409" s="63"/>
      <x:c r="E409" s="63"/>
      <x:c r="F409" s="63"/>
      <x:c r="G409" s="63"/>
      <x:c r="H409" s="63"/>
      <x:c r="I409" s="63"/>
    </x:row>
    <x:row r="410" ht="30" customHeight="1">
      <x:c r="C410" s="64" t="str">
        <x:v>Other cash operating costs / revenue — active</x:v>
      </x:c>
      <x:c r="D410" s="63"/>
      <x:c r="E410" s="83" t="n">
        <x:f>IF(COUNT(CHOOSE('Controls'!$E$5,E411,E412,E413))=1,CHOOSE('Controls'!$E$5,E411,E412,E413),NA())</x:f>
        <x:v>0.29</x:v>
      </x:c>
      <x:c r="F410" s="83" t="n">
        <x:f>IF(COUNT(CHOOSE('Controls'!$E$5,F411,F412,F413))=1,CHOOSE('Controls'!$E$5,F411,F412,F413),NA())</x:f>
        <x:v>0.29</x:v>
      </x:c>
      <x:c r="G410" s="83" t="n">
        <x:f>IF(COUNT(CHOOSE('Controls'!$E$5,G411,G412,G413))=1,CHOOSE('Controls'!$E$5,G411,G412,G413),NA())</x:f>
        <x:v>0.29</x:v>
      </x:c>
      <x:c r="H410" s="83" t="n">
        <x:f>IF(COUNT(CHOOSE('Controls'!$E$5,H411,H412,H413))=1,CHOOSE('Controls'!$E$5,H411,H412,H413),NA())</x:f>
        <x:v>0.29</x:v>
      </x:c>
      <x:c r="I410" s="83" t="n">
        <x:f>IF(COUNT(CHOOSE('Controls'!$E$5,I411,I412,I413))=1,CHOOSE('Controls'!$E$5,I411,I412,I413),NA())</x:f>
        <x:v>0.29</x:v>
      </x:c>
    </x:row>
    <x:row r="411" ht="30" customHeight="1">
      <x:c r="C411" s="64" t="str">
        <x:v>Base</x:v>
      </x:c>
      <x:c r="D411" s="63"/>
      <x:c r="E411" s="85" t="n">
        <x:v>0.29</x:v>
      </x:c>
      <x:c r="F411" s="85" t="n">
        <x:v>0.29</x:v>
      </x:c>
      <x:c r="G411" s="85" t="n">
        <x:v>0.29</x:v>
      </x:c>
      <x:c r="H411" s="85" t="n">
        <x:v>0.29</x:v>
      </x:c>
      <x:c r="I411" s="85" t="n">
        <x:v>0.29</x:v>
      </x:c>
    </x:row>
    <x:row r="412" ht="30" customHeight="1">
      <x:c r="C412" s="64" t="str">
        <x:v>Downside</x:v>
      </x:c>
      <x:c r="D412" s="63"/>
      <x:c r="E412" s="85" t="n">
        <x:v>0.29</x:v>
      </x:c>
      <x:c r="F412" s="85" t="n">
        <x:v>0.29</x:v>
      </x:c>
      <x:c r="G412" s="85" t="n">
        <x:v>0.29</x:v>
      </x:c>
      <x:c r="H412" s="85" t="n">
        <x:v>0.29</x:v>
      </x:c>
      <x:c r="I412" s="85" t="n">
        <x:v>0.29</x:v>
      </x:c>
    </x:row>
    <x:row r="413" ht="30" customHeight="1">
      <x:c r="C413" s="64" t="str">
        <x:v>Upside</x:v>
      </x:c>
      <x:c r="D413" s="63"/>
      <x:c r="E413" s="85" t="n">
        <x:v>0.29</x:v>
      </x:c>
      <x:c r="F413" s="85" t="n">
        <x:v>0.29</x:v>
      </x:c>
      <x:c r="G413" s="85" t="n">
        <x:v>0.29</x:v>
      </x:c>
      <x:c r="H413" s="85" t="n">
        <x:v>0.29</x:v>
      </x:c>
      <x:c r="I413" s="85" t="n">
        <x:v>0.29</x:v>
      </x:c>
    </x:row>
    <x:row r="414" ht="30" customHeight="1">
      <x:c r="C414" s="64"/>
      <x:c r="D414" s="63"/>
      <x:c r="E414" s="63"/>
      <x:c r="F414" s="63"/>
      <x:c r="G414" s="63"/>
      <x:c r="H414" s="63"/>
      <x:c r="I414" s="63"/>
    </x:row>
    <x:row r="415" ht="30" customHeight="1">
      <x:c r="C415" s="64" t="str">
        <x:v>Cash capex / revenue — active</x:v>
      </x:c>
      <x:c r="D415" s="63"/>
      <x:c r="E415" s="83" t="n">
        <x:f>IF(COUNT(CHOOSE('Controls'!$E$5,E416,E417,E418))=1,CHOOSE('Controls'!$E$5,E416,E417,E418),NA())</x:f>
        <x:v>0.07</x:v>
      </x:c>
      <x:c r="F415" s="83" t="n">
        <x:f>IF(COUNT(CHOOSE('Controls'!$E$5,F416,F417,F418))=1,CHOOSE('Controls'!$E$5,F416,F417,F418),NA())</x:f>
        <x:v>0.07</x:v>
      </x:c>
      <x:c r="G415" s="83" t="n">
        <x:f>IF(COUNT(CHOOSE('Controls'!$E$5,G416,G417,G418))=1,CHOOSE('Controls'!$E$5,G416,G417,G418),NA())</x:f>
        <x:v>0.07</x:v>
      </x:c>
      <x:c r="H415" s="83" t="n">
        <x:f>IF(COUNT(CHOOSE('Controls'!$E$5,H416,H417,H418))=1,CHOOSE('Controls'!$E$5,H416,H417,H418),NA())</x:f>
        <x:v>0.07</x:v>
      </x:c>
      <x:c r="I415" s="83" t="n">
        <x:f>IF(COUNT(CHOOSE('Controls'!$E$5,I416,I417,I418))=1,CHOOSE('Controls'!$E$5,I416,I417,I418),NA())</x:f>
        <x:v>0.07</x:v>
      </x:c>
    </x:row>
    <x:row r="416" ht="30" customHeight="1">
      <x:c r="C416" s="64" t="str">
        <x:v>Base</x:v>
      </x:c>
      <x:c r="D416" s="63"/>
      <x:c r="E416" s="85" t="n">
        <x:v>0.07</x:v>
      </x:c>
      <x:c r="F416" s="85" t="n">
        <x:v>0.07</x:v>
      </x:c>
      <x:c r="G416" s="85" t="n">
        <x:v>0.07</x:v>
      </x:c>
      <x:c r="H416" s="85" t="n">
        <x:v>0.07</x:v>
      </x:c>
      <x:c r="I416" s="85" t="n">
        <x:v>0.07</x:v>
      </x:c>
    </x:row>
    <x:row r="417" ht="30" customHeight="1">
      <x:c r="C417" s="64" t="str">
        <x:v>Downside</x:v>
      </x:c>
      <x:c r="D417" s="63"/>
      <x:c r="E417" s="85" t="n">
        <x:v>0.07</x:v>
      </x:c>
      <x:c r="F417" s="85" t="n">
        <x:v>0.07</x:v>
      </x:c>
      <x:c r="G417" s="85" t="n">
        <x:v>0.07</x:v>
      </x:c>
      <x:c r="H417" s="85" t="n">
        <x:v>0.07</x:v>
      </x:c>
      <x:c r="I417" s="85" t="n">
        <x:v>0.07</x:v>
      </x:c>
    </x:row>
    <x:row r="418" ht="30" customHeight="1">
      <x:c r="C418" s="64" t="str">
        <x:v>Upside</x:v>
      </x:c>
      <x:c r="D418" s="63"/>
      <x:c r="E418" s="85" t="n">
        <x:v>0.07</x:v>
      </x:c>
      <x:c r="F418" s="85" t="n">
        <x:v>0.07</x:v>
      </x:c>
      <x:c r="G418" s="85" t="n">
        <x:v>0.07</x:v>
      </x:c>
      <x:c r="H418" s="85" t="n">
        <x:v>0.07</x:v>
      </x:c>
      <x:c r="I418" s="85" t="n">
        <x:v>0.07</x:v>
      </x:c>
    </x:row>
    <x:row r="419" ht="30" customHeight="1">
      <x:c r="C419" s="64"/>
      <x:c r="D419" s="63"/>
      <x:c r="E419" s="63"/>
      <x:c r="F419" s="63"/>
      <x:c r="G419" s="63"/>
      <x:c r="H419" s="63"/>
      <x:c r="I419" s="63"/>
    </x:row>
    <x:row r="420" ht="30" customHeight="1">
      <x:c r="C420" s="64" t="str">
        <x:v>D&amp;A / opening net PP&amp;E — active</x:v>
      </x:c>
      <x:c r="D420" s="63"/>
      <x:c r="E420" s="83" t="n">
        <x:f>IF(COUNT(CHOOSE('Controls'!$E$5,E421,E422,E423))=1,CHOOSE('Controls'!$E$5,E421,E422,E423),NA())</x:f>
        <x:v>0.12</x:v>
      </x:c>
      <x:c r="F420" s="83" t="n">
        <x:f>IF(COUNT(CHOOSE('Controls'!$E$5,F421,F422,F423))=1,CHOOSE('Controls'!$E$5,F421,F422,F423),NA())</x:f>
        <x:v>0.12</x:v>
      </x:c>
      <x:c r="G420" s="83" t="n">
        <x:f>IF(COUNT(CHOOSE('Controls'!$E$5,G421,G422,G423))=1,CHOOSE('Controls'!$E$5,G421,G422,G423),NA())</x:f>
        <x:v>0.12</x:v>
      </x:c>
      <x:c r="H420" s="83" t="n">
        <x:f>IF(COUNT(CHOOSE('Controls'!$E$5,H421,H422,H423))=1,CHOOSE('Controls'!$E$5,H421,H422,H423),NA())</x:f>
        <x:v>0.12</x:v>
      </x:c>
      <x:c r="I420" s="83" t="n">
        <x:f>IF(COUNT(CHOOSE('Controls'!$E$5,I421,I422,I423))=1,CHOOSE('Controls'!$E$5,I421,I422,I423),NA())</x:f>
        <x:v>0.12</x:v>
      </x:c>
    </x:row>
    <x:row r="421" ht="30" customHeight="1">
      <x:c r="C421" s="64" t="str">
        <x:v>Base</x:v>
      </x:c>
      <x:c r="D421" s="63"/>
      <x:c r="E421" s="85" t="n">
        <x:v>0.12</x:v>
      </x:c>
      <x:c r="F421" s="85" t="n">
        <x:v>0.12</x:v>
      </x:c>
      <x:c r="G421" s="85" t="n">
        <x:v>0.12</x:v>
      </x:c>
      <x:c r="H421" s="85" t="n">
        <x:v>0.12</x:v>
      </x:c>
      <x:c r="I421" s="85" t="n">
        <x:v>0.12</x:v>
      </x:c>
    </x:row>
    <x:row r="422" ht="30" customHeight="1">
      <x:c r="C422" s="64" t="str">
        <x:v>Downside</x:v>
      </x:c>
      <x:c r="D422" s="63"/>
      <x:c r="E422" s="85" t="n">
        <x:v>0.12</x:v>
      </x:c>
      <x:c r="F422" s="85" t="n">
        <x:v>0.12</x:v>
      </x:c>
      <x:c r="G422" s="85" t="n">
        <x:v>0.12</x:v>
      </x:c>
      <x:c r="H422" s="85" t="n">
        <x:v>0.12</x:v>
      </x:c>
      <x:c r="I422" s="85" t="n">
        <x:v>0.12</x:v>
      </x:c>
    </x:row>
    <x:row r="423" ht="30" customHeight="1">
      <x:c r="C423" s="64" t="str">
        <x:v>Upside</x:v>
      </x:c>
      <x:c r="D423" s="63"/>
      <x:c r="E423" s="85" t="n">
        <x:v>0.12</x:v>
      </x:c>
      <x:c r="F423" s="85" t="n">
        <x:v>0.12</x:v>
      </x:c>
      <x:c r="G423" s="85" t="n">
        <x:v>0.12</x:v>
      </x:c>
      <x:c r="H423" s="85" t="n">
        <x:v>0.12</x:v>
      </x:c>
      <x:c r="I423" s="85" t="n">
        <x:v>0.12</x:v>
      </x:c>
    </x:row>
    <x:row r="424" ht="30" customHeight="1">
      <x:c r="C424" s="64"/>
      <x:c r="D424" s="63"/>
      <x:c r="E424" s="63"/>
      <x:c r="F424" s="63"/>
      <x:c r="G424" s="63"/>
      <x:c r="H424" s="63"/>
      <x:c r="I424" s="63"/>
    </x:row>
    <x:row r="425" ht="30" customHeight="1">
      <x:c r="C425" s="64" t="str">
        <x:v>Receivable days — active</x:v>
      </x:c>
      <x:c r="D425" s="63"/>
      <x:c r="E425" s="8" t="n">
        <x:f>IF(COUNT(CHOOSE('Controls'!$E$5,E426,E427,E428))=1,CHOOSE('Controls'!$E$5,E426,E427,E428),NA())</x:f>
        <x:v>90</x:v>
      </x:c>
      <x:c r="F425" s="8" t="n">
        <x:f>IF(COUNT(CHOOSE('Controls'!$E$5,F426,F427,F428))=1,CHOOSE('Controls'!$E$5,F426,F427,F428),NA())</x:f>
        <x:v>90</x:v>
      </x:c>
      <x:c r="G425" s="8" t="n">
        <x:f>IF(COUNT(CHOOSE('Controls'!$E$5,G426,G427,G428))=1,CHOOSE('Controls'!$E$5,G426,G427,G428),NA())</x:f>
        <x:v>90</x:v>
      </x:c>
      <x:c r="H425" s="8" t="n">
        <x:f>IF(COUNT(CHOOSE('Controls'!$E$5,H426,H427,H428))=1,CHOOSE('Controls'!$E$5,H426,H427,H428),NA())</x:f>
        <x:v>90</x:v>
      </x:c>
      <x:c r="I425" s="8" t="n">
        <x:f>IF(COUNT(CHOOSE('Controls'!$E$5,I426,I427,I428))=1,CHOOSE('Controls'!$E$5,I426,I427,I428),NA())</x:f>
        <x:v>90</x:v>
      </x:c>
    </x:row>
    <x:row r="426" ht="30" customHeight="1">
      <x:c r="C426" s="64" t="str">
        <x:v>Base</x:v>
      </x:c>
      <x:c r="D426" s="63"/>
      <x:c r="E426" s="74" t="n">
        <x:v>90</x:v>
      </x:c>
      <x:c r="F426" s="74" t="n">
        <x:v>90</x:v>
      </x:c>
      <x:c r="G426" s="74" t="n">
        <x:v>90</x:v>
      </x:c>
      <x:c r="H426" s="74" t="n">
        <x:v>90</x:v>
      </x:c>
      <x:c r="I426" s="74" t="n">
        <x:v>90</x:v>
      </x:c>
    </x:row>
    <x:row r="427" ht="30" customHeight="1">
      <x:c r="C427" s="64" t="str">
        <x:v>Downside</x:v>
      </x:c>
      <x:c r="D427" s="63"/>
      <x:c r="E427" s="74" t="n">
        <x:v>90</x:v>
      </x:c>
      <x:c r="F427" s="74" t="n">
        <x:v>90</x:v>
      </x:c>
      <x:c r="G427" s="74" t="n">
        <x:v>90</x:v>
      </x:c>
      <x:c r="H427" s="74" t="n">
        <x:v>90</x:v>
      </x:c>
      <x:c r="I427" s="74" t="n">
        <x:v>90</x:v>
      </x:c>
    </x:row>
    <x:row r="428" ht="30" customHeight="1">
      <x:c r="C428" s="64" t="str">
        <x:v>Upside</x:v>
      </x:c>
      <x:c r="D428" s="63"/>
      <x:c r="E428" s="74" t="n">
        <x:v>90</x:v>
      </x:c>
      <x:c r="F428" s="74" t="n">
        <x:v>90</x:v>
      </x:c>
      <x:c r="G428" s="74" t="n">
        <x:v>90</x:v>
      </x:c>
      <x:c r="H428" s="74" t="n">
        <x:v>90</x:v>
      </x:c>
      <x:c r="I428" s="74" t="n">
        <x:v>90</x:v>
      </x:c>
    </x:row>
    <x:row r="429" ht="30" customHeight="1">
      <x:c r="C429" s="64"/>
      <x:c r="D429" s="63"/>
      <x:c r="E429" s="63"/>
      <x:c r="F429" s="63"/>
      <x:c r="G429" s="63"/>
      <x:c r="H429" s="63"/>
      <x:c r="I429" s="63"/>
    </x:row>
    <x:row r="430" ht="30" customHeight="1">
      <x:c r="C430" s="64" t="str">
        <x:v>Inventory days — active</x:v>
      </x:c>
      <x:c r="D430" s="63"/>
      <x:c r="E430" s="8" t="n">
        <x:f>IF(COUNT(CHOOSE('Controls'!$E$5,E431,E432,E433))=1,CHOOSE('Controls'!$E$5,E431,E432,E433),NA())</x:f>
        <x:v>100</x:v>
      </x:c>
      <x:c r="F430" s="8" t="n">
        <x:f>IF(COUNT(CHOOSE('Controls'!$E$5,F431,F432,F433))=1,CHOOSE('Controls'!$E$5,F431,F432,F433),NA())</x:f>
        <x:v>100</x:v>
      </x:c>
      <x:c r="G430" s="8" t="n">
        <x:f>IF(COUNT(CHOOSE('Controls'!$E$5,G431,G432,G433))=1,CHOOSE('Controls'!$E$5,G431,G432,G433),NA())</x:f>
        <x:v>100</x:v>
      </x:c>
      <x:c r="H430" s="8" t="n">
        <x:f>IF(COUNT(CHOOSE('Controls'!$E$5,H431,H432,H433))=1,CHOOSE('Controls'!$E$5,H431,H432,H433),NA())</x:f>
        <x:v>100</x:v>
      </x:c>
      <x:c r="I430" s="8" t="n">
        <x:f>IF(COUNT(CHOOSE('Controls'!$E$5,I431,I432,I433))=1,CHOOSE('Controls'!$E$5,I431,I432,I433),NA())</x:f>
        <x:v>100</x:v>
      </x:c>
    </x:row>
    <x:row r="431" ht="30" customHeight="1">
      <x:c r="C431" s="64" t="str">
        <x:v>Base</x:v>
      </x:c>
      <x:c r="D431" s="63"/>
      <x:c r="E431" s="74" t="n">
        <x:v>100</x:v>
      </x:c>
      <x:c r="F431" s="74" t="n">
        <x:v>100</x:v>
      </x:c>
      <x:c r="G431" s="74" t="n">
        <x:v>100</x:v>
      </x:c>
      <x:c r="H431" s="74" t="n">
        <x:v>100</x:v>
      </x:c>
      <x:c r="I431" s="74" t="n">
        <x:v>100</x:v>
      </x:c>
    </x:row>
    <x:row r="432" ht="30" customHeight="1">
      <x:c r="C432" s="64" t="str">
        <x:v>Downside</x:v>
      </x:c>
      <x:c r="D432" s="63"/>
      <x:c r="E432" s="74" t="n">
        <x:v>100</x:v>
      </x:c>
      <x:c r="F432" s="74" t="n">
        <x:v>100</x:v>
      </x:c>
      <x:c r="G432" s="74" t="n">
        <x:v>100</x:v>
      </x:c>
      <x:c r="H432" s="74" t="n">
        <x:v>100</x:v>
      </x:c>
      <x:c r="I432" s="74" t="n">
        <x:v>100</x:v>
      </x:c>
    </x:row>
    <x:row r="433" ht="30" customHeight="1">
      <x:c r="C433" s="64" t="str">
        <x:v>Upside</x:v>
      </x:c>
      <x:c r="D433" s="63"/>
      <x:c r="E433" s="74" t="n">
        <x:v>100</x:v>
      </x:c>
      <x:c r="F433" s="74" t="n">
        <x:v>100</x:v>
      </x:c>
      <x:c r="G433" s="74" t="n">
        <x:v>100</x:v>
      </x:c>
      <x:c r="H433" s="74" t="n">
        <x:v>100</x:v>
      </x:c>
      <x:c r="I433" s="74" t="n">
        <x:v>100</x:v>
      </x:c>
    </x:row>
    <x:row r="434" ht="30" customHeight="1">
      <x:c r="C434" s="64"/>
      <x:c r="D434" s="63"/>
      <x:c r="E434" s="63"/>
      <x:c r="F434" s="63"/>
      <x:c r="G434" s="63"/>
      <x:c r="H434" s="63"/>
      <x:c r="I434" s="63"/>
    </x:row>
    <x:row r="435" ht="30" customHeight="1">
      <x:c r="C435" s="64" t="str">
        <x:v>Payable days — active</x:v>
      </x:c>
      <x:c r="D435" s="63"/>
      <x:c r="E435" s="8" t="n">
        <x:f>IF(COUNT(CHOOSE('Controls'!$E$5,E436,E437,E438))=1,CHOOSE('Controls'!$E$5,E436,E437,E438),NA())</x:f>
        <x:v>60</x:v>
      </x:c>
      <x:c r="F435" s="8" t="n">
        <x:f>IF(COUNT(CHOOSE('Controls'!$E$5,F436,F437,F438))=1,CHOOSE('Controls'!$E$5,F436,F437,F438),NA())</x:f>
        <x:v>60</x:v>
      </x:c>
      <x:c r="G435" s="8" t="n">
        <x:f>IF(COUNT(CHOOSE('Controls'!$E$5,G436,G437,G438))=1,CHOOSE('Controls'!$E$5,G436,G437,G438),NA())</x:f>
        <x:v>60</x:v>
      </x:c>
      <x:c r="H435" s="8" t="n">
        <x:f>IF(COUNT(CHOOSE('Controls'!$E$5,H436,H437,H438))=1,CHOOSE('Controls'!$E$5,H436,H437,H438),NA())</x:f>
        <x:v>60</x:v>
      </x:c>
      <x:c r="I435" s="8" t="n">
        <x:f>IF(COUNT(CHOOSE('Controls'!$E$5,I436,I437,I438))=1,CHOOSE('Controls'!$E$5,I436,I437,I438),NA())</x:f>
        <x:v>60</x:v>
      </x:c>
    </x:row>
    <x:row r="436" ht="30" customHeight="1">
      <x:c r="C436" s="64" t="str">
        <x:v>Base</x:v>
      </x:c>
      <x:c r="D436" s="63"/>
      <x:c r="E436" s="74" t="n">
        <x:v>60</x:v>
      </x:c>
      <x:c r="F436" s="74" t="n">
        <x:v>60</x:v>
      </x:c>
      <x:c r="G436" s="74" t="n">
        <x:v>60</x:v>
      </x:c>
      <x:c r="H436" s="74" t="n">
        <x:v>60</x:v>
      </x:c>
      <x:c r="I436" s="74" t="n">
        <x:v>60</x:v>
      </x:c>
    </x:row>
    <x:row r="437" ht="30" customHeight="1">
      <x:c r="C437" s="64" t="str">
        <x:v>Downside</x:v>
      </x:c>
      <x:c r="D437" s="63"/>
      <x:c r="E437" s="74" t="n">
        <x:v>60</x:v>
      </x:c>
      <x:c r="F437" s="74" t="n">
        <x:v>60</x:v>
      </x:c>
      <x:c r="G437" s="74" t="n">
        <x:v>60</x:v>
      </x:c>
      <x:c r="H437" s="74" t="n">
        <x:v>60</x:v>
      </x:c>
      <x:c r="I437" s="74" t="n">
        <x:v>60</x:v>
      </x:c>
    </x:row>
    <x:row r="438" ht="30" customHeight="1">
      <x:c r="C438" s="64" t="str">
        <x:v>Upside</x:v>
      </x:c>
      <x:c r="D438" s="63"/>
      <x:c r="E438" s="74" t="n">
        <x:v>60</x:v>
      </x:c>
      <x:c r="F438" s="74" t="n">
        <x:v>60</x:v>
      </x:c>
      <x:c r="G438" s="74" t="n">
        <x:v>60</x:v>
      </x:c>
      <x:c r="H438" s="74" t="n">
        <x:v>60</x:v>
      </x:c>
      <x:c r="I438" s="74" t="n">
        <x:v>60</x:v>
      </x:c>
    </x:row>
    <x:row r="439" ht="30" customHeight="1">
      <x:c r="C439" s="64"/>
      <x:c r="D439" s="63"/>
      <x:c r="E439" s="63"/>
      <x:c r="F439" s="63"/>
      <x:c r="G439" s="63"/>
      <x:c r="H439" s="63"/>
      <x:c r="I439" s="63"/>
    </x:row>
    <x:row r="440" ht="30" customHeight="1">
      <x:c r="C440" s="64" t="str">
        <x:v>Effective cash tax rate — active</x:v>
      </x:c>
      <x:c r="D440" s="63"/>
      <x:c r="E440" s="83" t="n">
        <x:f>IF(COUNT(CHOOSE('Controls'!$E$5,E441,E442,E443))=1,CHOOSE('Controls'!$E$5,E441,E442,E443),NA())</x:f>
        <x:v>0.25</x:v>
      </x:c>
      <x:c r="F440" s="83" t="n">
        <x:f>IF(COUNT(CHOOSE('Controls'!$E$5,F441,F442,F443))=1,CHOOSE('Controls'!$E$5,F441,F442,F443),NA())</x:f>
        <x:v>0.25</x:v>
      </x:c>
      <x:c r="G440" s="83" t="n">
        <x:f>IF(COUNT(CHOOSE('Controls'!$E$5,G441,G442,G443))=1,CHOOSE('Controls'!$E$5,G441,G442,G443),NA())</x:f>
        <x:v>0.25</x:v>
      </x:c>
      <x:c r="H440" s="83" t="n">
        <x:f>IF(COUNT(CHOOSE('Controls'!$E$5,H441,H442,H443))=1,CHOOSE('Controls'!$E$5,H441,H442,H443),NA())</x:f>
        <x:v>0.25</x:v>
      </x:c>
      <x:c r="I440" s="83" t="n">
        <x:f>IF(COUNT(CHOOSE('Controls'!$E$5,I441,I442,I443))=1,CHOOSE('Controls'!$E$5,I441,I442,I443),NA())</x:f>
        <x:v>0.25</x:v>
      </x:c>
    </x:row>
    <x:row r="441" ht="30" customHeight="1">
      <x:c r="C441" s="64" t="str">
        <x:v>Base</x:v>
      </x:c>
      <x:c r="D441" s="63"/>
      <x:c r="E441" s="85" t="n">
        <x:v>0.25</x:v>
      </x:c>
      <x:c r="F441" s="85" t="n">
        <x:v>0.25</x:v>
      </x:c>
      <x:c r="G441" s="85" t="n">
        <x:v>0.25</x:v>
      </x:c>
      <x:c r="H441" s="85" t="n">
        <x:v>0.25</x:v>
      </x:c>
      <x:c r="I441" s="85" t="n">
        <x:v>0.25</x:v>
      </x:c>
    </x:row>
    <x:row r="442" ht="30" customHeight="1">
      <x:c r="C442" s="64" t="str">
        <x:v>Downside</x:v>
      </x:c>
      <x:c r="D442" s="63"/>
      <x:c r="E442" s="85" t="n">
        <x:v>0.25</x:v>
      </x:c>
      <x:c r="F442" s="85" t="n">
        <x:v>0.25</x:v>
      </x:c>
      <x:c r="G442" s="85" t="n">
        <x:v>0.25</x:v>
      </x:c>
      <x:c r="H442" s="85" t="n">
        <x:v>0.25</x:v>
      </x:c>
      <x:c r="I442" s="85" t="n">
        <x:v>0.25</x:v>
      </x:c>
    </x:row>
    <x:row r="443" ht="30" customHeight="1">
      <x:c r="C443" s="64" t="str">
        <x:v>Upside</x:v>
      </x:c>
      <x:c r="D443" s="63"/>
      <x:c r="E443" s="85" t="n">
        <x:v>0.25</x:v>
      </x:c>
      <x:c r="F443" s="85" t="n">
        <x:v>0.25</x:v>
      </x:c>
      <x:c r="G443" s="85" t="n">
        <x:v>0.25</x:v>
      </x:c>
      <x:c r="H443" s="85" t="n">
        <x:v>0.25</x:v>
      </x:c>
      <x:c r="I443" s="85" t="n">
        <x:v>0.25</x:v>
      </x:c>
    </x:row>
    <x:row r="444" ht="30" customHeight="1">
      <x:c r="C444" s="64"/>
      <x:c r="D444" s="63"/>
      <x:c r="E444" s="63"/>
      <x:c r="F444" s="63"/>
      <x:c r="G444" s="63"/>
      <x:c r="H444" s="63"/>
      <x:c r="I444" s="63"/>
    </x:row>
    <x:row r="445" ht="30" customHeight="1">
      <x:c r="C445" s="64" t="str">
        <x:v>Interest on opening debt — active</x:v>
      </x:c>
      <x:c r="D445" s="63"/>
      <x:c r="E445" s="83" t="n">
        <x:f>IF(COUNT(CHOOSE('Controls'!$E$5,E446,E447,E448))=1,CHOOSE('Controls'!$E$5,E446,E447,E448),NA())</x:f>
        <x:v>0.085</x:v>
      </x:c>
      <x:c r="F445" s="83" t="n">
        <x:f>IF(COUNT(CHOOSE('Controls'!$E$5,F446,F447,F448))=1,CHOOSE('Controls'!$E$5,F446,F447,F448),NA())</x:f>
        <x:v>0.085</x:v>
      </x:c>
      <x:c r="G445" s="83" t="n">
        <x:f>IF(COUNT(CHOOSE('Controls'!$E$5,G446,G447,G448))=1,CHOOSE('Controls'!$E$5,G446,G447,G448),NA())</x:f>
        <x:v>0.085</x:v>
      </x:c>
      <x:c r="H445" s="83" t="n">
        <x:f>IF(COUNT(CHOOSE('Controls'!$E$5,H446,H447,H448))=1,CHOOSE('Controls'!$E$5,H446,H447,H448),NA())</x:f>
        <x:v>0.085</x:v>
      </x:c>
      <x:c r="I445" s="83" t="n">
        <x:f>IF(COUNT(CHOOSE('Controls'!$E$5,I446,I447,I448))=1,CHOOSE('Controls'!$E$5,I446,I447,I448),NA())</x:f>
        <x:v>0.085</x:v>
      </x:c>
    </x:row>
    <x:row r="446" ht="30" customHeight="1">
      <x:c r="C446" s="64" t="str">
        <x:v>Base</x:v>
      </x:c>
      <x:c r="D446" s="63"/>
      <x:c r="E446" s="85" t="n">
        <x:v>0.085</x:v>
      </x:c>
      <x:c r="F446" s="85" t="n">
        <x:v>0.085</x:v>
      </x:c>
      <x:c r="G446" s="85" t="n">
        <x:v>0.085</x:v>
      </x:c>
      <x:c r="H446" s="85" t="n">
        <x:v>0.085</x:v>
      </x:c>
      <x:c r="I446" s="85" t="n">
        <x:v>0.085</x:v>
      </x:c>
    </x:row>
    <x:row r="447" ht="30" customHeight="1">
      <x:c r="C447" s="64" t="str">
        <x:v>Downside</x:v>
      </x:c>
      <x:c r="D447" s="63"/>
      <x:c r="E447" s="85" t="n">
        <x:v>0.085</x:v>
      </x:c>
      <x:c r="F447" s="85" t="n">
        <x:v>0.085</x:v>
      </x:c>
      <x:c r="G447" s="85" t="n">
        <x:v>0.085</x:v>
      </x:c>
      <x:c r="H447" s="85" t="n">
        <x:v>0.085</x:v>
      </x:c>
      <x:c r="I447" s="85" t="n">
        <x:v>0.085</x:v>
      </x:c>
    </x:row>
    <x:row r="448" ht="30" customHeight="1">
      <x:c r="C448" s="64" t="str">
        <x:v>Upside</x:v>
      </x:c>
      <x:c r="D448" s="63"/>
      <x:c r="E448" s="85" t="n">
        <x:v>0.085</x:v>
      </x:c>
      <x:c r="F448" s="85" t="n">
        <x:v>0.085</x:v>
      </x:c>
      <x:c r="G448" s="85" t="n">
        <x:v>0.085</x:v>
      </x:c>
      <x:c r="H448" s="85" t="n">
        <x:v>0.085</x:v>
      </x:c>
      <x:c r="I448" s="85" t="n">
        <x:v>0.085</x:v>
      </x:c>
    </x:row>
    <x:row r="449" ht="30" customHeight="1">
      <x:c r="C449" s="64"/>
      <x:c r="D449" s="63"/>
      <x:c r="E449" s="63"/>
      <x:c r="F449" s="63"/>
      <x:c r="G449" s="63"/>
      <x:c r="H449" s="63"/>
      <x:c r="I449" s="63"/>
    </x:row>
    <x:row r="450" ht="30" customHeight="1">
      <x:c r="C450" s="64" t="str">
        <x:v>New borrowing — active</x:v>
      </x:c>
      <x:c r="D450" s="63"/>
      <x:c r="E450" s="8" t="n">
        <x:f>IF(COUNT(CHOOSE('Controls'!$E$5,E451,E452,E453))=1,CHOOSE('Controls'!$E$5,E451,E452,E453),NA())</x:f>
        <x:v>0</x:v>
      </x:c>
      <x:c r="F450" s="8" t="n">
        <x:f>IF(COUNT(CHOOSE('Controls'!$E$5,F451,F452,F453))=1,CHOOSE('Controls'!$E$5,F451,F452,F453),NA())</x:f>
        <x:v>0</x:v>
      </x:c>
      <x:c r="G450" s="8" t="n">
        <x:f>IF(COUNT(CHOOSE('Controls'!$E$5,G451,G452,G453))=1,CHOOSE('Controls'!$E$5,G451,G452,G453),NA())</x:f>
        <x:v>0</x:v>
      </x:c>
      <x:c r="H450" s="8" t="n">
        <x:f>IF(COUNT(CHOOSE('Controls'!$E$5,H451,H452,H453))=1,CHOOSE('Controls'!$E$5,H451,H452,H453),NA())</x:f>
        <x:v>0</x:v>
      </x:c>
      <x:c r="I450" s="8" t="n">
        <x:f>IF(COUNT(CHOOSE('Controls'!$E$5,I451,I452,I453))=1,CHOOSE('Controls'!$E$5,I451,I452,I453),NA())</x:f>
        <x:v>0</x:v>
      </x:c>
    </x:row>
    <x:row r="451" ht="30" customHeight="1">
      <x:c r="C451" s="64" t="str">
        <x:v>Base</x:v>
      </x:c>
      <x:c r="D451" s="63"/>
      <x:c r="E451" s="74" t="n">
        <x:v>0</x:v>
      </x:c>
      <x:c r="F451" s="74" t="n">
        <x:v>0</x:v>
      </x:c>
      <x:c r="G451" s="74" t="n">
        <x:v>0</x:v>
      </x:c>
      <x:c r="H451" s="74" t="n">
        <x:v>0</x:v>
      </x:c>
      <x:c r="I451" s="74" t="n">
        <x:v>0</x:v>
      </x:c>
    </x:row>
    <x:row r="452" ht="30" customHeight="1">
      <x:c r="C452" s="64" t="str">
        <x:v>Downside</x:v>
      </x:c>
      <x:c r="D452" s="63"/>
      <x:c r="E452" s="74" t="n">
        <x:v>0</x:v>
      </x:c>
      <x:c r="F452" s="74" t="n">
        <x:v>0</x:v>
      </x:c>
      <x:c r="G452" s="74" t="n">
        <x:v>0</x:v>
      </x:c>
      <x:c r="H452" s="74" t="n">
        <x:v>0</x:v>
      </x:c>
      <x:c r="I452" s="74" t="n">
        <x:v>0</x:v>
      </x:c>
    </x:row>
    <x:row r="453" ht="30" customHeight="1">
      <x:c r="C453" s="64" t="str">
        <x:v>Upside</x:v>
      </x:c>
      <x:c r="D453" s="63"/>
      <x:c r="E453" s="74" t="n">
        <x:v>0</x:v>
      </x:c>
      <x:c r="F453" s="74" t="n">
        <x:v>0</x:v>
      </x:c>
      <x:c r="G453" s="74" t="n">
        <x:v>0</x:v>
      </x:c>
      <x:c r="H453" s="74" t="n">
        <x:v>0</x:v>
      </x:c>
      <x:c r="I453" s="74" t="n">
        <x:v>0</x:v>
      </x:c>
    </x:row>
    <x:row r="454" ht="30" customHeight="1">
      <x:c r="C454" s="64"/>
      <x:c r="D454" s="63"/>
      <x:c r="E454" s="63"/>
      <x:c r="F454" s="63"/>
      <x:c r="G454" s="63"/>
      <x:c r="H454" s="63"/>
      <x:c r="I454" s="63"/>
    </x:row>
    <x:row r="455" ht="30" customHeight="1">
      <x:c r="C455" s="64" t="str">
        <x:v>Scheduled principal repayment — active</x:v>
      </x:c>
      <x:c r="D455" s="63"/>
      <x:c r="E455" s="8" t="n">
        <x:f>IF(COUNT(CHOOSE('Controls'!$E$5,E456,E457,E458))=1,CHOOSE('Controls'!$E$5,E456,E457,E458),NA())</x:f>
        <x:v>100</x:v>
      </x:c>
      <x:c r="F455" s="8" t="n">
        <x:f>IF(COUNT(CHOOSE('Controls'!$E$5,F456,F457,F458))=1,CHOOSE('Controls'!$E$5,F456,F457,F458),NA())</x:f>
        <x:v>100</x:v>
      </x:c>
      <x:c r="G455" s="8" t="n">
        <x:f>IF(COUNT(CHOOSE('Controls'!$E$5,G456,G457,G458))=1,CHOOSE('Controls'!$E$5,G456,G457,G458),NA())</x:f>
        <x:v>100</x:v>
      </x:c>
      <x:c r="H455" s="8" t="n">
        <x:f>IF(COUNT(CHOOSE('Controls'!$E$5,H456,H457,H458))=1,CHOOSE('Controls'!$E$5,H456,H457,H458),NA())</x:f>
        <x:v>100</x:v>
      </x:c>
      <x:c r="I455" s="8" t="n">
        <x:f>IF(COUNT(CHOOSE('Controls'!$E$5,I456,I457,I458))=1,CHOOSE('Controls'!$E$5,I456,I457,I458),NA())</x:f>
        <x:v>100</x:v>
      </x:c>
    </x:row>
    <x:row r="456" ht="30" customHeight="1">
      <x:c r="C456" s="64" t="str">
        <x:v>Base</x:v>
      </x:c>
      <x:c r="D456" s="63"/>
      <x:c r="E456" s="74" t="n">
        <x:v>100</x:v>
      </x:c>
      <x:c r="F456" s="74" t="n">
        <x:v>100</x:v>
      </x:c>
      <x:c r="G456" s="74" t="n">
        <x:v>100</x:v>
      </x:c>
      <x:c r="H456" s="74" t="n">
        <x:v>100</x:v>
      </x:c>
      <x:c r="I456" s="74" t="n">
        <x:v>100</x:v>
      </x:c>
    </x:row>
    <x:row r="457" ht="30" customHeight="1">
      <x:c r="C457" s="64" t="str">
        <x:v>Downside</x:v>
      </x:c>
      <x:c r="D457" s="63"/>
      <x:c r="E457" s="74" t="n">
        <x:v>100</x:v>
      </x:c>
      <x:c r="F457" s="74" t="n">
        <x:v>100</x:v>
      </x:c>
      <x:c r="G457" s="74" t="n">
        <x:v>100</x:v>
      </x:c>
      <x:c r="H457" s="74" t="n">
        <x:v>100</x:v>
      </x:c>
      <x:c r="I457" s="74" t="n">
        <x:v>100</x:v>
      </x:c>
    </x:row>
    <x:row r="458" ht="30" customHeight="1">
      <x:c r="C458" s="64" t="str">
        <x:v>Upside</x:v>
      </x:c>
      <x:c r="D458" s="63"/>
      <x:c r="E458" s="74" t="n">
        <x:v>100</x:v>
      </x:c>
      <x:c r="F458" s="74" t="n">
        <x:v>100</x:v>
      </x:c>
      <x:c r="G458" s="74" t="n">
        <x:v>100</x:v>
      </x:c>
      <x:c r="H458" s="74" t="n">
        <x:v>100</x:v>
      </x:c>
      <x:c r="I458" s="74" t="n">
        <x:v>100</x:v>
      </x:c>
    </x:row>
    <x:row r="459" ht="30" customHeight="1">
      <x:c r="C459" s="64"/>
      <x:c r="D459" s="63"/>
      <x:c r="E459" s="63"/>
      <x:c r="F459" s="63"/>
      <x:c r="G459" s="63"/>
      <x:c r="H459" s="63"/>
      <x:c r="I459" s="63"/>
    </x:row>
    <x:row r="460" ht="30" customHeight="1">
      <x:c r="C460" s="64" t="str">
        <x:v>Dividend payout on positive PAT — active</x:v>
      </x:c>
      <x:c r="D460" s="63"/>
      <x:c r="E460" s="83" t="n">
        <x:f>IF(COUNT(CHOOSE('Controls'!$E$5,E461,E462,E463))=1,CHOOSE('Controls'!$E$5,E461,E462,E463),NA())</x:f>
        <x:v>0.25</x:v>
      </x:c>
      <x:c r="F460" s="83" t="n">
        <x:f>IF(COUNT(CHOOSE('Controls'!$E$5,F461,F462,F463))=1,CHOOSE('Controls'!$E$5,F461,F462,F463),NA())</x:f>
        <x:v>0.25</x:v>
      </x:c>
      <x:c r="G460" s="83" t="n">
        <x:f>IF(COUNT(CHOOSE('Controls'!$E$5,G461,G462,G463))=1,CHOOSE('Controls'!$E$5,G461,G462,G463),NA())</x:f>
        <x:v>0.25</x:v>
      </x:c>
      <x:c r="H460" s="83" t="n">
        <x:f>IF(COUNT(CHOOSE('Controls'!$E$5,H461,H462,H463))=1,CHOOSE('Controls'!$E$5,H461,H462,H463),NA())</x:f>
        <x:v>0.25</x:v>
      </x:c>
      <x:c r="I460" s="83" t="n">
        <x:f>IF(COUNT(CHOOSE('Controls'!$E$5,I461,I462,I463))=1,CHOOSE('Controls'!$E$5,I461,I462,I463),NA())</x:f>
        <x:v>0.25</x:v>
      </x:c>
    </x:row>
    <x:row r="461" ht="30" customHeight="1">
      <x:c r="C461" s="64" t="str">
        <x:v>Base</x:v>
      </x:c>
      <x:c r="D461" s="63"/>
      <x:c r="E461" s="85" t="n">
        <x:v>0.25</x:v>
      </x:c>
      <x:c r="F461" s="85" t="n">
        <x:v>0.25</x:v>
      </x:c>
      <x:c r="G461" s="85" t="n">
        <x:v>0.25</x:v>
      </x:c>
      <x:c r="H461" s="85" t="n">
        <x:v>0.25</x:v>
      </x:c>
      <x:c r="I461" s="85" t="n">
        <x:v>0.25</x:v>
      </x:c>
    </x:row>
    <x:row r="462" ht="30" customHeight="1">
      <x:c r="C462" s="64" t="str">
        <x:v>Downside</x:v>
      </x:c>
      <x:c r="D462" s="63"/>
      <x:c r="E462" s="85" t="n">
        <x:v>0.25</x:v>
      </x:c>
      <x:c r="F462" s="85" t="n">
        <x:v>0.25</x:v>
      </x:c>
      <x:c r="G462" s="85" t="n">
        <x:v>0.25</x:v>
      </x:c>
      <x:c r="H462" s="85" t="n">
        <x:v>0.25</x:v>
      </x:c>
      <x:c r="I462" s="85" t="n">
        <x:v>0.25</x:v>
      </x:c>
    </x:row>
    <x:row r="463" ht="30" customHeight="1">
      <x:c r="C463" s="64" t="str">
        <x:v>Upside</x:v>
      </x:c>
      <x:c r="D463" s="63"/>
      <x:c r="E463" s="85" t="n">
        <x:v>0.25</x:v>
      </x:c>
      <x:c r="F463" s="85" t="n">
        <x:v>0.25</x:v>
      </x:c>
      <x:c r="G463" s="85" t="n">
        <x:v>0.25</x:v>
      </x:c>
      <x:c r="H463" s="85" t="n">
        <x:v>0.25</x:v>
      </x:c>
      <x:c r="I463" s="85" t="n">
        <x:v>0.25</x:v>
      </x:c>
    </x:row>
    <x:row r="464" ht="30" customHeight="1">
      <x:c r="C464" s="64"/>
      <x:c r="D464" s="63"/>
      <x:c r="E464" s="63"/>
      <x:c r="F464" s="63"/>
      <x:c r="G464" s="63"/>
      <x:c r="H464" s="63"/>
      <x:c r="I464" s="63"/>
    </x:row>
    <x:row r="465" ht="30" customHeight="1">
      <x:c r="C465" s="64"/>
      <x:c r="D465" s="63"/>
      <x:c r="E465" s="63"/>
      <x:c r="F465" s="63"/>
      <x:c r="G465" s="63"/>
      <x:c r="H465" s="63"/>
      <x:c r="I465" s="63"/>
    </x:row>
    <x:row r="466" ht="30" customHeight="1">
      <x:c r="C466" s="64"/>
      <x:c r="D466" s="63"/>
      <x:c r="E466" s="63"/>
      <x:c r="F466" s="63"/>
      <x:c r="G466" s="63"/>
      <x:c r="H466" s="63"/>
      <x:c r="I466" s="63"/>
    </x:row>
    <x:row r="467" ht="30" customHeight="1">
      <x:c r="C467" s="64"/>
      <x:c r="D467" s="63"/>
      <x:c r="E467" s="63"/>
      <x:c r="F467" s="63"/>
      <x:c r="G467" s="63"/>
      <x:c r="H467" s="63"/>
      <x:c r="I467" s="63"/>
    </x:row>
    <x:row r="468" ht="30" customHeight="1">
      <x:c r="C468" s="64"/>
      <x:c r="D468" s="63"/>
      <x:c r="E468" s="63"/>
      <x:c r="F468" s="63"/>
      <x:c r="G468" s="63"/>
      <x:c r="H468" s="63"/>
      <x:c r="I468" s="63"/>
    </x:row>
    <x:row r="469" ht="30" customHeight="1">
      <x:c r="C469" s="64"/>
      <x:c r="D469" s="63"/>
      <x:c r="E469" s="63"/>
      <x:c r="F469" s="63"/>
      <x:c r="G469" s="63"/>
      <x:c r="H469" s="63"/>
      <x:c r="I469" s="63"/>
    </x:row>
    <x:row r="470" ht="30" customHeight="1">
      <x:c r="C470" s="64"/>
      <x:c r="D470" s="63"/>
      <x:c r="E470" s="63"/>
      <x:c r="F470" s="63"/>
      <x:c r="G470" s="63"/>
      <x:c r="H470" s="63"/>
      <x:c r="I470" s="63"/>
    </x:row>
    <x:row r="471" ht="30" customHeight="1">
      <x:c r="C471" s="64"/>
      <x:c r="D471" s="63"/>
      <x:c r="E471" s="63"/>
      <x:c r="F471" s="63"/>
      <x:c r="G471" s="63"/>
      <x:c r="H471" s="63"/>
      <x:c r="I471" s="63"/>
    </x:row>
    <x:row r="472" ht="30" customHeight="1">
      <x:c r="C472" s="64"/>
      <x:c r="D472" s="63"/>
      <x:c r="E472" s="63"/>
      <x:c r="F472" s="63"/>
      <x:c r="G472" s="63"/>
      <x:c r="H472" s="63"/>
      <x:c r="I472" s="63"/>
    </x:row>
    <x:row r="473" ht="30" customHeight="1">
      <x:c r="C473" s="64"/>
      <x:c r="D473" s="63"/>
      <x:c r="E473" s="63"/>
      <x:c r="F473" s="63"/>
      <x:c r="G473" s="63"/>
      <x:c r="H473" s="63"/>
      <x:c r="I473" s="63"/>
    </x:row>
    <x:row r="474" ht="30" customHeight="1">
      <x:c r="C474" s="64"/>
      <x:c r="D474" s="63"/>
      <x:c r="E474" s="63"/>
      <x:c r="F474" s="63"/>
      <x:c r="G474" s="63"/>
      <x:c r="H474" s="63"/>
      <x:c r="I474" s="63"/>
    </x:row>
    <x:row r="475" ht="30" customHeight="1">
      <x:c r="C475" s="64"/>
      <x:c r="D475" s="63"/>
      <x:c r="E475" s="63"/>
      <x:c r="F475" s="63"/>
      <x:c r="G475" s="63"/>
      <x:c r="H475" s="63"/>
      <x:c r="I475" s="63"/>
    </x:row>
    <x:row r="476" ht="30" customHeight="1">
      <x:c r="C476" s="64"/>
      <x:c r="D476" s="63"/>
      <x:c r="E476" s="63"/>
      <x:c r="F476" s="63"/>
      <x:c r="G476" s="63"/>
      <x:c r="H476" s="63"/>
      <x:c r="I476" s="63"/>
    </x:row>
    <x:row r="477" ht="30" customHeight="1">
      <x:c r="C477" s="64"/>
      <x:c r="D477" s="63"/>
      <x:c r="E477" s="63"/>
      <x:c r="F477" s="63"/>
      <x:c r="G477" s="63"/>
      <x:c r="H477" s="63"/>
      <x:c r="I477" s="63"/>
    </x:row>
    <x:row r="478" ht="30" customHeight="1">
      <x:c r="C478" s="64"/>
      <x:c r="D478" s="63"/>
      <x:c r="E478" s="63"/>
      <x:c r="F478" s="63"/>
      <x:c r="G478" s="63"/>
      <x:c r="H478" s="63"/>
      <x:c r="I478" s="63"/>
    </x:row>
    <x:row r="479" ht="30" customHeight="1">
      <x:c r="C479" s="64"/>
      <x:c r="D479" s="63"/>
      <x:c r="E479" s="63"/>
      <x:c r="F479" s="63"/>
      <x:c r="G479" s="63"/>
      <x:c r="H479" s="63"/>
      <x:c r="I479" s="63"/>
    </x:row>
    <x:row r="480" ht="30" customHeight="1">
      <x:c r="C480" s="64"/>
      <x:c r="D480" s="63"/>
      <x:c r="E480" s="63"/>
      <x:c r="F480" s="63"/>
      <x:c r="G480" s="63"/>
      <x:c r="H480" s="63"/>
      <x:c r="I480" s="63"/>
    </x:row>
    <x:row r="481" ht="30" customHeight="1">
      <x:c r="C481" s="64"/>
      <x:c r="D481" s="63"/>
      <x:c r="E481" s="63"/>
      <x:c r="F481" s="63"/>
      <x:c r="G481" s="63"/>
      <x:c r="H481" s="63"/>
      <x:c r="I481" s="63"/>
    </x:row>
    <x:row r="482" ht="30" customHeight="1">
      <x:c r="C482" s="64"/>
      <x:c r="D482" s="63"/>
      <x:c r="E482" s="63"/>
      <x:c r="F482" s="63"/>
      <x:c r="G482" s="63"/>
      <x:c r="H482" s="63"/>
      <x:c r="I482" s="63"/>
    </x:row>
    <x:row r="483" ht="30" customHeight="1">
      <x:c r="C483" s="64"/>
      <x:c r="D483" s="63"/>
      <x:c r="E483" s="63"/>
      <x:c r="F483" s="63"/>
      <x:c r="G483" s="63"/>
      <x:c r="H483" s="63"/>
      <x:c r="I483" s="63"/>
    </x:row>
    <x:row r="484" ht="30" customHeight="1">
      <x:c r="C484" s="64"/>
      <x:c r="D484" s="63"/>
      <x:c r="E484" s="63"/>
      <x:c r="F484" s="63"/>
      <x:c r="G484" s="63"/>
      <x:c r="H484" s="63"/>
      <x:c r="I484" s="63"/>
    </x:row>
    <x:row r="485" ht="30" customHeight="1">
      <x:c r="C485" s="64"/>
      <x:c r="D485" s="63"/>
      <x:c r="E485" s="63"/>
      <x:c r="F485" s="63"/>
      <x:c r="G485" s="63"/>
      <x:c r="H485" s="63"/>
      <x:c r="I485" s="63"/>
    </x:row>
    <x:row r="486" ht="30" customHeight="1">
      <x:c r="C486" s="64"/>
      <x:c r="D486" s="63"/>
      <x:c r="E486" s="63"/>
      <x:c r="F486" s="63"/>
      <x:c r="G486" s="63"/>
      <x:c r="H486" s="63"/>
      <x:c r="I486" s="63"/>
    </x:row>
    <x:row r="487" ht="30" customHeight="1">
      <x:c r="C487" s="64"/>
      <x:c r="D487" s="63"/>
      <x:c r="E487" s="63"/>
      <x:c r="F487" s="63"/>
      <x:c r="G487" s="63"/>
      <x:c r="H487" s="63"/>
      <x:c r="I487" s="63"/>
    </x:row>
    <x:row r="488" ht="30" customHeight="1">
      <x:c r="C488" s="64"/>
      <x:c r="D488" s="63"/>
      <x:c r="E488" s="63"/>
      <x:c r="F488" s="63"/>
      <x:c r="G488" s="63"/>
      <x:c r="H488" s="63"/>
      <x:c r="I488" s="63"/>
    </x:row>
    <x:row r="489" ht="30" customHeight="1">
      <x:c r="C489" s="64"/>
      <x:c r="D489" s="63"/>
      <x:c r="E489" s="63"/>
      <x:c r="F489" s="63"/>
      <x:c r="G489" s="63"/>
      <x:c r="H489" s="63"/>
      <x:c r="I489" s="63"/>
    </x:row>
    <x:row r="490" ht="30" customHeight="1">
      <x:c r="C490" s="64"/>
      <x:c r="D490" s="63"/>
      <x:c r="E490" s="63"/>
      <x:c r="F490" s="63"/>
      <x:c r="G490" s="63"/>
      <x:c r="H490" s="63"/>
      <x:c r="I490" s="63"/>
    </x:row>
    <x:row r="491" ht="30" customHeight="1">
      <x:c r="C491" s="64"/>
      <x:c r="D491" s="63"/>
      <x:c r="E491" s="63"/>
      <x:c r="F491" s="63"/>
      <x:c r="G491" s="63"/>
      <x:c r="H491" s="63"/>
      <x:c r="I491" s="63"/>
    </x:row>
    <x:row r="492" ht="30" customHeight="1">
      <x:c r="C492" s="64"/>
      <x:c r="D492" s="63"/>
      <x:c r="E492" s="63"/>
      <x:c r="F492" s="63"/>
      <x:c r="G492" s="63"/>
      <x:c r="H492" s="63"/>
      <x:c r="I492" s="63"/>
    </x:row>
    <x:row r="493" ht="30" customHeight="1">
      <x:c r="C493" s="64"/>
      <x:c r="D493" s="63"/>
      <x:c r="E493" s="63"/>
      <x:c r="F493" s="63"/>
      <x:c r="G493" s="63"/>
      <x:c r="H493" s="63"/>
      <x:c r="I493" s="63"/>
    </x:row>
    <x:row r="494" ht="30" customHeight="1">
      <x:c r="C494" s="64"/>
      <x:c r="D494" s="63"/>
      <x:c r="E494" s="63"/>
      <x:c r="F494" s="63"/>
      <x:c r="G494" s="63"/>
      <x:c r="H494" s="63"/>
      <x:c r="I494" s="63"/>
    </x:row>
    <x:row r="495" ht="30" customHeight="1">
      <x:c r="C495" s="64"/>
      <x:c r="D495" s="63"/>
      <x:c r="E495" s="63"/>
      <x:c r="F495" s="63"/>
      <x:c r="G495" s="63"/>
      <x:c r="H495" s="63"/>
      <x:c r="I495" s="63"/>
    </x:row>
    <x:row r="496" ht="30" customHeight="1">
      <x:c r="C496" s="64"/>
      <x:c r="D496" s="63"/>
      <x:c r="E496" s="63"/>
      <x:c r="F496" s="63"/>
      <x:c r="G496" s="63"/>
      <x:c r="H496" s="63"/>
      <x:c r="I496" s="63"/>
    </x:row>
    <x:row r="497" ht="30" customHeight="1">
      <x:c r="C497" s="64"/>
      <x:c r="D497" s="63"/>
      <x:c r="E497" s="63"/>
      <x:c r="F497" s="63"/>
      <x:c r="G497" s="63"/>
      <x:c r="H497" s="63"/>
      <x:c r="I497" s="63"/>
    </x:row>
    <x:row r="498" ht="30" customHeight="1">
      <x:c r="C498" s="64"/>
      <x:c r="D498" s="63"/>
      <x:c r="E498" s="63"/>
      <x:c r="F498" s="63"/>
      <x:c r="G498" s="63"/>
      <x:c r="H498" s="63"/>
      <x:c r="I498" s="63"/>
    </x:row>
    <x:row r="499" ht="30" customHeight="1">
      <x:c r="C499" s="64"/>
      <x:c r="D499" s="63"/>
      <x:c r="E499" s="63"/>
      <x:c r="F499" s="63"/>
      <x:c r="G499" s="63"/>
      <x:c r="H499" s="63"/>
      <x:c r="I499" s="63"/>
    </x:row>
    <x:row r="500" ht="30" customHeight="1">
      <x:c r="C500" s="64"/>
      <x:c r="D500" s="63"/>
      <x:c r="E500" s="63"/>
      <x:c r="F500" s="63"/>
      <x:c r="G500" s="63"/>
      <x:c r="H500" s="63"/>
      <x:c r="I500" s="63"/>
    </x:row>
    <x:row r="501" ht="30" customHeight="1">
      <x:c r="C501" s="64"/>
      <x:c r="D501" s="63"/>
      <x:c r="E501" s="63"/>
      <x:c r="F501" s="63"/>
      <x:c r="G501" s="63"/>
      <x:c r="H501" s="63"/>
      <x:c r="I501" s="63"/>
    </x:row>
    <x:row r="502" ht="30" customHeight="1">
      <x:c r="C502" s="64"/>
      <x:c r="D502" s="63"/>
      <x:c r="E502" s="63"/>
      <x:c r="F502" s="63"/>
      <x:c r="G502" s="63"/>
      <x:c r="H502" s="63"/>
      <x:c r="I502" s="63"/>
    </x:row>
    <x:row r="503" ht="30" customHeight="1">
      <x:c r="C503" s="64"/>
      <x:c r="D503" s="63"/>
      <x:c r="E503" s="63"/>
      <x:c r="F503" s="63"/>
      <x:c r="G503" s="63"/>
      <x:c r="H503" s="63"/>
      <x:c r="I503" s="63"/>
    </x:row>
    <x:row r="504" ht="30" customHeight="1">
      <x:c r="C504" s="64"/>
      <x:c r="D504" s="63"/>
      <x:c r="E504" s="63"/>
      <x:c r="F504" s="63"/>
      <x:c r="G504" s="63"/>
      <x:c r="H504" s="63"/>
      <x:c r="I504" s="63"/>
    </x:row>
    <x:row r="505" ht="30" customHeight="1">
      <x:c r="C505" s="64"/>
      <x:c r="D505" s="63"/>
      <x:c r="E505" s="63"/>
      <x:c r="F505" s="63"/>
      <x:c r="G505" s="63"/>
      <x:c r="H505" s="63"/>
      <x:c r="I505" s="63"/>
    </x:row>
    <x:row r="506" ht="30" customHeight="1">
      <x:c r="C506" s="64"/>
      <x:c r="D506" s="63"/>
      <x:c r="E506" s="63"/>
      <x:c r="F506" s="63"/>
      <x:c r="G506" s="63"/>
      <x:c r="H506" s="63"/>
      <x:c r="I506" s="63"/>
    </x:row>
    <x:row r="507" ht="30" customHeight="1">
      <x:c r="C507" s="64"/>
      <x:c r="D507" s="63"/>
      <x:c r="E507" s="63"/>
      <x:c r="F507" s="63"/>
      <x:c r="G507" s="63"/>
      <x:c r="H507" s="63"/>
      <x:c r="I507" s="63"/>
    </x:row>
    <x:row r="508" ht="30" customHeight="1">
      <x:c r="C508" s="64"/>
      <x:c r="D508" s="63"/>
      <x:c r="E508" s="63"/>
      <x:c r="F508" s="63"/>
      <x:c r="G508" s="63"/>
      <x:c r="H508" s="63"/>
      <x:c r="I508" s="63"/>
    </x:row>
    <x:row r="509" ht="30" customHeight="1">
      <x:c r="C509" s="64"/>
      <x:c r="D509" s="63"/>
      <x:c r="E509" s="63"/>
      <x:c r="F509" s="63"/>
      <x:c r="G509" s="63"/>
      <x:c r="H509" s="63"/>
      <x:c r="I509" s="63"/>
    </x:row>
    <x:row r="510" ht="30" customHeight="1">
      <x:c r="C510" s="64"/>
      <x:c r="D510" s="63"/>
      <x:c r="E510" s="63"/>
      <x:c r="F510" s="63"/>
      <x:c r="G510" s="63"/>
      <x:c r="H510" s="63"/>
      <x:c r="I510" s="63"/>
    </x:row>
  </x:sheetData>
  <x:mergeCells>
    <x:mergeCell ref="M2:U2"/>
    <x:mergeCell ref="M9:U9"/>
    <x:mergeCell ref="M10:U10"/>
    <x:mergeCell ref="M30:U30"/>
    <x:mergeCell ref="M43:U44"/>
    <x:mergeCell ref="M48:R48"/>
    <x:mergeCell ref="M58:R58"/>
    <x:mergeCell ref="M68:R68"/>
  </x:mergeCells>
  <x:conditionalFormatting sqref="E100:I100">
    <x:cfRule type="expression" dxfId="25" priority="1">
      <x:formula>ABS(E100)&gt;0.01</x:formula>
    </x:cfRule>
  </x:conditionalFormatting>
  <x:conditionalFormatting sqref="E101:I101">
    <x:cfRule type="expression" dxfId="26" priority="2">
      <x:formula>ABS(E101)&gt;0.01</x:formula>
    </x:cfRule>
  </x:conditionalFormatting>
  <x:conditionalFormatting sqref="E102:I102">
    <x:cfRule type="expression" dxfId="27" priority="3">
      <x:formula>ABS(E102)&gt;0.01</x:formula>
    </x:cfRule>
  </x:conditionalFormatting>
  <x:conditionalFormatting sqref="E103:I103">
    <x:cfRule type="expression" dxfId="28" priority="4">
      <x:formula>ABS(E103)&gt;0.01</x:formula>
    </x:cfRule>
  </x:conditionalFormatting>
  <x:conditionalFormatting sqref="E104:I104">
    <x:cfRule type="expression" dxfId="29" priority="5">
      <x:formula>ABS(E104)&gt;0.01</x:formula>
    </x:cfRule>
  </x:conditionalFormatting>
  <x:conditionalFormatting sqref="E180:I205">
    <x:cfRule type="cellIs" dxfId="81" priority="6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d200d70867bb4a1b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88" hidden="0" customWidth="1"/>
    <x:col min="13" max="13" width="3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45" hidden="0" customWidth="1"/>
  </x:cols>
  <x:sheetData>
    <x:row r="1" ht="18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  <x:c r="K1" s="1"/>
    </x:row>
    <x:row r="2" ht="32" customHeight="1">
      <x:c r="A2" s="1"/>
      <x:c r="B2" s="1"/>
      <x:c r="C2" s="3" t="str">
        <x:v>Hospitals</x:v>
      </x:c>
      <x:c r="D2" s="2"/>
      <x:c r="E2" s="2"/>
      <x:c r="F2" s="2"/>
      <x:c r="G2" s="2"/>
      <x:c r="H2" s="2"/>
      <x:c r="I2" s="2"/>
      <x:c r="J2" s="1"/>
      <x:c r="K2" s="1"/>
      <x:c r="M2" s="86" t="str">
        <x:v>Hospitals | Client summary</x:v>
      </x:c>
      <x:c r="N2" s="86"/>
      <x:c r="O2" s="86"/>
      <x:c r="P2" s="86"/>
      <x:c r="Q2" s="86"/>
      <x:c r="R2" s="86"/>
      <x:c r="S2" s="86"/>
      <x:c r="T2" s="86"/>
      <x:c r="U2" s="86"/>
      <x:c r="V2" s="63"/>
      <x:c r="X2" t="str">
        <x:v>Forecast year</x:v>
      </x:c>
      <x:c r="Y2" t="str">
        <x:v>Income</x:v>
      </x:c>
      <x:c r="Z2" t="str">
        <x:v>Profit after tax</x:v>
      </x:c>
    </x:row>
    <x:row r="3" ht="18" customHeight="1">
      <x:c r="A3" s="1"/>
      <x:c r="B3" s="1"/>
      <x:c r="C3" s="4"/>
      <x:c r="D3" s="5"/>
      <x:c r="E3" s="5"/>
      <x:c r="F3" s="5"/>
      <x:c r="G3" s="5"/>
      <x:c r="H3" s="5"/>
      <x:c r="I3" s="5"/>
      <x:c r="J3" s="1"/>
      <x:c r="K3" s="1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X3" t="n">
        <x:f>'Controls'!$E$17+0</x:f>
        <x:v>2027</x:v>
      </x:c>
      <x:c r="Y3" t="n">
        <x:f>E48</x:f>
        <x:v>2545.1917200000003</x:v>
      </x:c>
      <x:c r="Z3" t="n">
        <x:f>E59</x:f>
        <x:v>236.43738539999998</x:v>
      </x:c>
    </x:row>
    <x:row r="4" ht="18" customHeight="1">
      <x:c r="A4" s="1"/>
      <x:c r="B4" s="1"/>
      <x:c r="C4" s="1" t="str">
        <x:v>Illustrative assumptions. Financial amounts in INR crore.</x:v>
      </x:c>
      <x:c r="D4" s="2"/>
      <x:c r="E4" s="2"/>
      <x:c r="F4" s="2"/>
      <x:c r="G4" s="2"/>
      <x:c r="H4" s="2"/>
      <x:c r="I4" s="2"/>
      <x:c r="J4" s="1"/>
      <x:c r="K4" s="1"/>
      <x:c r="M4" s="63" t="str">
        <x:v>Company / model name</x:v>
      </x:c>
      <x:c r="N4" s="63" t="str">
        <x:v>Illustrative company</x:v>
      </x:c>
      <x:c r="O4" s="63"/>
      <x:c r="P4" s="63"/>
      <x:c r="Q4" s="63"/>
      <x:c r="R4" s="63"/>
      <x:c r="S4" s="63"/>
      <x:c r="T4" s="63"/>
      <x:c r="U4" s="63"/>
      <x:c r="V4" s="63"/>
      <x:c r="X4" t="n">
        <x:f>'Controls'!$E$17+1</x:f>
        <x:v>2028</x:v>
      </x:c>
      <x:c r="Y4" t="n">
        <x:f>F48</x:f>
        <x:v>2899.9914457680006</x:v>
      </x:c>
      <x:c r="Z4" t="n">
        <x:f>F59</x:f>
        <x:v>312.40578781476</x:v>
      </x:c>
    </x:row>
    <x:row r="5" ht="18" customHeight="1">
      <x:c r="A5" s="1"/>
      <x:c r="B5" s="1"/>
      <x:c r="C5" s="1" t="str">
        <x:v>Selected case</x:v>
      </x:c>
      <x:c r="D5" s="2"/>
      <x:c r="E5" s="10" t="str">
        <x:f>'Controls'!E6</x:f>
        <x:v>Base</x:v>
      </x:c>
      <x:c r="F5" s="2"/>
      <x:c r="G5" s="2"/>
      <x:c r="H5" s="2"/>
      <x:c r="I5" s="2"/>
      <x:c r="J5" s="1"/>
      <x:c r="K5" s="1"/>
      <x:c r="M5" s="63" t="str">
        <x:v>Valuation date</x:v>
      </x:c>
      <x:c r="N5" s="87" t="n">
        <x:f>'Controls'!E18</x:f>
        <x:v>46112</x:v>
      </x:c>
      <x:c r="O5" s="63"/>
      <x:c r="P5" s="63"/>
      <x:c r="Q5" s="63"/>
      <x:c r="R5" s="63"/>
      <x:c r="S5" s="63"/>
      <x:c r="T5" s="63"/>
      <x:c r="U5" s="63"/>
      <x:c r="V5" s="63"/>
      <x:c r="X5" t="n">
        <x:f>'Controls'!$E$17+2</x:f>
        <x:v>2029</x:v>
      </x:c>
      <x:c r="Y5" t="n">
        <x:f>G48</x:f>
        <x:v>3304.2502533080597</x:v>
      </x:c>
      <x:c r="Z5" t="n">
        <x:f>G59</x:f>
        <x:v>395.52976699603755</x:v>
      </x:c>
    </x:row>
    <x:row r="6" ht="18" customHeight="1">
      <x:c r="A6" s="1"/>
      <x:c r="B6" s="1"/>
      <x:c r="C6" s="1"/>
      <x:c r="D6" s="2"/>
      <x:c r="E6" s="2"/>
      <x:c r="F6" s="2"/>
      <x:c r="G6" s="2"/>
      <x:c r="H6" s="2"/>
      <x:c r="I6" s="2"/>
      <x:c r="J6" s="1"/>
      <x:c r="K6" s="1"/>
      <x:c r="M6" s="63" t="str">
        <x:v>Selected case</x:v>
      </x:c>
      <x:c r="N6" s="63" t="str">
        <x:f>'Controls'!E6</x:f>
        <x:v>Base</x:v>
      </x:c>
      <x:c r="O6" s="63"/>
      <x:c r="P6" s="63"/>
      <x:c r="Q6" s="63"/>
      <x:c r="R6" s="63"/>
      <x:c r="S6" s="63"/>
      <x:c r="T6" s="63"/>
      <x:c r="U6" s="63"/>
      <x:c r="V6" s="63"/>
      <x:c r="X6" t="n">
        <x:f>'Controls'!$E$17+3</x:f>
        <x:v>2030</x:v>
      </x:c>
      <x:c r="Y6" t="n">
        <x:f>H48</x:f>
        <x:v>3764.8627386192034</x:v>
      </x:c>
      <x:c r="Z6" t="n">
        <x:f>H59</x:f>
        <x:v>487.04392533779424</x:v>
      </x:c>
    </x:row>
    <x:row r="7" ht="18" customHeight="1">
      <x:c r="A7" s="1"/>
      <x:c r="B7" s="1"/>
      <x:c r="C7" s="15" t="str">
        <x:v>Metric</x:v>
      </x:c>
      <x:c r="D7" s="16" t="str">
        <x:v>Opening / seed</x:v>
      </x:c>
      <x:c r="E7" s="65" t="n">
        <x:f>'Controls'!$E$17+0</x:f>
        <x:v>2027</x:v>
      </x:c>
      <x:c r="F7" s="65" t="n">
        <x:f>'Controls'!$E$17+1</x:f>
        <x:v>2028</x:v>
      </x:c>
      <x:c r="G7" s="65" t="n">
        <x:f>'Controls'!$E$17+2</x:f>
        <x:v>2029</x:v>
      </x:c>
      <x:c r="H7" s="65" t="n">
        <x:f>'Controls'!$E$17+3</x:f>
        <x:v>2030</x:v>
      </x:c>
      <x:c r="I7" s="65" t="n">
        <x:f>'Controls'!$E$17+4</x:f>
        <x:v>2031</x:v>
      </x:c>
      <x:c r="J7" s="1"/>
      <x:c r="K7" s="1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X7" t="n">
        <x:f>'Controls'!$E$17+4</x:f>
        <x:v>2031</x:v>
      </x:c>
      <x:c r="Y7" t="n">
        <x:f>I48</x:f>
        <x:v>4289.68460438272</x:v>
      </x:c>
      <x:c r="Z7" t="n">
        <x:f>I59</x:f>
        <x:v>588.3336284583659</x:v>
      </x:c>
    </x:row>
    <x:row r="8" ht="18" customHeight="1">
      <x:c r="A8" s="1"/>
      <x:c r="B8" s="1"/>
      <x:c r="C8" s="1"/>
      <x:c r="D8" s="2"/>
      <x:c r="E8" s="2"/>
      <x:c r="F8" s="2"/>
      <x:c r="G8" s="2"/>
      <x:c r="H8" s="2"/>
      <x:c r="I8" s="2"/>
      <x:c r="J8" s="1"/>
      <x:c r="K8" s="1"/>
      <x:c r="M8" s="63" t="str">
        <x:v>Equity value (INR crore)</x:v>
      </x:c>
      <x:c r="N8" s="8" t="n">
        <x:f>E95</x:f>
        <x:v>3955.0517209783484</x:v>
      </x:c>
      <x:c r="O8" s="63"/>
      <x:c r="P8" s="63"/>
      <x:c r="Q8" s="63"/>
      <x:c r="R8" s="63"/>
      <x:c r="S8" s="63"/>
      <x:c r="T8" s="63"/>
      <x:c r="U8" s="63"/>
      <x:c r="V8" s="63"/>
    </x:row>
    <x:row r="9" ht="18" customHeight="1">
      <x:c r="A9" s="1"/>
      <x:c r="B9" s="1"/>
      <x:c r="C9" s="19" t="str">
        <x:v>OPERATING ASSUMPTIONS</x:v>
      </x:c>
      <x:c r="D9" s="20"/>
      <x:c r="E9" s="20"/>
      <x:c r="F9" s="20"/>
      <x:c r="G9" s="20"/>
      <x:c r="H9" s="20"/>
      <x:c r="I9" s="20"/>
      <x:c r="J9" s="1"/>
      <x:c r="K9" s="1"/>
      <x:c r="M9" s="63" t="str">
        <x:f>IF(MAX(E101,F101,G101,H101,I101,E102,F102,G102,H102,I102,E103,F103,G103,H103,I103,E104,F104,G104,H104,I104,E105,F105,G105,H105,I105,E180:I206)&gt;0.01,"ATTENTION: model checks contain exceptions",IF(MIN(E101,F101,G101,H101,I101,E102,F102,G102,H102,I102,E103,F103,G103,H103,I103,E104,F104,G104,H104,I104,E105,F105,G105,H105,I105,E180:I206)&lt;-0.01,"ATTENTION: model checks contain exceptions","Model checks clear; review company assumptions"))</x:f>
        <x:v>Model checks clear; review company assumptions</x:v>
      </x:c>
      <x:c r="N9" s="63"/>
      <x:c r="O9" s="63"/>
      <x:c r="P9" s="63"/>
      <x:c r="Q9" s="63"/>
      <x:c r="R9" s="63"/>
      <x:c r="S9" s="63"/>
      <x:c r="T9" s="63"/>
      <x:c r="U9" s="63"/>
      <x:c r="V9" s="63"/>
    </x:row>
    <x:row r="10" ht="18" customHeight="1">
      <x:c r="A10" s="1"/>
      <x:c r="B10" s="1"/>
      <x:c r="C10" s="1" t="str">
        <x:v>Average operational beds — seed</x:v>
      </x:c>
      <x:c r="D10" s="7" t="n">
        <x:v>2000</x:v>
      </x:c>
      <x:c r="E10" s="2"/>
      <x:c r="F10" s="2"/>
      <x:c r="G10" s="2"/>
      <x:c r="H10" s="2"/>
      <x:c r="I10" s="2"/>
      <x:c r="J10" s="1"/>
      <x:c r="K10" s="1" t="str">
        <x:v>Input provenance: all amber cells are constructed examples, not external observations.</x:v>
      </x:c>
      <x:c r="M10" s="63" t="str">
        <x:v>Illustrative inputs; replace with company evidence.</x:v>
      </x:c>
      <x:c r="N10" s="63"/>
      <x:c r="O10" s="63"/>
      <x:c r="P10" s="63"/>
      <x:c r="Q10" s="63"/>
      <x:c r="R10" s="63"/>
      <x:c r="S10" s="63"/>
      <x:c r="T10" s="63"/>
      <x:c r="U10" s="63"/>
      <x:c r="V10" s="63"/>
    </x:row>
    <x:row r="11" ht="18" customHeight="1">
      <x:c r="A11" s="1"/>
      <x:c r="B11" s="1"/>
      <x:c r="C11" s="1" t="str">
        <x:v>ARPOB (INR per occupied bed-day) — seed</x:v>
      </x:c>
      <x:c r="D11" s="7" t="n">
        <x:v>45000</x:v>
      </x:c>
      <x:c r="E11" s="2"/>
      <x:c r="F11" s="2"/>
      <x:c r="G11" s="2"/>
      <x:c r="H11" s="2"/>
      <x:c r="I11" s="2"/>
      <x:c r="J11" s="1"/>
      <x:c r="K11" s="1" t="str">
        <x:v>ARPOB here uses total modeled hospital revenue, including doctor fees. Reconcile issuer definitions before comparison.</x:v>
      </x:c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</x:row>
    <x:row r="12" ht="18" customHeight="1">
      <x:c r="A12" s="1"/>
      <x:c r="B12" s="1"/>
      <x:c r="C12" s="28" t="str">
        <x:v>Operating scale growth — active</x:v>
      </x:c>
      <x:c r="D12" s="29"/>
      <x:c r="E12" s="30" t="n">
        <x:f>IF(COUNT(INDEX(E13:E15,'Controls'!$E$5))=0,NA(),INDEX(E13:E15,'Controls'!$E$5))</x:f>
        <x:v>0.08</x:v>
      </x:c>
      <x:c r="F12" s="30" t="n">
        <x:f>IF(COUNT(INDEX(F13:F15,'Controls'!$E$5))=0,NA(),INDEX(F13:F15,'Controls'!$E$5))</x:f>
        <x:v>0.08</x:v>
      </x:c>
      <x:c r="G12" s="30" t="n">
        <x:f>IF(COUNT(INDEX(G13:G15,'Controls'!$E$5))=0,NA(),INDEX(G13:G15,'Controls'!$E$5))</x:f>
        <x:v>0.08</x:v>
      </x:c>
      <x:c r="H12" s="30" t="n">
        <x:f>IF(COUNT(INDEX(H13:H15,'Controls'!$E$5))=0,NA(),INDEX(H13:H15,'Controls'!$E$5))</x:f>
        <x:v>0.08</x:v>
      </x:c>
      <x:c r="I12" s="30" t="n">
        <x:f>IF(COUNT(INDEX(I13:I15,'Controls'!$E$5))=0,NA(),INDEX(I13:I15,'Controls'!$E$5))</x:f>
        <x:v>0.08</x:v>
      </x:c>
      <x:c r="J12" s="1"/>
      <x:c r="K12" s="1" t="str">
        <x:v>Five-year nominal INR model. Positive costs are subtracted. Discounting is end-of-year.</x:v>
      </x:c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</x:row>
    <x:row r="13" ht="18" customHeight="1">
      <x:c r="A13" s="1"/>
      <x:c r="B13" s="1"/>
      <x:c r="C13" s="23" t="str">
        <x:v>Base</x:v>
      </x:c>
      <x:c r="D13" s="24"/>
      <x:c r="E13" s="26" t="n">
        <x:v>0.08</x:v>
      </x:c>
      <x:c r="F13" s="26" t="n">
        <x:v>0.08</x:v>
      </x:c>
      <x:c r="G13" s="26" t="n">
        <x:v>0.08</x:v>
      </x:c>
      <x:c r="H13" s="26" t="n">
        <x:v>0.08</x:v>
      </x:c>
      <x:c r="I13" s="26" t="n">
        <x:v>0.08</x:v>
      </x:c>
      <x:c r="J13" s="1"/>
      <x:c r="K13" s="1" t="str">
        <x:v>Cash earns no interest; borrowing is explicit. Negative cash is an unfunded shortfall.</x:v>
      </x:c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</x:row>
    <x:row r="14" ht="18" customHeight="1">
      <x:c r="A14" s="1"/>
      <x:c r="B14" s="1"/>
      <x:c r="C14" s="23" t="str">
        <x:v>Downside</x:v>
      </x:c>
      <x:c r="D14" s="24"/>
      <x:c r="E14" s="26" t="n">
        <x:v>0.03</x:v>
      </x:c>
      <x:c r="F14" s="26" t="n">
        <x:v>0.03</x:v>
      </x:c>
      <x:c r="G14" s="26" t="n">
        <x:v>0.03</x:v>
      </x:c>
      <x:c r="H14" s="26" t="n">
        <x:v>0.03</x:v>
      </x:c>
      <x:c r="I14" s="26" t="n">
        <x:v>0.03</x:v>
      </x:c>
      <x:c r="J14" s="1"/>
      <x:c r="K14" s="1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</x:row>
    <x:row r="15" ht="18" customHeight="1">
      <x:c r="A15" s="1"/>
      <x:c r="B15" s="1"/>
      <x:c r="C15" s="23" t="str">
        <x:v>Upside</x:v>
      </x:c>
      <x:c r="D15" s="24"/>
      <x:c r="E15" s="26" t="n">
        <x:v>0.12</x:v>
      </x:c>
      <x:c r="F15" s="26" t="n">
        <x:v>0.12</x:v>
      </x:c>
      <x:c r="G15" s="26" t="n">
        <x:v>0.12</x:v>
      </x:c>
      <x:c r="H15" s="26" t="n">
        <x:v>0.12</x:v>
      </x:c>
      <x:c r="I15" s="26" t="n">
        <x:v>0.12</x:v>
      </x:c>
      <x:c r="J15" s="1"/>
      <x:c r="K15" s="1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</x:row>
    <x:row r="16" ht="18" customHeight="1">
      <x:c r="A16" s="1"/>
      <x:c r="B16" s="1"/>
      <x:c r="C16" s="28" t="str">
        <x:v>Realization growth — active</x:v>
      </x:c>
      <x:c r="D16" s="29"/>
      <x:c r="E16" s="30" t="n">
        <x:f>IF(COUNT(INDEX(E17:E19,'Controls'!$E$5))=0,NA(),INDEX(E17:E19,'Controls'!$E$5))</x:f>
        <x:v>0.055</x:v>
      </x:c>
      <x:c r="F16" s="30" t="n">
        <x:f>IF(COUNT(INDEX(F17:F19,'Controls'!$E$5))=0,NA(),INDEX(F17:F19,'Controls'!$E$5))</x:f>
        <x:v>0.055</x:v>
      </x:c>
      <x:c r="G16" s="30" t="n">
        <x:f>IF(COUNT(INDEX(G17:G19,'Controls'!$E$5))=0,NA(),INDEX(G17:G19,'Controls'!$E$5))</x:f>
        <x:v>0.055</x:v>
      </x:c>
      <x:c r="H16" s="30" t="n">
        <x:f>IF(COUNT(INDEX(H17:H19,'Controls'!$E$5))=0,NA(),INDEX(H17:H19,'Controls'!$E$5))</x:f>
        <x:v>0.055</x:v>
      </x:c>
      <x:c r="I16" s="30" t="n">
        <x:f>IF(COUNT(INDEX(I17:I19,'Controls'!$E$5))=0,NA(),INDEX(I17:I19,'Controls'!$E$5))</x:f>
        <x:v>0.055</x:v>
      </x:c>
      <x:c r="J16" s="1"/>
      <x:c r="K16" s="1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</x:row>
    <x:row r="17" ht="18" customHeight="1">
      <x:c r="A17" s="1"/>
      <x:c r="B17" s="1"/>
      <x:c r="C17" s="23" t="str">
        <x:v>Base</x:v>
      </x:c>
      <x:c r="D17" s="24"/>
      <x:c r="E17" s="26" t="n">
        <x:v>0.055</x:v>
      </x:c>
      <x:c r="F17" s="26" t="n">
        <x:v>0.055</x:v>
      </x:c>
      <x:c r="G17" s="26" t="n">
        <x:v>0.055</x:v>
      </x:c>
      <x:c r="H17" s="26" t="n">
        <x:v>0.055</x:v>
      </x:c>
      <x:c r="I17" s="26" t="n">
        <x:v>0.055</x:v>
      </x:c>
      <x:c r="J17" s="1"/>
      <x:c r="K17" s="1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</x:row>
    <x:row r="18" ht="18" customHeight="1">
      <x:c r="A18" s="1"/>
      <x:c r="B18" s="1"/>
      <x:c r="C18" s="23" t="str">
        <x:v>Downside</x:v>
      </x:c>
      <x:c r="D18" s="24"/>
      <x:c r="E18" s="26" t="n">
        <x:v>0.03</x:v>
      </x:c>
      <x:c r="F18" s="26" t="n">
        <x:v>0.03</x:v>
      </x:c>
      <x:c r="G18" s="26" t="n">
        <x:v>0.03</x:v>
      </x:c>
      <x:c r="H18" s="26" t="n">
        <x:v>0.03</x:v>
      </x:c>
      <x:c r="I18" s="26" t="n">
        <x:v>0.03</x:v>
      </x:c>
      <x:c r="J18" s="1"/>
      <x:c r="K18" s="1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</x:row>
    <x:row r="19" ht="18" customHeight="1">
      <x:c r="A19" s="1"/>
      <x:c r="B19" s="1"/>
      <x:c r="C19" s="23" t="str">
        <x:v>Upside</x:v>
      </x:c>
      <x:c r="D19" s="24"/>
      <x:c r="E19" s="26" t="n">
        <x:v>0.075</x:v>
      </x:c>
      <x:c r="F19" s="26" t="n">
        <x:v>0.075</x:v>
      </x:c>
      <x:c r="G19" s="26" t="n">
        <x:v>0.075</x:v>
      </x:c>
      <x:c r="H19" s="26" t="n">
        <x:v>0.075</x:v>
      </x:c>
      <x:c r="I19" s="26" t="n">
        <x:v>0.075</x:v>
      </x:c>
      <x:c r="J19" s="1"/>
      <x:c r="K19" s="1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</x:row>
    <x:row r="20" ht="18" customHeight="1">
      <x:c r="A20" s="1"/>
      <x:c r="B20" s="1"/>
      <x:c r="C20" s="23" t="str">
        <x:v>Occupancy</x:v>
      </x:c>
      <x:c r="D20" s="24"/>
      <x:c r="E20" s="26" t="n">
        <x:f>E400</x:f>
        <x:v>0.68</x:v>
      </x:c>
      <x:c r="F20" s="26" t="n">
        <x:f>F400</x:f>
        <x:v>0.68</x:v>
      </x:c>
      <x:c r="G20" s="26" t="n">
        <x:f>G400</x:f>
        <x:v>0.68</x:v>
      </x:c>
      <x:c r="H20" s="26" t="n">
        <x:f>H400</x:f>
        <x:v>0.68</x:v>
      </x:c>
      <x:c r="I20" s="26" t="n">
        <x:f>I400</x:f>
        <x:v>0.68</x:v>
      </x:c>
      <x:c r="J20" s="1"/>
      <x:c r="K20" s="1" t="str">
        <x:v>Use 100% when volume already represents actual sales.</x:v>
      </x:c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</x:row>
    <x:row r="21" ht="30" customHeight="1">
      <x:c r="A21" s="1"/>
      <x:c r="B21" s="1"/>
      <x:c r="C21" s="57" t="str">
        <x:v>Clinical consumables and doctor fees / revenue</x:v>
      </x:c>
      <x:c r="D21" s="24"/>
      <x:c r="E21" s="26" t="n">
        <x:f>E405</x:f>
        <x:v>0.4</x:v>
      </x:c>
      <x:c r="F21" s="26" t="n">
        <x:f>F405</x:f>
        <x:v>0.4</x:v>
      </x:c>
      <x:c r="G21" s="26" t="n">
        <x:f>G405</x:f>
        <x:v>0.4</x:v>
      </x:c>
      <x:c r="H21" s="26" t="n">
        <x:f>H405</x:f>
        <x:v>0.4</x:v>
      </x:c>
      <x:c r="I21" s="26" t="n">
        <x:f>I405</x:f>
        <x:v>0.4</x:v>
      </x:c>
      <x:c r="J21" s="1"/>
      <x:c r="K21" s="1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</x:row>
    <x:row r="22" ht="18" customHeight="1">
      <x:c r="A22" s="1"/>
      <x:c r="B22" s="1"/>
      <x:c r="C22" s="23" t="str">
        <x:v>Other cash operating costs / revenue</x:v>
      </x:c>
      <x:c r="D22" s="24"/>
      <x:c r="E22" s="26" t="n">
        <x:f>E410</x:f>
        <x:v>0.34</x:v>
      </x:c>
      <x:c r="F22" s="26" t="n">
        <x:f>F410</x:f>
        <x:v>0.34</x:v>
      </x:c>
      <x:c r="G22" s="26" t="n">
        <x:f>G410</x:f>
        <x:v>0.34</x:v>
      </x:c>
      <x:c r="H22" s="26" t="n">
        <x:f>H410</x:f>
        <x:v>0.34</x:v>
      </x:c>
      <x:c r="I22" s="26" t="n">
        <x:f>I410</x:f>
        <x:v>0.34</x:v>
      </x:c>
      <x:c r="J22" s="1"/>
      <x:c r="K22" s="1" t="str">
        <x:v>Includes fixed and selling costs, modeled as revenue share.</x:v>
      </x:c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</x:row>
    <x:row r="23" ht="18" customHeight="1">
      <x:c r="A23" s="1"/>
      <x:c r="B23" s="1"/>
      <x:c r="C23" s="1" t="str">
        <x:v>Average length of stay (days)</x:v>
      </x:c>
      <x:c r="D23" s="2"/>
      <x:c r="E23" s="7" t="n">
        <x:f>E415</x:f>
        <x:v>4</x:v>
      </x:c>
      <x:c r="F23" s="7" t="n">
        <x:f>F415</x:f>
        <x:v>4</x:v>
      </x:c>
      <x:c r="G23" s="7" t="n">
        <x:f>G415</x:f>
        <x:v>4</x:v>
      </x:c>
      <x:c r="H23" s="7" t="n">
        <x:f>H415</x:f>
        <x:v>4</x:v>
      </x:c>
      <x:c r="I23" s="7" t="n">
        <x:f>I415</x:f>
        <x:v>4</x:v>
      </x:c>
      <x:c r="J23" s="1"/>
      <x:c r="K23" s="1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</x:row>
    <x:row r="24" ht="18" customHeight="1">
      <x:c r="A24" s="1"/>
      <x:c r="B24" s="1"/>
      <x:c r="C24" s="23" t="str">
        <x:v>Cash capex / revenue</x:v>
      </x:c>
      <x:c r="D24" s="24"/>
      <x:c r="E24" s="26" t="n">
        <x:f>E420</x:f>
        <x:v>0.1</x:v>
      </x:c>
      <x:c r="F24" s="26" t="n">
        <x:f>F420</x:f>
        <x:v>0.1</x:v>
      </x:c>
      <x:c r="G24" s="26" t="n">
        <x:f>G420</x:f>
        <x:v>0.1</x:v>
      </x:c>
      <x:c r="H24" s="26" t="n">
        <x:f>H420</x:f>
        <x:v>0.1</x:v>
      </x:c>
      <x:c r="I24" s="26" t="n">
        <x:f>I420</x:f>
        <x:v>0.1</x:v>
      </x:c>
      <x:c r="J24" s="1"/>
      <x:c r="K24" s="1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</x:row>
    <x:row r="25" ht="18" customHeight="1">
      <x:c r="A25" s="1"/>
      <x:c r="B25" s="1"/>
      <x:c r="C25" s="23" t="str">
        <x:v>D&amp;A / opening net PP&amp;E</x:v>
      </x:c>
      <x:c r="D25" s="24"/>
      <x:c r="E25" s="26" t="n">
        <x:f>E425</x:f>
        <x:v>0.09</x:v>
      </x:c>
      <x:c r="F25" s="26" t="n">
        <x:f>F425</x:f>
        <x:v>0.09</x:v>
      </x:c>
      <x:c r="G25" s="26" t="n">
        <x:f>G425</x:f>
        <x:v>0.09</x:v>
      </x:c>
      <x:c r="H25" s="26" t="n">
        <x:f>H425</x:f>
        <x:v>0.09</x:v>
      </x:c>
      <x:c r="I25" s="26" t="n">
        <x:f>I425</x:f>
        <x:v>0.09</x:v>
      </x:c>
      <x:c r="J25" s="1"/>
      <x:c r="K25" s="1" t="str">
        <x:v>No disposals or impairments. Current-year capex begins depreciation next year.</x:v>
      </x:c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</x:row>
    <x:row r="26" ht="18" customHeight="1">
      <x:c r="A26" s="1"/>
      <x:c r="B26" s="1"/>
      <x:c r="C26" s="1" t="str">
        <x:v>Receivable days</x:v>
      </x:c>
      <x:c r="D26" s="2"/>
      <x:c r="E26" s="7" t="n">
        <x:f>E430</x:f>
        <x:v>55</x:v>
      </x:c>
      <x:c r="F26" s="7" t="n">
        <x:f>F430</x:f>
        <x:v>55</x:v>
      </x:c>
      <x:c r="G26" s="7" t="n">
        <x:f>G430</x:f>
        <x:v>55</x:v>
      </x:c>
      <x:c r="H26" s="7" t="n">
        <x:f>H430</x:f>
        <x:v>55</x:v>
      </x:c>
      <x:c r="I26" s="7" t="n">
        <x:f>I430</x:f>
        <x:v>55</x:v>
      </x:c>
      <x:c r="J26" s="1"/>
      <x:c r="K26" s="1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</x:row>
    <x:row r="27" ht="18" customHeight="1">
      <x:c r="A27" s="1"/>
      <x:c r="B27" s="1"/>
      <x:c r="C27" s="1" t="str">
        <x:v>Inventory days</x:v>
      </x:c>
      <x:c r="D27" s="2"/>
      <x:c r="E27" s="7" t="n">
        <x:f>E435</x:f>
        <x:v>15</x:v>
      </x:c>
      <x:c r="F27" s="7" t="n">
        <x:f>F435</x:f>
        <x:v>15</x:v>
      </x:c>
      <x:c r="G27" s="7" t="n">
        <x:f>G435</x:f>
        <x:v>15</x:v>
      </x:c>
      <x:c r="H27" s="7" t="n">
        <x:f>H435</x:f>
        <x:v>15</x:v>
      </x:c>
      <x:c r="I27" s="7" t="n">
        <x:f>I435</x:f>
        <x:v>15</x:v>
      </x:c>
      <x:c r="J27" s="1"/>
      <x:c r="K27" s="1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</x:row>
    <x:row r="28" ht="18" customHeight="1">
      <x:c r="A28" s="1"/>
      <x:c r="B28" s="1"/>
      <x:c r="C28" s="1" t="str">
        <x:v>Payable days</x:v>
      </x:c>
      <x:c r="D28" s="2"/>
      <x:c r="E28" s="7" t="n">
        <x:f>E440</x:f>
        <x:v>40</x:v>
      </x:c>
      <x:c r="F28" s="7" t="n">
        <x:f>F440</x:f>
        <x:v>40</x:v>
      </x:c>
      <x:c r="G28" s="7" t="n">
        <x:f>G440</x:f>
        <x:v>40</x:v>
      </x:c>
      <x:c r="H28" s="7" t="n">
        <x:f>H440</x:f>
        <x:v>40</x:v>
      </x:c>
      <x:c r="I28" s="7" t="n">
        <x:f>I440</x:f>
        <x:v>40</x:v>
      </x:c>
      <x:c r="J28" s="1"/>
      <x:c r="K28" s="1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</x:row>
    <x:row r="29" ht="18" customHeight="1">
      <x:c r="A29" s="1"/>
      <x:c r="B29" s="1"/>
      <x:c r="C29" s="23" t="str">
        <x:v>Effective cash tax rate</x:v>
      </x:c>
      <x:c r="D29" s="24"/>
      <x:c r="E29" s="26" t="n">
        <x:f>E445</x:f>
        <x:v>0.25</x:v>
      </x:c>
      <x:c r="F29" s="26" t="n">
        <x:f>F445</x:f>
        <x:v>0.25</x:v>
      </x:c>
      <x:c r="G29" s="26" t="n">
        <x:f>G445</x:f>
        <x:v>0.25</x:v>
      </x:c>
      <x:c r="H29" s="26" t="n">
        <x:f>H445</x:f>
        <x:v>0.25</x:v>
      </x:c>
      <x:c r="I29" s="26" t="n">
        <x:f>I445</x:f>
        <x:v>0.25</x:v>
      </x:c>
      <x:c r="J29" s="1"/>
      <x:c r="K29" s="1" t="str">
        <x:v>Illustrative assumption, not a statutory rate. No loss carryforwards or deferred tax.</x:v>
      </x:c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</x:row>
    <x:row r="30" ht="18" customHeight="1">
      <x:c r="A30" s="1"/>
      <x:c r="B30" s="1"/>
      <x:c r="C30" s="23" t="str">
        <x:v>Interest on opening debt</x:v>
      </x:c>
      <x:c r="D30" s="24"/>
      <x:c r="E30" s="26" t="n">
        <x:f>E450</x:f>
        <x:v>0.085</x:v>
      </x:c>
      <x:c r="F30" s="26" t="n">
        <x:f>F450</x:f>
        <x:v>0.085</x:v>
      </x:c>
      <x:c r="G30" s="26" t="n">
        <x:f>G450</x:f>
        <x:v>0.085</x:v>
      </x:c>
      <x:c r="H30" s="26" t="n">
        <x:f>H450</x:f>
        <x:v>0.085</x:v>
      </x:c>
      <x:c r="I30" s="26" t="n">
        <x:f>I450</x:f>
        <x:v>0.085</x:v>
      </x:c>
      <x:c r="J30" s="1"/>
      <x:c r="K30" s="1"/>
      <x:c r="M30" s="82" t="str">
        <x:v>Historical actuals and forecast | INR crore</x:v>
      </x:c>
      <x:c r="N30" s="82"/>
      <x:c r="O30" s="82"/>
      <x:c r="P30" s="82"/>
      <x:c r="Q30" s="82"/>
      <x:c r="R30" s="82"/>
      <x:c r="S30" s="82"/>
      <x:c r="T30" s="82"/>
      <x:c r="U30" s="82"/>
      <x:c r="V30" s="63"/>
    </x:row>
    <x:row r="31" ht="18" customHeight="1">
      <x:c r="A31" s="1"/>
      <x:c r="B31" s="1"/>
      <x:c r="C31" s="1" t="str">
        <x:v>New borrowing</x:v>
      </x:c>
      <x:c r="D31" s="2"/>
      <x:c r="E31" s="7" t="n">
        <x:f>E455</x:f>
        <x:v>0</x:v>
      </x:c>
      <x:c r="F31" s="7" t="n">
        <x:f>F455</x:f>
        <x:v>0</x:v>
      </x:c>
      <x:c r="G31" s="7" t="n">
        <x:f>G455</x:f>
        <x:v>0</x:v>
      </x:c>
      <x:c r="H31" s="7" t="n">
        <x:f>H455</x:f>
        <x:v>0</x:v>
      </x:c>
      <x:c r="I31" s="7" t="n">
        <x:f>I455</x:f>
        <x:v>0</x:v>
      </x:c>
      <x:c r="J31" s="1"/>
      <x:c r="K31" s="1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</x:row>
    <x:row r="32" ht="18" customHeight="1">
      <x:c r="A32" s="1"/>
      <x:c r="B32" s="1"/>
      <x:c r="C32" s="1" t="str">
        <x:v>Scheduled principal repayment</x:v>
      </x:c>
      <x:c r="D32" s="2"/>
      <x:c r="E32" s="7" t="n">
        <x:f>E460</x:f>
        <x:v>90</x:v>
      </x:c>
      <x:c r="F32" s="7" t="n">
        <x:f>F460</x:f>
        <x:v>90</x:v>
      </x:c>
      <x:c r="G32" s="7" t="n">
        <x:f>G460</x:f>
        <x:v>90</x:v>
      </x:c>
      <x:c r="H32" s="7" t="n">
        <x:f>H460</x:f>
        <x:v>90</x:v>
      </x:c>
      <x:c r="I32" s="7" t="n">
        <x:f>I460</x:f>
        <x:v>90</x:v>
      </x:c>
      <x:c r="J32" s="1"/>
      <x:c r="K32" s="1"/>
      <x:c r="M32" s="63" t="str">
        <x:v>Metric</x:v>
      </x:c>
      <x:c r="N32" s="88" t="n">
        <x:f>'Controls'!$E$17+-3</x:f>
        <x:v>2024</x:v>
      </x:c>
      <x:c r="O32" s="88" t="n">
        <x:f>'Controls'!$E$17+-2</x:f>
        <x:v>2025</x:v>
      </x:c>
      <x:c r="P32" s="88" t="n">
        <x:f>'Controls'!$E$17+-1</x:f>
        <x:v>2026</x:v>
      </x:c>
      <x:c r="Q32" s="89" t="n">
        <x:f>'Controls'!$E$17+0</x:f>
        <x:v>2027</x:v>
      </x:c>
      <x:c r="R32" s="89" t="n">
        <x:f>'Controls'!$E$17+1</x:f>
        <x:v>2028</x:v>
      </x:c>
      <x:c r="S32" s="89" t="n">
        <x:f>'Controls'!$E$17+2</x:f>
        <x:v>2029</x:v>
      </x:c>
      <x:c r="T32" s="89" t="n">
        <x:f>'Controls'!$E$17+3</x:f>
        <x:v>2030</x:v>
      </x:c>
      <x:c r="U32" s="89" t="n">
        <x:f>'Controls'!$E$17+4</x:f>
        <x:v>2031</x:v>
      </x:c>
      <x:c r="V32" s="63" t="str">
        <x:v>Source / reporting date</x:v>
      </x:c>
    </x:row>
    <x:row r="33" ht="18" customHeight="1">
      <x:c r="A33" s="1"/>
      <x:c r="B33" s="1"/>
      <x:c r="C33" s="23" t="str">
        <x:v>Dividend payout on positive PAT</x:v>
      </x:c>
      <x:c r="D33" s="24"/>
      <x:c r="E33" s="26" t="n">
        <x:f>E465</x:f>
        <x:v>0.25</x:v>
      </x:c>
      <x:c r="F33" s="26" t="n">
        <x:f>F465</x:f>
        <x:v>0.25</x:v>
      </x:c>
      <x:c r="G33" s="26" t="n">
        <x:f>G465</x:f>
        <x:v>0.25</x:v>
      </x:c>
      <x:c r="H33" s="26" t="n">
        <x:f>H465</x:f>
        <x:v>0.25</x:v>
      </x:c>
      <x:c r="I33" s="26" t="n">
        <x:f>I465</x:f>
        <x:v>0.25</x:v>
      </x:c>
      <x:c r="J33" s="1"/>
      <x:c r="K33" s="1"/>
      <x:c r="M33" s="63" t="str">
        <x:v>Income</x:v>
      </x:c>
      <x:c r="N33" s="74"/>
      <x:c r="O33" s="74"/>
      <x:c r="P33" s="74"/>
      <x:c r="Q33" s="8" t="n">
        <x:f>E48</x:f>
        <x:v>2545.1917200000003</x:v>
      </x:c>
      <x:c r="R33" s="8" t="n">
        <x:f>F48</x:f>
        <x:v>2899.9914457680006</x:v>
      </x:c>
      <x:c r="S33" s="8" t="n">
        <x:f>G48</x:f>
        <x:v>3304.2502533080597</x:v>
      </x:c>
      <x:c r="T33" s="8" t="n">
        <x:f>H48</x:f>
        <x:v>3764.8627386192034</x:v>
      </x:c>
      <x:c r="U33" s="8" t="n">
        <x:f>I48</x:f>
        <x:v>4289.68460438272</x:v>
      </x:c>
      <x:c r="V33" s="63"/>
    </x:row>
    <x:row r="34" ht="18" customHeight="1">
      <x:c r="A34" s="1"/>
      <x:c r="B34" s="1"/>
      <x:c r="C34" s="19" t="str">
        <x:v>OPENING BALANCE SHEET AND VALUATION INPUTS</x:v>
      </x:c>
      <x:c r="D34" s="20"/>
      <x:c r="E34" s="20"/>
      <x:c r="F34" s="20"/>
      <x:c r="G34" s="20"/>
      <x:c r="H34" s="20"/>
      <x:c r="I34" s="20"/>
      <x:c r="J34" s="1"/>
      <x:c r="K34" s="1"/>
      <x:c r="M34" s="63" t="str">
        <x:v>Profit after tax</x:v>
      </x:c>
      <x:c r="N34" s="74"/>
      <x:c r="O34" s="74"/>
      <x:c r="P34" s="74"/>
      <x:c r="Q34" s="8" t="n">
        <x:f>E59</x:f>
        <x:v>236.43738539999998</x:v>
      </x:c>
      <x:c r="R34" s="8" t="n">
        <x:f>F59</x:f>
        <x:v>312.40578781476</x:v>
      </x:c>
      <x:c r="S34" s="8" t="n">
        <x:f>G59</x:f>
        <x:v>395.52976699603755</x:v>
      </x:c>
      <x:c r="T34" s="8" t="n">
        <x:f>H59</x:f>
        <x:v>487.04392533779424</x:v>
      </x:c>
      <x:c r="U34" s="8" t="n">
        <x:f>I59</x:f>
        <x:v>588.3336284583659</x:v>
      </x:c>
      <x:c r="V34" s="63"/>
    </x:row>
    <x:row r="35" ht="18" customHeight="1">
      <x:c r="A35" s="1"/>
      <x:c r="B35" s="1"/>
      <x:c r="C35" s="1" t="str">
        <x:v>Opening net PP&amp;E</x:v>
      </x:c>
      <x:c r="D35" s="7" t="n">
        <x:v>3000</x:v>
      </x:c>
      <x:c r="E35" s="2"/>
      <x:c r="F35" s="2"/>
      <x:c r="G35" s="2"/>
      <x:c r="H35" s="2"/>
      <x:c r="I35" s="2"/>
      <x:c r="J35" s="1"/>
      <x:c r="K35" s="1"/>
      <x:c r="M35" s="63" t="str">
        <x:v>EBITDA</x:v>
      </x:c>
      <x:c r="N35" s="74"/>
      <x:c r="O35" s="74"/>
      <x:c r="P35" s="74"/>
      <x:c r="Q35" s="8" t="n">
        <x:f>E53</x:f>
        <x:v>661.7498472</x:v>
      </x:c>
      <x:c r="R35" s="8" t="n">
        <x:f>F53</x:f>
        <x:v>753.99777589968</x:v>
      </x:c>
      <x:c r="S35" s="8" t="n">
        <x:f>G53</x:f>
        <x:v>859.1050658600955</x:v>
      </x:c>
      <x:c r="T35" s="8" t="n">
        <x:f>H53</x:f>
        <x:v>978.8643120409927</x:v>
      </x:c>
      <x:c r="U35" s="8" t="n">
        <x:f>I53</x:f>
        <x:v>1115.317997139507</x:v>
      </x:c>
      <x:c r="V35" s="63"/>
    </x:row>
    <x:row r="36" ht="18" customHeight="1">
      <x:c r="A36" s="1"/>
      <x:c r="B36" s="1"/>
      <x:c r="C36" s="1" t="str">
        <x:v>Opening debt</x:v>
      </x:c>
      <x:c r="D36" s="7" t="n">
        <x:v>900</x:v>
      </x:c>
      <x:c r="E36" s="2"/>
      <x:c r="F36" s="2"/>
      <x:c r="G36" s="2"/>
      <x:c r="H36" s="2"/>
      <x:c r="I36" s="2"/>
      <x:c r="J36" s="1"/>
      <x:c r="K36" s="1"/>
      <x:c r="M36" s="63" t="str">
        <x:v>Closing debt</x:v>
      </x:c>
      <x:c r="N36" s="74"/>
      <x:c r="O36" s="74"/>
      <x:c r="P36" s="74"/>
      <x:c r="Q36" s="8" t="n">
        <x:f>E68</x:f>
        <x:v>810</x:v>
      </x:c>
      <x:c r="R36" s="8" t="n">
        <x:f>F68</x:f>
        <x:v>720</x:v>
      </x:c>
      <x:c r="S36" s="8" t="n">
        <x:f>G68</x:f>
        <x:v>630</x:v>
      </x:c>
      <x:c r="T36" s="8" t="n">
        <x:f>H68</x:f>
        <x:v>540</x:v>
      </x:c>
      <x:c r="U36" s="8" t="n">
        <x:f>I68</x:f>
        <x:v>450</x:v>
      </x:c>
      <x:c r="V36" s="63"/>
    </x:row>
    <x:row r="37" ht="18" customHeight="1">
      <x:c r="A37" s="1"/>
      <x:c r="B37" s="1"/>
      <x:c r="C37" s="1" t="str">
        <x:v>Opening cash</x:v>
      </x:c>
      <x:c r="D37" s="7" t="n">
        <x:v>300</x:v>
      </x:c>
      <x:c r="E37" s="2"/>
      <x:c r="F37" s="2"/>
      <x:c r="G37" s="2"/>
      <x:c r="H37" s="2"/>
      <x:c r="I37" s="2"/>
      <x:c r="J37" s="1"/>
      <x:c r="K37" s="1"/>
      <x:c r="M37" s="63" t="str">
        <x:v>Closing cash / (funding gap)</x:v>
      </x:c>
      <x:c r="N37" s="74"/>
      <x:c r="O37" s="74"/>
      <x:c r="P37" s="74"/>
      <x:c r="Q37" s="8" t="n">
        <x:f>E73</x:f>
        <x:v>364.4181070499999</x:v>
      </x:c>
      <x:c r="R37" s="8" t="n">
        <x:f>F73</x:f>
        <x:v>443.58759687027</x:v>
      </x:c>
      <x:c r="S37" s="8" t="n">
        <x:f>G73</x:f>
        <x:v>540.5018130282106</x:v>
      </x:c>
      <x:c r="T37" s="8" t="n">
        <x:f>H73</x:f>
        <x:v>658.4330541054376</x:v>
      </x:c>
      <x:c r="U37" s="8" t="n">
        <x:f>I73</x:f>
        <x:v>800.9839085638819</x:v>
      </x:c>
      <x:c r="V37" s="63"/>
    </x:row>
    <x:row r="38" ht="18" customHeight="1">
      <x:c r="A38" s="1"/>
      <x:c r="B38" s="1"/>
      <x:c r="C38" s="1" t="str">
        <x:v>Opening net working capital</x:v>
      </x:c>
      <x:c r="D38" s="7" t="n">
        <x:v>275.40000000000003</x:v>
      </x:c>
      <x:c r="E38" s="2"/>
      <x:c r="F38" s="2"/>
      <x:c r="G38" s="2"/>
      <x:c r="H38" s="2"/>
      <x:c r="I38" s="2"/>
      <x:c r="J38" s="1"/>
      <x:c r="K38" s="1" t="str">
        <x:v>Illustrative opening net balance. Replace with receivables + inventory − payables.</x:v>
      </x:c>
      <x:c r="M38" s="63" t="str">
        <x:v>Closing book equity</x:v>
      </x:c>
      <x:c r="N38" s="74"/>
      <x:c r="O38" s="74"/>
      <x:c r="P38" s="74"/>
      <x:c r="Q38" s="8" t="n">
        <x:f>E74</x:f>
        <x:v>2852.72803905</x:v>
      </x:c>
      <x:c r="R38" s="8" t="n">
        <x:f>F74</x:f>
        <x:v>3087.03237991107</x:v>
      </x:c>
      <x:c r="S38" s="8" t="n">
        <x:f>G74</x:f>
        <x:v>3383.679705158098</x:v>
      </x:c>
      <x:c r="T38" s="8" t="n">
        <x:f>H74</x:f>
        <x:v>3748.962649161444</x:v>
      </x:c>
      <x:c r="U38" s="8" t="n">
        <x:f>I74</x:f>
        <x:v>4190.212870505218</x:v>
      </x:c>
      <x:c r="V38" s="63"/>
    </x:row>
    <x:row r="39" ht="18" customHeight="1">
      <x:c r="A39" s="1"/>
      <x:c r="B39" s="1"/>
      <x:c r="C39" s="1" t="str">
        <x:v>Diluted shares (crore)</x:v>
      </x:c>
      <x:c r="D39" s="7" t="n">
        <x:v>100</x:v>
      </x:c>
      <x:c r="E39" s="2"/>
      <x:c r="F39" s="2"/>
      <x:c r="G39" s="2"/>
      <x:c r="H39" s="2"/>
      <x:c r="I39" s="2"/>
      <x:c r="J39" s="1"/>
      <x:c r="K39" s="1"/>
      <x:c r="M39" s="63" t="str">
        <x:v>Operating cash flow after interest</x:v>
      </x:c>
      <x:c r="N39" s="74"/>
      <x:c r="O39" s="74"/>
      <x:c r="P39" s="74"/>
      <x:c r="Q39" s="8" t="n">
        <x:f>E70</x:f>
        <x:v>468.0466253999999</x:v>
      </x:c>
      <x:c r="R39" s="8" t="n">
        <x:f>F70</x:f>
        <x:v>537.2700813507602</x:v>
      </x:c>
      <x:c r="S39" s="8" t="n">
        <x:f>G70</x:f>
        <x:v>616.221683237756</x:v>
      </x:c>
      <x:c r="T39" s="8" t="n">
        <x:f>H70</x:f>
        <x:v>706.178496273596</x:v>
      </x:c>
      <x:c r="U39" s="8" t="n">
        <x:f>I70</x:f>
        <x:v>808.6027220113077</x:v>
      </x:c>
      <x:c r="V39" s="63"/>
    </x:row>
    <x:row r="40" ht="18" customHeight="1">
      <x:c r="A40" s="1"/>
      <x:c r="B40" s="1"/>
      <x:c r="C40" s="1" t="str">
        <x:v>WACC</x:v>
      </x:c>
      <x:c r="D40" s="25" t="n">
        <x:v>0.12</x:v>
      </x:c>
      <x:c r="E40" s="2"/>
      <x:c r="F40" s="2"/>
      <x:c r="G40" s="2"/>
      <x:c r="H40" s="2"/>
      <x:c r="I40" s="2"/>
      <x:c r="J40" s="1"/>
      <x:c r="K40" s="1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</x:row>
    <x:row r="41" ht="18" customHeight="1">
      <x:c r="A41" s="1"/>
      <x:c r="B41" s="1"/>
      <x:c r="C41" s="1" t="str">
        <x:v>Terminal growth</x:v>
      </x:c>
      <x:c r="D41" s="25" t="n">
        <x:v>0.04</x:v>
      </x:c>
      <x:c r="E41" s="2"/>
      <x:c r="F41" s="2"/>
      <x:c r="G41" s="2"/>
      <x:c r="H41" s="2"/>
      <x:c r="I41" s="2"/>
      <x:c r="J41" s="1"/>
      <x:c r="K41" s="1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</x:row>
    <x:row r="42" ht="18" customHeight="1">
      <x:c r="A42" s="1"/>
      <x:c r="B42" s="1"/>
      <x:c r="C42" s="1" t="str">
        <x:v>Terminal incremental ROIC</x:v>
      </x:c>
      <x:c r="D42" s="25" t="n">
        <x:v>0.15</x:v>
      </x:c>
      <x:c r="E42" s="2"/>
      <x:c r="F42" s="2"/>
      <x:c r="G42" s="2"/>
      <x:c r="H42" s="2"/>
      <x:c r="I42" s="2"/>
      <x:c r="J42" s="1"/>
      <x:c r="K42" s="1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</x:row>
    <x:row r="43" ht="18" customHeight="1">
      <x:c r="A43" s="1"/>
      <x:c r="B43" s="1"/>
      <x:c r="C43" s="1" t="str">
        <x:v>Forward EV / EBITDA</x:v>
      </x:c>
      <x:c r="D43" s="55" t="n">
        <x:v>20</x:v>
      </x:c>
      <x:c r="E43" s="2"/>
      <x:c r="F43" s="2"/>
      <x:c r="G43" s="2"/>
      <x:c r="H43" s="2"/>
      <x:c r="I43" s="2"/>
      <x:c r="J43" s="1"/>
      <x:c r="K43" s="1"/>
      <x:c r="M43" s="64" t="str">
        <x:v>Actuals are reference inputs. Calibrate the opening balances and forecast assumptions separately.</x:v>
      </x:c>
      <x:c r="N43" s="64"/>
      <x:c r="O43" s="64"/>
      <x:c r="P43" s="64"/>
      <x:c r="Q43" s="64"/>
      <x:c r="R43" s="64"/>
      <x:c r="S43" s="64"/>
      <x:c r="T43" s="64"/>
      <x:c r="U43" s="64"/>
      <x:c r="V43" s="63"/>
    </x:row>
    <x:row r="44" ht="18" customHeight="1">
      <x:c r="A44" s="1"/>
      <x:c r="B44" s="1"/>
      <x:c r="C44" s="19" t="str">
        <x:v>OPERATING BUILD</x:v>
      </x:c>
      <x:c r="D44" s="20"/>
      <x:c r="E44" s="20"/>
      <x:c r="F44" s="20"/>
      <x:c r="G44" s="20"/>
      <x:c r="H44" s="20"/>
      <x:c r="I44" s="20"/>
      <x:c r="J44" s="1"/>
      <x:c r="K44" s="1"/>
      <x:c r="M44" s="64"/>
      <x:c r="N44" s="64"/>
      <x:c r="O44" s="64"/>
      <x:c r="P44" s="64"/>
      <x:c r="Q44" s="64"/>
      <x:c r="R44" s="64"/>
      <x:c r="S44" s="64"/>
      <x:c r="T44" s="64"/>
      <x:c r="U44" s="64"/>
      <x:c r="V44" s="63"/>
    </x:row>
    <x:row r="45" ht="18" customHeight="1">
      <x:c r="A45" s="1"/>
      <x:c r="B45" s="1"/>
      <x:c r="C45" s="1" t="str">
        <x:v>Average operational beds</x:v>
      </x:c>
      <x:c r="D45" s="2"/>
      <x:c r="E45" s="8" t="n">
        <x:f>$D10*(1+E12)</x:f>
        <x:v>2160</x:v>
      </x:c>
      <x:c r="F45" s="8" t="n">
        <x:f>E45*(1+F12)</x:f>
        <x:v>2332.8</x:v>
      </x:c>
      <x:c r="G45" s="8" t="n">
        <x:f>F45*(1+G12)</x:f>
        <x:v>2519.4240000000004</x:v>
      </x:c>
      <x:c r="H45" s="8" t="n">
        <x:f>G45*(1+H12)</x:f>
        <x:v>2720.9779200000007</x:v>
      </x:c>
      <x:c r="I45" s="8" t="n">
        <x:f>H45*(1+I12)</x:f>
        <x:v>2938.656153600001</x:v>
      </x:c>
      <x:c r="J45" s="1"/>
      <x:c r="K45" s="1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</x:row>
    <x:row r="46" ht="18" customHeight="1">
      <x:c r="A46" s="1"/>
      <x:c r="B46" s="1"/>
      <x:c r="C46" s="1" t="str">
        <x:v>ARPOB (INR per occupied bed-day)</x:v>
      </x:c>
      <x:c r="D46" s="2"/>
      <x:c r="E46" s="8" t="n">
        <x:f>$D11*(1+E16)</x:f>
        <x:v>47475</x:v>
      </x:c>
      <x:c r="F46" s="8" t="n">
        <x:f>E46*(1+F16)</x:f>
        <x:v>50086.125</x:v>
      </x:c>
      <x:c r="G46" s="8" t="n">
        <x:f>F46*(1+G16)</x:f>
        <x:v>52840.861874999995</x:v>
      </x:c>
      <x:c r="H46" s="8" t="n">
        <x:f>G46*(1+H16)</x:f>
        <x:v>55747.10927812499</x:v>
      </x:c>
      <x:c r="I46" s="8" t="n">
        <x:f>H46*(1+I16)</x:f>
        <x:v>58813.20028842186</x:v>
      </x:c>
      <x:c r="J46" s="1"/>
      <x:c r="K46" s="1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</x:row>
    <x:row r="47" ht="18" customHeight="1">
      <x:c r="A47" s="1"/>
      <x:c r="B47" s="1"/>
      <x:c r="C47" s="1" t="str">
        <x:v>Occupied bed-days</x:v>
      </x:c>
      <x:c r="D47" s="2"/>
      <x:c r="E47" s="10" t="n">
        <x:f>E45*E20*'Controls'!$E$11</x:f>
        <x:v>536112.0000000001</x:v>
      </x:c>
      <x:c r="F47" s="10" t="n">
        <x:f>F45*F20*'Controls'!$E$11</x:f>
        <x:v>579000.9600000001</x:v>
      </x:c>
      <x:c r="G47" s="10" t="n">
        <x:f>G45*G20*'Controls'!$E$11</x:f>
        <x:v>625321.0368000001</x:v>
      </x:c>
      <x:c r="H47" s="10" t="n">
        <x:f>H45*H20*'Controls'!$E$11</x:f>
        <x:v>675346.7197440002</x:v>
      </x:c>
      <x:c r="I47" s="10" t="n">
        <x:f>I45*I20*'Controls'!$E$11</x:f>
        <x:v>729374.4573235203</x:v>
      </x:c>
      <x:c r="J47" s="1"/>
      <x:c r="K47" s="1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</x:row>
    <x:row r="48" ht="25" customHeight="1">
      <x:c r="A48" s="1"/>
      <x:c r="B48" s="1"/>
      <x:c r="C48" s="38" t="str">
        <x:v>Revenue</x:v>
      </x:c>
      <x:c r="D48" s="39"/>
      <x:c r="E48" s="60" t="n">
        <x:f>E47*E46/'Controls'!$E$9</x:f>
        <x:v>2545.1917200000003</x:v>
      </x:c>
      <x:c r="F48" s="60" t="n">
        <x:f>F47*F46/'Controls'!$E$9</x:f>
        <x:v>2899.9914457680006</x:v>
      </x:c>
      <x:c r="G48" s="60" t="n">
        <x:f>G47*G46/'Controls'!$E$9</x:f>
        <x:v>3304.2502533080597</x:v>
      </x:c>
      <x:c r="H48" s="60" t="n">
        <x:f>H47*H46/'Controls'!$E$9</x:f>
        <x:v>3764.8627386192034</x:v>
      </x:c>
      <x:c r="I48" s="60" t="n">
        <x:f>I47*I46/'Controls'!$E$9</x:f>
        <x:v>4289.68460438272</x:v>
      </x:c>
      <x:c r="J48" s="1"/>
      <x:c r="K48" s="1"/>
      <x:c r="M48" s="82" t="str">
        <x:v>DCF equity value | rows WACC / columns terminal growth</x:v>
      </x:c>
      <x:c r="N48" s="82"/>
      <x:c r="O48" s="82"/>
      <x:c r="P48" s="82"/>
      <x:c r="Q48" s="82"/>
      <x:c r="R48" s="82"/>
      <x:c r="S48" s="63"/>
      <x:c r="T48" s="63"/>
      <x:c r="U48" s="63"/>
      <x:c r="V48" s="63"/>
    </x:row>
    <x:row r="49" ht="18" customHeight="1">
      <x:c r="A49" s="1"/>
      <x:c r="B49" s="1"/>
      <x:c r="C49" s="19" t="str">
        <x:v>INCOME STATEMENT</x:v>
      </x:c>
      <x:c r="D49" s="20"/>
      <x:c r="E49" s="20"/>
      <x:c r="F49" s="20"/>
      <x:c r="G49" s="20"/>
      <x:c r="H49" s="20"/>
      <x:c r="I49" s="20"/>
      <x:c r="J49" s="1"/>
      <x:c r="K49" s="1"/>
      <x:c r="M49" s="63"/>
      <x:c r="N49" s="70" t="n">
        <x:f>$D$41+-0.01</x:f>
        <x:v>0.03</x:v>
      </x:c>
      <x:c r="O49" s="70" t="n">
        <x:f>$D$41+-0.005</x:f>
        <x:v>0.035</x:v>
      </x:c>
      <x:c r="P49" s="70" t="n">
        <x:f>$D$41+0</x:f>
        <x:v>0.04</x:v>
      </x:c>
      <x:c r="Q49" s="70" t="n">
        <x:f>$D$41+0.005</x:f>
        <x:v>0.045</x:v>
      </x:c>
      <x:c r="R49" s="70" t="n">
        <x:f>$D$41+0.01</x:f>
        <x:v>0.05</x:v>
      </x:c>
      <x:c r="S49" s="63"/>
      <x:c r="T49" s="63"/>
      <x:c r="U49" s="63"/>
      <x:c r="V49" s="63"/>
    </x:row>
    <x:row r="50" ht="18" customHeight="1">
      <x:c r="A50" s="1"/>
      <x:c r="B50" s="1"/>
      <x:c r="C50" s="1" t="str">
        <x:v>Direct cash costs</x:v>
      </x:c>
      <x:c r="D50" s="2"/>
      <x:c r="E50" s="8" t="n">
        <x:f>E48*E21</x:f>
        <x:v>1018.0766880000001</x:v>
      </x:c>
      <x:c r="F50" s="8" t="n">
        <x:f>F48*F21</x:f>
        <x:v>1159.9965783072003</x:v>
      </x:c>
      <x:c r="G50" s="8" t="n">
        <x:f>G48*G21</x:f>
        <x:v>1321.7001013232239</x:v>
      </x:c>
      <x:c r="H50" s="8" t="n">
        <x:f>H48*H21</x:f>
        <x:v>1505.9450954476815</x:v>
      </x:c>
      <x:c r="I50" s="8" t="n">
        <x:f>I48*I21</x:f>
        <x:v>1715.873841753088</x:v>
      </x:c>
      <x:c r="J50" s="1"/>
      <x:c r="K50" s="1"/>
      <x:c r="M50" s="70" t="n">
        <x:f>$D$40+-0.02</x:f>
        <x:v>0.09999999999999999</x:v>
      </x:c>
      <x:c r="N50" s="8" t="n">
        <x:f>IF($M50&lt;=N$49,"n/a",IF(N$49&gt;$D$42,"n/a",E78/(1+$M50)^1+F78/(1+$M50)^2+G78/(1+$M50)^3+H78/(1+$M50)^4+I78/(1+$M50)^5+I77*(1+N$49)*(1-N$49/D42)/($M50-N$49)/(1+$M50)^5-D36+D37))</x:f>
        <x:v>5204.0537070871</x:v>
      </x:c>
      <x:c r="O50" s="8" t="n">
        <x:f>IF($M50&lt;=O$49,"n/a",IF(O$49&gt;$D$42,"n/a",E78/(1+$M50)^1+F78/(1+$M50)^2+G78/(1+$M50)^3+H78/(1+$M50)^4+I78/(1+$M50)^5+I77*(1+O$49)*(1-O$49/D42)/($M50-O$49)/(1+$M50)^5-D36+D37))</x:f>
        <x:v>5372.749962336509</x:v>
      </x:c>
      <x:c r="P50" s="8" t="n">
        <x:f>IF($M50&lt;=P$49,"n/a",IF(P$49&gt;$D$42,"n/a",E78/(1+$M50)^1+F78/(1+$M50)^2+G78/(1+$M50)^3+H78/(1+$M50)^4+I78/(1+$M50)^5+I77*(1+P$49)*(1-P$49/D42)/($M50-P$49)/(1+$M50)^5-D36+D37))</x:f>
        <x:v>5567.414015063438</x:v>
      </x:c>
      <x:c r="Q50" s="8" t="n">
        <x:f>IF($M50&lt;=Q$49,"n/a",IF(Q$49&gt;$D$42,"n/a",E78/(1+$M50)^1+F78/(1+$M50)^2+G78/(1+$M50)^3+H78/(1+$M50)^4+I78/(1+$M50)^5+I77*(1+Q$49)*(1-Q$49/D42)/($M50-Q$49)/(1+$M50)^5-D36+D37))</x:f>
        <x:v>5795.127991852662</x:v>
      </x:c>
      <x:c r="R50" s="8" t="n">
        <x:f>IF($M50&lt;=R$49,"n/a",IF(R$49&gt;$D$42,"n/a",E78/(1+$M50)^1+F78/(1+$M50)^2+G78/(1+$M50)^3+H78/(1+$M50)^4+I78/(1+$M50)^5+I77*(1+R$49)*(1-R$49/D42)/($M50-R$49)/(1+$M50)^5-D36+D37))</x:f>
        <x:v>6065.806869922874</x:v>
      </x:c>
      <x:c r="S50" s="63"/>
      <x:c r="T50" s="63"/>
      <x:c r="U50" s="63"/>
      <x:c r="V50" s="63"/>
    </x:row>
    <x:row r="51" ht="18" customHeight="1">
      <x:c r="A51" s="1"/>
      <x:c r="B51" s="1"/>
      <x:c r="C51" s="1" t="str">
        <x:v>Gross profit</x:v>
      </x:c>
      <x:c r="D51" s="2"/>
      <x:c r="E51" s="8" t="n">
        <x:f>E48-E50</x:f>
        <x:v>1527.1150320000002</x:v>
      </x:c>
      <x:c r="F51" s="8" t="n">
        <x:f>F48-F50</x:f>
        <x:v>1739.9948674608004</x:v>
      </x:c>
      <x:c r="G51" s="8" t="n">
        <x:f>G48-G50</x:f>
        <x:v>1982.5501519848358</x:v>
      </x:c>
      <x:c r="H51" s="8" t="n">
        <x:f>H48-H50</x:f>
        <x:v>2258.917643171522</x:v>
      </x:c>
      <x:c r="I51" s="8" t="n">
        <x:f>I48-I50</x:f>
        <x:v>2573.810762629632</x:v>
      </x:c>
      <x:c r="J51" s="1"/>
      <x:c r="K51" s="1"/>
      <x:c r="M51" s="70" t="n">
        <x:f>$D$40+-0.01</x:f>
        <x:v>0.11</x:v>
      </x:c>
      <x:c r="N51" s="8" t="n">
        <x:f>IF($M51&lt;=N$49,"n/a",IF(N$49&gt;$D$42,"n/a",E78/(1+$M51)^1+F78/(1+$M51)^2+G78/(1+$M51)^3+H78/(1+$M51)^4+I78/(1+$M51)^5+I77*(1+N$49)*(1-N$49/D42)/($M51-N$49)/(1+$M51)^5-D36+D37))</x:f>
        <x:v>4425.192006546709</x:v>
      </x:c>
      <x:c r="O51" s="8" t="n">
        <x:f>IF($M51&lt;=O$49,"n/a",IF(O$49&gt;$D$42,"n/a",E78/(1+$M51)^1+F78/(1+$M51)^2+G78/(1+$M51)^3+H78/(1+$M51)^4+I78/(1+$M51)^5+I77*(1+O$49)*(1-O$49/D42)/($M51-O$49)/(1+$M51)^5-D36+D37))</x:f>
        <x:v>4528.673548379902</x:v>
      </x:c>
      <x:c r="P51" s="8" t="n">
        <x:f>IF($M51&lt;=P$49,"n/a",IF(P$49&gt;$D$42,"n/a",E78/(1+$M51)^1+F78/(1+$M51)^2+G78/(1+$M51)^3+H78/(1+$M51)^4+I78/(1+$M51)^5+I77*(1+P$49)*(1-P$49/D42)/($M51-P$49)/(1+$M51)^5-D36+D37))</x:f>
        <x:v>4645.178277450605</x:v>
      </x:c>
      <x:c r="Q51" s="8" t="n">
        <x:f>IF($M51&lt;=Q$49,"n/a",IF(Q$49&gt;$D$42,"n/a",E78/(1+$M51)^1+F78/(1+$M51)^2+G78/(1+$M51)^3+H78/(1+$M51)^4+I78/(1+$M51)^5+I77*(1+Q$49)*(1-Q$49/D42)/($M51-Q$49)/(1+$M51)^5-D36+D37))</x:f>
        <x:v>4777.711544659781</x:v>
      </x:c>
      <x:c r="R51" s="8" t="n">
        <x:f>IF($M51&lt;=R$49,"n/a",IF(R$49&gt;$D$42,"n/a",E78/(1+$M51)^1+F78/(1+$M51)^2+G78/(1+$M51)^3+H78/(1+$M51)^4+I78/(1+$M51)^5+I77*(1+R$49)*(1-R$49/D42)/($M51-R$49)/(1+$M51)^5-D36+D37))</x:f>
        <x:v>4930.280484542052</x:v>
      </x:c>
      <x:c r="S51" s="63"/>
      <x:c r="T51" s="63"/>
      <x:c r="U51" s="63"/>
      <x:c r="V51" s="63"/>
    </x:row>
    <x:row r="52" ht="18" customHeight="1">
      <x:c r="A52" s="1"/>
      <x:c r="B52" s="1"/>
      <x:c r="C52" s="1" t="str">
        <x:v>Other cash operating costs</x:v>
      </x:c>
      <x:c r="D52" s="2"/>
      <x:c r="E52" s="8" t="n">
        <x:f>E48*E22</x:f>
        <x:v>865.3651848000002</x:v>
      </x:c>
      <x:c r="F52" s="8" t="n">
        <x:f>F48*F22</x:f>
        <x:v>985.9970915611203</x:v>
      </x:c>
      <x:c r="G52" s="8" t="n">
        <x:f>G48*G22</x:f>
        <x:v>1123.4450861247403</x:v>
      </x:c>
      <x:c r="H52" s="8" t="n">
        <x:f>H48*H22</x:f>
        <x:v>1280.0533311305292</x:v>
      </x:c>
      <x:c r="I52" s="8" t="n">
        <x:f>I48*I22</x:f>
        <x:v>1458.4927654901248</x:v>
      </x:c>
      <x:c r="J52" s="1"/>
      <x:c r="K52" s="1"/>
      <x:c r="M52" s="70" t="n">
        <x:f>$D$40+0</x:f>
        <x:v>0.12</x:v>
      </x:c>
      <x:c r="N52" s="8" t="n">
        <x:f>IF($M52&lt;=N$49,"n/a",IF(N$49&gt;$D$42,"n/a",E78/(1+$M52)^1+F78/(1+$M52)^2+G78/(1+$M52)^3+H78/(1+$M52)^4+I78/(1+$M52)^5+I77*(1+N$49)*(1-N$49/D42)/($M52-N$49)/(1+$M52)^5-D36+D37))</x:f>
        <x:v>3821.5563988205286</x:v>
      </x:c>
      <x:c r="O52" s="8" t="n">
        <x:f>IF($M52&lt;=O$49,"n/a",IF(O$49&gt;$D$42,"n/a",E78/(1+$M52)^1+F78/(1+$M52)^2+G78/(1+$M52)^3+H78/(1+$M52)^4+I78/(1+$M52)^5+I77*(1+O$49)*(1-O$49/D42)/($M52-O$49)/(1+$M52)^5-D36+D37))</x:f>
        <x:v>3885.0706091897337</x:v>
      </x:c>
      <x:c r="P52" s="8" t="n">
        <x:f>IF($M52&lt;=P$49,"n/a",IF(P$49&gt;$D$42,"n/a",E78/(1+$M52)^1+F78/(1+$M52)^2+G78/(1+$M52)^3+H78/(1+$M52)^4+I78/(1+$M52)^5+I77*(1+P$49)*(1-P$49/D42)/($M52-P$49)/(1+$M52)^5-D36+D37))</x:f>
        <x:v>3955.0517209783484</x:v>
      </x:c>
      <x:c r="Q52" s="8" t="n">
        <x:f>IF($M52&lt;=Q$49,"n/a",IF(Q$49&gt;$D$42,"n/a",E78/(1+$M52)^1+F78/(1+$M52)^2+G78/(1+$M52)^3+H78/(1+$M52)^4+I78/(1+$M52)^5+I77*(1+Q$49)*(1-Q$49/D42)/($M52-Q$49)/(1+$M52)^5-D36+D37))</x:f>
        <x:v>4032.7931144702543</x:v>
      </x:c>
      <x:c r="R52" s="8" t="n">
        <x:f>IF($M52&lt;=R$49,"n/a",IF(R$49&gt;$D$42,"n/a",E78/(1+$M52)^1+F78/(1+$M52)^2+G78/(1+$M52)^3+H78/(1+$M52)^4+I78/(1+$M52)^5+I77*(1+R$49)*(1-R$49/D42)/($M52-R$49)/(1+$M52)^5-D36+D37))</x:f>
        <x:v>4119.957707173302</x:v>
      </x:c>
      <x:c r="S52" s="63"/>
      <x:c r="T52" s="63"/>
      <x:c r="U52" s="63"/>
      <x:c r="V52" s="63"/>
    </x:row>
    <x:row r="53" ht="18" customHeight="1">
      <x:c r="A53" s="1"/>
      <x:c r="B53" s="1"/>
      <x:c r="C53" s="38" t="str">
        <x:v>EBITDA</x:v>
      </x:c>
      <x:c r="D53" s="39"/>
      <x:c r="E53" s="41" t="n">
        <x:f>E51-E52</x:f>
        <x:v>661.7498472</x:v>
      </x:c>
      <x:c r="F53" s="41" t="n">
        <x:f>F51-F52</x:f>
        <x:v>753.99777589968</x:v>
      </x:c>
      <x:c r="G53" s="41" t="n">
        <x:f>G51-G52</x:f>
        <x:v>859.1050658600955</x:v>
      </x:c>
      <x:c r="H53" s="41" t="n">
        <x:f>H51-H52</x:f>
        <x:v>978.8643120409927</x:v>
      </x:c>
      <x:c r="I53" s="41" t="n">
        <x:f>I51-I52</x:f>
        <x:v>1115.317997139507</x:v>
      </x:c>
      <x:c r="J53" s="1"/>
      <x:c r="K53" s="1"/>
      <x:c r="M53" s="70" t="n">
        <x:f>$D$40+0.01</x:f>
        <x:v>0.13</x:v>
      </x:c>
      <x:c r="N53" s="8" t="n">
        <x:f>IF($M53&lt;=N$49,"n/a",IF(N$49&gt;$D$42,"n/a",E78/(1+$M53)^1+F78/(1+$M53)^2+G78/(1+$M53)^3+H78/(1+$M53)^4+I78/(1+$M53)^5+I77*(1+N$49)*(1-N$49/D42)/($M53-N$49)/(1+$M53)^5-D36+D37))</x:f>
        <x:v>3340.471354592606</x:v>
      </x:c>
      <x:c r="O53" s="8" t="n">
        <x:f>IF($M53&lt;=O$49,"n/a",IF(O$49&gt;$D$42,"n/a",E78/(1+$M53)^1+F78/(1+$M53)^2+G78/(1+$M53)^3+H78/(1+$M53)^4+I78/(1+$M53)^5+I77*(1+O$49)*(1-O$49/D42)/($M53-O$49)/(1+$M53)^5-D36+D37))</x:f>
        <x:v>3378.5417781355454</x:v>
      </x:c>
      <x:c r="P53" s="8" t="n">
        <x:f>IF($M53&lt;=P$49,"n/a",IF(P$49&gt;$D$42,"n/a",E78/(1+$M53)^1+F78/(1+$M53)^2+G78/(1+$M53)^3+H78/(1+$M53)^4+I78/(1+$M53)^5+I77*(1+P$49)*(1-P$49/D42)/($M53-P$49)/(1+$M53)^5-D36+D37))</x:f>
        <x:v>3419.5903656524233</x:v>
      </x:c>
      <x:c r="Q53" s="8" t="n">
        <x:f>IF($M53&lt;=Q$49,"n/a",IF(Q$49&gt;$D$42,"n/a",E78/(1+$M53)^1+F78/(1+$M53)^2+G78/(1+$M53)^3+H78/(1+$M53)^4+I78/(1+$M53)^5+I77*(1+Q$49)*(1-Q$49/D42)/($M53-Q$49)/(1+$M53)^5-D36+D37))</x:f>
        <x:v>3464.1426754915783</x:v>
      </x:c>
      <x:c r="R53" s="8" t="n">
        <x:f>IF($M53&lt;=R$49,"n/a",IF(R$49&gt;$D$42,"n/a",E78/(1+$M53)^1+F78/(1+$M53)^2+G78/(1+$M53)^3+H78/(1+$M53)^4+I78/(1+$M53)^5+I77*(1+R$49)*(1-R$49/D42)/($M53-R$49)/(1+$M53)^5-D36+D37))</x:f>
        <x:v>3512.8556555884416</x:v>
      </x:c>
      <x:c r="S53" s="63"/>
      <x:c r="T53" s="63"/>
      <x:c r="U53" s="63"/>
      <x:c r="V53" s="63"/>
    </x:row>
    <x:row r="54" ht="18" customHeight="1">
      <x:c r="A54" s="1"/>
      <x:c r="B54" s="1"/>
      <x:c r="C54" s="1" t="str">
        <x:v>Depreciation and amortization</x:v>
      </x:c>
      <x:c r="D54" s="2"/>
      <x:c r="E54" s="8" t="n">
        <x:f>E134</x:f>
        <x:v>270</x:v>
      </x:c>
      <x:c r="F54" s="8" t="n">
        <x:f>F134</x:f>
        <x:v>268.60672548</x:v>
      </x:c>
      <x:c r="G54" s="8" t="n">
        <x:f>G134</x:f>
        <x:v>270.532043198712</x:v>
      </x:c>
      <x:c r="H54" s="8" t="n">
        <x:f>H134</x:f>
        <x:v>275.92241159060046</x:v>
      </x:c>
      <x:c r="I54" s="8" t="n">
        <x:f>I134</x:f>
        <x:v>284.97315919501926</x:v>
      </x:c>
      <x:c r="J54" s="1"/>
      <x:c r="K54" s="1"/>
      <x:c r="M54" s="70" t="n">
        <x:f>$D$40+0.02</x:f>
        <x:v>0.13999999999999999</x:v>
      </x:c>
      <x:c r="N54" s="8" t="n">
        <x:f>IF($M54&lt;=N$49,"n/a",IF(N$49&gt;$D$42,"n/a",E78/(1+$M54)^1+F78/(1+$M54)^2+G78/(1+$M54)^3+H78/(1+$M54)^4+I78/(1+$M54)^5+I77*(1+N$49)*(1-N$49/D42)/($M54-N$49)/(1+$M54)^5-D36+D37))</x:f>
        <x:v>2948.4224580212503</x:v>
      </x:c>
      <x:c r="O54" s="8" t="n">
        <x:f>IF($M54&lt;=O$49,"n/a",IF(O$49&gt;$D$42,"n/a",E78/(1+$M54)^1+F78/(1+$M54)^2+G78/(1+$M54)^3+H78/(1+$M54)^4+I78/(1+$M54)^5+I77*(1+O$49)*(1-O$49/D42)/($M54-O$49)/(1+$M54)^5-D36+D37))</x:f>
        <x:v>2969.8451946071327</x:v>
      </x:c>
      <x:c r="P54" s="8" t="n">
        <x:f>IF($M54&lt;=P$49,"n/a",IF(P$49&gt;$D$42,"n/a",E78/(1+$M54)^1+F78/(1+$M54)^2+G78/(1+$M54)^3+H78/(1+$M54)^4+I78/(1+$M54)^5+I77*(1+P$49)*(1-P$49/D42)/($M54-P$49)/(1+$M54)^5-D36+D37))</x:f>
        <x:v>2992.3320671280007</x:v>
      </x:c>
      <x:c r="Q54" s="8" t="n">
        <x:f>IF($M54&lt;=Q$49,"n/a",IF(Q$49&gt;$D$42,"n/a",E78/(1+$M54)^1+F78/(1+$M54)^2+G78/(1+$M54)^3+H78/(1+$M54)^4+I78/(1+$M54)^5+I77*(1+Q$49)*(1-Q$49/D42)/($M54-Q$49)/(1+$M54)^5-D36+D37))</x:f>
        <x:v>3016.0510970472715</x:v>
      </x:c>
      <x:c r="R54" s="8" t="n">
        <x:f>IF($M54&lt;=R$49,"n/a",IF(R$49&gt;$D$42,"n/a",E78/(1+$M54)^1+F78/(1+$M54)^2+G78/(1+$M54)^3+H78/(1+$M54)^4+I78/(1+$M54)^5+I77*(1+R$49)*(1-R$49/D42)/($M54-R$49)/(1+$M54)^5-D36+D37))</x:f>
        <x:v>3041.2076439313473</x:v>
      </x:c>
      <x:c r="S54" s="63"/>
      <x:c r="T54" s="63"/>
      <x:c r="U54" s="63"/>
      <x:c r="V54" s="63"/>
    </x:row>
    <x:row r="55" ht="18" customHeight="1">
      <x:c r="A55" s="1"/>
      <x:c r="B55" s="1"/>
      <x:c r="C55" s="1" t="str">
        <x:v>EBIT</x:v>
      </x:c>
      <x:c r="D55" s="2"/>
      <x:c r="E55" s="8" t="n">
        <x:f>E53-E54</x:f>
        <x:v>391.7498472</x:v>
      </x:c>
      <x:c r="F55" s="8" t="n">
        <x:f>F53-F54</x:f>
        <x:v>485.39105041968</x:v>
      </x:c>
      <x:c r="G55" s="8" t="n">
        <x:f>G53-G54</x:f>
        <x:v>588.5730226613834</x:v>
      </x:c>
      <x:c r="H55" s="8" t="n">
        <x:f>H53-H54</x:f>
        <x:v>702.9419004503923</x:v>
      </x:c>
      <x:c r="I55" s="8" t="n">
        <x:f>I53-I54</x:f>
        <x:v>830.3448379444878</x:v>
      </x:c>
      <x:c r="J55" s="1"/>
      <x:c r="K55" s="1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</x:row>
    <x:row r="56" ht="18" customHeight="1">
      <x:c r="A56" s="1"/>
      <x:c r="B56" s="1"/>
      <x:c r="C56" s="1" t="str">
        <x:v>Interest expense</x:v>
      </x:c>
      <x:c r="D56" s="2"/>
      <x:c r="E56" s="8" t="n">
        <x:f>E125</x:f>
        <x:v>76.5</x:v>
      </x:c>
      <x:c r="F56" s="8" t="n">
        <x:f>F125</x:f>
        <x:v>68.85000000000001</x:v>
      </x:c>
      <x:c r="G56" s="8" t="n">
        <x:f>G125</x:f>
        <x:v>61.2</x:v>
      </x:c>
      <x:c r="H56" s="8" t="n">
        <x:f>H125</x:f>
        <x:v>53.550000000000004</x:v>
      </x:c>
      <x:c r="I56" s="8" t="n">
        <x:f>I125</x:f>
        <x:v>45.900000000000006</x:v>
      </x:c>
      <x:c r="J56" s="1"/>
      <x:c r="K56" s="1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</x:row>
    <x:row r="57" ht="18" customHeight="1">
      <x:c r="A57" s="1"/>
      <x:c r="B57" s="1"/>
      <x:c r="C57" s="1" t="str">
        <x:v>Profit before tax</x:v>
      </x:c>
      <x:c r="D57" s="2"/>
      <x:c r="E57" s="8" t="n">
        <x:f>E55-E56</x:f>
        <x:v>315.2498472</x:v>
      </x:c>
      <x:c r="F57" s="8" t="n">
        <x:f>F55-F56</x:f>
        <x:v>416.54105041968</x:v>
      </x:c>
      <x:c r="G57" s="8" t="n">
        <x:f>G55-G56</x:f>
        <x:v>527.3730226613834</x:v>
      </x:c>
      <x:c r="H57" s="8" t="n">
        <x:f>H55-H56</x:f>
        <x:v>649.3919004503923</x:v>
      </x:c>
      <x:c r="I57" s="8" t="n">
        <x:f>I55-I56</x:f>
        <x:v>784.4448379444879</x:v>
      </x:c>
      <x:c r="J57" s="1"/>
      <x:c r="K57" s="1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</x:row>
    <x:row r="58" ht="25" customHeight="1">
      <x:c r="A58" s="1"/>
      <x:c r="B58" s="1"/>
      <x:c r="C58" s="1" t="str">
        <x:v>Cash income tax</x:v>
      </x:c>
      <x:c r="D58" s="2"/>
      <x:c r="E58" s="8" t="n">
        <x:f>E144</x:f>
        <x:v>78.8124618</x:v>
      </x:c>
      <x:c r="F58" s="8" t="n">
        <x:f>F144</x:f>
        <x:v>104.13526260492</x:v>
      </x:c>
      <x:c r="G58" s="8" t="n">
        <x:f>G144</x:f>
        <x:v>131.84325566534585</x:v>
      </x:c>
      <x:c r="H58" s="8" t="n">
        <x:f>H144</x:f>
        <x:v>162.34797511259808</x:v>
      </x:c>
      <x:c r="I58" s="8" t="n">
        <x:f>I144</x:f>
        <x:v>196.11120948612196</x:v>
      </x:c>
      <x:c r="J58" s="1"/>
      <x:c r="K58" s="1"/>
      <x:c r="M58" s="82" t="str">
        <x:v>Forward equity value | rows EBITDA / columns EV/EBITDA</x:v>
      </x:c>
      <x:c r="N58" s="82"/>
      <x:c r="O58" s="82"/>
      <x:c r="P58" s="82"/>
      <x:c r="Q58" s="82"/>
      <x:c r="R58" s="82"/>
      <x:c r="S58" s="63"/>
      <x:c r="T58" s="63"/>
      <x:c r="U58" s="63"/>
      <x:c r="V58" s="63"/>
    </x:row>
    <x:row r="59" ht="18" customHeight="1">
      <x:c r="A59" s="1"/>
      <x:c r="B59" s="1"/>
      <x:c r="C59" s="38" t="str">
        <x:v>Profit after tax</x:v>
      </x:c>
      <x:c r="D59" s="39"/>
      <x:c r="E59" s="41" t="n">
        <x:f>E57-E58</x:f>
        <x:v>236.43738539999998</x:v>
      </x:c>
      <x:c r="F59" s="41" t="n">
        <x:f>F57-F58</x:f>
        <x:v>312.40578781476</x:v>
      </x:c>
      <x:c r="G59" s="41" t="n">
        <x:f>G57-G58</x:f>
        <x:v>395.52976699603755</x:v>
      </x:c>
      <x:c r="H59" s="41" t="n">
        <x:f>H57-H58</x:f>
        <x:v>487.04392533779424</x:v>
      </x:c>
      <x:c r="I59" s="41" t="n">
        <x:f>I57-I58</x:f>
        <x:v>588.3336284583659</x:v>
      </x:c>
      <x:c r="J59" s="1"/>
      <x:c r="K59" s="1"/>
      <x:c r="M59" s="63"/>
      <x:c r="N59" s="78" t="n">
        <x:f>MAX(0,D43+-2)</x:f>
        <x:v>18</x:v>
      </x:c>
      <x:c r="O59" s="78" t="n">
        <x:f>MAX(0,D43+-1)</x:f>
        <x:v>19</x:v>
      </x:c>
      <x:c r="P59" s="78" t="n">
        <x:f>MAX(0,D43+0)</x:f>
        <x:v>20</x:v>
      </x:c>
      <x:c r="Q59" s="78" t="n">
        <x:f>MAX(0,D43+1)</x:f>
        <x:v>21</x:v>
      </x:c>
      <x:c r="R59" s="78" t="n">
        <x:f>MAX(0,D43+2)</x:f>
        <x:v>22</x:v>
      </x:c>
      <x:c r="S59" s="63"/>
      <x:c r="T59" s="63"/>
      <x:c r="U59" s="63"/>
      <x:c r="V59" s="63"/>
    </x:row>
    <x:row r="60" ht="18" customHeight="1">
      <x:c r="A60" s="1"/>
      <x:c r="B60" s="1"/>
      <x:c r="C60" s="19" t="str">
        <x:v>WORKING CAPITAL AND ASSET SCHEDULES</x:v>
      </x:c>
      <x:c r="D60" s="20"/>
      <x:c r="E60" s="20"/>
      <x:c r="F60" s="20"/>
      <x:c r="G60" s="20"/>
      <x:c r="H60" s="20"/>
      <x:c r="I60" s="20"/>
      <x:c r="J60" s="1"/>
      <x:c r="K60" s="1"/>
      <x:c r="M60" s="8" t="n">
        <x:f>E53*0.8</x:f>
        <x:v>529.39987776</x:v>
      </x:c>
      <x:c r="N60" s="8" t="n">
        <x:f>$M60*N$59-D36+D37</x:f>
        <x:v>8929.19779968</x:v>
      </x:c>
      <x:c r="O60" s="8" t="n">
        <x:f>$M60*O$59-D36+D37</x:f>
        <x:v>9458.59767744</x:v>
      </x:c>
      <x:c r="P60" s="8" t="n">
        <x:f>$M60*P$59-D36+D37</x:f>
        <x:v>9987.9975552</x:v>
      </x:c>
      <x:c r="Q60" s="8" t="n">
        <x:f>$M60*Q$59-D36+D37</x:f>
        <x:v>10517.397432959999</x:v>
      </x:c>
      <x:c r="R60" s="8" t="n">
        <x:f>$M60*R$59-D36+D37</x:f>
        <x:v>11046.79731072</x:v>
      </x:c>
      <x:c r="S60" s="63"/>
      <x:c r="T60" s="63"/>
      <x:c r="U60" s="63"/>
      <x:c r="V60" s="63"/>
    </x:row>
    <x:row r="61" ht="18" customHeight="1">
      <x:c r="A61" s="1"/>
      <x:c r="B61" s="1"/>
      <x:c r="C61" s="1" t="str">
        <x:v>Trade receivables</x:v>
      </x:c>
      <x:c r="D61" s="2"/>
      <x:c r="E61" s="10" t="n">
        <x:f>E48*E26/'Controls'!$E$11</x:f>
        <x:v>383.52204000000006</x:v>
      </x:c>
      <x:c r="F61" s="10" t="n">
        <x:f>F48*F26/'Controls'!$E$11</x:f>
        <x:v>436.9850123760001</x:v>
      </x:c>
      <x:c r="G61" s="10" t="n">
        <x:f>G48*G26/'Controls'!$E$11</x:f>
        <x:v>497.90072310121445</x:v>
      </x:c>
      <x:c r="H61" s="10" t="n">
        <x:f>H48*H26/'Controls'!$E$11</x:f>
        <x:v>567.3080839015238</x:v>
      </x:c>
      <x:c r="I61" s="10" t="n">
        <x:f>I48*I26/'Controls'!$E$11</x:f>
        <x:v>646.3908307973961</x:v>
      </x:c>
      <x:c r="J61" s="1"/>
      <x:c r="K61" s="1"/>
      <x:c r="M61" s="8" t="n">
        <x:f>E53*0.9</x:f>
        <x:v>595.57486248</x:v>
      </x:c>
      <x:c r="N61" s="8" t="n">
        <x:f>$M61*N$59-D36+D37</x:f>
        <x:v>10120.34752464</x:v>
      </x:c>
      <x:c r="O61" s="8" t="n">
        <x:f>$M61*O$59-D36+D37</x:f>
        <x:v>10715.92238712</x:v>
      </x:c>
      <x:c r="P61" s="8" t="n">
        <x:f>$M61*P$59-D36+D37</x:f>
        <x:v>11311.4972496</x:v>
      </x:c>
      <x:c r="Q61" s="8" t="n">
        <x:f>$M61*Q$59-D36+D37</x:f>
        <x:v>11907.072112079999</x:v>
      </x:c>
      <x:c r="R61" s="8" t="n">
        <x:f>$M61*R$59-D36+D37</x:f>
        <x:v>12502.646974559999</x:v>
      </x:c>
      <x:c r="S61" s="63"/>
      <x:c r="T61" s="63"/>
      <x:c r="U61" s="63"/>
      <x:c r="V61" s="63"/>
    </x:row>
    <x:row r="62" ht="18" customHeight="1">
      <x:c r="A62" s="1"/>
      <x:c r="B62" s="1"/>
      <x:c r="C62" s="1" t="str">
        <x:v>Inventory</x:v>
      </x:c>
      <x:c r="D62" s="2"/>
      <x:c r="E62" s="10" t="n">
        <x:f>E50*E27/'Controls'!$E$11</x:f>
        <x:v>41.838768</x:v>
      </x:c>
      <x:c r="F62" s="10" t="n">
        <x:f>F50*F27/'Controls'!$E$11</x:f>
        <x:v>47.67109225920001</x:v>
      </x:c>
      <x:c r="G62" s="10" t="n">
        <x:f>G50*G27/'Controls'!$E$11</x:f>
        <x:v>54.31644252013249</x:v>
      </x:c>
      <x:c r="H62" s="10" t="n">
        <x:f>H50*H27/'Controls'!$E$11</x:f>
        <x:v>61.88815460743896</x:v>
      </x:c>
      <x:c r="I62" s="10" t="n">
        <x:f>I50*I27/'Controls'!$E$11</x:f>
        <x:v>70.51536335971595</x:v>
      </x:c>
      <x:c r="J62" s="1"/>
      <x:c r="K62" s="1"/>
      <x:c r="M62" s="8" t="n">
        <x:f>E53*1</x:f>
        <x:v>661.7498472</x:v>
      </x:c>
      <x:c r="N62" s="8" t="n">
        <x:f>$M62*N$59-D36+D37</x:f>
        <x:v>11311.4972496</x:v>
      </x:c>
      <x:c r="O62" s="8" t="n">
        <x:f>$M62*O$59-D36+D37</x:f>
        <x:v>11973.2470968</x:v>
      </x:c>
      <x:c r="P62" s="8" t="n">
        <x:f>$M62*P$59-D36+D37</x:f>
        <x:v>12634.996943999999</x:v>
      </x:c>
      <x:c r="Q62" s="8" t="n">
        <x:f>$M62*Q$59-D36+D37</x:f>
        <x:v>13296.7467912</x:v>
      </x:c>
      <x:c r="R62" s="8" t="n">
        <x:f>$M62*R$59-D36+D37</x:f>
        <x:v>13958.4966384</x:v>
      </x:c>
      <x:c r="S62" s="63"/>
      <x:c r="T62" s="63"/>
      <x:c r="U62" s="63"/>
      <x:c r="V62" s="63"/>
    </x:row>
    <x:row r="63" ht="18" customHeight="1">
      <x:c r="A63" s="1"/>
      <x:c r="B63" s="1"/>
      <x:c r="C63" s="1" t="str">
        <x:v>Trade payables</x:v>
      </x:c>
      <x:c r="D63" s="2"/>
      <x:c r="E63" s="10" t="n">
        <x:f>E50*E28/'Controls'!$E$11</x:f>
        <x:v>111.57004800000001</x:v>
      </x:c>
      <x:c r="F63" s="10" t="n">
        <x:f>F50*F28/'Controls'!$E$11</x:f>
        <x:v>127.12291269120003</x:v>
      </x:c>
      <x:c r="G63" s="10" t="n">
        <x:f>G50*G28/'Controls'!$E$11</x:f>
        <x:v>144.8438467203533</x:v>
      </x:c>
      <x:c r="H63" s="10" t="n">
        <x:f>H50*H28/'Controls'!$E$11</x:f>
        <x:v>165.03507895317057</x:v>
      </x:c>
      <x:c r="I63" s="10" t="n">
        <x:f>I50*I28/'Controls'!$E$11</x:f>
        <x:v>188.04096895924252</x:v>
      </x:c>
      <x:c r="J63" s="1"/>
      <x:c r="K63" s="1"/>
      <x:c r="M63" s="8" t="n">
        <x:f>E53*1.1</x:f>
        <x:v>727.9248319200001</x:v>
      </x:c>
      <x:c r="N63" s="8" t="n">
        <x:f>$M63*N$59-D36+D37</x:f>
        <x:v>12502.64697456</x:v>
      </x:c>
      <x:c r="O63" s="8" t="n">
        <x:f>$M63*O$59-D36+D37</x:f>
        <x:v>13230.571806480002</x:v>
      </x:c>
      <x:c r="P63" s="8" t="n">
        <x:f>$M63*P$59-D36+D37</x:f>
        <x:v>13958.496638400002</x:v>
      </x:c>
      <x:c r="Q63" s="8" t="n">
        <x:f>$M63*Q$59-D36+D37</x:f>
        <x:v>14686.421470320001</x:v>
      </x:c>
      <x:c r="R63" s="8" t="n">
        <x:f>$M63*R$59-D36+D37</x:f>
        <x:v>15414.346302240003</x:v>
      </x:c>
      <x:c r="S63" s="63"/>
      <x:c r="T63" s="63"/>
      <x:c r="U63" s="63"/>
      <x:c r="V63" s="63"/>
    </x:row>
    <x:row r="64" ht="18" customHeight="1">
      <x:c r="A64" s="1"/>
      <x:c r="B64" s="1"/>
      <x:c r="C64" s="1" t="str">
        <x:v>Net working capital</x:v>
      </x:c>
      <x:c r="D64" s="2"/>
      <x:c r="E64" s="8" t="n">
        <x:f>E61+E62-E63</x:f>
        <x:v>313.7907600000001</x:v>
      </x:c>
      <x:c r="F64" s="8" t="n">
        <x:f>F61+F62-F63</x:f>
        <x:v>357.53319194400007</x:v>
      </x:c>
      <x:c r="G64" s="8" t="n">
        <x:f>G61+G62-G63</x:f>
        <x:v>407.3733189009936</x:v>
      </x:c>
      <x:c r="H64" s="8" t="n">
        <x:f>H61+H62-H63</x:f>
        <x:v>464.1611595557922</x:v>
      </x:c>
      <x:c r="I64" s="8" t="n">
        <x:f>I61+I62-I63</x:f>
        <x:v>528.8652251978696</x:v>
      </x:c>
      <x:c r="J64" s="1"/>
      <x:c r="K64" s="1"/>
      <x:c r="M64" s="8" t="n">
        <x:f>E53*1.2</x:f>
        <x:v>794.09981664</x:v>
      </x:c>
      <x:c r="N64" s="8" t="n">
        <x:f>$M64*N$59-D36+D37</x:f>
        <x:v>13693.79669952</x:v>
      </x:c>
      <x:c r="O64" s="8" t="n">
        <x:f>$M64*O$59-D36+D37</x:f>
        <x:v>14487.896516159999</x:v>
      </x:c>
      <x:c r="P64" s="8" t="n">
        <x:f>$M64*P$59-D36+D37</x:f>
        <x:v>15281.9963328</x:v>
      </x:c>
      <x:c r="Q64" s="8" t="n">
        <x:f>$M64*Q$59-D36+D37</x:f>
        <x:v>16076.09614944</x:v>
      </x:c>
      <x:c r="R64" s="8" t="n">
        <x:f>$M64*R$59-D36+D37</x:f>
        <x:v>16870.19596608</x:v>
      </x:c>
      <x:c r="S64" s="63"/>
      <x:c r="T64" s="63"/>
      <x:c r="U64" s="63"/>
      <x:c r="V64" s="63"/>
    </x:row>
    <x:row r="65" ht="18" customHeight="1">
      <x:c r="A65" s="1"/>
      <x:c r="B65" s="1"/>
      <x:c r="C65" s="1" t="str">
        <x:v>Increase in net working capital</x:v>
      </x:c>
      <x:c r="D65" s="2"/>
      <x:c r="E65" s="8" t="n">
        <x:f>E64-$D38</x:f>
        <x:v>38.39076000000006</x:v>
      </x:c>
      <x:c r="F65" s="8" t="n">
        <x:f>F64-E64</x:f>
        <x:v>43.742431943999975</x:v>
      </x:c>
      <x:c r="G65" s="8" t="n">
        <x:f>G64-F64</x:f>
        <x:v>49.840126956993515</x:v>
      </x:c>
      <x:c r="H65" s="8" t="n">
        <x:f>H64-G64</x:f>
        <x:v>56.78784065479863</x:v>
      </x:c>
      <x:c r="I65" s="8" t="n">
        <x:f>I64-H64</x:f>
        <x:v>64.70406564207735</x:v>
      </x:c>
      <x:c r="J65" s="1"/>
      <x:c r="K65" s="1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</x:row>
    <x:row r="66" ht="18" customHeight="1">
      <x:c r="A66" s="1"/>
      <x:c r="B66" s="1"/>
      <x:c r="C66" s="1" t="str">
        <x:v>Capital expenditure</x:v>
      </x:c>
      <x:c r="D66" s="2"/>
      <x:c r="E66" s="8" t="n">
        <x:f>E48*E24</x:f>
        <x:v>254.51917200000003</x:v>
      </x:c>
      <x:c r="F66" s="8" t="n">
        <x:f>F48*F24</x:f>
        <x:v>289.99914457680006</x:v>
      </x:c>
      <x:c r="G66" s="8" t="n">
        <x:f>G48*G24</x:f>
        <x:v>330.42502533080597</x:v>
      </x:c>
      <x:c r="H66" s="8" t="n">
        <x:f>H48*H24</x:f>
        <x:v>376.4862738619204</x:v>
      </x:c>
      <x:c r="I66" s="8" t="n">
        <x:f>I48*I24</x:f>
        <x:v>428.968460438272</x:v>
      </x:c>
      <x:c r="J66" s="1"/>
      <x:c r="K66" s="1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</x:row>
    <x:row r="67" ht="18" customHeight="1">
      <x:c r="A67" s="1"/>
      <x:c r="B67" s="1"/>
      <x:c r="C67" s="1" t="str">
        <x:v>Closing net PP&amp;E</x:v>
      </x:c>
      <x:c r="D67" s="2"/>
      <x:c r="E67" s="8" t="n">
        <x:f>E135</x:f>
        <x:v>2984.5191720000003</x:v>
      </x:c>
      <x:c r="F67" s="8" t="n">
        <x:f>F135</x:f>
        <x:v>3005.9115910968003</x:v>
      </x:c>
      <x:c r="G67" s="8" t="n">
        <x:f>G135</x:f>
        <x:v>3065.8045732288942</x:v>
      </x:c>
      <x:c r="H67" s="8" t="n">
        <x:f>H135</x:f>
        <x:v>3166.368435500214</x:v>
      </x:c>
      <x:c r="I67" s="8" t="n">
        <x:f>I135</x:f>
        <x:v>3310.3637367434667</x:v>
      </x:c>
      <x:c r="J67" s="1"/>
      <x:c r="K67" s="1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</x:row>
    <x:row r="68" ht="25" customHeight="1">
      <x:c r="A68" s="1"/>
      <x:c r="B68" s="1"/>
      <x:c r="C68" s="1" t="str">
        <x:v>Closing debt</x:v>
      </x:c>
      <x:c r="D68" s="2"/>
      <x:c r="E68" s="8" t="n">
        <x:f>E123</x:f>
        <x:v>810</x:v>
      </x:c>
      <x:c r="F68" s="8" t="n">
        <x:f>F123</x:f>
        <x:v>720</x:v>
      </x:c>
      <x:c r="G68" s="8" t="n">
        <x:f>G123</x:f>
        <x:v>630</x:v>
      </x:c>
      <x:c r="H68" s="8" t="n">
        <x:f>H123</x:f>
        <x:v>540</x:v>
      </x:c>
      <x:c r="I68" s="8" t="n">
        <x:f>I123</x:f>
        <x:v>450</x:v>
      </x:c>
      <x:c r="J68" s="1"/>
      <x:c r="K68" s="1"/>
      <x:c r="M68" s="82" t="str">
        <x:v>First-year EBITDA | rows revenue / columns EBITDA margin</x:v>
      </x:c>
      <x:c r="N68" s="82"/>
      <x:c r="O68" s="82"/>
      <x:c r="P68" s="82"/>
      <x:c r="Q68" s="82"/>
      <x:c r="R68" s="82"/>
      <x:c r="S68" s="63"/>
      <x:c r="T68" s="63"/>
      <x:c r="U68" s="63"/>
      <x:c r="V68" s="63"/>
    </x:row>
    <x:row r="69" ht="18" customHeight="1">
      <x:c r="A69" s="1"/>
      <x:c r="B69" s="1"/>
      <x:c r="C69" s="19" t="str">
        <x:v>CASH FLOW AND BALANCE SHEET</x:v>
      </x:c>
      <x:c r="D69" s="20"/>
      <x:c r="E69" s="20"/>
      <x:c r="F69" s="20"/>
      <x:c r="G69" s="20"/>
      <x:c r="H69" s="20"/>
      <x:c r="I69" s="20"/>
      <x:c r="J69" s="1"/>
      <x:c r="K69" s="1"/>
      <x:c r="M69" s="63"/>
      <x:c r="N69" s="70" t="n">
        <x:f>E53/E48+-0.04</x:f>
        <x:v>0.21999999999999995</x:v>
      </x:c>
      <x:c r="O69" s="70" t="n">
        <x:f>E53/E48+-0.02</x:f>
        <x:v>0.23999999999999996</x:v>
      </x:c>
      <x:c r="P69" s="70" t="n">
        <x:f>E53/E48+0</x:f>
        <x:v>0.25999999999999995</x:v>
      </x:c>
      <x:c r="Q69" s="70" t="n">
        <x:f>E53/E48+0.02</x:f>
        <x:v>0.27999999999999997</x:v>
      </x:c>
      <x:c r="R69" s="70" t="n">
        <x:f>E53/E48+0.04</x:f>
        <x:v>0.29999999999999993</x:v>
      </x:c>
      <x:c r="S69" s="63"/>
      <x:c r="T69" s="63"/>
      <x:c r="U69" s="63"/>
      <x:c r="V69" s="63"/>
    </x:row>
    <x:row r="70" ht="18" customHeight="1">
      <x:c r="A70" s="1"/>
      <x:c r="B70" s="1"/>
      <x:c r="C70" s="1" t="str">
        <x:v>Operating cash flow after interest</x:v>
      </x:c>
      <x:c r="D70" s="2"/>
      <x:c r="E70" s="8" t="n">
        <x:f>E59+E54-E65</x:f>
        <x:v>468.0466253999999</x:v>
      </x:c>
      <x:c r="F70" s="8" t="n">
        <x:f>F59+F54-F65</x:f>
        <x:v>537.2700813507602</x:v>
      </x:c>
      <x:c r="G70" s="8" t="n">
        <x:f>G59+G54-G65</x:f>
        <x:v>616.221683237756</x:v>
      </x:c>
      <x:c r="H70" s="8" t="n">
        <x:f>H59+H54-H65</x:f>
        <x:v>706.178496273596</x:v>
      </x:c>
      <x:c r="I70" s="8" t="n">
        <x:f>I59+I54-I65</x:f>
        <x:v>808.6027220113077</x:v>
      </x:c>
      <x:c r="J70" s="1"/>
      <x:c r="K70" s="1"/>
      <x:c r="M70" s="8" t="n">
        <x:f>E48*0.8</x:f>
        <x:v>2036.1533760000002</x:v>
      </x:c>
      <x:c r="N70" s="8" t="n">
        <x:f>$M70*N$69</x:f>
        <x:v>447.9537427199999</x:v>
      </x:c>
      <x:c r="O70" s="8" t="n">
        <x:f>$M70*O$69</x:f>
        <x:v>488.67681023999995</x:v>
      </x:c>
      <x:c r="P70" s="8" t="n">
        <x:f>$M70*P$69</x:f>
        <x:v>529.39987776</x:v>
      </x:c>
      <x:c r="Q70" s="8" t="n">
        <x:f>$M70*Q$69</x:f>
        <x:v>570.12294528</x:v>
      </x:c>
      <x:c r="R70" s="8" t="n">
        <x:f>$M70*R$69</x:f>
        <x:v>610.8460127999999</x:v>
      </x:c>
      <x:c r="S70" s="63"/>
      <x:c r="T70" s="63"/>
      <x:c r="U70" s="63"/>
      <x:c r="V70" s="63"/>
    </x:row>
    <x:row r="71" ht="18" customHeight="1">
      <x:c r="A71" s="1"/>
      <x:c r="B71" s="1"/>
      <x:c r="C71" s="1" t="str">
        <x:v>Dividends</x:v>
      </x:c>
      <x:c r="D71" s="2"/>
      <x:c r="E71" s="8" t="n">
        <x:f>MAX(0,E59)*E33</x:f>
        <x:v>59.109346349999996</x:v>
      </x:c>
      <x:c r="F71" s="8" t="n">
        <x:f>MAX(0,F59)*F33</x:f>
        <x:v>78.10144695369</x:v>
      </x:c>
      <x:c r="G71" s="8" t="n">
        <x:f>MAX(0,G59)*G33</x:f>
        <x:v>98.88244174900939</x:v>
      </x:c>
      <x:c r="H71" s="8" t="n">
        <x:f>MAX(0,H59)*H33</x:f>
        <x:v>121.76098133444856</x:v>
      </x:c>
      <x:c r="I71" s="8" t="n">
        <x:f>MAX(0,I59)*I33</x:f>
        <x:v>147.08340711459147</x:v>
      </x:c>
      <x:c r="J71" s="1"/>
      <x:c r="K71" s="1"/>
      <x:c r="M71" s="8" t="n">
        <x:f>E48*0.9</x:f>
        <x:v>2290.6725480000005</x:v>
      </x:c>
      <x:c r="N71" s="8" t="n">
        <x:f>$M71*N$69</x:f>
        <x:v>503.94796055999996</x:v>
      </x:c>
      <x:c r="O71" s="8" t="n">
        <x:f>$M71*O$69</x:f>
        <x:v>549.76141152</x:v>
      </x:c>
      <x:c r="P71" s="8" t="n">
        <x:f>$M71*P$69</x:f>
        <x:v>595.57486248</x:v>
      </x:c>
      <x:c r="Q71" s="8" t="n">
        <x:f>$M71*Q$69</x:f>
        <x:v>641.38831344</x:v>
      </x:c>
      <x:c r="R71" s="8" t="n">
        <x:f>$M71*R$69</x:f>
        <x:v>687.2017644</x:v>
      </x:c>
      <x:c r="S71" s="63"/>
      <x:c r="T71" s="63"/>
      <x:c r="U71" s="63"/>
      <x:c r="V71" s="63"/>
    </x:row>
    <x:row r="72" ht="18" customHeight="1">
      <x:c r="A72" s="1"/>
      <x:c r="B72" s="1"/>
      <x:c r="C72" s="1" t="str">
        <x:v>Change in cash</x:v>
      </x:c>
      <x:c r="D72" s="2"/>
      <x:c r="E72" s="8" t="n">
        <x:f>E70-E66+E31-E32-E71</x:f>
        <x:v>64.4181070499999</x:v>
      </x:c>
      <x:c r="F72" s="8" t="n">
        <x:f>F70-F66+F31-F32-F71</x:f>
        <x:v>79.1694898202701</x:v>
      </x:c>
      <x:c r="G72" s="8" t="n">
        <x:f>G70-G66+G31-G32-G71</x:f>
        <x:v>96.91421615794064</x:v>
      </x:c>
      <x:c r="H72" s="8" t="n">
        <x:f>H70-H66+H31-H32-H71</x:f>
        <x:v>117.93124107722707</x:v>
      </x:c>
      <x:c r="I72" s="8" t="n">
        <x:f>I70-I66+I31-I32-I71</x:f>
        <x:v>142.55085445844423</x:v>
      </x:c>
      <x:c r="J72" s="1"/>
      <x:c r="K72" s="1"/>
      <x:c r="M72" s="8" t="n">
        <x:f>E48*1</x:f>
        <x:v>2545.1917200000003</x:v>
      </x:c>
      <x:c r="N72" s="8" t="n">
        <x:f>$M72*N$69</x:f>
        <x:v>559.9421783999999</x:v>
      </x:c>
      <x:c r="O72" s="8" t="n">
        <x:f>$M72*O$69</x:f>
        <x:v>610.8460127999999</x:v>
      </x:c>
      <x:c r="P72" s="8" t="n">
        <x:f>$M72*P$69</x:f>
        <x:v>661.7498472</x:v>
      </x:c>
      <x:c r="Q72" s="8" t="n">
        <x:f>$M72*Q$69</x:f>
        <x:v>712.6536816</x:v>
      </x:c>
      <x:c r="R72" s="8" t="n">
        <x:f>$M72*R$69</x:f>
        <x:v>763.557516</x:v>
      </x:c>
      <x:c r="S72" s="63"/>
      <x:c r="T72" s="63"/>
      <x:c r="U72" s="63"/>
      <x:c r="V72" s="63"/>
    </x:row>
    <x:row r="73" ht="18" customHeight="1">
      <x:c r="A73" s="1"/>
      <x:c r="B73" s="1"/>
      <x:c r="C73" s="1" t="str">
        <x:v>Closing cash / (funding gap)</x:v>
      </x:c>
      <x:c r="D73" s="2"/>
      <x:c r="E73" s="8" t="n">
        <x:f>$D37+E72</x:f>
        <x:v>364.4181070499999</x:v>
      </x:c>
      <x:c r="F73" s="8" t="n">
        <x:f>E73+F72</x:f>
        <x:v>443.58759687027</x:v>
      </x:c>
      <x:c r="G73" s="8" t="n">
        <x:f>F73+G72</x:f>
        <x:v>540.5018130282106</x:v>
      </x:c>
      <x:c r="H73" s="8" t="n">
        <x:f>G73+H72</x:f>
        <x:v>658.4330541054376</x:v>
      </x:c>
      <x:c r="I73" s="8" t="n">
        <x:f>H73+I72</x:f>
        <x:v>800.9839085638819</x:v>
      </x:c>
      <x:c r="J73" s="1"/>
      <x:c r="K73" s="1"/>
      <x:c r="M73" s="8" t="n">
        <x:f>E48*1.1</x:f>
        <x:v>2799.7108920000005</x:v>
      </x:c>
      <x:c r="N73" s="8" t="n">
        <x:f>$M73*N$69</x:f>
        <x:v>615.9363962399999</x:v>
      </x:c>
      <x:c r="O73" s="8" t="n">
        <x:f>$M73*O$69</x:f>
        <x:v>671.93061408</x:v>
      </x:c>
      <x:c r="P73" s="8" t="n">
        <x:f>$M73*P$69</x:f>
        <x:v>727.92483192</x:v>
      </x:c>
      <x:c r="Q73" s="8" t="n">
        <x:f>$M73*Q$69</x:f>
        <x:v>783.91904976</x:v>
      </x:c>
      <x:c r="R73" s="8" t="n">
        <x:f>$M73*R$69</x:f>
        <x:v>839.9132675999999</x:v>
      </x:c>
      <x:c r="S73" s="63"/>
      <x:c r="T73" s="63"/>
      <x:c r="U73" s="63"/>
      <x:c r="V73" s="63"/>
    </x:row>
    <x:row r="74" ht="18" customHeight="1">
      <x:c r="A74" s="1"/>
      <x:c r="B74" s="1"/>
      <x:c r="C74" s="38" t="str">
        <x:v>Closing book equity</x:v>
      </x:c>
      <x:c r="D74" s="39"/>
      <x:c r="E74" s="41" t="n">
        <x:f>$D35+$D38+$D37-$D36+E59-E71</x:f>
        <x:v>2852.72803905</x:v>
      </x:c>
      <x:c r="F74" s="41" t="n">
        <x:f>E74+F59-F71</x:f>
        <x:v>3087.03237991107</x:v>
      </x:c>
      <x:c r="G74" s="41" t="n">
        <x:f>F74+G59-G71</x:f>
        <x:v>3383.679705158098</x:v>
      </x:c>
      <x:c r="H74" s="41" t="n">
        <x:f>G74+H59-H71</x:f>
        <x:v>3748.962649161444</x:v>
      </x:c>
      <x:c r="I74" s="41" t="n">
        <x:f>H74+I59-I71</x:f>
        <x:v>4190.212870505218</x:v>
      </x:c>
      <x:c r="J74" s="1"/>
      <x:c r="K74" s="1"/>
      <x:c r="M74" s="8" t="n">
        <x:f>E48*1.2</x:f>
        <x:v>3054.2300640000003</x:v>
      </x:c>
      <x:c r="N74" s="8" t="n">
        <x:f>$M74*N$69</x:f>
        <x:v>671.9306140799999</x:v>
      </x:c>
      <x:c r="O74" s="8" t="n">
        <x:f>$M74*O$69</x:f>
        <x:v>733.01521536</x:v>
      </x:c>
      <x:c r="P74" s="8" t="n">
        <x:f>$M74*P$69</x:f>
        <x:v>794.09981664</x:v>
      </x:c>
      <x:c r="Q74" s="8" t="n">
        <x:f>$M74*Q$69</x:f>
        <x:v>855.18441792</x:v>
      </x:c>
      <x:c r="R74" s="8" t="n">
        <x:f>$M74*R$69</x:f>
        <x:v>916.2690191999999</x:v>
      </x:c>
      <x:c r="S74" s="63"/>
      <x:c r="T74" s="63"/>
      <x:c r="U74" s="63"/>
      <x:c r="V74" s="63"/>
    </x:row>
    <x:row r="75" ht="18" customHeight="1">
      <x:c r="A75" s="1"/>
      <x:c r="B75" s="1"/>
      <x:c r="C75" s="1" t="str">
        <x:v>Total assets</x:v>
      </x:c>
      <x:c r="D75" s="2"/>
      <x:c r="E75" s="8" t="n">
        <x:f>E73+E61+E62+E67</x:f>
        <x:v>3774.29808705</x:v>
      </x:c>
      <x:c r="F75" s="8" t="n">
        <x:f>F73+F61+F62+F67</x:f>
        <x:v>3934.1552926022705</x:v>
      </x:c>
      <x:c r="G75" s="8" t="n">
        <x:f>G73+G61+G62+G67</x:f>
        <x:v>4158.523551878452</x:v>
      </x:c>
      <x:c r="H75" s="8" t="n">
        <x:f>H73+H61+H62+H67</x:f>
        <x:v>4453.997728114615</x:v>
      </x:c>
      <x:c r="I75" s="8" t="n">
        <x:f>I73+I61+I62+I67</x:f>
        <x:v>4828.253839464461</x:v>
      </x:c>
      <x:c r="J75" s="1"/>
      <x:c r="K75" s="1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</x:row>
    <x:row r="76" ht="18" customHeight="1">
      <x:c r="A76" s="1"/>
      <x:c r="B76" s="1"/>
      <x:c r="C76" s="1" t="str">
        <x:v>Liabilities and equity</x:v>
      </x:c>
      <x:c r="D76" s="2"/>
      <x:c r="E76" s="8" t="n">
        <x:f>E63+E68+E74</x:f>
        <x:v>3774.29808705</x:v>
      </x:c>
      <x:c r="F76" s="8" t="n">
        <x:f>F63+F68+F74</x:f>
        <x:v>3934.15529260227</x:v>
      </x:c>
      <x:c r="G76" s="8" t="n">
        <x:f>G63+G68+G74</x:f>
        <x:v>4158.523551878451</x:v>
      </x:c>
      <x:c r="H76" s="8" t="n">
        <x:f>H63+H68+H74</x:f>
        <x:v>4453.997728114615</x:v>
      </x:c>
      <x:c r="I76" s="8" t="n">
        <x:f>I63+I68+I74</x:f>
        <x:v>4828.253839464461</x:v>
      </x:c>
      <x:c r="J76" s="1"/>
      <x:c r="K76" s="1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</x:row>
    <x:row r="77" ht="18" customHeight="1">
      <x:c r="A77" s="1"/>
      <x:c r="B77" s="1"/>
      <x:c r="C77" s="1" t="str">
        <x:v>Unlevered operating profit after tax</x:v>
      </x:c>
      <x:c r="D77" s="2"/>
      <x:c r="E77" s="8" t="n">
        <x:f>E55-MAX(0,E55)*E29</x:f>
        <x:v>293.8123854</x:v>
      </x:c>
      <x:c r="F77" s="8" t="n">
        <x:f>F55-MAX(0,F55)*F29</x:f>
        <x:v>364.04328781476</x:v>
      </x:c>
      <x:c r="G77" s="8" t="n">
        <x:f>G55-MAX(0,G55)*G29</x:f>
        <x:v>441.4297669960376</x:v>
      </x:c>
      <x:c r="H77" s="8" t="n">
        <x:f>H55-MAX(0,H55)*H29</x:f>
        <x:v>527.2064253377941</x:v>
      </x:c>
      <x:c r="I77" s="8" t="n">
        <x:f>I55-MAX(0,I55)*I29</x:f>
        <x:v>622.7586284583658</x:v>
      </x:c>
      <x:c r="J77" s="1"/>
      <x:c r="K77" s="1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</x:row>
    <x:row r="78" ht="18" customHeight="1">
      <x:c r="A78" s="1"/>
      <x:c r="B78" s="1"/>
      <x:c r="C78" s="38" t="str">
        <x:v>Free cash flow to firm</x:v>
      </x:c>
      <x:c r="D78" s="39"/>
      <x:c r="E78" s="41" t="n">
        <x:f>E77+E54-E66-E65</x:f>
        <x:v>270.90245339999996</x:v>
      </x:c>
      <x:c r="F78" s="41" t="n">
        <x:f>F77+F54-F66-F65</x:f>
        <x:v>298.90843677396</x:v>
      </x:c>
      <x:c r="G78" s="41" t="n">
        <x:f>G77+G54-G66-G65</x:f>
        <x:v>331.6966579069502</x:v>
      </x:c>
      <x:c r="H78" s="41" t="n">
        <x:f>H77+H54-H66-H65</x:f>
        <x:v>369.85472241167554</x:v>
      </x:c>
      <x:c r="I78" s="41" t="n">
        <x:f>I77+I54-I66-I65</x:f>
        <x:v>414.05926157303566</x:v>
      </x:c>
      <x:c r="J78" s="1"/>
      <x:c r="K78" s="1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</x:row>
    <x:row r="79" ht="18" customHeight="1">
      <x:c r="A79" s="1"/>
      <x:c r="B79" s="1"/>
      <x:c r="C79" s="19" t="str">
        <x:v>SECTOR KPIs AND RETURN METRICS</x:v>
      </x:c>
      <x:c r="D79" s="20"/>
      <x:c r="E79" s="20"/>
      <x:c r="F79" s="20"/>
      <x:c r="G79" s="20"/>
      <x:c r="H79" s="20"/>
      <x:c r="I79" s="20"/>
      <x:c r="J79" s="1"/>
      <x:c r="K79" s="1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</x:row>
    <x:row r="80" ht="18" customHeight="1">
      <x:c r="A80" s="1"/>
      <x:c r="B80" s="1"/>
      <x:c r="C80" s="23" t="str">
        <x:v>Gross margin</x:v>
      </x:c>
      <x:c r="D80" s="24"/>
      <x:c r="E80" s="35" t="n">
        <x:f>E51/E48</x:f>
        <x:v>0.6</x:v>
      </x:c>
      <x:c r="F80" s="35" t="n">
        <x:f>F51/F48</x:f>
        <x:v>0.6</x:v>
      </x:c>
      <x:c r="G80" s="35" t="n">
        <x:f>G51/G48</x:f>
        <x:v>0.6</x:v>
      </x:c>
      <x:c r="H80" s="35" t="n">
        <x:f>H51/H48</x:f>
        <x:v>0.6</x:v>
      </x:c>
      <x:c r="I80" s="35" t="n">
        <x:f>I51/I48</x:f>
        <x:v>0.6</x:v>
      </x:c>
      <x:c r="J80" s="1"/>
      <x:c r="K80" s="1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</x:row>
    <x:row r="81" ht="18" customHeight="1">
      <x:c r="A81" s="1"/>
      <x:c r="B81" s="1"/>
      <x:c r="C81" s="23" t="str">
        <x:v>EBITDA margin</x:v>
      </x:c>
      <x:c r="D81" s="24"/>
      <x:c r="E81" s="35" t="n">
        <x:f>E53/E48</x:f>
        <x:v>0.25999999999999995</x:v>
      </x:c>
      <x:c r="F81" s="35" t="n">
        <x:f>F53/F48</x:f>
        <x:v>0.25999999999999995</x:v>
      </x:c>
      <x:c r="G81" s="35" t="n">
        <x:f>G53/G48</x:f>
        <x:v>0.26</x:v>
      </x:c>
      <x:c r="H81" s="35" t="n">
        <x:f>H53/H48</x:f>
        <x:v>0.25999999999999995</x:v>
      </x:c>
      <x:c r="I81" s="35" t="n">
        <x:f>I53/I48</x:f>
        <x:v>0.25999999999999995</x:v>
      </x:c>
      <x:c r="J81" s="1"/>
      <x:c r="K81" s="1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</x:row>
    <x:row r="82" ht="18" customHeight="1">
      <x:c r="A82" s="1"/>
      <x:c r="B82" s="1"/>
      <x:c r="C82" s="23" t="str">
        <x:v>Net margin</x:v>
      </x:c>
      <x:c r="D82" s="24"/>
      <x:c r="E82" s="35" t="n">
        <x:f>E59/E48</x:f>
        <x:v>0.09289570744006662</x:v>
      </x:c>
      <x:c r="F82" s="35" t="n">
        <x:f>F59/F48</x:f>
        <x:v>0.10772645149373053</x:v>
      </x:c>
      <x:c r="G82" s="35" t="n">
        <x:f>G59/G48</x:f>
        <x:v>0.11970333257901752</x:v>
      </x:c>
      <x:c r="H82" s="35" t="n">
        <x:f>H59/H48</x:f>
        <x:v>0.12936565265495492</x:v>
      </x:c>
      <x:c r="I82" s="35" t="n">
        <x:f>I59/I48</x:f>
        <x:v>0.13715078909467432</x:v>
      </x:c>
      <x:c r="J82" s="1"/>
      <x:c r="K82" s="1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</x:row>
    <x:row r="83" ht="18" customHeight="1">
      <x:c r="A83" s="1"/>
      <x:c r="B83" s="1"/>
      <x:c r="C83" s="23" t="str">
        <x:v>Operating cash conversion</x:v>
      </x:c>
      <x:c r="D83" s="24"/>
      <x:c r="E83" s="35" t="n">
        <x:f>IF(E53=0,"n.a.",E70/E53)</x:f>
        <x:v>0.7072863369449977</x:v>
      </x:c>
      <x:c r="F83" s="35" t="n">
        <x:f>IF(F53=0,"n.a.",F70/F53)</x:f>
        <x:v>0.7125618914587413</x:v>
      </x:c>
      <x:c r="G83" s="35" t="n">
        <x:f>IF(G53=0,"n.a.",G70/G53)</x:f>
        <x:v>0.7172832610651922</x:v>
      </x:c>
      <x:c r="H83" s="35" t="n">
        <x:f>IF(H53=0,"n.a.",H70/H53)</x:f>
        <x:v>0.7214263382441333</x:v>
      </x:c>
      <x:c r="I83" s="35" t="n">
        <x:f>IF(I53=0,"n.a.",I70/I53)</x:f>
        <x:v>0.7249974662698512</x:v>
      </x:c>
      <x:c r="J83" s="1"/>
      <x:c r="K83" s="1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</x:row>
    <x:row r="84" ht="18" customHeight="1">
      <x:c r="A84" s="1"/>
      <x:c r="B84" s="1"/>
      <x:c r="C84" s="1" t="str">
        <x:v>Cash conversion cycle (days)</x:v>
      </x:c>
      <x:c r="D84" s="2"/>
      <x:c r="E84" s="8" t="n">
        <x:f>E26+E27-E28</x:f>
        <x:v>30</x:v>
      </x:c>
      <x:c r="F84" s="8" t="n">
        <x:f>F26+F27-F28</x:f>
        <x:v>30</x:v>
      </x:c>
      <x:c r="G84" s="8" t="n">
        <x:f>G26+G27-G28</x:f>
        <x:v>30</x:v>
      </x:c>
      <x:c r="H84" s="8" t="n">
        <x:f>H26+H27-H28</x:f>
        <x:v>30</x:v>
      </x:c>
      <x:c r="I84" s="8" t="n">
        <x:f>I26+I27-I28</x:f>
        <x:v>30</x:v>
      </x:c>
      <x:c r="J84" s="1"/>
      <x:c r="K84" s="1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</x:row>
    <x:row r="85" ht="18" customHeight="1">
      <x:c r="A85" s="1"/>
      <x:c r="B85" s="1"/>
      <x:c r="C85" s="23" t="str">
        <x:v>Net debt / EBITDA</x:v>
      </x:c>
      <x:c r="D85" s="32"/>
      <x:c r="E85" s="61" t="n">
        <x:f>IF(E53&lt;=0,"n.a.",(E68-E73)/E53)</x:f>
        <x:v>0.6733388679050686</x:v>
      </x:c>
      <x:c r="F85" s="61" t="n">
        <x:f>IF(F53&lt;=0,"n.a.",(F68-F73)/F53)</x:f>
        <x:v>0.3665957804715155</x:v>
      </x:c>
      <x:c r="G85" s="61" t="n">
        <x:f>IF(G53&lt;=0,"n.a.",(G68-G73)/G53)</x:f>
        <x:v>0.10417606708230509</x:v>
      </x:c>
      <x:c r="H85" s="61" t="n">
        <x:f>IF(H53&lt;=0,"n.a.",(H68-H73)/H53)</x:f>
        <x:v>-0.12099026662694172</x:v>
      </x:c>
      <x:c r="I85" s="61" t="n">
        <x:f>IF(I53&lt;=0,"n.a.",(I68-I73)/I53)</x:f>
        <x:v>-0.3146940240039719</x:v>
      </x:c>
      <x:c r="J85" s="1"/>
      <x:c r="K85" s="1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</x:row>
    <x:row r="86" ht="18" customHeight="1">
      <x:c r="A86" s="1"/>
      <x:c r="B86" s="1"/>
      <x:c r="C86" s="23" t="str">
        <x:v>EBIT / interest</x:v>
      </x:c>
      <x:c r="D86" s="32"/>
      <x:c r="E86" s="61" t="n">
        <x:f>IF(E56=0,"n.a.",E55/E56)</x:f>
        <x:v>5.120913035294118</x:v>
      </x:c>
      <x:c r="F86" s="61" t="n">
        <x:f>IF(F56=0,"n.a.",F55/F56)</x:f>
        <x:v>7.049978945819607</x:v>
      </x:c>
      <x:c r="G86" s="61" t="n">
        <x:f>IF(G56=0,"n.a.",G55/G56)</x:f>
        <x:v>9.617206252636985</x:v>
      </x:c>
      <x:c r="H86" s="61" t="n">
        <x:f>IF(H56=0,"n.a.",H55/H56)</x:f>
        <x:v>13.12683287489061</x:v>
      </x:c>
      <x:c r="I86" s="61" t="n">
        <x:f>IF(I56=0,"n.a.",I55/I56)</x:f>
        <x:v>18.090301480272064</x:v>
      </x:c>
      <x:c r="J86" s="1"/>
      <x:c r="K86" s="1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</x:row>
    <x:row r="87" ht="18" customHeight="1">
      <x:c r="A87" s="1"/>
      <x:c r="B87" s="1"/>
      <x:c r="C87" s="23" t="str">
        <x:v>ROIC on average invested capital</x:v>
      </x:c>
      <x:c r="D87" s="24"/>
      <x:c r="E87" s="35" t="n">
        <x:f>E77/(($D35+$D38+E67+E64)/2)</x:f>
        <x:v>0.08939012777845823</x:v>
      </x:c>
      <x:c r="F87" s="35" t="n">
        <x:f>F77/((E67+E64+F67+F64)/2)</x:f>
        <x:v>0.1092935130117682</x:v>
      </x:c>
      <x:c r="G87" s="35" t="n">
        <x:f>G77/((F67+F64+G67+G64)/2)</x:f>
        <x:v>0.12913679399017483</x:v>
      </x:c>
      <x:c r="H87" s="35" t="n">
        <x:f>H77/((G67+G64+H67+H64)/2)</x:f>
        <x:v>0.14843134413650946</x:v>
      </x:c>
      <x:c r="I87" s="35" t="n">
        <x:f>I77/((H67+H64+I67+I64)/2)</x:f>
        <x:v>0.1667413005939778</x:v>
      </x:c>
      <x:c r="J87" s="1"/>
      <x:c r="K87" s="1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</x:row>
    <x:row r="88" ht="18" customHeight="1">
      <x:c r="A88" s="1"/>
      <x:c r="B88" s="1"/>
      <x:c r="C88" s="1" t="str">
        <x:v>Estimated inpatient discharges</x:v>
      </x:c>
      <x:c r="D88" s="2"/>
      <x:c r="E88" s="8" t="n">
        <x:f>E47/E23</x:f>
        <x:v>134028.00000000003</x:v>
      </x:c>
      <x:c r="F88" s="8" t="n">
        <x:f>F47/F23</x:f>
        <x:v>144750.24000000002</x:v>
      </x:c>
      <x:c r="G88" s="8" t="n">
        <x:f>G47/G23</x:f>
        <x:v>156330.25920000003</x:v>
      </x:c>
      <x:c r="H88" s="8" t="n">
        <x:f>H47/H23</x:f>
        <x:v>168836.67993600006</x:v>
      </x:c>
      <x:c r="I88" s="8" t="n">
        <x:f>I47/I23</x:f>
        <x:v>182343.61433088008</x:v>
      </x:c>
      <x:c r="J88" s="1"/>
      <x:c r="K88" s="1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</x:row>
    <x:row r="89" ht="18" customHeight="1">
      <x:c r="A89" s="1"/>
      <x:c r="B89" s="1"/>
      <x:c r="C89" s="1" t="str">
        <x:v>EBITDA per operational bed (INR lakh)</x:v>
      </x:c>
      <x:c r="D89" s="2"/>
      <x:c r="E89" s="10" t="n">
        <x:f>E53*'Controls'!$E$9/E45/'Controls'!$E$15</x:f>
        <x:v>30.636567000000003</x:v>
      </x:c>
      <x:c r="F89" s="10" t="n">
        <x:f>F53*'Controls'!$E$9/F45/'Controls'!$E$15</x:f>
        <x:v>32.321578185</x:v>
      </x:c>
      <x:c r="G89" s="10" t="n">
        <x:f>G53*'Controls'!$E$9/G45/'Controls'!$E$15</x:f>
        <x:v>34.09926498517499</x:v>
      </x:c>
      <x:c r="H89" s="10" t="n">
        <x:f>H53*'Controls'!$E$9/H45/'Controls'!$E$15</x:f>
        <x:v>35.974724559359615</x:v>
      </x:c>
      <x:c r="I89" s="10" t="n">
        <x:f>I53*'Controls'!$E$9/I45/'Controls'!$E$15</x:f>
        <x:v>37.95333441012439</x:v>
      </x:c>
      <x:c r="J89" s="1"/>
      <x:c r="K89" s="1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</x:row>
    <x:row r="90" ht="18" customHeight="1">
      <x:c r="A90" s="1"/>
      <x:c r="B90" s="1"/>
      <x:c r="C90" s="19" t="str">
        <x:v>VALUATION AT 31 MARCH 2026</x:v>
      </x:c>
      <x:c r="D90" s="20"/>
      <x:c r="E90" s="20"/>
      <x:c r="F90" s="20"/>
      <x:c r="G90" s="20"/>
      <x:c r="H90" s="20"/>
      <x:c r="I90" s="20"/>
      <x:c r="J90" s="1"/>
      <x:c r="K90" s="1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</x:row>
    <x:row r="91" ht="18" customHeight="1">
      <x:c r="A91" s="1"/>
      <x:c r="B91" s="1"/>
      <x:c r="C91" s="1" t="str">
        <x:v>PV of annual FCFF</x:v>
      </x:c>
      <x:c r="D91" s="2"/>
      <x:c r="E91" s="8" t="n">
        <x:f>E78/(1+$D40)^1</x:f>
        <x:v>241.87719053571422</x:v>
      </x:c>
      <x:c r="F91" s="8" t="n">
        <x:f>F78/(1+$D40)^2</x:f>
        <x:v>238.28797574454714</x:v>
      </x:c>
      <x:c r="G91" s="8" t="n">
        <x:f>G78/(1+$D40)^3</x:f>
        <x:v>236.09512936388916</x:v>
      </x:c>
      <x:c r="H91" s="8" t="n">
        <x:f>H78/(1+$D40)^4</x:f>
        <x:v>235.04936247602026</x:v>
      </x:c>
      <x:c r="I91" s="8" t="n">
        <x:f>I78/(1+$D40)^5</x:f>
        <x:v>234.9483448755526</x:v>
      </x:c>
      <x:c r="J91" s="1"/>
      <x:c r="K91" s="1"/>
    </x:row>
    <x:row r="92" ht="18" customHeight="1">
      <x:c r="A92" s="1"/>
      <x:c r="B92" s="1"/>
      <x:c r="C92" s="1" t="str">
        <x:v>Normalized terminal FCFF</x:v>
      </x:c>
      <x:c r="D92" s="2"/>
      <x:c r="E92" s="8" t="n">
        <x:f>I77*(1+$D41)*(1-$D41/$D42)</x:f>
        <x:v>474.957247304247</x:v>
      </x:c>
      <x:c r="F92" s="2"/>
      <x:c r="G92" s="2"/>
      <x:c r="H92" s="2"/>
      <x:c r="I92" s="2"/>
      <x:c r="J92" s="1"/>
      <x:c r="K92" s="1" t="str">
        <x:v>Terminal reinvestment = terminal NOPAT × growth / incremental ROIC.</x:v>
      </x:c>
    </x:row>
    <x:row r="93" ht="18" customHeight="1">
      <x:c r="A93" s="1"/>
      <x:c r="B93" s="1"/>
      <x:c r="C93" s="1" t="str">
        <x:v>Terminal enterprise value</x:v>
      </x:c>
      <x:c r="D93" s="2"/>
      <x:c r="E93" s="8" t="n">
        <x:f>IF($D40&lt;=$D41,NA(),E92/($D40-$D41))</x:f>
        <x:v>5936.965591303088</x:v>
      </x:c>
      <x:c r="F93" s="2"/>
      <x:c r="G93" s="2"/>
      <x:c r="H93" s="2"/>
      <x:c r="I93" s="2"/>
      <x:c r="J93" s="1"/>
      <x:c r="K93" s="1"/>
    </x:row>
    <x:row r="94" ht="18" customHeight="1">
      <x:c r="A94" s="1"/>
      <x:c r="B94" s="1"/>
      <x:c r="C94" s="1" t="str">
        <x:v>DCF enterprise value</x:v>
      </x:c>
      <x:c r="D94" s="2"/>
      <x:c r="E94" s="8" t="n">
        <x:f>SUM(E91:I91)+E93/(1+$D40)^5</x:f>
        <x:v>4555.051720978348</x:v>
      </x:c>
      <x:c r="F94" s="2"/>
      <x:c r="G94" s="2"/>
      <x:c r="H94" s="2"/>
      <x:c r="I94" s="2"/>
      <x:c r="J94" s="1"/>
      <x:c r="K94" s="1"/>
    </x:row>
    <x:row r="95" ht="18" customHeight="1">
      <x:c r="A95" s="1"/>
      <x:c r="B95" s="1"/>
      <x:c r="C95" s="38" t="str">
        <x:v>DCF equity value</x:v>
      </x:c>
      <x:c r="D95" s="39"/>
      <x:c r="E95" s="41" t="n">
        <x:f>E94-$D36+$D37</x:f>
        <x:v>3955.0517209783484</x:v>
      </x:c>
      <x:c r="F95" s="39"/>
      <x:c r="G95" s="39"/>
      <x:c r="H95" s="39"/>
      <x:c r="I95" s="39"/>
      <x:c r="J95" s="1"/>
      <x:c r="K95" s="1"/>
    </x:row>
    <x:row r="96" ht="18" customHeight="1">
      <x:c r="A96" s="1"/>
      <x:c r="B96" s="1"/>
      <x:c r="C96" s="1" t="str">
        <x:v>DCF value per share (INR)</x:v>
      </x:c>
      <x:c r="D96" s="33"/>
      <x:c r="E96" s="34" t="n">
        <x:f>E95/$D39</x:f>
        <x:v>39.550517209783486</x:v>
      </x:c>
      <x:c r="F96" s="33"/>
      <x:c r="G96" s="33"/>
      <x:c r="H96" s="33"/>
      <x:c r="I96" s="33"/>
      <x:c r="J96" s="1"/>
      <x:c r="K96" s="1"/>
    </x:row>
    <x:row r="97" ht="18" customHeight="1">
      <x:c r="A97" s="1"/>
      <x:c r="B97" s="1"/>
      <x:c r="C97" s="1" t="str">
        <x:v>Forward multiple enterprise value</x:v>
      </x:c>
      <x:c r="D97" s="2"/>
      <x:c r="E97" s="8" t="n">
        <x:f>E53*$D43</x:f>
        <x:v>13234.996943999999</x:v>
      </x:c>
      <x:c r="F97" s="2"/>
      <x:c r="G97" s="2"/>
      <x:c r="H97" s="2"/>
      <x:c r="I97" s="2"/>
      <x:c r="J97" s="1"/>
      <x:c r="K97" s="1"/>
    </x:row>
    <x:row r="98" ht="18" customHeight="1">
      <x:c r="A98" s="1"/>
      <x:c r="B98" s="1"/>
      <x:c r="C98" s="1" t="str">
        <x:v>Forward multiple equity value</x:v>
      </x:c>
      <x:c r="D98" s="2"/>
      <x:c r="E98" s="8" t="n">
        <x:f>E97-$D36+$D37</x:f>
        <x:v>12634.996943999999</x:v>
      </x:c>
      <x:c r="F98" s="2"/>
      <x:c r="G98" s="2"/>
      <x:c r="H98" s="2"/>
      <x:c r="I98" s="2"/>
      <x:c r="J98" s="1"/>
      <x:c r="K98" s="1"/>
    </x:row>
    <x:row r="99" ht="18" customHeight="1">
      <x:c r="A99" s="1"/>
      <x:c r="B99" s="1"/>
      <x:c r="C99" s="23" t="str">
        <x:v>Terminal value / DCF enterprise value</x:v>
      </x:c>
      <x:c r="D99" s="24"/>
      <x:c r="E99" s="35" t="n">
        <x:f>(E93/(1+$D40)^5)/E94</x:f>
        <x:v>0.7395730991302696</x:v>
      </x:c>
      <x:c r="F99" s="24"/>
      <x:c r="G99" s="24"/>
      <x:c r="H99" s="24"/>
      <x:c r="I99" s="24"/>
      <x:c r="J99" s="1"/>
      <x:c r="K99" s="1"/>
    </x:row>
    <x:row r="100" ht="18" customHeight="1">
      <x:c r="A100" s="1"/>
      <x:c r="B100" s="1"/>
      <x:c r="C100" s="19" t="str">
        <x:v>MODEL CHECKS</x:v>
      </x:c>
      <x:c r="D100" s="20"/>
      <x:c r="E100" s="20"/>
      <x:c r="F100" s="20"/>
      <x:c r="G100" s="20"/>
      <x:c r="H100" s="20"/>
      <x:c r="I100" s="20"/>
      <x:c r="J100" s="1"/>
      <x:c r="K100" s="1"/>
    </x:row>
    <x:row r="101" ht="18" customHeight="1">
      <x:c r="A101" s="1"/>
      <x:c r="B101" s="1"/>
      <x:c r="C101" s="1" t="str">
        <x:v>Assets less liabilities and equity</x:v>
      </x:c>
      <x:c r="D101" s="33"/>
      <x:c r="E101" s="34" t="n">
        <x:f>E75-E76</x:f>
        <x:v>0</x:v>
      </x:c>
      <x:c r="F101" s="34" t="n">
        <x:f>F75-F76</x:f>
        <x:v>4.547473508864641e-13</x:v>
      </x:c>
      <x:c r="G101" s="34" t="n">
        <x:f>G75-G76</x:f>
        <x:v>9.094947017729282e-13</x:v>
      </x:c>
      <x:c r="H101" s="34" t="n">
        <x:f>H75-H76</x:f>
        <x:v>0</x:v>
      </x:c>
      <x:c r="I101" s="34" t="n">
        <x:f>I75-I76</x:f>
        <x:v>0</x:v>
      </x:c>
      <x:c r="J101" s="1"/>
      <x:c r="K101" s="1"/>
    </x:row>
    <x:row r="102" ht="18" customHeight="1">
      <x:c r="A102" s="1"/>
      <x:c r="B102" s="1"/>
      <x:c r="C102" s="1" t="str">
        <x:v>Cash funding shortfall</x:v>
      </x:c>
      <x:c r="D102" s="33"/>
      <x:c r="E102" s="34" t="n">
        <x:f>MAX(0,-E73)</x:f>
        <x:v>0</x:v>
      </x:c>
      <x:c r="F102" s="34" t="n">
        <x:f>MAX(0,-F73)</x:f>
        <x:v>0</x:v>
      </x:c>
      <x:c r="G102" s="34" t="n">
        <x:f>MAX(0,-G73)</x:f>
        <x:v>0</x:v>
      </x:c>
      <x:c r="H102" s="34" t="n">
        <x:f>MAX(0,-H73)</x:f>
        <x:v>0</x:v>
      </x:c>
      <x:c r="I102" s="34" t="n">
        <x:f>MAX(0,-I73)</x:f>
        <x:v>0</x:v>
      </x:c>
      <x:c r="J102" s="1"/>
      <x:c r="K102" s="1"/>
    </x:row>
    <x:row r="103" ht="18" customHeight="1">
      <x:c r="A103" s="1"/>
      <x:c r="B103" s="1"/>
      <x:c r="C103" s="1" t="str">
        <x:v>Debt below zero</x:v>
      </x:c>
      <x:c r="D103" s="33"/>
      <x:c r="E103" s="34" t="n">
        <x:f>MAX(0,-E68)</x:f>
        <x:v>0</x:v>
      </x:c>
      <x:c r="F103" s="34" t="n">
        <x:f>MAX(0,-F68)</x:f>
        <x:v>0</x:v>
      </x:c>
      <x:c r="G103" s="34" t="n">
        <x:f>MAX(0,-G68)</x:f>
        <x:v>0</x:v>
      </x:c>
      <x:c r="H103" s="34" t="n">
        <x:f>MAX(0,-H68)</x:f>
        <x:v>0</x:v>
      </x:c>
      <x:c r="I103" s="34" t="n">
        <x:f>MAX(0,-I68)</x:f>
        <x:v>0</x:v>
      </x:c>
      <x:c r="J103" s="1"/>
      <x:c r="K103" s="1"/>
    </x:row>
    <x:row r="104" ht="18" customHeight="1">
      <x:c r="A104" s="1"/>
      <x:c r="B104" s="1"/>
      <x:c r="C104" s="1" t="str">
        <x:v>Utilization above 100%</x:v>
      </x:c>
      <x:c r="D104" s="33"/>
      <x:c r="E104" s="34" t="n">
        <x:f>MAX(0,E20-1)</x:f>
        <x:v>0</x:v>
      </x:c>
      <x:c r="F104" s="34" t="n">
        <x:f>MAX(0,F20-1)</x:f>
        <x:v>0</x:v>
      </x:c>
      <x:c r="G104" s="34" t="n">
        <x:f>MAX(0,G20-1)</x:f>
        <x:v>0</x:v>
      </x:c>
      <x:c r="H104" s="34" t="n">
        <x:f>MAX(0,H20-1)</x:f>
        <x:v>0</x:v>
      </x:c>
      <x:c r="I104" s="34" t="n">
        <x:f>MAX(0,I20-1)</x:f>
        <x:v>0</x:v>
      </x:c>
      <x:c r="J104" s="1"/>
      <x:c r="K104" s="1"/>
    </x:row>
    <x:row r="105" ht="18" customHeight="1">
      <x:c r="A105" s="1"/>
      <x:c r="B105" s="1"/>
      <x:c r="C105" s="1" t="str">
        <x:v>Net PP&amp;E below zero</x:v>
      </x:c>
      <x:c r="D105" s="33"/>
      <x:c r="E105" s="34" t="n">
        <x:f>MAX(0,-E67)</x:f>
        <x:v>0</x:v>
      </x:c>
      <x:c r="F105" s="34" t="n">
        <x:f>MAX(0,-F67)</x:f>
        <x:v>0</x:v>
      </x:c>
      <x:c r="G105" s="34" t="n">
        <x:f>MAX(0,-G67)</x:f>
        <x:v>0</x:v>
      </x:c>
      <x:c r="H105" s="34" t="n">
        <x:f>MAX(0,-H67)</x:f>
        <x:v>0</x:v>
      </x:c>
      <x:c r="I105" s="34" t="n">
        <x:f>MAX(0,-I67)</x:f>
        <x:v>0</x:v>
      </x:c>
      <x:c r="J105" s="1"/>
      <x:c r="K105" s="1"/>
    </x:row>
    <x:row r="106" ht="18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1"/>
      <x:c r="K106" s="1"/>
    </x:row>
    <x:row r="107" ht="18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1"/>
      <x:c r="K107" s="1"/>
    </x:row>
    <x:row r="108" ht="18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1"/>
      <x:c r="K108" s="1"/>
    </x:row>
    <x:row r="109" ht="18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1"/>
      <x:c r="K109" s="1"/>
    </x:row>
    <x:row r="110" ht="25" customHeight="1">
      <x:c r="A110" s="1"/>
      <x:c r="B110" s="1"/>
      <x:c r="C110" s="68" t="str">
        <x:v>SUPPORTING SCHEDULE ASSUMPTIONS</x:v>
      </x:c>
      <x:c r="D110" s="69"/>
      <x:c r="E110" s="69"/>
      <x:c r="F110" s="69"/>
      <x:c r="G110" s="69"/>
      <x:c r="H110" s="69"/>
      <x:c r="I110" s="69"/>
      <x:c r="J110" s="1"/>
      <x:c r="K110" s="1"/>
    </x:row>
    <x:row r="111" ht="30" customHeight="1">
      <x:c r="A111" s="1"/>
      <x:c r="B111" s="1"/>
      <x:c r="C111" s="64"/>
      <x:c r="D111" s="8"/>
      <x:c r="E111" s="8"/>
      <x:c r="F111" s="8"/>
      <x:c r="G111" s="8"/>
      <x:c r="H111" s="8"/>
      <x:c r="I111" s="8"/>
      <x:c r="J111" s="1"/>
      <x:c r="K111" s="1"/>
    </x:row>
    <x:row r="112" ht="30" customHeight="1">
      <x:c r="A112" s="1"/>
      <x:c r="B112" s="1"/>
      <x:c r="C112" s="64"/>
      <x:c r="D112" s="8"/>
      <x:c r="E112" s="8"/>
      <x:c r="F112" s="8"/>
      <x:c r="G112" s="8"/>
      <x:c r="H112" s="8"/>
      <x:c r="I112" s="8"/>
      <x:c r="J112" s="1"/>
      <x:c r="K112" s="1"/>
    </x:row>
    <x:row r="113" ht="30" customHeight="1">
      <x:c r="A113" s="1"/>
      <x:c r="B113" s="1"/>
      <x:c r="C113" s="64"/>
      <x:c r="D113" s="8"/>
      <x:c r="E113" s="8"/>
      <x:c r="F113" s="8"/>
      <x:c r="G113" s="8"/>
      <x:c r="H113" s="8"/>
      <x:c r="I113" s="8"/>
      <x:c r="J113" s="1"/>
      <x:c r="K113" s="1"/>
    </x:row>
    <x:row r="114" ht="30" customHeight="1">
      <x:c r="A114" s="1"/>
      <x:c r="B114" s="1"/>
      <x:c r="C114" s="64" t="str">
        <x:v>Current-year capex depreciation fraction</x:v>
      </x:c>
      <x:c r="D114" s="72" t="n">
        <x:v>0</x:v>
      </x:c>
      <x:c r="E114" s="8"/>
      <x:c r="F114" s="8"/>
      <x:c r="G114" s="8"/>
      <x:c r="H114" s="8"/>
      <x:c r="I114" s="8"/>
      <x:c r="J114" s="1"/>
      <x:c r="K114" s="1"/>
    </x:row>
    <x:row r="115" ht="30" customHeight="1">
      <x:c r="A115" s="1"/>
      <x:c r="B115" s="1"/>
      <x:c r="C115" s="64" t="str">
        <x:v>Debt movement interest weighting</x:v>
      </x:c>
      <x:c r="D115" s="72" t="n">
        <x:v>0</x:v>
      </x:c>
      <x:c r="E115" s="8"/>
      <x:c r="F115" s="8"/>
      <x:c r="G115" s="8"/>
      <x:c r="H115" s="8"/>
      <x:c r="I115" s="8"/>
      <x:c r="J115" s="1"/>
      <x:c r="K115" s="1" t="str">
        <x:v>0 = opening debt interest; 0.5 = mid-year movements; 1 = full-year movements.</x:v>
      </x:c>
    </x:row>
    <x:row r="116" ht="30" customHeight="1">
      <x:c r="A116" s="1"/>
      <x:c r="B116" s="1"/>
      <x:c r="C116" s="64" t="str">
        <x:v>Opening tax losses available for use</x:v>
      </x:c>
      <x:c r="D116" s="74" t="n">
        <x:v>0</x:v>
      </x:c>
      <x:c r="E116" s="8"/>
      <x:c r="F116" s="8"/>
      <x:c r="G116" s="8"/>
      <x:c r="H116" s="8"/>
      <x:c r="I116" s="8"/>
      <x:c r="J116" s="1"/>
      <x:c r="K116" s="1"/>
    </x:row>
    <x:row r="117" ht="30" customHeight="1">
      <x:c r="A117" s="1"/>
      <x:c r="B117" s="1"/>
      <x:c r="C117" s="64" t="str">
        <x:v>Tax loss utilization share of positive PBT</x:v>
      </x:c>
      <x:c r="D117" s="72" t="n">
        <x:v>1</x:v>
      </x:c>
      <x:c r="E117" s="8"/>
      <x:c r="F117" s="8"/>
      <x:c r="G117" s="8"/>
      <x:c r="H117" s="8"/>
      <x:c r="I117" s="8"/>
      <x:c r="J117" s="1"/>
      <x:c r="K117" s="1" t="str">
        <x:v>Simplified cash tax schedule. Check company-specific eligibility, expiry, MAT and deferred tax separately.</x:v>
      </x:c>
    </x:row>
    <x:row r="118" ht="30" customHeight="1">
      <x:c r="A118" s="1"/>
      <x:c r="B118" s="1"/>
      <x:c r="C118" s="64"/>
      <x:c r="D118" s="8"/>
      <x:c r="E118" s="8"/>
      <x:c r="F118" s="8"/>
      <x:c r="G118" s="8"/>
      <x:c r="H118" s="8"/>
      <x:c r="I118" s="8"/>
      <x:c r="J118" s="1"/>
      <x:c r="K118" s="1"/>
    </x:row>
    <x:row r="119" ht="25" customHeight="1">
      <x:c r="A119" s="1"/>
      <x:c r="B119" s="1"/>
      <x:c r="C119" s="68" t="str">
        <x:v>DEBT AND INTEREST SCHEDULE</x:v>
      </x:c>
      <x:c r="D119" s="69"/>
      <x:c r="E119" s="69"/>
      <x:c r="F119" s="69"/>
      <x:c r="G119" s="69"/>
      <x:c r="H119" s="69"/>
      <x:c r="I119" s="69"/>
      <x:c r="J119" s="1"/>
      <x:c r="K119" s="1"/>
    </x:row>
    <x:row r="120" ht="30" customHeight="1">
      <x:c r="A120" s="1"/>
      <x:c r="B120" s="1"/>
      <x:c r="C120" s="64" t="str">
        <x:v>Opening debt balance</x:v>
      </x:c>
      <x:c r="D120" s="8"/>
      <x:c r="E120" s="8" t="n">
        <x:f>D36</x:f>
        <x:v>900</x:v>
      </x:c>
      <x:c r="F120" s="8" t="n">
        <x:f>E123</x:f>
        <x:v>810</x:v>
      </x:c>
      <x:c r="G120" s="8" t="n">
        <x:f>F123</x:f>
        <x:v>720</x:v>
      </x:c>
      <x:c r="H120" s="8" t="n">
        <x:f>G123</x:f>
        <x:v>630</x:v>
      </x:c>
      <x:c r="I120" s="8" t="n">
        <x:f>H123</x:f>
        <x:v>540</x:v>
      </x:c>
      <x:c r="J120" s="1"/>
      <x:c r="K120" s="1"/>
    </x:row>
    <x:row r="121" ht="30" customHeight="1">
      <x:c r="A121" s="1"/>
      <x:c r="B121" s="1"/>
      <x:c r="C121" s="64" t="str">
        <x:v>Debt drawn</x:v>
      </x:c>
      <x:c r="D121" s="8"/>
      <x:c r="E121" s="8" t="n">
        <x:f>E31</x:f>
        <x:v>0</x:v>
      </x:c>
      <x:c r="F121" s="8" t="n">
        <x:f>F31</x:f>
        <x:v>0</x:v>
      </x:c>
      <x:c r="G121" s="8" t="n">
        <x:f>G31</x:f>
        <x:v>0</x:v>
      </x:c>
      <x:c r="H121" s="8" t="n">
        <x:f>H31</x:f>
        <x:v>0</x:v>
      </x:c>
      <x:c r="I121" s="8" t="n">
        <x:f>I31</x:f>
        <x:v>0</x:v>
      </x:c>
      <x:c r="J121" s="1"/>
      <x:c r="K121" s="1"/>
    </x:row>
    <x:row r="122" ht="30" customHeight="1">
      <x:c r="A122" s="1"/>
      <x:c r="B122" s="1"/>
      <x:c r="C122" s="64" t="str">
        <x:v>Debt principal repaid</x:v>
      </x:c>
      <x:c r="D122" s="8"/>
      <x:c r="E122" s="8" t="n">
        <x:f>E32</x:f>
        <x:v>90</x:v>
      </x:c>
      <x:c r="F122" s="8" t="n">
        <x:f>F32</x:f>
        <x:v>90</x:v>
      </x:c>
      <x:c r="G122" s="8" t="n">
        <x:f>G32</x:f>
        <x:v>90</x:v>
      </x:c>
      <x:c r="H122" s="8" t="n">
        <x:f>H32</x:f>
        <x:v>90</x:v>
      </x:c>
      <x:c r="I122" s="8" t="n">
        <x:f>I32</x:f>
        <x:v>90</x:v>
      </x:c>
      <x:c r="J122" s="1"/>
      <x:c r="K122" s="1"/>
    </x:row>
    <x:row r="123" ht="30" customHeight="1">
      <x:c r="A123" s="1"/>
      <x:c r="B123" s="1"/>
      <x:c r="C123" s="64" t="str">
        <x:v>Closing debt balance</x:v>
      </x:c>
      <x:c r="D123" s="8"/>
      <x:c r="E123" s="8" t="n">
        <x:f>E120+E121-E122</x:f>
        <x:v>810</x:v>
      </x:c>
      <x:c r="F123" s="8" t="n">
        <x:f>F120+F121-F122</x:f>
        <x:v>720</x:v>
      </x:c>
      <x:c r="G123" s="8" t="n">
        <x:f>G120+G121-G122</x:f>
        <x:v>630</x:v>
      </x:c>
      <x:c r="H123" s="8" t="n">
        <x:f>H120+H121-H122</x:f>
        <x:v>540</x:v>
      </x:c>
      <x:c r="I123" s="8" t="n">
        <x:f>I120+I121-I122</x:f>
        <x:v>450</x:v>
      </x:c>
      <x:c r="J123" s="1"/>
      <x:c r="K123" s="1"/>
    </x:row>
    <x:row r="124" ht="30" customHeight="1">
      <x:c r="A124" s="1"/>
      <x:c r="B124" s="1"/>
      <x:c r="C124" s="64" t="str">
        <x:v>Interest-bearing debt base</x:v>
      </x:c>
      <x:c r="D124" s="8"/>
      <x:c r="E124" s="8" t="n">
        <x:f>E120+(E121-E122)*$D$115</x:f>
        <x:v>900</x:v>
      </x:c>
      <x:c r="F124" s="8" t="n">
        <x:f>F120+(F121-F122)*$D$115</x:f>
        <x:v>810</x:v>
      </x:c>
      <x:c r="G124" s="8" t="n">
        <x:f>G120+(G121-G122)*$D$115</x:f>
        <x:v>720</x:v>
      </x:c>
      <x:c r="H124" s="8" t="n">
        <x:f>H120+(H121-H122)*$D$115</x:f>
        <x:v>630</x:v>
      </x:c>
      <x:c r="I124" s="8" t="n">
        <x:f>I120+(I121-I122)*$D$115</x:f>
        <x:v>540</x:v>
      </x:c>
      <x:c r="J124" s="1"/>
      <x:c r="K124" s="1"/>
    </x:row>
    <x:row r="125" ht="30" customHeight="1">
      <x:c r="A125" s="1"/>
      <x:c r="B125" s="1"/>
      <x:c r="C125" s="64" t="str">
        <x:v>Scheduled interest expense</x:v>
      </x:c>
      <x:c r="D125" s="8"/>
      <x:c r="E125" s="8" t="n">
        <x:f>E124*E30</x:f>
        <x:v>76.5</x:v>
      </x:c>
      <x:c r="F125" s="8" t="n">
        <x:f>F124*F30</x:f>
        <x:v>68.85000000000001</x:v>
      </x:c>
      <x:c r="G125" s="8" t="n">
        <x:f>G124*G30</x:f>
        <x:v>61.2</x:v>
      </x:c>
      <x:c r="H125" s="8" t="n">
        <x:f>H124*H30</x:f>
        <x:v>53.550000000000004</x:v>
      </x:c>
      <x:c r="I125" s="8" t="n">
        <x:f>I124*I30</x:f>
        <x:v>45.900000000000006</x:v>
      </x:c>
      <x:c r="J125" s="1"/>
      <x:c r="K125" s="1"/>
    </x:row>
    <x:row r="126" ht="30" customHeight="1">
      <x:c r="A126" s="1"/>
      <x:c r="B126" s="1"/>
      <x:c r="C126" s="64"/>
      <x:c r="D126" s="8"/>
      <x:c r="E126" s="8"/>
      <x:c r="F126" s="8"/>
      <x:c r="G126" s="8"/>
      <x:c r="H126" s="8"/>
      <x:c r="I126" s="8"/>
      <x:c r="J126" s="1"/>
      <x:c r="K126" s="1"/>
    </x:row>
    <x:row r="127" ht="30" customHeight="1">
      <x:c r="A127" s="1"/>
      <x:c r="B127" s="1"/>
      <x:c r="C127" s="64"/>
      <x:c r="D127" s="8"/>
      <x:c r="E127" s="8"/>
      <x:c r="F127" s="8"/>
      <x:c r="G127" s="8"/>
      <x:c r="H127" s="8"/>
      <x:c r="I127" s="8"/>
      <x:c r="J127" s="1"/>
      <x:c r="K127" s="1"/>
    </x:row>
    <x:row r="128" ht="30" customHeight="1">
      <x:c r="A128" s="1"/>
      <x:c r="B128" s="1"/>
      <x:c r="C128" s="64"/>
      <x:c r="D128" s="8"/>
      <x:c r="E128" s="8"/>
      <x:c r="F128" s="8"/>
      <x:c r="G128" s="8"/>
      <x:c r="H128" s="8"/>
      <x:c r="I128" s="8"/>
      <x:c r="J128" s="1"/>
      <x:c r="K128" s="1"/>
    </x:row>
    <x:row r="129" ht="25" customHeight="1">
      <x:c r="A129" s="1"/>
      <x:c r="B129" s="1"/>
      <x:c r="C129" s="68" t="str">
        <x:v>CAPEX AND DEPRECIATION SCHEDULE</x:v>
      </x:c>
      <x:c r="D129" s="69"/>
      <x:c r="E129" s="69"/>
      <x:c r="F129" s="69"/>
      <x:c r="G129" s="69"/>
      <x:c r="H129" s="69"/>
      <x:c r="I129" s="69"/>
      <x:c r="J129" s="1"/>
      <x:c r="K129" s="1"/>
    </x:row>
    <x:row r="130" ht="30" customHeight="1">
      <x:c r="A130" s="1"/>
      <x:c r="B130" s="1"/>
      <x:c r="C130" s="64" t="str">
        <x:v>Opening net property plant and equipment</x:v>
      </x:c>
      <x:c r="D130" s="8"/>
      <x:c r="E130" s="8" t="n">
        <x:f>D35</x:f>
        <x:v>3000</x:v>
      </x:c>
      <x:c r="F130" s="8" t="n">
        <x:f>E135</x:f>
        <x:v>2984.5191720000003</x:v>
      </x:c>
      <x:c r="G130" s="8" t="n">
        <x:f>F135</x:f>
        <x:v>3005.9115910968003</x:v>
      </x:c>
      <x:c r="H130" s="8" t="n">
        <x:f>G135</x:f>
        <x:v>3065.8045732288942</x:v>
      </x:c>
      <x:c r="I130" s="8" t="n">
        <x:f>H135</x:f>
        <x:v>3166.368435500214</x:v>
      </x:c>
      <x:c r="J130" s="1"/>
      <x:c r="K130" s="1"/>
    </x:row>
    <x:row r="131" ht="30" customHeight="1">
      <x:c r="A131" s="1"/>
      <x:c r="B131" s="1"/>
      <x:c r="C131" s="64" t="str">
        <x:v>Capital expenditure added</x:v>
      </x:c>
      <x:c r="D131" s="8"/>
      <x:c r="E131" s="8" t="n">
        <x:f>E66</x:f>
        <x:v>254.51917200000003</x:v>
      </x:c>
      <x:c r="F131" s="8" t="n">
        <x:f>F66</x:f>
        <x:v>289.99914457680006</x:v>
      </x:c>
      <x:c r="G131" s="8" t="n">
        <x:f>G66</x:f>
        <x:v>330.42502533080597</x:v>
      </x:c>
      <x:c r="H131" s="8" t="n">
        <x:f>H66</x:f>
        <x:v>376.4862738619204</x:v>
      </x:c>
      <x:c r="I131" s="8" t="n">
        <x:f>I66</x:f>
        <x:v>428.968460438272</x:v>
      </x:c>
      <x:c r="J131" s="1"/>
      <x:c r="K131" s="1"/>
    </x:row>
    <x:row r="132" ht="30" customHeight="1">
      <x:c r="A132" s="1"/>
      <x:c r="B132" s="1"/>
      <x:c r="C132" s="64" t="str">
        <x:v>Depreciation on opening assets</x:v>
      </x:c>
      <x:c r="D132" s="8"/>
      <x:c r="E132" s="8" t="n">
        <x:f>E130*E25</x:f>
        <x:v>270</x:v>
      </x:c>
      <x:c r="F132" s="8" t="n">
        <x:f>F130*F25</x:f>
        <x:v>268.60672548</x:v>
      </x:c>
      <x:c r="G132" s="8" t="n">
        <x:f>G130*G25</x:f>
        <x:v>270.532043198712</x:v>
      </x:c>
      <x:c r="H132" s="8" t="n">
        <x:f>H130*H25</x:f>
        <x:v>275.92241159060046</x:v>
      </x:c>
      <x:c r="I132" s="8" t="n">
        <x:f>I130*I25</x:f>
        <x:v>284.97315919501926</x:v>
      </x:c>
      <x:c r="J132" s="1"/>
      <x:c r="K132" s="1"/>
    </x:row>
    <x:row r="133" ht="30" customHeight="1">
      <x:c r="A133" s="1"/>
      <x:c r="B133" s="1"/>
      <x:c r="C133" s="64" t="str">
        <x:v>Depreciation on current-year additions</x:v>
      </x:c>
      <x:c r="D133" s="8"/>
      <x:c r="E133" s="8" t="n">
        <x:f>E131*E25*$D$114</x:f>
        <x:v>0</x:v>
      </x:c>
      <x:c r="F133" s="8" t="n">
        <x:f>F131*F25*$D$114</x:f>
        <x:v>0</x:v>
      </x:c>
      <x:c r="G133" s="8" t="n">
        <x:f>G131*G25*$D$114</x:f>
        <x:v>0</x:v>
      </x:c>
      <x:c r="H133" s="8" t="n">
        <x:f>H131*H25*$D$114</x:f>
        <x:v>0</x:v>
      </x:c>
      <x:c r="I133" s="8" t="n">
        <x:f>I131*I25*$D$114</x:f>
        <x:v>0</x:v>
      </x:c>
      <x:c r="J133" s="1"/>
      <x:c r="K133" s="1"/>
    </x:row>
    <x:row r="134" ht="30" customHeight="1">
      <x:c r="A134" s="1"/>
      <x:c r="B134" s="1"/>
      <x:c r="C134" s="64" t="str">
        <x:v>Total depreciation charge</x:v>
      </x:c>
      <x:c r="D134" s="8"/>
      <x:c r="E134" s="8" t="n">
        <x:f>E132+E133</x:f>
        <x:v>270</x:v>
      </x:c>
      <x:c r="F134" s="8" t="n">
        <x:f>F132+F133</x:f>
        <x:v>268.60672548</x:v>
      </x:c>
      <x:c r="G134" s="8" t="n">
        <x:f>G132+G133</x:f>
        <x:v>270.532043198712</x:v>
      </x:c>
      <x:c r="H134" s="8" t="n">
        <x:f>H132+H133</x:f>
        <x:v>275.92241159060046</x:v>
      </x:c>
      <x:c r="I134" s="8" t="n">
        <x:f>I132+I133</x:f>
        <x:v>284.97315919501926</x:v>
      </x:c>
      <x:c r="J134" s="1"/>
      <x:c r="K134" s="1"/>
    </x:row>
    <x:row r="135" ht="30" customHeight="1">
      <x:c r="A135" s="1"/>
      <x:c r="B135" s="1"/>
      <x:c r="C135" s="64" t="str">
        <x:v>Closing net property plant and equipment</x:v>
      </x:c>
      <x:c r="D135" s="8"/>
      <x:c r="E135" s="8" t="n">
        <x:f>E130+E131-E134</x:f>
        <x:v>2984.5191720000003</x:v>
      </x:c>
      <x:c r="F135" s="8" t="n">
        <x:f>F130+F131-F134</x:f>
        <x:v>3005.9115910968003</x:v>
      </x:c>
      <x:c r="G135" s="8" t="n">
        <x:f>G130+G131-G134</x:f>
        <x:v>3065.8045732288942</x:v>
      </x:c>
      <x:c r="H135" s="8" t="n">
        <x:f>H130+H131-H134</x:f>
        <x:v>3166.368435500214</x:v>
      </x:c>
      <x:c r="I135" s="8" t="n">
        <x:f>I130+I131-I134</x:f>
        <x:v>3310.3637367434667</x:v>
      </x:c>
      <x:c r="J135" s="1"/>
      <x:c r="K135" s="1"/>
    </x:row>
    <x:row r="136" ht="30" customHeight="1">
      <x:c r="A136" s="1"/>
      <x:c r="B136" s="1"/>
      <x:c r="C136" s="64"/>
      <x:c r="D136" s="8"/>
      <x:c r="E136" s="8"/>
      <x:c r="F136" s="8"/>
      <x:c r="G136" s="8"/>
      <x:c r="H136" s="8"/>
      <x:c r="I136" s="8"/>
      <x:c r="J136" s="1"/>
      <x:c r="K136" s="1"/>
    </x:row>
    <x:row r="137" ht="30" customHeight="1">
      <x:c r="A137" s="1"/>
      <x:c r="B137" s="1"/>
      <x:c r="C137" s="64"/>
      <x:c r="D137" s="8"/>
      <x:c r="E137" s="8"/>
      <x:c r="F137" s="8"/>
      <x:c r="G137" s="8"/>
      <x:c r="H137" s="8"/>
      <x:c r="I137" s="8"/>
      <x:c r="J137" s="1"/>
      <x:c r="K137" s="1"/>
    </x:row>
    <x:row r="138" ht="30" customHeight="1">
      <x:c r="A138" s="1"/>
      <x:c r="B138" s="1"/>
      <x:c r="C138" s="64"/>
      <x:c r="D138" s="8"/>
      <x:c r="E138" s="8"/>
      <x:c r="F138" s="8"/>
      <x:c r="G138" s="8"/>
      <x:c r="H138" s="8"/>
      <x:c r="I138" s="8"/>
      <x:c r="J138" s="1"/>
      <x:c r="K138" s="1"/>
    </x:row>
    <x:row r="139" ht="25" customHeight="1">
      <x:c r="A139" s="1"/>
      <x:c r="B139" s="1"/>
      <x:c r="C139" s="68" t="str">
        <x:v>CASH TAX SCHEDULE</x:v>
      </x:c>
      <x:c r="D139" s="69"/>
      <x:c r="E139" s="69"/>
      <x:c r="F139" s="69"/>
      <x:c r="G139" s="69"/>
      <x:c r="H139" s="69"/>
      <x:c r="I139" s="69"/>
      <x:c r="J139" s="1"/>
      <x:c r="K139" s="1"/>
    </x:row>
    <x:row r="140" ht="30" customHeight="1">
      <x:c r="A140" s="1"/>
      <x:c r="B140" s="1"/>
      <x:c r="C140" s="64" t="str">
        <x:v>Opening usable tax losses</x:v>
      </x:c>
      <x:c r="D140" s="8"/>
      <x:c r="E140" s="8" t="n">
        <x:f>$D$116</x:f>
        <x:v>0</x:v>
      </x:c>
      <x:c r="F140" s="8" t="n">
        <x:f>E145</x:f>
        <x:v>0</x:v>
      </x:c>
      <x:c r="G140" s="8" t="n">
        <x:f>F145</x:f>
        <x:v>0</x:v>
      </x:c>
      <x:c r="H140" s="8" t="n">
        <x:f>G145</x:f>
        <x:v>0</x:v>
      </x:c>
      <x:c r="I140" s="8" t="n">
        <x:f>H145</x:f>
        <x:v>0</x:v>
      </x:c>
      <x:c r="J140" s="1"/>
      <x:c r="K140" s="1"/>
    </x:row>
    <x:row r="141" ht="30" customHeight="1">
      <x:c r="A141" s="1"/>
      <x:c r="B141" s="1"/>
      <x:c r="C141" s="64" t="str">
        <x:v>Profit before tax for loss utilization</x:v>
      </x:c>
      <x:c r="D141" s="8"/>
      <x:c r="E141" s="8" t="n">
        <x:f>E57</x:f>
        <x:v>315.2498472</x:v>
      </x:c>
      <x:c r="F141" s="8" t="n">
        <x:f>F57</x:f>
        <x:v>416.54105041968</x:v>
      </x:c>
      <x:c r="G141" s="8" t="n">
        <x:f>G57</x:f>
        <x:v>527.3730226613834</x:v>
      </x:c>
      <x:c r="H141" s="8" t="n">
        <x:f>H57</x:f>
        <x:v>649.3919004503923</x:v>
      </x:c>
      <x:c r="I141" s="8" t="n">
        <x:f>I57</x:f>
        <x:v>784.4448379444879</x:v>
      </x:c>
      <x:c r="J141" s="1"/>
      <x:c r="K141" s="1"/>
    </x:row>
    <x:row r="142" ht="30" customHeight="1">
      <x:c r="A142" s="1"/>
      <x:c r="B142" s="1"/>
      <x:c r="C142" s="64" t="str">
        <x:v>Tax losses utilized</x:v>
      </x:c>
      <x:c r="D142" s="8"/>
      <x:c r="E142" s="8" t="n">
        <x:f>MIN(E140,MAX(0,E141)*$D$117)</x:f>
        <x:v>0</x:v>
      </x:c>
      <x:c r="F142" s="8" t="n">
        <x:f>MIN(F140,MAX(0,F141)*$D$117)</x:f>
        <x:v>0</x:v>
      </x:c>
      <x:c r="G142" s="8" t="n">
        <x:f>MIN(G140,MAX(0,G141)*$D$117)</x:f>
        <x:v>0</x:v>
      </x:c>
      <x:c r="H142" s="8" t="n">
        <x:f>MIN(H140,MAX(0,H141)*$D$117)</x:f>
        <x:v>0</x:v>
      </x:c>
      <x:c r="I142" s="8" t="n">
        <x:f>MIN(I140,MAX(0,I141)*$D$117)</x:f>
        <x:v>0</x:v>
      </x:c>
      <x:c r="J142" s="1"/>
      <x:c r="K142" s="1"/>
    </x:row>
    <x:row r="143" ht="30" customHeight="1">
      <x:c r="A143" s="1"/>
      <x:c r="B143" s="1"/>
      <x:c r="C143" s="64" t="str">
        <x:v>Taxable profit after loss utilization</x:v>
      </x:c>
      <x:c r="D143" s="8"/>
      <x:c r="E143" s="8" t="n">
        <x:f>MAX(0,E141-E142)</x:f>
        <x:v>315.2498472</x:v>
      </x:c>
      <x:c r="F143" s="8" t="n">
        <x:f>MAX(0,F141-F142)</x:f>
        <x:v>416.54105041968</x:v>
      </x:c>
      <x:c r="G143" s="8" t="n">
        <x:f>MAX(0,G141-G142)</x:f>
        <x:v>527.3730226613834</x:v>
      </x:c>
      <x:c r="H143" s="8" t="n">
        <x:f>MAX(0,H141-H142)</x:f>
        <x:v>649.3919004503923</x:v>
      </x:c>
      <x:c r="I143" s="8" t="n">
        <x:f>MAX(0,I141-I142)</x:f>
        <x:v>784.4448379444879</x:v>
      </x:c>
      <x:c r="J143" s="1"/>
      <x:c r="K143" s="1"/>
    </x:row>
    <x:row r="144" ht="30" customHeight="1">
      <x:c r="A144" s="1"/>
      <x:c r="B144" s="1"/>
      <x:c r="C144" s="64" t="str">
        <x:v>Cash income tax after loss utilization</x:v>
      </x:c>
      <x:c r="D144" s="8"/>
      <x:c r="E144" s="8" t="n">
        <x:f>E143*E29</x:f>
        <x:v>78.8124618</x:v>
      </x:c>
      <x:c r="F144" s="8" t="n">
        <x:f>F143*F29</x:f>
        <x:v>104.13526260492</x:v>
      </x:c>
      <x:c r="G144" s="8" t="n">
        <x:f>G143*G29</x:f>
        <x:v>131.84325566534585</x:v>
      </x:c>
      <x:c r="H144" s="8" t="n">
        <x:f>H143*H29</x:f>
        <x:v>162.34797511259808</x:v>
      </x:c>
      <x:c r="I144" s="8" t="n">
        <x:f>I143*I29</x:f>
        <x:v>196.11120948612196</x:v>
      </x:c>
      <x:c r="J144" s="1"/>
      <x:c r="K144" s="1"/>
    </x:row>
    <x:row r="145" ht="30" customHeight="1">
      <x:c r="A145" s="1"/>
      <x:c r="B145" s="1"/>
      <x:c r="C145" s="64" t="str">
        <x:v>Closing usable tax losses</x:v>
      </x:c>
      <x:c r="D145" s="8"/>
      <x:c r="E145" s="8" t="n">
        <x:f>E140-E142+MAX(0,-E141)</x:f>
        <x:v>0</x:v>
      </x:c>
      <x:c r="F145" s="8" t="n">
        <x:f>F140-F142+MAX(0,-F141)</x:f>
        <x:v>0</x:v>
      </x:c>
      <x:c r="G145" s="8" t="n">
        <x:f>G140-G142+MAX(0,-G141)</x:f>
        <x:v>0</x:v>
      </x:c>
      <x:c r="H145" s="8" t="n">
        <x:f>H140-H142+MAX(0,-H141)</x:f>
        <x:v>0</x:v>
      </x:c>
      <x:c r="I145" s="8" t="n">
        <x:f>I140-I142+MAX(0,-I141)</x:f>
        <x:v>0</x:v>
      </x:c>
      <x:c r="J145" s="1"/>
      <x:c r="K145" s="1"/>
    </x:row>
    <x:row r="146" ht="30" customHeight="1">
      <x:c r="A146" s="1"/>
      <x:c r="B146" s="1"/>
      <x:c r="C146" s="64"/>
      <x:c r="D146" s="8"/>
      <x:c r="E146" s="8"/>
      <x:c r="F146" s="8"/>
      <x:c r="G146" s="8"/>
      <x:c r="H146" s="8"/>
      <x:c r="I146" s="8"/>
      <x:c r="J146" s="1"/>
      <x:c r="K146" s="1"/>
    </x:row>
    <x:row r="147" ht="30" customHeight="1">
      <x:c r="A147" s="1"/>
      <x:c r="B147" s="1"/>
      <x:c r="C147" s="64"/>
      <x:c r="D147" s="8"/>
      <x:c r="E147" s="8"/>
      <x:c r="F147" s="8"/>
      <x:c r="G147" s="8"/>
      <x:c r="H147" s="8"/>
      <x:c r="I147" s="8"/>
      <x:c r="J147" s="1"/>
      <x:c r="K147" s="1"/>
    </x:row>
    <x:row r="148" ht="30" customHeight="1">
      <x:c r="A148" s="1"/>
      <x:c r="B148" s="1"/>
      <x:c r="C148" s="64"/>
      <x:c r="D148" s="8"/>
      <x:c r="E148" s="8"/>
      <x:c r="F148" s="8"/>
      <x:c r="G148" s="8"/>
      <x:c r="H148" s="8"/>
      <x:c r="I148" s="8"/>
      <x:c r="J148" s="1"/>
      <x:c r="K148" s="1"/>
    </x:row>
    <x:row r="149" ht="30" customHeight="1">
      <x:c r="A149" s="1"/>
      <x:c r="B149" s="1"/>
      <x:c r="C149" s="64"/>
      <x:c r="D149" s="8"/>
      <x:c r="E149" s="8"/>
      <x:c r="F149" s="8"/>
      <x:c r="G149" s="8"/>
      <x:c r="H149" s="8"/>
      <x:c r="I149" s="8"/>
      <x:c r="J149" s="1"/>
      <x:c r="K149" s="1"/>
    </x:row>
    <x:row r="150" ht="30" customHeight="1">
      <x:c r="A150" s="1"/>
      <x:c r="B150" s="1"/>
      <x:c r="C150" s="64"/>
      <x:c r="D150" s="8"/>
      <x:c r="E150" s="8"/>
      <x:c r="F150" s="8"/>
      <x:c r="G150" s="8"/>
      <x:c r="H150" s="8"/>
      <x:c r="I150" s="8"/>
      <x:c r="J150" s="1"/>
      <x:c r="K150" s="1"/>
    </x:row>
    <x:row r="151" ht="30" customHeight="1">
      <x:c r="A151" s="1"/>
      <x:c r="B151" s="1"/>
      <x:c r="C151" s="64"/>
      <x:c r="D151" s="8"/>
      <x:c r="E151" s="8"/>
      <x:c r="F151" s="8"/>
      <x:c r="G151" s="8"/>
      <x:c r="H151" s="8"/>
      <x:c r="I151" s="8"/>
      <x:c r="J151" s="1"/>
      <x:c r="K151" s="1"/>
    </x:row>
    <x:row r="152" ht="30" customHeight="1">
      <x:c r="A152" s="1"/>
      <x:c r="B152" s="1"/>
      <x:c r="C152" s="64"/>
      <x:c r="D152" s="8"/>
      <x:c r="E152" s="8"/>
      <x:c r="F152" s="8"/>
      <x:c r="G152" s="8"/>
      <x:c r="H152" s="8"/>
      <x:c r="I152" s="8"/>
      <x:c r="J152" s="1"/>
      <x:c r="K152" s="1"/>
    </x:row>
    <x:row r="153" ht="30" customHeight="1">
      <x:c r="A153" s="1"/>
      <x:c r="B153" s="1"/>
      <x:c r="C153" s="64"/>
      <x:c r="D153" s="8"/>
      <x:c r="E153" s="8"/>
      <x:c r="F153" s="8"/>
      <x:c r="G153" s="8"/>
      <x:c r="H153" s="8"/>
      <x:c r="I153" s="8"/>
      <x:c r="J153" s="1"/>
      <x:c r="K153" s="1"/>
    </x:row>
    <x:row r="154" ht="30" customHeight="1">
      <x:c r="A154" s="1"/>
      <x:c r="B154" s="1"/>
      <x:c r="C154" s="64"/>
      <x:c r="D154" s="8"/>
      <x:c r="E154" s="8"/>
      <x:c r="F154" s="8"/>
      <x:c r="G154" s="8"/>
      <x:c r="H154" s="8"/>
      <x:c r="I154" s="8"/>
      <x:c r="J154" s="1"/>
      <x:c r="K154" s="1"/>
    </x:row>
    <x:row r="155" ht="30" customHeight="1">
      <x:c r="A155" s="1"/>
      <x:c r="B155" s="1"/>
      <x:c r="C155" s="64"/>
      <x:c r="D155" s="8"/>
      <x:c r="E155" s="8"/>
      <x:c r="F155" s="8"/>
      <x:c r="G155" s="8"/>
      <x:c r="H155" s="8"/>
      <x:c r="I155" s="8"/>
      <x:c r="J155" s="1"/>
      <x:c r="K155" s="1"/>
    </x:row>
    <x:row r="156" ht="30" customHeight="1">
      <x:c r="A156" s="1"/>
      <x:c r="B156" s="1"/>
      <x:c r="C156" s="64"/>
      <x:c r="D156" s="8"/>
      <x:c r="E156" s="8"/>
      <x:c r="F156" s="8"/>
      <x:c r="G156" s="8"/>
      <x:c r="H156" s="8"/>
      <x:c r="I156" s="8"/>
      <x:c r="J156" s="1"/>
      <x:c r="K156" s="1"/>
    </x:row>
    <x:row r="157" ht="30" customHeight="1">
      <x:c r="A157" s="1"/>
      <x:c r="B157" s="1"/>
      <x:c r="C157" s="64"/>
      <x:c r="D157" s="8"/>
      <x:c r="E157" s="8"/>
      <x:c r="F157" s="8"/>
      <x:c r="G157" s="8"/>
      <x:c r="H157" s="8"/>
      <x:c r="I157" s="8"/>
      <x:c r="J157" s="1"/>
      <x:c r="K157" s="1"/>
    </x:row>
    <x:row r="158" ht="30" customHeight="1">
      <x:c r="A158" s="1"/>
      <x:c r="B158" s="1"/>
      <x:c r="C158" s="64"/>
      <x:c r="D158" s="8"/>
      <x:c r="E158" s="8"/>
      <x:c r="F158" s="8"/>
      <x:c r="G158" s="8"/>
      <x:c r="H158" s="8"/>
      <x:c r="I158" s="8"/>
      <x:c r="J158" s="1"/>
      <x:c r="K158" s="1"/>
    </x:row>
    <x:row r="159" ht="30" customHeight="1">
      <x:c r="A159" s="1"/>
      <x:c r="B159" s="1"/>
      <x:c r="C159" s="64"/>
      <x:c r="D159" s="8"/>
      <x:c r="E159" s="8"/>
      <x:c r="F159" s="8"/>
      <x:c r="G159" s="8"/>
      <x:c r="H159" s="8"/>
      <x:c r="I159" s="8"/>
      <x:c r="J159" s="1"/>
      <x:c r="K159" s="1"/>
    </x:row>
    <x:row r="160" ht="30" customHeight="1">
      <x:c r="A160" s="1"/>
      <x:c r="B160" s="1"/>
      <x:c r="C160" s="64"/>
      <x:c r="D160" s="8"/>
      <x:c r="E160" s="8"/>
      <x:c r="F160" s="8"/>
      <x:c r="G160" s="8"/>
      <x:c r="H160" s="8"/>
      <x:c r="I160" s="8"/>
      <x:c r="J160" s="1"/>
      <x:c r="K160" s="1"/>
    </x:row>
    <x:row r="161" ht="30" customHeight="1">
      <x:c r="A161" s="1"/>
      <x:c r="B161" s="1"/>
      <x:c r="C161" s="64"/>
      <x:c r="D161" s="8"/>
      <x:c r="E161" s="8"/>
      <x:c r="F161" s="8"/>
      <x:c r="G161" s="8"/>
      <x:c r="H161" s="8"/>
      <x:c r="I161" s="8"/>
      <x:c r="J161" s="1"/>
      <x:c r="K161" s="1"/>
    </x:row>
    <x:row r="162" ht="30" customHeight="1">
      <x:c r="A162" s="1"/>
      <x:c r="B162" s="1"/>
      <x:c r="C162" s="64"/>
      <x:c r="D162" s="8"/>
      <x:c r="E162" s="8"/>
      <x:c r="F162" s="8"/>
      <x:c r="G162" s="8"/>
      <x:c r="H162" s="8"/>
      <x:c r="I162" s="8"/>
      <x:c r="J162" s="1"/>
      <x:c r="K162" s="1"/>
    </x:row>
    <x:row r="163" ht="30" customHeight="1">
      <x:c r="A163" s="1"/>
      <x:c r="B163" s="1"/>
      <x:c r="C163" s="64"/>
      <x:c r="D163" s="8"/>
      <x:c r="E163" s="8"/>
      <x:c r="F163" s="8"/>
      <x:c r="G163" s="8"/>
      <x:c r="H163" s="8"/>
      <x:c r="I163" s="8"/>
      <x:c r="J163" s="1"/>
      <x:c r="K163" s="1"/>
    </x:row>
    <x:row r="164" ht="30" customHeight="1">
      <x:c r="A164" s="1"/>
      <x:c r="B164" s="1"/>
      <x:c r="C164" s="64"/>
      <x:c r="D164" s="8"/>
      <x:c r="E164" s="8"/>
      <x:c r="F164" s="8"/>
      <x:c r="G164" s="8"/>
      <x:c r="H164" s="8"/>
      <x:c r="I164" s="8"/>
      <x:c r="J164" s="1"/>
      <x:c r="K164" s="1"/>
    </x:row>
    <x:row r="165" ht="30" customHeight="1">
      <x:c r="A165" s="1"/>
      <x:c r="B165" s="1"/>
      <x:c r="C165" s="64"/>
      <x:c r="D165" s="8"/>
      <x:c r="E165" s="8"/>
      <x:c r="F165" s="8"/>
      <x:c r="G165" s="8"/>
      <x:c r="H165" s="8"/>
      <x:c r="I165" s="8"/>
      <x:c r="J165" s="1"/>
      <x:c r="K165" s="1"/>
    </x:row>
    <x:row r="166" ht="30" customHeight="1">
      <x:c r="A166" s="1"/>
      <x:c r="B166" s="1"/>
      <x:c r="C166" s="64"/>
      <x:c r="D166" s="8"/>
      <x:c r="E166" s="8"/>
      <x:c r="F166" s="8"/>
      <x:c r="G166" s="8"/>
      <x:c r="H166" s="8"/>
      <x:c r="I166" s="8"/>
      <x:c r="J166" s="1"/>
      <x:c r="K166" s="1"/>
    </x:row>
    <x:row r="167" ht="30" customHeight="1">
      <x:c r="A167" s="1"/>
      <x:c r="B167" s="1"/>
      <x:c r="C167" s="64"/>
      <x:c r="D167" s="8"/>
      <x:c r="E167" s="8"/>
      <x:c r="F167" s="8"/>
      <x:c r="G167" s="8"/>
      <x:c r="H167" s="8"/>
      <x:c r="I167" s="8"/>
      <x:c r="J167" s="1"/>
      <x:c r="K167" s="1"/>
    </x:row>
    <x:row r="168" ht="30" customHeight="1">
      <x:c r="A168" s="1"/>
      <x:c r="B168" s="1"/>
      <x:c r="C168" s="64"/>
      <x:c r="D168" s="8"/>
      <x:c r="E168" s="8"/>
      <x:c r="F168" s="8"/>
      <x:c r="G168" s="8"/>
      <x:c r="H168" s="8"/>
      <x:c r="I168" s="8"/>
      <x:c r="J168" s="1"/>
      <x:c r="K168" s="1"/>
    </x:row>
    <x:row r="169" ht="30" customHeight="1">
      <x:c r="A169" s="1"/>
      <x:c r="B169" s="1"/>
      <x:c r="C169" s="64"/>
      <x:c r="D169" s="8"/>
      <x:c r="E169" s="8"/>
      <x:c r="F169" s="8"/>
      <x:c r="G169" s="8"/>
      <x:c r="H169" s="8"/>
      <x:c r="I169" s="8"/>
      <x:c r="J169" s="1"/>
      <x:c r="K169" s="1"/>
    </x:row>
    <x:row r="170" ht="30" customHeight="1">
      <x:c r="A170" s="1"/>
      <x:c r="B170" s="1"/>
      <x:c r="C170" s="64"/>
      <x:c r="D170" s="8"/>
      <x:c r="E170" s="8"/>
      <x:c r="F170" s="8"/>
      <x:c r="G170" s="8"/>
      <x:c r="H170" s="8"/>
      <x:c r="I170" s="8"/>
      <x:c r="J170" s="1"/>
      <x:c r="K170" s="1"/>
    </x:row>
    <x:row r="171" ht="30" customHeight="1">
      <x:c r="A171" s="1"/>
      <x:c r="B171" s="1"/>
      <x:c r="C171" s="64"/>
      <x:c r="D171" s="8"/>
      <x:c r="E171" s="8"/>
      <x:c r="F171" s="8"/>
      <x:c r="G171" s="8"/>
      <x:c r="H171" s="8"/>
      <x:c r="I171" s="8"/>
      <x:c r="J171" s="1"/>
      <x:c r="K171" s="1"/>
    </x:row>
    <x:row r="172" ht="30" customHeight="1">
      <x:c r="A172" s="1"/>
      <x:c r="B172" s="1"/>
      <x:c r="C172" s="64"/>
      <x:c r="D172" s="8"/>
      <x:c r="E172" s="8"/>
      <x:c r="F172" s="8"/>
      <x:c r="G172" s="8"/>
      <x:c r="H172" s="8"/>
      <x:c r="I172" s="8"/>
      <x:c r="J172" s="1"/>
      <x:c r="K172" s="1"/>
    </x:row>
    <x:row r="173" ht="30" customHeight="1">
      <x:c r="A173" s="1"/>
      <x:c r="B173" s="1"/>
      <x:c r="C173" s="64"/>
      <x:c r="D173" s="8"/>
      <x:c r="E173" s="8"/>
      <x:c r="F173" s="8"/>
      <x:c r="G173" s="8"/>
      <x:c r="H173" s="8"/>
      <x:c r="I173" s="8"/>
      <x:c r="J173" s="1"/>
      <x:c r="K173" s="1"/>
    </x:row>
    <x:row r="174" ht="30" customHeight="1">
      <x:c r="A174" s="1"/>
      <x:c r="B174" s="1"/>
      <x:c r="C174" s="64"/>
      <x:c r="D174" s="8"/>
      <x:c r="E174" s="8"/>
      <x:c r="F174" s="8"/>
      <x:c r="G174" s="8"/>
      <x:c r="H174" s="8"/>
      <x:c r="I174" s="8"/>
      <x:c r="J174" s="1"/>
      <x:c r="K174" s="1"/>
    </x:row>
    <x:row r="175" ht="30" customHeight="1">
      <x:c r="A175" s="1"/>
      <x:c r="B175" s="1"/>
      <x:c r="C175" s="64"/>
      <x:c r="D175" s="8"/>
      <x:c r="E175" s="8"/>
      <x:c r="F175" s="8"/>
      <x:c r="G175" s="8"/>
      <x:c r="H175" s="8"/>
      <x:c r="I175" s="8"/>
      <x:c r="J175" s="1"/>
      <x:c r="K175" s="1"/>
    </x:row>
    <x:row r="176" ht="30" customHeight="1">
      <x:c r="A176" s="1"/>
      <x:c r="B176" s="1"/>
      <x:c r="C176" s="64"/>
      <x:c r="D176" s="8"/>
      <x:c r="E176" s="8"/>
      <x:c r="F176" s="8"/>
      <x:c r="G176" s="8"/>
      <x:c r="H176" s="8"/>
      <x:c r="I176" s="8"/>
      <x:c r="J176" s="1"/>
      <x:c r="K176" s="1"/>
    </x:row>
    <x:row r="177" ht="30" customHeight="1">
      <x:c r="A177" s="1"/>
      <x:c r="B177" s="1"/>
      <x:c r="C177" s="64"/>
      <x:c r="D177" s="8"/>
      <x:c r="E177" s="8"/>
      <x:c r="F177" s="8"/>
      <x:c r="G177" s="8"/>
      <x:c r="H177" s="8"/>
      <x:c r="I177" s="8"/>
      <x:c r="J177" s="1"/>
      <x:c r="K177" s="1"/>
    </x:row>
    <x:row r="178" ht="30" customHeight="1">
      <x:c r="A178" s="1"/>
      <x:c r="B178" s="1"/>
      <x:c r="C178" s="64"/>
      <x:c r="D178" s="8"/>
      <x:c r="E178" s="8"/>
      <x:c r="F178" s="8"/>
      <x:c r="G178" s="8"/>
      <x:c r="H178" s="8"/>
      <x:c r="I178" s="8"/>
      <x:c r="J178" s="1"/>
      <x:c r="K178" s="1"/>
    </x:row>
    <x:row r="179" ht="25" customHeight="1">
      <x:c r="A179" s="1"/>
      <x:c r="B179" s="1"/>
      <x:c r="C179" s="68" t="str">
        <x:v>MODEL CHECKS</x:v>
      </x:c>
      <x:c r="D179" s="69"/>
      <x:c r="E179" s="69"/>
      <x:c r="F179" s="69"/>
      <x:c r="G179" s="69"/>
      <x:c r="H179" s="69"/>
      <x:c r="I179" s="69"/>
      <x:c r="J179" s="1"/>
      <x:c r="K179" s="1"/>
    </x:row>
    <x:row r="180" ht="30" customHeight="1">
      <x:c r="A180" s="1"/>
      <x:c r="B180" s="1"/>
      <x:c r="C180" s="64" t="str">
        <x:v>Average operational beds — seed input outside bounds</x:v>
      </x:c>
      <x:c r="D180" s="8"/>
      <x:c r="E180" s="75" t="n">
        <x:f>IF(COUNT(D10)=0,1,IF(D10&lt;0,1,0))</x:f>
        <x:v>0</x:v>
      </x:c>
      <x:c r="F180" s="75" t="n">
        <x:f>IF(COUNT(D10)=0,1,IF(D10&lt;0,1,0))</x:f>
        <x:v>0</x:v>
      </x:c>
      <x:c r="G180" s="75" t="n">
        <x:f>IF(COUNT(D10)=0,1,IF(D10&lt;0,1,0))</x:f>
        <x:v>0</x:v>
      </x:c>
      <x:c r="H180" s="75" t="n">
        <x:f>IF(COUNT(D10)=0,1,IF(D10&lt;0,1,0))</x:f>
        <x:v>0</x:v>
      </x:c>
      <x:c r="I180" s="75" t="n">
        <x:f>IF(COUNT(D10)=0,1,IF(D10&lt;0,1,0))</x:f>
        <x:v>0</x:v>
      </x:c>
      <x:c r="J180" s="1"/>
      <x:c r="K180" s="1"/>
    </x:row>
    <x:row r="181" ht="30" customHeight="1">
      <x:c r="A181" s="1"/>
      <x:c r="B181" s="1"/>
      <x:c r="C181" s="64" t="str">
        <x:v>ARPOB (INR per occupied bed-day) — seed input outside bounds</x:v>
      </x:c>
      <x:c r="D181" s="8"/>
      <x:c r="E181" s="75" t="n">
        <x:f>IF(COUNT(D11)=0,1,IF(D11&lt;0,1,0))</x:f>
        <x:v>0</x:v>
      </x:c>
      <x:c r="F181" s="75" t="n">
        <x:f>IF(COUNT(D11)=0,1,IF(D11&lt;0,1,0))</x:f>
        <x:v>0</x:v>
      </x:c>
      <x:c r="G181" s="75" t="n">
        <x:f>IF(COUNT(D11)=0,1,IF(D11&lt;0,1,0))</x:f>
        <x:v>0</x:v>
      </x:c>
      <x:c r="H181" s="75" t="n">
        <x:f>IF(COUNT(D11)=0,1,IF(D11&lt;0,1,0))</x:f>
        <x:v>0</x:v>
      </x:c>
      <x:c r="I181" s="75" t="n">
        <x:f>IF(COUNT(D11)=0,1,IF(D11&lt;0,1,0))</x:f>
        <x:v>0</x:v>
      </x:c>
      <x:c r="J181" s="1"/>
      <x:c r="K181" s="1"/>
    </x:row>
    <x:row r="182" ht="30" customHeight="1">
      <x:c r="A182" s="1"/>
      <x:c r="B182" s="1"/>
      <x:c r="C182" s="64" t="str">
        <x:v>Operating scale growth input outside bounds</x:v>
      </x:c>
      <x:c r="D182" s="8"/>
      <x:c r="E182" s="75" t="n">
        <x:f>IF(COUNT(E12)=0,1,IF(E12&lt;-1,1,0))</x:f>
        <x:v>0</x:v>
      </x:c>
      <x:c r="F182" s="75" t="n">
        <x:f>IF(COUNT(F12)=0,1,IF(F12&lt;-1,1,0))</x:f>
        <x:v>0</x:v>
      </x:c>
      <x:c r="G182" s="75" t="n">
        <x:f>IF(COUNT(G12)=0,1,IF(G12&lt;-1,1,0))</x:f>
        <x:v>0</x:v>
      </x:c>
      <x:c r="H182" s="75" t="n">
        <x:f>IF(COUNT(H12)=0,1,IF(H12&lt;-1,1,0))</x:f>
        <x:v>0</x:v>
      </x:c>
      <x:c r="I182" s="75" t="n">
        <x:f>IF(COUNT(I12)=0,1,IF(I12&lt;-1,1,0))</x:f>
        <x:v>0</x:v>
      </x:c>
      <x:c r="J182" s="1"/>
      <x:c r="K182" s="1"/>
    </x:row>
    <x:row r="183" ht="30" customHeight="1">
      <x:c r="A183" s="1"/>
      <x:c r="B183" s="1"/>
      <x:c r="C183" s="64" t="str">
        <x:v>Realization growth input outside bounds</x:v>
      </x:c>
      <x:c r="D183" s="8"/>
      <x:c r="E183" s="75" t="n">
        <x:f>IF(COUNT(E16)=0,1,IF(E16&lt;-1,1,0))</x:f>
        <x:v>0</x:v>
      </x:c>
      <x:c r="F183" s="75" t="n">
        <x:f>IF(COUNT(F16)=0,1,IF(F16&lt;-1,1,0))</x:f>
        <x:v>0</x:v>
      </x:c>
      <x:c r="G183" s="75" t="n">
        <x:f>IF(COUNT(G16)=0,1,IF(G16&lt;-1,1,0))</x:f>
        <x:v>0</x:v>
      </x:c>
      <x:c r="H183" s="75" t="n">
        <x:f>IF(COUNT(H16)=0,1,IF(H16&lt;-1,1,0))</x:f>
        <x:v>0</x:v>
      </x:c>
      <x:c r="I183" s="75" t="n">
        <x:f>IF(COUNT(I16)=0,1,IF(I16&lt;-1,1,0))</x:f>
        <x:v>0</x:v>
      </x:c>
      <x:c r="J183" s="1"/>
      <x:c r="K183" s="1"/>
    </x:row>
    <x:row r="184" ht="30" customHeight="1">
      <x:c r="A184" s="1"/>
      <x:c r="B184" s="1"/>
      <x:c r="C184" s="64" t="str">
        <x:v>Occupancy input outside bounds</x:v>
      </x:c>
      <x:c r="D184" s="8"/>
      <x:c r="E184" s="75" t="n">
        <x:f>IF(COUNT(E20)=0,1,IF(E20&lt;0,1,IF(E20&gt;1,1,0)))</x:f>
        <x:v>0</x:v>
      </x:c>
      <x:c r="F184" s="75" t="n">
        <x:f>IF(COUNT(F20)=0,1,IF(F20&lt;0,1,IF(F20&gt;1,1,0)))</x:f>
        <x:v>0</x:v>
      </x:c>
      <x:c r="G184" s="75" t="n">
        <x:f>IF(COUNT(G20)=0,1,IF(G20&lt;0,1,IF(G20&gt;1,1,0)))</x:f>
        <x:v>0</x:v>
      </x:c>
      <x:c r="H184" s="75" t="n">
        <x:f>IF(COUNT(H20)=0,1,IF(H20&lt;0,1,IF(H20&gt;1,1,0)))</x:f>
        <x:v>0</x:v>
      </x:c>
      <x:c r="I184" s="75" t="n">
        <x:f>IF(COUNT(I20)=0,1,IF(I20&lt;0,1,IF(I20&gt;1,1,0)))</x:f>
        <x:v>0</x:v>
      </x:c>
      <x:c r="J184" s="1"/>
      <x:c r="K184" s="1"/>
    </x:row>
    <x:row r="185" ht="30" customHeight="1">
      <x:c r="A185" s="1"/>
      <x:c r="B185" s="1"/>
      <x:c r="C185" s="64" t="str">
        <x:v>Clinical consumables and doctor fees / revenue input outside bounds</x:v>
      </x:c>
      <x:c r="D185" s="8"/>
      <x:c r="E185" s="75" t="n">
        <x:f>IF(COUNT(E21)=0,1,IF(E21&lt;0,1,0))</x:f>
        <x:v>0</x:v>
      </x:c>
      <x:c r="F185" s="75" t="n">
        <x:f>IF(COUNT(F21)=0,1,IF(F21&lt;0,1,0))</x:f>
        <x:v>0</x:v>
      </x:c>
      <x:c r="G185" s="75" t="n">
        <x:f>IF(COUNT(G21)=0,1,IF(G21&lt;0,1,0))</x:f>
        <x:v>0</x:v>
      </x:c>
      <x:c r="H185" s="75" t="n">
        <x:f>IF(COUNT(H21)=0,1,IF(H21&lt;0,1,0))</x:f>
        <x:v>0</x:v>
      </x:c>
      <x:c r="I185" s="75" t="n">
        <x:f>IF(COUNT(I21)=0,1,IF(I21&lt;0,1,0))</x:f>
        <x:v>0</x:v>
      </x:c>
      <x:c r="J185" s="1"/>
      <x:c r="K185" s="1"/>
    </x:row>
    <x:row r="186" ht="30" customHeight="1">
      <x:c r="A186" s="1"/>
      <x:c r="B186" s="1"/>
      <x:c r="C186" s="64" t="str">
        <x:v>Other cash operating costs / revenue input outside bounds</x:v>
      </x:c>
      <x:c r="D186" s="8"/>
      <x:c r="E186" s="75" t="n">
        <x:f>IF(COUNT(E22)=0,1,IF(E22&lt;0,1,0))</x:f>
        <x:v>0</x:v>
      </x:c>
      <x:c r="F186" s="75" t="n">
        <x:f>IF(COUNT(F22)=0,1,IF(F22&lt;0,1,0))</x:f>
        <x:v>0</x:v>
      </x:c>
      <x:c r="G186" s="75" t="n">
        <x:f>IF(COUNT(G22)=0,1,IF(G22&lt;0,1,0))</x:f>
        <x:v>0</x:v>
      </x:c>
      <x:c r="H186" s="75" t="n">
        <x:f>IF(COUNT(H22)=0,1,IF(H22&lt;0,1,0))</x:f>
        <x:v>0</x:v>
      </x:c>
      <x:c r="I186" s="75" t="n">
        <x:f>IF(COUNT(I22)=0,1,IF(I22&lt;0,1,0))</x:f>
        <x:v>0</x:v>
      </x:c>
      <x:c r="J186" s="1"/>
      <x:c r="K186" s="1"/>
    </x:row>
    <x:row r="187" ht="30" customHeight="1">
      <x:c r="A187" s="1"/>
      <x:c r="B187" s="1"/>
      <x:c r="C187" s="64" t="str">
        <x:v>Average length of stay (days) input outside bounds</x:v>
      </x:c>
      <x:c r="D187" s="8"/>
      <x:c r="E187" s="75" t="n">
        <x:f>IF(COUNT(E23)=0,1,IF(E23&lt;0,1,0))</x:f>
        <x:v>0</x:v>
      </x:c>
      <x:c r="F187" s="75" t="n">
        <x:f>IF(COUNT(F23)=0,1,IF(F23&lt;0,1,0))</x:f>
        <x:v>0</x:v>
      </x:c>
      <x:c r="G187" s="75" t="n">
        <x:f>IF(COUNT(G23)=0,1,IF(G23&lt;0,1,0))</x:f>
        <x:v>0</x:v>
      </x:c>
      <x:c r="H187" s="75" t="n">
        <x:f>IF(COUNT(H23)=0,1,IF(H23&lt;0,1,0))</x:f>
        <x:v>0</x:v>
      </x:c>
      <x:c r="I187" s="75" t="n">
        <x:f>IF(COUNT(I23)=0,1,IF(I23&lt;0,1,0))</x:f>
        <x:v>0</x:v>
      </x:c>
      <x:c r="J187" s="1"/>
      <x:c r="K187" s="1"/>
    </x:row>
    <x:row r="188" ht="30" customHeight="1">
      <x:c r="A188" s="1"/>
      <x:c r="B188" s="1"/>
      <x:c r="C188" s="64" t="str">
        <x:v>Cash capex / revenue input outside bounds</x:v>
      </x:c>
      <x:c r="D188" s="8"/>
      <x:c r="E188" s="75" t="n">
        <x:f>IF(COUNT(E24)=0,1,IF(E24&lt;0,1,0))</x:f>
        <x:v>0</x:v>
      </x:c>
      <x:c r="F188" s="75" t="n">
        <x:f>IF(COUNT(F24)=0,1,IF(F24&lt;0,1,0))</x:f>
        <x:v>0</x:v>
      </x:c>
      <x:c r="G188" s="75" t="n">
        <x:f>IF(COUNT(G24)=0,1,IF(G24&lt;0,1,0))</x:f>
        <x:v>0</x:v>
      </x:c>
      <x:c r="H188" s="75" t="n">
        <x:f>IF(COUNT(H24)=0,1,IF(H24&lt;0,1,0))</x:f>
        <x:v>0</x:v>
      </x:c>
      <x:c r="I188" s="75" t="n">
        <x:f>IF(COUNT(I24)=0,1,IF(I24&lt;0,1,0))</x:f>
        <x:v>0</x:v>
      </x:c>
      <x:c r="J188" s="1"/>
      <x:c r="K188" s="1"/>
    </x:row>
    <x:row r="189" ht="30" customHeight="1">
      <x:c r="A189" s="1"/>
      <x:c r="B189" s="1"/>
      <x:c r="C189" s="64" t="str">
        <x:v>D&amp;A / opening net PP&amp;E input outside bounds</x:v>
      </x:c>
      <x:c r="D189" s="8"/>
      <x:c r="E189" s="75" t="n">
        <x:f>IF(COUNT(E25)=0,1,IF(E25&lt;0,1,IF(E25&gt;1,1,0)))</x:f>
        <x:v>0</x:v>
      </x:c>
      <x:c r="F189" s="75" t="n">
        <x:f>IF(COUNT(F25)=0,1,IF(F25&lt;0,1,IF(F25&gt;1,1,0)))</x:f>
        <x:v>0</x:v>
      </x:c>
      <x:c r="G189" s="75" t="n">
        <x:f>IF(COUNT(G25)=0,1,IF(G25&lt;0,1,IF(G25&gt;1,1,0)))</x:f>
        <x:v>0</x:v>
      </x:c>
      <x:c r="H189" s="75" t="n">
        <x:f>IF(COUNT(H25)=0,1,IF(H25&lt;0,1,IF(H25&gt;1,1,0)))</x:f>
        <x:v>0</x:v>
      </x:c>
      <x:c r="I189" s="75" t="n">
        <x:f>IF(COUNT(I25)=0,1,IF(I25&lt;0,1,IF(I25&gt;1,1,0)))</x:f>
        <x:v>0</x:v>
      </x:c>
      <x:c r="J189" s="1"/>
      <x:c r="K189" s="1"/>
    </x:row>
    <x:row r="190" ht="30" customHeight="1">
      <x:c r="A190" s="1"/>
      <x:c r="B190" s="1"/>
      <x:c r="C190" s="64" t="str">
        <x:v>Receivable days input outside bounds</x:v>
      </x:c>
      <x:c r="D190" s="8"/>
      <x:c r="E190" s="75" t="n">
        <x:f>IF(COUNT(E26)=0,1,IF(E26&lt;0,1,0))</x:f>
        <x:v>0</x:v>
      </x:c>
      <x:c r="F190" s="75" t="n">
        <x:f>IF(COUNT(F26)=0,1,IF(F26&lt;0,1,0))</x:f>
        <x:v>0</x:v>
      </x:c>
      <x:c r="G190" s="75" t="n">
        <x:f>IF(COUNT(G26)=0,1,IF(G26&lt;0,1,0))</x:f>
        <x:v>0</x:v>
      </x:c>
      <x:c r="H190" s="75" t="n">
        <x:f>IF(COUNT(H26)=0,1,IF(H26&lt;0,1,0))</x:f>
        <x:v>0</x:v>
      </x:c>
      <x:c r="I190" s="75" t="n">
        <x:f>IF(COUNT(I26)=0,1,IF(I26&lt;0,1,0))</x:f>
        <x:v>0</x:v>
      </x:c>
      <x:c r="J190" s="1"/>
      <x:c r="K190" s="1"/>
    </x:row>
    <x:row r="191" ht="30" customHeight="1">
      <x:c r="A191" s="1"/>
      <x:c r="B191" s="1"/>
      <x:c r="C191" s="64" t="str">
        <x:v>Inventory days input outside bounds</x:v>
      </x:c>
      <x:c r="D191" s="8"/>
      <x:c r="E191" s="75" t="n">
        <x:f>IF(COUNT(E27)=0,1,IF(E27&lt;0,1,0))</x:f>
        <x:v>0</x:v>
      </x:c>
      <x:c r="F191" s="75" t="n">
        <x:f>IF(COUNT(F27)=0,1,IF(F27&lt;0,1,0))</x:f>
        <x:v>0</x:v>
      </x:c>
      <x:c r="G191" s="75" t="n">
        <x:f>IF(COUNT(G27)=0,1,IF(G27&lt;0,1,0))</x:f>
        <x:v>0</x:v>
      </x:c>
      <x:c r="H191" s="75" t="n">
        <x:f>IF(COUNT(H27)=0,1,IF(H27&lt;0,1,0))</x:f>
        <x:v>0</x:v>
      </x:c>
      <x:c r="I191" s="75" t="n">
        <x:f>IF(COUNT(I27)=0,1,IF(I27&lt;0,1,0))</x:f>
        <x:v>0</x:v>
      </x:c>
      <x:c r="J191" s="1"/>
      <x:c r="K191" s="1"/>
    </x:row>
    <x:row r="192" ht="30" customHeight="1">
      <x:c r="A192" s="1"/>
      <x:c r="B192" s="1"/>
      <x:c r="C192" s="64" t="str">
        <x:v>Payable days input outside bounds</x:v>
      </x:c>
      <x:c r="D192" s="8"/>
      <x:c r="E192" s="75" t="n">
        <x:f>IF(COUNT(E28)=0,1,IF(E28&lt;0,1,0))</x:f>
        <x:v>0</x:v>
      </x:c>
      <x:c r="F192" s="75" t="n">
        <x:f>IF(COUNT(F28)=0,1,IF(F28&lt;0,1,0))</x:f>
        <x:v>0</x:v>
      </x:c>
      <x:c r="G192" s="75" t="n">
        <x:f>IF(COUNT(G28)=0,1,IF(G28&lt;0,1,0))</x:f>
        <x:v>0</x:v>
      </x:c>
      <x:c r="H192" s="75" t="n">
        <x:f>IF(COUNT(H28)=0,1,IF(H28&lt;0,1,0))</x:f>
        <x:v>0</x:v>
      </x:c>
      <x:c r="I192" s="75" t="n">
        <x:f>IF(COUNT(I28)=0,1,IF(I28&lt;0,1,0))</x:f>
        <x:v>0</x:v>
      </x:c>
      <x:c r="J192" s="1"/>
      <x:c r="K192" s="1"/>
    </x:row>
    <x:row r="193" ht="30" customHeight="1">
      <x:c r="A193" s="1"/>
      <x:c r="B193" s="1"/>
      <x:c r="C193" s="64" t="str">
        <x:v>Effective cash tax rate input outside bounds</x:v>
      </x:c>
      <x:c r="D193" s="8"/>
      <x:c r="E193" s="75" t="n">
        <x:f>IF(COUNT(E29)=0,1,IF(E29&lt;0,1,IF(E29&gt;1,1,0)))</x:f>
        <x:v>0</x:v>
      </x:c>
      <x:c r="F193" s="75" t="n">
        <x:f>IF(COUNT(F29)=0,1,IF(F29&lt;0,1,IF(F29&gt;1,1,0)))</x:f>
        <x:v>0</x:v>
      </x:c>
      <x:c r="G193" s="75" t="n">
        <x:f>IF(COUNT(G29)=0,1,IF(G29&lt;0,1,IF(G29&gt;1,1,0)))</x:f>
        <x:v>0</x:v>
      </x:c>
      <x:c r="H193" s="75" t="n">
        <x:f>IF(COUNT(H29)=0,1,IF(H29&lt;0,1,IF(H29&gt;1,1,0)))</x:f>
        <x:v>0</x:v>
      </x:c>
      <x:c r="I193" s="75" t="n">
        <x:f>IF(COUNT(I29)=0,1,IF(I29&lt;0,1,IF(I29&gt;1,1,0)))</x:f>
        <x:v>0</x:v>
      </x:c>
      <x:c r="J193" s="1"/>
      <x:c r="K193" s="1"/>
    </x:row>
    <x:row r="194" ht="30" customHeight="1">
      <x:c r="A194" s="1"/>
      <x:c r="B194" s="1"/>
      <x:c r="C194" s="64" t="str">
        <x:v>Interest on opening debt input outside bounds</x:v>
      </x:c>
      <x:c r="D194" s="8"/>
      <x:c r="E194" s="75" t="n">
        <x:f>IF(COUNT(E30)=0,1,IF(E30&lt;0,1,0))</x:f>
        <x:v>0</x:v>
      </x:c>
      <x:c r="F194" s="75" t="n">
        <x:f>IF(COUNT(F30)=0,1,IF(F30&lt;0,1,0))</x:f>
        <x:v>0</x:v>
      </x:c>
      <x:c r="G194" s="75" t="n">
        <x:f>IF(COUNT(G30)=0,1,IF(G30&lt;0,1,0))</x:f>
        <x:v>0</x:v>
      </x:c>
      <x:c r="H194" s="75" t="n">
        <x:f>IF(COUNT(H30)=0,1,IF(H30&lt;0,1,0))</x:f>
        <x:v>0</x:v>
      </x:c>
      <x:c r="I194" s="75" t="n">
        <x:f>IF(COUNT(I30)=0,1,IF(I30&lt;0,1,0))</x:f>
        <x:v>0</x:v>
      </x:c>
      <x:c r="J194" s="1"/>
      <x:c r="K194" s="1"/>
    </x:row>
    <x:row r="195" ht="30" customHeight="1">
      <x:c r="A195" s="1"/>
      <x:c r="B195" s="1"/>
      <x:c r="C195" s="64" t="str">
        <x:v>New borrowing input outside bounds</x:v>
      </x:c>
      <x:c r="D195" s="8"/>
      <x:c r="E195" s="75" t="n">
        <x:f>IF(COUNT(E31)=0,1,IF(E31&lt;0,1,0))</x:f>
        <x:v>0</x:v>
      </x:c>
      <x:c r="F195" s="75" t="n">
        <x:f>IF(COUNT(F31)=0,1,IF(F31&lt;0,1,0))</x:f>
        <x:v>0</x:v>
      </x:c>
      <x:c r="G195" s="75" t="n">
        <x:f>IF(COUNT(G31)=0,1,IF(G31&lt;0,1,0))</x:f>
        <x:v>0</x:v>
      </x:c>
      <x:c r="H195" s="75" t="n">
        <x:f>IF(COUNT(H31)=0,1,IF(H31&lt;0,1,0))</x:f>
        <x:v>0</x:v>
      </x:c>
      <x:c r="I195" s="75" t="n">
        <x:f>IF(COUNT(I31)=0,1,IF(I31&lt;0,1,0))</x:f>
        <x:v>0</x:v>
      </x:c>
      <x:c r="J195" s="1"/>
      <x:c r="K195" s="1"/>
    </x:row>
    <x:row r="196" ht="30" customHeight="1">
      <x:c r="A196" s="1"/>
      <x:c r="B196" s="1"/>
      <x:c r="C196" s="64" t="str">
        <x:v>Scheduled principal repayment input outside bounds</x:v>
      </x:c>
      <x:c r="D196" s="8"/>
      <x:c r="E196" s="75" t="n">
        <x:f>IF(COUNT(E32)=0,1,IF(E32&lt;0,1,0))</x:f>
        <x:v>0</x:v>
      </x:c>
      <x:c r="F196" s="75" t="n">
        <x:f>IF(COUNT(F32)=0,1,IF(F32&lt;0,1,0))</x:f>
        <x:v>0</x:v>
      </x:c>
      <x:c r="G196" s="75" t="n">
        <x:f>IF(COUNT(G32)=0,1,IF(G32&lt;0,1,0))</x:f>
        <x:v>0</x:v>
      </x:c>
      <x:c r="H196" s="75" t="n">
        <x:f>IF(COUNT(H32)=0,1,IF(H32&lt;0,1,0))</x:f>
        <x:v>0</x:v>
      </x:c>
      <x:c r="I196" s="75" t="n">
        <x:f>IF(COUNT(I32)=0,1,IF(I32&lt;0,1,0))</x:f>
        <x:v>0</x:v>
      </x:c>
      <x:c r="J196" s="1"/>
      <x:c r="K196" s="1"/>
    </x:row>
    <x:row r="197" ht="30" customHeight="1">
      <x:c r="A197" s="1"/>
      <x:c r="B197" s="1"/>
      <x:c r="C197" s="64" t="str">
        <x:v>Dividend payout on positive PAT input outside bounds</x:v>
      </x:c>
      <x:c r="D197" s="8"/>
      <x:c r="E197" s="75" t="n">
        <x:f>IF(COUNT(E33)=0,1,IF(E33&lt;0,1,IF(E33&gt;1,1,0)))</x:f>
        <x:v>0</x:v>
      </x:c>
      <x:c r="F197" s="75" t="n">
        <x:f>IF(COUNT(F33)=0,1,IF(F33&lt;0,1,IF(F33&gt;1,1,0)))</x:f>
        <x:v>0</x:v>
      </x:c>
      <x:c r="G197" s="75" t="n">
        <x:f>IF(COUNT(G33)=0,1,IF(G33&lt;0,1,IF(G33&gt;1,1,0)))</x:f>
        <x:v>0</x:v>
      </x:c>
      <x:c r="H197" s="75" t="n">
        <x:f>IF(COUNT(H33)=0,1,IF(H33&lt;0,1,IF(H33&gt;1,1,0)))</x:f>
        <x:v>0</x:v>
      </x:c>
      <x:c r="I197" s="75" t="n">
        <x:f>IF(COUNT(I33)=0,1,IF(I33&lt;0,1,IF(I33&gt;1,1,0)))</x:f>
        <x:v>0</x:v>
      </x:c>
      <x:c r="J197" s="1"/>
      <x:c r="K197" s="1"/>
    </x:row>
    <x:row r="198" ht="30" customHeight="1">
      <x:c r="A198" s="1"/>
      <x:c r="B198" s="1"/>
      <x:c r="C198" s="64" t="str">
        <x:v>Opening net PP&amp;E input outside bounds</x:v>
      </x:c>
      <x:c r="D198" s="8"/>
      <x:c r="E198" s="75" t="n">
        <x:f>IF(COUNT(D35)=0,1,IF(D35&lt;0,1,0))</x:f>
        <x:v>0</x:v>
      </x:c>
      <x:c r="F198" s="75" t="n">
        <x:f>IF(COUNT(D35)=0,1,IF(D35&lt;0,1,0))</x:f>
        <x:v>0</x:v>
      </x:c>
      <x:c r="G198" s="75" t="n">
        <x:f>IF(COUNT(D35)=0,1,IF(D35&lt;0,1,0))</x:f>
        <x:v>0</x:v>
      </x:c>
      <x:c r="H198" s="75" t="n">
        <x:f>IF(COUNT(D35)=0,1,IF(D35&lt;0,1,0))</x:f>
        <x:v>0</x:v>
      </x:c>
      <x:c r="I198" s="75" t="n">
        <x:f>IF(COUNT(D35)=0,1,IF(D35&lt;0,1,0))</x:f>
        <x:v>0</x:v>
      </x:c>
      <x:c r="J198" s="1"/>
      <x:c r="K198" s="1"/>
    </x:row>
    <x:row r="199" ht="30" customHeight="1">
      <x:c r="A199" s="1"/>
      <x:c r="B199" s="1"/>
      <x:c r="C199" s="64" t="str">
        <x:v>Opening debt input outside bounds</x:v>
      </x:c>
      <x:c r="D199" s="8"/>
      <x:c r="E199" s="75" t="n">
        <x:f>IF(COUNT(D36)=0,1,IF(D36&lt;0,1,0))</x:f>
        <x:v>0</x:v>
      </x:c>
      <x:c r="F199" s="75" t="n">
        <x:f>IF(COUNT(D36)=0,1,IF(D36&lt;0,1,0))</x:f>
        <x:v>0</x:v>
      </x:c>
      <x:c r="G199" s="75" t="n">
        <x:f>IF(COUNT(D36)=0,1,IF(D36&lt;0,1,0))</x:f>
        <x:v>0</x:v>
      </x:c>
      <x:c r="H199" s="75" t="n">
        <x:f>IF(COUNT(D36)=0,1,IF(D36&lt;0,1,0))</x:f>
        <x:v>0</x:v>
      </x:c>
      <x:c r="I199" s="75" t="n">
        <x:f>IF(COUNT(D36)=0,1,IF(D36&lt;0,1,0))</x:f>
        <x:v>0</x:v>
      </x:c>
      <x:c r="J199" s="1"/>
      <x:c r="K199" s="1"/>
    </x:row>
    <x:row r="200" ht="30" customHeight="1">
      <x:c r="A200" s="1"/>
      <x:c r="B200" s="1"/>
      <x:c r="C200" s="64" t="str">
        <x:v>Opening cash input outside bounds</x:v>
      </x:c>
      <x:c r="D200" s="8"/>
      <x:c r="E200" s="75" t="n">
        <x:f>IF(COUNT(D37)=0,1,IF(D37&lt;0,1,0))</x:f>
        <x:v>0</x:v>
      </x:c>
      <x:c r="F200" s="75" t="n">
        <x:f>IF(COUNT(D37)=0,1,IF(D37&lt;0,1,0))</x:f>
        <x:v>0</x:v>
      </x:c>
      <x:c r="G200" s="75" t="n">
        <x:f>IF(COUNT(D37)=0,1,IF(D37&lt;0,1,0))</x:f>
        <x:v>0</x:v>
      </x:c>
      <x:c r="H200" s="75" t="n">
        <x:f>IF(COUNT(D37)=0,1,IF(D37&lt;0,1,0))</x:f>
        <x:v>0</x:v>
      </x:c>
      <x:c r="I200" s="75" t="n">
        <x:f>IF(COUNT(D37)=0,1,IF(D37&lt;0,1,0))</x:f>
        <x:v>0</x:v>
      </x:c>
      <x:c r="J200" s="1"/>
      <x:c r="K200" s="1"/>
    </x:row>
    <x:row r="201" ht="30" customHeight="1">
      <x:c r="A201" s="1"/>
      <x:c r="B201" s="1"/>
      <x:c r="C201" s="64" t="str">
        <x:v>Diluted shares (crore) input outside bounds</x:v>
      </x:c>
      <x:c r="D201" s="8"/>
      <x:c r="E201" s="75" t="n">
        <x:f>IF(COUNT(D39)=0,1,IF(D39&lt;0,1,0))</x:f>
        <x:v>0</x:v>
      </x:c>
      <x:c r="F201" s="75" t="n">
        <x:f>IF(COUNT(D39)=0,1,IF(D39&lt;0,1,0))</x:f>
        <x:v>0</x:v>
      </x:c>
      <x:c r="G201" s="75" t="n">
        <x:f>IF(COUNT(D39)=0,1,IF(D39&lt;0,1,0))</x:f>
        <x:v>0</x:v>
      </x:c>
      <x:c r="H201" s="75" t="n">
        <x:f>IF(COUNT(D39)=0,1,IF(D39&lt;0,1,0))</x:f>
        <x:v>0</x:v>
      </x:c>
      <x:c r="I201" s="75" t="n">
        <x:f>IF(COUNT(D39)=0,1,IF(D39&lt;0,1,0))</x:f>
        <x:v>0</x:v>
      </x:c>
      <x:c r="J201" s="1"/>
      <x:c r="K201" s="1"/>
    </x:row>
    <x:row r="202" ht="30" customHeight="1">
      <x:c r="A202" s="1"/>
      <x:c r="B202" s="1"/>
      <x:c r="C202" s="64" t="str">
        <x:v>WACC input outside bounds</x:v>
      </x:c>
      <x:c r="D202" s="8"/>
      <x:c r="E202" s="75" t="n">
        <x:f>IF(COUNT(D40)=0,1,IF(D40&lt;0,1,0))</x:f>
        <x:v>0</x:v>
      </x:c>
      <x:c r="F202" s="75" t="n">
        <x:f>IF(COUNT(D40)=0,1,IF(D40&lt;0,1,0))</x:f>
        <x:v>0</x:v>
      </x:c>
      <x:c r="G202" s="75" t="n">
        <x:f>IF(COUNT(D40)=0,1,IF(D40&lt;0,1,0))</x:f>
        <x:v>0</x:v>
      </x:c>
      <x:c r="H202" s="75" t="n">
        <x:f>IF(COUNT(D40)=0,1,IF(D40&lt;0,1,0))</x:f>
        <x:v>0</x:v>
      </x:c>
      <x:c r="I202" s="75" t="n">
        <x:f>IF(COUNT(D40)=0,1,IF(D40&lt;0,1,0))</x:f>
        <x:v>0</x:v>
      </x:c>
      <x:c r="J202" s="1"/>
      <x:c r="K202" s="1"/>
    </x:row>
    <x:row r="203" ht="30" customHeight="1">
      <x:c r="A203" s="1"/>
      <x:c r="B203" s="1"/>
      <x:c r="C203" s="64" t="str">
        <x:v>Terminal growth input outside bounds</x:v>
      </x:c>
      <x:c r="D203" s="8"/>
      <x:c r="E203" s="75" t="n">
        <x:f>IF(COUNT(D41)=0,1,IF(D41&lt;-1,1,0))</x:f>
        <x:v>0</x:v>
      </x:c>
      <x:c r="F203" s="75" t="n">
        <x:f>IF(COUNT(D41)=0,1,IF(D41&lt;-1,1,0))</x:f>
        <x:v>0</x:v>
      </x:c>
      <x:c r="G203" s="75" t="n">
        <x:f>IF(COUNT(D41)=0,1,IF(D41&lt;-1,1,0))</x:f>
        <x:v>0</x:v>
      </x:c>
      <x:c r="H203" s="75" t="n">
        <x:f>IF(COUNT(D41)=0,1,IF(D41&lt;-1,1,0))</x:f>
        <x:v>0</x:v>
      </x:c>
      <x:c r="I203" s="75" t="n">
        <x:f>IF(COUNT(D41)=0,1,IF(D41&lt;-1,1,0))</x:f>
        <x:v>0</x:v>
      </x:c>
      <x:c r="J203" s="1"/>
      <x:c r="K203" s="1"/>
    </x:row>
    <x:row r="204" ht="30" customHeight="1">
      <x:c r="A204" s="1"/>
      <x:c r="B204" s="1"/>
      <x:c r="C204" s="64" t="str">
        <x:v>Terminal incremental ROIC input outside bounds</x:v>
      </x:c>
      <x:c r="D204" s="8"/>
      <x:c r="E204" s="75" t="n">
        <x:f>IF(COUNT(D42)=0,1,IF(D42&lt;0,1,0))</x:f>
        <x:v>0</x:v>
      </x:c>
      <x:c r="F204" s="75" t="n">
        <x:f>IF(COUNT(D42)=0,1,IF(D42&lt;0,1,0))</x:f>
        <x:v>0</x:v>
      </x:c>
      <x:c r="G204" s="75" t="n">
        <x:f>IF(COUNT(D42)=0,1,IF(D42&lt;0,1,0))</x:f>
        <x:v>0</x:v>
      </x:c>
      <x:c r="H204" s="75" t="n">
        <x:f>IF(COUNT(D42)=0,1,IF(D42&lt;0,1,0))</x:f>
        <x:v>0</x:v>
      </x:c>
      <x:c r="I204" s="75" t="n">
        <x:f>IF(COUNT(D42)=0,1,IF(D42&lt;0,1,0))</x:f>
        <x:v>0</x:v>
      </x:c>
      <x:c r="J204" s="1"/>
      <x:c r="K204" s="1"/>
    </x:row>
    <x:row r="205" ht="30" customHeight="1">
      <x:c r="A205" s="1"/>
      <x:c r="B205" s="1"/>
      <x:c r="C205" s="64" t="str">
        <x:v>Forward EV / EBITDA input outside bounds</x:v>
      </x:c>
      <x:c r="D205" s="8"/>
      <x:c r="E205" s="75" t="n">
        <x:f>IF(COUNT(D43)=0,1,IF(D43&lt;0,1,0))</x:f>
        <x:v>0</x:v>
      </x:c>
      <x:c r="F205" s="75" t="n">
        <x:f>IF(COUNT(D43)=0,1,IF(D43&lt;0,1,0))</x:f>
        <x:v>0</x:v>
      </x:c>
      <x:c r="G205" s="75" t="n">
        <x:f>IF(COUNT(D43)=0,1,IF(D43&lt;0,1,0))</x:f>
        <x:v>0</x:v>
      </x:c>
      <x:c r="H205" s="75" t="n">
        <x:f>IF(COUNT(D43)=0,1,IF(D43&lt;0,1,0))</x:f>
        <x:v>0</x:v>
      </x:c>
      <x:c r="I205" s="75" t="n">
        <x:f>IF(COUNT(D43)=0,1,IF(D43&lt;0,1,0))</x:f>
        <x:v>0</x:v>
      </x:c>
      <x:c r="J205" s="1"/>
      <x:c r="K205" s="1"/>
    </x:row>
    <x:row r="206" ht="30" customHeight="1">
      <x:c r="A206" s="1"/>
      <x:c r="B206" s="1"/>
      <x:c r="C206" s="64" t="str">
        <x:v>Terminal valuation assumptions invalid</x:v>
      </x:c>
      <x:c r="D206" s="8"/>
      <x:c r="E206" s="75" t="n">
        <x:f>IF(D40&lt;=D41,1,IF(D42&lt;=0,1,IF(D41&gt;D42,1,0)))</x:f>
        <x:v>0</x:v>
      </x:c>
      <x:c r="F206" s="75" t="n">
        <x:f>IF(D40&lt;=D41,1,IF(D42&lt;=0,1,IF(D41&gt;D42,1,0)))</x:f>
        <x:v>0</x:v>
      </x:c>
      <x:c r="G206" s="75" t="n">
        <x:f>IF(D40&lt;=D41,1,IF(D42&lt;=0,1,IF(D41&gt;D42,1,0)))</x:f>
        <x:v>0</x:v>
      </x:c>
      <x:c r="H206" s="75" t="n">
        <x:f>IF(D40&lt;=D41,1,IF(D42&lt;=0,1,IF(D41&gt;D42,1,0)))</x:f>
        <x:v>0</x:v>
      </x:c>
      <x:c r="I206" s="75" t="n">
        <x:f>IF(D40&lt;=D41,1,IF(D42&lt;=0,1,IF(D41&gt;D42,1,0)))</x:f>
        <x:v>0</x:v>
      </x:c>
      <x:c r="J206" s="1"/>
      <x:c r="K206" s="1"/>
    </x:row>
    <x:row r="207" ht="30" customHeight="1">
      <x:c r="A207" s="1"/>
      <x:c r="B207" s="1"/>
      <x:c r="C207" s="64"/>
      <x:c r="D207" s="8"/>
      <x:c r="E207" s="8"/>
      <x:c r="F207" s="8"/>
      <x:c r="G207" s="8"/>
      <x:c r="H207" s="8"/>
      <x:c r="I207" s="8"/>
      <x:c r="J207" s="1"/>
      <x:c r="K207" s="1"/>
    </x:row>
    <x:row r="208" ht="30" customHeight="1">
      <x:c r="A208" s="1"/>
      <x:c r="B208" s="1"/>
      <x:c r="C208" s="64"/>
      <x:c r="D208" s="8"/>
      <x:c r="E208" s="8"/>
      <x:c r="F208" s="8"/>
      <x:c r="G208" s="8"/>
      <x:c r="H208" s="8"/>
      <x:c r="I208" s="8"/>
      <x:c r="J208" s="1"/>
      <x:c r="K208" s="1"/>
    </x:row>
    <x:row r="209" ht="30" customHeight="1">
      <x:c r="A209" s="1"/>
      <x:c r="B209" s="1"/>
      <x:c r="C209" s="64"/>
      <x:c r="D209" s="8"/>
      <x:c r="E209" s="8"/>
      <x:c r="F209" s="8"/>
      <x:c r="G209" s="8"/>
      <x:c r="H209" s="8"/>
      <x:c r="I209" s="8"/>
      <x:c r="J209" s="1"/>
      <x:c r="K209" s="1"/>
    </x:row>
    <x:row r="210" ht="30" customHeight="1">
      <x:c r="A210" s="1"/>
      <x:c r="B210" s="1"/>
      <x:c r="C210" s="64"/>
      <x:c r="D210" s="8"/>
      <x:c r="E210" s="8"/>
      <x:c r="F210" s="8"/>
      <x:c r="G210" s="8"/>
      <x:c r="H210" s="8"/>
      <x:c r="I210" s="8"/>
      <x:c r="J210" s="1"/>
      <x:c r="K210" s="1"/>
    </x:row>
    <x:row r="211" ht="30" customHeight="1">
      <x:c r="C211" s="64"/>
      <x:c r="D211" s="63"/>
      <x:c r="E211" s="63"/>
      <x:c r="F211" s="63"/>
      <x:c r="G211" s="63"/>
      <x:c r="H211" s="63"/>
      <x:c r="I211" s="63"/>
    </x:row>
    <x:row r="212" ht="30" customHeight="1">
      <x:c r="C212" s="64"/>
      <x:c r="D212" s="63"/>
      <x:c r="E212" s="63"/>
      <x:c r="F212" s="63"/>
      <x:c r="G212" s="63"/>
      <x:c r="H212" s="63"/>
      <x:c r="I212" s="63"/>
    </x:row>
    <x:row r="213" ht="30" customHeight="1">
      <x:c r="C213" s="64"/>
      <x:c r="D213" s="63"/>
      <x:c r="E213" s="63"/>
      <x:c r="F213" s="63"/>
      <x:c r="G213" s="63"/>
      <x:c r="H213" s="63"/>
      <x:c r="I213" s="63"/>
    </x:row>
    <x:row r="214" ht="30" customHeight="1">
      <x:c r="C214" s="64"/>
      <x:c r="D214" s="63"/>
      <x:c r="E214" s="63"/>
      <x:c r="F214" s="63"/>
      <x:c r="G214" s="63"/>
      <x:c r="H214" s="63"/>
      <x:c r="I214" s="63"/>
    </x:row>
    <x:row r="215" ht="30" customHeight="1">
      <x:c r="C215" s="64"/>
      <x:c r="D215" s="63"/>
      <x:c r="E215" s="63"/>
      <x:c r="F215" s="63"/>
      <x:c r="G215" s="63"/>
      <x:c r="H215" s="63"/>
      <x:c r="I215" s="63"/>
    </x:row>
    <x:row r="216" ht="30" customHeight="1">
      <x:c r="C216" s="64"/>
      <x:c r="D216" s="63"/>
      <x:c r="E216" s="63"/>
      <x:c r="F216" s="63"/>
      <x:c r="G216" s="63"/>
      <x:c r="H216" s="63"/>
      <x:c r="I216" s="63"/>
    </x:row>
    <x:row r="217" ht="30" customHeight="1">
      <x:c r="C217" s="64"/>
      <x:c r="D217" s="63"/>
      <x:c r="E217" s="63"/>
      <x:c r="F217" s="63"/>
      <x:c r="G217" s="63"/>
      <x:c r="H217" s="63"/>
      <x:c r="I217" s="63"/>
    </x:row>
    <x:row r="218" ht="30" customHeight="1">
      <x:c r="C218" s="64"/>
      <x:c r="D218" s="63"/>
      <x:c r="E218" s="63"/>
      <x:c r="F218" s="63"/>
      <x:c r="G218" s="63"/>
      <x:c r="H218" s="63"/>
      <x:c r="I218" s="63"/>
    </x:row>
    <x:row r="219" ht="30" customHeight="1">
      <x:c r="C219" s="64"/>
      <x:c r="D219" s="63"/>
      <x:c r="E219" s="63"/>
      <x:c r="F219" s="63"/>
      <x:c r="G219" s="63"/>
      <x:c r="H219" s="63"/>
      <x:c r="I219" s="63"/>
    </x:row>
    <x:row r="220" ht="30" customHeight="1">
      <x:c r="C220" s="64"/>
      <x:c r="D220" s="63"/>
      <x:c r="E220" s="63"/>
      <x:c r="F220" s="63"/>
      <x:c r="G220" s="63"/>
      <x:c r="H220" s="63"/>
      <x:c r="I220" s="63"/>
    </x:row>
    <x:row r="221" ht="30" customHeight="1">
      <x:c r="C221" s="64"/>
      <x:c r="D221" s="63"/>
      <x:c r="E221" s="63"/>
      <x:c r="F221" s="63"/>
      <x:c r="G221" s="63"/>
      <x:c r="H221" s="63"/>
      <x:c r="I221" s="63"/>
    </x:row>
    <x:row r="222" ht="30" customHeight="1">
      <x:c r="C222" s="64"/>
      <x:c r="D222" s="63"/>
      <x:c r="E222" s="63"/>
      <x:c r="F222" s="63"/>
      <x:c r="G222" s="63"/>
      <x:c r="H222" s="63"/>
      <x:c r="I222" s="63"/>
    </x:row>
    <x:row r="223" ht="30" customHeight="1">
      <x:c r="C223" s="64"/>
      <x:c r="D223" s="63"/>
      <x:c r="E223" s="63"/>
      <x:c r="F223" s="63"/>
      <x:c r="G223" s="63"/>
      <x:c r="H223" s="63"/>
      <x:c r="I223" s="63"/>
    </x:row>
    <x:row r="224" ht="30" customHeight="1">
      <x:c r="C224" s="64"/>
      <x:c r="D224" s="63"/>
      <x:c r="E224" s="63"/>
      <x:c r="F224" s="63"/>
      <x:c r="G224" s="63"/>
      <x:c r="H224" s="63"/>
      <x:c r="I224" s="63"/>
    </x:row>
    <x:row r="225" ht="30" customHeight="1">
      <x:c r="C225" s="64"/>
      <x:c r="D225" s="63"/>
      <x:c r="E225" s="63"/>
      <x:c r="F225" s="63"/>
      <x:c r="G225" s="63"/>
      <x:c r="H225" s="63"/>
      <x:c r="I225" s="63"/>
    </x:row>
    <x:row r="226" ht="30" customHeight="1">
      <x:c r="C226" s="64"/>
      <x:c r="D226" s="63"/>
      <x:c r="E226" s="63"/>
      <x:c r="F226" s="63"/>
      <x:c r="G226" s="63"/>
      <x:c r="H226" s="63"/>
      <x:c r="I226" s="63"/>
    </x:row>
    <x:row r="227" ht="30" customHeight="1">
      <x:c r="C227" s="64"/>
      <x:c r="D227" s="63"/>
      <x:c r="E227" s="63"/>
      <x:c r="F227" s="63"/>
      <x:c r="G227" s="63"/>
      <x:c r="H227" s="63"/>
      <x:c r="I227" s="63"/>
    </x:row>
    <x:row r="228" ht="30" customHeight="1">
      <x:c r="C228" s="64"/>
      <x:c r="D228" s="63"/>
      <x:c r="E228" s="63"/>
      <x:c r="F228" s="63"/>
      <x:c r="G228" s="63"/>
      <x:c r="H228" s="63"/>
      <x:c r="I228" s="63"/>
    </x:row>
    <x:row r="229" ht="30" customHeight="1">
      <x:c r="C229" s="64"/>
      <x:c r="D229" s="63"/>
      <x:c r="E229" s="63"/>
      <x:c r="F229" s="63"/>
      <x:c r="G229" s="63"/>
      <x:c r="H229" s="63"/>
      <x:c r="I229" s="63"/>
    </x:row>
    <x:row r="230" ht="30" customHeight="1">
      <x:c r="C230" s="64"/>
      <x:c r="D230" s="63"/>
      <x:c r="E230" s="63"/>
      <x:c r="F230" s="63"/>
      <x:c r="G230" s="63"/>
      <x:c r="H230" s="63"/>
      <x:c r="I230" s="63"/>
    </x:row>
    <x:row r="231" ht="30" customHeight="1">
      <x:c r="C231" s="64"/>
      <x:c r="D231" s="63"/>
      <x:c r="E231" s="63"/>
      <x:c r="F231" s="63"/>
      <x:c r="G231" s="63"/>
      <x:c r="H231" s="63"/>
      <x:c r="I231" s="63"/>
    </x:row>
    <x:row r="232" ht="30" customHeight="1">
      <x:c r="C232" s="64"/>
      <x:c r="D232" s="63"/>
      <x:c r="E232" s="63"/>
      <x:c r="F232" s="63"/>
      <x:c r="G232" s="63"/>
      <x:c r="H232" s="63"/>
      <x:c r="I232" s="63"/>
    </x:row>
    <x:row r="233" ht="30" customHeight="1">
      <x:c r="C233" s="64"/>
      <x:c r="D233" s="63"/>
      <x:c r="E233" s="63"/>
      <x:c r="F233" s="63"/>
      <x:c r="G233" s="63"/>
      <x:c r="H233" s="63"/>
      <x:c r="I233" s="63"/>
    </x:row>
    <x:row r="234" ht="30" customHeight="1">
      <x:c r="C234" s="64"/>
      <x:c r="D234" s="63"/>
      <x:c r="E234" s="63"/>
      <x:c r="F234" s="63"/>
      <x:c r="G234" s="63"/>
      <x:c r="H234" s="63"/>
      <x:c r="I234" s="63"/>
    </x:row>
    <x:row r="235" ht="30" customHeight="1">
      <x:c r="C235" s="64"/>
      <x:c r="D235" s="63"/>
      <x:c r="E235" s="63"/>
      <x:c r="F235" s="63"/>
      <x:c r="G235" s="63"/>
      <x:c r="H235" s="63"/>
      <x:c r="I235" s="63"/>
    </x:row>
    <x:row r="236" ht="30" customHeight="1">
      <x:c r="C236" s="64"/>
      <x:c r="D236" s="63"/>
      <x:c r="E236" s="63"/>
      <x:c r="F236" s="63"/>
      <x:c r="G236" s="63"/>
      <x:c r="H236" s="63"/>
      <x:c r="I236" s="63"/>
    </x:row>
    <x:row r="237" ht="30" customHeight="1">
      <x:c r="C237" s="64"/>
      <x:c r="D237" s="63"/>
      <x:c r="E237" s="63"/>
      <x:c r="F237" s="63"/>
      <x:c r="G237" s="63"/>
      <x:c r="H237" s="63"/>
      <x:c r="I237" s="63"/>
    </x:row>
    <x:row r="238" ht="30" customHeight="1">
      <x:c r="C238" s="64"/>
      <x:c r="D238" s="63"/>
      <x:c r="E238" s="63"/>
      <x:c r="F238" s="63"/>
      <x:c r="G238" s="63"/>
      <x:c r="H238" s="63"/>
      <x:c r="I238" s="63"/>
    </x:row>
    <x:row r="239" ht="30" customHeight="1">
      <x:c r="C239" s="64"/>
      <x:c r="D239" s="63"/>
      <x:c r="E239" s="63"/>
      <x:c r="F239" s="63"/>
      <x:c r="G239" s="63"/>
      <x:c r="H239" s="63"/>
      <x:c r="I239" s="63"/>
    </x:row>
    <x:row r="240" ht="30" customHeight="1">
      <x:c r="C240" s="64"/>
      <x:c r="D240" s="63"/>
      <x:c r="E240" s="63"/>
      <x:c r="F240" s="63"/>
      <x:c r="G240" s="63"/>
      <x:c r="H240" s="63"/>
      <x:c r="I240" s="63"/>
    </x:row>
    <x:row r="241" ht="30" customHeight="1">
      <x:c r="C241" s="64"/>
      <x:c r="D241" s="63"/>
      <x:c r="E241" s="63"/>
      <x:c r="F241" s="63"/>
      <x:c r="G241" s="63"/>
      <x:c r="H241" s="63"/>
      <x:c r="I241" s="63"/>
    </x:row>
    <x:row r="242" ht="30" customHeight="1">
      <x:c r="C242" s="64"/>
      <x:c r="D242" s="63"/>
      <x:c r="E242" s="63"/>
      <x:c r="F242" s="63"/>
      <x:c r="G242" s="63"/>
      <x:c r="H242" s="63"/>
      <x:c r="I242" s="63"/>
    </x:row>
    <x:row r="243" ht="30" customHeight="1">
      <x:c r="C243" s="64"/>
      <x:c r="D243" s="63"/>
      <x:c r="E243" s="63"/>
      <x:c r="F243" s="63"/>
      <x:c r="G243" s="63"/>
      <x:c r="H243" s="63"/>
      <x:c r="I243" s="63"/>
    </x:row>
    <x:row r="244" ht="30" customHeight="1">
      <x:c r="C244" s="64"/>
      <x:c r="D244" s="63"/>
      <x:c r="E244" s="63"/>
      <x:c r="F244" s="63"/>
      <x:c r="G244" s="63"/>
      <x:c r="H244" s="63"/>
      <x:c r="I244" s="63"/>
    </x:row>
    <x:row r="245" ht="30" customHeight="1">
      <x:c r="C245" s="64"/>
      <x:c r="D245" s="63"/>
      <x:c r="E245" s="63"/>
      <x:c r="F245" s="63"/>
      <x:c r="G245" s="63"/>
      <x:c r="H245" s="63"/>
      <x:c r="I245" s="63"/>
    </x:row>
    <x:row r="246" ht="30" customHeight="1">
      <x:c r="C246" s="64"/>
      <x:c r="D246" s="63"/>
      <x:c r="E246" s="63"/>
      <x:c r="F246" s="63"/>
      <x:c r="G246" s="63"/>
      <x:c r="H246" s="63"/>
      <x:c r="I246" s="63"/>
    </x:row>
    <x:row r="247" ht="30" customHeight="1">
      <x:c r="C247" s="64"/>
      <x:c r="D247" s="63"/>
      <x:c r="E247" s="63"/>
      <x:c r="F247" s="63"/>
      <x:c r="G247" s="63"/>
      <x:c r="H247" s="63"/>
      <x:c r="I247" s="63"/>
    </x:row>
    <x:row r="248" ht="30" customHeight="1">
      <x:c r="C248" s="64"/>
      <x:c r="D248" s="63"/>
      <x:c r="E248" s="63"/>
      <x:c r="F248" s="63"/>
      <x:c r="G248" s="63"/>
      <x:c r="H248" s="63"/>
      <x:c r="I248" s="63"/>
    </x:row>
    <x:row r="249" ht="30" customHeight="1">
      <x:c r="C249" s="64"/>
      <x:c r="D249" s="63"/>
      <x:c r="E249" s="63"/>
      <x:c r="F249" s="63"/>
      <x:c r="G249" s="63"/>
      <x:c r="H249" s="63"/>
      <x:c r="I249" s="63"/>
    </x:row>
    <x:row r="250" ht="30" customHeight="1">
      <x:c r="C250" s="64"/>
      <x:c r="D250" s="63"/>
      <x:c r="E250" s="63"/>
      <x:c r="F250" s="63"/>
      <x:c r="G250" s="63"/>
      <x:c r="H250" s="63"/>
      <x:c r="I250" s="63"/>
    </x:row>
    <x:row r="251" ht="30" customHeight="1">
      <x:c r="C251" s="64"/>
      <x:c r="D251" s="63"/>
      <x:c r="E251" s="63"/>
      <x:c r="F251" s="63"/>
      <x:c r="G251" s="63"/>
      <x:c r="H251" s="63"/>
      <x:c r="I251" s="63"/>
    </x:row>
    <x:row r="252" ht="30" customHeight="1">
      <x:c r="C252" s="64"/>
      <x:c r="D252" s="63"/>
      <x:c r="E252" s="63"/>
      <x:c r="F252" s="63"/>
      <x:c r="G252" s="63"/>
      <x:c r="H252" s="63"/>
      <x:c r="I252" s="63"/>
    </x:row>
    <x:row r="253" ht="30" customHeight="1">
      <x:c r="C253" s="64"/>
      <x:c r="D253" s="63"/>
      <x:c r="E253" s="63"/>
      <x:c r="F253" s="63"/>
      <x:c r="G253" s="63"/>
      <x:c r="H253" s="63"/>
      <x:c r="I253" s="63"/>
    </x:row>
    <x:row r="254" ht="30" customHeight="1">
      <x:c r="C254" s="64"/>
      <x:c r="D254" s="63"/>
      <x:c r="E254" s="63"/>
      <x:c r="F254" s="63"/>
      <x:c r="G254" s="63"/>
      <x:c r="H254" s="63"/>
      <x:c r="I254" s="63"/>
    </x:row>
    <x:row r="255" ht="30" customHeight="1">
      <x:c r="C255" s="64"/>
      <x:c r="D255" s="63"/>
      <x:c r="E255" s="63"/>
      <x:c r="F255" s="63"/>
      <x:c r="G255" s="63"/>
      <x:c r="H255" s="63"/>
      <x:c r="I255" s="63"/>
    </x:row>
    <x:row r="256" ht="30" customHeight="1">
      <x:c r="C256" s="64"/>
      <x:c r="D256" s="63"/>
      <x:c r="E256" s="63"/>
      <x:c r="F256" s="63"/>
      <x:c r="G256" s="63"/>
      <x:c r="H256" s="63"/>
      <x:c r="I256" s="63"/>
    </x:row>
    <x:row r="257" ht="30" customHeight="1">
      <x:c r="C257" s="64"/>
      <x:c r="D257" s="63"/>
      <x:c r="E257" s="63"/>
      <x:c r="F257" s="63"/>
      <x:c r="G257" s="63"/>
      <x:c r="H257" s="63"/>
      <x:c r="I257" s="63"/>
    </x:row>
    <x:row r="258" ht="30" customHeight="1">
      <x:c r="C258" s="64"/>
      <x:c r="D258" s="63"/>
      <x:c r="E258" s="63"/>
      <x:c r="F258" s="63"/>
      <x:c r="G258" s="63"/>
      <x:c r="H258" s="63"/>
      <x:c r="I258" s="63"/>
    </x:row>
    <x:row r="259" ht="30" customHeight="1">
      <x:c r="C259" s="64"/>
      <x:c r="D259" s="63"/>
      <x:c r="E259" s="63"/>
      <x:c r="F259" s="63"/>
      <x:c r="G259" s="63"/>
      <x:c r="H259" s="63"/>
      <x:c r="I259" s="63"/>
    </x:row>
    <x:row r="260" ht="30" customHeight="1">
      <x:c r="C260" s="64"/>
      <x:c r="D260" s="63"/>
      <x:c r="E260" s="63"/>
      <x:c r="F260" s="63"/>
      <x:c r="G260" s="63"/>
      <x:c r="H260" s="63"/>
      <x:c r="I260" s="63"/>
    </x:row>
    <x:row r="261" ht="30" customHeight="1">
      <x:c r="C261" s="64"/>
      <x:c r="D261" s="63"/>
      <x:c r="E261" s="63"/>
      <x:c r="F261" s="63"/>
      <x:c r="G261" s="63"/>
      <x:c r="H261" s="63"/>
      <x:c r="I261" s="63"/>
    </x:row>
    <x:row r="262" ht="30" customHeight="1">
      <x:c r="C262" s="64"/>
      <x:c r="D262" s="63"/>
      <x:c r="E262" s="63"/>
      <x:c r="F262" s="63"/>
      <x:c r="G262" s="63"/>
      <x:c r="H262" s="63"/>
      <x:c r="I262" s="63"/>
    </x:row>
    <x:row r="263" ht="30" customHeight="1">
      <x:c r="C263" s="64"/>
      <x:c r="D263" s="63"/>
      <x:c r="E263" s="63"/>
      <x:c r="F263" s="63"/>
      <x:c r="G263" s="63"/>
      <x:c r="H263" s="63"/>
      <x:c r="I263" s="63"/>
    </x:row>
    <x:row r="264" ht="30" customHeight="1">
      <x:c r="C264" s="64"/>
      <x:c r="D264" s="63"/>
      <x:c r="E264" s="63"/>
      <x:c r="F264" s="63"/>
      <x:c r="G264" s="63"/>
      <x:c r="H264" s="63"/>
      <x:c r="I264" s="63"/>
    </x:row>
    <x:row r="265" ht="30" customHeight="1">
      <x:c r="C265" s="64"/>
      <x:c r="D265" s="63"/>
      <x:c r="E265" s="63"/>
      <x:c r="F265" s="63"/>
      <x:c r="G265" s="63"/>
      <x:c r="H265" s="63"/>
      <x:c r="I265" s="63"/>
    </x:row>
    <x:row r="266" ht="30" customHeight="1">
      <x:c r="C266" s="64"/>
      <x:c r="D266" s="63"/>
      <x:c r="E266" s="63"/>
      <x:c r="F266" s="63"/>
      <x:c r="G266" s="63"/>
      <x:c r="H266" s="63"/>
      <x:c r="I266" s="63"/>
    </x:row>
    <x:row r="267" ht="30" customHeight="1">
      <x:c r="C267" s="64"/>
      <x:c r="D267" s="63"/>
      <x:c r="E267" s="63"/>
      <x:c r="F267" s="63"/>
      <x:c r="G267" s="63"/>
      <x:c r="H267" s="63"/>
      <x:c r="I267" s="63"/>
    </x:row>
    <x:row r="268" ht="30" customHeight="1">
      <x:c r="C268" s="64"/>
      <x:c r="D268" s="63"/>
      <x:c r="E268" s="63"/>
      <x:c r="F268" s="63"/>
      <x:c r="G268" s="63"/>
      <x:c r="H268" s="63"/>
      <x:c r="I268" s="63"/>
    </x:row>
    <x:row r="269" ht="30" customHeight="1">
      <x:c r="C269" s="64"/>
      <x:c r="D269" s="63"/>
      <x:c r="E269" s="63"/>
      <x:c r="F269" s="63"/>
      <x:c r="G269" s="63"/>
      <x:c r="H269" s="63"/>
      <x:c r="I269" s="63"/>
    </x:row>
    <x:row r="270" ht="30" customHeight="1">
      <x:c r="C270" s="64"/>
      <x:c r="D270" s="63"/>
      <x:c r="E270" s="63"/>
      <x:c r="F270" s="63"/>
      <x:c r="G270" s="63"/>
      <x:c r="H270" s="63"/>
      <x:c r="I270" s="63"/>
    </x:row>
    <x:row r="271" ht="30" customHeight="1">
      <x:c r="C271" s="64"/>
      <x:c r="D271" s="63"/>
      <x:c r="E271" s="63"/>
      <x:c r="F271" s="63"/>
      <x:c r="G271" s="63"/>
      <x:c r="H271" s="63"/>
      <x:c r="I271" s="63"/>
    </x:row>
    <x:row r="272" ht="30" customHeight="1">
      <x:c r="C272" s="64"/>
      <x:c r="D272" s="63"/>
      <x:c r="E272" s="63"/>
      <x:c r="F272" s="63"/>
      <x:c r="G272" s="63"/>
      <x:c r="H272" s="63"/>
      <x:c r="I272" s="63"/>
    </x:row>
    <x:row r="273" ht="30" customHeight="1">
      <x:c r="C273" s="64"/>
      <x:c r="D273" s="63"/>
      <x:c r="E273" s="63"/>
      <x:c r="F273" s="63"/>
      <x:c r="G273" s="63"/>
      <x:c r="H273" s="63"/>
      <x:c r="I273" s="63"/>
    </x:row>
    <x:row r="274" ht="30" customHeight="1">
      <x:c r="C274" s="64"/>
      <x:c r="D274" s="63"/>
      <x:c r="E274" s="63"/>
      <x:c r="F274" s="63"/>
      <x:c r="G274" s="63"/>
      <x:c r="H274" s="63"/>
      <x:c r="I274" s="63"/>
    </x:row>
    <x:row r="275" ht="30" customHeight="1">
      <x:c r="C275" s="64"/>
      <x:c r="D275" s="63"/>
      <x:c r="E275" s="63"/>
      <x:c r="F275" s="63"/>
      <x:c r="G275" s="63"/>
      <x:c r="H275" s="63"/>
      <x:c r="I275" s="63"/>
    </x:row>
    <x:row r="276" ht="30" customHeight="1">
      <x:c r="C276" s="64"/>
      <x:c r="D276" s="63"/>
      <x:c r="E276" s="63"/>
      <x:c r="F276" s="63"/>
      <x:c r="G276" s="63"/>
      <x:c r="H276" s="63"/>
      <x:c r="I276" s="63"/>
    </x:row>
    <x:row r="277" ht="30" customHeight="1">
      <x:c r="C277" s="64"/>
      <x:c r="D277" s="63"/>
      <x:c r="E277" s="63"/>
      <x:c r="F277" s="63"/>
      <x:c r="G277" s="63"/>
      <x:c r="H277" s="63"/>
      <x:c r="I277" s="63"/>
    </x:row>
    <x:row r="278" ht="30" customHeight="1">
      <x:c r="C278" s="64"/>
      <x:c r="D278" s="63"/>
      <x:c r="E278" s="63"/>
      <x:c r="F278" s="63"/>
      <x:c r="G278" s="63"/>
      <x:c r="H278" s="63"/>
      <x:c r="I278" s="63"/>
    </x:row>
    <x:row r="279" ht="30" customHeight="1">
      <x:c r="C279" s="64"/>
      <x:c r="D279" s="63"/>
      <x:c r="E279" s="63"/>
      <x:c r="F279" s="63"/>
      <x:c r="G279" s="63"/>
      <x:c r="H279" s="63"/>
      <x:c r="I279" s="63"/>
    </x:row>
    <x:row r="280" ht="30" customHeight="1">
      <x:c r="C280" s="64"/>
      <x:c r="D280" s="63"/>
      <x:c r="E280" s="63"/>
      <x:c r="F280" s="63"/>
      <x:c r="G280" s="63"/>
      <x:c r="H280" s="63"/>
      <x:c r="I280" s="63"/>
    </x:row>
    <x:row r="281" ht="30" customHeight="1">
      <x:c r="C281" s="64"/>
      <x:c r="D281" s="63"/>
      <x:c r="E281" s="63"/>
      <x:c r="F281" s="63"/>
      <x:c r="G281" s="63"/>
      <x:c r="H281" s="63"/>
      <x:c r="I281" s="63"/>
    </x:row>
    <x:row r="282" ht="30" customHeight="1">
      <x:c r="C282" s="64"/>
      <x:c r="D282" s="63"/>
      <x:c r="E282" s="63"/>
      <x:c r="F282" s="63"/>
      <x:c r="G282" s="63"/>
      <x:c r="H282" s="63"/>
      <x:c r="I282" s="63"/>
    </x:row>
    <x:row r="283" ht="30" customHeight="1">
      <x:c r="C283" s="64"/>
      <x:c r="D283" s="63"/>
      <x:c r="E283" s="63"/>
      <x:c r="F283" s="63"/>
      <x:c r="G283" s="63"/>
      <x:c r="H283" s="63"/>
      <x:c r="I283" s="63"/>
    </x:row>
    <x:row r="284" ht="30" customHeight="1">
      <x:c r="C284" s="64"/>
      <x:c r="D284" s="63"/>
      <x:c r="E284" s="63"/>
      <x:c r="F284" s="63"/>
      <x:c r="G284" s="63"/>
      <x:c r="H284" s="63"/>
      <x:c r="I284" s="63"/>
    </x:row>
    <x:row r="285" ht="30" customHeight="1">
      <x:c r="C285" s="64"/>
      <x:c r="D285" s="63"/>
      <x:c r="E285" s="63"/>
      <x:c r="F285" s="63"/>
      <x:c r="G285" s="63"/>
      <x:c r="H285" s="63"/>
      <x:c r="I285" s="63"/>
    </x:row>
    <x:row r="286" ht="30" customHeight="1">
      <x:c r="C286" s="64"/>
      <x:c r="D286" s="63"/>
      <x:c r="E286" s="63"/>
      <x:c r="F286" s="63"/>
      <x:c r="G286" s="63"/>
      <x:c r="H286" s="63"/>
      <x:c r="I286" s="63"/>
    </x:row>
    <x:row r="287" ht="30" customHeight="1">
      <x:c r="C287" s="64"/>
      <x:c r="D287" s="63"/>
      <x:c r="E287" s="63"/>
      <x:c r="F287" s="63"/>
      <x:c r="G287" s="63"/>
      <x:c r="H287" s="63"/>
      <x:c r="I287" s="63"/>
    </x:row>
    <x:row r="288" ht="30" customHeight="1">
      <x:c r="C288" s="64"/>
      <x:c r="D288" s="63"/>
      <x:c r="E288" s="63"/>
      <x:c r="F288" s="63"/>
      <x:c r="G288" s="63"/>
      <x:c r="H288" s="63"/>
      <x:c r="I288" s="63"/>
    </x:row>
    <x:row r="289" ht="30" customHeight="1">
      <x:c r="C289" s="64"/>
      <x:c r="D289" s="63"/>
      <x:c r="E289" s="63"/>
      <x:c r="F289" s="63"/>
      <x:c r="G289" s="63"/>
      <x:c r="H289" s="63"/>
      <x:c r="I289" s="63"/>
    </x:row>
    <x:row r="290" ht="30" customHeight="1">
      <x:c r="C290" s="64"/>
      <x:c r="D290" s="63"/>
      <x:c r="E290" s="63"/>
      <x:c r="F290" s="63"/>
      <x:c r="G290" s="63"/>
      <x:c r="H290" s="63"/>
      <x:c r="I290" s="63"/>
    </x:row>
    <x:row r="291" ht="30" customHeight="1">
      <x:c r="C291" s="64"/>
      <x:c r="D291" s="63"/>
      <x:c r="E291" s="63"/>
      <x:c r="F291" s="63"/>
      <x:c r="G291" s="63"/>
      <x:c r="H291" s="63"/>
      <x:c r="I291" s="63"/>
    </x:row>
    <x:row r="292" ht="30" customHeight="1">
      <x:c r="C292" s="64"/>
      <x:c r="D292" s="63"/>
      <x:c r="E292" s="63"/>
      <x:c r="F292" s="63"/>
      <x:c r="G292" s="63"/>
      <x:c r="H292" s="63"/>
      <x:c r="I292" s="63"/>
    </x:row>
    <x:row r="293" ht="30" customHeight="1">
      <x:c r="C293" s="64"/>
      <x:c r="D293" s="63"/>
      <x:c r="E293" s="63"/>
      <x:c r="F293" s="63"/>
      <x:c r="G293" s="63"/>
      <x:c r="H293" s="63"/>
      <x:c r="I293" s="63"/>
    </x:row>
    <x:row r="294" ht="30" customHeight="1">
      <x:c r="C294" s="64"/>
      <x:c r="D294" s="63"/>
      <x:c r="E294" s="63"/>
      <x:c r="F294" s="63"/>
      <x:c r="G294" s="63"/>
      <x:c r="H294" s="63"/>
      <x:c r="I294" s="63"/>
    </x:row>
    <x:row r="295" ht="30" customHeight="1">
      <x:c r="C295" s="64"/>
      <x:c r="D295" s="63"/>
      <x:c r="E295" s="63"/>
      <x:c r="F295" s="63"/>
      <x:c r="G295" s="63"/>
      <x:c r="H295" s="63"/>
      <x:c r="I295" s="63"/>
    </x:row>
    <x:row r="296" ht="30" customHeight="1">
      <x:c r="C296" s="64"/>
      <x:c r="D296" s="63"/>
      <x:c r="E296" s="63"/>
      <x:c r="F296" s="63"/>
      <x:c r="G296" s="63"/>
      <x:c r="H296" s="63"/>
      <x:c r="I296" s="63"/>
    </x:row>
    <x:row r="297" ht="30" customHeight="1">
      <x:c r="C297" s="64"/>
      <x:c r="D297" s="63"/>
      <x:c r="E297" s="63"/>
      <x:c r="F297" s="63"/>
      <x:c r="G297" s="63"/>
      <x:c r="H297" s="63"/>
      <x:c r="I297" s="63"/>
    </x:row>
    <x:row r="298" ht="30" customHeight="1">
      <x:c r="C298" s="64"/>
      <x:c r="D298" s="63"/>
      <x:c r="E298" s="63"/>
      <x:c r="F298" s="63"/>
      <x:c r="G298" s="63"/>
      <x:c r="H298" s="63"/>
      <x:c r="I298" s="63"/>
    </x:row>
    <x:row r="299" ht="30" customHeight="1">
      <x:c r="C299" s="64"/>
      <x:c r="D299" s="63"/>
      <x:c r="E299" s="63"/>
      <x:c r="F299" s="63"/>
      <x:c r="G299" s="63"/>
      <x:c r="H299" s="63"/>
      <x:c r="I299" s="63"/>
    </x:row>
    <x:row r="300" ht="30" customHeight="1">
      <x:c r="C300" s="64"/>
      <x:c r="D300" s="63"/>
      <x:c r="E300" s="63"/>
      <x:c r="F300" s="63"/>
      <x:c r="G300" s="63"/>
      <x:c r="H300" s="63"/>
      <x:c r="I300" s="63"/>
    </x:row>
    <x:row r="301" ht="30" customHeight="1">
      <x:c r="C301" s="64"/>
      <x:c r="D301" s="63"/>
      <x:c r="E301" s="63"/>
      <x:c r="F301" s="63"/>
      <x:c r="G301" s="63"/>
      <x:c r="H301" s="63"/>
      <x:c r="I301" s="63"/>
    </x:row>
    <x:row r="302" ht="30" customHeight="1">
      <x:c r="C302" s="64"/>
      <x:c r="D302" s="63"/>
      <x:c r="E302" s="63"/>
      <x:c r="F302" s="63"/>
      <x:c r="G302" s="63"/>
      <x:c r="H302" s="63"/>
      <x:c r="I302" s="63"/>
    </x:row>
    <x:row r="303" ht="30" customHeight="1">
      <x:c r="C303" s="64"/>
      <x:c r="D303" s="63"/>
      <x:c r="E303" s="63"/>
      <x:c r="F303" s="63"/>
      <x:c r="G303" s="63"/>
      <x:c r="H303" s="63"/>
      <x:c r="I303" s="63"/>
    </x:row>
    <x:row r="304" ht="30" customHeight="1">
      <x:c r="C304" s="64"/>
      <x:c r="D304" s="63"/>
      <x:c r="E304" s="63"/>
      <x:c r="F304" s="63"/>
      <x:c r="G304" s="63"/>
      <x:c r="H304" s="63"/>
      <x:c r="I304" s="63"/>
    </x:row>
    <x:row r="305" ht="30" customHeight="1">
      <x:c r="C305" s="64"/>
      <x:c r="D305" s="63"/>
      <x:c r="E305" s="63"/>
      <x:c r="F305" s="63"/>
      <x:c r="G305" s="63"/>
      <x:c r="H305" s="63"/>
      <x:c r="I305" s="63"/>
    </x:row>
    <x:row r="306" ht="30" customHeight="1">
      <x:c r="C306" s="64"/>
      <x:c r="D306" s="63"/>
      <x:c r="E306" s="63"/>
      <x:c r="F306" s="63"/>
      <x:c r="G306" s="63"/>
      <x:c r="H306" s="63"/>
      <x:c r="I306" s="63"/>
    </x:row>
    <x:row r="307" ht="30" customHeight="1">
      <x:c r="C307" s="64"/>
      <x:c r="D307" s="63"/>
      <x:c r="E307" s="63"/>
      <x:c r="F307" s="63"/>
      <x:c r="G307" s="63"/>
      <x:c r="H307" s="63"/>
      <x:c r="I307" s="63"/>
    </x:row>
    <x:row r="308" ht="30" customHeight="1">
      <x:c r="C308" s="64"/>
      <x:c r="D308" s="63"/>
      <x:c r="E308" s="63"/>
      <x:c r="F308" s="63"/>
      <x:c r="G308" s="63"/>
      <x:c r="H308" s="63"/>
      <x:c r="I308" s="63"/>
    </x:row>
    <x:row r="309" ht="30" customHeight="1">
      <x:c r="C309" s="64"/>
      <x:c r="D309" s="63"/>
      <x:c r="E309" s="63"/>
      <x:c r="F309" s="63"/>
      <x:c r="G309" s="63"/>
      <x:c r="H309" s="63"/>
      <x:c r="I309" s="63"/>
    </x:row>
    <x:row r="310" ht="30" customHeight="1">
      <x:c r="C310" s="64"/>
      <x:c r="D310" s="63"/>
      <x:c r="E310" s="63"/>
      <x:c r="F310" s="63"/>
      <x:c r="G310" s="63"/>
      <x:c r="H310" s="63"/>
      <x:c r="I310" s="63"/>
    </x:row>
    <x:row r="311" ht="30" customHeight="1">
      <x:c r="C311" s="64"/>
      <x:c r="D311" s="63"/>
      <x:c r="E311" s="63"/>
      <x:c r="F311" s="63"/>
      <x:c r="G311" s="63"/>
      <x:c r="H311" s="63"/>
      <x:c r="I311" s="63"/>
    </x:row>
    <x:row r="312" ht="30" customHeight="1">
      <x:c r="C312" s="64"/>
      <x:c r="D312" s="63"/>
      <x:c r="E312" s="63"/>
      <x:c r="F312" s="63"/>
      <x:c r="G312" s="63"/>
      <x:c r="H312" s="63"/>
      <x:c r="I312" s="63"/>
    </x:row>
    <x:row r="313" ht="30" customHeight="1">
      <x:c r="C313" s="64"/>
      <x:c r="D313" s="63"/>
      <x:c r="E313" s="63"/>
      <x:c r="F313" s="63"/>
      <x:c r="G313" s="63"/>
      <x:c r="H313" s="63"/>
      <x:c r="I313" s="63"/>
    </x:row>
    <x:row r="314" ht="30" customHeight="1">
      <x:c r="C314" s="64"/>
      <x:c r="D314" s="63"/>
      <x:c r="E314" s="63"/>
      <x:c r="F314" s="63"/>
      <x:c r="G314" s="63"/>
      <x:c r="H314" s="63"/>
      <x:c r="I314" s="63"/>
    </x:row>
    <x:row r="315" ht="30" customHeight="1">
      <x:c r="C315" s="64"/>
      <x:c r="D315" s="63"/>
      <x:c r="E315" s="63"/>
      <x:c r="F315" s="63"/>
      <x:c r="G315" s="63"/>
      <x:c r="H315" s="63"/>
      <x:c r="I315" s="63"/>
    </x:row>
    <x:row r="316" ht="30" customHeight="1">
      <x:c r="C316" s="64"/>
      <x:c r="D316" s="63"/>
      <x:c r="E316" s="63"/>
      <x:c r="F316" s="63"/>
      <x:c r="G316" s="63"/>
      <x:c r="H316" s="63"/>
      <x:c r="I316" s="63"/>
    </x:row>
    <x:row r="317" ht="30" customHeight="1">
      <x:c r="C317" s="64"/>
      <x:c r="D317" s="63"/>
      <x:c r="E317" s="63"/>
      <x:c r="F317" s="63"/>
      <x:c r="G317" s="63"/>
      <x:c r="H317" s="63"/>
      <x:c r="I317" s="63"/>
    </x:row>
    <x:row r="318" ht="30" customHeight="1">
      <x:c r="C318" s="64"/>
      <x:c r="D318" s="63"/>
      <x:c r="E318" s="63"/>
      <x:c r="F318" s="63"/>
      <x:c r="G318" s="63"/>
      <x:c r="H318" s="63"/>
      <x:c r="I318" s="63"/>
    </x:row>
    <x:row r="319" ht="30" customHeight="1">
      <x:c r="C319" s="64"/>
      <x:c r="D319" s="63"/>
      <x:c r="E319" s="63"/>
      <x:c r="F319" s="63"/>
      <x:c r="G319" s="63"/>
      <x:c r="H319" s="63"/>
      <x:c r="I319" s="63"/>
    </x:row>
    <x:row r="320" ht="30" customHeight="1">
      <x:c r="C320" s="64"/>
      <x:c r="D320" s="63"/>
      <x:c r="E320" s="63"/>
      <x:c r="F320" s="63"/>
      <x:c r="G320" s="63"/>
      <x:c r="H320" s="63"/>
      <x:c r="I320" s="63"/>
    </x:row>
    <x:row r="321" ht="30" customHeight="1">
      <x:c r="C321" s="64"/>
      <x:c r="D321" s="63"/>
      <x:c r="E321" s="63"/>
      <x:c r="F321" s="63"/>
      <x:c r="G321" s="63"/>
      <x:c r="H321" s="63"/>
      <x:c r="I321" s="63"/>
    </x:row>
    <x:row r="322" ht="30" customHeight="1">
      <x:c r="C322" s="64"/>
      <x:c r="D322" s="63"/>
      <x:c r="E322" s="63"/>
      <x:c r="F322" s="63"/>
      <x:c r="G322" s="63"/>
      <x:c r="H322" s="63"/>
      <x:c r="I322" s="63"/>
    </x:row>
    <x:row r="323" ht="30" customHeight="1">
      <x:c r="C323" s="64"/>
      <x:c r="D323" s="63"/>
      <x:c r="E323" s="63"/>
      <x:c r="F323" s="63"/>
      <x:c r="G323" s="63"/>
      <x:c r="H323" s="63"/>
      <x:c r="I323" s="63"/>
    </x:row>
    <x:row r="324" ht="30" customHeight="1">
      <x:c r="C324" s="64"/>
      <x:c r="D324" s="63"/>
      <x:c r="E324" s="63"/>
      <x:c r="F324" s="63"/>
      <x:c r="G324" s="63"/>
      <x:c r="H324" s="63"/>
      <x:c r="I324" s="63"/>
    </x:row>
    <x:row r="325" ht="30" customHeight="1">
      <x:c r="C325" s="64"/>
      <x:c r="D325" s="63"/>
      <x:c r="E325" s="63"/>
      <x:c r="F325" s="63"/>
      <x:c r="G325" s="63"/>
      <x:c r="H325" s="63"/>
      <x:c r="I325" s="63"/>
    </x:row>
    <x:row r="326" ht="30" customHeight="1">
      <x:c r="C326" s="64"/>
      <x:c r="D326" s="63"/>
      <x:c r="E326" s="63"/>
      <x:c r="F326" s="63"/>
      <x:c r="G326" s="63"/>
      <x:c r="H326" s="63"/>
      <x:c r="I326" s="63"/>
    </x:row>
    <x:row r="327" ht="30" customHeight="1">
      <x:c r="C327" s="64"/>
      <x:c r="D327" s="63"/>
      <x:c r="E327" s="63"/>
      <x:c r="F327" s="63"/>
      <x:c r="G327" s="63"/>
      <x:c r="H327" s="63"/>
      <x:c r="I327" s="63"/>
    </x:row>
    <x:row r="328" ht="30" customHeight="1">
      <x:c r="C328" s="64"/>
      <x:c r="D328" s="63"/>
      <x:c r="E328" s="63"/>
      <x:c r="F328" s="63"/>
      <x:c r="G328" s="63"/>
      <x:c r="H328" s="63"/>
      <x:c r="I328" s="63"/>
    </x:row>
    <x:row r="329" ht="30" customHeight="1">
      <x:c r="C329" s="64"/>
      <x:c r="D329" s="63"/>
      <x:c r="E329" s="63"/>
      <x:c r="F329" s="63"/>
      <x:c r="G329" s="63"/>
      <x:c r="H329" s="63"/>
      <x:c r="I329" s="63"/>
    </x:row>
    <x:row r="330" ht="30" customHeight="1">
      <x:c r="C330" s="64"/>
      <x:c r="D330" s="63"/>
      <x:c r="E330" s="63"/>
      <x:c r="F330" s="63"/>
      <x:c r="G330" s="63"/>
      <x:c r="H330" s="63"/>
      <x:c r="I330" s="63"/>
    </x:row>
    <x:row r="331" ht="30" customHeight="1">
      <x:c r="C331" s="64"/>
      <x:c r="D331" s="63"/>
      <x:c r="E331" s="63"/>
      <x:c r="F331" s="63"/>
      <x:c r="G331" s="63"/>
      <x:c r="H331" s="63"/>
      <x:c r="I331" s="63"/>
    </x:row>
    <x:row r="332" ht="30" customHeight="1">
      <x:c r="C332" s="64"/>
      <x:c r="D332" s="63"/>
      <x:c r="E332" s="63"/>
      <x:c r="F332" s="63"/>
      <x:c r="G332" s="63"/>
      <x:c r="H332" s="63"/>
      <x:c r="I332" s="63"/>
    </x:row>
    <x:row r="333" ht="30" customHeight="1">
      <x:c r="C333" s="64"/>
      <x:c r="D333" s="63"/>
      <x:c r="E333" s="63"/>
      <x:c r="F333" s="63"/>
      <x:c r="G333" s="63"/>
      <x:c r="H333" s="63"/>
      <x:c r="I333" s="63"/>
    </x:row>
    <x:row r="334" ht="30" customHeight="1">
      <x:c r="C334" s="64"/>
      <x:c r="D334" s="63"/>
      <x:c r="E334" s="63"/>
      <x:c r="F334" s="63"/>
      <x:c r="G334" s="63"/>
      <x:c r="H334" s="63"/>
      <x:c r="I334" s="63"/>
    </x:row>
    <x:row r="335" ht="30" customHeight="1">
      <x:c r="C335" s="64"/>
      <x:c r="D335" s="63"/>
      <x:c r="E335" s="63"/>
      <x:c r="F335" s="63"/>
      <x:c r="G335" s="63"/>
      <x:c r="H335" s="63"/>
      <x:c r="I335" s="63"/>
    </x:row>
    <x:row r="336" ht="30" customHeight="1">
      <x:c r="C336" s="64"/>
      <x:c r="D336" s="63"/>
      <x:c r="E336" s="63"/>
      <x:c r="F336" s="63"/>
      <x:c r="G336" s="63"/>
      <x:c r="H336" s="63"/>
      <x:c r="I336" s="63"/>
    </x:row>
    <x:row r="337" ht="30" customHeight="1">
      <x:c r="C337" s="64"/>
      <x:c r="D337" s="63"/>
      <x:c r="E337" s="63"/>
      <x:c r="F337" s="63"/>
      <x:c r="G337" s="63"/>
      <x:c r="H337" s="63"/>
      <x:c r="I337" s="63"/>
    </x:row>
    <x:row r="338" ht="30" customHeight="1">
      <x:c r="C338" s="64"/>
      <x:c r="D338" s="63"/>
      <x:c r="E338" s="63"/>
      <x:c r="F338" s="63"/>
      <x:c r="G338" s="63"/>
      <x:c r="H338" s="63"/>
      <x:c r="I338" s="63"/>
    </x:row>
    <x:row r="339" ht="30" customHeight="1">
      <x:c r="C339" s="64"/>
      <x:c r="D339" s="63"/>
      <x:c r="E339" s="63"/>
      <x:c r="F339" s="63"/>
      <x:c r="G339" s="63"/>
      <x:c r="H339" s="63"/>
      <x:c r="I339" s="63"/>
    </x:row>
    <x:row r="340" ht="30" customHeight="1">
      <x:c r="C340" s="64"/>
      <x:c r="D340" s="63"/>
      <x:c r="E340" s="63"/>
      <x:c r="F340" s="63"/>
      <x:c r="G340" s="63"/>
      <x:c r="H340" s="63"/>
      <x:c r="I340" s="63"/>
    </x:row>
    <x:row r="341" ht="30" customHeight="1">
      <x:c r="C341" s="64"/>
      <x:c r="D341" s="63"/>
      <x:c r="E341" s="63"/>
      <x:c r="F341" s="63"/>
      <x:c r="G341" s="63"/>
      <x:c r="H341" s="63"/>
      <x:c r="I341" s="63"/>
    </x:row>
    <x:row r="342" ht="30" customHeight="1">
      <x:c r="C342" s="64"/>
      <x:c r="D342" s="63"/>
      <x:c r="E342" s="63"/>
      <x:c r="F342" s="63"/>
      <x:c r="G342" s="63"/>
      <x:c r="H342" s="63"/>
      <x:c r="I342" s="63"/>
    </x:row>
    <x:row r="343" ht="30" customHeight="1">
      <x:c r="C343" s="64"/>
      <x:c r="D343" s="63"/>
      <x:c r="E343" s="63"/>
      <x:c r="F343" s="63"/>
      <x:c r="G343" s="63"/>
      <x:c r="H343" s="63"/>
      <x:c r="I343" s="63"/>
    </x:row>
    <x:row r="344" ht="30" customHeight="1">
      <x:c r="C344" s="64"/>
      <x:c r="D344" s="63"/>
      <x:c r="E344" s="63"/>
      <x:c r="F344" s="63"/>
      <x:c r="G344" s="63"/>
      <x:c r="H344" s="63"/>
      <x:c r="I344" s="63"/>
    </x:row>
    <x:row r="345" ht="30" customHeight="1">
      <x:c r="C345" s="64"/>
      <x:c r="D345" s="63"/>
      <x:c r="E345" s="63"/>
      <x:c r="F345" s="63"/>
      <x:c r="G345" s="63"/>
      <x:c r="H345" s="63"/>
      <x:c r="I345" s="63"/>
    </x:row>
    <x:row r="346" ht="30" customHeight="1">
      <x:c r="C346" s="64"/>
      <x:c r="D346" s="63"/>
      <x:c r="E346" s="63"/>
      <x:c r="F346" s="63"/>
      <x:c r="G346" s="63"/>
      <x:c r="H346" s="63"/>
      <x:c r="I346" s="63"/>
    </x:row>
    <x:row r="347" ht="30" customHeight="1">
      <x:c r="C347" s="64"/>
      <x:c r="D347" s="63"/>
      <x:c r="E347" s="63"/>
      <x:c r="F347" s="63"/>
      <x:c r="G347" s="63"/>
      <x:c r="H347" s="63"/>
      <x:c r="I347" s="63"/>
    </x:row>
    <x:row r="348" ht="30" customHeight="1">
      <x:c r="C348" s="64"/>
      <x:c r="D348" s="63"/>
      <x:c r="E348" s="63"/>
      <x:c r="F348" s="63"/>
      <x:c r="G348" s="63"/>
      <x:c r="H348" s="63"/>
      <x:c r="I348" s="63"/>
    </x:row>
    <x:row r="349" ht="30" customHeight="1">
      <x:c r="C349" s="64"/>
      <x:c r="D349" s="63"/>
      <x:c r="E349" s="63"/>
      <x:c r="F349" s="63"/>
      <x:c r="G349" s="63"/>
      <x:c r="H349" s="63"/>
      <x:c r="I349" s="63"/>
    </x:row>
    <x:row r="350" ht="30" customHeight="1">
      <x:c r="C350" s="64"/>
      <x:c r="D350" s="63"/>
      <x:c r="E350" s="63"/>
      <x:c r="F350" s="63"/>
      <x:c r="G350" s="63"/>
      <x:c r="H350" s="63"/>
      <x:c r="I350" s="63"/>
    </x:row>
    <x:row r="351" ht="30" customHeight="1">
      <x:c r="C351" s="64"/>
      <x:c r="D351" s="63"/>
      <x:c r="E351" s="63"/>
      <x:c r="F351" s="63"/>
      <x:c r="G351" s="63"/>
      <x:c r="H351" s="63"/>
      <x:c r="I351" s="63"/>
    </x:row>
    <x:row r="352" ht="30" customHeight="1">
      <x:c r="C352" s="64"/>
      <x:c r="D352" s="63"/>
      <x:c r="E352" s="63"/>
      <x:c r="F352" s="63"/>
      <x:c r="G352" s="63"/>
      <x:c r="H352" s="63"/>
      <x:c r="I352" s="63"/>
    </x:row>
    <x:row r="353" ht="30" customHeight="1">
      <x:c r="C353" s="64"/>
      <x:c r="D353" s="63"/>
      <x:c r="E353" s="63"/>
      <x:c r="F353" s="63"/>
      <x:c r="G353" s="63"/>
      <x:c r="H353" s="63"/>
      <x:c r="I353" s="63"/>
    </x:row>
    <x:row r="354" ht="30" customHeight="1">
      <x:c r="C354" s="64"/>
      <x:c r="D354" s="63"/>
      <x:c r="E354" s="63"/>
      <x:c r="F354" s="63"/>
      <x:c r="G354" s="63"/>
      <x:c r="H354" s="63"/>
      <x:c r="I354" s="63"/>
    </x:row>
    <x:row r="355" ht="30" customHeight="1">
      <x:c r="C355" s="64"/>
      <x:c r="D355" s="63"/>
      <x:c r="E355" s="63"/>
      <x:c r="F355" s="63"/>
      <x:c r="G355" s="63"/>
      <x:c r="H355" s="63"/>
      <x:c r="I355" s="63"/>
    </x:row>
    <x:row r="356" ht="30" customHeight="1">
      <x:c r="C356" s="64"/>
      <x:c r="D356" s="63"/>
      <x:c r="E356" s="63"/>
      <x:c r="F356" s="63"/>
      <x:c r="G356" s="63"/>
      <x:c r="H356" s="63"/>
      <x:c r="I356" s="63"/>
    </x:row>
    <x:row r="357" ht="30" customHeight="1">
      <x:c r="C357" s="64"/>
      <x:c r="D357" s="63"/>
      <x:c r="E357" s="63"/>
      <x:c r="F357" s="63"/>
      <x:c r="G357" s="63"/>
      <x:c r="H357" s="63"/>
      <x:c r="I357" s="63"/>
    </x:row>
    <x:row r="358" ht="30" customHeight="1">
      <x:c r="C358" s="64"/>
      <x:c r="D358" s="63"/>
      <x:c r="E358" s="63"/>
      <x:c r="F358" s="63"/>
      <x:c r="G358" s="63"/>
      <x:c r="H358" s="63"/>
      <x:c r="I358" s="63"/>
    </x:row>
    <x:row r="359" ht="30" customHeight="1">
      <x:c r="C359" s="64"/>
      <x:c r="D359" s="63"/>
      <x:c r="E359" s="63"/>
      <x:c r="F359" s="63"/>
      <x:c r="G359" s="63"/>
      <x:c r="H359" s="63"/>
      <x:c r="I359" s="63"/>
    </x:row>
    <x:row r="360" ht="30" customHeight="1">
      <x:c r="C360" s="64"/>
      <x:c r="D360" s="63"/>
      <x:c r="E360" s="63"/>
      <x:c r="F360" s="63"/>
      <x:c r="G360" s="63"/>
      <x:c r="H360" s="63"/>
      <x:c r="I360" s="63"/>
    </x:row>
    <x:row r="361" ht="30" customHeight="1">
      <x:c r="C361" s="64"/>
      <x:c r="D361" s="63"/>
      <x:c r="E361" s="63"/>
      <x:c r="F361" s="63"/>
      <x:c r="G361" s="63"/>
      <x:c r="H361" s="63"/>
      <x:c r="I361" s="63"/>
    </x:row>
    <x:row r="362" ht="30" customHeight="1">
      <x:c r="C362" s="64"/>
      <x:c r="D362" s="63"/>
      <x:c r="E362" s="63"/>
      <x:c r="F362" s="63"/>
      <x:c r="G362" s="63"/>
      <x:c r="H362" s="63"/>
      <x:c r="I362" s="63"/>
    </x:row>
    <x:row r="363" ht="30" customHeight="1">
      <x:c r="C363" s="64"/>
      <x:c r="D363" s="63"/>
      <x:c r="E363" s="63"/>
      <x:c r="F363" s="63"/>
      <x:c r="G363" s="63"/>
      <x:c r="H363" s="63"/>
      <x:c r="I363" s="63"/>
    </x:row>
    <x:row r="364" ht="30" customHeight="1">
      <x:c r="C364" s="64"/>
      <x:c r="D364" s="63"/>
      <x:c r="E364" s="63"/>
      <x:c r="F364" s="63"/>
      <x:c r="G364" s="63"/>
      <x:c r="H364" s="63"/>
      <x:c r="I364" s="63"/>
    </x:row>
    <x:row r="365" ht="30" customHeight="1">
      <x:c r="C365" s="64"/>
      <x:c r="D365" s="63"/>
      <x:c r="E365" s="63"/>
      <x:c r="F365" s="63"/>
      <x:c r="G365" s="63"/>
      <x:c r="H365" s="63"/>
      <x:c r="I365" s="63"/>
    </x:row>
    <x:row r="366" ht="30" customHeight="1">
      <x:c r="C366" s="64"/>
      <x:c r="D366" s="63"/>
      <x:c r="E366" s="63"/>
      <x:c r="F366" s="63"/>
      <x:c r="G366" s="63"/>
      <x:c r="H366" s="63"/>
      <x:c r="I366" s="63"/>
    </x:row>
    <x:row r="367" ht="30" customHeight="1">
      <x:c r="C367" s="64"/>
      <x:c r="D367" s="63"/>
      <x:c r="E367" s="63"/>
      <x:c r="F367" s="63"/>
      <x:c r="G367" s="63"/>
      <x:c r="H367" s="63"/>
      <x:c r="I367" s="63"/>
    </x:row>
    <x:row r="368" ht="30" customHeight="1">
      <x:c r="C368" s="64"/>
      <x:c r="D368" s="63"/>
      <x:c r="E368" s="63"/>
      <x:c r="F368" s="63"/>
      <x:c r="G368" s="63"/>
      <x:c r="H368" s="63"/>
      <x:c r="I368" s="63"/>
    </x:row>
    <x:row r="369" ht="30" customHeight="1">
      <x:c r="C369" s="64"/>
      <x:c r="D369" s="63"/>
      <x:c r="E369" s="63"/>
      <x:c r="F369" s="63"/>
      <x:c r="G369" s="63"/>
      <x:c r="H369" s="63"/>
      <x:c r="I369" s="63"/>
    </x:row>
    <x:row r="370" ht="30" customHeight="1">
      <x:c r="C370" s="64"/>
      <x:c r="D370" s="63"/>
      <x:c r="E370" s="63"/>
      <x:c r="F370" s="63"/>
      <x:c r="G370" s="63"/>
      <x:c r="H370" s="63"/>
      <x:c r="I370" s="63"/>
    </x:row>
    <x:row r="371" ht="30" customHeight="1">
      <x:c r="C371" s="64"/>
      <x:c r="D371" s="63"/>
      <x:c r="E371" s="63"/>
      <x:c r="F371" s="63"/>
      <x:c r="G371" s="63"/>
      <x:c r="H371" s="63"/>
      <x:c r="I371" s="63"/>
    </x:row>
    <x:row r="372" ht="30" customHeight="1">
      <x:c r="C372" s="64"/>
      <x:c r="D372" s="63"/>
      <x:c r="E372" s="63"/>
      <x:c r="F372" s="63"/>
      <x:c r="G372" s="63"/>
      <x:c r="H372" s="63"/>
      <x:c r="I372" s="63"/>
    </x:row>
    <x:row r="373" ht="30" customHeight="1">
      <x:c r="C373" s="64"/>
      <x:c r="D373" s="63"/>
      <x:c r="E373" s="63"/>
      <x:c r="F373" s="63"/>
      <x:c r="G373" s="63"/>
      <x:c r="H373" s="63"/>
      <x:c r="I373" s="63"/>
    </x:row>
    <x:row r="374" ht="30" customHeight="1">
      <x:c r="C374" s="64"/>
      <x:c r="D374" s="63"/>
      <x:c r="E374" s="63"/>
      <x:c r="F374" s="63"/>
      <x:c r="G374" s="63"/>
      <x:c r="H374" s="63"/>
      <x:c r="I374" s="63"/>
    </x:row>
    <x:row r="375" ht="30" customHeight="1">
      <x:c r="C375" s="64"/>
      <x:c r="D375" s="63"/>
      <x:c r="E375" s="63"/>
      <x:c r="F375" s="63"/>
      <x:c r="G375" s="63"/>
      <x:c r="H375" s="63"/>
      <x:c r="I375" s="63"/>
    </x:row>
    <x:row r="376" ht="30" customHeight="1">
      <x:c r="C376" s="64"/>
      <x:c r="D376" s="63"/>
      <x:c r="E376" s="63"/>
      <x:c r="F376" s="63"/>
      <x:c r="G376" s="63"/>
      <x:c r="H376" s="63"/>
      <x:c r="I376" s="63"/>
    </x:row>
    <x:row r="377" ht="30" customHeight="1">
      <x:c r="C377" s="64"/>
      <x:c r="D377" s="63"/>
      <x:c r="E377" s="63"/>
      <x:c r="F377" s="63"/>
      <x:c r="G377" s="63"/>
      <x:c r="H377" s="63"/>
      <x:c r="I377" s="63"/>
    </x:row>
    <x:row r="378" ht="30" customHeight="1">
      <x:c r="C378" s="64"/>
      <x:c r="D378" s="63"/>
      <x:c r="E378" s="63"/>
      <x:c r="F378" s="63"/>
      <x:c r="G378" s="63"/>
      <x:c r="H378" s="63"/>
      <x:c r="I378" s="63"/>
    </x:row>
    <x:row r="379" ht="30" customHeight="1">
      <x:c r="C379" s="64"/>
      <x:c r="D379" s="63"/>
      <x:c r="E379" s="63"/>
      <x:c r="F379" s="63"/>
      <x:c r="G379" s="63"/>
      <x:c r="H379" s="63"/>
      <x:c r="I379" s="63"/>
    </x:row>
    <x:row r="380" ht="30" customHeight="1">
      <x:c r="C380" s="64"/>
      <x:c r="D380" s="63"/>
      <x:c r="E380" s="63"/>
      <x:c r="F380" s="63"/>
      <x:c r="G380" s="63"/>
      <x:c r="H380" s="63"/>
      <x:c r="I380" s="63"/>
    </x:row>
    <x:row r="381" ht="30" customHeight="1">
      <x:c r="C381" s="64"/>
      <x:c r="D381" s="63"/>
      <x:c r="E381" s="63"/>
      <x:c r="F381" s="63"/>
      <x:c r="G381" s="63"/>
      <x:c r="H381" s="63"/>
      <x:c r="I381" s="63"/>
    </x:row>
    <x:row r="382" ht="30" customHeight="1">
      <x:c r="C382" s="64"/>
      <x:c r="D382" s="63"/>
      <x:c r="E382" s="63"/>
      <x:c r="F382" s="63"/>
      <x:c r="G382" s="63"/>
      <x:c r="H382" s="63"/>
      <x:c r="I382" s="63"/>
    </x:row>
    <x:row r="383" ht="30" customHeight="1">
      <x:c r="C383" s="64"/>
      <x:c r="D383" s="63"/>
      <x:c r="E383" s="63"/>
      <x:c r="F383" s="63"/>
      <x:c r="G383" s="63"/>
      <x:c r="H383" s="63"/>
      <x:c r="I383" s="63"/>
    </x:row>
    <x:row r="384" ht="30" customHeight="1">
      <x:c r="C384" s="64"/>
      <x:c r="D384" s="63"/>
      <x:c r="E384" s="63"/>
      <x:c r="F384" s="63"/>
      <x:c r="G384" s="63"/>
      <x:c r="H384" s="63"/>
      <x:c r="I384" s="63"/>
    </x:row>
    <x:row r="385" ht="30" customHeight="1">
      <x:c r="C385" s="64"/>
      <x:c r="D385" s="63"/>
      <x:c r="E385" s="63"/>
      <x:c r="F385" s="63"/>
      <x:c r="G385" s="63"/>
      <x:c r="H385" s="63"/>
      <x:c r="I385" s="63"/>
    </x:row>
    <x:row r="386" ht="30" customHeight="1">
      <x:c r="C386" s="64"/>
      <x:c r="D386" s="63"/>
      <x:c r="E386" s="63"/>
      <x:c r="F386" s="63"/>
      <x:c r="G386" s="63"/>
      <x:c r="H386" s="63"/>
      <x:c r="I386" s="63"/>
    </x:row>
    <x:row r="387" ht="30" customHeight="1">
      <x:c r="C387" s="64"/>
      <x:c r="D387" s="63"/>
      <x:c r="E387" s="63"/>
      <x:c r="F387" s="63"/>
      <x:c r="G387" s="63"/>
      <x:c r="H387" s="63"/>
      <x:c r="I387" s="63"/>
    </x:row>
    <x:row r="388" ht="30" customHeight="1">
      <x:c r="C388" s="64"/>
      <x:c r="D388" s="63"/>
      <x:c r="E388" s="63"/>
      <x:c r="F388" s="63"/>
      <x:c r="G388" s="63"/>
      <x:c r="H388" s="63"/>
      <x:c r="I388" s="63"/>
    </x:row>
    <x:row r="389" ht="30" customHeight="1">
      <x:c r="C389" s="64"/>
      <x:c r="D389" s="63"/>
      <x:c r="E389" s="63"/>
      <x:c r="F389" s="63"/>
      <x:c r="G389" s="63"/>
      <x:c r="H389" s="63"/>
      <x:c r="I389" s="63"/>
    </x:row>
    <x:row r="390" ht="30" customHeight="1">
      <x:c r="C390" s="64"/>
      <x:c r="D390" s="63"/>
      <x:c r="E390" s="63"/>
      <x:c r="F390" s="63"/>
      <x:c r="G390" s="63"/>
      <x:c r="H390" s="63"/>
      <x:c r="I390" s="63"/>
    </x:row>
    <x:row r="391" ht="30" customHeight="1">
      <x:c r="C391" s="64"/>
      <x:c r="D391" s="63"/>
      <x:c r="E391" s="63"/>
      <x:c r="F391" s="63"/>
      <x:c r="G391" s="63"/>
      <x:c r="H391" s="63"/>
      <x:c r="I391" s="63"/>
    </x:row>
    <x:row r="392" ht="30" customHeight="1">
      <x:c r="C392" s="64"/>
      <x:c r="D392" s="63"/>
      <x:c r="E392" s="63"/>
      <x:c r="F392" s="63"/>
      <x:c r="G392" s="63"/>
      <x:c r="H392" s="63"/>
      <x:c r="I392" s="63"/>
    </x:row>
    <x:row r="393" ht="30" customHeight="1">
      <x:c r="C393" s="64"/>
      <x:c r="D393" s="63"/>
      <x:c r="E393" s="63"/>
      <x:c r="F393" s="63"/>
      <x:c r="G393" s="63"/>
      <x:c r="H393" s="63"/>
      <x:c r="I393" s="63"/>
    </x:row>
    <x:row r="394" ht="30" customHeight="1">
      <x:c r="C394" s="64"/>
      <x:c r="D394" s="63"/>
      <x:c r="E394" s="63"/>
      <x:c r="F394" s="63"/>
      <x:c r="G394" s="63"/>
      <x:c r="H394" s="63"/>
      <x:c r="I394" s="63"/>
    </x:row>
    <x:row r="395" ht="30" customHeight="1">
      <x:c r="C395" s="64"/>
      <x:c r="D395" s="63"/>
      <x:c r="E395" s="63"/>
      <x:c r="F395" s="63"/>
      <x:c r="G395" s="63"/>
      <x:c r="H395" s="63"/>
      <x:c r="I395" s="63"/>
    </x:row>
    <x:row r="396" ht="30" customHeight="1">
      <x:c r="C396" s="64"/>
      <x:c r="D396" s="63"/>
      <x:c r="E396" s="63"/>
      <x:c r="F396" s="63"/>
      <x:c r="G396" s="63"/>
      <x:c r="H396" s="63"/>
      <x:c r="I396" s="63"/>
    </x:row>
    <x:row r="397" ht="30" customHeight="1">
      <x:c r="C397" s="64"/>
      <x:c r="D397" s="63"/>
      <x:c r="E397" s="63"/>
      <x:c r="F397" s="63"/>
      <x:c r="G397" s="63"/>
      <x:c r="H397" s="63"/>
      <x:c r="I397" s="63"/>
    </x:row>
    <x:row r="398" ht="25" customHeight="1">
      <x:c r="C398" s="68" t="str">
        <x:v>SCENARIO ASSUMPTIONS</x:v>
      </x:c>
      <x:c r="D398" s="82"/>
      <x:c r="E398" s="82"/>
      <x:c r="F398" s="82"/>
      <x:c r="G398" s="82"/>
      <x:c r="H398" s="82"/>
      <x:c r="I398" s="82"/>
    </x:row>
    <x:row r="399" ht="30" customHeight="1">
      <x:c r="C399" s="64"/>
      <x:c r="D399" s="63"/>
      <x:c r="E399" s="63"/>
      <x:c r="F399" s="63"/>
      <x:c r="G399" s="63"/>
      <x:c r="H399" s="63"/>
      <x:c r="I399" s="63"/>
    </x:row>
    <x:row r="400" ht="30" customHeight="1">
      <x:c r="C400" s="64" t="str">
        <x:v>Occupancy — active</x:v>
      </x:c>
      <x:c r="D400" s="63"/>
      <x:c r="E400" s="83" t="n">
        <x:f>IF(COUNT(CHOOSE('Controls'!$E$5,E401,E402,E403))=1,CHOOSE('Controls'!$E$5,E401,E402,E403),NA())</x:f>
        <x:v>0.68</x:v>
      </x:c>
      <x:c r="F400" s="83" t="n">
        <x:f>IF(COUNT(CHOOSE('Controls'!$E$5,F401,F402,F403))=1,CHOOSE('Controls'!$E$5,F401,F402,F403),NA())</x:f>
        <x:v>0.68</x:v>
      </x:c>
      <x:c r="G400" s="83" t="n">
        <x:f>IF(COUNT(CHOOSE('Controls'!$E$5,G401,G402,G403))=1,CHOOSE('Controls'!$E$5,G401,G402,G403),NA())</x:f>
        <x:v>0.68</x:v>
      </x:c>
      <x:c r="H400" s="83" t="n">
        <x:f>IF(COUNT(CHOOSE('Controls'!$E$5,H401,H402,H403))=1,CHOOSE('Controls'!$E$5,H401,H402,H403),NA())</x:f>
        <x:v>0.68</x:v>
      </x:c>
      <x:c r="I400" s="83" t="n">
        <x:f>IF(COUNT(CHOOSE('Controls'!$E$5,I401,I402,I403))=1,CHOOSE('Controls'!$E$5,I401,I402,I403),NA())</x:f>
        <x:v>0.68</x:v>
      </x:c>
    </x:row>
    <x:row r="401" ht="30" customHeight="1">
      <x:c r="C401" s="64" t="str">
        <x:v>Base</x:v>
      </x:c>
      <x:c r="D401" s="63"/>
      <x:c r="E401" s="85" t="n">
        <x:v>0.68</x:v>
      </x:c>
      <x:c r="F401" s="85" t="n">
        <x:v>0.68</x:v>
      </x:c>
      <x:c r="G401" s="85" t="n">
        <x:v>0.68</x:v>
      </x:c>
      <x:c r="H401" s="85" t="n">
        <x:v>0.68</x:v>
      </x:c>
      <x:c r="I401" s="85" t="n">
        <x:v>0.68</x:v>
      </x:c>
    </x:row>
    <x:row r="402" ht="30" customHeight="1">
      <x:c r="C402" s="64" t="str">
        <x:v>Downside</x:v>
      </x:c>
      <x:c r="D402" s="63"/>
      <x:c r="E402" s="85" t="n">
        <x:v>0.68</x:v>
      </x:c>
      <x:c r="F402" s="85" t="n">
        <x:v>0.68</x:v>
      </x:c>
      <x:c r="G402" s="85" t="n">
        <x:v>0.68</x:v>
      </x:c>
      <x:c r="H402" s="85" t="n">
        <x:v>0.68</x:v>
      </x:c>
      <x:c r="I402" s="85" t="n">
        <x:v>0.68</x:v>
      </x:c>
    </x:row>
    <x:row r="403" ht="30" customHeight="1">
      <x:c r="C403" s="64" t="str">
        <x:v>Upside</x:v>
      </x:c>
      <x:c r="D403" s="63"/>
      <x:c r="E403" s="85" t="n">
        <x:v>0.68</x:v>
      </x:c>
      <x:c r="F403" s="85" t="n">
        <x:v>0.68</x:v>
      </x:c>
      <x:c r="G403" s="85" t="n">
        <x:v>0.68</x:v>
      </x:c>
      <x:c r="H403" s="85" t="n">
        <x:v>0.68</x:v>
      </x:c>
      <x:c r="I403" s="85" t="n">
        <x:v>0.68</x:v>
      </x:c>
    </x:row>
    <x:row r="404" ht="30" customHeight="1">
      <x:c r="C404" s="64"/>
      <x:c r="D404" s="63"/>
      <x:c r="E404" s="63"/>
      <x:c r="F404" s="63"/>
      <x:c r="G404" s="63"/>
      <x:c r="H404" s="63"/>
      <x:c r="I404" s="63"/>
    </x:row>
    <x:row r="405" ht="30" customHeight="1">
      <x:c r="C405" s="64" t="str">
        <x:v>Clinical consumables and doctor fees / revenue — active</x:v>
      </x:c>
      <x:c r="D405" s="63"/>
      <x:c r="E405" s="83" t="n">
        <x:f>IF(COUNT(CHOOSE('Controls'!$E$5,E406,E407,E408))=1,CHOOSE('Controls'!$E$5,E406,E407,E408),NA())</x:f>
        <x:v>0.4</x:v>
      </x:c>
      <x:c r="F405" s="83" t="n">
        <x:f>IF(COUNT(CHOOSE('Controls'!$E$5,F406,F407,F408))=1,CHOOSE('Controls'!$E$5,F406,F407,F408),NA())</x:f>
        <x:v>0.4</x:v>
      </x:c>
      <x:c r="G405" s="83" t="n">
        <x:f>IF(COUNT(CHOOSE('Controls'!$E$5,G406,G407,G408))=1,CHOOSE('Controls'!$E$5,G406,G407,G408),NA())</x:f>
        <x:v>0.4</x:v>
      </x:c>
      <x:c r="H405" s="83" t="n">
        <x:f>IF(COUNT(CHOOSE('Controls'!$E$5,H406,H407,H408))=1,CHOOSE('Controls'!$E$5,H406,H407,H408),NA())</x:f>
        <x:v>0.4</x:v>
      </x:c>
      <x:c r="I405" s="83" t="n">
        <x:f>IF(COUNT(CHOOSE('Controls'!$E$5,I406,I407,I408))=1,CHOOSE('Controls'!$E$5,I406,I407,I408),NA())</x:f>
        <x:v>0.4</x:v>
      </x:c>
    </x:row>
    <x:row r="406" ht="30" customHeight="1">
      <x:c r="C406" s="64" t="str">
        <x:v>Base</x:v>
      </x:c>
      <x:c r="D406" s="63"/>
      <x:c r="E406" s="85" t="n">
        <x:v>0.4</x:v>
      </x:c>
      <x:c r="F406" s="85" t="n">
        <x:v>0.4</x:v>
      </x:c>
      <x:c r="G406" s="85" t="n">
        <x:v>0.4</x:v>
      </x:c>
      <x:c r="H406" s="85" t="n">
        <x:v>0.4</x:v>
      </x:c>
      <x:c r="I406" s="85" t="n">
        <x:v>0.4</x:v>
      </x:c>
    </x:row>
    <x:row r="407" ht="30" customHeight="1">
      <x:c r="C407" s="64" t="str">
        <x:v>Downside</x:v>
      </x:c>
      <x:c r="D407" s="63"/>
      <x:c r="E407" s="85" t="n">
        <x:v>0.4</x:v>
      </x:c>
      <x:c r="F407" s="85" t="n">
        <x:v>0.4</x:v>
      </x:c>
      <x:c r="G407" s="85" t="n">
        <x:v>0.4</x:v>
      </x:c>
      <x:c r="H407" s="85" t="n">
        <x:v>0.4</x:v>
      </x:c>
      <x:c r="I407" s="85" t="n">
        <x:v>0.4</x:v>
      </x:c>
    </x:row>
    <x:row r="408" ht="30" customHeight="1">
      <x:c r="C408" s="64" t="str">
        <x:v>Upside</x:v>
      </x:c>
      <x:c r="D408" s="63"/>
      <x:c r="E408" s="85" t="n">
        <x:v>0.4</x:v>
      </x:c>
      <x:c r="F408" s="85" t="n">
        <x:v>0.4</x:v>
      </x:c>
      <x:c r="G408" s="85" t="n">
        <x:v>0.4</x:v>
      </x:c>
      <x:c r="H408" s="85" t="n">
        <x:v>0.4</x:v>
      </x:c>
      <x:c r="I408" s="85" t="n">
        <x:v>0.4</x:v>
      </x:c>
    </x:row>
    <x:row r="409" ht="30" customHeight="1">
      <x:c r="C409" s="64"/>
      <x:c r="D409" s="63"/>
      <x:c r="E409" s="63"/>
      <x:c r="F409" s="63"/>
      <x:c r="G409" s="63"/>
      <x:c r="H409" s="63"/>
      <x:c r="I409" s="63"/>
    </x:row>
    <x:row r="410" ht="30" customHeight="1">
      <x:c r="C410" s="64" t="str">
        <x:v>Other cash operating costs / revenue — active</x:v>
      </x:c>
      <x:c r="D410" s="63"/>
      <x:c r="E410" s="83" t="n">
        <x:f>IF(COUNT(CHOOSE('Controls'!$E$5,E411,E412,E413))=1,CHOOSE('Controls'!$E$5,E411,E412,E413),NA())</x:f>
        <x:v>0.34</x:v>
      </x:c>
      <x:c r="F410" s="83" t="n">
        <x:f>IF(COUNT(CHOOSE('Controls'!$E$5,F411,F412,F413))=1,CHOOSE('Controls'!$E$5,F411,F412,F413),NA())</x:f>
        <x:v>0.34</x:v>
      </x:c>
      <x:c r="G410" s="83" t="n">
        <x:f>IF(COUNT(CHOOSE('Controls'!$E$5,G411,G412,G413))=1,CHOOSE('Controls'!$E$5,G411,G412,G413),NA())</x:f>
        <x:v>0.34</x:v>
      </x:c>
      <x:c r="H410" s="83" t="n">
        <x:f>IF(COUNT(CHOOSE('Controls'!$E$5,H411,H412,H413))=1,CHOOSE('Controls'!$E$5,H411,H412,H413),NA())</x:f>
        <x:v>0.34</x:v>
      </x:c>
      <x:c r="I410" s="83" t="n">
        <x:f>IF(COUNT(CHOOSE('Controls'!$E$5,I411,I412,I413))=1,CHOOSE('Controls'!$E$5,I411,I412,I413),NA())</x:f>
        <x:v>0.34</x:v>
      </x:c>
    </x:row>
    <x:row r="411" ht="30" customHeight="1">
      <x:c r="C411" s="64" t="str">
        <x:v>Base</x:v>
      </x:c>
      <x:c r="D411" s="63"/>
      <x:c r="E411" s="85" t="n">
        <x:v>0.34</x:v>
      </x:c>
      <x:c r="F411" s="85" t="n">
        <x:v>0.34</x:v>
      </x:c>
      <x:c r="G411" s="85" t="n">
        <x:v>0.34</x:v>
      </x:c>
      <x:c r="H411" s="85" t="n">
        <x:v>0.34</x:v>
      </x:c>
      <x:c r="I411" s="85" t="n">
        <x:v>0.34</x:v>
      </x:c>
    </x:row>
    <x:row r="412" ht="30" customHeight="1">
      <x:c r="C412" s="64" t="str">
        <x:v>Downside</x:v>
      </x:c>
      <x:c r="D412" s="63"/>
      <x:c r="E412" s="85" t="n">
        <x:v>0.34</x:v>
      </x:c>
      <x:c r="F412" s="85" t="n">
        <x:v>0.34</x:v>
      </x:c>
      <x:c r="G412" s="85" t="n">
        <x:v>0.34</x:v>
      </x:c>
      <x:c r="H412" s="85" t="n">
        <x:v>0.34</x:v>
      </x:c>
      <x:c r="I412" s="85" t="n">
        <x:v>0.34</x:v>
      </x:c>
    </x:row>
    <x:row r="413" ht="30" customHeight="1">
      <x:c r="C413" s="64" t="str">
        <x:v>Upside</x:v>
      </x:c>
      <x:c r="D413" s="63"/>
      <x:c r="E413" s="85" t="n">
        <x:v>0.34</x:v>
      </x:c>
      <x:c r="F413" s="85" t="n">
        <x:v>0.34</x:v>
      </x:c>
      <x:c r="G413" s="85" t="n">
        <x:v>0.34</x:v>
      </x:c>
      <x:c r="H413" s="85" t="n">
        <x:v>0.34</x:v>
      </x:c>
      <x:c r="I413" s="85" t="n">
        <x:v>0.34</x:v>
      </x:c>
    </x:row>
    <x:row r="414" ht="30" customHeight="1">
      <x:c r="C414" s="64"/>
      <x:c r="D414" s="63"/>
      <x:c r="E414" s="63"/>
      <x:c r="F414" s="63"/>
      <x:c r="G414" s="63"/>
      <x:c r="H414" s="63"/>
      <x:c r="I414" s="63"/>
    </x:row>
    <x:row r="415" ht="30" customHeight="1">
      <x:c r="C415" s="64" t="str">
        <x:v>Average length of stay (days) — active</x:v>
      </x:c>
      <x:c r="D415" s="63"/>
      <x:c r="E415" s="8" t="n">
        <x:f>IF(COUNT(CHOOSE('Controls'!$E$5,E416,E417,E418))=1,CHOOSE('Controls'!$E$5,E416,E417,E418),NA())</x:f>
        <x:v>4</x:v>
      </x:c>
      <x:c r="F415" s="8" t="n">
        <x:f>IF(COUNT(CHOOSE('Controls'!$E$5,F416,F417,F418))=1,CHOOSE('Controls'!$E$5,F416,F417,F418),NA())</x:f>
        <x:v>4</x:v>
      </x:c>
      <x:c r="G415" s="8" t="n">
        <x:f>IF(COUNT(CHOOSE('Controls'!$E$5,G416,G417,G418))=1,CHOOSE('Controls'!$E$5,G416,G417,G418),NA())</x:f>
        <x:v>4</x:v>
      </x:c>
      <x:c r="H415" s="8" t="n">
        <x:f>IF(COUNT(CHOOSE('Controls'!$E$5,H416,H417,H418))=1,CHOOSE('Controls'!$E$5,H416,H417,H418),NA())</x:f>
        <x:v>4</x:v>
      </x:c>
      <x:c r="I415" s="8" t="n">
        <x:f>IF(COUNT(CHOOSE('Controls'!$E$5,I416,I417,I418))=1,CHOOSE('Controls'!$E$5,I416,I417,I418),NA())</x:f>
        <x:v>4</x:v>
      </x:c>
    </x:row>
    <x:row r="416" ht="30" customHeight="1">
      <x:c r="C416" s="64" t="str">
        <x:v>Base</x:v>
      </x:c>
      <x:c r="D416" s="63"/>
      <x:c r="E416" s="74" t="n">
        <x:v>4</x:v>
      </x:c>
      <x:c r="F416" s="74" t="n">
        <x:v>4</x:v>
      </x:c>
      <x:c r="G416" s="74" t="n">
        <x:v>4</x:v>
      </x:c>
      <x:c r="H416" s="74" t="n">
        <x:v>4</x:v>
      </x:c>
      <x:c r="I416" s="74" t="n">
        <x:v>4</x:v>
      </x:c>
    </x:row>
    <x:row r="417" ht="30" customHeight="1">
      <x:c r="C417" s="64" t="str">
        <x:v>Downside</x:v>
      </x:c>
      <x:c r="D417" s="63"/>
      <x:c r="E417" s="74" t="n">
        <x:v>4</x:v>
      </x:c>
      <x:c r="F417" s="74" t="n">
        <x:v>4</x:v>
      </x:c>
      <x:c r="G417" s="74" t="n">
        <x:v>4</x:v>
      </x:c>
      <x:c r="H417" s="74" t="n">
        <x:v>4</x:v>
      </x:c>
      <x:c r="I417" s="74" t="n">
        <x:v>4</x:v>
      </x:c>
    </x:row>
    <x:row r="418" ht="30" customHeight="1">
      <x:c r="C418" s="64" t="str">
        <x:v>Upside</x:v>
      </x:c>
      <x:c r="D418" s="63"/>
      <x:c r="E418" s="74" t="n">
        <x:v>4</x:v>
      </x:c>
      <x:c r="F418" s="74" t="n">
        <x:v>4</x:v>
      </x:c>
      <x:c r="G418" s="74" t="n">
        <x:v>4</x:v>
      </x:c>
      <x:c r="H418" s="74" t="n">
        <x:v>4</x:v>
      </x:c>
      <x:c r="I418" s="74" t="n">
        <x:v>4</x:v>
      </x:c>
    </x:row>
    <x:row r="419" ht="30" customHeight="1">
      <x:c r="C419" s="64"/>
      <x:c r="D419" s="63"/>
      <x:c r="E419" s="63"/>
      <x:c r="F419" s="63"/>
      <x:c r="G419" s="63"/>
      <x:c r="H419" s="63"/>
      <x:c r="I419" s="63"/>
    </x:row>
    <x:row r="420" ht="30" customHeight="1">
      <x:c r="C420" s="64" t="str">
        <x:v>Cash capex / revenue — active</x:v>
      </x:c>
      <x:c r="D420" s="63"/>
      <x:c r="E420" s="83" t="n">
        <x:f>IF(COUNT(CHOOSE('Controls'!$E$5,E421,E422,E423))=1,CHOOSE('Controls'!$E$5,E421,E422,E423),NA())</x:f>
        <x:v>0.1</x:v>
      </x:c>
      <x:c r="F420" s="83" t="n">
        <x:f>IF(COUNT(CHOOSE('Controls'!$E$5,F421,F422,F423))=1,CHOOSE('Controls'!$E$5,F421,F422,F423),NA())</x:f>
        <x:v>0.1</x:v>
      </x:c>
      <x:c r="G420" s="83" t="n">
        <x:f>IF(COUNT(CHOOSE('Controls'!$E$5,G421,G422,G423))=1,CHOOSE('Controls'!$E$5,G421,G422,G423),NA())</x:f>
        <x:v>0.1</x:v>
      </x:c>
      <x:c r="H420" s="83" t="n">
        <x:f>IF(COUNT(CHOOSE('Controls'!$E$5,H421,H422,H423))=1,CHOOSE('Controls'!$E$5,H421,H422,H423),NA())</x:f>
        <x:v>0.1</x:v>
      </x:c>
      <x:c r="I420" s="83" t="n">
        <x:f>IF(COUNT(CHOOSE('Controls'!$E$5,I421,I422,I423))=1,CHOOSE('Controls'!$E$5,I421,I422,I423),NA())</x:f>
        <x:v>0.1</x:v>
      </x:c>
    </x:row>
    <x:row r="421" ht="30" customHeight="1">
      <x:c r="C421" s="64" t="str">
        <x:v>Base</x:v>
      </x:c>
      <x:c r="D421" s="63"/>
      <x:c r="E421" s="85" t="n">
        <x:v>0.1</x:v>
      </x:c>
      <x:c r="F421" s="85" t="n">
        <x:v>0.1</x:v>
      </x:c>
      <x:c r="G421" s="85" t="n">
        <x:v>0.1</x:v>
      </x:c>
      <x:c r="H421" s="85" t="n">
        <x:v>0.1</x:v>
      </x:c>
      <x:c r="I421" s="85" t="n">
        <x:v>0.1</x:v>
      </x:c>
    </x:row>
    <x:row r="422" ht="30" customHeight="1">
      <x:c r="C422" s="64" t="str">
        <x:v>Downside</x:v>
      </x:c>
      <x:c r="D422" s="63"/>
      <x:c r="E422" s="85" t="n">
        <x:v>0.1</x:v>
      </x:c>
      <x:c r="F422" s="85" t="n">
        <x:v>0.1</x:v>
      </x:c>
      <x:c r="G422" s="85" t="n">
        <x:v>0.1</x:v>
      </x:c>
      <x:c r="H422" s="85" t="n">
        <x:v>0.1</x:v>
      </x:c>
      <x:c r="I422" s="85" t="n">
        <x:v>0.1</x:v>
      </x:c>
    </x:row>
    <x:row r="423" ht="30" customHeight="1">
      <x:c r="C423" s="64" t="str">
        <x:v>Upside</x:v>
      </x:c>
      <x:c r="D423" s="63"/>
      <x:c r="E423" s="85" t="n">
        <x:v>0.1</x:v>
      </x:c>
      <x:c r="F423" s="85" t="n">
        <x:v>0.1</x:v>
      </x:c>
      <x:c r="G423" s="85" t="n">
        <x:v>0.1</x:v>
      </x:c>
      <x:c r="H423" s="85" t="n">
        <x:v>0.1</x:v>
      </x:c>
      <x:c r="I423" s="85" t="n">
        <x:v>0.1</x:v>
      </x:c>
    </x:row>
    <x:row r="424" ht="30" customHeight="1">
      <x:c r="C424" s="64"/>
      <x:c r="D424" s="63"/>
      <x:c r="E424" s="63"/>
      <x:c r="F424" s="63"/>
      <x:c r="G424" s="63"/>
      <x:c r="H424" s="63"/>
      <x:c r="I424" s="63"/>
    </x:row>
    <x:row r="425" ht="30" customHeight="1">
      <x:c r="C425" s="64" t="str">
        <x:v>D&amp;A / opening net PP&amp;E — active</x:v>
      </x:c>
      <x:c r="D425" s="63"/>
      <x:c r="E425" s="83" t="n">
        <x:f>IF(COUNT(CHOOSE('Controls'!$E$5,E426,E427,E428))=1,CHOOSE('Controls'!$E$5,E426,E427,E428),NA())</x:f>
        <x:v>0.09</x:v>
      </x:c>
      <x:c r="F425" s="83" t="n">
        <x:f>IF(COUNT(CHOOSE('Controls'!$E$5,F426,F427,F428))=1,CHOOSE('Controls'!$E$5,F426,F427,F428),NA())</x:f>
        <x:v>0.09</x:v>
      </x:c>
      <x:c r="G425" s="83" t="n">
        <x:f>IF(COUNT(CHOOSE('Controls'!$E$5,G426,G427,G428))=1,CHOOSE('Controls'!$E$5,G426,G427,G428),NA())</x:f>
        <x:v>0.09</x:v>
      </x:c>
      <x:c r="H425" s="83" t="n">
        <x:f>IF(COUNT(CHOOSE('Controls'!$E$5,H426,H427,H428))=1,CHOOSE('Controls'!$E$5,H426,H427,H428),NA())</x:f>
        <x:v>0.09</x:v>
      </x:c>
      <x:c r="I425" s="83" t="n">
        <x:f>IF(COUNT(CHOOSE('Controls'!$E$5,I426,I427,I428))=1,CHOOSE('Controls'!$E$5,I426,I427,I428),NA())</x:f>
        <x:v>0.09</x:v>
      </x:c>
    </x:row>
    <x:row r="426" ht="30" customHeight="1">
      <x:c r="C426" s="64" t="str">
        <x:v>Base</x:v>
      </x:c>
      <x:c r="D426" s="63"/>
      <x:c r="E426" s="85" t="n">
        <x:v>0.09</x:v>
      </x:c>
      <x:c r="F426" s="85" t="n">
        <x:v>0.09</x:v>
      </x:c>
      <x:c r="G426" s="85" t="n">
        <x:v>0.09</x:v>
      </x:c>
      <x:c r="H426" s="85" t="n">
        <x:v>0.09</x:v>
      </x:c>
      <x:c r="I426" s="85" t="n">
        <x:v>0.09</x:v>
      </x:c>
    </x:row>
    <x:row r="427" ht="30" customHeight="1">
      <x:c r="C427" s="64" t="str">
        <x:v>Downside</x:v>
      </x:c>
      <x:c r="D427" s="63"/>
      <x:c r="E427" s="85" t="n">
        <x:v>0.09</x:v>
      </x:c>
      <x:c r="F427" s="85" t="n">
        <x:v>0.09</x:v>
      </x:c>
      <x:c r="G427" s="85" t="n">
        <x:v>0.09</x:v>
      </x:c>
      <x:c r="H427" s="85" t="n">
        <x:v>0.09</x:v>
      </x:c>
      <x:c r="I427" s="85" t="n">
        <x:v>0.09</x:v>
      </x:c>
    </x:row>
    <x:row r="428" ht="30" customHeight="1">
      <x:c r="C428" s="64" t="str">
        <x:v>Upside</x:v>
      </x:c>
      <x:c r="D428" s="63"/>
      <x:c r="E428" s="85" t="n">
        <x:v>0.09</x:v>
      </x:c>
      <x:c r="F428" s="85" t="n">
        <x:v>0.09</x:v>
      </x:c>
      <x:c r="G428" s="85" t="n">
        <x:v>0.09</x:v>
      </x:c>
      <x:c r="H428" s="85" t="n">
        <x:v>0.09</x:v>
      </x:c>
      <x:c r="I428" s="85" t="n">
        <x:v>0.09</x:v>
      </x:c>
    </x:row>
    <x:row r="429" ht="30" customHeight="1">
      <x:c r="C429" s="64"/>
      <x:c r="D429" s="63"/>
      <x:c r="E429" s="63"/>
      <x:c r="F429" s="63"/>
      <x:c r="G429" s="63"/>
      <x:c r="H429" s="63"/>
      <x:c r="I429" s="63"/>
    </x:row>
    <x:row r="430" ht="30" customHeight="1">
      <x:c r="C430" s="64" t="str">
        <x:v>Receivable days — active</x:v>
      </x:c>
      <x:c r="D430" s="63"/>
      <x:c r="E430" s="8" t="n">
        <x:f>IF(COUNT(CHOOSE('Controls'!$E$5,E431,E432,E433))=1,CHOOSE('Controls'!$E$5,E431,E432,E433),NA())</x:f>
        <x:v>55</x:v>
      </x:c>
      <x:c r="F430" s="8" t="n">
        <x:f>IF(COUNT(CHOOSE('Controls'!$E$5,F431,F432,F433))=1,CHOOSE('Controls'!$E$5,F431,F432,F433),NA())</x:f>
        <x:v>55</x:v>
      </x:c>
      <x:c r="G430" s="8" t="n">
        <x:f>IF(COUNT(CHOOSE('Controls'!$E$5,G431,G432,G433))=1,CHOOSE('Controls'!$E$5,G431,G432,G433),NA())</x:f>
        <x:v>55</x:v>
      </x:c>
      <x:c r="H430" s="8" t="n">
        <x:f>IF(COUNT(CHOOSE('Controls'!$E$5,H431,H432,H433))=1,CHOOSE('Controls'!$E$5,H431,H432,H433),NA())</x:f>
        <x:v>55</x:v>
      </x:c>
      <x:c r="I430" s="8" t="n">
        <x:f>IF(COUNT(CHOOSE('Controls'!$E$5,I431,I432,I433))=1,CHOOSE('Controls'!$E$5,I431,I432,I433),NA())</x:f>
        <x:v>55</x:v>
      </x:c>
    </x:row>
    <x:row r="431" ht="30" customHeight="1">
      <x:c r="C431" s="64" t="str">
        <x:v>Base</x:v>
      </x:c>
      <x:c r="D431" s="63"/>
      <x:c r="E431" s="74" t="n">
        <x:v>55</x:v>
      </x:c>
      <x:c r="F431" s="74" t="n">
        <x:v>55</x:v>
      </x:c>
      <x:c r="G431" s="74" t="n">
        <x:v>55</x:v>
      </x:c>
      <x:c r="H431" s="74" t="n">
        <x:v>55</x:v>
      </x:c>
      <x:c r="I431" s="74" t="n">
        <x:v>55</x:v>
      </x:c>
    </x:row>
    <x:row r="432" ht="30" customHeight="1">
      <x:c r="C432" s="64" t="str">
        <x:v>Downside</x:v>
      </x:c>
      <x:c r="D432" s="63"/>
      <x:c r="E432" s="74" t="n">
        <x:v>55</x:v>
      </x:c>
      <x:c r="F432" s="74" t="n">
        <x:v>55</x:v>
      </x:c>
      <x:c r="G432" s="74" t="n">
        <x:v>55</x:v>
      </x:c>
      <x:c r="H432" s="74" t="n">
        <x:v>55</x:v>
      </x:c>
      <x:c r="I432" s="74" t="n">
        <x:v>55</x:v>
      </x:c>
    </x:row>
    <x:row r="433" ht="30" customHeight="1">
      <x:c r="C433" s="64" t="str">
        <x:v>Upside</x:v>
      </x:c>
      <x:c r="D433" s="63"/>
      <x:c r="E433" s="74" t="n">
        <x:v>55</x:v>
      </x:c>
      <x:c r="F433" s="74" t="n">
        <x:v>55</x:v>
      </x:c>
      <x:c r="G433" s="74" t="n">
        <x:v>55</x:v>
      </x:c>
      <x:c r="H433" s="74" t="n">
        <x:v>55</x:v>
      </x:c>
      <x:c r="I433" s="74" t="n">
        <x:v>55</x:v>
      </x:c>
    </x:row>
    <x:row r="434" ht="30" customHeight="1">
      <x:c r="C434" s="64"/>
      <x:c r="D434" s="63"/>
      <x:c r="E434" s="63"/>
      <x:c r="F434" s="63"/>
      <x:c r="G434" s="63"/>
      <x:c r="H434" s="63"/>
      <x:c r="I434" s="63"/>
    </x:row>
    <x:row r="435" ht="30" customHeight="1">
      <x:c r="C435" s="64" t="str">
        <x:v>Inventory days — active</x:v>
      </x:c>
      <x:c r="D435" s="63"/>
      <x:c r="E435" s="8" t="n">
        <x:f>IF(COUNT(CHOOSE('Controls'!$E$5,E436,E437,E438))=1,CHOOSE('Controls'!$E$5,E436,E437,E438),NA())</x:f>
        <x:v>15</x:v>
      </x:c>
      <x:c r="F435" s="8" t="n">
        <x:f>IF(COUNT(CHOOSE('Controls'!$E$5,F436,F437,F438))=1,CHOOSE('Controls'!$E$5,F436,F437,F438),NA())</x:f>
        <x:v>15</x:v>
      </x:c>
      <x:c r="G435" s="8" t="n">
        <x:f>IF(COUNT(CHOOSE('Controls'!$E$5,G436,G437,G438))=1,CHOOSE('Controls'!$E$5,G436,G437,G438),NA())</x:f>
        <x:v>15</x:v>
      </x:c>
      <x:c r="H435" s="8" t="n">
        <x:f>IF(COUNT(CHOOSE('Controls'!$E$5,H436,H437,H438))=1,CHOOSE('Controls'!$E$5,H436,H437,H438),NA())</x:f>
        <x:v>15</x:v>
      </x:c>
      <x:c r="I435" s="8" t="n">
        <x:f>IF(COUNT(CHOOSE('Controls'!$E$5,I436,I437,I438))=1,CHOOSE('Controls'!$E$5,I436,I437,I438),NA())</x:f>
        <x:v>15</x:v>
      </x:c>
    </x:row>
    <x:row r="436" ht="30" customHeight="1">
      <x:c r="C436" s="64" t="str">
        <x:v>Base</x:v>
      </x:c>
      <x:c r="D436" s="63"/>
      <x:c r="E436" s="74" t="n">
        <x:v>15</x:v>
      </x:c>
      <x:c r="F436" s="74" t="n">
        <x:v>15</x:v>
      </x:c>
      <x:c r="G436" s="74" t="n">
        <x:v>15</x:v>
      </x:c>
      <x:c r="H436" s="74" t="n">
        <x:v>15</x:v>
      </x:c>
      <x:c r="I436" s="74" t="n">
        <x:v>15</x:v>
      </x:c>
    </x:row>
    <x:row r="437" ht="30" customHeight="1">
      <x:c r="C437" s="64" t="str">
        <x:v>Downside</x:v>
      </x:c>
      <x:c r="D437" s="63"/>
      <x:c r="E437" s="74" t="n">
        <x:v>15</x:v>
      </x:c>
      <x:c r="F437" s="74" t="n">
        <x:v>15</x:v>
      </x:c>
      <x:c r="G437" s="74" t="n">
        <x:v>15</x:v>
      </x:c>
      <x:c r="H437" s="74" t="n">
        <x:v>15</x:v>
      </x:c>
      <x:c r="I437" s="74" t="n">
        <x:v>15</x:v>
      </x:c>
    </x:row>
    <x:row r="438" ht="30" customHeight="1">
      <x:c r="C438" s="64" t="str">
        <x:v>Upside</x:v>
      </x:c>
      <x:c r="D438" s="63"/>
      <x:c r="E438" s="74" t="n">
        <x:v>15</x:v>
      </x:c>
      <x:c r="F438" s="74" t="n">
        <x:v>15</x:v>
      </x:c>
      <x:c r="G438" s="74" t="n">
        <x:v>15</x:v>
      </x:c>
      <x:c r="H438" s="74" t="n">
        <x:v>15</x:v>
      </x:c>
      <x:c r="I438" s="74" t="n">
        <x:v>15</x:v>
      </x:c>
    </x:row>
    <x:row r="439" ht="30" customHeight="1">
      <x:c r="C439" s="64"/>
      <x:c r="D439" s="63"/>
      <x:c r="E439" s="63"/>
      <x:c r="F439" s="63"/>
      <x:c r="G439" s="63"/>
      <x:c r="H439" s="63"/>
      <x:c r="I439" s="63"/>
    </x:row>
    <x:row r="440" ht="30" customHeight="1">
      <x:c r="C440" s="64" t="str">
        <x:v>Payable days — active</x:v>
      </x:c>
      <x:c r="D440" s="63"/>
      <x:c r="E440" s="8" t="n">
        <x:f>IF(COUNT(CHOOSE('Controls'!$E$5,E441,E442,E443))=1,CHOOSE('Controls'!$E$5,E441,E442,E443),NA())</x:f>
        <x:v>40</x:v>
      </x:c>
      <x:c r="F440" s="8" t="n">
        <x:f>IF(COUNT(CHOOSE('Controls'!$E$5,F441,F442,F443))=1,CHOOSE('Controls'!$E$5,F441,F442,F443),NA())</x:f>
        <x:v>40</x:v>
      </x:c>
      <x:c r="G440" s="8" t="n">
        <x:f>IF(COUNT(CHOOSE('Controls'!$E$5,G441,G442,G443))=1,CHOOSE('Controls'!$E$5,G441,G442,G443),NA())</x:f>
        <x:v>40</x:v>
      </x:c>
      <x:c r="H440" s="8" t="n">
        <x:f>IF(COUNT(CHOOSE('Controls'!$E$5,H441,H442,H443))=1,CHOOSE('Controls'!$E$5,H441,H442,H443),NA())</x:f>
        <x:v>40</x:v>
      </x:c>
      <x:c r="I440" s="8" t="n">
        <x:f>IF(COUNT(CHOOSE('Controls'!$E$5,I441,I442,I443))=1,CHOOSE('Controls'!$E$5,I441,I442,I443),NA())</x:f>
        <x:v>40</x:v>
      </x:c>
    </x:row>
    <x:row r="441" ht="30" customHeight="1">
      <x:c r="C441" s="64" t="str">
        <x:v>Base</x:v>
      </x:c>
      <x:c r="D441" s="63"/>
      <x:c r="E441" s="74" t="n">
        <x:v>40</x:v>
      </x:c>
      <x:c r="F441" s="74" t="n">
        <x:v>40</x:v>
      </x:c>
      <x:c r="G441" s="74" t="n">
        <x:v>40</x:v>
      </x:c>
      <x:c r="H441" s="74" t="n">
        <x:v>40</x:v>
      </x:c>
      <x:c r="I441" s="74" t="n">
        <x:v>40</x:v>
      </x:c>
    </x:row>
    <x:row r="442" ht="30" customHeight="1">
      <x:c r="C442" s="64" t="str">
        <x:v>Downside</x:v>
      </x:c>
      <x:c r="D442" s="63"/>
      <x:c r="E442" s="74" t="n">
        <x:v>40</x:v>
      </x:c>
      <x:c r="F442" s="74" t="n">
        <x:v>40</x:v>
      </x:c>
      <x:c r="G442" s="74" t="n">
        <x:v>40</x:v>
      </x:c>
      <x:c r="H442" s="74" t="n">
        <x:v>40</x:v>
      </x:c>
      <x:c r="I442" s="74" t="n">
        <x:v>40</x:v>
      </x:c>
    </x:row>
    <x:row r="443" ht="30" customHeight="1">
      <x:c r="C443" s="64" t="str">
        <x:v>Upside</x:v>
      </x:c>
      <x:c r="D443" s="63"/>
      <x:c r="E443" s="74" t="n">
        <x:v>40</x:v>
      </x:c>
      <x:c r="F443" s="74" t="n">
        <x:v>40</x:v>
      </x:c>
      <x:c r="G443" s="74" t="n">
        <x:v>40</x:v>
      </x:c>
      <x:c r="H443" s="74" t="n">
        <x:v>40</x:v>
      </x:c>
      <x:c r="I443" s="74" t="n">
        <x:v>40</x:v>
      </x:c>
    </x:row>
    <x:row r="444" ht="30" customHeight="1">
      <x:c r="C444" s="64"/>
      <x:c r="D444" s="63"/>
      <x:c r="E444" s="63"/>
      <x:c r="F444" s="63"/>
      <x:c r="G444" s="63"/>
      <x:c r="H444" s="63"/>
      <x:c r="I444" s="63"/>
    </x:row>
    <x:row r="445" ht="30" customHeight="1">
      <x:c r="C445" s="64" t="str">
        <x:v>Effective cash tax rate — active</x:v>
      </x:c>
      <x:c r="D445" s="63"/>
      <x:c r="E445" s="83" t="n">
        <x:f>IF(COUNT(CHOOSE('Controls'!$E$5,E446,E447,E448))=1,CHOOSE('Controls'!$E$5,E446,E447,E448),NA())</x:f>
        <x:v>0.25</x:v>
      </x:c>
      <x:c r="F445" s="83" t="n">
        <x:f>IF(COUNT(CHOOSE('Controls'!$E$5,F446,F447,F448))=1,CHOOSE('Controls'!$E$5,F446,F447,F448),NA())</x:f>
        <x:v>0.25</x:v>
      </x:c>
      <x:c r="G445" s="83" t="n">
        <x:f>IF(COUNT(CHOOSE('Controls'!$E$5,G446,G447,G448))=1,CHOOSE('Controls'!$E$5,G446,G447,G448),NA())</x:f>
        <x:v>0.25</x:v>
      </x:c>
      <x:c r="H445" s="83" t="n">
        <x:f>IF(COUNT(CHOOSE('Controls'!$E$5,H446,H447,H448))=1,CHOOSE('Controls'!$E$5,H446,H447,H448),NA())</x:f>
        <x:v>0.25</x:v>
      </x:c>
      <x:c r="I445" s="83" t="n">
        <x:f>IF(COUNT(CHOOSE('Controls'!$E$5,I446,I447,I448))=1,CHOOSE('Controls'!$E$5,I446,I447,I448),NA())</x:f>
        <x:v>0.25</x:v>
      </x:c>
    </x:row>
    <x:row r="446" ht="30" customHeight="1">
      <x:c r="C446" s="64" t="str">
        <x:v>Base</x:v>
      </x:c>
      <x:c r="D446" s="63"/>
      <x:c r="E446" s="85" t="n">
        <x:v>0.25</x:v>
      </x:c>
      <x:c r="F446" s="85" t="n">
        <x:v>0.25</x:v>
      </x:c>
      <x:c r="G446" s="85" t="n">
        <x:v>0.25</x:v>
      </x:c>
      <x:c r="H446" s="85" t="n">
        <x:v>0.25</x:v>
      </x:c>
      <x:c r="I446" s="85" t="n">
        <x:v>0.25</x:v>
      </x:c>
    </x:row>
    <x:row r="447" ht="30" customHeight="1">
      <x:c r="C447" s="64" t="str">
        <x:v>Downside</x:v>
      </x:c>
      <x:c r="D447" s="63"/>
      <x:c r="E447" s="85" t="n">
        <x:v>0.25</x:v>
      </x:c>
      <x:c r="F447" s="85" t="n">
        <x:v>0.25</x:v>
      </x:c>
      <x:c r="G447" s="85" t="n">
        <x:v>0.25</x:v>
      </x:c>
      <x:c r="H447" s="85" t="n">
        <x:v>0.25</x:v>
      </x:c>
      <x:c r="I447" s="85" t="n">
        <x:v>0.25</x:v>
      </x:c>
    </x:row>
    <x:row r="448" ht="30" customHeight="1">
      <x:c r="C448" s="64" t="str">
        <x:v>Upside</x:v>
      </x:c>
      <x:c r="D448" s="63"/>
      <x:c r="E448" s="85" t="n">
        <x:v>0.25</x:v>
      </x:c>
      <x:c r="F448" s="85" t="n">
        <x:v>0.25</x:v>
      </x:c>
      <x:c r="G448" s="85" t="n">
        <x:v>0.25</x:v>
      </x:c>
      <x:c r="H448" s="85" t="n">
        <x:v>0.25</x:v>
      </x:c>
      <x:c r="I448" s="85" t="n">
        <x:v>0.25</x:v>
      </x:c>
    </x:row>
    <x:row r="449" ht="30" customHeight="1">
      <x:c r="C449" s="64"/>
      <x:c r="D449" s="63"/>
      <x:c r="E449" s="63"/>
      <x:c r="F449" s="63"/>
      <x:c r="G449" s="63"/>
      <x:c r="H449" s="63"/>
      <x:c r="I449" s="63"/>
    </x:row>
    <x:row r="450" ht="30" customHeight="1">
      <x:c r="C450" s="64" t="str">
        <x:v>Interest on opening debt — active</x:v>
      </x:c>
      <x:c r="D450" s="63"/>
      <x:c r="E450" s="83" t="n">
        <x:f>IF(COUNT(CHOOSE('Controls'!$E$5,E451,E452,E453))=1,CHOOSE('Controls'!$E$5,E451,E452,E453),NA())</x:f>
        <x:v>0.085</x:v>
      </x:c>
      <x:c r="F450" s="83" t="n">
        <x:f>IF(COUNT(CHOOSE('Controls'!$E$5,F451,F452,F453))=1,CHOOSE('Controls'!$E$5,F451,F452,F453),NA())</x:f>
        <x:v>0.085</x:v>
      </x:c>
      <x:c r="G450" s="83" t="n">
        <x:f>IF(COUNT(CHOOSE('Controls'!$E$5,G451,G452,G453))=1,CHOOSE('Controls'!$E$5,G451,G452,G453),NA())</x:f>
        <x:v>0.085</x:v>
      </x:c>
      <x:c r="H450" s="83" t="n">
        <x:f>IF(COUNT(CHOOSE('Controls'!$E$5,H451,H452,H453))=1,CHOOSE('Controls'!$E$5,H451,H452,H453),NA())</x:f>
        <x:v>0.085</x:v>
      </x:c>
      <x:c r="I450" s="83" t="n">
        <x:f>IF(COUNT(CHOOSE('Controls'!$E$5,I451,I452,I453))=1,CHOOSE('Controls'!$E$5,I451,I452,I453),NA())</x:f>
        <x:v>0.085</x:v>
      </x:c>
    </x:row>
    <x:row r="451" ht="30" customHeight="1">
      <x:c r="C451" s="64" t="str">
        <x:v>Base</x:v>
      </x:c>
      <x:c r="D451" s="63"/>
      <x:c r="E451" s="85" t="n">
        <x:v>0.085</x:v>
      </x:c>
      <x:c r="F451" s="85" t="n">
        <x:v>0.085</x:v>
      </x:c>
      <x:c r="G451" s="85" t="n">
        <x:v>0.085</x:v>
      </x:c>
      <x:c r="H451" s="85" t="n">
        <x:v>0.085</x:v>
      </x:c>
      <x:c r="I451" s="85" t="n">
        <x:v>0.085</x:v>
      </x:c>
    </x:row>
    <x:row r="452" ht="30" customHeight="1">
      <x:c r="C452" s="64" t="str">
        <x:v>Downside</x:v>
      </x:c>
      <x:c r="D452" s="63"/>
      <x:c r="E452" s="85" t="n">
        <x:v>0.085</x:v>
      </x:c>
      <x:c r="F452" s="85" t="n">
        <x:v>0.085</x:v>
      </x:c>
      <x:c r="G452" s="85" t="n">
        <x:v>0.085</x:v>
      </x:c>
      <x:c r="H452" s="85" t="n">
        <x:v>0.085</x:v>
      </x:c>
      <x:c r="I452" s="85" t="n">
        <x:v>0.085</x:v>
      </x:c>
    </x:row>
    <x:row r="453" ht="30" customHeight="1">
      <x:c r="C453" s="64" t="str">
        <x:v>Upside</x:v>
      </x:c>
      <x:c r="D453" s="63"/>
      <x:c r="E453" s="85" t="n">
        <x:v>0.085</x:v>
      </x:c>
      <x:c r="F453" s="85" t="n">
        <x:v>0.085</x:v>
      </x:c>
      <x:c r="G453" s="85" t="n">
        <x:v>0.085</x:v>
      </x:c>
      <x:c r="H453" s="85" t="n">
        <x:v>0.085</x:v>
      </x:c>
      <x:c r="I453" s="85" t="n">
        <x:v>0.085</x:v>
      </x:c>
    </x:row>
    <x:row r="454" ht="30" customHeight="1">
      <x:c r="C454" s="64"/>
      <x:c r="D454" s="63"/>
      <x:c r="E454" s="63"/>
      <x:c r="F454" s="63"/>
      <x:c r="G454" s="63"/>
      <x:c r="H454" s="63"/>
      <x:c r="I454" s="63"/>
    </x:row>
    <x:row r="455" ht="30" customHeight="1">
      <x:c r="C455" s="64" t="str">
        <x:v>New borrowing — active</x:v>
      </x:c>
      <x:c r="D455" s="63"/>
      <x:c r="E455" s="8" t="n">
        <x:f>IF(COUNT(CHOOSE('Controls'!$E$5,E456,E457,E458))=1,CHOOSE('Controls'!$E$5,E456,E457,E458),NA())</x:f>
        <x:v>0</x:v>
      </x:c>
      <x:c r="F455" s="8" t="n">
        <x:f>IF(COUNT(CHOOSE('Controls'!$E$5,F456,F457,F458))=1,CHOOSE('Controls'!$E$5,F456,F457,F458),NA())</x:f>
        <x:v>0</x:v>
      </x:c>
      <x:c r="G455" s="8" t="n">
        <x:f>IF(COUNT(CHOOSE('Controls'!$E$5,G456,G457,G458))=1,CHOOSE('Controls'!$E$5,G456,G457,G458),NA())</x:f>
        <x:v>0</x:v>
      </x:c>
      <x:c r="H455" s="8" t="n">
        <x:f>IF(COUNT(CHOOSE('Controls'!$E$5,H456,H457,H458))=1,CHOOSE('Controls'!$E$5,H456,H457,H458),NA())</x:f>
        <x:v>0</x:v>
      </x:c>
      <x:c r="I455" s="8" t="n">
        <x:f>IF(COUNT(CHOOSE('Controls'!$E$5,I456,I457,I458))=1,CHOOSE('Controls'!$E$5,I456,I457,I458),NA())</x:f>
        <x:v>0</x:v>
      </x:c>
    </x:row>
    <x:row r="456" ht="30" customHeight="1">
      <x:c r="C456" s="64" t="str">
        <x:v>Base</x:v>
      </x:c>
      <x:c r="D456" s="63"/>
      <x:c r="E456" s="74" t="n">
        <x:v>0</x:v>
      </x:c>
      <x:c r="F456" s="74" t="n">
        <x:v>0</x:v>
      </x:c>
      <x:c r="G456" s="74" t="n">
        <x:v>0</x:v>
      </x:c>
      <x:c r="H456" s="74" t="n">
        <x:v>0</x:v>
      </x:c>
      <x:c r="I456" s="74" t="n">
        <x:v>0</x:v>
      </x:c>
    </x:row>
    <x:row r="457" ht="30" customHeight="1">
      <x:c r="C457" s="64" t="str">
        <x:v>Downside</x:v>
      </x:c>
      <x:c r="D457" s="63"/>
      <x:c r="E457" s="74" t="n">
        <x:v>0</x:v>
      </x:c>
      <x:c r="F457" s="74" t="n">
        <x:v>0</x:v>
      </x:c>
      <x:c r="G457" s="74" t="n">
        <x:v>0</x:v>
      </x:c>
      <x:c r="H457" s="74" t="n">
        <x:v>0</x:v>
      </x:c>
      <x:c r="I457" s="74" t="n">
        <x:v>0</x:v>
      </x:c>
    </x:row>
    <x:row r="458" ht="30" customHeight="1">
      <x:c r="C458" s="64" t="str">
        <x:v>Upside</x:v>
      </x:c>
      <x:c r="D458" s="63"/>
      <x:c r="E458" s="74" t="n">
        <x:v>0</x:v>
      </x:c>
      <x:c r="F458" s="74" t="n">
        <x:v>0</x:v>
      </x:c>
      <x:c r="G458" s="74" t="n">
        <x:v>0</x:v>
      </x:c>
      <x:c r="H458" s="74" t="n">
        <x:v>0</x:v>
      </x:c>
      <x:c r="I458" s="74" t="n">
        <x:v>0</x:v>
      </x:c>
    </x:row>
    <x:row r="459" ht="30" customHeight="1">
      <x:c r="C459" s="64"/>
      <x:c r="D459" s="63"/>
      <x:c r="E459" s="63"/>
      <x:c r="F459" s="63"/>
      <x:c r="G459" s="63"/>
      <x:c r="H459" s="63"/>
      <x:c r="I459" s="63"/>
    </x:row>
    <x:row r="460" ht="30" customHeight="1">
      <x:c r="C460" s="64" t="str">
        <x:v>Scheduled principal repayment — active</x:v>
      </x:c>
      <x:c r="D460" s="63"/>
      <x:c r="E460" s="8" t="n">
        <x:f>IF(COUNT(CHOOSE('Controls'!$E$5,E461,E462,E463))=1,CHOOSE('Controls'!$E$5,E461,E462,E463),NA())</x:f>
        <x:v>90</x:v>
      </x:c>
      <x:c r="F460" s="8" t="n">
        <x:f>IF(COUNT(CHOOSE('Controls'!$E$5,F461,F462,F463))=1,CHOOSE('Controls'!$E$5,F461,F462,F463),NA())</x:f>
        <x:v>90</x:v>
      </x:c>
      <x:c r="G460" s="8" t="n">
        <x:f>IF(COUNT(CHOOSE('Controls'!$E$5,G461,G462,G463))=1,CHOOSE('Controls'!$E$5,G461,G462,G463),NA())</x:f>
        <x:v>90</x:v>
      </x:c>
      <x:c r="H460" s="8" t="n">
        <x:f>IF(COUNT(CHOOSE('Controls'!$E$5,H461,H462,H463))=1,CHOOSE('Controls'!$E$5,H461,H462,H463),NA())</x:f>
        <x:v>90</x:v>
      </x:c>
      <x:c r="I460" s="8" t="n">
        <x:f>IF(COUNT(CHOOSE('Controls'!$E$5,I461,I462,I463))=1,CHOOSE('Controls'!$E$5,I461,I462,I463),NA())</x:f>
        <x:v>90</x:v>
      </x:c>
    </x:row>
    <x:row r="461" ht="30" customHeight="1">
      <x:c r="C461" s="64" t="str">
        <x:v>Base</x:v>
      </x:c>
      <x:c r="D461" s="63"/>
      <x:c r="E461" s="74" t="n">
        <x:v>90</x:v>
      </x:c>
      <x:c r="F461" s="74" t="n">
        <x:v>90</x:v>
      </x:c>
      <x:c r="G461" s="74" t="n">
        <x:v>90</x:v>
      </x:c>
      <x:c r="H461" s="74" t="n">
        <x:v>90</x:v>
      </x:c>
      <x:c r="I461" s="74" t="n">
        <x:v>90</x:v>
      </x:c>
    </x:row>
    <x:row r="462" ht="30" customHeight="1">
      <x:c r="C462" s="64" t="str">
        <x:v>Downside</x:v>
      </x:c>
      <x:c r="D462" s="63"/>
      <x:c r="E462" s="74" t="n">
        <x:v>90</x:v>
      </x:c>
      <x:c r="F462" s="74" t="n">
        <x:v>90</x:v>
      </x:c>
      <x:c r="G462" s="74" t="n">
        <x:v>90</x:v>
      </x:c>
      <x:c r="H462" s="74" t="n">
        <x:v>90</x:v>
      </x:c>
      <x:c r="I462" s="74" t="n">
        <x:v>90</x:v>
      </x:c>
    </x:row>
    <x:row r="463" ht="30" customHeight="1">
      <x:c r="C463" s="64" t="str">
        <x:v>Upside</x:v>
      </x:c>
      <x:c r="D463" s="63"/>
      <x:c r="E463" s="74" t="n">
        <x:v>90</x:v>
      </x:c>
      <x:c r="F463" s="74" t="n">
        <x:v>90</x:v>
      </x:c>
      <x:c r="G463" s="74" t="n">
        <x:v>90</x:v>
      </x:c>
      <x:c r="H463" s="74" t="n">
        <x:v>90</x:v>
      </x:c>
      <x:c r="I463" s="74" t="n">
        <x:v>90</x:v>
      </x:c>
    </x:row>
    <x:row r="464" ht="30" customHeight="1">
      <x:c r="C464" s="64"/>
      <x:c r="D464" s="63"/>
      <x:c r="E464" s="63"/>
      <x:c r="F464" s="63"/>
      <x:c r="G464" s="63"/>
      <x:c r="H464" s="63"/>
      <x:c r="I464" s="63"/>
    </x:row>
    <x:row r="465" ht="30" customHeight="1">
      <x:c r="C465" s="64" t="str">
        <x:v>Dividend payout on positive PAT — active</x:v>
      </x:c>
      <x:c r="D465" s="63"/>
      <x:c r="E465" s="83" t="n">
        <x:f>IF(COUNT(CHOOSE('Controls'!$E$5,E466,E467,E468))=1,CHOOSE('Controls'!$E$5,E466,E467,E468),NA())</x:f>
        <x:v>0.25</x:v>
      </x:c>
      <x:c r="F465" s="83" t="n">
        <x:f>IF(COUNT(CHOOSE('Controls'!$E$5,F466,F467,F468))=1,CHOOSE('Controls'!$E$5,F466,F467,F468),NA())</x:f>
        <x:v>0.25</x:v>
      </x:c>
      <x:c r="G465" s="83" t="n">
        <x:f>IF(COUNT(CHOOSE('Controls'!$E$5,G466,G467,G468))=1,CHOOSE('Controls'!$E$5,G466,G467,G468),NA())</x:f>
        <x:v>0.25</x:v>
      </x:c>
      <x:c r="H465" s="83" t="n">
        <x:f>IF(COUNT(CHOOSE('Controls'!$E$5,H466,H467,H468))=1,CHOOSE('Controls'!$E$5,H466,H467,H468),NA())</x:f>
        <x:v>0.25</x:v>
      </x:c>
      <x:c r="I465" s="83" t="n">
        <x:f>IF(COUNT(CHOOSE('Controls'!$E$5,I466,I467,I468))=1,CHOOSE('Controls'!$E$5,I466,I467,I468),NA())</x:f>
        <x:v>0.25</x:v>
      </x:c>
    </x:row>
    <x:row r="466" ht="30" customHeight="1">
      <x:c r="C466" s="64" t="str">
        <x:v>Base</x:v>
      </x:c>
      <x:c r="D466" s="63"/>
      <x:c r="E466" s="85" t="n">
        <x:v>0.25</x:v>
      </x:c>
      <x:c r="F466" s="85" t="n">
        <x:v>0.25</x:v>
      </x:c>
      <x:c r="G466" s="85" t="n">
        <x:v>0.25</x:v>
      </x:c>
      <x:c r="H466" s="85" t="n">
        <x:v>0.25</x:v>
      </x:c>
      <x:c r="I466" s="85" t="n">
        <x:v>0.25</x:v>
      </x:c>
    </x:row>
    <x:row r="467" ht="30" customHeight="1">
      <x:c r="C467" s="64" t="str">
        <x:v>Downside</x:v>
      </x:c>
      <x:c r="D467" s="63"/>
      <x:c r="E467" s="85" t="n">
        <x:v>0.25</x:v>
      </x:c>
      <x:c r="F467" s="85" t="n">
        <x:v>0.25</x:v>
      </x:c>
      <x:c r="G467" s="85" t="n">
        <x:v>0.25</x:v>
      </x:c>
      <x:c r="H467" s="85" t="n">
        <x:v>0.25</x:v>
      </x:c>
      <x:c r="I467" s="85" t="n">
        <x:v>0.25</x:v>
      </x:c>
    </x:row>
    <x:row r="468" ht="30" customHeight="1">
      <x:c r="C468" s="64" t="str">
        <x:v>Upside</x:v>
      </x:c>
      <x:c r="D468" s="63"/>
      <x:c r="E468" s="85" t="n">
        <x:v>0.25</x:v>
      </x:c>
      <x:c r="F468" s="85" t="n">
        <x:v>0.25</x:v>
      </x:c>
      <x:c r="G468" s="85" t="n">
        <x:v>0.25</x:v>
      </x:c>
      <x:c r="H468" s="85" t="n">
        <x:v>0.25</x:v>
      </x:c>
      <x:c r="I468" s="85" t="n">
        <x:v>0.25</x:v>
      </x:c>
    </x:row>
    <x:row r="469" ht="30" customHeight="1">
      <x:c r="C469" s="64"/>
      <x:c r="D469" s="63"/>
      <x:c r="E469" s="63"/>
      <x:c r="F469" s="63"/>
      <x:c r="G469" s="63"/>
      <x:c r="H469" s="63"/>
      <x:c r="I469" s="63"/>
    </x:row>
    <x:row r="470" ht="30" customHeight="1">
      <x:c r="C470" s="64"/>
      <x:c r="D470" s="63"/>
      <x:c r="E470" s="63"/>
      <x:c r="F470" s="63"/>
      <x:c r="G470" s="63"/>
      <x:c r="H470" s="63"/>
      <x:c r="I470" s="63"/>
    </x:row>
    <x:row r="471" ht="30" customHeight="1">
      <x:c r="C471" s="64"/>
      <x:c r="D471" s="63"/>
      <x:c r="E471" s="63"/>
      <x:c r="F471" s="63"/>
      <x:c r="G471" s="63"/>
      <x:c r="H471" s="63"/>
      <x:c r="I471" s="63"/>
    </x:row>
    <x:row r="472" ht="30" customHeight="1">
      <x:c r="C472" s="64"/>
      <x:c r="D472" s="63"/>
      <x:c r="E472" s="63"/>
      <x:c r="F472" s="63"/>
      <x:c r="G472" s="63"/>
      <x:c r="H472" s="63"/>
      <x:c r="I472" s="63"/>
    </x:row>
    <x:row r="473" ht="30" customHeight="1">
      <x:c r="C473" s="64"/>
      <x:c r="D473" s="63"/>
      <x:c r="E473" s="63"/>
      <x:c r="F473" s="63"/>
      <x:c r="G473" s="63"/>
      <x:c r="H473" s="63"/>
      <x:c r="I473" s="63"/>
    </x:row>
    <x:row r="474" ht="30" customHeight="1">
      <x:c r="C474" s="64"/>
      <x:c r="D474" s="63"/>
      <x:c r="E474" s="63"/>
      <x:c r="F474" s="63"/>
      <x:c r="G474" s="63"/>
      <x:c r="H474" s="63"/>
      <x:c r="I474" s="63"/>
    </x:row>
    <x:row r="475" ht="30" customHeight="1">
      <x:c r="C475" s="64"/>
      <x:c r="D475" s="63"/>
      <x:c r="E475" s="63"/>
      <x:c r="F475" s="63"/>
      <x:c r="G475" s="63"/>
      <x:c r="H475" s="63"/>
      <x:c r="I475" s="63"/>
    </x:row>
    <x:row r="476" ht="30" customHeight="1">
      <x:c r="C476" s="64"/>
      <x:c r="D476" s="63"/>
      <x:c r="E476" s="63"/>
      <x:c r="F476" s="63"/>
      <x:c r="G476" s="63"/>
      <x:c r="H476" s="63"/>
      <x:c r="I476" s="63"/>
    </x:row>
    <x:row r="477" ht="30" customHeight="1">
      <x:c r="C477" s="64"/>
      <x:c r="D477" s="63"/>
      <x:c r="E477" s="63"/>
      <x:c r="F477" s="63"/>
      <x:c r="G477" s="63"/>
      <x:c r="H477" s="63"/>
      <x:c r="I477" s="63"/>
    </x:row>
    <x:row r="478" ht="30" customHeight="1">
      <x:c r="C478" s="64"/>
      <x:c r="D478" s="63"/>
      <x:c r="E478" s="63"/>
      <x:c r="F478" s="63"/>
      <x:c r="G478" s="63"/>
      <x:c r="H478" s="63"/>
      <x:c r="I478" s="63"/>
    </x:row>
    <x:row r="479" ht="30" customHeight="1">
      <x:c r="C479" s="64"/>
      <x:c r="D479" s="63"/>
      <x:c r="E479" s="63"/>
      <x:c r="F479" s="63"/>
      <x:c r="G479" s="63"/>
      <x:c r="H479" s="63"/>
      <x:c r="I479" s="63"/>
    </x:row>
    <x:row r="480" ht="30" customHeight="1">
      <x:c r="C480" s="64"/>
      <x:c r="D480" s="63"/>
      <x:c r="E480" s="63"/>
      <x:c r="F480" s="63"/>
      <x:c r="G480" s="63"/>
      <x:c r="H480" s="63"/>
      <x:c r="I480" s="63"/>
    </x:row>
    <x:row r="481" ht="30" customHeight="1">
      <x:c r="C481" s="64"/>
      <x:c r="D481" s="63"/>
      <x:c r="E481" s="63"/>
      <x:c r="F481" s="63"/>
      <x:c r="G481" s="63"/>
      <x:c r="H481" s="63"/>
      <x:c r="I481" s="63"/>
    </x:row>
    <x:row r="482" ht="30" customHeight="1">
      <x:c r="C482" s="64"/>
      <x:c r="D482" s="63"/>
      <x:c r="E482" s="63"/>
      <x:c r="F482" s="63"/>
      <x:c r="G482" s="63"/>
      <x:c r="H482" s="63"/>
      <x:c r="I482" s="63"/>
    </x:row>
    <x:row r="483" ht="30" customHeight="1">
      <x:c r="C483" s="64"/>
      <x:c r="D483" s="63"/>
      <x:c r="E483" s="63"/>
      <x:c r="F483" s="63"/>
      <x:c r="G483" s="63"/>
      <x:c r="H483" s="63"/>
      <x:c r="I483" s="63"/>
    </x:row>
    <x:row r="484" ht="30" customHeight="1">
      <x:c r="C484" s="64"/>
      <x:c r="D484" s="63"/>
      <x:c r="E484" s="63"/>
      <x:c r="F484" s="63"/>
      <x:c r="G484" s="63"/>
      <x:c r="H484" s="63"/>
      <x:c r="I484" s="63"/>
    </x:row>
    <x:row r="485" ht="30" customHeight="1">
      <x:c r="C485" s="64"/>
      <x:c r="D485" s="63"/>
      <x:c r="E485" s="63"/>
      <x:c r="F485" s="63"/>
      <x:c r="G485" s="63"/>
      <x:c r="H485" s="63"/>
      <x:c r="I485" s="63"/>
    </x:row>
    <x:row r="486" ht="30" customHeight="1">
      <x:c r="C486" s="64"/>
      <x:c r="D486" s="63"/>
      <x:c r="E486" s="63"/>
      <x:c r="F486" s="63"/>
      <x:c r="G486" s="63"/>
      <x:c r="H486" s="63"/>
      <x:c r="I486" s="63"/>
    </x:row>
    <x:row r="487" ht="30" customHeight="1">
      <x:c r="C487" s="64"/>
      <x:c r="D487" s="63"/>
      <x:c r="E487" s="63"/>
      <x:c r="F487" s="63"/>
      <x:c r="G487" s="63"/>
      <x:c r="H487" s="63"/>
      <x:c r="I487" s="63"/>
    </x:row>
    <x:row r="488" ht="30" customHeight="1">
      <x:c r="C488" s="64"/>
      <x:c r="D488" s="63"/>
      <x:c r="E488" s="63"/>
      <x:c r="F488" s="63"/>
      <x:c r="G488" s="63"/>
      <x:c r="H488" s="63"/>
      <x:c r="I488" s="63"/>
    </x:row>
    <x:row r="489" ht="30" customHeight="1">
      <x:c r="C489" s="64"/>
      <x:c r="D489" s="63"/>
      <x:c r="E489" s="63"/>
      <x:c r="F489" s="63"/>
      <x:c r="G489" s="63"/>
      <x:c r="H489" s="63"/>
      <x:c r="I489" s="63"/>
    </x:row>
    <x:row r="490" ht="30" customHeight="1">
      <x:c r="C490" s="64"/>
      <x:c r="D490" s="63"/>
      <x:c r="E490" s="63"/>
      <x:c r="F490" s="63"/>
      <x:c r="G490" s="63"/>
      <x:c r="H490" s="63"/>
      <x:c r="I490" s="63"/>
    </x:row>
    <x:row r="491" ht="30" customHeight="1">
      <x:c r="C491" s="64"/>
      <x:c r="D491" s="63"/>
      <x:c r="E491" s="63"/>
      <x:c r="F491" s="63"/>
      <x:c r="G491" s="63"/>
      <x:c r="H491" s="63"/>
      <x:c r="I491" s="63"/>
    </x:row>
    <x:row r="492" ht="30" customHeight="1">
      <x:c r="C492" s="64"/>
      <x:c r="D492" s="63"/>
      <x:c r="E492" s="63"/>
      <x:c r="F492" s="63"/>
      <x:c r="G492" s="63"/>
      <x:c r="H492" s="63"/>
      <x:c r="I492" s="63"/>
    </x:row>
    <x:row r="493" ht="30" customHeight="1">
      <x:c r="C493" s="64"/>
      <x:c r="D493" s="63"/>
      <x:c r="E493" s="63"/>
      <x:c r="F493" s="63"/>
      <x:c r="G493" s="63"/>
      <x:c r="H493" s="63"/>
      <x:c r="I493" s="63"/>
    </x:row>
    <x:row r="494" ht="30" customHeight="1">
      <x:c r="C494" s="64"/>
      <x:c r="D494" s="63"/>
      <x:c r="E494" s="63"/>
      <x:c r="F494" s="63"/>
      <x:c r="G494" s="63"/>
      <x:c r="H494" s="63"/>
      <x:c r="I494" s="63"/>
    </x:row>
    <x:row r="495" ht="30" customHeight="1">
      <x:c r="C495" s="64"/>
      <x:c r="D495" s="63"/>
      <x:c r="E495" s="63"/>
      <x:c r="F495" s="63"/>
      <x:c r="G495" s="63"/>
      <x:c r="H495" s="63"/>
      <x:c r="I495" s="63"/>
    </x:row>
    <x:row r="496" ht="30" customHeight="1">
      <x:c r="C496" s="64"/>
      <x:c r="D496" s="63"/>
      <x:c r="E496" s="63"/>
      <x:c r="F496" s="63"/>
      <x:c r="G496" s="63"/>
      <x:c r="H496" s="63"/>
      <x:c r="I496" s="63"/>
    </x:row>
    <x:row r="497" ht="30" customHeight="1">
      <x:c r="C497" s="64"/>
      <x:c r="D497" s="63"/>
      <x:c r="E497" s="63"/>
      <x:c r="F497" s="63"/>
      <x:c r="G497" s="63"/>
      <x:c r="H497" s="63"/>
      <x:c r="I497" s="63"/>
    </x:row>
    <x:row r="498" ht="30" customHeight="1">
      <x:c r="C498" s="64"/>
      <x:c r="D498" s="63"/>
      <x:c r="E498" s="63"/>
      <x:c r="F498" s="63"/>
      <x:c r="G498" s="63"/>
      <x:c r="H498" s="63"/>
      <x:c r="I498" s="63"/>
    </x:row>
    <x:row r="499" ht="30" customHeight="1">
      <x:c r="C499" s="64"/>
      <x:c r="D499" s="63"/>
      <x:c r="E499" s="63"/>
      <x:c r="F499" s="63"/>
      <x:c r="G499" s="63"/>
      <x:c r="H499" s="63"/>
      <x:c r="I499" s="63"/>
    </x:row>
    <x:row r="500" ht="30" customHeight="1">
      <x:c r="C500" s="64"/>
      <x:c r="D500" s="63"/>
      <x:c r="E500" s="63"/>
      <x:c r="F500" s="63"/>
      <x:c r="G500" s="63"/>
      <x:c r="H500" s="63"/>
      <x:c r="I500" s="63"/>
    </x:row>
    <x:row r="501" ht="30" customHeight="1">
      <x:c r="C501" s="64"/>
      <x:c r="D501" s="63"/>
      <x:c r="E501" s="63"/>
      <x:c r="F501" s="63"/>
      <x:c r="G501" s="63"/>
      <x:c r="H501" s="63"/>
      <x:c r="I501" s="63"/>
    </x:row>
    <x:row r="502" ht="30" customHeight="1">
      <x:c r="C502" s="64"/>
      <x:c r="D502" s="63"/>
      <x:c r="E502" s="63"/>
      <x:c r="F502" s="63"/>
      <x:c r="G502" s="63"/>
      <x:c r="H502" s="63"/>
      <x:c r="I502" s="63"/>
    </x:row>
    <x:row r="503" ht="30" customHeight="1">
      <x:c r="C503" s="64"/>
      <x:c r="D503" s="63"/>
      <x:c r="E503" s="63"/>
      <x:c r="F503" s="63"/>
      <x:c r="G503" s="63"/>
      <x:c r="H503" s="63"/>
      <x:c r="I503" s="63"/>
    </x:row>
    <x:row r="504" ht="30" customHeight="1">
      <x:c r="C504" s="64"/>
      <x:c r="D504" s="63"/>
      <x:c r="E504" s="63"/>
      <x:c r="F504" s="63"/>
      <x:c r="G504" s="63"/>
      <x:c r="H504" s="63"/>
      <x:c r="I504" s="63"/>
    </x:row>
    <x:row r="505" ht="30" customHeight="1">
      <x:c r="C505" s="64"/>
      <x:c r="D505" s="63"/>
      <x:c r="E505" s="63"/>
      <x:c r="F505" s="63"/>
      <x:c r="G505" s="63"/>
      <x:c r="H505" s="63"/>
      <x:c r="I505" s="63"/>
    </x:row>
    <x:row r="506" ht="30" customHeight="1">
      <x:c r="C506" s="64"/>
      <x:c r="D506" s="63"/>
      <x:c r="E506" s="63"/>
      <x:c r="F506" s="63"/>
      <x:c r="G506" s="63"/>
      <x:c r="H506" s="63"/>
      <x:c r="I506" s="63"/>
    </x:row>
    <x:row r="507" ht="30" customHeight="1">
      <x:c r="C507" s="64"/>
      <x:c r="D507" s="63"/>
      <x:c r="E507" s="63"/>
      <x:c r="F507" s="63"/>
      <x:c r="G507" s="63"/>
      <x:c r="H507" s="63"/>
      <x:c r="I507" s="63"/>
    </x:row>
    <x:row r="508" ht="30" customHeight="1">
      <x:c r="C508" s="64"/>
      <x:c r="D508" s="63"/>
      <x:c r="E508" s="63"/>
      <x:c r="F508" s="63"/>
      <x:c r="G508" s="63"/>
      <x:c r="H508" s="63"/>
      <x:c r="I508" s="63"/>
    </x:row>
    <x:row r="509" ht="30" customHeight="1">
      <x:c r="C509" s="64"/>
      <x:c r="D509" s="63"/>
      <x:c r="E509" s="63"/>
      <x:c r="F509" s="63"/>
      <x:c r="G509" s="63"/>
      <x:c r="H509" s="63"/>
      <x:c r="I509" s="63"/>
    </x:row>
    <x:row r="510" ht="30" customHeight="1">
      <x:c r="C510" s="64"/>
      <x:c r="D510" s="63"/>
      <x:c r="E510" s="63"/>
      <x:c r="F510" s="63"/>
      <x:c r="G510" s="63"/>
      <x:c r="H510" s="63"/>
      <x:c r="I510" s="63"/>
    </x:row>
  </x:sheetData>
  <x:mergeCells>
    <x:mergeCell ref="M2:U2"/>
    <x:mergeCell ref="M9:U9"/>
    <x:mergeCell ref="M10:U10"/>
    <x:mergeCell ref="M30:U30"/>
    <x:mergeCell ref="M43:U44"/>
    <x:mergeCell ref="M48:R48"/>
    <x:mergeCell ref="M58:R58"/>
    <x:mergeCell ref="M68:R68"/>
  </x:mergeCells>
  <x:conditionalFormatting sqref="E101:I101">
    <x:cfRule type="expression" dxfId="30" priority="1">
      <x:formula>ABS(E101)&gt;0.01</x:formula>
    </x:cfRule>
  </x:conditionalFormatting>
  <x:conditionalFormatting sqref="E102:I102">
    <x:cfRule type="expression" dxfId="31" priority="2">
      <x:formula>ABS(E102)&gt;0.01</x:formula>
    </x:cfRule>
  </x:conditionalFormatting>
  <x:conditionalFormatting sqref="E103:I103">
    <x:cfRule type="expression" dxfId="32" priority="3">
      <x:formula>ABS(E103)&gt;0.01</x:formula>
    </x:cfRule>
  </x:conditionalFormatting>
  <x:conditionalFormatting sqref="E104:I104">
    <x:cfRule type="expression" dxfId="33" priority="4">
      <x:formula>ABS(E104)&gt;0.01</x:formula>
    </x:cfRule>
  </x:conditionalFormatting>
  <x:conditionalFormatting sqref="E105:I105">
    <x:cfRule type="expression" dxfId="34" priority="5">
      <x:formula>ABS(E105)&gt;0.01</x:formula>
    </x:cfRule>
  </x:conditionalFormatting>
  <x:conditionalFormatting sqref="E180:I206">
    <x:cfRule type="cellIs" dxfId="82" priority="6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b4c5c5f64c0d42c5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88" hidden="0" customWidth="1"/>
    <x:col min="13" max="13" width="3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45" hidden="0" customWidth="1"/>
  </x:cols>
  <x:sheetData>
    <x:row r="1" ht="18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  <x:c r="K1" s="1"/>
    </x:row>
    <x:row r="2" ht="32" customHeight="1">
      <x:c r="A2" s="1"/>
      <x:c r="B2" s="1"/>
      <x:c r="C2" s="3" t="str">
        <x:v>Telecom</x:v>
      </x:c>
      <x:c r="D2" s="2"/>
      <x:c r="E2" s="2"/>
      <x:c r="F2" s="2"/>
      <x:c r="G2" s="2"/>
      <x:c r="H2" s="2"/>
      <x:c r="I2" s="2"/>
      <x:c r="J2" s="1"/>
      <x:c r="K2" s="1"/>
      <x:c r="M2" s="86" t="str">
        <x:v>Telecom | Client summary</x:v>
      </x:c>
      <x:c r="N2" s="86"/>
      <x:c r="O2" s="86"/>
      <x:c r="P2" s="86"/>
      <x:c r="Q2" s="86"/>
      <x:c r="R2" s="86"/>
      <x:c r="S2" s="86"/>
      <x:c r="T2" s="86"/>
      <x:c r="U2" s="86"/>
      <x:c r="V2" s="63"/>
      <x:c r="X2" t="str">
        <x:v>Forecast year</x:v>
      </x:c>
      <x:c r="Y2" t="str">
        <x:v>Income</x:v>
      </x:c>
      <x:c r="Z2" t="str">
        <x:v>Profit after tax</x:v>
      </x:c>
    </x:row>
    <x:row r="3" ht="18" customHeight="1">
      <x:c r="A3" s="1"/>
      <x:c r="B3" s="1"/>
      <x:c r="C3" s="4"/>
      <x:c r="D3" s="5"/>
      <x:c r="E3" s="5"/>
      <x:c r="F3" s="5"/>
      <x:c r="G3" s="5"/>
      <x:c r="H3" s="5"/>
      <x:c r="I3" s="5"/>
      <x:c r="J3" s="1"/>
      <x:c r="K3" s="1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X3" t="n">
        <x:f>'Controls'!$E$17+0</x:f>
        <x:v>2027</x:v>
      </x:c>
      <x:c r="Y3" t="n">
        <x:f>E47</x:f>
        <x:v>8898.119999999999</x:v>
      </x:c>
      <x:c r="Z3" t="n">
        <x:f>E58</x:f>
        <x:v>649.5731999999994</x:v>
      </x:c>
    </x:row>
    <x:row r="4" ht="18" customHeight="1">
      <x:c r="A4" s="1"/>
      <x:c r="B4" s="1"/>
      <x:c r="C4" s="1" t="str">
        <x:v>Illustrative assumptions. Financial amounts in INR crore.</x:v>
      </x:c>
      <x:c r="D4" s="2"/>
      <x:c r="E4" s="2"/>
      <x:c r="F4" s="2"/>
      <x:c r="G4" s="2"/>
      <x:c r="H4" s="2"/>
      <x:c r="I4" s="2"/>
      <x:c r="J4" s="1"/>
      <x:c r="K4" s="1"/>
      <x:c r="M4" s="63" t="str">
        <x:v>Company / model name</x:v>
      </x:c>
      <x:c r="N4" s="63" t="str">
        <x:v>Illustrative company</x:v>
      </x:c>
      <x:c r="O4" s="63"/>
      <x:c r="P4" s="63"/>
      <x:c r="Q4" s="63"/>
      <x:c r="R4" s="63"/>
      <x:c r="S4" s="63"/>
      <x:c r="T4" s="63"/>
      <x:c r="U4" s="63"/>
      <x:c r="V4" s="63"/>
      <x:c r="X4" t="n">
        <x:f>'Controls'!$E$17+1</x:f>
        <x:v>2028</x:v>
      </x:c>
      <x:c r="Y4" t="n">
        <x:f>F47</x:f>
        <x:v>9997.037820000001</x:v>
      </x:c>
      <x:c r="Z4" t="n">
        <x:f>F58</x:f>
        <x:v>1179.9924552000002</x:v>
      </x:c>
    </x:row>
    <x:row r="5" ht="18" customHeight="1">
      <x:c r="A5" s="1"/>
      <x:c r="B5" s="1"/>
      <x:c r="C5" s="1" t="str">
        <x:v>Selected case</x:v>
      </x:c>
      <x:c r="D5" s="2"/>
      <x:c r="E5" s="10" t="str">
        <x:f>'Controls'!E6</x:f>
        <x:v>Base</x:v>
      </x:c>
      <x:c r="F5" s="2"/>
      <x:c r="G5" s="2"/>
      <x:c r="H5" s="2"/>
      <x:c r="I5" s="2"/>
      <x:c r="J5" s="1"/>
      <x:c r="K5" s="1"/>
      <x:c r="M5" s="63" t="str">
        <x:v>Valuation date</x:v>
      </x:c>
      <x:c r="N5" s="87" t="n">
        <x:f>'Controls'!E18</x:f>
        <x:v>46112</x:v>
      </x:c>
      <x:c r="O5" s="63"/>
      <x:c r="P5" s="63"/>
      <x:c r="Q5" s="63"/>
      <x:c r="R5" s="63"/>
      <x:c r="S5" s="63"/>
      <x:c r="T5" s="63"/>
      <x:c r="U5" s="63"/>
      <x:c r="V5" s="63"/>
      <x:c r="X5" t="n">
        <x:f>'Controls'!$E$17+2</x:f>
        <x:v>2029</x:v>
      </x:c>
      <x:c r="Y5" t="n">
        <x:f>G47</x:f>
        <x:v>11231.671990770004</x:v>
      </x:c>
      <x:c r="Z5" t="n">
        <x:f>G58</x:f>
        <x:v>1730.1970151172013</x:v>
      </x:c>
    </x:row>
    <x:row r="6" ht="18" customHeight="1">
      <x:c r="A6" s="1"/>
      <x:c r="B6" s="1"/>
      <x:c r="C6" s="1"/>
      <x:c r="D6" s="2"/>
      <x:c r="E6" s="2"/>
      <x:c r="F6" s="2"/>
      <x:c r="G6" s="2"/>
      <x:c r="H6" s="2"/>
      <x:c r="I6" s="2"/>
      <x:c r="J6" s="1"/>
      <x:c r="K6" s="1"/>
      <x:c r="M6" s="63" t="str">
        <x:v>Selected case</x:v>
      </x:c>
      <x:c r="N6" s="63" t="str">
        <x:f>'Controls'!E6</x:f>
        <x:v>Base</x:v>
      </x:c>
      <x:c r="O6" s="63"/>
      <x:c r="P6" s="63"/>
      <x:c r="Q6" s="63"/>
      <x:c r="R6" s="63"/>
      <x:c r="S6" s="63"/>
      <x:c r="T6" s="63"/>
      <x:c r="U6" s="63"/>
      <x:c r="V6" s="63"/>
      <x:c r="X6" t="n">
        <x:f>'Controls'!$E$17+3</x:f>
        <x:v>2030</x:v>
      </x:c>
      <x:c r="Y6" t="n">
        <x:f>H47</x:f>
        <x:v>12618.7834816301</x:v>
      </x:c>
      <x:c r="Z6" t="n">
        <x:f>H58</x:f>
        <x:v>2307.266644180176</x:v>
      </x:c>
    </x:row>
    <x:row r="7" ht="18" customHeight="1">
      <x:c r="A7" s="1"/>
      <x:c r="B7" s="1"/>
      <x:c r="C7" s="15" t="str">
        <x:v>Metric</x:v>
      </x:c>
      <x:c r="D7" s="16" t="str">
        <x:v>Opening / seed</x:v>
      </x:c>
      <x:c r="E7" s="65" t="n">
        <x:f>'Controls'!$E$17+0</x:f>
        <x:v>2027</x:v>
      </x:c>
      <x:c r="F7" s="65" t="n">
        <x:f>'Controls'!$E$17+1</x:f>
        <x:v>2028</x:v>
      </x:c>
      <x:c r="G7" s="65" t="n">
        <x:f>'Controls'!$E$17+2</x:f>
        <x:v>2029</x:v>
      </x:c>
      <x:c r="H7" s="65" t="n">
        <x:f>'Controls'!$E$17+3</x:f>
        <x:v>2030</x:v>
      </x:c>
      <x:c r="I7" s="65" t="n">
        <x:f>'Controls'!$E$17+4</x:f>
        <x:v>2031</x:v>
      </x:c>
      <x:c r="J7" s="1"/>
      <x:c r="K7" s="1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X7" t="n">
        <x:f>'Controls'!$E$17+4</x:f>
        <x:v>2031</x:v>
      </x:c>
      <x:c r="Y7" t="n">
        <x:f>I47</x:f>
        <x:v>14177.20324161142</x:v>
      </x:c>
      <x:c r="Z7" t="n">
        <x:f>I58</x:f>
        <x:v>2918.5991042089076</x:v>
      </x:c>
    </x:row>
    <x:row r="8" ht="18" customHeight="1">
      <x:c r="A8" s="1"/>
      <x:c r="B8" s="1"/>
      <x:c r="C8" s="1"/>
      <x:c r="D8" s="2"/>
      <x:c r="E8" s="2"/>
      <x:c r="F8" s="2"/>
      <x:c r="G8" s="2"/>
      <x:c r="H8" s="2"/>
      <x:c r="I8" s="2"/>
      <x:c r="J8" s="1"/>
      <x:c r="K8" s="1"/>
      <x:c r="M8" s="63" t="str">
        <x:v>Equity value (INR crore)</x:v>
      </x:c>
      <x:c r="N8" s="8" t="n">
        <x:f>E93</x:f>
        <x:v>19329.440828302973</x:v>
      </x:c>
      <x:c r="O8" s="63"/>
      <x:c r="P8" s="63"/>
      <x:c r="Q8" s="63"/>
      <x:c r="R8" s="63"/>
      <x:c r="S8" s="63"/>
      <x:c r="T8" s="63"/>
      <x:c r="U8" s="63"/>
      <x:c r="V8" s="63"/>
    </x:row>
    <x:row r="9" ht="18" customHeight="1">
      <x:c r="A9" s="1"/>
      <x:c r="B9" s="1"/>
      <x:c r="C9" s="19" t="str">
        <x:v>OPERATING ASSUMPTIONS</x:v>
      </x:c>
      <x:c r="D9" s="20"/>
      <x:c r="E9" s="20"/>
      <x:c r="F9" s="20"/>
      <x:c r="G9" s="20"/>
      <x:c r="H9" s="20"/>
      <x:c r="I9" s="20"/>
      <x:c r="J9" s="1"/>
      <x:c r="K9" s="1"/>
      <x:c r="M9" s="63" t="str">
        <x:f>IF(MAX(E99,F99,G99,H99,I99,E100,F100,G100,H100,I100,E101,F101,G101,H101,I101,E102,F102,G102,H102,I102,E103,F103,G103,H103,I103,E180:I205)&gt;0.01,"ATTENTION: model checks contain exceptions",IF(MIN(E99,F99,G99,H99,I99,E100,F100,G100,H100,I100,E101,F101,G101,H101,I101,E102,F102,G102,H102,I102,E103,F103,G103,H103,I103,E180:I205)&lt;-0.01,"ATTENTION: model checks contain exceptions","Model checks clear; review company assumptions"))</x:f>
        <x:v>Model checks clear; review company assumptions</x:v>
      </x:c>
      <x:c r="N9" s="63"/>
      <x:c r="O9" s="63"/>
      <x:c r="P9" s="63"/>
      <x:c r="Q9" s="63"/>
      <x:c r="R9" s="63"/>
      <x:c r="S9" s="63"/>
      <x:c r="T9" s="63"/>
      <x:c r="U9" s="63"/>
      <x:c r="V9" s="63"/>
    </x:row>
    <x:row r="10" ht="18" customHeight="1">
      <x:c r="A10" s="1"/>
      <x:c r="B10" s="1"/>
      <x:c r="C10" s="1" t="str">
        <x:v>Average mobile subscribers (million) — seed</x:v>
      </x:c>
      <x:c r="D10" s="7" t="n">
        <x:v>30</x:v>
      </x:c>
      <x:c r="E10" s="2"/>
      <x:c r="F10" s="2"/>
      <x:c r="G10" s="2"/>
      <x:c r="H10" s="2"/>
      <x:c r="I10" s="2"/>
      <x:c r="J10" s="1"/>
      <x:c r="K10" s="1" t="str">
        <x:v>Input provenance: all amber cells are constructed examples, not external observations.</x:v>
      </x:c>
      <x:c r="M10" s="63" t="str">
        <x:v>Illustrative inputs; replace with company evidence.</x:v>
      </x:c>
      <x:c r="N10" s="63"/>
      <x:c r="O10" s="63"/>
      <x:c r="P10" s="63"/>
      <x:c r="Q10" s="63"/>
      <x:c r="R10" s="63"/>
      <x:c r="S10" s="63"/>
      <x:c r="T10" s="63"/>
      <x:c r="U10" s="63"/>
      <x:c r="V10" s="63"/>
    </x:row>
    <x:row r="11" ht="18" customHeight="1">
      <x:c r="A11" s="1"/>
      <x:c r="B11" s="1"/>
      <x:c r="C11" s="1" t="str">
        <x:v>Monthly ARPU (INR) — seed</x:v>
      </x:c>
      <x:c r="D11" s="7" t="n">
        <x:v>220</x:v>
      </x:c>
      <x:c r="E11" s="2"/>
      <x:c r="F11" s="2"/>
      <x:c r="G11" s="2"/>
      <x:c r="H11" s="2"/>
      <x:c r="I11" s="2"/>
      <x:c r="J11" s="1"/>
      <x:c r="K11" s="1" t="str">
        <x:v>Mobile-only service model. Spectrum, lease debt and license liabilities require separate capitalization schedules.</x:v>
      </x:c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</x:row>
    <x:row r="12" ht="18" customHeight="1">
      <x:c r="A12" s="1"/>
      <x:c r="B12" s="1"/>
      <x:c r="C12" s="28" t="str">
        <x:v>Operating scale growth — active</x:v>
      </x:c>
      <x:c r="D12" s="29"/>
      <x:c r="E12" s="30" t="n">
        <x:f>IF(COUNT(INDEX(E13:E15,'Controls'!$E$5))=0,NA(),INDEX(E13:E15,'Controls'!$E$5))</x:f>
        <x:v>0.05</x:v>
      </x:c>
      <x:c r="F12" s="30" t="n">
        <x:f>IF(COUNT(INDEX(F13:F15,'Controls'!$E$5))=0,NA(),INDEX(F13:F15,'Controls'!$E$5))</x:f>
        <x:v>0.05</x:v>
      </x:c>
      <x:c r="G12" s="30" t="n">
        <x:f>IF(COUNT(INDEX(G13:G15,'Controls'!$E$5))=0,NA(),INDEX(G13:G15,'Controls'!$E$5))</x:f>
        <x:v>0.05</x:v>
      </x:c>
      <x:c r="H12" s="30" t="n">
        <x:f>IF(COUNT(INDEX(H13:H15,'Controls'!$E$5))=0,NA(),INDEX(H13:H15,'Controls'!$E$5))</x:f>
        <x:v>0.05</x:v>
      </x:c>
      <x:c r="I12" s="30" t="n">
        <x:f>IF(COUNT(INDEX(I13:I15,'Controls'!$E$5))=0,NA(),INDEX(I13:I15,'Controls'!$E$5))</x:f>
        <x:v>0.05</x:v>
      </x:c>
      <x:c r="J12" s="1"/>
      <x:c r="K12" s="1" t="str">
        <x:v>Five-year nominal INR model. Positive costs are subtracted. Discounting is end-of-year.</x:v>
      </x:c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</x:row>
    <x:row r="13" ht="18" customHeight="1">
      <x:c r="A13" s="1"/>
      <x:c r="B13" s="1"/>
      <x:c r="C13" s="23" t="str">
        <x:v>Base</x:v>
      </x:c>
      <x:c r="D13" s="24"/>
      <x:c r="E13" s="26" t="n">
        <x:v>0.05</x:v>
      </x:c>
      <x:c r="F13" s="26" t="n">
        <x:v>0.05</x:v>
      </x:c>
      <x:c r="G13" s="26" t="n">
        <x:v>0.05</x:v>
      </x:c>
      <x:c r="H13" s="26" t="n">
        <x:v>0.05</x:v>
      </x:c>
      <x:c r="I13" s="26" t="n">
        <x:v>0.05</x:v>
      </x:c>
      <x:c r="J13" s="1"/>
      <x:c r="K13" s="1" t="str">
        <x:v>Cash earns no interest; borrowing is explicit. Negative cash is an unfunded shortfall.</x:v>
      </x:c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</x:row>
    <x:row r="14" ht="18" customHeight="1">
      <x:c r="A14" s="1"/>
      <x:c r="B14" s="1"/>
      <x:c r="C14" s="23" t="str">
        <x:v>Downside</x:v>
      </x:c>
      <x:c r="D14" s="24"/>
      <x:c r="E14" s="26" t="n">
        <x:v>0</x:v>
      </x:c>
      <x:c r="F14" s="26" t="n">
        <x:v>0</x:v>
      </x:c>
      <x:c r="G14" s="26" t="n">
        <x:v>0</x:v>
      </x:c>
      <x:c r="H14" s="26" t="n">
        <x:v>0</x:v>
      </x:c>
      <x:c r="I14" s="26" t="n">
        <x:v>0</x:v>
      </x:c>
      <x:c r="J14" s="1"/>
      <x:c r="K14" s="1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</x:row>
    <x:row r="15" ht="18" customHeight="1">
      <x:c r="A15" s="1"/>
      <x:c r="B15" s="1"/>
      <x:c r="C15" s="23" t="str">
        <x:v>Upside</x:v>
      </x:c>
      <x:c r="D15" s="24"/>
      <x:c r="E15" s="26" t="n">
        <x:v>0.09</x:v>
      </x:c>
      <x:c r="F15" s="26" t="n">
        <x:v>0.09</x:v>
      </x:c>
      <x:c r="G15" s="26" t="n">
        <x:v>0.09</x:v>
      </x:c>
      <x:c r="H15" s="26" t="n">
        <x:v>0.09</x:v>
      </x:c>
      <x:c r="I15" s="26" t="n">
        <x:v>0.09</x:v>
      </x:c>
      <x:c r="J15" s="1"/>
      <x:c r="K15" s="1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</x:row>
    <x:row r="16" ht="18" customHeight="1">
      <x:c r="A16" s="1"/>
      <x:c r="B16" s="1"/>
      <x:c r="C16" s="28" t="str">
        <x:v>Realization growth — active</x:v>
      </x:c>
      <x:c r="D16" s="29"/>
      <x:c r="E16" s="30" t="n">
        <x:f>IF(COUNT(INDEX(E17:E19,'Controls'!$E$5))=0,NA(),INDEX(E17:E19,'Controls'!$E$5))</x:f>
        <x:v>0.07</x:v>
      </x:c>
      <x:c r="F16" s="30" t="n">
        <x:f>IF(COUNT(INDEX(F17:F19,'Controls'!$E$5))=0,NA(),INDEX(F17:F19,'Controls'!$E$5))</x:f>
        <x:v>0.07</x:v>
      </x:c>
      <x:c r="G16" s="30" t="n">
        <x:f>IF(COUNT(INDEX(G17:G19,'Controls'!$E$5))=0,NA(),INDEX(G17:G19,'Controls'!$E$5))</x:f>
        <x:v>0.07</x:v>
      </x:c>
      <x:c r="H16" s="30" t="n">
        <x:f>IF(COUNT(INDEX(H17:H19,'Controls'!$E$5))=0,NA(),INDEX(H17:H19,'Controls'!$E$5))</x:f>
        <x:v>0.07</x:v>
      </x:c>
      <x:c r="I16" s="30" t="n">
        <x:f>IF(COUNT(INDEX(I17:I19,'Controls'!$E$5))=0,NA(),INDEX(I17:I19,'Controls'!$E$5))</x:f>
        <x:v>0.07</x:v>
      </x:c>
      <x:c r="J16" s="1"/>
      <x:c r="K16" s="1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</x:row>
    <x:row r="17" ht="18" customHeight="1">
      <x:c r="A17" s="1"/>
      <x:c r="B17" s="1"/>
      <x:c r="C17" s="23" t="str">
        <x:v>Base</x:v>
      </x:c>
      <x:c r="D17" s="24"/>
      <x:c r="E17" s="26" t="n">
        <x:v>0.07</x:v>
      </x:c>
      <x:c r="F17" s="26" t="n">
        <x:v>0.07</x:v>
      </x:c>
      <x:c r="G17" s="26" t="n">
        <x:v>0.07</x:v>
      </x:c>
      <x:c r="H17" s="26" t="n">
        <x:v>0.07</x:v>
      </x:c>
      <x:c r="I17" s="26" t="n">
        <x:v>0.07</x:v>
      </x:c>
      <x:c r="J17" s="1"/>
      <x:c r="K17" s="1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</x:row>
    <x:row r="18" ht="18" customHeight="1">
      <x:c r="A18" s="1"/>
      <x:c r="B18" s="1"/>
      <x:c r="C18" s="23" t="str">
        <x:v>Downside</x:v>
      </x:c>
      <x:c r="D18" s="24"/>
      <x:c r="E18" s="26" t="n">
        <x:v>0.045000000000000005</x:v>
      </x:c>
      <x:c r="F18" s="26" t="n">
        <x:v>0.045000000000000005</x:v>
      </x:c>
      <x:c r="G18" s="26" t="n">
        <x:v>0.045000000000000005</x:v>
      </x:c>
      <x:c r="H18" s="26" t="n">
        <x:v>0.045000000000000005</x:v>
      </x:c>
      <x:c r="I18" s="26" t="n">
        <x:v>0.045000000000000005</x:v>
      </x:c>
      <x:c r="J18" s="1"/>
      <x:c r="K18" s="1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</x:row>
    <x:row r="19" ht="18" customHeight="1">
      <x:c r="A19" s="1"/>
      <x:c r="B19" s="1"/>
      <x:c r="C19" s="23" t="str">
        <x:v>Upside</x:v>
      </x:c>
      <x:c r="D19" s="24"/>
      <x:c r="E19" s="26" t="n">
        <x:v>0.09000000000000001</x:v>
      </x:c>
      <x:c r="F19" s="26" t="n">
        <x:v>0.09000000000000001</x:v>
      </x:c>
      <x:c r="G19" s="26" t="n">
        <x:v>0.09000000000000001</x:v>
      </x:c>
      <x:c r="H19" s="26" t="n">
        <x:v>0.09000000000000001</x:v>
      </x:c>
      <x:c r="I19" s="26" t="n">
        <x:v>0.09000000000000001</x:v>
      </x:c>
      <x:c r="J19" s="1"/>
      <x:c r="K19" s="1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</x:row>
    <x:row r="20" ht="18" customHeight="1">
      <x:c r="A20" s="1"/>
      <x:c r="B20" s="1"/>
      <x:c r="C20" s="23" t="str">
        <x:v>Capacity utilization</x:v>
      </x:c>
      <x:c r="D20" s="24"/>
      <x:c r="E20" s="26" t="n">
        <x:f>E400</x:f>
        <x:v>1</x:v>
      </x:c>
      <x:c r="F20" s="26" t="n">
        <x:f>F400</x:f>
        <x:v>1</x:v>
      </x:c>
      <x:c r="G20" s="26" t="n">
        <x:f>G400</x:f>
        <x:v>1</x:v>
      </x:c>
      <x:c r="H20" s="26" t="n">
        <x:f>H400</x:f>
        <x:v>1</x:v>
      </x:c>
      <x:c r="I20" s="26" t="n">
        <x:f>I400</x:f>
        <x:v>1</x:v>
      </x:c>
      <x:c r="J20" s="1"/>
      <x:c r="K20" s="1" t="str">
        <x:v>Use 100% when volume already represents actual sales.</x:v>
      </x:c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</x:row>
    <x:row r="21" ht="18" customHeight="1">
      <x:c r="A21" s="1"/>
      <x:c r="B21" s="1"/>
      <x:c r="C21" s="23" t="str">
        <x:v>Network variable and interconnect / revenue</x:v>
      </x:c>
      <x:c r="D21" s="24"/>
      <x:c r="E21" s="26" t="n">
        <x:f>E405</x:f>
        <x:v>0.32</x:v>
      </x:c>
      <x:c r="F21" s="26" t="n">
        <x:f>F405</x:f>
        <x:v>0.32</x:v>
      </x:c>
      <x:c r="G21" s="26" t="n">
        <x:f>G405</x:f>
        <x:v>0.32</x:v>
      </x:c>
      <x:c r="H21" s="26" t="n">
        <x:f>H405</x:f>
        <x:v>0.32</x:v>
      </x:c>
      <x:c r="I21" s="26" t="n">
        <x:f>I405</x:f>
        <x:v>0.32</x:v>
      </x:c>
      <x:c r="J21" s="1"/>
      <x:c r="K21" s="1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</x:row>
    <x:row r="22" ht="18" customHeight="1">
      <x:c r="A22" s="1"/>
      <x:c r="B22" s="1"/>
      <x:c r="C22" s="23" t="str">
        <x:v>Other cash operating costs / revenue</x:v>
      </x:c>
      <x:c r="D22" s="24"/>
      <x:c r="E22" s="26" t="n">
        <x:f>E410</x:f>
        <x:v>0.2</x:v>
      </x:c>
      <x:c r="F22" s="26" t="n">
        <x:f>F410</x:f>
        <x:v>0.2</x:v>
      </x:c>
      <x:c r="G22" s="26" t="n">
        <x:f>G410</x:f>
        <x:v>0.2</x:v>
      </x:c>
      <x:c r="H22" s="26" t="n">
        <x:f>H410</x:f>
        <x:v>0.2</x:v>
      </x:c>
      <x:c r="I22" s="26" t="n">
        <x:f>I410</x:f>
        <x:v>0.2</x:v>
      </x:c>
      <x:c r="J22" s="1"/>
      <x:c r="K22" s="1" t="str">
        <x:v>Includes fixed and selling costs, modeled as revenue share.</x:v>
      </x:c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</x:row>
    <x:row r="23" ht="18" customHeight="1">
      <x:c r="A23" s="1"/>
      <x:c r="B23" s="1"/>
      <x:c r="C23" s="23" t="str">
        <x:v>Cash capex / revenue</x:v>
      </x:c>
      <x:c r="D23" s="24"/>
      <x:c r="E23" s="26" t="n">
        <x:f>E415</x:f>
        <x:v>0.2</x:v>
      </x:c>
      <x:c r="F23" s="26" t="n">
        <x:f>F415</x:f>
        <x:v>0.2</x:v>
      </x:c>
      <x:c r="G23" s="26" t="n">
        <x:f>G415</x:f>
        <x:v>0.2</x:v>
      </x:c>
      <x:c r="H23" s="26" t="n">
        <x:f>H415</x:f>
        <x:v>0.2</x:v>
      </x:c>
      <x:c r="I23" s="26" t="n">
        <x:f>I415</x:f>
        <x:v>0.2</x:v>
      </x:c>
      <x:c r="J23" s="1"/>
      <x:c r="K23" s="1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</x:row>
    <x:row r="24" ht="18" customHeight="1">
      <x:c r="A24" s="1"/>
      <x:c r="B24" s="1"/>
      <x:c r="C24" s="23" t="str">
        <x:v>D&amp;A / opening net PP&amp;E</x:v>
      </x:c>
      <x:c r="D24" s="24"/>
      <x:c r="E24" s="26" t="n">
        <x:f>E420</x:f>
        <x:v>0.12</x:v>
      </x:c>
      <x:c r="F24" s="26" t="n">
        <x:f>F420</x:f>
        <x:v>0.12</x:v>
      </x:c>
      <x:c r="G24" s="26" t="n">
        <x:f>G420</x:f>
        <x:v>0.12</x:v>
      </x:c>
      <x:c r="H24" s="26" t="n">
        <x:f>H420</x:f>
        <x:v>0.12</x:v>
      </x:c>
      <x:c r="I24" s="26" t="n">
        <x:f>I420</x:f>
        <x:v>0.12</x:v>
      </x:c>
      <x:c r="J24" s="1"/>
      <x:c r="K24" s="1" t="str">
        <x:v>No disposals or impairments. Current-year capex begins depreciation next year.</x:v>
      </x:c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</x:row>
    <x:row r="25" ht="18" customHeight="1">
      <x:c r="A25" s="1"/>
      <x:c r="B25" s="1"/>
      <x:c r="C25" s="1" t="str">
        <x:v>Receivable days</x:v>
      </x:c>
      <x:c r="D25" s="2"/>
      <x:c r="E25" s="7" t="n">
        <x:f>E425</x:f>
        <x:v>15</x:v>
      </x:c>
      <x:c r="F25" s="7" t="n">
        <x:f>F425</x:f>
        <x:v>15</x:v>
      </x:c>
      <x:c r="G25" s="7" t="n">
        <x:f>G425</x:f>
        <x:v>15</x:v>
      </x:c>
      <x:c r="H25" s="7" t="n">
        <x:f>H425</x:f>
        <x:v>15</x:v>
      </x:c>
      <x:c r="I25" s="7" t="n">
        <x:f>I425</x:f>
        <x:v>15</x:v>
      </x:c>
      <x:c r="J25" s="1"/>
      <x:c r="K25" s="1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</x:row>
    <x:row r="26" ht="18" customHeight="1">
      <x:c r="A26" s="1"/>
      <x:c r="B26" s="1"/>
      <x:c r="C26" s="1" t="str">
        <x:v>Inventory days</x:v>
      </x:c>
      <x:c r="D26" s="2"/>
      <x:c r="E26" s="7" t="n">
        <x:f>E430</x:f>
        <x:v>0</x:v>
      </x:c>
      <x:c r="F26" s="7" t="n">
        <x:f>F430</x:f>
        <x:v>0</x:v>
      </x:c>
      <x:c r="G26" s="7" t="n">
        <x:f>G430</x:f>
        <x:v>0</x:v>
      </x:c>
      <x:c r="H26" s="7" t="n">
        <x:f>H430</x:f>
        <x:v>0</x:v>
      </x:c>
      <x:c r="I26" s="7" t="n">
        <x:f>I430</x:f>
        <x:v>0</x:v>
      </x:c>
      <x:c r="J26" s="1"/>
      <x:c r="K26" s="1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</x:row>
    <x:row r="27" ht="18" customHeight="1">
      <x:c r="A27" s="1"/>
      <x:c r="B27" s="1"/>
      <x:c r="C27" s="1" t="str">
        <x:v>Payable days</x:v>
      </x:c>
      <x:c r="D27" s="2"/>
      <x:c r="E27" s="7" t="n">
        <x:f>E435</x:f>
        <x:v>50</x:v>
      </x:c>
      <x:c r="F27" s="7" t="n">
        <x:f>F435</x:f>
        <x:v>50</x:v>
      </x:c>
      <x:c r="G27" s="7" t="n">
        <x:f>G435</x:f>
        <x:v>50</x:v>
      </x:c>
      <x:c r="H27" s="7" t="n">
        <x:f>H435</x:f>
        <x:v>50</x:v>
      </x:c>
      <x:c r="I27" s="7" t="n">
        <x:f>I435</x:f>
        <x:v>50</x:v>
      </x:c>
      <x:c r="J27" s="1"/>
      <x:c r="K27" s="1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</x:row>
    <x:row r="28" ht="18" customHeight="1">
      <x:c r="A28" s="1"/>
      <x:c r="B28" s="1"/>
      <x:c r="C28" s="23" t="str">
        <x:v>Effective cash tax rate</x:v>
      </x:c>
      <x:c r="D28" s="24"/>
      <x:c r="E28" s="26" t="n">
        <x:f>E440</x:f>
        <x:v>0.25</x:v>
      </x:c>
      <x:c r="F28" s="26" t="n">
        <x:f>F440</x:f>
        <x:v>0.25</x:v>
      </x:c>
      <x:c r="G28" s="26" t="n">
        <x:f>G440</x:f>
        <x:v>0.25</x:v>
      </x:c>
      <x:c r="H28" s="26" t="n">
        <x:f>H440</x:f>
        <x:v>0.25</x:v>
      </x:c>
      <x:c r="I28" s="26" t="n">
        <x:f>I440</x:f>
        <x:v>0.25</x:v>
      </x:c>
      <x:c r="J28" s="1"/>
      <x:c r="K28" s="1" t="str">
        <x:v>Illustrative assumption, not a statutory rate. No loss carryforwards or deferred tax.</x:v>
      </x:c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</x:row>
    <x:row r="29" ht="18" customHeight="1">
      <x:c r="A29" s="1"/>
      <x:c r="B29" s="1"/>
      <x:c r="C29" s="23" t="str">
        <x:v>Interest on opening debt</x:v>
      </x:c>
      <x:c r="D29" s="24"/>
      <x:c r="E29" s="26" t="n">
        <x:f>E445</x:f>
        <x:v>0.085</x:v>
      </x:c>
      <x:c r="F29" s="26" t="n">
        <x:f>F445</x:f>
        <x:v>0.085</x:v>
      </x:c>
      <x:c r="G29" s="26" t="n">
        <x:f>G445</x:f>
        <x:v>0.085</x:v>
      </x:c>
      <x:c r="H29" s="26" t="n">
        <x:f>H445</x:f>
        <x:v>0.085</x:v>
      </x:c>
      <x:c r="I29" s="26" t="n">
        <x:f>I445</x:f>
        <x:v>0.085</x:v>
      </x:c>
      <x:c r="J29" s="1"/>
      <x:c r="K29" s="1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</x:row>
    <x:row r="30" ht="18" customHeight="1">
      <x:c r="A30" s="1"/>
      <x:c r="B30" s="1"/>
      <x:c r="C30" s="1" t="str">
        <x:v>New borrowing</x:v>
      </x:c>
      <x:c r="D30" s="2"/>
      <x:c r="E30" s="7" t="n">
        <x:f>E450</x:f>
        <x:v>0</x:v>
      </x:c>
      <x:c r="F30" s="7" t="n">
        <x:f>F450</x:f>
        <x:v>0</x:v>
      </x:c>
      <x:c r="G30" s="7" t="n">
        <x:f>G450</x:f>
        <x:v>0</x:v>
      </x:c>
      <x:c r="H30" s="7" t="n">
        <x:f>H450</x:f>
        <x:v>0</x:v>
      </x:c>
      <x:c r="I30" s="7" t="n">
        <x:f>I450</x:f>
        <x:v>0</x:v>
      </x:c>
      <x:c r="J30" s="1"/>
      <x:c r="K30" s="1"/>
      <x:c r="M30" s="82" t="str">
        <x:v>Historical actuals and forecast | INR crore</x:v>
      </x:c>
      <x:c r="N30" s="82"/>
      <x:c r="O30" s="82"/>
      <x:c r="P30" s="82"/>
      <x:c r="Q30" s="82"/>
      <x:c r="R30" s="82"/>
      <x:c r="S30" s="82"/>
      <x:c r="T30" s="82"/>
      <x:c r="U30" s="82"/>
      <x:c r="V30" s="63"/>
    </x:row>
    <x:row r="31" ht="18" customHeight="1">
      <x:c r="A31" s="1"/>
      <x:c r="B31" s="1"/>
      <x:c r="C31" s="1" t="str">
        <x:v>Scheduled principal repayment</x:v>
      </x:c>
      <x:c r="D31" s="2"/>
      <x:c r="E31" s="7" t="n">
        <x:f>E455</x:f>
        <x:v>900</x:v>
      </x:c>
      <x:c r="F31" s="7" t="n">
        <x:f>F455</x:f>
        <x:v>900</x:v>
      </x:c>
      <x:c r="G31" s="7" t="n">
        <x:f>G455</x:f>
        <x:v>900</x:v>
      </x:c>
      <x:c r="H31" s="7" t="n">
        <x:f>H455</x:f>
        <x:v>900</x:v>
      </x:c>
      <x:c r="I31" s="7" t="n">
        <x:f>I455</x:f>
        <x:v>900</x:v>
      </x:c>
      <x:c r="J31" s="1"/>
      <x:c r="K31" s="1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</x:row>
    <x:row r="32" ht="18" customHeight="1">
      <x:c r="A32" s="1"/>
      <x:c r="B32" s="1"/>
      <x:c r="C32" s="23" t="str">
        <x:v>Dividend payout on positive PAT</x:v>
      </x:c>
      <x:c r="D32" s="24"/>
      <x:c r="E32" s="26" t="n">
        <x:f>E460</x:f>
        <x:v>0.25</x:v>
      </x:c>
      <x:c r="F32" s="26" t="n">
        <x:f>F460</x:f>
        <x:v>0.25</x:v>
      </x:c>
      <x:c r="G32" s="26" t="n">
        <x:f>G460</x:f>
        <x:v>0.25</x:v>
      </x:c>
      <x:c r="H32" s="26" t="n">
        <x:f>H460</x:f>
        <x:v>0.25</x:v>
      </x:c>
      <x:c r="I32" s="26" t="n">
        <x:f>I460</x:f>
        <x:v>0.25</x:v>
      </x:c>
      <x:c r="J32" s="1"/>
      <x:c r="K32" s="1"/>
      <x:c r="M32" s="63" t="str">
        <x:v>Metric</x:v>
      </x:c>
      <x:c r="N32" s="88" t="n">
        <x:f>'Controls'!$E$17+-3</x:f>
        <x:v>2024</x:v>
      </x:c>
      <x:c r="O32" s="88" t="n">
        <x:f>'Controls'!$E$17+-2</x:f>
        <x:v>2025</x:v>
      </x:c>
      <x:c r="P32" s="88" t="n">
        <x:f>'Controls'!$E$17+-1</x:f>
        <x:v>2026</x:v>
      </x:c>
      <x:c r="Q32" s="89" t="n">
        <x:f>'Controls'!$E$17+0</x:f>
        <x:v>2027</x:v>
      </x:c>
      <x:c r="R32" s="89" t="n">
        <x:f>'Controls'!$E$17+1</x:f>
        <x:v>2028</x:v>
      </x:c>
      <x:c r="S32" s="89" t="n">
        <x:f>'Controls'!$E$17+2</x:f>
        <x:v>2029</x:v>
      </x:c>
      <x:c r="T32" s="89" t="n">
        <x:f>'Controls'!$E$17+3</x:f>
        <x:v>2030</x:v>
      </x:c>
      <x:c r="U32" s="89" t="n">
        <x:f>'Controls'!$E$17+4</x:f>
        <x:v>2031</x:v>
      </x:c>
      <x:c r="V32" s="63" t="str">
        <x:v>Source / reporting date</x:v>
      </x:c>
    </x:row>
    <x:row r="33" ht="18" customHeight="1">
      <x:c r="A33" s="1"/>
      <x:c r="B33" s="1"/>
      <x:c r="C33" s="19" t="str">
        <x:v>OPENING BALANCE SHEET AND VALUATION INPUTS</x:v>
      </x:c>
      <x:c r="D33" s="20"/>
      <x:c r="E33" s="20"/>
      <x:c r="F33" s="20"/>
      <x:c r="G33" s="20"/>
      <x:c r="H33" s="20"/>
      <x:c r="I33" s="20"/>
      <x:c r="J33" s="1"/>
      <x:c r="K33" s="1"/>
      <x:c r="M33" s="63" t="str">
        <x:v>Income</x:v>
      </x:c>
      <x:c r="N33" s="74"/>
      <x:c r="O33" s="74"/>
      <x:c r="P33" s="74"/>
      <x:c r="Q33" s="8" t="n">
        <x:f>E47</x:f>
        <x:v>8898.119999999999</x:v>
      </x:c>
      <x:c r="R33" s="8" t="n">
        <x:f>F47</x:f>
        <x:v>9997.037820000001</x:v>
      </x:c>
      <x:c r="S33" s="8" t="n">
        <x:f>G47</x:f>
        <x:v>11231.671990770004</x:v>
      </x:c>
      <x:c r="T33" s="8" t="n">
        <x:f>H47</x:f>
        <x:v>12618.7834816301</x:v>
      </x:c>
      <x:c r="U33" s="8" t="n">
        <x:f>I47</x:f>
        <x:v>14177.20324161142</x:v>
      </x:c>
      <x:c r="V33" s="63"/>
    </x:row>
    <x:row r="34" ht="18" customHeight="1">
      <x:c r="A34" s="1"/>
      <x:c r="B34" s="1"/>
      <x:c r="C34" s="1" t="str">
        <x:v>Opening net PP&amp;E</x:v>
      </x:c>
      <x:c r="D34" s="7" t="n">
        <x:v>22000</x:v>
      </x:c>
      <x:c r="E34" s="2"/>
      <x:c r="F34" s="2"/>
      <x:c r="G34" s="2"/>
      <x:c r="H34" s="2"/>
      <x:c r="I34" s="2"/>
      <x:c r="J34" s="1"/>
      <x:c r="K34" s="1"/>
      <x:c r="M34" s="63" t="str">
        <x:v>Profit after tax</x:v>
      </x:c>
      <x:c r="N34" s="74"/>
      <x:c r="O34" s="74"/>
      <x:c r="P34" s="74"/>
      <x:c r="Q34" s="8" t="n">
        <x:f>E58</x:f>
        <x:v>649.5731999999994</x:v>
      </x:c>
      <x:c r="R34" s="8" t="n">
        <x:f>F58</x:f>
        <x:v>1179.9924552000002</x:v>
      </x:c>
      <x:c r="S34" s="8" t="n">
        <x:f>G58</x:f>
        <x:v>1730.1970151172013</x:v>
      </x:c>
      <x:c r="T34" s="8" t="n">
        <x:f>H58</x:f>
        <x:v>2307.266644180176</x:v>
      </x:c>
      <x:c r="U34" s="8" t="n">
        <x:f>I58</x:f>
        <x:v>2918.5991042089076</x:v>
      </x:c>
      <x:c r="V34" s="63"/>
    </x:row>
    <x:row r="35" ht="18" customHeight="1">
      <x:c r="A35" s="1"/>
      <x:c r="B35" s="1"/>
      <x:c r="C35" s="1" t="str">
        <x:v>Opening debt</x:v>
      </x:c>
      <x:c r="D35" s="7" t="n">
        <x:v>9000</x:v>
      </x:c>
      <x:c r="E35" s="2"/>
      <x:c r="F35" s="2"/>
      <x:c r="G35" s="2"/>
      <x:c r="H35" s="2"/>
      <x:c r="I35" s="2"/>
      <x:c r="J35" s="1"/>
      <x:c r="K35" s="1"/>
      <x:c r="M35" s="63" t="str">
        <x:v>EBITDA</x:v>
      </x:c>
      <x:c r="N35" s="74"/>
      <x:c r="O35" s="74"/>
      <x:c r="P35" s="74"/>
      <x:c r="Q35" s="8" t="n">
        <x:f>E52</x:f>
        <x:v>4271.097599999999</x:v>
      </x:c>
      <x:c r="R35" s="8" t="n">
        <x:f>F52</x:f>
        <x:v>4798.5781536</x:v>
      </x:c>
      <x:c r="S35" s="8" t="n">
        <x:f>G52</x:f>
        <x:v>5391.202555569602</x:v>
      </x:c>
      <x:c r="T35" s="8" t="n">
        <x:f>H52</x:f>
        <x:v>6057.016071182448</x:v>
      </x:c>
      <x:c r="U35" s="8" t="n">
        <x:f>I52</x:f>
        <x:v>6805.057555973481</x:v>
      </x:c>
      <x:c r="V35" s="63"/>
    </x:row>
    <x:row r="36" ht="18" customHeight="1">
      <x:c r="A36" s="1"/>
      <x:c r="B36" s="1"/>
      <x:c r="C36" s="1" t="str">
        <x:v>Opening cash</x:v>
      </x:c>
      <x:c r="D36" s="7" t="n">
        <x:v>2000</x:v>
      </x:c>
      <x:c r="E36" s="2"/>
      <x:c r="F36" s="2"/>
      <x:c r="G36" s="2"/>
      <x:c r="H36" s="2"/>
      <x:c r="I36" s="2"/>
      <x:c r="J36" s="1"/>
      <x:c r="K36" s="1"/>
      <x:c r="M36" s="63" t="str">
        <x:v>Closing debt</x:v>
      </x:c>
      <x:c r="N36" s="74"/>
      <x:c r="O36" s="74"/>
      <x:c r="P36" s="74"/>
      <x:c r="Q36" s="8" t="n">
        <x:f>E67</x:f>
        <x:v>8100</x:v>
      </x:c>
      <x:c r="R36" s="8" t="n">
        <x:f>F67</x:f>
        <x:v>7200</x:v>
      </x:c>
      <x:c r="S36" s="8" t="n">
        <x:f>G67</x:f>
        <x:v>6300</x:v>
      </x:c>
      <x:c r="T36" s="8" t="n">
        <x:f>H67</x:f>
        <x:v>5400</x:v>
      </x:c>
      <x:c r="U36" s="8" t="n">
        <x:f>I67</x:f>
        <x:v>4500</x:v>
      </x:c>
      <x:c r="V36" s="63"/>
    </x:row>
    <x:row r="37" ht="18" customHeight="1">
      <x:c r="A37" s="1"/>
      <x:c r="B37" s="1"/>
      <x:c r="C37" s="1" t="str">
        <x:v>Opening net working capital</x:v>
      </x:c>
      <x:c r="D37" s="7" t="n">
        <x:v>-21.69863013698631</x:v>
      </x:c>
      <x:c r="E37" s="2"/>
      <x:c r="F37" s="2"/>
      <x:c r="G37" s="2"/>
      <x:c r="H37" s="2"/>
      <x:c r="I37" s="2"/>
      <x:c r="J37" s="1"/>
      <x:c r="K37" s="1" t="str">
        <x:v>Illustrative opening net balance. Replace with receivables + inventory − payables.</x:v>
      </x:c>
      <x:c r="M37" s="63" t="str">
        <x:v>Closing cash / (funding gap)</x:v>
      </x:c>
      <x:c r="N37" s="74"/>
      <x:c r="O37" s="74"/>
      <x:c r="P37" s="74"/>
      <x:c r="Q37" s="8" t="n">
        <x:f>E72</x:f>
        <x:v>2450.2356808219174</x:v>
      </x:c>
      <x:c r="R37" s="8" t="n">
        <x:f>F72</x:f>
        <x:v>2975.588071975342</x:v>
      </x:c>
      <x:c r="S37" s="8" t="n">
        <x:f>G72</x:f>
        <x:v>3602.5571966112147</x:v>
      </x:c>
      <x:c r="T37" s="8" t="n">
        <x:f>H72</x:f>
        <x:v>4358.211334483618</x:v>
      </x:c>
      <x:c r="U37" s="8" t="n">
        <x:f>I72</x:f>
        <x:v>5270.581741190984</x:v>
      </x:c>
      <x:c r="V37" s="63"/>
    </x:row>
    <x:row r="38" ht="18" customHeight="1">
      <x:c r="A38" s="1"/>
      <x:c r="B38" s="1"/>
      <x:c r="C38" s="1" t="str">
        <x:v>Diluted shares (crore)</x:v>
      </x:c>
      <x:c r="D38" s="7" t="n">
        <x:v>100</x:v>
      </x:c>
      <x:c r="E38" s="2"/>
      <x:c r="F38" s="2"/>
      <x:c r="G38" s="2"/>
      <x:c r="H38" s="2"/>
      <x:c r="I38" s="2"/>
      <x:c r="J38" s="1"/>
      <x:c r="K38" s="1"/>
      <x:c r="M38" s="63" t="str">
        <x:v>Closing book equity</x:v>
      </x:c>
      <x:c r="N38" s="74"/>
      <x:c r="O38" s="74"/>
      <x:c r="P38" s="74"/>
      <x:c r="Q38" s="8" t="n">
        <x:f>E73</x:f>
        <x:v>15465.481269863012</x:v>
      </x:c>
      <x:c r="R38" s="8" t="n">
        <x:f>F73</x:f>
        <x:v>16350.475611263013</x:v>
      </x:c>
      <x:c r="S38" s="8" t="n">
        <x:f>G73</x:f>
        <x:v>17648.123372600916</x:v>
      </x:c>
      <x:c r="T38" s="8" t="n">
        <x:f>H73</x:f>
        <x:v>19378.57335573605</x:v>
      </x:c>
      <x:c r="U38" s="8" t="n">
        <x:f>I73</x:f>
        <x:v>21567.522683892734</x:v>
      </x:c>
      <x:c r="V38" s="63"/>
    </x:row>
    <x:row r="39" ht="18" customHeight="1">
      <x:c r="A39" s="1"/>
      <x:c r="B39" s="1"/>
      <x:c r="C39" s="1" t="str">
        <x:v>WACC</x:v>
      </x:c>
      <x:c r="D39" s="25" t="n">
        <x:v>0.12</x:v>
      </x:c>
      <x:c r="E39" s="2"/>
      <x:c r="F39" s="2"/>
      <x:c r="G39" s="2"/>
      <x:c r="H39" s="2"/>
      <x:c r="I39" s="2"/>
      <x:c r="J39" s="1"/>
      <x:c r="K39" s="1"/>
      <x:c r="M39" s="63" t="str">
        <x:v>Operating cash flow after interest</x:v>
      </x:c>
      <x:c r="N39" s="74"/>
      <x:c r="O39" s="74"/>
      <x:c r="P39" s="74"/>
      <x:c r="Q39" s="8" t="n">
        <x:f>E69</x:f>
        <x:v>3292.252980821917</x:v>
      </x:c>
      <x:c r="R39" s="8" t="n">
        <x:f>F69</x:f>
        <x:v>3719.7580689534248</x:v>
      </x:c>
      <x:c r="S39" s="8" t="n">
        <x:f>G69</x:f>
        <x:v>4205.852776569174</x:v>
      </x:c>
      <x:c r="T39" s="8" t="n">
        <x:f>H69</x:f>
        <x:v>4756.227495243467</x:v>
      </x:c>
      <x:c r="U39" s="8" t="n">
        <x:f>I69</x:f>
        <x:v>5377.460831081877</x:v>
      </x:c>
      <x:c r="V39" s="63"/>
    </x:row>
    <x:row r="40" ht="18" customHeight="1">
      <x:c r="A40" s="1"/>
      <x:c r="B40" s="1"/>
      <x:c r="C40" s="1" t="str">
        <x:v>Terminal growth</x:v>
      </x:c>
      <x:c r="D40" s="25" t="n">
        <x:v>0.04</x:v>
      </x:c>
      <x:c r="E40" s="2"/>
      <x:c r="F40" s="2"/>
      <x:c r="G40" s="2"/>
      <x:c r="H40" s="2"/>
      <x:c r="I40" s="2"/>
      <x:c r="J40" s="1"/>
      <x:c r="K40" s="1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</x:row>
    <x:row r="41" ht="18" customHeight="1">
      <x:c r="A41" s="1"/>
      <x:c r="B41" s="1"/>
      <x:c r="C41" s="1" t="str">
        <x:v>Terminal incremental ROIC</x:v>
      </x:c>
      <x:c r="D41" s="25" t="n">
        <x:v>0.15</x:v>
      </x:c>
      <x:c r="E41" s="2"/>
      <x:c r="F41" s="2"/>
      <x:c r="G41" s="2"/>
      <x:c r="H41" s="2"/>
      <x:c r="I41" s="2"/>
      <x:c r="J41" s="1"/>
      <x:c r="K41" s="1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</x:row>
    <x:row r="42" ht="18" customHeight="1">
      <x:c r="A42" s="1"/>
      <x:c r="B42" s="1"/>
      <x:c r="C42" s="1" t="str">
        <x:v>Forward EV / EBITDA</x:v>
      </x:c>
      <x:c r="D42" s="55" t="n">
        <x:v>9</x:v>
      </x:c>
      <x:c r="E42" s="2"/>
      <x:c r="F42" s="2"/>
      <x:c r="G42" s="2"/>
      <x:c r="H42" s="2"/>
      <x:c r="I42" s="2"/>
      <x:c r="J42" s="1"/>
      <x:c r="K42" s="1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</x:row>
    <x:row r="43" ht="18" customHeight="1">
      <x:c r="A43" s="1"/>
      <x:c r="B43" s="1"/>
      <x:c r="C43" s="19" t="str">
        <x:v>OPERATING BUILD</x:v>
      </x:c>
      <x:c r="D43" s="20"/>
      <x:c r="E43" s="20"/>
      <x:c r="F43" s="20"/>
      <x:c r="G43" s="20"/>
      <x:c r="H43" s="20"/>
      <x:c r="I43" s="20"/>
      <x:c r="J43" s="1"/>
      <x:c r="K43" s="1"/>
      <x:c r="M43" s="64" t="str">
        <x:v>Actuals are reference inputs. Calibrate the opening balances and forecast assumptions separately.</x:v>
      </x:c>
      <x:c r="N43" s="64"/>
      <x:c r="O43" s="64"/>
      <x:c r="P43" s="64"/>
      <x:c r="Q43" s="64"/>
      <x:c r="R43" s="64"/>
      <x:c r="S43" s="64"/>
      <x:c r="T43" s="64"/>
      <x:c r="U43" s="64"/>
      <x:c r="V43" s="63"/>
    </x:row>
    <x:row r="44" ht="18" customHeight="1">
      <x:c r="A44" s="1"/>
      <x:c r="B44" s="1"/>
      <x:c r="C44" s="1" t="str">
        <x:v>Average mobile subscribers (million)</x:v>
      </x:c>
      <x:c r="D44" s="2"/>
      <x:c r="E44" s="8" t="n">
        <x:f>$D10*(1+E12)</x:f>
        <x:v>31.5</x:v>
      </x:c>
      <x:c r="F44" s="8" t="n">
        <x:f>E44*(1+F12)</x:f>
        <x:v>33.075</x:v>
      </x:c>
      <x:c r="G44" s="8" t="n">
        <x:f>F44*(1+G12)</x:f>
        <x:v>34.728750000000005</x:v>
      </x:c>
      <x:c r="H44" s="8" t="n">
        <x:f>G44*(1+H12)</x:f>
        <x:v>36.465187500000006</x:v>
      </x:c>
      <x:c r="I44" s="8" t="n">
        <x:f>H44*(1+I12)</x:f>
        <x:v>38.288446875000005</x:v>
      </x:c>
      <x:c r="J44" s="1"/>
      <x:c r="K44" s="1"/>
      <x:c r="M44" s="64"/>
      <x:c r="N44" s="64"/>
      <x:c r="O44" s="64"/>
      <x:c r="P44" s="64"/>
      <x:c r="Q44" s="64"/>
      <x:c r="R44" s="64"/>
      <x:c r="S44" s="64"/>
      <x:c r="T44" s="64"/>
      <x:c r="U44" s="64"/>
      <x:c r="V44" s="63"/>
    </x:row>
    <x:row r="45" ht="18" customHeight="1">
      <x:c r="A45" s="1"/>
      <x:c r="B45" s="1"/>
      <x:c r="C45" s="1" t="str">
        <x:v>Monthly ARPU (INR)</x:v>
      </x:c>
      <x:c r="D45" s="2"/>
      <x:c r="E45" s="8" t="n">
        <x:f>$D11*(1+E16)</x:f>
        <x:v>235.4</x:v>
      </x:c>
      <x:c r="F45" s="8" t="n">
        <x:f>E45*(1+F16)</x:f>
        <x:v>251.87800000000001</x:v>
      </x:c>
      <x:c r="G45" s="8" t="n">
        <x:f>F45*(1+G16)</x:f>
        <x:v>269.50946000000005</x:v>
      </x:c>
      <x:c r="H45" s="8" t="n">
        <x:f>G45*(1+H16)</x:f>
        <x:v>288.3751222000001</x:v>
      </x:c>
      <x:c r="I45" s="8" t="n">
        <x:f>H45*(1+I16)</x:f>
        <x:v>308.5613807540001</x:v>
      </x:c>
      <x:c r="J45" s="1"/>
      <x:c r="K45" s="1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</x:row>
    <x:row r="46" ht="18" customHeight="1">
      <x:c r="A46" s="1"/>
      <x:c r="B46" s="1"/>
      <x:c r="C46" s="1" t="str">
        <x:v>Billable / saleable volume</x:v>
      </x:c>
      <x:c r="D46" s="2"/>
      <x:c r="E46" s="8" t="n">
        <x:f>E44*E20</x:f>
        <x:v>31.5</x:v>
      </x:c>
      <x:c r="F46" s="8" t="n">
        <x:f>F44*F20</x:f>
        <x:v>33.075</x:v>
      </x:c>
      <x:c r="G46" s="8" t="n">
        <x:f>G44*G20</x:f>
        <x:v>34.728750000000005</x:v>
      </x:c>
      <x:c r="H46" s="8" t="n">
        <x:f>H44*H20</x:f>
        <x:v>36.465187500000006</x:v>
      </x:c>
      <x:c r="I46" s="8" t="n">
        <x:f>I44*I20</x:f>
        <x:v>38.288446875000005</x:v>
      </x:c>
      <x:c r="J46" s="1"/>
      <x:c r="K46" s="1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</x:row>
    <x:row r="47" ht="18" customHeight="1">
      <x:c r="A47" s="1"/>
      <x:c r="B47" s="1"/>
      <x:c r="C47" s="38" t="str">
        <x:v>Revenue</x:v>
      </x:c>
      <x:c r="D47" s="39"/>
      <x:c r="E47" s="60" t="n">
        <x:f>E46*E45*'Controls'!$E$14/'Controls'!$E$9*'Controls'!$E$10</x:f>
        <x:v>8898.119999999999</x:v>
      </x:c>
      <x:c r="F47" s="60" t="n">
        <x:f>F46*F45*'Controls'!$E$14/'Controls'!$E$9*'Controls'!$E$10</x:f>
        <x:v>9997.037820000001</x:v>
      </x:c>
      <x:c r="G47" s="60" t="n">
        <x:f>G46*G45*'Controls'!$E$14/'Controls'!$E$9*'Controls'!$E$10</x:f>
        <x:v>11231.671990770004</x:v>
      </x:c>
      <x:c r="H47" s="60" t="n">
        <x:f>H46*H45*'Controls'!$E$14/'Controls'!$E$9*'Controls'!$E$10</x:f>
        <x:v>12618.7834816301</x:v>
      </x:c>
      <x:c r="I47" s="60" t="n">
        <x:f>I46*I45*'Controls'!$E$14/'Controls'!$E$9*'Controls'!$E$10</x:f>
        <x:v>14177.20324161142</x:v>
      </x:c>
      <x:c r="J47" s="1"/>
      <x:c r="K47" s="1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</x:row>
    <x:row r="48" ht="25" customHeight="1">
      <x:c r="A48" s="1"/>
      <x:c r="B48" s="1"/>
      <x:c r="C48" s="19" t="str">
        <x:v>INCOME STATEMENT</x:v>
      </x:c>
      <x:c r="D48" s="20"/>
      <x:c r="E48" s="20"/>
      <x:c r="F48" s="20"/>
      <x:c r="G48" s="20"/>
      <x:c r="H48" s="20"/>
      <x:c r="I48" s="20"/>
      <x:c r="J48" s="1"/>
      <x:c r="K48" s="1"/>
      <x:c r="M48" s="82" t="str">
        <x:v>DCF equity value | rows WACC / columns terminal growth</x:v>
      </x:c>
      <x:c r="N48" s="82"/>
      <x:c r="O48" s="82"/>
      <x:c r="P48" s="82"/>
      <x:c r="Q48" s="82"/>
      <x:c r="R48" s="82"/>
      <x:c r="S48" s="63"/>
      <x:c r="T48" s="63"/>
      <x:c r="U48" s="63"/>
      <x:c r="V48" s="63"/>
    </x:row>
    <x:row r="49" ht="18" customHeight="1">
      <x:c r="A49" s="1"/>
      <x:c r="B49" s="1"/>
      <x:c r="C49" s="1" t="str">
        <x:v>Direct cash costs</x:v>
      </x:c>
      <x:c r="D49" s="2"/>
      <x:c r="E49" s="8" t="n">
        <x:f>E47*E21</x:f>
        <x:v>2847.3983999999996</x:v>
      </x:c>
      <x:c r="F49" s="8" t="n">
        <x:f>F47*F21</x:f>
        <x:v>3199.0521024000004</x:v>
      </x:c>
      <x:c r="G49" s="8" t="n">
        <x:f>G47*G21</x:f>
        <x:v>3594.1350370464015</x:v>
      </x:c>
      <x:c r="H49" s="8" t="n">
        <x:f>H47*H21</x:f>
        <x:v>4038.010714121632</x:v>
      </x:c>
      <x:c r="I49" s="8" t="n">
        <x:f>I47*I21</x:f>
        <x:v>4536.705037315654</x:v>
      </x:c>
      <x:c r="J49" s="1"/>
      <x:c r="K49" s="1"/>
      <x:c r="M49" s="63"/>
      <x:c r="N49" s="70" t="n">
        <x:f>$D$40+-0.01</x:f>
        <x:v>0.03</x:v>
      </x:c>
      <x:c r="O49" s="70" t="n">
        <x:f>$D$40+-0.005</x:f>
        <x:v>0.035</x:v>
      </x:c>
      <x:c r="P49" s="70" t="n">
        <x:f>$D$40+0</x:f>
        <x:v>0.04</x:v>
      </x:c>
      <x:c r="Q49" s="70" t="n">
        <x:f>$D$40+0.005</x:f>
        <x:v>0.045</x:v>
      </x:c>
      <x:c r="R49" s="70" t="n">
        <x:f>$D$40+0.01</x:f>
        <x:v>0.05</x:v>
      </x:c>
      <x:c r="S49" s="63"/>
      <x:c r="T49" s="63"/>
      <x:c r="U49" s="63"/>
      <x:c r="V49" s="63"/>
    </x:row>
    <x:row r="50" ht="18" customHeight="1">
      <x:c r="A50" s="1"/>
      <x:c r="B50" s="1"/>
      <x:c r="C50" s="1" t="str">
        <x:v>Gross profit</x:v>
      </x:c>
      <x:c r="D50" s="2"/>
      <x:c r="E50" s="8" t="n">
        <x:f>E47-E49</x:f>
        <x:v>6050.721599999999</x:v>
      </x:c>
      <x:c r="F50" s="8" t="n">
        <x:f>F47-F49</x:f>
        <x:v>6797.9857176000005</x:v>
      </x:c>
      <x:c r="G50" s="8" t="n">
        <x:f>G47-G49</x:f>
        <x:v>7637.536953723603</x:v>
      </x:c>
      <x:c r="H50" s="8" t="n">
        <x:f>H47-H49</x:f>
        <x:v>8580.772767508468</x:v>
      </x:c>
      <x:c r="I50" s="8" t="n">
        <x:f>I47-I49</x:f>
        <x:v>9640.498204295765</x:v>
      </x:c>
      <x:c r="J50" s="1"/>
      <x:c r="K50" s="1"/>
      <x:c r="M50" s="70" t="n">
        <x:f>$D$39+-0.02</x:f>
        <x:v>0.09999999999999999</x:v>
      </x:c>
      <x:c r="N50" s="8" t="n">
        <x:f>IF($M50&lt;=N$49,"n/a",IF(N$49&gt;$D$41,"n/a",E77/(1+$M50)^1+F77/(1+$M50)^2+G77/(1+$M50)^3+H77/(1+$M50)^4+I77/(1+$M50)^5+I76*(1+N$49)*(1-N$49/D41)/($M50-N$49)/(1+$M50)^5-D35+D36))</x:f>
        <x:v>26002.17141272663</x:v>
      </x:c>
      <x:c r="O50" s="8" t="n">
        <x:f>IF($M50&lt;=O$49,"n/a",IF(O$49&gt;$D$41,"n/a",E77/(1+$M50)^1+F77/(1+$M50)^2+G77/(1+$M50)^3+H77/(1+$M50)^4+I77/(1+$M50)^5+I76*(1+O$49)*(1-O$49/D41)/($M50-O$49)/(1+$M50)^5-D35+D36))</x:f>
        <x:v>26886.02978123533</x:v>
      </x:c>
      <x:c r="P50" s="8" t="n">
        <x:f>IF($M50&lt;=P$49,"n/a",IF(P$49&gt;$D$41,"n/a",E77/(1+$M50)^1+F77/(1+$M50)^2+G77/(1+$M50)^3+H77/(1+$M50)^4+I77/(1+$M50)^5+I76*(1+P$49)*(1-P$49/D41)/($M50-P$49)/(1+$M50)^5-D35+D36))</x:f>
        <x:v>27905.94247459146</x:v>
      </x:c>
      <x:c r="Q50" s="8" t="n">
        <x:f>IF($M50&lt;=Q$49,"n/a",IF(Q$49&gt;$D$41,"n/a",E77/(1+$M50)^1+F77/(1+$M50)^2+G77/(1+$M50)^3+H77/(1+$M50)^4+I77/(1+$M50)^5+I76*(1+Q$49)*(1-Q$49/D41)/($M50-Q$49)/(1+$M50)^5-D35+D36))</x:f>
        <x:v>29099.01521775336</x:v>
      </x:c>
      <x:c r="R50" s="8" t="n">
        <x:f>IF($M50&lt;=R$49,"n/a",IF(R$49&gt;$D$41,"n/a",E77/(1+$M50)^1+F77/(1+$M50)^2+G77/(1+$M50)^3+H77/(1+$M50)^4+I77/(1+$M50)^5+I76*(1+R$49)*(1-R$49/D41)/($M50-R$49)/(1+$M50)^5-D35+D36))</x:f>
        <x:v>30517.196025662808</x:v>
      </x:c>
      <x:c r="S50" s="63"/>
      <x:c r="T50" s="63"/>
      <x:c r="U50" s="63"/>
      <x:c r="V50" s="63"/>
    </x:row>
    <x:row r="51" ht="18" customHeight="1">
      <x:c r="A51" s="1"/>
      <x:c r="B51" s="1"/>
      <x:c r="C51" s="1" t="str">
        <x:v>Other cash operating costs</x:v>
      </x:c>
      <x:c r="D51" s="2"/>
      <x:c r="E51" s="8" t="n">
        <x:f>E47*E22</x:f>
        <x:v>1779.6239999999998</x:v>
      </x:c>
      <x:c r="F51" s="8" t="n">
        <x:f>F47*F22</x:f>
        <x:v>1999.4075640000003</x:v>
      </x:c>
      <x:c r="G51" s="8" t="n">
        <x:f>G47*G22</x:f>
        <x:v>2246.334398154001</x:v>
      </x:c>
      <x:c r="H51" s="8" t="n">
        <x:f>H47*H22</x:f>
        <x:v>2523.75669632602</x:v>
      </x:c>
      <x:c r="I51" s="8" t="n">
        <x:f>I47*I22</x:f>
        <x:v>2835.4406483222842</x:v>
      </x:c>
      <x:c r="J51" s="1"/>
      <x:c r="K51" s="1"/>
      <x:c r="M51" s="70" t="n">
        <x:f>$D$39+-0.01</x:f>
        <x:v>0.11</x:v>
      </x:c>
      <x:c r="N51" s="8" t="n">
        <x:f>IF($M51&lt;=N$49,"n/a",IF(N$49&gt;$D$41,"n/a",E77/(1+$M51)^1+F77/(1+$M51)^2+G77/(1+$M51)^3+H77/(1+$M51)^4+I77/(1+$M51)^5+I76*(1+N$49)*(1-N$49/D41)/($M51-N$49)/(1+$M51)^5-D35+D36))</x:f>
        <x:v>21855.742440513048</x:v>
      </x:c>
      <x:c r="O51" s="8" t="n">
        <x:f>IF($M51&lt;=O$49,"n/a",IF(O$49&gt;$D$41,"n/a",E77/(1+$M51)^1+F77/(1+$M51)^2+G77/(1+$M51)^3+H77/(1+$M51)^4+I77/(1+$M51)^5+I76*(1+O$49)*(1-O$49/D41)/($M51-O$49)/(1+$M51)^5-D35+D36))</x:f>
        <x:v>22397.918238074333</x:v>
      </x:c>
      <x:c r="P51" s="8" t="n">
        <x:f>IF($M51&lt;=P$49,"n/a",IF(P$49&gt;$D$41,"n/a",E77/(1+$M51)^1+F77/(1+$M51)^2+G77/(1+$M51)^3+H77/(1+$M51)^4+I77/(1+$M51)^5+I76*(1+P$49)*(1-P$49/D41)/($M51-P$49)/(1+$M51)^5-D35+D36))</x:f>
        <x:v>23008.327044172245</x:v>
      </x:c>
      <x:c r="Q51" s="8" t="n">
        <x:f>IF($M51&lt;=Q$49,"n/a",IF(Q$49&gt;$D$41,"n/a",E77/(1+$M51)^1+F77/(1+$M51)^2+G77/(1+$M51)^3+H77/(1+$M51)^4+I77/(1+$M51)^5+I76*(1+Q$49)*(1-Q$49/D41)/($M51-Q$49)/(1+$M51)^5-D35+D36))</x:f>
        <x:v>23702.714937699846</x:v>
      </x:c>
      <x:c r="R51" s="8" t="n">
        <x:f>IF($M51&lt;=R$49,"n/a",IF(R$49&gt;$D$41,"n/a",E77/(1+$M51)^1+F77/(1+$M51)^2+G77/(1+$M51)^3+H77/(1+$M51)^4+I77/(1+$M51)^5+I76*(1+R$49)*(1-R$49/D41)/($M51-R$49)/(1+$M51)^5-D35+D36))</x:f>
        <x:v>24502.07669051457</x:v>
      </x:c>
      <x:c r="S51" s="63"/>
      <x:c r="T51" s="63"/>
      <x:c r="U51" s="63"/>
      <x:c r="V51" s="63"/>
    </x:row>
    <x:row r="52" ht="18" customHeight="1">
      <x:c r="A52" s="1"/>
      <x:c r="B52" s="1"/>
      <x:c r="C52" s="38" t="str">
        <x:v>EBITDA</x:v>
      </x:c>
      <x:c r="D52" s="39"/>
      <x:c r="E52" s="41" t="n">
        <x:f>E50-E51</x:f>
        <x:v>4271.097599999999</x:v>
      </x:c>
      <x:c r="F52" s="41" t="n">
        <x:f>F50-F51</x:f>
        <x:v>4798.5781536</x:v>
      </x:c>
      <x:c r="G52" s="41" t="n">
        <x:f>G50-G51</x:f>
        <x:v>5391.202555569602</x:v>
      </x:c>
      <x:c r="H52" s="41" t="n">
        <x:f>H50-H51</x:f>
        <x:v>6057.016071182448</x:v>
      </x:c>
      <x:c r="I52" s="41" t="n">
        <x:f>I50-I51</x:f>
        <x:v>6805.057555973481</x:v>
      </x:c>
      <x:c r="J52" s="1"/>
      <x:c r="K52" s="1"/>
      <x:c r="M52" s="70" t="n">
        <x:f>$D$39+0</x:f>
        <x:v>0.12</x:v>
      </x:c>
      <x:c r="N52" s="8" t="n">
        <x:f>IF($M52&lt;=N$49,"n/a",IF(N$49&gt;$D$41,"n/a",E77/(1+$M52)^1+F77/(1+$M52)^2+G77/(1+$M52)^3+H77/(1+$M52)^4+I77/(1+$M52)^5+I76*(1+N$49)*(1-N$49/D41)/($M52-N$49)/(1+$M52)^5-D35+D36))</x:f>
        <x:v>18630.01239421289</x:v>
      </x:c>
      <x:c r="O52" s="8" t="n">
        <x:f>IF($M52&lt;=O$49,"n/a",IF(O$49&gt;$D$41,"n/a",E77/(1+$M52)^1+F77/(1+$M52)^2+G77/(1+$M52)^3+H77/(1+$M52)^4+I77/(1+$M52)^5+I76*(1+O$49)*(1-O$49/D41)/($M52-O$49)/(1+$M52)^5-D35+D36))</x:f>
        <x:v>18962.78543811387</x:v>
      </x:c>
      <x:c r="P52" s="8" t="n">
        <x:f>IF($M52&lt;=P$49,"n/a",IF(P$49&gt;$D$41,"n/a",E77/(1+$M52)^1+F77/(1+$M52)^2+G77/(1+$M52)^3+H77/(1+$M52)^4+I77/(1+$M52)^5+I76*(1+P$49)*(1-P$49/D41)/($M52-P$49)/(1+$M52)^5-D35+D36))</x:f>
        <x:v>19329.440828302973</x:v>
      </x:c>
      <x:c r="Q52" s="8" t="n">
        <x:f>IF($M52&lt;=Q$49,"n/a",IF(Q$49&gt;$D$41,"n/a",E77/(1+$M52)^1+F77/(1+$M52)^2+G77/(1+$M52)^3+H77/(1+$M52)^4+I77/(1+$M52)^5+I76*(1+Q$49)*(1-Q$49/D41)/($M52-Q$49)/(1+$M52)^5-D35+D36))</x:f>
        <x:v>19736.755034037775</x:v>
      </x:c>
      <x:c r="R52" s="8" t="n">
        <x:f>IF($M52&lt;=R$49,"n/a",IF(R$49&gt;$D$41,"n/a",E77/(1+$M52)^1+F77/(1+$M52)^2+G77/(1+$M52)^3+H77/(1+$M52)^4+I77/(1+$M52)^5+I76*(1+R$49)*(1-R$49/D41)/($M52-R$49)/(1+$M52)^5-D35+D36))</x:f>
        <x:v>20193.44065864954</x:v>
      </x:c>
      <x:c r="S52" s="63"/>
      <x:c r="T52" s="63"/>
      <x:c r="U52" s="63"/>
      <x:c r="V52" s="63"/>
    </x:row>
    <x:row r="53" ht="18" customHeight="1">
      <x:c r="A53" s="1"/>
      <x:c r="B53" s="1"/>
      <x:c r="C53" s="1" t="str">
        <x:v>Depreciation and amortization</x:v>
      </x:c>
      <x:c r="D53" s="2"/>
      <x:c r="E53" s="8" t="n">
        <x:f>E134</x:f>
        <x:v>2640</x:v>
      </x:c>
      <x:c r="F53" s="8" t="n">
        <x:f>F134</x:f>
        <x:v>2536.75488</x:v>
      </x:c>
      <x:c r="G53" s="8" t="n">
        <x:f>G134</x:f>
        <x:v>2472.27320208</x:v>
      </x:c>
      <x:c r="H53" s="8" t="n">
        <x:f>H134</x:f>
        <x:v>2445.16054560888</x:v>
      </x:c>
      <x:c r="I53" s="8" t="n">
        <x:f>I134</x:f>
        <x:v>2454.592083694937</x:v>
      </x:c>
      <x:c r="J53" s="1"/>
      <x:c r="K53" s="1"/>
      <x:c r="M53" s="70" t="n">
        <x:f>$D$39+0.01</x:f>
        <x:v>0.13</x:v>
      </x:c>
      <x:c r="N53" s="8" t="n">
        <x:f>IF($M53&lt;=N$49,"n/a",IF(N$49&gt;$D$41,"n/a",E77/(1+$M53)^1+F77/(1+$M53)^2+G77/(1+$M53)^3+H77/(1+$M53)^4+I77/(1+$M53)^5+I76*(1+N$49)*(1-N$49/D41)/($M53-N$49)/(1+$M53)^5-D35+D36))</x:f>
        <x:v>16048.860572321391</x:v>
      </x:c>
      <x:c r="O53" s="8" t="n">
        <x:f>IF($M53&lt;=O$49,"n/a",IF(O$49&gt;$D$41,"n/a",E77/(1+$M53)^1+F77/(1+$M53)^2+G77/(1+$M53)^3+H77/(1+$M53)^4+I77/(1+$M53)^5+I76*(1+O$49)*(1-O$49/D41)/($M53-O$49)/(1+$M53)^5-D35+D36))</x:f>
        <x:v>16248.324765473459</x:v>
      </x:c>
      <x:c r="P53" s="8" t="n">
        <x:f>IF($M53&lt;=P$49,"n/a",IF(P$49&gt;$D$41,"n/a",E77/(1+$M53)^1+F77/(1+$M53)^2+G77/(1+$M53)^3+H77/(1+$M53)^4+I77/(1+$M53)^5+I76*(1+P$49)*(1-P$49/D41)/($M53-P$49)/(1+$M53)^5-D35+D36))</x:f>
        <x:v>16463.39259574992</x:v>
      </x:c>
      <x:c r="Q53" s="8" t="n">
        <x:f>IF($M53&lt;=Q$49,"n/a",IF(Q$49&gt;$D$41,"n/a",E77/(1+$M53)^1+F77/(1+$M53)^2+G77/(1+$M53)^3+H77/(1+$M53)^4+I77/(1+$M53)^5+I76*(1+Q$49)*(1-Q$49/D41)/($M53-Q$49)/(1+$M53)^5-D35+D36))</x:f>
        <x:v>16696.817646172713</x:v>
      </x:c>
      <x:c r="R53" s="8" t="n">
        <x:f>IF($M53&lt;=R$49,"n/a",IF(R$49&gt;$D$41,"n/a",E77/(1+$M53)^1+F77/(1+$M53)^2+G77/(1+$M53)^3+H77/(1+$M53)^4+I77/(1+$M53)^5+I76*(1+R$49)*(1-R$49/D41)/($M53-R$49)/(1+$M53)^5-D35+D36))</x:f>
        <x:v>16952.041895519298</x:v>
      </x:c>
      <x:c r="S53" s="63"/>
      <x:c r="T53" s="63"/>
      <x:c r="U53" s="63"/>
      <x:c r="V53" s="63"/>
    </x:row>
    <x:row r="54" ht="18" customHeight="1">
      <x:c r="A54" s="1"/>
      <x:c r="B54" s="1"/>
      <x:c r="C54" s="1" t="str">
        <x:v>EBIT</x:v>
      </x:c>
      <x:c r="D54" s="2"/>
      <x:c r="E54" s="8" t="n">
        <x:f>E52-E53</x:f>
        <x:v>1631.0975999999991</x:v>
      </x:c>
      <x:c r="F54" s="8" t="n">
        <x:f>F52-F53</x:f>
        <x:v>2261.8232736000004</x:v>
      </x:c>
      <x:c r="G54" s="8" t="n">
        <x:f>G52-G53</x:f>
        <x:v>2918.929353489602</x:v>
      </x:c>
      <x:c r="H54" s="8" t="n">
        <x:f>H52-H53</x:f>
        <x:v>3611.8555255735682</x:v>
      </x:c>
      <x:c r="I54" s="8" t="n">
        <x:f>I52-I53</x:f>
        <x:v>4350.4654722785435</x:v>
      </x:c>
      <x:c r="J54" s="1"/>
      <x:c r="K54" s="1"/>
      <x:c r="M54" s="70" t="n">
        <x:f>$D$39+0.02</x:f>
        <x:v>0.13999999999999999</x:v>
      </x:c>
      <x:c r="N54" s="8" t="n">
        <x:f>IF($M54&lt;=N$49,"n/a",IF(N$49&gt;$D$41,"n/a",E77/(1+$M54)^1+F77/(1+$M54)^2+G77/(1+$M54)^3+H77/(1+$M54)^4+I77/(1+$M54)^5+I76*(1+N$49)*(1-N$49/D41)/($M54-N$49)/(1+$M54)^5-D35+D36))</x:f>
        <x:v>13936.566333485192</x:v>
      </x:c>
      <x:c r="O54" s="8" t="n">
        <x:f>IF($M54&lt;=O$49,"n/a",IF(O$49&gt;$D$41,"n/a",E77/(1+$M54)^1+F77/(1+$M54)^2+G77/(1+$M54)^3+H77/(1+$M54)^4+I77/(1+$M54)^5+I76*(1+O$49)*(1-O$49/D41)/($M54-O$49)/(1+$M54)^5-D35+D36))</x:f>
        <x:v>14048.807503153097</x:v>
      </x:c>
      <x:c r="P54" s="8" t="n">
        <x:f>IF($M54&lt;=P$49,"n/a",IF(P$49&gt;$D$41,"n/a",E77/(1+$M54)^1+F77/(1+$M54)^2+G77/(1+$M54)^3+H77/(1+$M54)^4+I77/(1+$M54)^5+I76*(1+P$49)*(1-P$49/D41)/($M54-P$49)/(1+$M54)^5-D35+D36))</x:f>
        <x:v>14166.6240511836</x:v>
      </x:c>
      <x:c r="Q54" s="8" t="n">
        <x:f>IF($M54&lt;=Q$49,"n/a",IF(Q$49&gt;$D$41,"n/a",E77/(1+$M54)^1+F77/(1+$M54)^2+G77/(1+$M54)^3+H77/(1+$M54)^4+I77/(1+$M54)^5+I76*(1+Q$49)*(1-Q$49/D41)/($M54-Q$49)/(1+$M54)^5-D35+D36))</x:f>
        <x:v>14290.896300476044</x:v>
      </x:c>
      <x:c r="R54" s="8" t="n">
        <x:f>IF($M54&lt;=R$49,"n/a",IF(R$49&gt;$D$41,"n/a",E77/(1+$M54)^1+F77/(1+$M54)^2+G77/(1+$M54)^3+H77/(1+$M54)^4+I77/(1+$M54)^5+I76*(1+R$49)*(1-R$49/D41)/($M54-R$49)/(1+$M54)^5-D35+D36))</x:f>
        <x:v>14422.700201240757</x:v>
      </x:c>
      <x:c r="S54" s="63"/>
      <x:c r="T54" s="63"/>
      <x:c r="U54" s="63"/>
      <x:c r="V54" s="63"/>
    </x:row>
    <x:row r="55" ht="18" customHeight="1">
      <x:c r="A55" s="1"/>
      <x:c r="B55" s="1"/>
      <x:c r="C55" s="1" t="str">
        <x:v>Interest expense</x:v>
      </x:c>
      <x:c r="D55" s="2"/>
      <x:c r="E55" s="8" t="n">
        <x:f>E125</x:f>
        <x:v>765</x:v>
      </x:c>
      <x:c r="F55" s="8" t="n">
        <x:f>F125</x:f>
        <x:v>688.5</x:v>
      </x:c>
      <x:c r="G55" s="8" t="n">
        <x:f>G125</x:f>
        <x:v>612</x:v>
      </x:c>
      <x:c r="H55" s="8" t="n">
        <x:f>H125</x:f>
        <x:v>535.5</x:v>
      </x:c>
      <x:c r="I55" s="8" t="n">
        <x:f>I125</x:f>
        <x:v>459.00000000000006</x:v>
      </x:c>
      <x:c r="J55" s="1"/>
      <x:c r="K55" s="1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</x:row>
    <x:row r="56" ht="18" customHeight="1">
      <x:c r="A56" s="1"/>
      <x:c r="B56" s="1"/>
      <x:c r="C56" s="1" t="str">
        <x:v>Profit before tax</x:v>
      </x:c>
      <x:c r="D56" s="2"/>
      <x:c r="E56" s="8" t="n">
        <x:f>E54-E55</x:f>
        <x:v>866.0975999999991</x:v>
      </x:c>
      <x:c r="F56" s="8" t="n">
        <x:f>F54-F55</x:f>
        <x:v>1573.3232736000004</x:v>
      </x:c>
      <x:c r="G56" s="8" t="n">
        <x:f>G54-G55</x:f>
        <x:v>2306.929353489602</x:v>
      </x:c>
      <x:c r="H56" s="8" t="n">
        <x:f>H54-H55</x:f>
        <x:v>3076.3555255735682</x:v>
      </x:c>
      <x:c r="I56" s="8" t="n">
        <x:f>I54-I55</x:f>
        <x:v>3891.4654722785435</x:v>
      </x:c>
      <x:c r="J56" s="1"/>
      <x:c r="K56" s="1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</x:row>
    <x:row r="57" ht="18" customHeight="1">
      <x:c r="A57" s="1"/>
      <x:c r="B57" s="1"/>
      <x:c r="C57" s="1" t="str">
        <x:v>Cash income tax</x:v>
      </x:c>
      <x:c r="D57" s="2"/>
      <x:c r="E57" s="8" t="n">
        <x:f>E144</x:f>
        <x:v>216.5243999999998</x:v>
      </x:c>
      <x:c r="F57" s="8" t="n">
        <x:f>F144</x:f>
        <x:v>393.3308184000001</x:v>
      </x:c>
      <x:c r="G57" s="8" t="n">
        <x:f>G144</x:f>
        <x:v>576.7323383724005</x:v>
      </x:c>
      <x:c r="H57" s="8" t="n">
        <x:f>H144</x:f>
        <x:v>769.0888813933921</x:v>
      </x:c>
      <x:c r="I57" s="8" t="n">
        <x:f>I144</x:f>
        <x:v>972.8663680696359</x:v>
      </x:c>
      <x:c r="J57" s="1"/>
      <x:c r="K57" s="1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</x:row>
    <x:row r="58" ht="25" customHeight="1">
      <x:c r="A58" s="1"/>
      <x:c r="B58" s="1"/>
      <x:c r="C58" s="38" t="str">
        <x:v>Profit after tax</x:v>
      </x:c>
      <x:c r="D58" s="39"/>
      <x:c r="E58" s="41" t="n">
        <x:f>E56-E57</x:f>
        <x:v>649.5731999999994</x:v>
      </x:c>
      <x:c r="F58" s="41" t="n">
        <x:f>F56-F57</x:f>
        <x:v>1179.9924552000002</x:v>
      </x:c>
      <x:c r="G58" s="41" t="n">
        <x:f>G56-G57</x:f>
        <x:v>1730.1970151172013</x:v>
      </x:c>
      <x:c r="H58" s="41" t="n">
        <x:f>H56-H57</x:f>
        <x:v>2307.266644180176</x:v>
      </x:c>
      <x:c r="I58" s="41" t="n">
        <x:f>I56-I57</x:f>
        <x:v>2918.5991042089076</x:v>
      </x:c>
      <x:c r="J58" s="1"/>
      <x:c r="K58" s="1"/>
      <x:c r="M58" s="82" t="str">
        <x:v>Forward equity value | rows EBITDA / columns EV/EBITDA</x:v>
      </x:c>
      <x:c r="N58" s="82"/>
      <x:c r="O58" s="82"/>
      <x:c r="P58" s="82"/>
      <x:c r="Q58" s="82"/>
      <x:c r="R58" s="82"/>
      <x:c r="S58" s="63"/>
      <x:c r="T58" s="63"/>
      <x:c r="U58" s="63"/>
      <x:c r="V58" s="63"/>
    </x:row>
    <x:row r="59" ht="18" customHeight="1">
      <x:c r="A59" s="1"/>
      <x:c r="B59" s="1"/>
      <x:c r="C59" s="19" t="str">
        <x:v>WORKING CAPITAL AND ASSET SCHEDULES</x:v>
      </x:c>
      <x:c r="D59" s="20"/>
      <x:c r="E59" s="20"/>
      <x:c r="F59" s="20"/>
      <x:c r="G59" s="20"/>
      <x:c r="H59" s="20"/>
      <x:c r="I59" s="20"/>
      <x:c r="J59" s="1"/>
      <x:c r="K59" s="1"/>
      <x:c r="M59" s="63"/>
      <x:c r="N59" s="78" t="n">
        <x:f>MAX(0,D42+-2)</x:f>
        <x:v>7</x:v>
      </x:c>
      <x:c r="O59" s="78" t="n">
        <x:f>MAX(0,D42+-1)</x:f>
        <x:v>8</x:v>
      </x:c>
      <x:c r="P59" s="78" t="n">
        <x:f>MAX(0,D42+0)</x:f>
        <x:v>9</x:v>
      </x:c>
      <x:c r="Q59" s="78" t="n">
        <x:f>MAX(0,D42+1)</x:f>
        <x:v>10</x:v>
      </x:c>
      <x:c r="R59" s="78" t="n">
        <x:f>MAX(0,D42+2)</x:f>
        <x:v>11</x:v>
      </x:c>
      <x:c r="S59" s="63"/>
      <x:c r="T59" s="63"/>
      <x:c r="U59" s="63"/>
      <x:c r="V59" s="63"/>
    </x:row>
    <x:row r="60" ht="18" customHeight="1">
      <x:c r="A60" s="1"/>
      <x:c r="B60" s="1"/>
      <x:c r="C60" s="1" t="str">
        <x:v>Trade receivables</x:v>
      </x:c>
      <x:c r="D60" s="2"/>
      <x:c r="E60" s="10" t="n">
        <x:f>E47*E25/'Controls'!$E$11</x:f>
        <x:v>365.6761643835616</x:v>
      </x:c>
      <x:c r="F60" s="10" t="n">
        <x:f>F47*F25/'Controls'!$E$11</x:f>
        <x:v>410.83717068493155</x:v>
      </x:c>
      <x:c r="G60" s="10" t="n">
        <x:f>G47*G25/'Controls'!$E$11</x:f>
        <x:v>461.57556126452073</x:v>
      </x:c>
      <x:c r="H60" s="10" t="n">
        <x:f>H47*H25/'Controls'!$E$11</x:f>
        <x:v>518.580143080689</x:v>
      </x:c>
      <x:c r="I60" s="10" t="n">
        <x:f>I47*I25/'Controls'!$E$11</x:f>
        <x:v>582.6247907511543</x:v>
      </x:c>
      <x:c r="J60" s="1"/>
      <x:c r="K60" s="1"/>
      <x:c r="M60" s="8" t="n">
        <x:f>E52*0.8</x:f>
        <x:v>3416.8780799999995</x:v>
      </x:c>
      <x:c r="N60" s="8" t="n">
        <x:f>$M60*N$59-D35+D36</x:f>
        <x:v>16918.146559999997</x:v>
      </x:c>
      <x:c r="O60" s="8" t="n">
        <x:f>$M60*O$59-D35+D36</x:f>
        <x:v>20335.024639999996</x:v>
      </x:c>
      <x:c r="P60" s="8" t="n">
        <x:f>$M60*P$59-D35+D36</x:f>
        <x:v>23751.902719999995</x:v>
      </x:c>
      <x:c r="Q60" s="8" t="n">
        <x:f>$M60*Q$59-D35+D36</x:f>
        <x:v>27168.780799999993</x:v>
      </x:c>
      <x:c r="R60" s="8" t="n">
        <x:f>$M60*R$59-D35+D36</x:f>
        <x:v>30585.658879999995</x:v>
      </x:c>
      <x:c r="S60" s="63"/>
      <x:c r="T60" s="63"/>
      <x:c r="U60" s="63"/>
      <x:c r="V60" s="63"/>
    </x:row>
    <x:row r="61" ht="18" customHeight="1">
      <x:c r="A61" s="1"/>
      <x:c r="B61" s="1"/>
      <x:c r="C61" s="1" t="str">
        <x:v>Inventory</x:v>
      </x:c>
      <x:c r="D61" s="2"/>
      <x:c r="E61" s="10" t="n">
        <x:f>E49*E26/'Controls'!$E$11</x:f>
        <x:v>0</x:v>
      </x:c>
      <x:c r="F61" s="10" t="n">
        <x:f>F49*F26/'Controls'!$E$11</x:f>
        <x:v>0</x:v>
      </x:c>
      <x:c r="G61" s="10" t="n">
        <x:f>G49*G26/'Controls'!$E$11</x:f>
        <x:v>0</x:v>
      </x:c>
      <x:c r="H61" s="10" t="n">
        <x:f>H49*H26/'Controls'!$E$11</x:f>
        <x:v>0</x:v>
      </x:c>
      <x:c r="I61" s="10" t="n">
        <x:f>I49*I26/'Controls'!$E$11</x:f>
        <x:v>0</x:v>
      </x:c>
      <x:c r="J61" s="1"/>
      <x:c r="K61" s="1"/>
      <x:c r="M61" s="8" t="n">
        <x:f>E52*0.9</x:f>
        <x:v>3843.9878399999993</x:v>
      </x:c>
      <x:c r="N61" s="8" t="n">
        <x:f>$M61*N$59-D35+D36</x:f>
        <x:v>19907.914879999997</x:v>
      </x:c>
      <x:c r="O61" s="8" t="n">
        <x:f>$M61*O$59-D35+D36</x:f>
        <x:v>23751.902719999995</x:v>
      </x:c>
      <x:c r="P61" s="8" t="n">
        <x:f>$M61*P$59-D35+D36</x:f>
        <x:v>27595.890559999993</x:v>
      </x:c>
      <x:c r="Q61" s="8" t="n">
        <x:f>$M61*Q$59-D35+D36</x:f>
        <x:v>31439.878399999994</x:v>
      </x:c>
      <x:c r="R61" s="8" t="n">
        <x:f>$M61*R$59-D35+D36</x:f>
        <x:v>35283.866239999996</x:v>
      </x:c>
      <x:c r="S61" s="63"/>
      <x:c r="T61" s="63"/>
      <x:c r="U61" s="63"/>
      <x:c r="V61" s="63"/>
    </x:row>
    <x:row r="62" ht="18" customHeight="1">
      <x:c r="A62" s="1"/>
      <x:c r="B62" s="1"/>
      <x:c r="C62" s="1" t="str">
        <x:v>Trade payables</x:v>
      </x:c>
      <x:c r="D62" s="2"/>
      <x:c r="E62" s="10" t="n">
        <x:f>E49*E27/'Controls'!$E$11</x:f>
        <x:v>390.0545753424657</x:v>
      </x:c>
      <x:c r="F62" s="10" t="n">
        <x:f>F49*F27/'Controls'!$E$11</x:f>
        <x:v>438.22631539726035</x:v>
      </x:c>
      <x:c r="G62" s="10" t="n">
        <x:f>G49*G27/'Controls'!$E$11</x:f>
        <x:v>492.34726534882213</x:v>
      </x:c>
      <x:c r="H62" s="10" t="n">
        <x:f>H49*H27/'Controls'!$E$11</x:f>
        <x:v>553.1521526194017</x:v>
      </x:c>
      <x:c r="I62" s="10" t="n">
        <x:f>I49*I27/'Controls'!$E$11</x:f>
        <x:v>621.4664434678979</x:v>
      </x:c>
      <x:c r="J62" s="1"/>
      <x:c r="K62" s="1"/>
      <x:c r="M62" s="8" t="n">
        <x:f>E52*1</x:f>
        <x:v>4271.097599999999</x:v>
      </x:c>
      <x:c r="N62" s="8" t="n">
        <x:f>$M62*N$59-D35+D36</x:f>
        <x:v>22897.683199999992</x:v>
      </x:c>
      <x:c r="O62" s="8" t="n">
        <x:f>$M62*O$59-D35+D36</x:f>
        <x:v>27168.780799999993</x:v>
      </x:c>
      <x:c r="P62" s="8" t="n">
        <x:f>$M62*P$59-D35+D36</x:f>
        <x:v>31439.878399999994</x:v>
      </x:c>
      <x:c r="Q62" s="8" t="n">
        <x:f>$M62*Q$59-D35+D36</x:f>
        <x:v>35710.975999999995</x:v>
      </x:c>
      <x:c r="R62" s="8" t="n">
        <x:f>$M62*R$59-D35+D36</x:f>
        <x:v>39982.07359999999</x:v>
      </x:c>
      <x:c r="S62" s="63"/>
      <x:c r="T62" s="63"/>
      <x:c r="U62" s="63"/>
      <x:c r="V62" s="63"/>
    </x:row>
    <x:row r="63" ht="18" customHeight="1">
      <x:c r="A63" s="1"/>
      <x:c r="B63" s="1"/>
      <x:c r="C63" s="1" t="str">
        <x:v>Net working capital</x:v>
      </x:c>
      <x:c r="D63" s="2"/>
      <x:c r="E63" s="8" t="n">
        <x:f>E60+E61-E62</x:f>
        <x:v>-24.378410958904055</x:v>
      </x:c>
      <x:c r="F63" s="8" t="n">
        <x:f>F60+F61-F62</x:f>
        <x:v>-27.3891447123288</x:v>
      </x:c>
      <x:c r="G63" s="8" t="n">
        <x:f>G60+G61-G62</x:f>
        <x:v>-30.771704084301405</x:v>
      </x:c>
      <x:c r="H63" s="8" t="n">
        <x:f>H60+H61-H62</x:f>
        <x:v>-34.57200953871268</x:v>
      </x:c>
      <x:c r="I63" s="8" t="n">
        <x:f>I60+I61-I62</x:f>
        <x:v>-38.841652716743624</x:v>
      </x:c>
      <x:c r="J63" s="1"/>
      <x:c r="K63" s="1"/>
      <x:c r="M63" s="8" t="n">
        <x:f>E52*1.1</x:f>
        <x:v>4698.207359999999</x:v>
      </x:c>
      <x:c r="N63" s="8" t="n">
        <x:f>$M63*N$59-D35+D36</x:f>
        <x:v>25887.451519999995</x:v>
      </x:c>
      <x:c r="O63" s="8" t="n">
        <x:f>$M63*O$59-D35+D36</x:f>
        <x:v>30585.658879999995</x:v>
      </x:c>
      <x:c r="P63" s="8" t="n">
        <x:f>$M63*P$59-D35+D36</x:f>
        <x:v>35283.866239999996</x:v>
      </x:c>
      <x:c r="Q63" s="8" t="n">
        <x:f>$M63*Q$59-D35+D36</x:f>
        <x:v>39982.073599999996</x:v>
      </x:c>
      <x:c r="R63" s="8" t="n">
        <x:f>$M63*R$59-D35+D36</x:f>
        <x:v>44680.28096</x:v>
      </x:c>
      <x:c r="S63" s="63"/>
      <x:c r="T63" s="63"/>
      <x:c r="U63" s="63"/>
      <x:c r="V63" s="63"/>
    </x:row>
    <x:row r="64" ht="18" customHeight="1">
      <x:c r="A64" s="1"/>
      <x:c r="B64" s="1"/>
      <x:c r="C64" s="1" t="str">
        <x:v>Increase in net working capital</x:v>
      </x:c>
      <x:c r="D64" s="2"/>
      <x:c r="E64" s="8" t="n">
        <x:f>E63-$D37</x:f>
        <x:v>-2.6797808219177455</x:v>
      </x:c>
      <x:c r="F64" s="8" t="n">
        <x:f>F63-E63</x:f>
        <x:v>-3.010733753424745</x:v>
      </x:c>
      <x:c r="G64" s="8" t="n">
        <x:f>G63-F63</x:f>
        <x:v>-3.3825593719726044</x:v>
      </x:c>
      <x:c r="H64" s="8" t="n">
        <x:f>H63-G63</x:f>
        <x:v>-3.800305454411273</x:v>
      </x:c>
      <x:c r="I64" s="8" t="n">
        <x:f>I63-H63</x:f>
        <x:v>-4.269643178030947</x:v>
      </x:c>
      <x:c r="J64" s="1"/>
      <x:c r="K64" s="1"/>
      <x:c r="M64" s="8" t="n">
        <x:f>E52*1.2</x:f>
        <x:v>5125.317119999999</x:v>
      </x:c>
      <x:c r="N64" s="8" t="n">
        <x:f>$M64*N$59-D35+D36</x:f>
        <x:v>28877.21983999999</x:v>
      </x:c>
      <x:c r="O64" s="8" t="n">
        <x:f>$M64*O$59-D35+D36</x:f>
        <x:v>34002.53695999999</x:v>
      </x:c>
      <x:c r="P64" s="8" t="n">
        <x:f>$M64*P$59-D35+D36</x:f>
        <x:v>39127.85407999999</x:v>
      </x:c>
      <x:c r="Q64" s="8" t="n">
        <x:f>$M64*Q$59-D35+D36</x:f>
        <x:v>44253.17119999999</x:v>
      </x:c>
      <x:c r="R64" s="8" t="n">
        <x:f>$M64*R$59-D35+D36</x:f>
        <x:v>49378.48831999999</x:v>
      </x:c>
      <x:c r="S64" s="63"/>
      <x:c r="T64" s="63"/>
      <x:c r="U64" s="63"/>
      <x:c r="V64" s="63"/>
    </x:row>
    <x:row r="65" ht="18" customHeight="1">
      <x:c r="A65" s="1"/>
      <x:c r="B65" s="1"/>
      <x:c r="C65" s="1" t="str">
        <x:v>Capital expenditure</x:v>
      </x:c>
      <x:c r="D65" s="2"/>
      <x:c r="E65" s="8" t="n">
        <x:f>E47*E23</x:f>
        <x:v>1779.6239999999998</x:v>
      </x:c>
      <x:c r="F65" s="8" t="n">
        <x:f>F47*F23</x:f>
        <x:v>1999.4075640000003</x:v>
      </x:c>
      <x:c r="G65" s="8" t="n">
        <x:f>G47*G23</x:f>
        <x:v>2246.334398154001</x:v>
      </x:c>
      <x:c r="H65" s="8" t="n">
        <x:f>H47*H23</x:f>
        <x:v>2523.75669632602</x:v>
      </x:c>
      <x:c r="I65" s="8" t="n">
        <x:f>I47*I23</x:f>
        <x:v>2835.4406483222842</x:v>
      </x:c>
      <x:c r="J65" s="1"/>
      <x:c r="K65" s="1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</x:row>
    <x:row r="66" ht="18" customHeight="1">
      <x:c r="A66" s="1"/>
      <x:c r="B66" s="1"/>
      <x:c r="C66" s="1" t="str">
        <x:v>Closing net PP&amp;E</x:v>
      </x:c>
      <x:c r="D66" s="2"/>
      <x:c r="E66" s="8" t="n">
        <x:f>E135</x:f>
        <x:v>21139.624</x:v>
      </x:c>
      <x:c r="F66" s="8" t="n">
        <x:f>F135</x:f>
        <x:v>20602.276684</x:v>
      </x:c>
      <x:c r="G66" s="8" t="n">
        <x:f>G135</x:f>
        <x:v>20376.337880074003</x:v>
      </x:c>
      <x:c r="H66" s="8" t="n">
        <x:f>H135</x:f>
        <x:v>20454.934030791144</x:v>
      </x:c>
      <x:c r="I66" s="8" t="n">
        <x:f>I135</x:f>
        <x:v>20835.782595418492</x:v>
      </x:c>
      <x:c r="J66" s="1"/>
      <x:c r="K66" s="1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</x:row>
    <x:row r="67" ht="18" customHeight="1">
      <x:c r="A67" s="1"/>
      <x:c r="B67" s="1"/>
      <x:c r="C67" s="1" t="str">
        <x:v>Closing debt</x:v>
      </x:c>
      <x:c r="D67" s="2"/>
      <x:c r="E67" s="8" t="n">
        <x:f>E123</x:f>
        <x:v>8100</x:v>
      </x:c>
      <x:c r="F67" s="8" t="n">
        <x:f>F123</x:f>
        <x:v>7200</x:v>
      </x:c>
      <x:c r="G67" s="8" t="n">
        <x:f>G123</x:f>
        <x:v>6300</x:v>
      </x:c>
      <x:c r="H67" s="8" t="n">
        <x:f>H123</x:f>
        <x:v>5400</x:v>
      </x:c>
      <x:c r="I67" s="8" t="n">
        <x:f>I123</x:f>
        <x:v>4500</x:v>
      </x:c>
      <x:c r="J67" s="1"/>
      <x:c r="K67" s="1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</x:row>
    <x:row r="68" ht="25" customHeight="1">
      <x:c r="A68" s="1"/>
      <x:c r="B68" s="1"/>
      <x:c r="C68" s="19" t="str">
        <x:v>CASH FLOW AND BALANCE SHEET</x:v>
      </x:c>
      <x:c r="D68" s="20"/>
      <x:c r="E68" s="20"/>
      <x:c r="F68" s="20"/>
      <x:c r="G68" s="20"/>
      <x:c r="H68" s="20"/>
      <x:c r="I68" s="20"/>
      <x:c r="J68" s="1"/>
      <x:c r="K68" s="1"/>
      <x:c r="M68" s="82" t="str">
        <x:v>First-year EBITDA | rows revenue / columns EBITDA margin</x:v>
      </x:c>
      <x:c r="N68" s="82"/>
      <x:c r="O68" s="82"/>
      <x:c r="P68" s="82"/>
      <x:c r="Q68" s="82"/>
      <x:c r="R68" s="82"/>
      <x:c r="S68" s="63"/>
      <x:c r="T68" s="63"/>
      <x:c r="U68" s="63"/>
      <x:c r="V68" s="63"/>
    </x:row>
    <x:row r="69" ht="18" customHeight="1">
      <x:c r="A69" s="1"/>
      <x:c r="B69" s="1"/>
      <x:c r="C69" s="1" t="str">
        <x:v>Operating cash flow after interest</x:v>
      </x:c>
      <x:c r="D69" s="2"/>
      <x:c r="E69" s="8" t="n">
        <x:f>E58+E53-E64</x:f>
        <x:v>3292.252980821917</x:v>
      </x:c>
      <x:c r="F69" s="8" t="n">
        <x:f>F58+F53-F64</x:f>
        <x:v>3719.7580689534248</x:v>
      </x:c>
      <x:c r="G69" s="8" t="n">
        <x:f>G58+G53-G64</x:f>
        <x:v>4205.852776569174</x:v>
      </x:c>
      <x:c r="H69" s="8" t="n">
        <x:f>H58+H53-H64</x:f>
        <x:v>4756.227495243467</x:v>
      </x:c>
      <x:c r="I69" s="8" t="n">
        <x:f>I58+I53-I64</x:f>
        <x:v>5377.460831081877</x:v>
      </x:c>
      <x:c r="J69" s="1"/>
      <x:c r="K69" s="1"/>
      <x:c r="M69" s="63"/>
      <x:c r="N69" s="70" t="n">
        <x:f>E52/E47+-0.04</x:f>
        <x:v>0.44</x:v>
      </x:c>
      <x:c r="O69" s="70" t="n">
        <x:f>E52/E47+-0.02</x:f>
        <x:v>0.45999999999999996</x:v>
      </x:c>
      <x:c r="P69" s="70" t="n">
        <x:f>E52/E47+0</x:f>
        <x:v>0.48</x:v>
      </x:c>
      <x:c r="Q69" s="70" t="n">
        <x:f>E52/E47+0.02</x:f>
        <x:v>0.5</x:v>
      </x:c>
      <x:c r="R69" s="70" t="n">
        <x:f>E52/E47+0.04</x:f>
        <x:v>0.52</x:v>
      </x:c>
      <x:c r="S69" s="63"/>
      <x:c r="T69" s="63"/>
      <x:c r="U69" s="63"/>
      <x:c r="V69" s="63"/>
    </x:row>
    <x:row r="70" ht="18" customHeight="1">
      <x:c r="A70" s="1"/>
      <x:c r="B70" s="1"/>
      <x:c r="C70" s="1" t="str">
        <x:v>Dividends</x:v>
      </x:c>
      <x:c r="D70" s="2"/>
      <x:c r="E70" s="8" t="n">
        <x:f>MAX(0,E58)*E32</x:f>
        <x:v>162.39329999999984</x:v>
      </x:c>
      <x:c r="F70" s="8" t="n">
        <x:f>MAX(0,F58)*F32</x:f>
        <x:v>294.99811380000006</x:v>
      </x:c>
      <x:c r="G70" s="8" t="n">
        <x:f>MAX(0,G58)*G32</x:f>
        <x:v>432.54925377930033</x:v>
      </x:c>
      <x:c r="H70" s="8" t="n">
        <x:f>MAX(0,H58)*H32</x:f>
        <x:v>576.816661045044</x:v>
      </x:c>
      <x:c r="I70" s="8" t="n">
        <x:f>MAX(0,I58)*I32</x:f>
        <x:v>729.6497760522269</x:v>
      </x:c>
      <x:c r="J70" s="1"/>
      <x:c r="K70" s="1"/>
      <x:c r="M70" s="8" t="n">
        <x:f>E47*0.8</x:f>
        <x:v>7118.495999999999</x:v>
      </x:c>
      <x:c r="N70" s="8" t="n">
        <x:f>$M70*N$69</x:f>
        <x:v>3132.1382399999998</x:v>
      </x:c>
      <x:c r="O70" s="8" t="n">
        <x:f>$M70*O$69</x:f>
        <x:v>3274.5081599999994</x:v>
      </x:c>
      <x:c r="P70" s="8" t="n">
        <x:f>$M70*P$69</x:f>
        <x:v>3416.8780799999995</x:v>
      </x:c>
      <x:c r="Q70" s="8" t="n">
        <x:f>$M70*Q$69</x:f>
        <x:v>3559.2479999999996</x:v>
      </x:c>
      <x:c r="R70" s="8" t="n">
        <x:f>$M70*R$69</x:f>
        <x:v>3701.6179199999997</x:v>
      </x:c>
      <x:c r="S70" s="63"/>
      <x:c r="T70" s="63"/>
      <x:c r="U70" s="63"/>
      <x:c r="V70" s="63"/>
    </x:row>
    <x:row r="71" ht="18" customHeight="1">
      <x:c r="A71" s="1"/>
      <x:c r="B71" s="1"/>
      <x:c r="C71" s="1" t="str">
        <x:v>Change in cash</x:v>
      </x:c>
      <x:c r="D71" s="2"/>
      <x:c r="E71" s="8" t="n">
        <x:f>E69-E65+E30-E31-E70</x:f>
        <x:v>450.2356808219173</x:v>
      </x:c>
      <x:c r="F71" s="8" t="n">
        <x:f>F69-F65+F30-F31-F70</x:f>
        <x:v>525.3523911534244</x:v>
      </x:c>
      <x:c r="G71" s="8" t="n">
        <x:f>G69-G65+G30-G31-G70</x:f>
        <x:v>626.9691246358728</x:v>
      </x:c>
      <x:c r="H71" s="8" t="n">
        <x:f>H69-H65+H30-H31-H70</x:f>
        <x:v>755.6541378724031</x:v>
      </x:c>
      <x:c r="I71" s="8" t="n">
        <x:f>I69-I65+I30-I31-I70</x:f>
        <x:v>912.3704067073655</x:v>
      </x:c>
      <x:c r="J71" s="1"/>
      <x:c r="K71" s="1"/>
      <x:c r="M71" s="8" t="n">
        <x:f>E47*0.9</x:f>
        <x:v>8008.307999999999</x:v>
      </x:c>
      <x:c r="N71" s="8" t="n">
        <x:f>$M71*N$69</x:f>
        <x:v>3523.65552</x:v>
      </x:c>
      <x:c r="O71" s="8" t="n">
        <x:f>$M71*O$69</x:f>
        <x:v>3683.821679999999</x:v>
      </x:c>
      <x:c r="P71" s="8" t="n">
        <x:f>$M71*P$69</x:f>
        <x:v>3843.9878399999993</x:v>
      </x:c>
      <x:c r="Q71" s="8" t="n">
        <x:f>$M71*Q$69</x:f>
        <x:v>4004.1539999999995</x:v>
      </x:c>
      <x:c r="R71" s="8" t="n">
        <x:f>$M71*R$69</x:f>
        <x:v>4164.320159999999</x:v>
      </x:c>
      <x:c r="S71" s="63"/>
      <x:c r="T71" s="63"/>
      <x:c r="U71" s="63"/>
      <x:c r="V71" s="63"/>
    </x:row>
    <x:row r="72" ht="18" customHeight="1">
      <x:c r="A72" s="1"/>
      <x:c r="B72" s="1"/>
      <x:c r="C72" s="1" t="str">
        <x:v>Closing cash / (funding gap)</x:v>
      </x:c>
      <x:c r="D72" s="2"/>
      <x:c r="E72" s="8" t="n">
        <x:f>$D36+E71</x:f>
        <x:v>2450.2356808219174</x:v>
      </x:c>
      <x:c r="F72" s="8" t="n">
        <x:f>E72+F71</x:f>
        <x:v>2975.588071975342</x:v>
      </x:c>
      <x:c r="G72" s="8" t="n">
        <x:f>F72+G71</x:f>
        <x:v>3602.5571966112147</x:v>
      </x:c>
      <x:c r="H72" s="8" t="n">
        <x:f>G72+H71</x:f>
        <x:v>4358.211334483618</x:v>
      </x:c>
      <x:c r="I72" s="8" t="n">
        <x:f>H72+I71</x:f>
        <x:v>5270.581741190984</x:v>
      </x:c>
      <x:c r="J72" s="1"/>
      <x:c r="K72" s="1"/>
      <x:c r="M72" s="8" t="n">
        <x:f>E47*1</x:f>
        <x:v>8898.119999999999</x:v>
      </x:c>
      <x:c r="N72" s="8" t="n">
        <x:f>$M72*N$69</x:f>
        <x:v>3915.1727999999994</x:v>
      </x:c>
      <x:c r="O72" s="8" t="n">
        <x:f>$M72*O$69</x:f>
        <x:v>4093.1351999999993</x:v>
      </x:c>
      <x:c r="P72" s="8" t="n">
        <x:f>$M72*P$69</x:f>
        <x:v>4271.097599999999</x:v>
      </x:c>
      <x:c r="Q72" s="8" t="n">
        <x:f>$M72*Q$69</x:f>
        <x:v>4449.0599999999995</x:v>
      </x:c>
      <x:c r="R72" s="8" t="n">
        <x:f>$M72*R$69</x:f>
        <x:v>4627.0224</x:v>
      </x:c>
      <x:c r="S72" s="63"/>
      <x:c r="T72" s="63"/>
      <x:c r="U72" s="63"/>
      <x:c r="V72" s="63"/>
    </x:row>
    <x:row r="73" ht="18" customHeight="1">
      <x:c r="A73" s="1"/>
      <x:c r="B73" s="1"/>
      <x:c r="C73" s="38" t="str">
        <x:v>Closing book equity</x:v>
      </x:c>
      <x:c r="D73" s="39"/>
      <x:c r="E73" s="41" t="n">
        <x:f>$D34+$D37+$D36-$D35+E58-E70</x:f>
        <x:v>15465.481269863012</x:v>
      </x:c>
      <x:c r="F73" s="41" t="n">
        <x:f>E73+F58-F70</x:f>
        <x:v>16350.475611263013</x:v>
      </x:c>
      <x:c r="G73" s="41" t="n">
        <x:f>F73+G58-G70</x:f>
        <x:v>17648.123372600916</x:v>
      </x:c>
      <x:c r="H73" s="41" t="n">
        <x:f>G73+H58-H70</x:f>
        <x:v>19378.57335573605</x:v>
      </x:c>
      <x:c r="I73" s="41" t="n">
        <x:f>H73+I58-I70</x:f>
        <x:v>21567.522683892734</x:v>
      </x:c>
      <x:c r="J73" s="1"/>
      <x:c r="K73" s="1"/>
      <x:c r="M73" s="8" t="n">
        <x:f>E47*1.1</x:f>
        <x:v>9787.931999999999</x:v>
      </x:c>
      <x:c r="N73" s="8" t="n">
        <x:f>$M73*N$69</x:f>
        <x:v>4306.690079999999</x:v>
      </x:c>
      <x:c r="O73" s="8" t="n">
        <x:f>$M73*O$69</x:f>
        <x:v>4502.448719999999</x:v>
      </x:c>
      <x:c r="P73" s="8" t="n">
        <x:f>$M73*P$69</x:f>
        <x:v>4698.207359999999</x:v>
      </x:c>
      <x:c r="Q73" s="8" t="n">
        <x:f>$M73*Q$69</x:f>
        <x:v>4893.965999999999</x:v>
      </x:c>
      <x:c r="R73" s="8" t="n">
        <x:f>$M73*R$69</x:f>
        <x:v>5089.724639999999</x:v>
      </x:c>
      <x:c r="S73" s="63"/>
      <x:c r="T73" s="63"/>
      <x:c r="U73" s="63"/>
      <x:c r="V73" s="63"/>
    </x:row>
    <x:row r="74" ht="18" customHeight="1">
      <x:c r="A74" s="1"/>
      <x:c r="B74" s="1"/>
      <x:c r="C74" s="1" t="str">
        <x:v>Total assets</x:v>
      </x:c>
      <x:c r="D74" s="2"/>
      <x:c r="E74" s="8" t="n">
        <x:f>E72+E60+E61+E66</x:f>
        <x:v>23955.53584520548</x:v>
      </x:c>
      <x:c r="F74" s="8" t="n">
        <x:f>F72+F60+F61+F66</x:f>
        <x:v>23988.701926660273</x:v>
      </x:c>
      <x:c r="G74" s="8" t="n">
        <x:f>G72+G60+G61+G66</x:f>
        <x:v>24440.470637949737</x:v>
      </x:c>
      <x:c r="H74" s="8" t="n">
        <x:f>H72+H60+H61+H66</x:f>
        <x:v>25331.725508355452</x:v>
      </x:c>
      <x:c r="I74" s="8" t="n">
        <x:f>I72+I60+I61+I66</x:f>
        <x:v>26688.98912736063</x:v>
      </x:c>
      <x:c r="J74" s="1"/>
      <x:c r="K74" s="1"/>
      <x:c r="M74" s="8" t="n">
        <x:f>E47*1.2</x:f>
        <x:v>10677.743999999999</x:v>
      </x:c>
      <x:c r="N74" s="8" t="n">
        <x:f>$M74*N$69</x:f>
        <x:v>4698.207359999999</x:v>
      </x:c>
      <x:c r="O74" s="8" t="n">
        <x:f>$M74*O$69</x:f>
        <x:v>4911.762239999999</x:v>
      </x:c>
      <x:c r="P74" s="8" t="n">
        <x:f>$M74*P$69</x:f>
        <x:v>5125.317119999999</x:v>
      </x:c>
      <x:c r="Q74" s="8" t="n">
        <x:f>$M74*Q$69</x:f>
        <x:v>5338.871999999999</x:v>
      </x:c>
      <x:c r="R74" s="8" t="n">
        <x:f>$M74*R$69</x:f>
        <x:v>5552.42688</x:v>
      </x:c>
      <x:c r="S74" s="63"/>
      <x:c r="T74" s="63"/>
      <x:c r="U74" s="63"/>
      <x:c r="V74" s="63"/>
    </x:row>
    <x:row r="75" ht="18" customHeight="1">
      <x:c r="A75" s="1"/>
      <x:c r="B75" s="1"/>
      <x:c r="C75" s="1" t="str">
        <x:v>Liabilities and equity</x:v>
      </x:c>
      <x:c r="D75" s="2"/>
      <x:c r="E75" s="8" t="n">
        <x:f>E62+E67+E73</x:f>
        <x:v>23955.53584520548</x:v>
      </x:c>
      <x:c r="F75" s="8" t="n">
        <x:f>F62+F67+F73</x:f>
        <x:v>23988.701926660273</x:v>
      </x:c>
      <x:c r="G75" s="8" t="n">
        <x:f>G62+G67+G73</x:f>
        <x:v>24440.470637949737</x:v>
      </x:c>
      <x:c r="H75" s="8" t="n">
        <x:f>H62+H67+H73</x:f>
        <x:v>25331.725508355452</x:v>
      </x:c>
      <x:c r="I75" s="8" t="n">
        <x:f>I62+I67+I73</x:f>
        <x:v>26688.989127360634</x:v>
      </x:c>
      <x:c r="J75" s="1"/>
      <x:c r="K75" s="1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</x:row>
    <x:row r="76" ht="18" customHeight="1">
      <x:c r="A76" s="1"/>
      <x:c r="B76" s="1"/>
      <x:c r="C76" s="1" t="str">
        <x:v>Unlevered operating profit after tax</x:v>
      </x:c>
      <x:c r="D76" s="2"/>
      <x:c r="E76" s="8" t="n">
        <x:f>E54-MAX(0,E54)*E28</x:f>
        <x:v>1223.3231999999994</x:v>
      </x:c>
      <x:c r="F76" s="8" t="n">
        <x:f>F54-MAX(0,F54)*F28</x:f>
        <x:v>1696.3674552000002</x:v>
      </x:c>
      <x:c r="G76" s="8" t="n">
        <x:f>G54-MAX(0,G54)*G28</x:f>
        <x:v>2189.1970151172013</x:v>
      </x:c>
      <x:c r="H76" s="8" t="n">
        <x:f>H54-MAX(0,H54)*H28</x:f>
        <x:v>2708.891644180176</x:v>
      </x:c>
      <x:c r="I76" s="8" t="n">
        <x:f>I54-MAX(0,I54)*I28</x:f>
        <x:v>3262.8491042089076</x:v>
      </x:c>
      <x:c r="J76" s="1"/>
      <x:c r="K76" s="1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</x:row>
    <x:row r="77" ht="18" customHeight="1">
      <x:c r="A77" s="1"/>
      <x:c r="B77" s="1"/>
      <x:c r="C77" s="38" t="str">
        <x:v>Free cash flow to firm</x:v>
      </x:c>
      <x:c r="D77" s="39"/>
      <x:c r="E77" s="41" t="n">
        <x:f>E76+E53-E65-E64</x:f>
        <x:v>2086.378980821917</x:v>
      </x:c>
      <x:c r="F77" s="41" t="n">
        <x:f>F76+F53-F65-F64</x:f>
        <x:v>2236.725504953424</x:v>
      </x:c>
      <x:c r="G77" s="41" t="n">
        <x:f>G76+G53-G65-G64</x:f>
        <x:v>2418.5183784151727</x:v>
      </x:c>
      <x:c r="H77" s="41" t="n">
        <x:f>H76+H53-H65-H64</x:f>
        <x:v>2634.0957989174467</x:v>
      </x:c>
      <x:c r="I77" s="41" t="n">
        <x:f>I76+I53-I65-I64</x:f>
        <x:v>2886.270182759592</x:v>
      </x:c>
      <x:c r="J77" s="1"/>
      <x:c r="K77" s="1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</x:row>
    <x:row r="78" ht="18" customHeight="1">
      <x:c r="A78" s="1"/>
      <x:c r="B78" s="1"/>
      <x:c r="C78" s="19" t="str">
        <x:v>SECTOR KPIs AND RETURN METRICS</x:v>
      </x:c>
      <x:c r="D78" s="20"/>
      <x:c r="E78" s="20"/>
      <x:c r="F78" s="20"/>
      <x:c r="G78" s="20"/>
      <x:c r="H78" s="20"/>
      <x:c r="I78" s="20"/>
      <x:c r="J78" s="1"/>
      <x:c r="K78" s="1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</x:row>
    <x:row r="79" ht="18" customHeight="1">
      <x:c r="A79" s="1"/>
      <x:c r="B79" s="1"/>
      <x:c r="C79" s="23" t="str">
        <x:v>Gross margin</x:v>
      </x:c>
      <x:c r="D79" s="24"/>
      <x:c r="E79" s="35" t="n">
        <x:f>E50/E47</x:f>
        <x:v>0.6799999999999999</x:v>
      </x:c>
      <x:c r="F79" s="35" t="n">
        <x:f>F50/F47</x:f>
        <x:v>0.6799999999999999</x:v>
      </x:c>
      <x:c r="G79" s="35" t="n">
        <x:f>G50/G47</x:f>
        <x:v>0.6799999999999999</x:v>
      </x:c>
      <x:c r="H79" s="35" t="n">
        <x:f>H50/H47</x:f>
        <x:v>0.6799999999999999</x:v>
      </x:c>
      <x:c r="I79" s="35" t="n">
        <x:f>I50/I47</x:f>
        <x:v>0.68</x:v>
      </x:c>
      <x:c r="J79" s="1"/>
      <x:c r="K79" s="1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</x:row>
    <x:row r="80" ht="18" customHeight="1">
      <x:c r="A80" s="1"/>
      <x:c r="B80" s="1"/>
      <x:c r="C80" s="23" t="str">
        <x:v>EBITDA margin</x:v>
      </x:c>
      <x:c r="D80" s="24"/>
      <x:c r="E80" s="35" t="n">
        <x:f>E52/E47</x:f>
        <x:v>0.48</x:v>
      </x:c>
      <x:c r="F80" s="35" t="n">
        <x:f>F52/F47</x:f>
        <x:v>0.48</x:v>
      </x:c>
      <x:c r="G80" s="35" t="n">
        <x:f>G52/G47</x:f>
        <x:v>0.48</x:v>
      </x:c>
      <x:c r="H80" s="35" t="n">
        <x:f>H52/H47</x:f>
        <x:v>0.48000000000000004</x:v>
      </x:c>
      <x:c r="I80" s="35" t="n">
        <x:f>I52/I47</x:f>
        <x:v>0.4799999999999999</x:v>
      </x:c>
      <x:c r="J80" s="1"/>
      <x:c r="K80" s="1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</x:row>
    <x:row r="81" ht="18" customHeight="1">
      <x:c r="A81" s="1"/>
      <x:c r="B81" s="1"/>
      <x:c r="C81" s="23" t="str">
        <x:v>Net margin</x:v>
      </x:c>
      <x:c r="D81" s="24"/>
      <x:c r="E81" s="35" t="n">
        <x:f>E58/E47</x:f>
        <x:v>0.07300117328154705</x:v>
      </x:c>
      <x:c r="F81" s="35" t="n">
        <x:f>F58/F47</x:f>
        <x:v>0.11803420937743338</x:v>
      </x:c>
      <x:c r="G81" s="35" t="n">
        <x:f>G58/G47</x:f>
        <x:v>0.15404625567226746</x:v>
      </x:c>
      <x:c r="H81" s="35" t="n">
        <x:f>H58/H47</x:f>
        <x:v>0.18284382543998784</x:v>
      </x:c>
      <x:c r="I81" s="35" t="n">
        <x:f>I58/I47</x:f>
        <x:v>0.2058656460283045</x:v>
      </x:c>
      <x:c r="J81" s="1"/>
      <x:c r="K81" s="1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</x:row>
    <x:row r="82" ht="18" customHeight="1">
      <x:c r="A82" s="1"/>
      <x:c r="B82" s="1"/>
      <x:c r="C82" s="23" t="str">
        <x:v>Operating cash conversion</x:v>
      </x:c>
      <x:c r="D82" s="24"/>
      <x:c r="E82" s="35" t="n">
        <x:f>IF(E52=0,"n.a.",E69/E52)</x:f>
        <x:v>0.7708212944658341</x:v>
      </x:c>
      <x:c r="F82" s="35" t="n">
        <x:f>IF(F52=0,"n.a.",F69/F52)</x:f>
        <x:v>0.7751792197367421</x:v>
      </x:c>
      <x:c r="G82" s="35" t="n">
        <x:f>IF(G52=0,"n.a.",G69/G52)</x:f>
        <x:v>0.7801325832627354</x:v>
      </x:c>
      <x:c r="H82" s="35" t="n">
        <x:f>IF(H52=0,"n.a.",H69/H52)</x:f>
        <x:v>0.7852426738426928</x:v>
      </x:c>
      <x:c r="I82" s="35" t="n">
        <x:f>IF(I52=0,"n.a.",I69/I52)</x:f>
        <x:v>0.7902153342349825</x:v>
      </x:c>
      <x:c r="J82" s="1"/>
      <x:c r="K82" s="1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</x:row>
    <x:row r="83" ht="18" customHeight="1">
      <x:c r="A83" s="1"/>
      <x:c r="B83" s="1"/>
      <x:c r="C83" s="1" t="str">
        <x:v>Cash conversion cycle (days)</x:v>
      </x:c>
      <x:c r="D83" s="2"/>
      <x:c r="E83" s="8" t="n">
        <x:f>E25+E26-E27</x:f>
        <x:v>-35</x:v>
      </x:c>
      <x:c r="F83" s="8" t="n">
        <x:f>F25+F26-F27</x:f>
        <x:v>-35</x:v>
      </x:c>
      <x:c r="G83" s="8" t="n">
        <x:f>G25+G26-G27</x:f>
        <x:v>-35</x:v>
      </x:c>
      <x:c r="H83" s="8" t="n">
        <x:f>H25+H26-H27</x:f>
        <x:v>-35</x:v>
      </x:c>
      <x:c r="I83" s="8" t="n">
        <x:f>I25+I26-I27</x:f>
        <x:v>-35</x:v>
      </x:c>
      <x:c r="J83" s="1"/>
      <x:c r="K83" s="1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</x:row>
    <x:row r="84" ht="18" customHeight="1">
      <x:c r="A84" s="1"/>
      <x:c r="B84" s="1"/>
      <x:c r="C84" s="23" t="str">
        <x:v>Net debt / EBITDA</x:v>
      </x:c>
      <x:c r="D84" s="32"/>
      <x:c r="E84" s="61" t="n">
        <x:f>IF(E52&lt;=0,"n.a.",(E67-E72)/E52)</x:f>
        <x:v>1.3227897951051466</x:v>
      </x:c>
      <x:c r="F84" s="61" t="n">
        <x:f>IF(F52&lt;=0,"n.a.",(F67-F72)/F52)</x:f>
        <x:v>0.8803465928455098</x:v>
      </x:c>
      <x:c r="G84" s="61" t="n">
        <x:f>IF(G52&lt;=0,"n.a.",(G67-G72)/G52)</x:f>
        <x:v>0.5003415797468196</x:v>
      </x:c>
      <x:c r="H84" s="61" t="n">
        <x:f>IF(H52&lt;=0,"n.a.",(H67-H72)/H52)</x:f>
        <x:v>0.17199701194007308</x:v>
      </x:c>
      <x:c r="I84" s="61" t="n">
        <x:f>IF(I52&lt;=0,"n.a.",(I67-I72)/I52)</x:f>
        <x:v>-0.11323662362187768</x:v>
      </x:c>
      <x:c r="J84" s="1"/>
      <x:c r="K84" s="1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</x:row>
    <x:row r="85" ht="18" customHeight="1">
      <x:c r="A85" s="1"/>
      <x:c r="B85" s="1"/>
      <x:c r="C85" s="23" t="str">
        <x:v>EBIT / interest</x:v>
      </x:c>
      <x:c r="D85" s="32"/>
      <x:c r="E85" s="61" t="n">
        <x:f>IF(E55=0,"n.a.",E54/E55)</x:f>
        <x:v>2.1321537254901948</x:v>
      </x:c>
      <x:c r="F85" s="61" t="n">
        <x:f>IF(F55=0,"n.a.",F54/F55)</x:f>
        <x:v>3.285146366884532</x:v>
      </x:c>
      <x:c r="G85" s="61" t="n">
        <x:f>IF(G55=0,"n.a.",G54/G55)</x:f>
        <x:v>4.7694924076627485</x:v>
      </x:c>
      <x:c r="H85" s="61" t="n">
        <x:f>IF(H55=0,"n.a.",H54/H55)</x:f>
        <x:v>6.744828245702275</x:v>
      </x:c>
      <x:c r="I85" s="61" t="n">
        <x:f>IF(I55=0,"n.a.",I54/I55)</x:f>
        <x:v>9.478138283831248</x:v>
      </x:c>
      <x:c r="J85" s="1"/>
      <x:c r="K85" s="1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</x:row>
    <x:row r="86" ht="18" customHeight="1">
      <x:c r="A86" s="1"/>
      <x:c r="B86" s="1"/>
      <x:c r="C86" s="23" t="str">
        <x:v>ROIC on average invested capital</x:v>
      </x:c>
      <x:c r="D86" s="24"/>
      <x:c r="E86" s="35" t="n">
        <x:f>E76/(($D34+$D37+E66+E63)/2)</x:f>
        <x:v>0.056775238351422494</x:v>
      </x:c>
      <x:c r="F86" s="35" t="n">
        <x:f>F76/((E66+E63+F66+F63)/2)</x:f>
        <x:v>0.08137980514374062</x:v>
      </x:c>
      <x:c r="G86" s="35" t="n">
        <x:f>G76/((F66+F63+G66+G63)/2)</x:f>
        <x:v>0.1069976902186634</x:v>
      </x:c>
      <x:c r="H86" s="35" t="n">
        <x:f>H76/((G66+G63+H66+H63)/2)</x:f>
        <x:v>0.13289978979865036</x:v>
      </x:c>
      <x:c r="I86" s="35" t="n">
        <x:f>I76/((H66+H63+I66+I63)/2)</x:f>
        <x:v>0.15832424101413775</x:v>
      </x:c>
      <x:c r="J86" s="1"/>
      <x:c r="K86" s="1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</x:row>
    <x:row r="87" ht="18" customHeight="1">
      <x:c r="A87" s="1"/>
      <x:c r="B87" s="1"/>
      <x:c r="C87" s="1" t="str">
        <x:v>Monthly EBITDA per subscriber (INR)</x:v>
      </x:c>
      <x:c r="D87" s="2"/>
      <x:c r="E87" s="10" t="n">
        <x:f>E52*'Controls'!$E$9/(E44*'Controls'!$E$14*'Controls'!$E$10)</x:f>
        <x:v>112.99199999999998</x:v>
      </x:c>
      <x:c r="F87" s="10" t="n">
        <x:f>F52*'Controls'!$E$9/(F44*'Controls'!$E$14*'Controls'!$E$10)</x:f>
        <x:v>120.90144000000001</x:v>
      </x:c>
      <x:c r="G87" s="10" t="n">
        <x:f>G52*'Controls'!$E$9/(G44*'Controls'!$E$14*'Controls'!$E$10)</x:f>
        <x:v>129.36454080000001</x:v>
      </x:c>
      <x:c r="H87" s="10" t="n">
        <x:f>H52*'Controls'!$E$9/(H44*'Controls'!$E$14*'Controls'!$E$10)</x:f>
        <x:v>138.42005865600004</x:v>
      </x:c>
      <x:c r="I87" s="10" t="n">
        <x:f>I52*'Controls'!$E$9/(I44*'Controls'!$E$14*'Controls'!$E$10)</x:f>
        <x:v>148.10946276192004</x:v>
      </x:c>
      <x:c r="J87" s="1"/>
      <x:c r="K87" s="1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</x:row>
    <x:row r="88" ht="18" customHeight="1">
      <x:c r="A88" s="1"/>
      <x:c r="B88" s="1"/>
      <x:c r="C88" s="19" t="str">
        <x:v>VALUATION AT 31 MARCH 2026</x:v>
      </x:c>
      <x:c r="D88" s="20"/>
      <x:c r="E88" s="20"/>
      <x:c r="F88" s="20"/>
      <x:c r="G88" s="20"/>
      <x:c r="H88" s="20"/>
      <x:c r="I88" s="20"/>
      <x:c r="J88" s="1"/>
      <x:c r="K88" s="1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</x:row>
    <x:row r="89" ht="18" customHeight="1">
      <x:c r="A89" s="1"/>
      <x:c r="B89" s="1"/>
      <x:c r="C89" s="1" t="str">
        <x:v>PV of annual FCFF</x:v>
      </x:c>
      <x:c r="D89" s="2"/>
      <x:c r="E89" s="8" t="n">
        <x:f>E77/(1+$D39)^1</x:f>
        <x:v>1862.8383757338545</x:v>
      </x:c>
      <x:c r="F89" s="8" t="n">
        <x:f>F77/(1+$D39)^2</x:f>
        <x:v>1783.1038783110841</x:v>
      </x:c>
      <x:c r="G89" s="8" t="n">
        <x:f>G77/(1+$D39)^3</x:f>
        <x:v>1721.4536107296403</x:v>
      </x:c>
      <x:c r="H89" s="8" t="n">
        <x:f>H77/(1+$D39)^4</x:f>
        <x:v>1674.015500462254</x:v>
      </x:c>
      <x:c r="I89" s="8" t="n">
        <x:f>I77/(1+$D39)^5</x:f>
        <x:v>1637.7472145576219</x:v>
      </x:c>
      <x:c r="J89" s="1"/>
      <x:c r="K89" s="1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</x:row>
    <x:row r="90" ht="18" customHeight="1">
      <x:c r="A90" s="1"/>
      <x:c r="B90" s="1"/>
      <x:c r="C90" s="1" t="str">
        <x:v>Normalized terminal FCFF</x:v>
      </x:c>
      <x:c r="D90" s="2"/>
      <x:c r="E90" s="8" t="n">
        <x:f>I76*(1+$D40)*(1-$D40/$D41)</x:f>
        <x:v>2488.466250143327</x:v>
      </x:c>
      <x:c r="F90" s="2"/>
      <x:c r="G90" s="2"/>
      <x:c r="H90" s="2"/>
      <x:c r="I90" s="2"/>
      <x:c r="J90" s="1"/>
      <x:c r="K90" s="1" t="str">
        <x:v>Terminal reinvestment = terminal NOPAT × growth / incremental ROIC.</x:v>
      </x:c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</x:row>
    <x:row r="91" ht="18" customHeight="1">
      <x:c r="A91" s="1"/>
      <x:c r="B91" s="1"/>
      <x:c r="C91" s="1" t="str">
        <x:v>Terminal enterprise value</x:v>
      </x:c>
      <x:c r="D91" s="2"/>
      <x:c r="E91" s="8" t="n">
        <x:f>IF($D39&lt;=$D40,NA(),E90/($D39-$D40))</x:f>
        <x:v>31105.828126791595</x:v>
      </x:c>
      <x:c r="F91" s="2"/>
      <x:c r="G91" s="2"/>
      <x:c r="H91" s="2"/>
      <x:c r="I91" s="2"/>
      <x:c r="J91" s="1"/>
      <x:c r="K91" s="1"/>
    </x:row>
    <x:row r="92" ht="18" customHeight="1">
      <x:c r="A92" s="1"/>
      <x:c r="B92" s="1"/>
      <x:c r="C92" s="1" t="str">
        <x:v>DCF enterprise value</x:v>
      </x:c>
      <x:c r="D92" s="2"/>
      <x:c r="E92" s="8" t="n">
        <x:f>SUM(E89:I89)+E91/(1+$D39)^5</x:f>
        <x:v>26329.440828302973</x:v>
      </x:c>
      <x:c r="F92" s="2"/>
      <x:c r="G92" s="2"/>
      <x:c r="H92" s="2"/>
      <x:c r="I92" s="2"/>
      <x:c r="J92" s="1"/>
      <x:c r="K92" s="1"/>
    </x:row>
    <x:row r="93" ht="18" customHeight="1">
      <x:c r="A93" s="1"/>
      <x:c r="B93" s="1"/>
      <x:c r="C93" s="38" t="str">
        <x:v>DCF equity value</x:v>
      </x:c>
      <x:c r="D93" s="39"/>
      <x:c r="E93" s="41" t="n">
        <x:f>E92-$D35+$D36</x:f>
        <x:v>19329.440828302973</x:v>
      </x:c>
      <x:c r="F93" s="39"/>
      <x:c r="G93" s="39"/>
      <x:c r="H93" s="39"/>
      <x:c r="I93" s="39"/>
      <x:c r="J93" s="1"/>
      <x:c r="K93" s="1"/>
    </x:row>
    <x:row r="94" ht="18" customHeight="1">
      <x:c r="A94" s="1"/>
      <x:c r="B94" s="1"/>
      <x:c r="C94" s="1" t="str">
        <x:v>DCF value per share (INR)</x:v>
      </x:c>
      <x:c r="D94" s="33"/>
      <x:c r="E94" s="34" t="n">
        <x:f>E93/$D38</x:f>
        <x:v>193.29440828302972</x:v>
      </x:c>
      <x:c r="F94" s="33"/>
      <x:c r="G94" s="33"/>
      <x:c r="H94" s="33"/>
      <x:c r="I94" s="33"/>
      <x:c r="J94" s="1"/>
      <x:c r="K94" s="1"/>
    </x:row>
    <x:row r="95" ht="18" customHeight="1">
      <x:c r="A95" s="1"/>
      <x:c r="B95" s="1"/>
      <x:c r="C95" s="1" t="str">
        <x:v>Forward multiple enterprise value</x:v>
      </x:c>
      <x:c r="D95" s="2"/>
      <x:c r="E95" s="8" t="n">
        <x:f>E52*$D42</x:f>
        <x:v>38439.878399999994</x:v>
      </x:c>
      <x:c r="F95" s="2"/>
      <x:c r="G95" s="2"/>
      <x:c r="H95" s="2"/>
      <x:c r="I95" s="2"/>
      <x:c r="J95" s="1"/>
      <x:c r="K95" s="1"/>
    </x:row>
    <x:row r="96" ht="18" customHeight="1">
      <x:c r="A96" s="1"/>
      <x:c r="B96" s="1"/>
      <x:c r="C96" s="1" t="str">
        <x:v>Forward multiple equity value</x:v>
      </x:c>
      <x:c r="D96" s="2"/>
      <x:c r="E96" s="8" t="n">
        <x:f>E95-$D35+$D36</x:f>
        <x:v>31439.878399999994</x:v>
      </x:c>
      <x:c r="F96" s="2"/>
      <x:c r="G96" s="2"/>
      <x:c r="H96" s="2"/>
      <x:c r="I96" s="2"/>
      <x:c r="J96" s="1"/>
      <x:c r="K96" s="1"/>
    </x:row>
    <x:row r="97" ht="18" customHeight="1">
      <x:c r="A97" s="1"/>
      <x:c r="B97" s="1"/>
      <x:c r="C97" s="23" t="str">
        <x:v>Terminal value / DCF enterprise value</x:v>
      </x:c>
      <x:c r="D97" s="24"/>
      <x:c r="E97" s="35" t="n">
        <x:f>(E91/(1+$D39)^5)/E92</x:f>
        <x:v>0.6703629736616076</x:v>
      </x:c>
      <x:c r="F97" s="24"/>
      <x:c r="G97" s="24"/>
      <x:c r="H97" s="24"/>
      <x:c r="I97" s="24"/>
      <x:c r="J97" s="1"/>
      <x:c r="K97" s="1"/>
    </x:row>
    <x:row r="98" ht="18" customHeight="1">
      <x:c r="A98" s="1"/>
      <x:c r="B98" s="1"/>
      <x:c r="C98" s="19" t="str">
        <x:v>MODEL CHECKS</x:v>
      </x:c>
      <x:c r="D98" s="20"/>
      <x:c r="E98" s="20"/>
      <x:c r="F98" s="20"/>
      <x:c r="G98" s="20"/>
      <x:c r="H98" s="20"/>
      <x:c r="I98" s="20"/>
      <x:c r="J98" s="1"/>
      <x:c r="K98" s="1"/>
    </x:row>
    <x:row r="99" ht="18" customHeight="1">
      <x:c r="A99" s="1"/>
      <x:c r="B99" s="1"/>
      <x:c r="C99" s="1" t="str">
        <x:v>Assets less liabilities and equity</x:v>
      </x:c>
      <x:c r="D99" s="33"/>
      <x:c r="E99" s="34" t="n">
        <x:f>E74-E75</x:f>
        <x:v>0</x:v>
      </x:c>
      <x:c r="F99" s="34" t="n">
        <x:f>F74-F75</x:f>
        <x:v>0</x:v>
      </x:c>
      <x:c r="G99" s="34" t="n">
        <x:f>G74-G75</x:f>
        <x:v>0</x:v>
      </x:c>
      <x:c r="H99" s="34" t="n">
        <x:f>H74-H75</x:f>
        <x:v>0</x:v>
      </x:c>
      <x:c r="I99" s="34" t="n">
        <x:f>I74-I75</x:f>
        <x:v>-3.637978807091713e-12</x:v>
      </x:c>
      <x:c r="J99" s="1"/>
      <x:c r="K99" s="1"/>
    </x:row>
    <x:row r="100" ht="18" customHeight="1">
      <x:c r="A100" s="1"/>
      <x:c r="B100" s="1"/>
      <x:c r="C100" s="1" t="str">
        <x:v>Cash funding shortfall</x:v>
      </x:c>
      <x:c r="D100" s="33"/>
      <x:c r="E100" s="34" t="n">
        <x:f>MAX(0,-E72)</x:f>
        <x:v>0</x:v>
      </x:c>
      <x:c r="F100" s="34" t="n">
        <x:f>MAX(0,-F72)</x:f>
        <x:v>0</x:v>
      </x:c>
      <x:c r="G100" s="34" t="n">
        <x:f>MAX(0,-G72)</x:f>
        <x:v>0</x:v>
      </x:c>
      <x:c r="H100" s="34" t="n">
        <x:f>MAX(0,-H72)</x:f>
        <x:v>0</x:v>
      </x:c>
      <x:c r="I100" s="34" t="n">
        <x:f>MAX(0,-I72)</x:f>
        <x:v>0</x:v>
      </x:c>
      <x:c r="J100" s="1"/>
      <x:c r="K100" s="1"/>
    </x:row>
    <x:row r="101" ht="18" customHeight="1">
      <x:c r="A101" s="1"/>
      <x:c r="B101" s="1"/>
      <x:c r="C101" s="1" t="str">
        <x:v>Debt below zero</x:v>
      </x:c>
      <x:c r="D101" s="33"/>
      <x:c r="E101" s="34" t="n">
        <x:f>MAX(0,-E67)</x:f>
        <x:v>0</x:v>
      </x:c>
      <x:c r="F101" s="34" t="n">
        <x:f>MAX(0,-F67)</x:f>
        <x:v>0</x:v>
      </x:c>
      <x:c r="G101" s="34" t="n">
        <x:f>MAX(0,-G67)</x:f>
        <x:v>0</x:v>
      </x:c>
      <x:c r="H101" s="34" t="n">
        <x:f>MAX(0,-H67)</x:f>
        <x:v>0</x:v>
      </x:c>
      <x:c r="I101" s="34" t="n">
        <x:f>MAX(0,-I67)</x:f>
        <x:v>0</x:v>
      </x:c>
      <x:c r="J101" s="1"/>
      <x:c r="K101" s="1"/>
    </x:row>
    <x:row r="102" ht="18" customHeight="1">
      <x:c r="A102" s="1"/>
      <x:c r="B102" s="1"/>
      <x:c r="C102" s="1" t="str">
        <x:v>Utilization above 100%</x:v>
      </x:c>
      <x:c r="D102" s="33"/>
      <x:c r="E102" s="34" t="n">
        <x:f>MAX(0,E20-1)</x:f>
        <x:v>0</x:v>
      </x:c>
      <x:c r="F102" s="34" t="n">
        <x:f>MAX(0,F20-1)</x:f>
        <x:v>0</x:v>
      </x:c>
      <x:c r="G102" s="34" t="n">
        <x:f>MAX(0,G20-1)</x:f>
        <x:v>0</x:v>
      </x:c>
      <x:c r="H102" s="34" t="n">
        <x:f>MAX(0,H20-1)</x:f>
        <x:v>0</x:v>
      </x:c>
      <x:c r="I102" s="34" t="n">
        <x:f>MAX(0,I20-1)</x:f>
        <x:v>0</x:v>
      </x:c>
      <x:c r="J102" s="1"/>
      <x:c r="K102" s="1"/>
    </x:row>
    <x:row r="103" ht="18" customHeight="1">
      <x:c r="A103" s="1"/>
      <x:c r="B103" s="1"/>
      <x:c r="C103" s="1" t="str">
        <x:v>Net PP&amp;E below zero</x:v>
      </x:c>
      <x:c r="D103" s="33"/>
      <x:c r="E103" s="34" t="n">
        <x:f>MAX(0,-E66)</x:f>
        <x:v>0</x:v>
      </x:c>
      <x:c r="F103" s="34" t="n">
        <x:f>MAX(0,-F66)</x:f>
        <x:v>0</x:v>
      </x:c>
      <x:c r="G103" s="34" t="n">
        <x:f>MAX(0,-G66)</x:f>
        <x:v>0</x:v>
      </x:c>
      <x:c r="H103" s="34" t="n">
        <x:f>MAX(0,-H66)</x:f>
        <x:v>0</x:v>
      </x:c>
      <x:c r="I103" s="34" t="n">
        <x:f>MAX(0,-I66)</x:f>
        <x:v>0</x:v>
      </x:c>
      <x:c r="J103" s="1"/>
      <x:c r="K103" s="1"/>
    </x:row>
    <x:row r="104" ht="18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1"/>
      <x:c r="K104" s="1"/>
    </x:row>
    <x:row r="105" ht="18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1"/>
      <x:c r="K105" s="1"/>
    </x:row>
    <x:row r="106" ht="18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1"/>
      <x:c r="K106" s="1"/>
    </x:row>
    <x:row r="107" ht="18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1"/>
      <x:c r="K107" s="1"/>
    </x:row>
    <x:row r="108" ht="18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1"/>
      <x:c r="K108" s="1"/>
    </x:row>
    <x:row r="109" ht="18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1"/>
      <x:c r="K109" s="1"/>
    </x:row>
    <x:row r="110" ht="25" customHeight="1">
      <x:c r="A110" s="1"/>
      <x:c r="B110" s="1"/>
      <x:c r="C110" s="68" t="str">
        <x:v>SUPPORTING SCHEDULE ASSUMPTIONS</x:v>
      </x:c>
      <x:c r="D110" s="69"/>
      <x:c r="E110" s="69"/>
      <x:c r="F110" s="69"/>
      <x:c r="G110" s="69"/>
      <x:c r="H110" s="69"/>
      <x:c r="I110" s="69"/>
      <x:c r="J110" s="1"/>
      <x:c r="K110" s="1"/>
    </x:row>
    <x:row r="111" ht="30" customHeight="1">
      <x:c r="A111" s="1"/>
      <x:c r="B111" s="1"/>
      <x:c r="C111" s="64"/>
      <x:c r="D111" s="8"/>
      <x:c r="E111" s="8"/>
      <x:c r="F111" s="8"/>
      <x:c r="G111" s="8"/>
      <x:c r="H111" s="8"/>
      <x:c r="I111" s="8"/>
      <x:c r="J111" s="1"/>
      <x:c r="K111" s="1"/>
    </x:row>
    <x:row r="112" ht="30" customHeight="1">
      <x:c r="A112" s="1"/>
      <x:c r="B112" s="1"/>
      <x:c r="C112" s="64"/>
      <x:c r="D112" s="8"/>
      <x:c r="E112" s="8"/>
      <x:c r="F112" s="8"/>
      <x:c r="G112" s="8"/>
      <x:c r="H112" s="8"/>
      <x:c r="I112" s="8"/>
      <x:c r="J112" s="1"/>
      <x:c r="K112" s="1"/>
    </x:row>
    <x:row r="113" ht="30" customHeight="1">
      <x:c r="A113" s="1"/>
      <x:c r="B113" s="1"/>
      <x:c r="C113" s="64"/>
      <x:c r="D113" s="8"/>
      <x:c r="E113" s="8"/>
      <x:c r="F113" s="8"/>
      <x:c r="G113" s="8"/>
      <x:c r="H113" s="8"/>
      <x:c r="I113" s="8"/>
      <x:c r="J113" s="1"/>
      <x:c r="K113" s="1"/>
    </x:row>
    <x:row r="114" ht="30" customHeight="1">
      <x:c r="A114" s="1"/>
      <x:c r="B114" s="1"/>
      <x:c r="C114" s="64" t="str">
        <x:v>Current-year capex depreciation fraction</x:v>
      </x:c>
      <x:c r="D114" s="72" t="n">
        <x:v>0</x:v>
      </x:c>
      <x:c r="E114" s="8"/>
      <x:c r="F114" s="8"/>
      <x:c r="G114" s="8"/>
      <x:c r="H114" s="8"/>
      <x:c r="I114" s="8"/>
      <x:c r="J114" s="1"/>
      <x:c r="K114" s="1"/>
    </x:row>
    <x:row r="115" ht="30" customHeight="1">
      <x:c r="A115" s="1"/>
      <x:c r="B115" s="1"/>
      <x:c r="C115" s="64" t="str">
        <x:v>Debt movement interest weighting</x:v>
      </x:c>
      <x:c r="D115" s="72" t="n">
        <x:v>0</x:v>
      </x:c>
      <x:c r="E115" s="8"/>
      <x:c r="F115" s="8"/>
      <x:c r="G115" s="8"/>
      <x:c r="H115" s="8"/>
      <x:c r="I115" s="8"/>
      <x:c r="J115" s="1"/>
      <x:c r="K115" s="1" t="str">
        <x:v>0 = opening debt interest; 0.5 = mid-year movements; 1 = full-year movements.</x:v>
      </x:c>
    </x:row>
    <x:row r="116" ht="30" customHeight="1">
      <x:c r="A116" s="1"/>
      <x:c r="B116" s="1"/>
      <x:c r="C116" s="64" t="str">
        <x:v>Opening tax losses available for use</x:v>
      </x:c>
      <x:c r="D116" s="74" t="n">
        <x:v>0</x:v>
      </x:c>
      <x:c r="E116" s="8"/>
      <x:c r="F116" s="8"/>
      <x:c r="G116" s="8"/>
      <x:c r="H116" s="8"/>
      <x:c r="I116" s="8"/>
      <x:c r="J116" s="1"/>
      <x:c r="K116" s="1"/>
    </x:row>
    <x:row r="117" ht="30" customHeight="1">
      <x:c r="A117" s="1"/>
      <x:c r="B117" s="1"/>
      <x:c r="C117" s="64" t="str">
        <x:v>Tax loss utilization share of positive PBT</x:v>
      </x:c>
      <x:c r="D117" s="72" t="n">
        <x:v>1</x:v>
      </x:c>
      <x:c r="E117" s="8"/>
      <x:c r="F117" s="8"/>
      <x:c r="G117" s="8"/>
      <x:c r="H117" s="8"/>
      <x:c r="I117" s="8"/>
      <x:c r="J117" s="1"/>
      <x:c r="K117" s="1" t="str">
        <x:v>Simplified cash tax schedule. Check company-specific eligibility, expiry, MAT and deferred tax separately.</x:v>
      </x:c>
    </x:row>
    <x:row r="118" ht="30" customHeight="1">
      <x:c r="A118" s="1"/>
      <x:c r="B118" s="1"/>
      <x:c r="C118" s="64"/>
      <x:c r="D118" s="8"/>
      <x:c r="E118" s="8"/>
      <x:c r="F118" s="8"/>
      <x:c r="G118" s="8"/>
      <x:c r="H118" s="8"/>
      <x:c r="I118" s="8"/>
      <x:c r="J118" s="1"/>
      <x:c r="K118" s="1"/>
    </x:row>
    <x:row r="119" ht="25" customHeight="1">
      <x:c r="A119" s="1"/>
      <x:c r="B119" s="1"/>
      <x:c r="C119" s="68" t="str">
        <x:v>DEBT AND INTEREST SCHEDULE</x:v>
      </x:c>
      <x:c r="D119" s="69"/>
      <x:c r="E119" s="69"/>
      <x:c r="F119" s="69"/>
      <x:c r="G119" s="69"/>
      <x:c r="H119" s="69"/>
      <x:c r="I119" s="69"/>
      <x:c r="J119" s="1"/>
      <x:c r="K119" s="1"/>
    </x:row>
    <x:row r="120" ht="30" customHeight="1">
      <x:c r="A120" s="1"/>
      <x:c r="B120" s="1"/>
      <x:c r="C120" s="64" t="str">
        <x:v>Opening debt balance</x:v>
      </x:c>
      <x:c r="D120" s="8"/>
      <x:c r="E120" s="8" t="n">
        <x:f>D35</x:f>
        <x:v>9000</x:v>
      </x:c>
      <x:c r="F120" s="8" t="n">
        <x:f>E123</x:f>
        <x:v>8100</x:v>
      </x:c>
      <x:c r="G120" s="8" t="n">
        <x:f>F123</x:f>
        <x:v>7200</x:v>
      </x:c>
      <x:c r="H120" s="8" t="n">
        <x:f>G123</x:f>
        <x:v>6300</x:v>
      </x:c>
      <x:c r="I120" s="8" t="n">
        <x:f>H123</x:f>
        <x:v>5400</x:v>
      </x:c>
      <x:c r="J120" s="1"/>
      <x:c r="K120" s="1"/>
    </x:row>
    <x:row r="121" ht="30" customHeight="1">
      <x:c r="A121" s="1"/>
      <x:c r="B121" s="1"/>
      <x:c r="C121" s="64" t="str">
        <x:v>Debt drawn</x:v>
      </x:c>
      <x:c r="D121" s="8"/>
      <x:c r="E121" s="8" t="n">
        <x:f>E30</x:f>
        <x:v>0</x:v>
      </x:c>
      <x:c r="F121" s="8" t="n">
        <x:f>F30</x:f>
        <x:v>0</x:v>
      </x:c>
      <x:c r="G121" s="8" t="n">
        <x:f>G30</x:f>
        <x:v>0</x:v>
      </x:c>
      <x:c r="H121" s="8" t="n">
        <x:f>H30</x:f>
        <x:v>0</x:v>
      </x:c>
      <x:c r="I121" s="8" t="n">
        <x:f>I30</x:f>
        <x:v>0</x:v>
      </x:c>
      <x:c r="J121" s="1"/>
      <x:c r="K121" s="1"/>
    </x:row>
    <x:row r="122" ht="30" customHeight="1">
      <x:c r="A122" s="1"/>
      <x:c r="B122" s="1"/>
      <x:c r="C122" s="64" t="str">
        <x:v>Debt principal repaid</x:v>
      </x:c>
      <x:c r="D122" s="8"/>
      <x:c r="E122" s="8" t="n">
        <x:f>E31</x:f>
        <x:v>900</x:v>
      </x:c>
      <x:c r="F122" s="8" t="n">
        <x:f>F31</x:f>
        <x:v>900</x:v>
      </x:c>
      <x:c r="G122" s="8" t="n">
        <x:f>G31</x:f>
        <x:v>900</x:v>
      </x:c>
      <x:c r="H122" s="8" t="n">
        <x:f>H31</x:f>
        <x:v>900</x:v>
      </x:c>
      <x:c r="I122" s="8" t="n">
        <x:f>I31</x:f>
        <x:v>900</x:v>
      </x:c>
      <x:c r="J122" s="1"/>
      <x:c r="K122" s="1"/>
    </x:row>
    <x:row r="123" ht="30" customHeight="1">
      <x:c r="A123" s="1"/>
      <x:c r="B123" s="1"/>
      <x:c r="C123" s="64" t="str">
        <x:v>Closing debt balance</x:v>
      </x:c>
      <x:c r="D123" s="8"/>
      <x:c r="E123" s="8" t="n">
        <x:f>E120+E121-E122</x:f>
        <x:v>8100</x:v>
      </x:c>
      <x:c r="F123" s="8" t="n">
        <x:f>F120+F121-F122</x:f>
        <x:v>7200</x:v>
      </x:c>
      <x:c r="G123" s="8" t="n">
        <x:f>G120+G121-G122</x:f>
        <x:v>6300</x:v>
      </x:c>
      <x:c r="H123" s="8" t="n">
        <x:f>H120+H121-H122</x:f>
        <x:v>5400</x:v>
      </x:c>
      <x:c r="I123" s="8" t="n">
        <x:f>I120+I121-I122</x:f>
        <x:v>4500</x:v>
      </x:c>
      <x:c r="J123" s="1"/>
      <x:c r="K123" s="1"/>
    </x:row>
    <x:row r="124" ht="30" customHeight="1">
      <x:c r="A124" s="1"/>
      <x:c r="B124" s="1"/>
      <x:c r="C124" s="64" t="str">
        <x:v>Interest-bearing debt base</x:v>
      </x:c>
      <x:c r="D124" s="8"/>
      <x:c r="E124" s="8" t="n">
        <x:f>E120+(E121-E122)*$D$115</x:f>
        <x:v>9000</x:v>
      </x:c>
      <x:c r="F124" s="8" t="n">
        <x:f>F120+(F121-F122)*$D$115</x:f>
        <x:v>8100</x:v>
      </x:c>
      <x:c r="G124" s="8" t="n">
        <x:f>G120+(G121-G122)*$D$115</x:f>
        <x:v>7200</x:v>
      </x:c>
      <x:c r="H124" s="8" t="n">
        <x:f>H120+(H121-H122)*$D$115</x:f>
        <x:v>6300</x:v>
      </x:c>
      <x:c r="I124" s="8" t="n">
        <x:f>I120+(I121-I122)*$D$115</x:f>
        <x:v>5400</x:v>
      </x:c>
      <x:c r="J124" s="1"/>
      <x:c r="K124" s="1"/>
    </x:row>
    <x:row r="125" ht="30" customHeight="1">
      <x:c r="A125" s="1"/>
      <x:c r="B125" s="1"/>
      <x:c r="C125" s="64" t="str">
        <x:v>Scheduled interest expense</x:v>
      </x:c>
      <x:c r="D125" s="8"/>
      <x:c r="E125" s="8" t="n">
        <x:f>E124*E29</x:f>
        <x:v>765</x:v>
      </x:c>
      <x:c r="F125" s="8" t="n">
        <x:f>F124*F29</x:f>
        <x:v>688.5</x:v>
      </x:c>
      <x:c r="G125" s="8" t="n">
        <x:f>G124*G29</x:f>
        <x:v>612</x:v>
      </x:c>
      <x:c r="H125" s="8" t="n">
        <x:f>H124*H29</x:f>
        <x:v>535.5</x:v>
      </x:c>
      <x:c r="I125" s="8" t="n">
        <x:f>I124*I29</x:f>
        <x:v>459.00000000000006</x:v>
      </x:c>
      <x:c r="J125" s="1"/>
      <x:c r="K125" s="1"/>
    </x:row>
    <x:row r="126" ht="30" customHeight="1">
      <x:c r="A126" s="1"/>
      <x:c r="B126" s="1"/>
      <x:c r="C126" s="64"/>
      <x:c r="D126" s="8"/>
      <x:c r="E126" s="8"/>
      <x:c r="F126" s="8"/>
      <x:c r="G126" s="8"/>
      <x:c r="H126" s="8"/>
      <x:c r="I126" s="8"/>
      <x:c r="J126" s="1"/>
      <x:c r="K126" s="1"/>
    </x:row>
    <x:row r="127" ht="30" customHeight="1">
      <x:c r="A127" s="1"/>
      <x:c r="B127" s="1"/>
      <x:c r="C127" s="64"/>
      <x:c r="D127" s="8"/>
      <x:c r="E127" s="8"/>
      <x:c r="F127" s="8"/>
      <x:c r="G127" s="8"/>
      <x:c r="H127" s="8"/>
      <x:c r="I127" s="8"/>
      <x:c r="J127" s="1"/>
      <x:c r="K127" s="1"/>
    </x:row>
    <x:row r="128" ht="30" customHeight="1">
      <x:c r="A128" s="1"/>
      <x:c r="B128" s="1"/>
      <x:c r="C128" s="64"/>
      <x:c r="D128" s="8"/>
      <x:c r="E128" s="8"/>
      <x:c r="F128" s="8"/>
      <x:c r="G128" s="8"/>
      <x:c r="H128" s="8"/>
      <x:c r="I128" s="8"/>
      <x:c r="J128" s="1"/>
      <x:c r="K128" s="1"/>
    </x:row>
    <x:row r="129" ht="25" customHeight="1">
      <x:c r="A129" s="1"/>
      <x:c r="B129" s="1"/>
      <x:c r="C129" s="68" t="str">
        <x:v>CAPEX AND DEPRECIATION SCHEDULE</x:v>
      </x:c>
      <x:c r="D129" s="69"/>
      <x:c r="E129" s="69"/>
      <x:c r="F129" s="69"/>
      <x:c r="G129" s="69"/>
      <x:c r="H129" s="69"/>
      <x:c r="I129" s="69"/>
      <x:c r="J129" s="1"/>
      <x:c r="K129" s="1"/>
    </x:row>
    <x:row r="130" ht="30" customHeight="1">
      <x:c r="A130" s="1"/>
      <x:c r="B130" s="1"/>
      <x:c r="C130" s="64" t="str">
        <x:v>Opening net property plant and equipment</x:v>
      </x:c>
      <x:c r="D130" s="8"/>
      <x:c r="E130" s="8" t="n">
        <x:f>D34</x:f>
        <x:v>22000</x:v>
      </x:c>
      <x:c r="F130" s="8" t="n">
        <x:f>E135</x:f>
        <x:v>21139.624</x:v>
      </x:c>
      <x:c r="G130" s="8" t="n">
        <x:f>F135</x:f>
        <x:v>20602.276684</x:v>
      </x:c>
      <x:c r="H130" s="8" t="n">
        <x:f>G135</x:f>
        <x:v>20376.337880074003</x:v>
      </x:c>
      <x:c r="I130" s="8" t="n">
        <x:f>H135</x:f>
        <x:v>20454.934030791144</x:v>
      </x:c>
      <x:c r="J130" s="1"/>
      <x:c r="K130" s="1"/>
    </x:row>
    <x:row r="131" ht="30" customHeight="1">
      <x:c r="A131" s="1"/>
      <x:c r="B131" s="1"/>
      <x:c r="C131" s="64" t="str">
        <x:v>Capital expenditure added</x:v>
      </x:c>
      <x:c r="D131" s="8"/>
      <x:c r="E131" s="8" t="n">
        <x:f>E65</x:f>
        <x:v>1779.6239999999998</x:v>
      </x:c>
      <x:c r="F131" s="8" t="n">
        <x:f>F65</x:f>
        <x:v>1999.4075640000003</x:v>
      </x:c>
      <x:c r="G131" s="8" t="n">
        <x:f>G65</x:f>
        <x:v>2246.334398154001</x:v>
      </x:c>
      <x:c r="H131" s="8" t="n">
        <x:f>H65</x:f>
        <x:v>2523.75669632602</x:v>
      </x:c>
      <x:c r="I131" s="8" t="n">
        <x:f>I65</x:f>
        <x:v>2835.4406483222842</x:v>
      </x:c>
      <x:c r="J131" s="1"/>
      <x:c r="K131" s="1"/>
    </x:row>
    <x:row r="132" ht="30" customHeight="1">
      <x:c r="A132" s="1"/>
      <x:c r="B132" s="1"/>
      <x:c r="C132" s="64" t="str">
        <x:v>Depreciation on opening assets</x:v>
      </x:c>
      <x:c r="D132" s="8"/>
      <x:c r="E132" s="8" t="n">
        <x:f>E130*E24</x:f>
        <x:v>2640</x:v>
      </x:c>
      <x:c r="F132" s="8" t="n">
        <x:f>F130*F24</x:f>
        <x:v>2536.75488</x:v>
      </x:c>
      <x:c r="G132" s="8" t="n">
        <x:f>G130*G24</x:f>
        <x:v>2472.27320208</x:v>
      </x:c>
      <x:c r="H132" s="8" t="n">
        <x:f>H130*H24</x:f>
        <x:v>2445.16054560888</x:v>
      </x:c>
      <x:c r="I132" s="8" t="n">
        <x:f>I130*I24</x:f>
        <x:v>2454.592083694937</x:v>
      </x:c>
      <x:c r="J132" s="1"/>
      <x:c r="K132" s="1"/>
    </x:row>
    <x:row r="133" ht="30" customHeight="1">
      <x:c r="A133" s="1"/>
      <x:c r="B133" s="1"/>
      <x:c r="C133" s="64" t="str">
        <x:v>Depreciation on current-year additions</x:v>
      </x:c>
      <x:c r="D133" s="8"/>
      <x:c r="E133" s="8" t="n">
        <x:f>E131*E24*$D$114</x:f>
        <x:v>0</x:v>
      </x:c>
      <x:c r="F133" s="8" t="n">
        <x:f>F131*F24*$D$114</x:f>
        <x:v>0</x:v>
      </x:c>
      <x:c r="G133" s="8" t="n">
        <x:f>G131*G24*$D$114</x:f>
        <x:v>0</x:v>
      </x:c>
      <x:c r="H133" s="8" t="n">
        <x:f>H131*H24*$D$114</x:f>
        <x:v>0</x:v>
      </x:c>
      <x:c r="I133" s="8" t="n">
        <x:f>I131*I24*$D$114</x:f>
        <x:v>0</x:v>
      </x:c>
      <x:c r="J133" s="1"/>
      <x:c r="K133" s="1"/>
    </x:row>
    <x:row r="134" ht="30" customHeight="1">
      <x:c r="A134" s="1"/>
      <x:c r="B134" s="1"/>
      <x:c r="C134" s="64" t="str">
        <x:v>Total depreciation charge</x:v>
      </x:c>
      <x:c r="D134" s="8"/>
      <x:c r="E134" s="8" t="n">
        <x:f>E132+E133</x:f>
        <x:v>2640</x:v>
      </x:c>
      <x:c r="F134" s="8" t="n">
        <x:f>F132+F133</x:f>
        <x:v>2536.75488</x:v>
      </x:c>
      <x:c r="G134" s="8" t="n">
        <x:f>G132+G133</x:f>
        <x:v>2472.27320208</x:v>
      </x:c>
      <x:c r="H134" s="8" t="n">
        <x:f>H132+H133</x:f>
        <x:v>2445.16054560888</x:v>
      </x:c>
      <x:c r="I134" s="8" t="n">
        <x:f>I132+I133</x:f>
        <x:v>2454.592083694937</x:v>
      </x:c>
      <x:c r="J134" s="1"/>
      <x:c r="K134" s="1"/>
    </x:row>
    <x:row r="135" ht="30" customHeight="1">
      <x:c r="A135" s="1"/>
      <x:c r="B135" s="1"/>
      <x:c r="C135" s="64" t="str">
        <x:v>Closing net property plant and equipment</x:v>
      </x:c>
      <x:c r="D135" s="8"/>
      <x:c r="E135" s="8" t="n">
        <x:f>E130+E131-E134</x:f>
        <x:v>21139.624</x:v>
      </x:c>
      <x:c r="F135" s="8" t="n">
        <x:f>F130+F131-F134</x:f>
        <x:v>20602.276684</x:v>
      </x:c>
      <x:c r="G135" s="8" t="n">
        <x:f>G130+G131-G134</x:f>
        <x:v>20376.337880074003</x:v>
      </x:c>
      <x:c r="H135" s="8" t="n">
        <x:f>H130+H131-H134</x:f>
        <x:v>20454.934030791144</x:v>
      </x:c>
      <x:c r="I135" s="8" t="n">
        <x:f>I130+I131-I134</x:f>
        <x:v>20835.782595418492</x:v>
      </x:c>
      <x:c r="J135" s="1"/>
      <x:c r="K135" s="1"/>
    </x:row>
    <x:row r="136" ht="30" customHeight="1">
      <x:c r="A136" s="1"/>
      <x:c r="B136" s="1"/>
      <x:c r="C136" s="64"/>
      <x:c r="D136" s="8"/>
      <x:c r="E136" s="8"/>
      <x:c r="F136" s="8"/>
      <x:c r="G136" s="8"/>
      <x:c r="H136" s="8"/>
      <x:c r="I136" s="8"/>
      <x:c r="J136" s="1"/>
      <x:c r="K136" s="1"/>
    </x:row>
    <x:row r="137" ht="30" customHeight="1">
      <x:c r="A137" s="1"/>
      <x:c r="B137" s="1"/>
      <x:c r="C137" s="64"/>
      <x:c r="D137" s="8"/>
      <x:c r="E137" s="8"/>
      <x:c r="F137" s="8"/>
      <x:c r="G137" s="8"/>
      <x:c r="H137" s="8"/>
      <x:c r="I137" s="8"/>
      <x:c r="J137" s="1"/>
      <x:c r="K137" s="1"/>
    </x:row>
    <x:row r="138" ht="30" customHeight="1">
      <x:c r="A138" s="1"/>
      <x:c r="B138" s="1"/>
      <x:c r="C138" s="64"/>
      <x:c r="D138" s="8"/>
      <x:c r="E138" s="8"/>
      <x:c r="F138" s="8"/>
      <x:c r="G138" s="8"/>
      <x:c r="H138" s="8"/>
      <x:c r="I138" s="8"/>
      <x:c r="J138" s="1"/>
      <x:c r="K138" s="1"/>
    </x:row>
    <x:row r="139" ht="25" customHeight="1">
      <x:c r="A139" s="1"/>
      <x:c r="B139" s="1"/>
      <x:c r="C139" s="68" t="str">
        <x:v>CASH TAX SCHEDULE</x:v>
      </x:c>
      <x:c r="D139" s="69"/>
      <x:c r="E139" s="69"/>
      <x:c r="F139" s="69"/>
      <x:c r="G139" s="69"/>
      <x:c r="H139" s="69"/>
      <x:c r="I139" s="69"/>
      <x:c r="J139" s="1"/>
      <x:c r="K139" s="1"/>
    </x:row>
    <x:row r="140" ht="30" customHeight="1">
      <x:c r="A140" s="1"/>
      <x:c r="B140" s="1"/>
      <x:c r="C140" s="64" t="str">
        <x:v>Opening usable tax losses</x:v>
      </x:c>
      <x:c r="D140" s="8"/>
      <x:c r="E140" s="8" t="n">
        <x:f>$D$116</x:f>
        <x:v>0</x:v>
      </x:c>
      <x:c r="F140" s="8" t="n">
        <x:f>E145</x:f>
        <x:v>0</x:v>
      </x:c>
      <x:c r="G140" s="8" t="n">
        <x:f>F145</x:f>
        <x:v>0</x:v>
      </x:c>
      <x:c r="H140" s="8" t="n">
        <x:f>G145</x:f>
        <x:v>0</x:v>
      </x:c>
      <x:c r="I140" s="8" t="n">
        <x:f>H145</x:f>
        <x:v>0</x:v>
      </x:c>
      <x:c r="J140" s="1"/>
      <x:c r="K140" s="1"/>
    </x:row>
    <x:row r="141" ht="30" customHeight="1">
      <x:c r="A141" s="1"/>
      <x:c r="B141" s="1"/>
      <x:c r="C141" s="64" t="str">
        <x:v>Profit before tax for loss utilization</x:v>
      </x:c>
      <x:c r="D141" s="8"/>
      <x:c r="E141" s="8" t="n">
        <x:f>E56</x:f>
        <x:v>866.0975999999991</x:v>
      </x:c>
      <x:c r="F141" s="8" t="n">
        <x:f>F56</x:f>
        <x:v>1573.3232736000004</x:v>
      </x:c>
      <x:c r="G141" s="8" t="n">
        <x:f>G56</x:f>
        <x:v>2306.929353489602</x:v>
      </x:c>
      <x:c r="H141" s="8" t="n">
        <x:f>H56</x:f>
        <x:v>3076.3555255735682</x:v>
      </x:c>
      <x:c r="I141" s="8" t="n">
        <x:f>I56</x:f>
        <x:v>3891.4654722785435</x:v>
      </x:c>
      <x:c r="J141" s="1"/>
      <x:c r="K141" s="1"/>
    </x:row>
    <x:row r="142" ht="30" customHeight="1">
      <x:c r="A142" s="1"/>
      <x:c r="B142" s="1"/>
      <x:c r="C142" s="64" t="str">
        <x:v>Tax losses utilized</x:v>
      </x:c>
      <x:c r="D142" s="8"/>
      <x:c r="E142" s="8" t="n">
        <x:f>MIN(E140,MAX(0,E141)*$D$117)</x:f>
        <x:v>0</x:v>
      </x:c>
      <x:c r="F142" s="8" t="n">
        <x:f>MIN(F140,MAX(0,F141)*$D$117)</x:f>
        <x:v>0</x:v>
      </x:c>
      <x:c r="G142" s="8" t="n">
        <x:f>MIN(G140,MAX(0,G141)*$D$117)</x:f>
        <x:v>0</x:v>
      </x:c>
      <x:c r="H142" s="8" t="n">
        <x:f>MIN(H140,MAX(0,H141)*$D$117)</x:f>
        <x:v>0</x:v>
      </x:c>
      <x:c r="I142" s="8" t="n">
        <x:f>MIN(I140,MAX(0,I141)*$D$117)</x:f>
        <x:v>0</x:v>
      </x:c>
      <x:c r="J142" s="1"/>
      <x:c r="K142" s="1"/>
    </x:row>
    <x:row r="143" ht="30" customHeight="1">
      <x:c r="A143" s="1"/>
      <x:c r="B143" s="1"/>
      <x:c r="C143" s="64" t="str">
        <x:v>Taxable profit after loss utilization</x:v>
      </x:c>
      <x:c r="D143" s="8"/>
      <x:c r="E143" s="8" t="n">
        <x:f>MAX(0,E141-E142)</x:f>
        <x:v>866.0975999999991</x:v>
      </x:c>
      <x:c r="F143" s="8" t="n">
        <x:f>MAX(0,F141-F142)</x:f>
        <x:v>1573.3232736000004</x:v>
      </x:c>
      <x:c r="G143" s="8" t="n">
        <x:f>MAX(0,G141-G142)</x:f>
        <x:v>2306.929353489602</x:v>
      </x:c>
      <x:c r="H143" s="8" t="n">
        <x:f>MAX(0,H141-H142)</x:f>
        <x:v>3076.3555255735682</x:v>
      </x:c>
      <x:c r="I143" s="8" t="n">
        <x:f>MAX(0,I141-I142)</x:f>
        <x:v>3891.4654722785435</x:v>
      </x:c>
      <x:c r="J143" s="1"/>
      <x:c r="K143" s="1"/>
    </x:row>
    <x:row r="144" ht="30" customHeight="1">
      <x:c r="A144" s="1"/>
      <x:c r="B144" s="1"/>
      <x:c r="C144" s="64" t="str">
        <x:v>Cash income tax after loss utilization</x:v>
      </x:c>
      <x:c r="D144" s="8"/>
      <x:c r="E144" s="8" t="n">
        <x:f>E143*E28</x:f>
        <x:v>216.5243999999998</x:v>
      </x:c>
      <x:c r="F144" s="8" t="n">
        <x:f>F143*F28</x:f>
        <x:v>393.3308184000001</x:v>
      </x:c>
      <x:c r="G144" s="8" t="n">
        <x:f>G143*G28</x:f>
        <x:v>576.7323383724005</x:v>
      </x:c>
      <x:c r="H144" s="8" t="n">
        <x:f>H143*H28</x:f>
        <x:v>769.0888813933921</x:v>
      </x:c>
      <x:c r="I144" s="8" t="n">
        <x:f>I143*I28</x:f>
        <x:v>972.8663680696359</x:v>
      </x:c>
      <x:c r="J144" s="1"/>
      <x:c r="K144" s="1"/>
    </x:row>
    <x:row r="145" ht="30" customHeight="1">
      <x:c r="A145" s="1"/>
      <x:c r="B145" s="1"/>
      <x:c r="C145" s="64" t="str">
        <x:v>Closing usable tax losses</x:v>
      </x:c>
      <x:c r="D145" s="8"/>
      <x:c r="E145" s="8" t="n">
        <x:f>E140-E142+MAX(0,-E141)</x:f>
        <x:v>0</x:v>
      </x:c>
      <x:c r="F145" s="8" t="n">
        <x:f>F140-F142+MAX(0,-F141)</x:f>
        <x:v>0</x:v>
      </x:c>
      <x:c r="G145" s="8" t="n">
        <x:f>G140-G142+MAX(0,-G141)</x:f>
        <x:v>0</x:v>
      </x:c>
      <x:c r="H145" s="8" t="n">
        <x:f>H140-H142+MAX(0,-H141)</x:f>
        <x:v>0</x:v>
      </x:c>
      <x:c r="I145" s="8" t="n">
        <x:f>I140-I142+MAX(0,-I141)</x:f>
        <x:v>0</x:v>
      </x:c>
      <x:c r="J145" s="1"/>
      <x:c r="K145" s="1"/>
    </x:row>
    <x:row r="146" ht="30" customHeight="1">
      <x:c r="A146" s="1"/>
      <x:c r="B146" s="1"/>
      <x:c r="C146" s="64"/>
      <x:c r="D146" s="8"/>
      <x:c r="E146" s="8"/>
      <x:c r="F146" s="8"/>
      <x:c r="G146" s="8"/>
      <x:c r="H146" s="8"/>
      <x:c r="I146" s="8"/>
      <x:c r="J146" s="1"/>
      <x:c r="K146" s="1"/>
    </x:row>
    <x:row r="147" ht="30" customHeight="1">
      <x:c r="A147" s="1"/>
      <x:c r="B147" s="1"/>
      <x:c r="C147" s="64"/>
      <x:c r="D147" s="8"/>
      <x:c r="E147" s="8"/>
      <x:c r="F147" s="8"/>
      <x:c r="G147" s="8"/>
      <x:c r="H147" s="8"/>
      <x:c r="I147" s="8"/>
      <x:c r="J147" s="1"/>
      <x:c r="K147" s="1"/>
    </x:row>
    <x:row r="148" ht="30" customHeight="1">
      <x:c r="A148" s="1"/>
      <x:c r="B148" s="1"/>
      <x:c r="C148" s="64"/>
      <x:c r="D148" s="8"/>
      <x:c r="E148" s="8"/>
      <x:c r="F148" s="8"/>
      <x:c r="G148" s="8"/>
      <x:c r="H148" s="8"/>
      <x:c r="I148" s="8"/>
      <x:c r="J148" s="1"/>
      <x:c r="K148" s="1"/>
    </x:row>
    <x:row r="149" ht="30" customHeight="1">
      <x:c r="A149" s="1"/>
      <x:c r="B149" s="1"/>
      <x:c r="C149" s="64"/>
      <x:c r="D149" s="8"/>
      <x:c r="E149" s="8"/>
      <x:c r="F149" s="8"/>
      <x:c r="G149" s="8"/>
      <x:c r="H149" s="8"/>
      <x:c r="I149" s="8"/>
      <x:c r="J149" s="1"/>
      <x:c r="K149" s="1"/>
    </x:row>
    <x:row r="150" ht="30" customHeight="1">
      <x:c r="A150" s="1"/>
      <x:c r="B150" s="1"/>
      <x:c r="C150" s="64"/>
      <x:c r="D150" s="8"/>
      <x:c r="E150" s="8"/>
      <x:c r="F150" s="8"/>
      <x:c r="G150" s="8"/>
      <x:c r="H150" s="8"/>
      <x:c r="I150" s="8"/>
      <x:c r="J150" s="1"/>
      <x:c r="K150" s="1"/>
    </x:row>
    <x:row r="151" ht="30" customHeight="1">
      <x:c r="A151" s="1"/>
      <x:c r="B151" s="1"/>
      <x:c r="C151" s="64"/>
      <x:c r="D151" s="8"/>
      <x:c r="E151" s="8"/>
      <x:c r="F151" s="8"/>
      <x:c r="G151" s="8"/>
      <x:c r="H151" s="8"/>
      <x:c r="I151" s="8"/>
      <x:c r="J151" s="1"/>
      <x:c r="K151" s="1"/>
    </x:row>
    <x:row r="152" ht="30" customHeight="1">
      <x:c r="A152" s="1"/>
      <x:c r="B152" s="1"/>
      <x:c r="C152" s="64"/>
      <x:c r="D152" s="8"/>
      <x:c r="E152" s="8"/>
      <x:c r="F152" s="8"/>
      <x:c r="G152" s="8"/>
      <x:c r="H152" s="8"/>
      <x:c r="I152" s="8"/>
      <x:c r="J152" s="1"/>
      <x:c r="K152" s="1"/>
    </x:row>
    <x:row r="153" ht="30" customHeight="1">
      <x:c r="A153" s="1"/>
      <x:c r="B153" s="1"/>
      <x:c r="C153" s="64"/>
      <x:c r="D153" s="8"/>
      <x:c r="E153" s="8"/>
      <x:c r="F153" s="8"/>
      <x:c r="G153" s="8"/>
      <x:c r="H153" s="8"/>
      <x:c r="I153" s="8"/>
      <x:c r="J153" s="1"/>
      <x:c r="K153" s="1"/>
    </x:row>
    <x:row r="154" ht="30" customHeight="1">
      <x:c r="A154" s="1"/>
      <x:c r="B154" s="1"/>
      <x:c r="C154" s="64"/>
      <x:c r="D154" s="8"/>
      <x:c r="E154" s="8"/>
      <x:c r="F154" s="8"/>
      <x:c r="G154" s="8"/>
      <x:c r="H154" s="8"/>
      <x:c r="I154" s="8"/>
      <x:c r="J154" s="1"/>
      <x:c r="K154" s="1"/>
    </x:row>
    <x:row r="155" ht="30" customHeight="1">
      <x:c r="A155" s="1"/>
      <x:c r="B155" s="1"/>
      <x:c r="C155" s="64"/>
      <x:c r="D155" s="8"/>
      <x:c r="E155" s="8"/>
      <x:c r="F155" s="8"/>
      <x:c r="G155" s="8"/>
      <x:c r="H155" s="8"/>
      <x:c r="I155" s="8"/>
      <x:c r="J155" s="1"/>
      <x:c r="K155" s="1"/>
    </x:row>
    <x:row r="156" ht="30" customHeight="1">
      <x:c r="A156" s="1"/>
      <x:c r="B156" s="1"/>
      <x:c r="C156" s="64"/>
      <x:c r="D156" s="8"/>
      <x:c r="E156" s="8"/>
      <x:c r="F156" s="8"/>
      <x:c r="G156" s="8"/>
      <x:c r="H156" s="8"/>
      <x:c r="I156" s="8"/>
      <x:c r="J156" s="1"/>
      <x:c r="K156" s="1"/>
    </x:row>
    <x:row r="157" ht="30" customHeight="1">
      <x:c r="A157" s="1"/>
      <x:c r="B157" s="1"/>
      <x:c r="C157" s="64"/>
      <x:c r="D157" s="8"/>
      <x:c r="E157" s="8"/>
      <x:c r="F157" s="8"/>
      <x:c r="G157" s="8"/>
      <x:c r="H157" s="8"/>
      <x:c r="I157" s="8"/>
      <x:c r="J157" s="1"/>
      <x:c r="K157" s="1"/>
    </x:row>
    <x:row r="158" ht="30" customHeight="1">
      <x:c r="A158" s="1"/>
      <x:c r="B158" s="1"/>
      <x:c r="C158" s="64"/>
      <x:c r="D158" s="8"/>
      <x:c r="E158" s="8"/>
      <x:c r="F158" s="8"/>
      <x:c r="G158" s="8"/>
      <x:c r="H158" s="8"/>
      <x:c r="I158" s="8"/>
      <x:c r="J158" s="1"/>
      <x:c r="K158" s="1"/>
    </x:row>
    <x:row r="159" ht="30" customHeight="1">
      <x:c r="A159" s="1"/>
      <x:c r="B159" s="1"/>
      <x:c r="C159" s="64"/>
      <x:c r="D159" s="8"/>
      <x:c r="E159" s="8"/>
      <x:c r="F159" s="8"/>
      <x:c r="G159" s="8"/>
      <x:c r="H159" s="8"/>
      <x:c r="I159" s="8"/>
      <x:c r="J159" s="1"/>
      <x:c r="K159" s="1"/>
    </x:row>
    <x:row r="160" ht="30" customHeight="1">
      <x:c r="A160" s="1"/>
      <x:c r="B160" s="1"/>
      <x:c r="C160" s="64"/>
      <x:c r="D160" s="8"/>
      <x:c r="E160" s="8"/>
      <x:c r="F160" s="8"/>
      <x:c r="G160" s="8"/>
      <x:c r="H160" s="8"/>
      <x:c r="I160" s="8"/>
      <x:c r="J160" s="1"/>
      <x:c r="K160" s="1"/>
    </x:row>
    <x:row r="161" ht="30" customHeight="1">
      <x:c r="A161" s="1"/>
      <x:c r="B161" s="1"/>
      <x:c r="C161" s="64"/>
      <x:c r="D161" s="8"/>
      <x:c r="E161" s="8"/>
      <x:c r="F161" s="8"/>
      <x:c r="G161" s="8"/>
      <x:c r="H161" s="8"/>
      <x:c r="I161" s="8"/>
      <x:c r="J161" s="1"/>
      <x:c r="K161" s="1"/>
    </x:row>
    <x:row r="162" ht="30" customHeight="1">
      <x:c r="A162" s="1"/>
      <x:c r="B162" s="1"/>
      <x:c r="C162" s="64"/>
      <x:c r="D162" s="8"/>
      <x:c r="E162" s="8"/>
      <x:c r="F162" s="8"/>
      <x:c r="G162" s="8"/>
      <x:c r="H162" s="8"/>
      <x:c r="I162" s="8"/>
      <x:c r="J162" s="1"/>
      <x:c r="K162" s="1"/>
    </x:row>
    <x:row r="163" ht="30" customHeight="1">
      <x:c r="A163" s="1"/>
      <x:c r="B163" s="1"/>
      <x:c r="C163" s="64"/>
      <x:c r="D163" s="8"/>
      <x:c r="E163" s="8"/>
      <x:c r="F163" s="8"/>
      <x:c r="G163" s="8"/>
      <x:c r="H163" s="8"/>
      <x:c r="I163" s="8"/>
      <x:c r="J163" s="1"/>
      <x:c r="K163" s="1"/>
    </x:row>
    <x:row r="164" ht="30" customHeight="1">
      <x:c r="A164" s="1"/>
      <x:c r="B164" s="1"/>
      <x:c r="C164" s="64"/>
      <x:c r="D164" s="8"/>
      <x:c r="E164" s="8"/>
      <x:c r="F164" s="8"/>
      <x:c r="G164" s="8"/>
      <x:c r="H164" s="8"/>
      <x:c r="I164" s="8"/>
      <x:c r="J164" s="1"/>
      <x:c r="K164" s="1"/>
    </x:row>
    <x:row r="165" ht="30" customHeight="1">
      <x:c r="A165" s="1"/>
      <x:c r="B165" s="1"/>
      <x:c r="C165" s="64"/>
      <x:c r="D165" s="8"/>
      <x:c r="E165" s="8"/>
      <x:c r="F165" s="8"/>
      <x:c r="G165" s="8"/>
      <x:c r="H165" s="8"/>
      <x:c r="I165" s="8"/>
      <x:c r="J165" s="1"/>
      <x:c r="K165" s="1"/>
    </x:row>
    <x:row r="166" ht="30" customHeight="1">
      <x:c r="A166" s="1"/>
      <x:c r="B166" s="1"/>
      <x:c r="C166" s="64"/>
      <x:c r="D166" s="8"/>
      <x:c r="E166" s="8"/>
      <x:c r="F166" s="8"/>
      <x:c r="G166" s="8"/>
      <x:c r="H166" s="8"/>
      <x:c r="I166" s="8"/>
      <x:c r="J166" s="1"/>
      <x:c r="K166" s="1"/>
    </x:row>
    <x:row r="167" ht="30" customHeight="1">
      <x:c r="A167" s="1"/>
      <x:c r="B167" s="1"/>
      <x:c r="C167" s="64"/>
      <x:c r="D167" s="8"/>
      <x:c r="E167" s="8"/>
      <x:c r="F167" s="8"/>
      <x:c r="G167" s="8"/>
      <x:c r="H167" s="8"/>
      <x:c r="I167" s="8"/>
      <x:c r="J167" s="1"/>
      <x:c r="K167" s="1"/>
    </x:row>
    <x:row r="168" ht="30" customHeight="1">
      <x:c r="A168" s="1"/>
      <x:c r="B168" s="1"/>
      <x:c r="C168" s="64"/>
      <x:c r="D168" s="8"/>
      <x:c r="E168" s="8"/>
      <x:c r="F168" s="8"/>
      <x:c r="G168" s="8"/>
      <x:c r="H168" s="8"/>
      <x:c r="I168" s="8"/>
      <x:c r="J168" s="1"/>
      <x:c r="K168" s="1"/>
    </x:row>
    <x:row r="169" ht="30" customHeight="1">
      <x:c r="A169" s="1"/>
      <x:c r="B169" s="1"/>
      <x:c r="C169" s="64"/>
      <x:c r="D169" s="8"/>
      <x:c r="E169" s="8"/>
      <x:c r="F169" s="8"/>
      <x:c r="G169" s="8"/>
      <x:c r="H169" s="8"/>
      <x:c r="I169" s="8"/>
      <x:c r="J169" s="1"/>
      <x:c r="K169" s="1"/>
    </x:row>
    <x:row r="170" ht="30" customHeight="1">
      <x:c r="A170" s="1"/>
      <x:c r="B170" s="1"/>
      <x:c r="C170" s="64"/>
      <x:c r="D170" s="8"/>
      <x:c r="E170" s="8"/>
      <x:c r="F170" s="8"/>
      <x:c r="G170" s="8"/>
      <x:c r="H170" s="8"/>
      <x:c r="I170" s="8"/>
      <x:c r="J170" s="1"/>
      <x:c r="K170" s="1"/>
    </x:row>
    <x:row r="171" ht="30" customHeight="1">
      <x:c r="A171" s="1"/>
      <x:c r="B171" s="1"/>
      <x:c r="C171" s="64"/>
      <x:c r="D171" s="8"/>
      <x:c r="E171" s="8"/>
      <x:c r="F171" s="8"/>
      <x:c r="G171" s="8"/>
      <x:c r="H171" s="8"/>
      <x:c r="I171" s="8"/>
      <x:c r="J171" s="1"/>
      <x:c r="K171" s="1"/>
    </x:row>
    <x:row r="172" ht="30" customHeight="1">
      <x:c r="A172" s="1"/>
      <x:c r="B172" s="1"/>
      <x:c r="C172" s="64"/>
      <x:c r="D172" s="8"/>
      <x:c r="E172" s="8"/>
      <x:c r="F172" s="8"/>
      <x:c r="G172" s="8"/>
      <x:c r="H172" s="8"/>
      <x:c r="I172" s="8"/>
      <x:c r="J172" s="1"/>
      <x:c r="K172" s="1"/>
    </x:row>
    <x:row r="173" ht="30" customHeight="1">
      <x:c r="A173" s="1"/>
      <x:c r="B173" s="1"/>
      <x:c r="C173" s="64"/>
      <x:c r="D173" s="8"/>
      <x:c r="E173" s="8"/>
      <x:c r="F173" s="8"/>
      <x:c r="G173" s="8"/>
      <x:c r="H173" s="8"/>
      <x:c r="I173" s="8"/>
      <x:c r="J173" s="1"/>
      <x:c r="K173" s="1"/>
    </x:row>
    <x:row r="174" ht="30" customHeight="1">
      <x:c r="A174" s="1"/>
      <x:c r="B174" s="1"/>
      <x:c r="C174" s="64"/>
      <x:c r="D174" s="8"/>
      <x:c r="E174" s="8"/>
      <x:c r="F174" s="8"/>
      <x:c r="G174" s="8"/>
      <x:c r="H174" s="8"/>
      <x:c r="I174" s="8"/>
      <x:c r="J174" s="1"/>
      <x:c r="K174" s="1"/>
    </x:row>
    <x:row r="175" ht="30" customHeight="1">
      <x:c r="A175" s="1"/>
      <x:c r="B175" s="1"/>
      <x:c r="C175" s="64"/>
      <x:c r="D175" s="8"/>
      <x:c r="E175" s="8"/>
      <x:c r="F175" s="8"/>
      <x:c r="G175" s="8"/>
      <x:c r="H175" s="8"/>
      <x:c r="I175" s="8"/>
      <x:c r="J175" s="1"/>
      <x:c r="K175" s="1"/>
    </x:row>
    <x:row r="176" ht="30" customHeight="1">
      <x:c r="A176" s="1"/>
      <x:c r="B176" s="1"/>
      <x:c r="C176" s="64"/>
      <x:c r="D176" s="8"/>
      <x:c r="E176" s="8"/>
      <x:c r="F176" s="8"/>
      <x:c r="G176" s="8"/>
      <x:c r="H176" s="8"/>
      <x:c r="I176" s="8"/>
      <x:c r="J176" s="1"/>
      <x:c r="K176" s="1"/>
    </x:row>
    <x:row r="177" ht="30" customHeight="1">
      <x:c r="A177" s="1"/>
      <x:c r="B177" s="1"/>
      <x:c r="C177" s="64"/>
      <x:c r="D177" s="8"/>
      <x:c r="E177" s="8"/>
      <x:c r="F177" s="8"/>
      <x:c r="G177" s="8"/>
      <x:c r="H177" s="8"/>
      <x:c r="I177" s="8"/>
      <x:c r="J177" s="1"/>
      <x:c r="K177" s="1"/>
    </x:row>
    <x:row r="178" ht="30" customHeight="1">
      <x:c r="A178" s="1"/>
      <x:c r="B178" s="1"/>
      <x:c r="C178" s="64"/>
      <x:c r="D178" s="8"/>
      <x:c r="E178" s="8"/>
      <x:c r="F178" s="8"/>
      <x:c r="G178" s="8"/>
      <x:c r="H178" s="8"/>
      <x:c r="I178" s="8"/>
      <x:c r="J178" s="1"/>
      <x:c r="K178" s="1"/>
    </x:row>
    <x:row r="179" ht="25" customHeight="1">
      <x:c r="A179" s="1"/>
      <x:c r="B179" s="1"/>
      <x:c r="C179" s="68" t="str">
        <x:v>MODEL CHECKS</x:v>
      </x:c>
      <x:c r="D179" s="69"/>
      <x:c r="E179" s="69"/>
      <x:c r="F179" s="69"/>
      <x:c r="G179" s="69"/>
      <x:c r="H179" s="69"/>
      <x:c r="I179" s="69"/>
      <x:c r="J179" s="1"/>
      <x:c r="K179" s="1"/>
    </x:row>
    <x:row r="180" ht="30" customHeight="1">
      <x:c r="A180" s="1"/>
      <x:c r="B180" s="1"/>
      <x:c r="C180" s="64" t="str">
        <x:v>Average mobile subscribers (million) — seed input outside bounds</x:v>
      </x:c>
      <x:c r="D180" s="8"/>
      <x:c r="E180" s="75" t="n">
        <x:f>IF(COUNT(D10)=0,1,IF(D10&lt;0,1,0))</x:f>
        <x:v>0</x:v>
      </x:c>
      <x:c r="F180" s="75" t="n">
        <x:f>IF(COUNT(D10)=0,1,IF(D10&lt;0,1,0))</x:f>
        <x:v>0</x:v>
      </x:c>
      <x:c r="G180" s="75" t="n">
        <x:f>IF(COUNT(D10)=0,1,IF(D10&lt;0,1,0))</x:f>
        <x:v>0</x:v>
      </x:c>
      <x:c r="H180" s="75" t="n">
        <x:f>IF(COUNT(D10)=0,1,IF(D10&lt;0,1,0))</x:f>
        <x:v>0</x:v>
      </x:c>
      <x:c r="I180" s="75" t="n">
        <x:f>IF(COUNT(D10)=0,1,IF(D10&lt;0,1,0))</x:f>
        <x:v>0</x:v>
      </x:c>
      <x:c r="J180" s="1"/>
      <x:c r="K180" s="1"/>
    </x:row>
    <x:row r="181" ht="30" customHeight="1">
      <x:c r="A181" s="1"/>
      <x:c r="B181" s="1"/>
      <x:c r="C181" s="64" t="str">
        <x:v>Monthly ARPU (INR) — seed input outside bounds</x:v>
      </x:c>
      <x:c r="D181" s="8"/>
      <x:c r="E181" s="75" t="n">
        <x:f>IF(COUNT(D11)=0,1,IF(D11&lt;0,1,0))</x:f>
        <x:v>0</x:v>
      </x:c>
      <x:c r="F181" s="75" t="n">
        <x:f>IF(COUNT(D11)=0,1,IF(D11&lt;0,1,0))</x:f>
        <x:v>0</x:v>
      </x:c>
      <x:c r="G181" s="75" t="n">
        <x:f>IF(COUNT(D11)=0,1,IF(D11&lt;0,1,0))</x:f>
        <x:v>0</x:v>
      </x:c>
      <x:c r="H181" s="75" t="n">
        <x:f>IF(COUNT(D11)=0,1,IF(D11&lt;0,1,0))</x:f>
        <x:v>0</x:v>
      </x:c>
      <x:c r="I181" s="75" t="n">
        <x:f>IF(COUNT(D11)=0,1,IF(D11&lt;0,1,0))</x:f>
        <x:v>0</x:v>
      </x:c>
      <x:c r="J181" s="1"/>
      <x:c r="K181" s="1"/>
    </x:row>
    <x:row r="182" ht="30" customHeight="1">
      <x:c r="A182" s="1"/>
      <x:c r="B182" s="1"/>
      <x:c r="C182" s="64" t="str">
        <x:v>Operating scale growth input outside bounds</x:v>
      </x:c>
      <x:c r="D182" s="8"/>
      <x:c r="E182" s="75" t="n">
        <x:f>IF(COUNT(E12)=0,1,IF(E12&lt;-1,1,0))</x:f>
        <x:v>0</x:v>
      </x:c>
      <x:c r="F182" s="75" t="n">
        <x:f>IF(COUNT(F12)=0,1,IF(F12&lt;-1,1,0))</x:f>
        <x:v>0</x:v>
      </x:c>
      <x:c r="G182" s="75" t="n">
        <x:f>IF(COUNT(G12)=0,1,IF(G12&lt;-1,1,0))</x:f>
        <x:v>0</x:v>
      </x:c>
      <x:c r="H182" s="75" t="n">
        <x:f>IF(COUNT(H12)=0,1,IF(H12&lt;-1,1,0))</x:f>
        <x:v>0</x:v>
      </x:c>
      <x:c r="I182" s="75" t="n">
        <x:f>IF(COUNT(I12)=0,1,IF(I12&lt;-1,1,0))</x:f>
        <x:v>0</x:v>
      </x:c>
      <x:c r="J182" s="1"/>
      <x:c r="K182" s="1"/>
    </x:row>
    <x:row r="183" ht="30" customHeight="1">
      <x:c r="A183" s="1"/>
      <x:c r="B183" s="1"/>
      <x:c r="C183" s="64" t="str">
        <x:v>Realization growth input outside bounds</x:v>
      </x:c>
      <x:c r="D183" s="8"/>
      <x:c r="E183" s="75" t="n">
        <x:f>IF(COUNT(E16)=0,1,IF(E16&lt;-1,1,0))</x:f>
        <x:v>0</x:v>
      </x:c>
      <x:c r="F183" s="75" t="n">
        <x:f>IF(COUNT(F16)=0,1,IF(F16&lt;-1,1,0))</x:f>
        <x:v>0</x:v>
      </x:c>
      <x:c r="G183" s="75" t="n">
        <x:f>IF(COUNT(G16)=0,1,IF(G16&lt;-1,1,0))</x:f>
        <x:v>0</x:v>
      </x:c>
      <x:c r="H183" s="75" t="n">
        <x:f>IF(COUNT(H16)=0,1,IF(H16&lt;-1,1,0))</x:f>
        <x:v>0</x:v>
      </x:c>
      <x:c r="I183" s="75" t="n">
        <x:f>IF(COUNT(I16)=0,1,IF(I16&lt;-1,1,0))</x:f>
        <x:v>0</x:v>
      </x:c>
      <x:c r="J183" s="1"/>
      <x:c r="K183" s="1"/>
    </x:row>
    <x:row r="184" ht="30" customHeight="1">
      <x:c r="A184" s="1"/>
      <x:c r="B184" s="1"/>
      <x:c r="C184" s="64" t="str">
        <x:v>Capacity utilization input outside bounds</x:v>
      </x:c>
      <x:c r="D184" s="8"/>
      <x:c r="E184" s="75" t="n">
        <x:f>IF(COUNT(E20)=0,1,IF(E20&lt;0,1,IF(E20&gt;1,1,0)))</x:f>
        <x:v>0</x:v>
      </x:c>
      <x:c r="F184" s="75" t="n">
        <x:f>IF(COUNT(F20)=0,1,IF(F20&lt;0,1,IF(F20&gt;1,1,0)))</x:f>
        <x:v>0</x:v>
      </x:c>
      <x:c r="G184" s="75" t="n">
        <x:f>IF(COUNT(G20)=0,1,IF(G20&lt;0,1,IF(G20&gt;1,1,0)))</x:f>
        <x:v>0</x:v>
      </x:c>
      <x:c r="H184" s="75" t="n">
        <x:f>IF(COUNT(H20)=0,1,IF(H20&lt;0,1,IF(H20&gt;1,1,0)))</x:f>
        <x:v>0</x:v>
      </x:c>
      <x:c r="I184" s="75" t="n">
        <x:f>IF(COUNT(I20)=0,1,IF(I20&lt;0,1,IF(I20&gt;1,1,0)))</x:f>
        <x:v>0</x:v>
      </x:c>
      <x:c r="J184" s="1"/>
      <x:c r="K184" s="1"/>
    </x:row>
    <x:row r="185" ht="30" customHeight="1">
      <x:c r="A185" s="1"/>
      <x:c r="B185" s="1"/>
      <x:c r="C185" s="64" t="str">
        <x:v>Network variable and interconnect / revenue input outside bounds</x:v>
      </x:c>
      <x:c r="D185" s="8"/>
      <x:c r="E185" s="75" t="n">
        <x:f>IF(COUNT(E21)=0,1,IF(E21&lt;0,1,0))</x:f>
        <x:v>0</x:v>
      </x:c>
      <x:c r="F185" s="75" t="n">
        <x:f>IF(COUNT(F21)=0,1,IF(F21&lt;0,1,0))</x:f>
        <x:v>0</x:v>
      </x:c>
      <x:c r="G185" s="75" t="n">
        <x:f>IF(COUNT(G21)=0,1,IF(G21&lt;0,1,0))</x:f>
        <x:v>0</x:v>
      </x:c>
      <x:c r="H185" s="75" t="n">
        <x:f>IF(COUNT(H21)=0,1,IF(H21&lt;0,1,0))</x:f>
        <x:v>0</x:v>
      </x:c>
      <x:c r="I185" s="75" t="n">
        <x:f>IF(COUNT(I21)=0,1,IF(I21&lt;0,1,0))</x:f>
        <x:v>0</x:v>
      </x:c>
      <x:c r="J185" s="1"/>
      <x:c r="K185" s="1"/>
    </x:row>
    <x:row r="186" ht="30" customHeight="1">
      <x:c r="A186" s="1"/>
      <x:c r="B186" s="1"/>
      <x:c r="C186" s="64" t="str">
        <x:v>Other cash operating costs / revenue input outside bounds</x:v>
      </x:c>
      <x:c r="D186" s="8"/>
      <x:c r="E186" s="75" t="n">
        <x:f>IF(COUNT(E22)=0,1,IF(E22&lt;0,1,0))</x:f>
        <x:v>0</x:v>
      </x:c>
      <x:c r="F186" s="75" t="n">
        <x:f>IF(COUNT(F22)=0,1,IF(F22&lt;0,1,0))</x:f>
        <x:v>0</x:v>
      </x:c>
      <x:c r="G186" s="75" t="n">
        <x:f>IF(COUNT(G22)=0,1,IF(G22&lt;0,1,0))</x:f>
        <x:v>0</x:v>
      </x:c>
      <x:c r="H186" s="75" t="n">
        <x:f>IF(COUNT(H22)=0,1,IF(H22&lt;0,1,0))</x:f>
        <x:v>0</x:v>
      </x:c>
      <x:c r="I186" s="75" t="n">
        <x:f>IF(COUNT(I22)=0,1,IF(I22&lt;0,1,0))</x:f>
        <x:v>0</x:v>
      </x:c>
      <x:c r="J186" s="1"/>
      <x:c r="K186" s="1"/>
    </x:row>
    <x:row r="187" ht="30" customHeight="1">
      <x:c r="A187" s="1"/>
      <x:c r="B187" s="1"/>
      <x:c r="C187" s="64" t="str">
        <x:v>Cash capex / revenue input outside bounds</x:v>
      </x:c>
      <x:c r="D187" s="8"/>
      <x:c r="E187" s="75" t="n">
        <x:f>IF(COUNT(E23)=0,1,IF(E23&lt;0,1,0))</x:f>
        <x:v>0</x:v>
      </x:c>
      <x:c r="F187" s="75" t="n">
        <x:f>IF(COUNT(F23)=0,1,IF(F23&lt;0,1,0))</x:f>
        <x:v>0</x:v>
      </x:c>
      <x:c r="G187" s="75" t="n">
        <x:f>IF(COUNT(G23)=0,1,IF(G23&lt;0,1,0))</x:f>
        <x:v>0</x:v>
      </x:c>
      <x:c r="H187" s="75" t="n">
        <x:f>IF(COUNT(H23)=0,1,IF(H23&lt;0,1,0))</x:f>
        <x:v>0</x:v>
      </x:c>
      <x:c r="I187" s="75" t="n">
        <x:f>IF(COUNT(I23)=0,1,IF(I23&lt;0,1,0))</x:f>
        <x:v>0</x:v>
      </x:c>
      <x:c r="J187" s="1"/>
      <x:c r="K187" s="1"/>
    </x:row>
    <x:row r="188" ht="30" customHeight="1">
      <x:c r="A188" s="1"/>
      <x:c r="B188" s="1"/>
      <x:c r="C188" s="64" t="str">
        <x:v>D&amp;A / opening net PP&amp;E input outside bounds</x:v>
      </x:c>
      <x:c r="D188" s="8"/>
      <x:c r="E188" s="75" t="n">
        <x:f>IF(COUNT(E24)=0,1,IF(E24&lt;0,1,IF(E24&gt;1,1,0)))</x:f>
        <x:v>0</x:v>
      </x:c>
      <x:c r="F188" s="75" t="n">
        <x:f>IF(COUNT(F24)=0,1,IF(F24&lt;0,1,IF(F24&gt;1,1,0)))</x:f>
        <x:v>0</x:v>
      </x:c>
      <x:c r="G188" s="75" t="n">
        <x:f>IF(COUNT(G24)=0,1,IF(G24&lt;0,1,IF(G24&gt;1,1,0)))</x:f>
        <x:v>0</x:v>
      </x:c>
      <x:c r="H188" s="75" t="n">
        <x:f>IF(COUNT(H24)=0,1,IF(H24&lt;0,1,IF(H24&gt;1,1,0)))</x:f>
        <x:v>0</x:v>
      </x:c>
      <x:c r="I188" s="75" t="n">
        <x:f>IF(COUNT(I24)=0,1,IF(I24&lt;0,1,IF(I24&gt;1,1,0)))</x:f>
        <x:v>0</x:v>
      </x:c>
      <x:c r="J188" s="1"/>
      <x:c r="K188" s="1"/>
    </x:row>
    <x:row r="189" ht="30" customHeight="1">
      <x:c r="A189" s="1"/>
      <x:c r="B189" s="1"/>
      <x:c r="C189" s="64" t="str">
        <x:v>Receivable days input outside bounds</x:v>
      </x:c>
      <x:c r="D189" s="8"/>
      <x:c r="E189" s="75" t="n">
        <x:f>IF(COUNT(E25)=0,1,IF(E25&lt;0,1,0))</x:f>
        <x:v>0</x:v>
      </x:c>
      <x:c r="F189" s="75" t="n">
        <x:f>IF(COUNT(F25)=0,1,IF(F25&lt;0,1,0))</x:f>
        <x:v>0</x:v>
      </x:c>
      <x:c r="G189" s="75" t="n">
        <x:f>IF(COUNT(G25)=0,1,IF(G25&lt;0,1,0))</x:f>
        <x:v>0</x:v>
      </x:c>
      <x:c r="H189" s="75" t="n">
        <x:f>IF(COUNT(H25)=0,1,IF(H25&lt;0,1,0))</x:f>
        <x:v>0</x:v>
      </x:c>
      <x:c r="I189" s="75" t="n">
        <x:f>IF(COUNT(I25)=0,1,IF(I25&lt;0,1,0))</x:f>
        <x:v>0</x:v>
      </x:c>
      <x:c r="J189" s="1"/>
      <x:c r="K189" s="1"/>
    </x:row>
    <x:row r="190" ht="30" customHeight="1">
      <x:c r="A190" s="1"/>
      <x:c r="B190" s="1"/>
      <x:c r="C190" s="64" t="str">
        <x:v>Inventory days input outside bounds</x:v>
      </x:c>
      <x:c r="D190" s="8"/>
      <x:c r="E190" s="75" t="n">
        <x:f>IF(COUNT(E26)=0,1,IF(E26&lt;0,1,0))</x:f>
        <x:v>0</x:v>
      </x:c>
      <x:c r="F190" s="75" t="n">
        <x:f>IF(COUNT(F26)=0,1,IF(F26&lt;0,1,0))</x:f>
        <x:v>0</x:v>
      </x:c>
      <x:c r="G190" s="75" t="n">
        <x:f>IF(COUNT(G26)=0,1,IF(G26&lt;0,1,0))</x:f>
        <x:v>0</x:v>
      </x:c>
      <x:c r="H190" s="75" t="n">
        <x:f>IF(COUNT(H26)=0,1,IF(H26&lt;0,1,0))</x:f>
        <x:v>0</x:v>
      </x:c>
      <x:c r="I190" s="75" t="n">
        <x:f>IF(COUNT(I26)=0,1,IF(I26&lt;0,1,0))</x:f>
        <x:v>0</x:v>
      </x:c>
      <x:c r="J190" s="1"/>
      <x:c r="K190" s="1"/>
    </x:row>
    <x:row r="191" ht="30" customHeight="1">
      <x:c r="A191" s="1"/>
      <x:c r="B191" s="1"/>
      <x:c r="C191" s="64" t="str">
        <x:v>Payable days input outside bounds</x:v>
      </x:c>
      <x:c r="D191" s="8"/>
      <x:c r="E191" s="75" t="n">
        <x:f>IF(COUNT(E27)=0,1,IF(E27&lt;0,1,0))</x:f>
        <x:v>0</x:v>
      </x:c>
      <x:c r="F191" s="75" t="n">
        <x:f>IF(COUNT(F27)=0,1,IF(F27&lt;0,1,0))</x:f>
        <x:v>0</x:v>
      </x:c>
      <x:c r="G191" s="75" t="n">
        <x:f>IF(COUNT(G27)=0,1,IF(G27&lt;0,1,0))</x:f>
        <x:v>0</x:v>
      </x:c>
      <x:c r="H191" s="75" t="n">
        <x:f>IF(COUNT(H27)=0,1,IF(H27&lt;0,1,0))</x:f>
        <x:v>0</x:v>
      </x:c>
      <x:c r="I191" s="75" t="n">
        <x:f>IF(COUNT(I27)=0,1,IF(I27&lt;0,1,0))</x:f>
        <x:v>0</x:v>
      </x:c>
      <x:c r="J191" s="1"/>
      <x:c r="K191" s="1"/>
    </x:row>
    <x:row r="192" ht="30" customHeight="1">
      <x:c r="A192" s="1"/>
      <x:c r="B192" s="1"/>
      <x:c r="C192" s="64" t="str">
        <x:v>Effective cash tax rate input outside bounds</x:v>
      </x:c>
      <x:c r="D192" s="8"/>
      <x:c r="E192" s="75" t="n">
        <x:f>IF(COUNT(E28)=0,1,IF(E28&lt;0,1,IF(E28&gt;1,1,0)))</x:f>
        <x:v>0</x:v>
      </x:c>
      <x:c r="F192" s="75" t="n">
        <x:f>IF(COUNT(F28)=0,1,IF(F28&lt;0,1,IF(F28&gt;1,1,0)))</x:f>
        <x:v>0</x:v>
      </x:c>
      <x:c r="G192" s="75" t="n">
        <x:f>IF(COUNT(G28)=0,1,IF(G28&lt;0,1,IF(G28&gt;1,1,0)))</x:f>
        <x:v>0</x:v>
      </x:c>
      <x:c r="H192" s="75" t="n">
        <x:f>IF(COUNT(H28)=0,1,IF(H28&lt;0,1,IF(H28&gt;1,1,0)))</x:f>
        <x:v>0</x:v>
      </x:c>
      <x:c r="I192" s="75" t="n">
        <x:f>IF(COUNT(I28)=0,1,IF(I28&lt;0,1,IF(I28&gt;1,1,0)))</x:f>
        <x:v>0</x:v>
      </x:c>
      <x:c r="J192" s="1"/>
      <x:c r="K192" s="1"/>
    </x:row>
    <x:row r="193" ht="30" customHeight="1">
      <x:c r="A193" s="1"/>
      <x:c r="B193" s="1"/>
      <x:c r="C193" s="64" t="str">
        <x:v>Interest on opening debt input outside bounds</x:v>
      </x:c>
      <x:c r="D193" s="8"/>
      <x:c r="E193" s="75" t="n">
        <x:f>IF(COUNT(E29)=0,1,IF(E29&lt;0,1,0))</x:f>
        <x:v>0</x:v>
      </x:c>
      <x:c r="F193" s="75" t="n">
        <x:f>IF(COUNT(F29)=0,1,IF(F29&lt;0,1,0))</x:f>
        <x:v>0</x:v>
      </x:c>
      <x:c r="G193" s="75" t="n">
        <x:f>IF(COUNT(G29)=0,1,IF(G29&lt;0,1,0))</x:f>
        <x:v>0</x:v>
      </x:c>
      <x:c r="H193" s="75" t="n">
        <x:f>IF(COUNT(H29)=0,1,IF(H29&lt;0,1,0))</x:f>
        <x:v>0</x:v>
      </x:c>
      <x:c r="I193" s="75" t="n">
        <x:f>IF(COUNT(I29)=0,1,IF(I29&lt;0,1,0))</x:f>
        <x:v>0</x:v>
      </x:c>
      <x:c r="J193" s="1"/>
      <x:c r="K193" s="1"/>
    </x:row>
    <x:row r="194" ht="30" customHeight="1">
      <x:c r="A194" s="1"/>
      <x:c r="B194" s="1"/>
      <x:c r="C194" s="64" t="str">
        <x:v>New borrowing input outside bounds</x:v>
      </x:c>
      <x:c r="D194" s="8"/>
      <x:c r="E194" s="75" t="n">
        <x:f>IF(COUNT(E30)=0,1,IF(E30&lt;0,1,0))</x:f>
        <x:v>0</x:v>
      </x:c>
      <x:c r="F194" s="75" t="n">
        <x:f>IF(COUNT(F30)=0,1,IF(F30&lt;0,1,0))</x:f>
        <x:v>0</x:v>
      </x:c>
      <x:c r="G194" s="75" t="n">
        <x:f>IF(COUNT(G30)=0,1,IF(G30&lt;0,1,0))</x:f>
        <x:v>0</x:v>
      </x:c>
      <x:c r="H194" s="75" t="n">
        <x:f>IF(COUNT(H30)=0,1,IF(H30&lt;0,1,0))</x:f>
        <x:v>0</x:v>
      </x:c>
      <x:c r="I194" s="75" t="n">
        <x:f>IF(COUNT(I30)=0,1,IF(I30&lt;0,1,0))</x:f>
        <x:v>0</x:v>
      </x:c>
      <x:c r="J194" s="1"/>
      <x:c r="K194" s="1"/>
    </x:row>
    <x:row r="195" ht="30" customHeight="1">
      <x:c r="A195" s="1"/>
      <x:c r="B195" s="1"/>
      <x:c r="C195" s="64" t="str">
        <x:v>Scheduled principal repayment input outside bounds</x:v>
      </x:c>
      <x:c r="D195" s="8"/>
      <x:c r="E195" s="75" t="n">
        <x:f>IF(COUNT(E31)=0,1,IF(E31&lt;0,1,0))</x:f>
        <x:v>0</x:v>
      </x:c>
      <x:c r="F195" s="75" t="n">
        <x:f>IF(COUNT(F31)=0,1,IF(F31&lt;0,1,0))</x:f>
        <x:v>0</x:v>
      </x:c>
      <x:c r="G195" s="75" t="n">
        <x:f>IF(COUNT(G31)=0,1,IF(G31&lt;0,1,0))</x:f>
        <x:v>0</x:v>
      </x:c>
      <x:c r="H195" s="75" t="n">
        <x:f>IF(COUNT(H31)=0,1,IF(H31&lt;0,1,0))</x:f>
        <x:v>0</x:v>
      </x:c>
      <x:c r="I195" s="75" t="n">
        <x:f>IF(COUNT(I31)=0,1,IF(I31&lt;0,1,0))</x:f>
        <x:v>0</x:v>
      </x:c>
      <x:c r="J195" s="1"/>
      <x:c r="K195" s="1"/>
    </x:row>
    <x:row r="196" ht="30" customHeight="1">
      <x:c r="A196" s="1"/>
      <x:c r="B196" s="1"/>
      <x:c r="C196" s="64" t="str">
        <x:v>Dividend payout on positive PAT input outside bounds</x:v>
      </x:c>
      <x:c r="D196" s="8"/>
      <x:c r="E196" s="75" t="n">
        <x:f>IF(COUNT(E32)=0,1,IF(E32&lt;0,1,IF(E32&gt;1,1,0)))</x:f>
        <x:v>0</x:v>
      </x:c>
      <x:c r="F196" s="75" t="n">
        <x:f>IF(COUNT(F32)=0,1,IF(F32&lt;0,1,IF(F32&gt;1,1,0)))</x:f>
        <x:v>0</x:v>
      </x:c>
      <x:c r="G196" s="75" t="n">
        <x:f>IF(COUNT(G32)=0,1,IF(G32&lt;0,1,IF(G32&gt;1,1,0)))</x:f>
        <x:v>0</x:v>
      </x:c>
      <x:c r="H196" s="75" t="n">
        <x:f>IF(COUNT(H32)=0,1,IF(H32&lt;0,1,IF(H32&gt;1,1,0)))</x:f>
        <x:v>0</x:v>
      </x:c>
      <x:c r="I196" s="75" t="n">
        <x:f>IF(COUNT(I32)=0,1,IF(I32&lt;0,1,IF(I32&gt;1,1,0)))</x:f>
        <x:v>0</x:v>
      </x:c>
      <x:c r="J196" s="1"/>
      <x:c r="K196" s="1"/>
    </x:row>
    <x:row r="197" ht="30" customHeight="1">
      <x:c r="A197" s="1"/>
      <x:c r="B197" s="1"/>
      <x:c r="C197" s="64" t="str">
        <x:v>Opening net PP&amp;E input outside bounds</x:v>
      </x:c>
      <x:c r="D197" s="8"/>
      <x:c r="E197" s="75" t="n">
        <x:f>IF(COUNT(D34)=0,1,IF(D34&lt;0,1,0))</x:f>
        <x:v>0</x:v>
      </x:c>
      <x:c r="F197" s="75" t="n">
        <x:f>IF(COUNT(D34)=0,1,IF(D34&lt;0,1,0))</x:f>
        <x:v>0</x:v>
      </x:c>
      <x:c r="G197" s="75" t="n">
        <x:f>IF(COUNT(D34)=0,1,IF(D34&lt;0,1,0))</x:f>
        <x:v>0</x:v>
      </x:c>
      <x:c r="H197" s="75" t="n">
        <x:f>IF(COUNT(D34)=0,1,IF(D34&lt;0,1,0))</x:f>
        <x:v>0</x:v>
      </x:c>
      <x:c r="I197" s="75" t="n">
        <x:f>IF(COUNT(D34)=0,1,IF(D34&lt;0,1,0))</x:f>
        <x:v>0</x:v>
      </x:c>
      <x:c r="J197" s="1"/>
      <x:c r="K197" s="1"/>
    </x:row>
    <x:row r="198" ht="30" customHeight="1">
      <x:c r="A198" s="1"/>
      <x:c r="B198" s="1"/>
      <x:c r="C198" s="64" t="str">
        <x:v>Opening debt input outside bounds</x:v>
      </x:c>
      <x:c r="D198" s="8"/>
      <x:c r="E198" s="75" t="n">
        <x:f>IF(COUNT(D35)=0,1,IF(D35&lt;0,1,0))</x:f>
        <x:v>0</x:v>
      </x:c>
      <x:c r="F198" s="75" t="n">
        <x:f>IF(COUNT(D35)=0,1,IF(D35&lt;0,1,0))</x:f>
        <x:v>0</x:v>
      </x:c>
      <x:c r="G198" s="75" t="n">
        <x:f>IF(COUNT(D35)=0,1,IF(D35&lt;0,1,0))</x:f>
        <x:v>0</x:v>
      </x:c>
      <x:c r="H198" s="75" t="n">
        <x:f>IF(COUNT(D35)=0,1,IF(D35&lt;0,1,0))</x:f>
        <x:v>0</x:v>
      </x:c>
      <x:c r="I198" s="75" t="n">
        <x:f>IF(COUNT(D35)=0,1,IF(D35&lt;0,1,0))</x:f>
        <x:v>0</x:v>
      </x:c>
      <x:c r="J198" s="1"/>
      <x:c r="K198" s="1"/>
    </x:row>
    <x:row r="199" ht="30" customHeight="1">
      <x:c r="A199" s="1"/>
      <x:c r="B199" s="1"/>
      <x:c r="C199" s="64" t="str">
        <x:v>Opening cash input outside bounds</x:v>
      </x:c>
      <x:c r="D199" s="8"/>
      <x:c r="E199" s="75" t="n">
        <x:f>IF(COUNT(D36)=0,1,IF(D36&lt;0,1,0))</x:f>
        <x:v>0</x:v>
      </x:c>
      <x:c r="F199" s="75" t="n">
        <x:f>IF(COUNT(D36)=0,1,IF(D36&lt;0,1,0))</x:f>
        <x:v>0</x:v>
      </x:c>
      <x:c r="G199" s="75" t="n">
        <x:f>IF(COUNT(D36)=0,1,IF(D36&lt;0,1,0))</x:f>
        <x:v>0</x:v>
      </x:c>
      <x:c r="H199" s="75" t="n">
        <x:f>IF(COUNT(D36)=0,1,IF(D36&lt;0,1,0))</x:f>
        <x:v>0</x:v>
      </x:c>
      <x:c r="I199" s="75" t="n">
        <x:f>IF(COUNT(D36)=0,1,IF(D36&lt;0,1,0))</x:f>
        <x:v>0</x:v>
      </x:c>
      <x:c r="J199" s="1"/>
      <x:c r="K199" s="1"/>
    </x:row>
    <x:row r="200" ht="30" customHeight="1">
      <x:c r="A200" s="1"/>
      <x:c r="B200" s="1"/>
      <x:c r="C200" s="64" t="str">
        <x:v>Diluted shares (crore) input outside bounds</x:v>
      </x:c>
      <x:c r="D200" s="8"/>
      <x:c r="E200" s="75" t="n">
        <x:f>IF(COUNT(D38)=0,1,IF(D38&lt;0,1,0))</x:f>
        <x:v>0</x:v>
      </x:c>
      <x:c r="F200" s="75" t="n">
        <x:f>IF(COUNT(D38)=0,1,IF(D38&lt;0,1,0))</x:f>
        <x:v>0</x:v>
      </x:c>
      <x:c r="G200" s="75" t="n">
        <x:f>IF(COUNT(D38)=0,1,IF(D38&lt;0,1,0))</x:f>
        <x:v>0</x:v>
      </x:c>
      <x:c r="H200" s="75" t="n">
        <x:f>IF(COUNT(D38)=0,1,IF(D38&lt;0,1,0))</x:f>
        <x:v>0</x:v>
      </x:c>
      <x:c r="I200" s="75" t="n">
        <x:f>IF(COUNT(D38)=0,1,IF(D38&lt;0,1,0))</x:f>
        <x:v>0</x:v>
      </x:c>
      <x:c r="J200" s="1"/>
      <x:c r="K200" s="1"/>
    </x:row>
    <x:row r="201" ht="30" customHeight="1">
      <x:c r="A201" s="1"/>
      <x:c r="B201" s="1"/>
      <x:c r="C201" s="64" t="str">
        <x:v>WACC input outside bounds</x:v>
      </x:c>
      <x:c r="D201" s="8"/>
      <x:c r="E201" s="75" t="n">
        <x:f>IF(COUNT(D39)=0,1,IF(D39&lt;0,1,0))</x:f>
        <x:v>0</x:v>
      </x:c>
      <x:c r="F201" s="75" t="n">
        <x:f>IF(COUNT(D39)=0,1,IF(D39&lt;0,1,0))</x:f>
        <x:v>0</x:v>
      </x:c>
      <x:c r="G201" s="75" t="n">
        <x:f>IF(COUNT(D39)=0,1,IF(D39&lt;0,1,0))</x:f>
        <x:v>0</x:v>
      </x:c>
      <x:c r="H201" s="75" t="n">
        <x:f>IF(COUNT(D39)=0,1,IF(D39&lt;0,1,0))</x:f>
        <x:v>0</x:v>
      </x:c>
      <x:c r="I201" s="75" t="n">
        <x:f>IF(COUNT(D39)=0,1,IF(D39&lt;0,1,0))</x:f>
        <x:v>0</x:v>
      </x:c>
      <x:c r="J201" s="1"/>
      <x:c r="K201" s="1"/>
    </x:row>
    <x:row r="202" ht="30" customHeight="1">
      <x:c r="A202" s="1"/>
      <x:c r="B202" s="1"/>
      <x:c r="C202" s="64" t="str">
        <x:v>Terminal growth input outside bounds</x:v>
      </x:c>
      <x:c r="D202" s="8"/>
      <x:c r="E202" s="75" t="n">
        <x:f>IF(COUNT(D40)=0,1,IF(D40&lt;-1,1,0))</x:f>
        <x:v>0</x:v>
      </x:c>
      <x:c r="F202" s="75" t="n">
        <x:f>IF(COUNT(D40)=0,1,IF(D40&lt;-1,1,0))</x:f>
        <x:v>0</x:v>
      </x:c>
      <x:c r="G202" s="75" t="n">
        <x:f>IF(COUNT(D40)=0,1,IF(D40&lt;-1,1,0))</x:f>
        <x:v>0</x:v>
      </x:c>
      <x:c r="H202" s="75" t="n">
        <x:f>IF(COUNT(D40)=0,1,IF(D40&lt;-1,1,0))</x:f>
        <x:v>0</x:v>
      </x:c>
      <x:c r="I202" s="75" t="n">
        <x:f>IF(COUNT(D40)=0,1,IF(D40&lt;-1,1,0))</x:f>
        <x:v>0</x:v>
      </x:c>
      <x:c r="J202" s="1"/>
      <x:c r="K202" s="1"/>
    </x:row>
    <x:row r="203" ht="30" customHeight="1">
      <x:c r="A203" s="1"/>
      <x:c r="B203" s="1"/>
      <x:c r="C203" s="64" t="str">
        <x:v>Terminal incremental ROIC input outside bounds</x:v>
      </x:c>
      <x:c r="D203" s="8"/>
      <x:c r="E203" s="75" t="n">
        <x:f>IF(COUNT(D41)=0,1,IF(D41&lt;0,1,0))</x:f>
        <x:v>0</x:v>
      </x:c>
      <x:c r="F203" s="75" t="n">
        <x:f>IF(COUNT(D41)=0,1,IF(D41&lt;0,1,0))</x:f>
        <x:v>0</x:v>
      </x:c>
      <x:c r="G203" s="75" t="n">
        <x:f>IF(COUNT(D41)=0,1,IF(D41&lt;0,1,0))</x:f>
        <x:v>0</x:v>
      </x:c>
      <x:c r="H203" s="75" t="n">
        <x:f>IF(COUNT(D41)=0,1,IF(D41&lt;0,1,0))</x:f>
        <x:v>0</x:v>
      </x:c>
      <x:c r="I203" s="75" t="n">
        <x:f>IF(COUNT(D41)=0,1,IF(D41&lt;0,1,0))</x:f>
        <x:v>0</x:v>
      </x:c>
      <x:c r="J203" s="1"/>
      <x:c r="K203" s="1"/>
    </x:row>
    <x:row r="204" ht="30" customHeight="1">
      <x:c r="A204" s="1"/>
      <x:c r="B204" s="1"/>
      <x:c r="C204" s="64" t="str">
        <x:v>Forward EV / EBITDA input outside bounds</x:v>
      </x:c>
      <x:c r="D204" s="8"/>
      <x:c r="E204" s="75" t="n">
        <x:f>IF(COUNT(D42)=0,1,IF(D42&lt;0,1,0))</x:f>
        <x:v>0</x:v>
      </x:c>
      <x:c r="F204" s="75" t="n">
        <x:f>IF(COUNT(D42)=0,1,IF(D42&lt;0,1,0))</x:f>
        <x:v>0</x:v>
      </x:c>
      <x:c r="G204" s="75" t="n">
        <x:f>IF(COUNT(D42)=0,1,IF(D42&lt;0,1,0))</x:f>
        <x:v>0</x:v>
      </x:c>
      <x:c r="H204" s="75" t="n">
        <x:f>IF(COUNT(D42)=0,1,IF(D42&lt;0,1,0))</x:f>
        <x:v>0</x:v>
      </x:c>
      <x:c r="I204" s="75" t="n">
        <x:f>IF(COUNT(D42)=0,1,IF(D42&lt;0,1,0))</x:f>
        <x:v>0</x:v>
      </x:c>
      <x:c r="J204" s="1"/>
      <x:c r="K204" s="1"/>
    </x:row>
    <x:row r="205" ht="30" customHeight="1">
      <x:c r="A205" s="1"/>
      <x:c r="B205" s="1"/>
      <x:c r="C205" s="64" t="str">
        <x:v>Terminal valuation assumptions invalid</x:v>
      </x:c>
      <x:c r="D205" s="8"/>
      <x:c r="E205" s="75" t="n">
        <x:f>IF(D39&lt;=D40,1,IF(D41&lt;=0,1,IF(D40&gt;D41,1,0)))</x:f>
        <x:v>0</x:v>
      </x:c>
      <x:c r="F205" s="75" t="n">
        <x:f>IF(D39&lt;=D40,1,IF(D41&lt;=0,1,IF(D40&gt;D41,1,0)))</x:f>
        <x:v>0</x:v>
      </x:c>
      <x:c r="G205" s="75" t="n">
        <x:f>IF(D39&lt;=D40,1,IF(D41&lt;=0,1,IF(D40&gt;D41,1,0)))</x:f>
        <x:v>0</x:v>
      </x:c>
      <x:c r="H205" s="75" t="n">
        <x:f>IF(D39&lt;=D40,1,IF(D41&lt;=0,1,IF(D40&gt;D41,1,0)))</x:f>
        <x:v>0</x:v>
      </x:c>
      <x:c r="I205" s="75" t="n">
        <x:f>IF(D39&lt;=D40,1,IF(D41&lt;=0,1,IF(D40&gt;D41,1,0)))</x:f>
        <x:v>0</x:v>
      </x:c>
      <x:c r="J205" s="1"/>
      <x:c r="K205" s="1"/>
    </x:row>
    <x:row r="206" ht="30" customHeight="1">
      <x:c r="A206" s="1"/>
      <x:c r="B206" s="1"/>
      <x:c r="C206" s="64"/>
      <x:c r="D206" s="8"/>
      <x:c r="E206" s="8"/>
      <x:c r="F206" s="8"/>
      <x:c r="G206" s="8"/>
      <x:c r="H206" s="8"/>
      <x:c r="I206" s="8"/>
      <x:c r="J206" s="1"/>
      <x:c r="K206" s="1"/>
    </x:row>
    <x:row r="207" ht="30" customHeight="1">
      <x:c r="A207" s="1"/>
      <x:c r="B207" s="1"/>
      <x:c r="C207" s="64"/>
      <x:c r="D207" s="8"/>
      <x:c r="E207" s="8"/>
      <x:c r="F207" s="8"/>
      <x:c r="G207" s="8"/>
      <x:c r="H207" s="8"/>
      <x:c r="I207" s="8"/>
      <x:c r="J207" s="1"/>
      <x:c r="K207" s="1"/>
    </x:row>
    <x:row r="208" ht="30" customHeight="1">
      <x:c r="A208" s="1"/>
      <x:c r="B208" s="1"/>
      <x:c r="C208" s="64"/>
      <x:c r="D208" s="8"/>
      <x:c r="E208" s="8"/>
      <x:c r="F208" s="8"/>
      <x:c r="G208" s="8"/>
      <x:c r="H208" s="8"/>
      <x:c r="I208" s="8"/>
      <x:c r="J208" s="1"/>
      <x:c r="K208" s="1"/>
    </x:row>
    <x:row r="209" ht="30" customHeight="1">
      <x:c r="A209" s="1"/>
      <x:c r="B209" s="1"/>
      <x:c r="C209" s="64"/>
      <x:c r="D209" s="8"/>
      <x:c r="E209" s="8"/>
      <x:c r="F209" s="8"/>
      <x:c r="G209" s="8"/>
      <x:c r="H209" s="8"/>
      <x:c r="I209" s="8"/>
      <x:c r="J209" s="1"/>
      <x:c r="K209" s="1"/>
    </x:row>
    <x:row r="210" ht="30" customHeight="1">
      <x:c r="A210" s="1"/>
      <x:c r="B210" s="1"/>
      <x:c r="C210" s="64"/>
      <x:c r="D210" s="8"/>
      <x:c r="E210" s="8"/>
      <x:c r="F210" s="8"/>
      <x:c r="G210" s="8"/>
      <x:c r="H210" s="8"/>
      <x:c r="I210" s="8"/>
      <x:c r="J210" s="1"/>
      <x:c r="K210" s="1"/>
    </x:row>
    <x:row r="211" ht="30" customHeight="1">
      <x:c r="C211" s="64"/>
      <x:c r="D211" s="63"/>
      <x:c r="E211" s="63"/>
      <x:c r="F211" s="63"/>
      <x:c r="G211" s="63"/>
      <x:c r="H211" s="63"/>
      <x:c r="I211" s="63"/>
    </x:row>
    <x:row r="212" ht="30" customHeight="1">
      <x:c r="C212" s="64"/>
      <x:c r="D212" s="63"/>
      <x:c r="E212" s="63"/>
      <x:c r="F212" s="63"/>
      <x:c r="G212" s="63"/>
      <x:c r="H212" s="63"/>
      <x:c r="I212" s="63"/>
    </x:row>
    <x:row r="213" ht="30" customHeight="1">
      <x:c r="C213" s="64"/>
      <x:c r="D213" s="63"/>
      <x:c r="E213" s="63"/>
      <x:c r="F213" s="63"/>
      <x:c r="G213" s="63"/>
      <x:c r="H213" s="63"/>
      <x:c r="I213" s="63"/>
    </x:row>
    <x:row r="214" ht="30" customHeight="1">
      <x:c r="C214" s="64"/>
      <x:c r="D214" s="63"/>
      <x:c r="E214" s="63"/>
      <x:c r="F214" s="63"/>
      <x:c r="G214" s="63"/>
      <x:c r="H214" s="63"/>
      <x:c r="I214" s="63"/>
    </x:row>
    <x:row r="215" ht="30" customHeight="1">
      <x:c r="C215" s="64"/>
      <x:c r="D215" s="63"/>
      <x:c r="E215" s="63"/>
      <x:c r="F215" s="63"/>
      <x:c r="G215" s="63"/>
      <x:c r="H215" s="63"/>
      <x:c r="I215" s="63"/>
    </x:row>
    <x:row r="216" ht="30" customHeight="1">
      <x:c r="C216" s="64"/>
      <x:c r="D216" s="63"/>
      <x:c r="E216" s="63"/>
      <x:c r="F216" s="63"/>
      <x:c r="G216" s="63"/>
      <x:c r="H216" s="63"/>
      <x:c r="I216" s="63"/>
    </x:row>
    <x:row r="217" ht="30" customHeight="1">
      <x:c r="C217" s="64"/>
      <x:c r="D217" s="63"/>
      <x:c r="E217" s="63"/>
      <x:c r="F217" s="63"/>
      <x:c r="G217" s="63"/>
      <x:c r="H217" s="63"/>
      <x:c r="I217" s="63"/>
    </x:row>
    <x:row r="218" ht="30" customHeight="1">
      <x:c r="C218" s="64"/>
      <x:c r="D218" s="63"/>
      <x:c r="E218" s="63"/>
      <x:c r="F218" s="63"/>
      <x:c r="G218" s="63"/>
      <x:c r="H218" s="63"/>
      <x:c r="I218" s="63"/>
    </x:row>
    <x:row r="219" ht="30" customHeight="1">
      <x:c r="C219" s="64"/>
      <x:c r="D219" s="63"/>
      <x:c r="E219" s="63"/>
      <x:c r="F219" s="63"/>
      <x:c r="G219" s="63"/>
      <x:c r="H219" s="63"/>
      <x:c r="I219" s="63"/>
    </x:row>
    <x:row r="220" ht="30" customHeight="1">
      <x:c r="C220" s="64"/>
      <x:c r="D220" s="63"/>
      <x:c r="E220" s="63"/>
      <x:c r="F220" s="63"/>
      <x:c r="G220" s="63"/>
      <x:c r="H220" s="63"/>
      <x:c r="I220" s="63"/>
    </x:row>
    <x:row r="221" ht="30" customHeight="1">
      <x:c r="C221" s="64"/>
      <x:c r="D221" s="63"/>
      <x:c r="E221" s="63"/>
      <x:c r="F221" s="63"/>
      <x:c r="G221" s="63"/>
      <x:c r="H221" s="63"/>
      <x:c r="I221" s="63"/>
    </x:row>
    <x:row r="222" ht="30" customHeight="1">
      <x:c r="C222" s="64"/>
      <x:c r="D222" s="63"/>
      <x:c r="E222" s="63"/>
      <x:c r="F222" s="63"/>
      <x:c r="G222" s="63"/>
      <x:c r="H222" s="63"/>
      <x:c r="I222" s="63"/>
    </x:row>
    <x:row r="223" ht="30" customHeight="1">
      <x:c r="C223" s="64"/>
      <x:c r="D223" s="63"/>
      <x:c r="E223" s="63"/>
      <x:c r="F223" s="63"/>
      <x:c r="G223" s="63"/>
      <x:c r="H223" s="63"/>
      <x:c r="I223" s="63"/>
    </x:row>
    <x:row r="224" ht="30" customHeight="1">
      <x:c r="C224" s="64"/>
      <x:c r="D224" s="63"/>
      <x:c r="E224" s="63"/>
      <x:c r="F224" s="63"/>
      <x:c r="G224" s="63"/>
      <x:c r="H224" s="63"/>
      <x:c r="I224" s="63"/>
    </x:row>
    <x:row r="225" ht="30" customHeight="1">
      <x:c r="C225" s="64"/>
      <x:c r="D225" s="63"/>
      <x:c r="E225" s="63"/>
      <x:c r="F225" s="63"/>
      <x:c r="G225" s="63"/>
      <x:c r="H225" s="63"/>
      <x:c r="I225" s="63"/>
    </x:row>
    <x:row r="226" ht="30" customHeight="1">
      <x:c r="C226" s="64"/>
      <x:c r="D226" s="63"/>
      <x:c r="E226" s="63"/>
      <x:c r="F226" s="63"/>
      <x:c r="G226" s="63"/>
      <x:c r="H226" s="63"/>
      <x:c r="I226" s="63"/>
    </x:row>
    <x:row r="227" ht="30" customHeight="1">
      <x:c r="C227" s="64"/>
      <x:c r="D227" s="63"/>
      <x:c r="E227" s="63"/>
      <x:c r="F227" s="63"/>
      <x:c r="G227" s="63"/>
      <x:c r="H227" s="63"/>
      <x:c r="I227" s="63"/>
    </x:row>
    <x:row r="228" ht="30" customHeight="1">
      <x:c r="C228" s="64"/>
      <x:c r="D228" s="63"/>
      <x:c r="E228" s="63"/>
      <x:c r="F228" s="63"/>
      <x:c r="G228" s="63"/>
      <x:c r="H228" s="63"/>
      <x:c r="I228" s="63"/>
    </x:row>
    <x:row r="229" ht="30" customHeight="1">
      <x:c r="C229" s="64"/>
      <x:c r="D229" s="63"/>
      <x:c r="E229" s="63"/>
      <x:c r="F229" s="63"/>
      <x:c r="G229" s="63"/>
      <x:c r="H229" s="63"/>
      <x:c r="I229" s="63"/>
    </x:row>
    <x:row r="230" ht="30" customHeight="1">
      <x:c r="C230" s="64"/>
      <x:c r="D230" s="63"/>
      <x:c r="E230" s="63"/>
      <x:c r="F230" s="63"/>
      <x:c r="G230" s="63"/>
      <x:c r="H230" s="63"/>
      <x:c r="I230" s="63"/>
    </x:row>
    <x:row r="231" ht="30" customHeight="1">
      <x:c r="C231" s="64"/>
      <x:c r="D231" s="63"/>
      <x:c r="E231" s="63"/>
      <x:c r="F231" s="63"/>
      <x:c r="G231" s="63"/>
      <x:c r="H231" s="63"/>
      <x:c r="I231" s="63"/>
    </x:row>
    <x:row r="232" ht="30" customHeight="1">
      <x:c r="C232" s="64"/>
      <x:c r="D232" s="63"/>
      <x:c r="E232" s="63"/>
      <x:c r="F232" s="63"/>
      <x:c r="G232" s="63"/>
      <x:c r="H232" s="63"/>
      <x:c r="I232" s="63"/>
    </x:row>
    <x:row r="233" ht="30" customHeight="1">
      <x:c r="C233" s="64"/>
      <x:c r="D233" s="63"/>
      <x:c r="E233" s="63"/>
      <x:c r="F233" s="63"/>
      <x:c r="G233" s="63"/>
      <x:c r="H233" s="63"/>
      <x:c r="I233" s="63"/>
    </x:row>
    <x:row r="234" ht="30" customHeight="1">
      <x:c r="C234" s="64"/>
      <x:c r="D234" s="63"/>
      <x:c r="E234" s="63"/>
      <x:c r="F234" s="63"/>
      <x:c r="G234" s="63"/>
      <x:c r="H234" s="63"/>
      <x:c r="I234" s="63"/>
    </x:row>
    <x:row r="235" ht="30" customHeight="1">
      <x:c r="C235" s="64"/>
      <x:c r="D235" s="63"/>
      <x:c r="E235" s="63"/>
      <x:c r="F235" s="63"/>
      <x:c r="G235" s="63"/>
      <x:c r="H235" s="63"/>
      <x:c r="I235" s="63"/>
    </x:row>
    <x:row r="236" ht="30" customHeight="1">
      <x:c r="C236" s="64"/>
      <x:c r="D236" s="63"/>
      <x:c r="E236" s="63"/>
      <x:c r="F236" s="63"/>
      <x:c r="G236" s="63"/>
      <x:c r="H236" s="63"/>
      <x:c r="I236" s="63"/>
    </x:row>
    <x:row r="237" ht="30" customHeight="1">
      <x:c r="C237" s="64"/>
      <x:c r="D237" s="63"/>
      <x:c r="E237" s="63"/>
      <x:c r="F237" s="63"/>
      <x:c r="G237" s="63"/>
      <x:c r="H237" s="63"/>
      <x:c r="I237" s="63"/>
    </x:row>
    <x:row r="238" ht="30" customHeight="1">
      <x:c r="C238" s="64"/>
      <x:c r="D238" s="63"/>
      <x:c r="E238" s="63"/>
      <x:c r="F238" s="63"/>
      <x:c r="G238" s="63"/>
      <x:c r="H238" s="63"/>
      <x:c r="I238" s="63"/>
    </x:row>
    <x:row r="239" ht="30" customHeight="1">
      <x:c r="C239" s="64"/>
      <x:c r="D239" s="63"/>
      <x:c r="E239" s="63"/>
      <x:c r="F239" s="63"/>
      <x:c r="G239" s="63"/>
      <x:c r="H239" s="63"/>
      <x:c r="I239" s="63"/>
    </x:row>
    <x:row r="240" ht="30" customHeight="1">
      <x:c r="C240" s="64"/>
      <x:c r="D240" s="63"/>
      <x:c r="E240" s="63"/>
      <x:c r="F240" s="63"/>
      <x:c r="G240" s="63"/>
      <x:c r="H240" s="63"/>
      <x:c r="I240" s="63"/>
    </x:row>
    <x:row r="241" ht="30" customHeight="1">
      <x:c r="C241" s="64"/>
      <x:c r="D241" s="63"/>
      <x:c r="E241" s="63"/>
      <x:c r="F241" s="63"/>
      <x:c r="G241" s="63"/>
      <x:c r="H241" s="63"/>
      <x:c r="I241" s="63"/>
    </x:row>
    <x:row r="242" ht="30" customHeight="1">
      <x:c r="C242" s="64"/>
      <x:c r="D242" s="63"/>
      <x:c r="E242" s="63"/>
      <x:c r="F242" s="63"/>
      <x:c r="G242" s="63"/>
      <x:c r="H242" s="63"/>
      <x:c r="I242" s="63"/>
    </x:row>
    <x:row r="243" ht="30" customHeight="1">
      <x:c r="C243" s="64"/>
      <x:c r="D243" s="63"/>
      <x:c r="E243" s="63"/>
      <x:c r="F243" s="63"/>
      <x:c r="G243" s="63"/>
      <x:c r="H243" s="63"/>
      <x:c r="I243" s="63"/>
    </x:row>
    <x:row r="244" ht="30" customHeight="1">
      <x:c r="C244" s="64"/>
      <x:c r="D244" s="63"/>
      <x:c r="E244" s="63"/>
      <x:c r="F244" s="63"/>
      <x:c r="G244" s="63"/>
      <x:c r="H244" s="63"/>
      <x:c r="I244" s="63"/>
    </x:row>
    <x:row r="245" ht="30" customHeight="1">
      <x:c r="C245" s="64"/>
      <x:c r="D245" s="63"/>
      <x:c r="E245" s="63"/>
      <x:c r="F245" s="63"/>
      <x:c r="G245" s="63"/>
      <x:c r="H245" s="63"/>
      <x:c r="I245" s="63"/>
    </x:row>
    <x:row r="246" ht="30" customHeight="1">
      <x:c r="C246" s="64"/>
      <x:c r="D246" s="63"/>
      <x:c r="E246" s="63"/>
      <x:c r="F246" s="63"/>
      <x:c r="G246" s="63"/>
      <x:c r="H246" s="63"/>
      <x:c r="I246" s="63"/>
    </x:row>
    <x:row r="247" ht="30" customHeight="1">
      <x:c r="C247" s="64"/>
      <x:c r="D247" s="63"/>
      <x:c r="E247" s="63"/>
      <x:c r="F247" s="63"/>
      <x:c r="G247" s="63"/>
      <x:c r="H247" s="63"/>
      <x:c r="I247" s="63"/>
    </x:row>
    <x:row r="248" ht="30" customHeight="1">
      <x:c r="C248" s="64"/>
      <x:c r="D248" s="63"/>
      <x:c r="E248" s="63"/>
      <x:c r="F248" s="63"/>
      <x:c r="G248" s="63"/>
      <x:c r="H248" s="63"/>
      <x:c r="I248" s="63"/>
    </x:row>
    <x:row r="249" ht="30" customHeight="1">
      <x:c r="C249" s="64"/>
      <x:c r="D249" s="63"/>
      <x:c r="E249" s="63"/>
      <x:c r="F249" s="63"/>
      <x:c r="G249" s="63"/>
      <x:c r="H249" s="63"/>
      <x:c r="I249" s="63"/>
    </x:row>
    <x:row r="250" ht="30" customHeight="1">
      <x:c r="C250" s="64"/>
      <x:c r="D250" s="63"/>
      <x:c r="E250" s="63"/>
      <x:c r="F250" s="63"/>
      <x:c r="G250" s="63"/>
      <x:c r="H250" s="63"/>
      <x:c r="I250" s="63"/>
    </x:row>
    <x:row r="251" ht="30" customHeight="1">
      <x:c r="C251" s="64"/>
      <x:c r="D251" s="63"/>
      <x:c r="E251" s="63"/>
      <x:c r="F251" s="63"/>
      <x:c r="G251" s="63"/>
      <x:c r="H251" s="63"/>
      <x:c r="I251" s="63"/>
    </x:row>
    <x:row r="252" ht="30" customHeight="1">
      <x:c r="C252" s="64"/>
      <x:c r="D252" s="63"/>
      <x:c r="E252" s="63"/>
      <x:c r="F252" s="63"/>
      <x:c r="G252" s="63"/>
      <x:c r="H252" s="63"/>
      <x:c r="I252" s="63"/>
    </x:row>
    <x:row r="253" ht="30" customHeight="1">
      <x:c r="C253" s="64"/>
      <x:c r="D253" s="63"/>
      <x:c r="E253" s="63"/>
      <x:c r="F253" s="63"/>
      <x:c r="G253" s="63"/>
      <x:c r="H253" s="63"/>
      <x:c r="I253" s="63"/>
    </x:row>
    <x:row r="254" ht="30" customHeight="1">
      <x:c r="C254" s="64"/>
      <x:c r="D254" s="63"/>
      <x:c r="E254" s="63"/>
      <x:c r="F254" s="63"/>
      <x:c r="G254" s="63"/>
      <x:c r="H254" s="63"/>
      <x:c r="I254" s="63"/>
    </x:row>
    <x:row r="255" ht="30" customHeight="1">
      <x:c r="C255" s="64"/>
      <x:c r="D255" s="63"/>
      <x:c r="E255" s="63"/>
      <x:c r="F255" s="63"/>
      <x:c r="G255" s="63"/>
      <x:c r="H255" s="63"/>
      <x:c r="I255" s="63"/>
    </x:row>
    <x:row r="256" ht="30" customHeight="1">
      <x:c r="C256" s="64"/>
      <x:c r="D256" s="63"/>
      <x:c r="E256" s="63"/>
      <x:c r="F256" s="63"/>
      <x:c r="G256" s="63"/>
      <x:c r="H256" s="63"/>
      <x:c r="I256" s="63"/>
    </x:row>
    <x:row r="257" ht="30" customHeight="1">
      <x:c r="C257" s="64"/>
      <x:c r="D257" s="63"/>
      <x:c r="E257" s="63"/>
      <x:c r="F257" s="63"/>
      <x:c r="G257" s="63"/>
      <x:c r="H257" s="63"/>
      <x:c r="I257" s="63"/>
    </x:row>
    <x:row r="258" ht="30" customHeight="1">
      <x:c r="C258" s="64"/>
      <x:c r="D258" s="63"/>
      <x:c r="E258" s="63"/>
      <x:c r="F258" s="63"/>
      <x:c r="G258" s="63"/>
      <x:c r="H258" s="63"/>
      <x:c r="I258" s="63"/>
    </x:row>
    <x:row r="259" ht="30" customHeight="1">
      <x:c r="C259" s="64"/>
      <x:c r="D259" s="63"/>
      <x:c r="E259" s="63"/>
      <x:c r="F259" s="63"/>
      <x:c r="G259" s="63"/>
      <x:c r="H259" s="63"/>
      <x:c r="I259" s="63"/>
    </x:row>
    <x:row r="260" ht="30" customHeight="1">
      <x:c r="C260" s="64"/>
      <x:c r="D260" s="63"/>
      <x:c r="E260" s="63"/>
      <x:c r="F260" s="63"/>
      <x:c r="G260" s="63"/>
      <x:c r="H260" s="63"/>
      <x:c r="I260" s="63"/>
    </x:row>
    <x:row r="261" ht="30" customHeight="1">
      <x:c r="C261" s="64"/>
      <x:c r="D261" s="63"/>
      <x:c r="E261" s="63"/>
      <x:c r="F261" s="63"/>
      <x:c r="G261" s="63"/>
      <x:c r="H261" s="63"/>
      <x:c r="I261" s="63"/>
    </x:row>
    <x:row r="262" ht="30" customHeight="1">
      <x:c r="C262" s="64"/>
      <x:c r="D262" s="63"/>
      <x:c r="E262" s="63"/>
      <x:c r="F262" s="63"/>
      <x:c r="G262" s="63"/>
      <x:c r="H262" s="63"/>
      <x:c r="I262" s="63"/>
    </x:row>
    <x:row r="263" ht="30" customHeight="1">
      <x:c r="C263" s="64"/>
      <x:c r="D263" s="63"/>
      <x:c r="E263" s="63"/>
      <x:c r="F263" s="63"/>
      <x:c r="G263" s="63"/>
      <x:c r="H263" s="63"/>
      <x:c r="I263" s="63"/>
    </x:row>
    <x:row r="264" ht="30" customHeight="1">
      <x:c r="C264" s="64"/>
      <x:c r="D264" s="63"/>
      <x:c r="E264" s="63"/>
      <x:c r="F264" s="63"/>
      <x:c r="G264" s="63"/>
      <x:c r="H264" s="63"/>
      <x:c r="I264" s="63"/>
    </x:row>
    <x:row r="265" ht="30" customHeight="1">
      <x:c r="C265" s="64"/>
      <x:c r="D265" s="63"/>
      <x:c r="E265" s="63"/>
      <x:c r="F265" s="63"/>
      <x:c r="G265" s="63"/>
      <x:c r="H265" s="63"/>
      <x:c r="I265" s="63"/>
    </x:row>
    <x:row r="266" ht="30" customHeight="1">
      <x:c r="C266" s="64"/>
      <x:c r="D266" s="63"/>
      <x:c r="E266" s="63"/>
      <x:c r="F266" s="63"/>
      <x:c r="G266" s="63"/>
      <x:c r="H266" s="63"/>
      <x:c r="I266" s="63"/>
    </x:row>
    <x:row r="267" ht="30" customHeight="1">
      <x:c r="C267" s="64"/>
      <x:c r="D267" s="63"/>
      <x:c r="E267" s="63"/>
      <x:c r="F267" s="63"/>
      <x:c r="G267" s="63"/>
      <x:c r="H267" s="63"/>
      <x:c r="I267" s="63"/>
    </x:row>
    <x:row r="268" ht="30" customHeight="1">
      <x:c r="C268" s="64"/>
      <x:c r="D268" s="63"/>
      <x:c r="E268" s="63"/>
      <x:c r="F268" s="63"/>
      <x:c r="G268" s="63"/>
      <x:c r="H268" s="63"/>
      <x:c r="I268" s="63"/>
    </x:row>
    <x:row r="269" ht="30" customHeight="1">
      <x:c r="C269" s="64"/>
      <x:c r="D269" s="63"/>
      <x:c r="E269" s="63"/>
      <x:c r="F269" s="63"/>
      <x:c r="G269" s="63"/>
      <x:c r="H269" s="63"/>
      <x:c r="I269" s="63"/>
    </x:row>
    <x:row r="270" ht="30" customHeight="1">
      <x:c r="C270" s="64"/>
      <x:c r="D270" s="63"/>
      <x:c r="E270" s="63"/>
      <x:c r="F270" s="63"/>
      <x:c r="G270" s="63"/>
      <x:c r="H270" s="63"/>
      <x:c r="I270" s="63"/>
    </x:row>
    <x:row r="271" ht="30" customHeight="1">
      <x:c r="C271" s="64"/>
      <x:c r="D271" s="63"/>
      <x:c r="E271" s="63"/>
      <x:c r="F271" s="63"/>
      <x:c r="G271" s="63"/>
      <x:c r="H271" s="63"/>
      <x:c r="I271" s="63"/>
    </x:row>
    <x:row r="272" ht="30" customHeight="1">
      <x:c r="C272" s="64"/>
      <x:c r="D272" s="63"/>
      <x:c r="E272" s="63"/>
      <x:c r="F272" s="63"/>
      <x:c r="G272" s="63"/>
      <x:c r="H272" s="63"/>
      <x:c r="I272" s="63"/>
    </x:row>
    <x:row r="273" ht="30" customHeight="1">
      <x:c r="C273" s="64"/>
      <x:c r="D273" s="63"/>
      <x:c r="E273" s="63"/>
      <x:c r="F273" s="63"/>
      <x:c r="G273" s="63"/>
      <x:c r="H273" s="63"/>
      <x:c r="I273" s="63"/>
    </x:row>
    <x:row r="274" ht="30" customHeight="1">
      <x:c r="C274" s="64"/>
      <x:c r="D274" s="63"/>
      <x:c r="E274" s="63"/>
      <x:c r="F274" s="63"/>
      <x:c r="G274" s="63"/>
      <x:c r="H274" s="63"/>
      <x:c r="I274" s="63"/>
    </x:row>
    <x:row r="275" ht="30" customHeight="1">
      <x:c r="C275" s="64"/>
      <x:c r="D275" s="63"/>
      <x:c r="E275" s="63"/>
      <x:c r="F275" s="63"/>
      <x:c r="G275" s="63"/>
      <x:c r="H275" s="63"/>
      <x:c r="I275" s="63"/>
    </x:row>
    <x:row r="276" ht="30" customHeight="1">
      <x:c r="C276" s="64"/>
      <x:c r="D276" s="63"/>
      <x:c r="E276" s="63"/>
      <x:c r="F276" s="63"/>
      <x:c r="G276" s="63"/>
      <x:c r="H276" s="63"/>
      <x:c r="I276" s="63"/>
    </x:row>
    <x:row r="277" ht="30" customHeight="1">
      <x:c r="C277" s="64"/>
      <x:c r="D277" s="63"/>
      <x:c r="E277" s="63"/>
      <x:c r="F277" s="63"/>
      <x:c r="G277" s="63"/>
      <x:c r="H277" s="63"/>
      <x:c r="I277" s="63"/>
    </x:row>
    <x:row r="278" ht="30" customHeight="1">
      <x:c r="C278" s="64"/>
      <x:c r="D278" s="63"/>
      <x:c r="E278" s="63"/>
      <x:c r="F278" s="63"/>
      <x:c r="G278" s="63"/>
      <x:c r="H278" s="63"/>
      <x:c r="I278" s="63"/>
    </x:row>
    <x:row r="279" ht="30" customHeight="1">
      <x:c r="C279" s="64"/>
      <x:c r="D279" s="63"/>
      <x:c r="E279" s="63"/>
      <x:c r="F279" s="63"/>
      <x:c r="G279" s="63"/>
      <x:c r="H279" s="63"/>
      <x:c r="I279" s="63"/>
    </x:row>
    <x:row r="280" ht="30" customHeight="1">
      <x:c r="C280" s="64"/>
      <x:c r="D280" s="63"/>
      <x:c r="E280" s="63"/>
      <x:c r="F280" s="63"/>
      <x:c r="G280" s="63"/>
      <x:c r="H280" s="63"/>
      <x:c r="I280" s="63"/>
    </x:row>
    <x:row r="281" ht="30" customHeight="1">
      <x:c r="C281" s="64"/>
      <x:c r="D281" s="63"/>
      <x:c r="E281" s="63"/>
      <x:c r="F281" s="63"/>
      <x:c r="G281" s="63"/>
      <x:c r="H281" s="63"/>
      <x:c r="I281" s="63"/>
    </x:row>
    <x:row r="282" ht="30" customHeight="1">
      <x:c r="C282" s="64"/>
      <x:c r="D282" s="63"/>
      <x:c r="E282" s="63"/>
      <x:c r="F282" s="63"/>
      <x:c r="G282" s="63"/>
      <x:c r="H282" s="63"/>
      <x:c r="I282" s="63"/>
    </x:row>
    <x:row r="283" ht="30" customHeight="1">
      <x:c r="C283" s="64"/>
      <x:c r="D283" s="63"/>
      <x:c r="E283" s="63"/>
      <x:c r="F283" s="63"/>
      <x:c r="G283" s="63"/>
      <x:c r="H283" s="63"/>
      <x:c r="I283" s="63"/>
    </x:row>
    <x:row r="284" ht="30" customHeight="1">
      <x:c r="C284" s="64"/>
      <x:c r="D284" s="63"/>
      <x:c r="E284" s="63"/>
      <x:c r="F284" s="63"/>
      <x:c r="G284" s="63"/>
      <x:c r="H284" s="63"/>
      <x:c r="I284" s="63"/>
    </x:row>
    <x:row r="285" ht="30" customHeight="1">
      <x:c r="C285" s="64"/>
      <x:c r="D285" s="63"/>
      <x:c r="E285" s="63"/>
      <x:c r="F285" s="63"/>
      <x:c r="G285" s="63"/>
      <x:c r="H285" s="63"/>
      <x:c r="I285" s="63"/>
    </x:row>
    <x:row r="286" ht="30" customHeight="1">
      <x:c r="C286" s="64"/>
      <x:c r="D286" s="63"/>
      <x:c r="E286" s="63"/>
      <x:c r="F286" s="63"/>
      <x:c r="G286" s="63"/>
      <x:c r="H286" s="63"/>
      <x:c r="I286" s="63"/>
    </x:row>
    <x:row r="287" ht="30" customHeight="1">
      <x:c r="C287" s="64"/>
      <x:c r="D287" s="63"/>
      <x:c r="E287" s="63"/>
      <x:c r="F287" s="63"/>
      <x:c r="G287" s="63"/>
      <x:c r="H287" s="63"/>
      <x:c r="I287" s="63"/>
    </x:row>
    <x:row r="288" ht="30" customHeight="1">
      <x:c r="C288" s="64"/>
      <x:c r="D288" s="63"/>
      <x:c r="E288" s="63"/>
      <x:c r="F288" s="63"/>
      <x:c r="G288" s="63"/>
      <x:c r="H288" s="63"/>
      <x:c r="I288" s="63"/>
    </x:row>
    <x:row r="289" ht="30" customHeight="1">
      <x:c r="C289" s="64"/>
      <x:c r="D289" s="63"/>
      <x:c r="E289" s="63"/>
      <x:c r="F289" s="63"/>
      <x:c r="G289" s="63"/>
      <x:c r="H289" s="63"/>
      <x:c r="I289" s="63"/>
    </x:row>
    <x:row r="290" ht="30" customHeight="1">
      <x:c r="C290" s="64"/>
      <x:c r="D290" s="63"/>
      <x:c r="E290" s="63"/>
      <x:c r="F290" s="63"/>
      <x:c r="G290" s="63"/>
      <x:c r="H290" s="63"/>
      <x:c r="I290" s="63"/>
    </x:row>
    <x:row r="291" ht="30" customHeight="1">
      <x:c r="C291" s="64"/>
      <x:c r="D291" s="63"/>
      <x:c r="E291" s="63"/>
      <x:c r="F291" s="63"/>
      <x:c r="G291" s="63"/>
      <x:c r="H291" s="63"/>
      <x:c r="I291" s="63"/>
    </x:row>
    <x:row r="292" ht="30" customHeight="1">
      <x:c r="C292" s="64"/>
      <x:c r="D292" s="63"/>
      <x:c r="E292" s="63"/>
      <x:c r="F292" s="63"/>
      <x:c r="G292" s="63"/>
      <x:c r="H292" s="63"/>
      <x:c r="I292" s="63"/>
    </x:row>
    <x:row r="293" ht="30" customHeight="1">
      <x:c r="C293" s="64"/>
      <x:c r="D293" s="63"/>
      <x:c r="E293" s="63"/>
      <x:c r="F293" s="63"/>
      <x:c r="G293" s="63"/>
      <x:c r="H293" s="63"/>
      <x:c r="I293" s="63"/>
    </x:row>
    <x:row r="294" ht="30" customHeight="1">
      <x:c r="C294" s="64"/>
      <x:c r="D294" s="63"/>
      <x:c r="E294" s="63"/>
      <x:c r="F294" s="63"/>
      <x:c r="G294" s="63"/>
      <x:c r="H294" s="63"/>
      <x:c r="I294" s="63"/>
    </x:row>
    <x:row r="295" ht="30" customHeight="1">
      <x:c r="C295" s="64"/>
      <x:c r="D295" s="63"/>
      <x:c r="E295" s="63"/>
      <x:c r="F295" s="63"/>
      <x:c r="G295" s="63"/>
      <x:c r="H295" s="63"/>
      <x:c r="I295" s="63"/>
    </x:row>
    <x:row r="296" ht="30" customHeight="1">
      <x:c r="C296" s="64"/>
      <x:c r="D296" s="63"/>
      <x:c r="E296" s="63"/>
      <x:c r="F296" s="63"/>
      <x:c r="G296" s="63"/>
      <x:c r="H296" s="63"/>
      <x:c r="I296" s="63"/>
    </x:row>
    <x:row r="297" ht="30" customHeight="1">
      <x:c r="C297" s="64"/>
      <x:c r="D297" s="63"/>
      <x:c r="E297" s="63"/>
      <x:c r="F297" s="63"/>
      <x:c r="G297" s="63"/>
      <x:c r="H297" s="63"/>
      <x:c r="I297" s="63"/>
    </x:row>
    <x:row r="298" ht="30" customHeight="1">
      <x:c r="C298" s="64"/>
      <x:c r="D298" s="63"/>
      <x:c r="E298" s="63"/>
      <x:c r="F298" s="63"/>
      <x:c r="G298" s="63"/>
      <x:c r="H298" s="63"/>
      <x:c r="I298" s="63"/>
    </x:row>
    <x:row r="299" ht="30" customHeight="1">
      <x:c r="C299" s="64"/>
      <x:c r="D299" s="63"/>
      <x:c r="E299" s="63"/>
      <x:c r="F299" s="63"/>
      <x:c r="G299" s="63"/>
      <x:c r="H299" s="63"/>
      <x:c r="I299" s="63"/>
    </x:row>
    <x:row r="300" ht="30" customHeight="1">
      <x:c r="C300" s="64"/>
      <x:c r="D300" s="63"/>
      <x:c r="E300" s="63"/>
      <x:c r="F300" s="63"/>
      <x:c r="G300" s="63"/>
      <x:c r="H300" s="63"/>
      <x:c r="I300" s="63"/>
    </x:row>
    <x:row r="301" ht="30" customHeight="1">
      <x:c r="C301" s="64"/>
      <x:c r="D301" s="63"/>
      <x:c r="E301" s="63"/>
      <x:c r="F301" s="63"/>
      <x:c r="G301" s="63"/>
      <x:c r="H301" s="63"/>
      <x:c r="I301" s="63"/>
    </x:row>
    <x:row r="302" ht="30" customHeight="1">
      <x:c r="C302" s="64"/>
      <x:c r="D302" s="63"/>
      <x:c r="E302" s="63"/>
      <x:c r="F302" s="63"/>
      <x:c r="G302" s="63"/>
      <x:c r="H302" s="63"/>
      <x:c r="I302" s="63"/>
    </x:row>
    <x:row r="303" ht="30" customHeight="1">
      <x:c r="C303" s="64"/>
      <x:c r="D303" s="63"/>
      <x:c r="E303" s="63"/>
      <x:c r="F303" s="63"/>
      <x:c r="G303" s="63"/>
      <x:c r="H303" s="63"/>
      <x:c r="I303" s="63"/>
    </x:row>
    <x:row r="304" ht="30" customHeight="1">
      <x:c r="C304" s="64"/>
      <x:c r="D304" s="63"/>
      <x:c r="E304" s="63"/>
      <x:c r="F304" s="63"/>
      <x:c r="G304" s="63"/>
      <x:c r="H304" s="63"/>
      <x:c r="I304" s="63"/>
    </x:row>
    <x:row r="305" ht="30" customHeight="1">
      <x:c r="C305" s="64"/>
      <x:c r="D305" s="63"/>
      <x:c r="E305" s="63"/>
      <x:c r="F305" s="63"/>
      <x:c r="G305" s="63"/>
      <x:c r="H305" s="63"/>
      <x:c r="I305" s="63"/>
    </x:row>
    <x:row r="306" ht="30" customHeight="1">
      <x:c r="C306" s="64"/>
      <x:c r="D306" s="63"/>
      <x:c r="E306" s="63"/>
      <x:c r="F306" s="63"/>
      <x:c r="G306" s="63"/>
      <x:c r="H306" s="63"/>
      <x:c r="I306" s="63"/>
    </x:row>
    <x:row r="307" ht="30" customHeight="1">
      <x:c r="C307" s="64"/>
      <x:c r="D307" s="63"/>
      <x:c r="E307" s="63"/>
      <x:c r="F307" s="63"/>
      <x:c r="G307" s="63"/>
      <x:c r="H307" s="63"/>
      <x:c r="I307" s="63"/>
    </x:row>
    <x:row r="308" ht="30" customHeight="1">
      <x:c r="C308" s="64"/>
      <x:c r="D308" s="63"/>
      <x:c r="E308" s="63"/>
      <x:c r="F308" s="63"/>
      <x:c r="G308" s="63"/>
      <x:c r="H308" s="63"/>
      <x:c r="I308" s="63"/>
    </x:row>
    <x:row r="309" ht="30" customHeight="1">
      <x:c r="C309" s="64"/>
      <x:c r="D309" s="63"/>
      <x:c r="E309" s="63"/>
      <x:c r="F309" s="63"/>
      <x:c r="G309" s="63"/>
      <x:c r="H309" s="63"/>
      <x:c r="I309" s="63"/>
    </x:row>
    <x:row r="310" ht="30" customHeight="1">
      <x:c r="C310" s="64"/>
      <x:c r="D310" s="63"/>
      <x:c r="E310" s="63"/>
      <x:c r="F310" s="63"/>
      <x:c r="G310" s="63"/>
      <x:c r="H310" s="63"/>
      <x:c r="I310" s="63"/>
    </x:row>
    <x:row r="311" ht="30" customHeight="1">
      <x:c r="C311" s="64"/>
      <x:c r="D311" s="63"/>
      <x:c r="E311" s="63"/>
      <x:c r="F311" s="63"/>
      <x:c r="G311" s="63"/>
      <x:c r="H311" s="63"/>
      <x:c r="I311" s="63"/>
    </x:row>
    <x:row r="312" ht="30" customHeight="1">
      <x:c r="C312" s="64"/>
      <x:c r="D312" s="63"/>
      <x:c r="E312" s="63"/>
      <x:c r="F312" s="63"/>
      <x:c r="G312" s="63"/>
      <x:c r="H312" s="63"/>
      <x:c r="I312" s="63"/>
    </x:row>
    <x:row r="313" ht="30" customHeight="1">
      <x:c r="C313" s="64"/>
      <x:c r="D313" s="63"/>
      <x:c r="E313" s="63"/>
      <x:c r="F313" s="63"/>
      <x:c r="G313" s="63"/>
      <x:c r="H313" s="63"/>
      <x:c r="I313" s="63"/>
    </x:row>
    <x:row r="314" ht="30" customHeight="1">
      <x:c r="C314" s="64"/>
      <x:c r="D314" s="63"/>
      <x:c r="E314" s="63"/>
      <x:c r="F314" s="63"/>
      <x:c r="G314" s="63"/>
      <x:c r="H314" s="63"/>
      <x:c r="I314" s="63"/>
    </x:row>
    <x:row r="315" ht="30" customHeight="1">
      <x:c r="C315" s="64"/>
      <x:c r="D315" s="63"/>
      <x:c r="E315" s="63"/>
      <x:c r="F315" s="63"/>
      <x:c r="G315" s="63"/>
      <x:c r="H315" s="63"/>
      <x:c r="I315" s="63"/>
    </x:row>
    <x:row r="316" ht="30" customHeight="1">
      <x:c r="C316" s="64"/>
      <x:c r="D316" s="63"/>
      <x:c r="E316" s="63"/>
      <x:c r="F316" s="63"/>
      <x:c r="G316" s="63"/>
      <x:c r="H316" s="63"/>
      <x:c r="I316" s="63"/>
    </x:row>
    <x:row r="317" ht="30" customHeight="1">
      <x:c r="C317" s="64"/>
      <x:c r="D317" s="63"/>
      <x:c r="E317" s="63"/>
      <x:c r="F317" s="63"/>
      <x:c r="G317" s="63"/>
      <x:c r="H317" s="63"/>
      <x:c r="I317" s="63"/>
    </x:row>
    <x:row r="318" ht="30" customHeight="1">
      <x:c r="C318" s="64"/>
      <x:c r="D318" s="63"/>
      <x:c r="E318" s="63"/>
      <x:c r="F318" s="63"/>
      <x:c r="G318" s="63"/>
      <x:c r="H318" s="63"/>
      <x:c r="I318" s="63"/>
    </x:row>
    <x:row r="319" ht="30" customHeight="1">
      <x:c r="C319" s="64"/>
      <x:c r="D319" s="63"/>
      <x:c r="E319" s="63"/>
      <x:c r="F319" s="63"/>
      <x:c r="G319" s="63"/>
      <x:c r="H319" s="63"/>
      <x:c r="I319" s="63"/>
    </x:row>
    <x:row r="320" ht="30" customHeight="1">
      <x:c r="C320" s="64"/>
      <x:c r="D320" s="63"/>
      <x:c r="E320" s="63"/>
      <x:c r="F320" s="63"/>
      <x:c r="G320" s="63"/>
      <x:c r="H320" s="63"/>
      <x:c r="I320" s="63"/>
    </x:row>
    <x:row r="321" ht="30" customHeight="1">
      <x:c r="C321" s="64"/>
      <x:c r="D321" s="63"/>
      <x:c r="E321" s="63"/>
      <x:c r="F321" s="63"/>
      <x:c r="G321" s="63"/>
      <x:c r="H321" s="63"/>
      <x:c r="I321" s="63"/>
    </x:row>
    <x:row r="322" ht="30" customHeight="1">
      <x:c r="C322" s="64"/>
      <x:c r="D322" s="63"/>
      <x:c r="E322" s="63"/>
      <x:c r="F322" s="63"/>
      <x:c r="G322" s="63"/>
      <x:c r="H322" s="63"/>
      <x:c r="I322" s="63"/>
    </x:row>
    <x:row r="323" ht="30" customHeight="1">
      <x:c r="C323" s="64"/>
      <x:c r="D323" s="63"/>
      <x:c r="E323" s="63"/>
      <x:c r="F323" s="63"/>
      <x:c r="G323" s="63"/>
      <x:c r="H323" s="63"/>
      <x:c r="I323" s="63"/>
    </x:row>
    <x:row r="324" ht="30" customHeight="1">
      <x:c r="C324" s="64"/>
      <x:c r="D324" s="63"/>
      <x:c r="E324" s="63"/>
      <x:c r="F324" s="63"/>
      <x:c r="G324" s="63"/>
      <x:c r="H324" s="63"/>
      <x:c r="I324" s="63"/>
    </x:row>
    <x:row r="325" ht="30" customHeight="1">
      <x:c r="C325" s="64"/>
      <x:c r="D325" s="63"/>
      <x:c r="E325" s="63"/>
      <x:c r="F325" s="63"/>
      <x:c r="G325" s="63"/>
      <x:c r="H325" s="63"/>
      <x:c r="I325" s="63"/>
    </x:row>
    <x:row r="326" ht="30" customHeight="1">
      <x:c r="C326" s="64"/>
      <x:c r="D326" s="63"/>
      <x:c r="E326" s="63"/>
      <x:c r="F326" s="63"/>
      <x:c r="G326" s="63"/>
      <x:c r="H326" s="63"/>
      <x:c r="I326" s="63"/>
    </x:row>
    <x:row r="327" ht="30" customHeight="1">
      <x:c r="C327" s="64"/>
      <x:c r="D327" s="63"/>
      <x:c r="E327" s="63"/>
      <x:c r="F327" s="63"/>
      <x:c r="G327" s="63"/>
      <x:c r="H327" s="63"/>
      <x:c r="I327" s="63"/>
    </x:row>
    <x:row r="328" ht="30" customHeight="1">
      <x:c r="C328" s="64"/>
      <x:c r="D328" s="63"/>
      <x:c r="E328" s="63"/>
      <x:c r="F328" s="63"/>
      <x:c r="G328" s="63"/>
      <x:c r="H328" s="63"/>
      <x:c r="I328" s="63"/>
    </x:row>
    <x:row r="329" ht="30" customHeight="1">
      <x:c r="C329" s="64"/>
      <x:c r="D329" s="63"/>
      <x:c r="E329" s="63"/>
      <x:c r="F329" s="63"/>
      <x:c r="G329" s="63"/>
      <x:c r="H329" s="63"/>
      <x:c r="I329" s="63"/>
    </x:row>
    <x:row r="330" ht="30" customHeight="1">
      <x:c r="C330" s="64"/>
      <x:c r="D330" s="63"/>
      <x:c r="E330" s="63"/>
      <x:c r="F330" s="63"/>
      <x:c r="G330" s="63"/>
      <x:c r="H330" s="63"/>
      <x:c r="I330" s="63"/>
    </x:row>
    <x:row r="331" ht="30" customHeight="1">
      <x:c r="C331" s="64"/>
      <x:c r="D331" s="63"/>
      <x:c r="E331" s="63"/>
      <x:c r="F331" s="63"/>
      <x:c r="G331" s="63"/>
      <x:c r="H331" s="63"/>
      <x:c r="I331" s="63"/>
    </x:row>
    <x:row r="332" ht="30" customHeight="1">
      <x:c r="C332" s="64"/>
      <x:c r="D332" s="63"/>
      <x:c r="E332" s="63"/>
      <x:c r="F332" s="63"/>
      <x:c r="G332" s="63"/>
      <x:c r="H332" s="63"/>
      <x:c r="I332" s="63"/>
    </x:row>
    <x:row r="333" ht="30" customHeight="1">
      <x:c r="C333" s="64"/>
      <x:c r="D333" s="63"/>
      <x:c r="E333" s="63"/>
      <x:c r="F333" s="63"/>
      <x:c r="G333" s="63"/>
      <x:c r="H333" s="63"/>
      <x:c r="I333" s="63"/>
    </x:row>
    <x:row r="334" ht="30" customHeight="1">
      <x:c r="C334" s="64"/>
      <x:c r="D334" s="63"/>
      <x:c r="E334" s="63"/>
      <x:c r="F334" s="63"/>
      <x:c r="G334" s="63"/>
      <x:c r="H334" s="63"/>
      <x:c r="I334" s="63"/>
    </x:row>
    <x:row r="335" ht="30" customHeight="1">
      <x:c r="C335" s="64"/>
      <x:c r="D335" s="63"/>
      <x:c r="E335" s="63"/>
      <x:c r="F335" s="63"/>
      <x:c r="G335" s="63"/>
      <x:c r="H335" s="63"/>
      <x:c r="I335" s="63"/>
    </x:row>
    <x:row r="336" ht="30" customHeight="1">
      <x:c r="C336" s="64"/>
      <x:c r="D336" s="63"/>
      <x:c r="E336" s="63"/>
      <x:c r="F336" s="63"/>
      <x:c r="G336" s="63"/>
      <x:c r="H336" s="63"/>
      <x:c r="I336" s="63"/>
    </x:row>
    <x:row r="337" ht="30" customHeight="1">
      <x:c r="C337" s="64"/>
      <x:c r="D337" s="63"/>
      <x:c r="E337" s="63"/>
      <x:c r="F337" s="63"/>
      <x:c r="G337" s="63"/>
      <x:c r="H337" s="63"/>
      <x:c r="I337" s="63"/>
    </x:row>
    <x:row r="338" ht="30" customHeight="1">
      <x:c r="C338" s="64"/>
      <x:c r="D338" s="63"/>
      <x:c r="E338" s="63"/>
      <x:c r="F338" s="63"/>
      <x:c r="G338" s="63"/>
      <x:c r="H338" s="63"/>
      <x:c r="I338" s="63"/>
    </x:row>
    <x:row r="339" ht="30" customHeight="1">
      <x:c r="C339" s="64"/>
      <x:c r="D339" s="63"/>
      <x:c r="E339" s="63"/>
      <x:c r="F339" s="63"/>
      <x:c r="G339" s="63"/>
      <x:c r="H339" s="63"/>
      <x:c r="I339" s="63"/>
    </x:row>
    <x:row r="340" ht="30" customHeight="1">
      <x:c r="C340" s="64"/>
      <x:c r="D340" s="63"/>
      <x:c r="E340" s="63"/>
      <x:c r="F340" s="63"/>
      <x:c r="G340" s="63"/>
      <x:c r="H340" s="63"/>
      <x:c r="I340" s="63"/>
    </x:row>
    <x:row r="341" ht="30" customHeight="1">
      <x:c r="C341" s="64"/>
      <x:c r="D341" s="63"/>
      <x:c r="E341" s="63"/>
      <x:c r="F341" s="63"/>
      <x:c r="G341" s="63"/>
      <x:c r="H341" s="63"/>
      <x:c r="I341" s="63"/>
    </x:row>
    <x:row r="342" ht="30" customHeight="1">
      <x:c r="C342" s="64"/>
      <x:c r="D342" s="63"/>
      <x:c r="E342" s="63"/>
      <x:c r="F342" s="63"/>
      <x:c r="G342" s="63"/>
      <x:c r="H342" s="63"/>
      <x:c r="I342" s="63"/>
    </x:row>
    <x:row r="343" ht="30" customHeight="1">
      <x:c r="C343" s="64"/>
      <x:c r="D343" s="63"/>
      <x:c r="E343" s="63"/>
      <x:c r="F343" s="63"/>
      <x:c r="G343" s="63"/>
      <x:c r="H343" s="63"/>
      <x:c r="I343" s="63"/>
    </x:row>
    <x:row r="344" ht="30" customHeight="1">
      <x:c r="C344" s="64"/>
      <x:c r="D344" s="63"/>
      <x:c r="E344" s="63"/>
      <x:c r="F344" s="63"/>
      <x:c r="G344" s="63"/>
      <x:c r="H344" s="63"/>
      <x:c r="I344" s="63"/>
    </x:row>
    <x:row r="345" ht="30" customHeight="1">
      <x:c r="C345" s="64"/>
      <x:c r="D345" s="63"/>
      <x:c r="E345" s="63"/>
      <x:c r="F345" s="63"/>
      <x:c r="G345" s="63"/>
      <x:c r="H345" s="63"/>
      <x:c r="I345" s="63"/>
    </x:row>
    <x:row r="346" ht="30" customHeight="1">
      <x:c r="C346" s="64"/>
      <x:c r="D346" s="63"/>
      <x:c r="E346" s="63"/>
      <x:c r="F346" s="63"/>
      <x:c r="G346" s="63"/>
      <x:c r="H346" s="63"/>
      <x:c r="I346" s="63"/>
    </x:row>
    <x:row r="347" ht="30" customHeight="1">
      <x:c r="C347" s="64"/>
      <x:c r="D347" s="63"/>
      <x:c r="E347" s="63"/>
      <x:c r="F347" s="63"/>
      <x:c r="G347" s="63"/>
      <x:c r="H347" s="63"/>
      <x:c r="I347" s="63"/>
    </x:row>
    <x:row r="348" ht="30" customHeight="1">
      <x:c r="C348" s="64"/>
      <x:c r="D348" s="63"/>
      <x:c r="E348" s="63"/>
      <x:c r="F348" s="63"/>
      <x:c r="G348" s="63"/>
      <x:c r="H348" s="63"/>
      <x:c r="I348" s="63"/>
    </x:row>
    <x:row r="349" ht="30" customHeight="1">
      <x:c r="C349" s="64"/>
      <x:c r="D349" s="63"/>
      <x:c r="E349" s="63"/>
      <x:c r="F349" s="63"/>
      <x:c r="G349" s="63"/>
      <x:c r="H349" s="63"/>
      <x:c r="I349" s="63"/>
    </x:row>
    <x:row r="350" ht="30" customHeight="1">
      <x:c r="C350" s="64"/>
      <x:c r="D350" s="63"/>
      <x:c r="E350" s="63"/>
      <x:c r="F350" s="63"/>
      <x:c r="G350" s="63"/>
      <x:c r="H350" s="63"/>
      <x:c r="I350" s="63"/>
    </x:row>
    <x:row r="351" ht="30" customHeight="1">
      <x:c r="C351" s="64"/>
      <x:c r="D351" s="63"/>
      <x:c r="E351" s="63"/>
      <x:c r="F351" s="63"/>
      <x:c r="G351" s="63"/>
      <x:c r="H351" s="63"/>
      <x:c r="I351" s="63"/>
    </x:row>
    <x:row r="352" ht="30" customHeight="1">
      <x:c r="C352" s="64"/>
      <x:c r="D352" s="63"/>
      <x:c r="E352" s="63"/>
      <x:c r="F352" s="63"/>
      <x:c r="G352" s="63"/>
      <x:c r="H352" s="63"/>
      <x:c r="I352" s="63"/>
    </x:row>
    <x:row r="353" ht="30" customHeight="1">
      <x:c r="C353" s="64"/>
      <x:c r="D353" s="63"/>
      <x:c r="E353" s="63"/>
      <x:c r="F353" s="63"/>
      <x:c r="G353" s="63"/>
      <x:c r="H353" s="63"/>
      <x:c r="I353" s="63"/>
    </x:row>
    <x:row r="354" ht="30" customHeight="1">
      <x:c r="C354" s="64"/>
      <x:c r="D354" s="63"/>
      <x:c r="E354" s="63"/>
      <x:c r="F354" s="63"/>
      <x:c r="G354" s="63"/>
      <x:c r="H354" s="63"/>
      <x:c r="I354" s="63"/>
    </x:row>
    <x:row r="355" ht="30" customHeight="1">
      <x:c r="C355" s="64"/>
      <x:c r="D355" s="63"/>
      <x:c r="E355" s="63"/>
      <x:c r="F355" s="63"/>
      <x:c r="G355" s="63"/>
      <x:c r="H355" s="63"/>
      <x:c r="I355" s="63"/>
    </x:row>
    <x:row r="356" ht="30" customHeight="1">
      <x:c r="C356" s="64"/>
      <x:c r="D356" s="63"/>
      <x:c r="E356" s="63"/>
      <x:c r="F356" s="63"/>
      <x:c r="G356" s="63"/>
      <x:c r="H356" s="63"/>
      <x:c r="I356" s="63"/>
    </x:row>
    <x:row r="357" ht="30" customHeight="1">
      <x:c r="C357" s="64"/>
      <x:c r="D357" s="63"/>
      <x:c r="E357" s="63"/>
      <x:c r="F357" s="63"/>
      <x:c r="G357" s="63"/>
      <x:c r="H357" s="63"/>
      <x:c r="I357" s="63"/>
    </x:row>
    <x:row r="358" ht="30" customHeight="1">
      <x:c r="C358" s="64"/>
      <x:c r="D358" s="63"/>
      <x:c r="E358" s="63"/>
      <x:c r="F358" s="63"/>
      <x:c r="G358" s="63"/>
      <x:c r="H358" s="63"/>
      <x:c r="I358" s="63"/>
    </x:row>
    <x:row r="359" ht="30" customHeight="1">
      <x:c r="C359" s="64"/>
      <x:c r="D359" s="63"/>
      <x:c r="E359" s="63"/>
      <x:c r="F359" s="63"/>
      <x:c r="G359" s="63"/>
      <x:c r="H359" s="63"/>
      <x:c r="I359" s="63"/>
    </x:row>
    <x:row r="360" ht="30" customHeight="1">
      <x:c r="C360" s="64"/>
      <x:c r="D360" s="63"/>
      <x:c r="E360" s="63"/>
      <x:c r="F360" s="63"/>
      <x:c r="G360" s="63"/>
      <x:c r="H360" s="63"/>
      <x:c r="I360" s="63"/>
    </x:row>
    <x:row r="361" ht="30" customHeight="1">
      <x:c r="C361" s="64"/>
      <x:c r="D361" s="63"/>
      <x:c r="E361" s="63"/>
      <x:c r="F361" s="63"/>
      <x:c r="G361" s="63"/>
      <x:c r="H361" s="63"/>
      <x:c r="I361" s="63"/>
    </x:row>
    <x:row r="362" ht="30" customHeight="1">
      <x:c r="C362" s="64"/>
      <x:c r="D362" s="63"/>
      <x:c r="E362" s="63"/>
      <x:c r="F362" s="63"/>
      <x:c r="G362" s="63"/>
      <x:c r="H362" s="63"/>
      <x:c r="I362" s="63"/>
    </x:row>
    <x:row r="363" ht="30" customHeight="1">
      <x:c r="C363" s="64"/>
      <x:c r="D363" s="63"/>
      <x:c r="E363" s="63"/>
      <x:c r="F363" s="63"/>
      <x:c r="G363" s="63"/>
      <x:c r="H363" s="63"/>
      <x:c r="I363" s="63"/>
    </x:row>
    <x:row r="364" ht="30" customHeight="1">
      <x:c r="C364" s="64"/>
      <x:c r="D364" s="63"/>
      <x:c r="E364" s="63"/>
      <x:c r="F364" s="63"/>
      <x:c r="G364" s="63"/>
      <x:c r="H364" s="63"/>
      <x:c r="I364" s="63"/>
    </x:row>
    <x:row r="365" ht="30" customHeight="1">
      <x:c r="C365" s="64"/>
      <x:c r="D365" s="63"/>
      <x:c r="E365" s="63"/>
      <x:c r="F365" s="63"/>
      <x:c r="G365" s="63"/>
      <x:c r="H365" s="63"/>
      <x:c r="I365" s="63"/>
    </x:row>
    <x:row r="366" ht="30" customHeight="1">
      <x:c r="C366" s="64"/>
      <x:c r="D366" s="63"/>
      <x:c r="E366" s="63"/>
      <x:c r="F366" s="63"/>
      <x:c r="G366" s="63"/>
      <x:c r="H366" s="63"/>
      <x:c r="I366" s="63"/>
    </x:row>
    <x:row r="367" ht="30" customHeight="1">
      <x:c r="C367" s="64"/>
      <x:c r="D367" s="63"/>
      <x:c r="E367" s="63"/>
      <x:c r="F367" s="63"/>
      <x:c r="G367" s="63"/>
      <x:c r="H367" s="63"/>
      <x:c r="I367" s="63"/>
    </x:row>
    <x:row r="368" ht="30" customHeight="1">
      <x:c r="C368" s="64"/>
      <x:c r="D368" s="63"/>
      <x:c r="E368" s="63"/>
      <x:c r="F368" s="63"/>
      <x:c r="G368" s="63"/>
      <x:c r="H368" s="63"/>
      <x:c r="I368" s="63"/>
    </x:row>
    <x:row r="369" ht="30" customHeight="1">
      <x:c r="C369" s="64"/>
      <x:c r="D369" s="63"/>
      <x:c r="E369" s="63"/>
      <x:c r="F369" s="63"/>
      <x:c r="G369" s="63"/>
      <x:c r="H369" s="63"/>
      <x:c r="I369" s="63"/>
    </x:row>
    <x:row r="370" ht="30" customHeight="1">
      <x:c r="C370" s="64"/>
      <x:c r="D370" s="63"/>
      <x:c r="E370" s="63"/>
      <x:c r="F370" s="63"/>
      <x:c r="G370" s="63"/>
      <x:c r="H370" s="63"/>
      <x:c r="I370" s="63"/>
    </x:row>
    <x:row r="371" ht="30" customHeight="1">
      <x:c r="C371" s="64"/>
      <x:c r="D371" s="63"/>
      <x:c r="E371" s="63"/>
      <x:c r="F371" s="63"/>
      <x:c r="G371" s="63"/>
      <x:c r="H371" s="63"/>
      <x:c r="I371" s="63"/>
    </x:row>
    <x:row r="372" ht="30" customHeight="1">
      <x:c r="C372" s="64"/>
      <x:c r="D372" s="63"/>
      <x:c r="E372" s="63"/>
      <x:c r="F372" s="63"/>
      <x:c r="G372" s="63"/>
      <x:c r="H372" s="63"/>
      <x:c r="I372" s="63"/>
    </x:row>
    <x:row r="373" ht="30" customHeight="1">
      <x:c r="C373" s="64"/>
      <x:c r="D373" s="63"/>
      <x:c r="E373" s="63"/>
      <x:c r="F373" s="63"/>
      <x:c r="G373" s="63"/>
      <x:c r="H373" s="63"/>
      <x:c r="I373" s="63"/>
    </x:row>
    <x:row r="374" ht="30" customHeight="1">
      <x:c r="C374" s="64"/>
      <x:c r="D374" s="63"/>
      <x:c r="E374" s="63"/>
      <x:c r="F374" s="63"/>
      <x:c r="G374" s="63"/>
      <x:c r="H374" s="63"/>
      <x:c r="I374" s="63"/>
    </x:row>
    <x:row r="375" ht="30" customHeight="1">
      <x:c r="C375" s="64"/>
      <x:c r="D375" s="63"/>
      <x:c r="E375" s="63"/>
      <x:c r="F375" s="63"/>
      <x:c r="G375" s="63"/>
      <x:c r="H375" s="63"/>
      <x:c r="I375" s="63"/>
    </x:row>
    <x:row r="376" ht="30" customHeight="1">
      <x:c r="C376" s="64"/>
      <x:c r="D376" s="63"/>
      <x:c r="E376" s="63"/>
      <x:c r="F376" s="63"/>
      <x:c r="G376" s="63"/>
      <x:c r="H376" s="63"/>
      <x:c r="I376" s="63"/>
    </x:row>
    <x:row r="377" ht="30" customHeight="1">
      <x:c r="C377" s="64"/>
      <x:c r="D377" s="63"/>
      <x:c r="E377" s="63"/>
      <x:c r="F377" s="63"/>
      <x:c r="G377" s="63"/>
      <x:c r="H377" s="63"/>
      <x:c r="I377" s="63"/>
    </x:row>
    <x:row r="378" ht="30" customHeight="1">
      <x:c r="C378" s="64"/>
      <x:c r="D378" s="63"/>
      <x:c r="E378" s="63"/>
      <x:c r="F378" s="63"/>
      <x:c r="G378" s="63"/>
      <x:c r="H378" s="63"/>
      <x:c r="I378" s="63"/>
    </x:row>
    <x:row r="379" ht="30" customHeight="1">
      <x:c r="C379" s="64"/>
      <x:c r="D379" s="63"/>
      <x:c r="E379" s="63"/>
      <x:c r="F379" s="63"/>
      <x:c r="G379" s="63"/>
      <x:c r="H379" s="63"/>
      <x:c r="I379" s="63"/>
    </x:row>
    <x:row r="380" ht="30" customHeight="1">
      <x:c r="C380" s="64"/>
      <x:c r="D380" s="63"/>
      <x:c r="E380" s="63"/>
      <x:c r="F380" s="63"/>
      <x:c r="G380" s="63"/>
      <x:c r="H380" s="63"/>
      <x:c r="I380" s="63"/>
    </x:row>
    <x:row r="381" ht="30" customHeight="1">
      <x:c r="C381" s="64"/>
      <x:c r="D381" s="63"/>
      <x:c r="E381" s="63"/>
      <x:c r="F381" s="63"/>
      <x:c r="G381" s="63"/>
      <x:c r="H381" s="63"/>
      <x:c r="I381" s="63"/>
    </x:row>
    <x:row r="382" ht="30" customHeight="1">
      <x:c r="C382" s="64"/>
      <x:c r="D382" s="63"/>
      <x:c r="E382" s="63"/>
      <x:c r="F382" s="63"/>
      <x:c r="G382" s="63"/>
      <x:c r="H382" s="63"/>
      <x:c r="I382" s="63"/>
    </x:row>
    <x:row r="383" ht="30" customHeight="1">
      <x:c r="C383" s="64"/>
      <x:c r="D383" s="63"/>
      <x:c r="E383" s="63"/>
      <x:c r="F383" s="63"/>
      <x:c r="G383" s="63"/>
      <x:c r="H383" s="63"/>
      <x:c r="I383" s="63"/>
    </x:row>
    <x:row r="384" ht="30" customHeight="1">
      <x:c r="C384" s="64"/>
      <x:c r="D384" s="63"/>
      <x:c r="E384" s="63"/>
      <x:c r="F384" s="63"/>
      <x:c r="G384" s="63"/>
      <x:c r="H384" s="63"/>
      <x:c r="I384" s="63"/>
    </x:row>
    <x:row r="385" ht="30" customHeight="1">
      <x:c r="C385" s="64"/>
      <x:c r="D385" s="63"/>
      <x:c r="E385" s="63"/>
      <x:c r="F385" s="63"/>
      <x:c r="G385" s="63"/>
      <x:c r="H385" s="63"/>
      <x:c r="I385" s="63"/>
    </x:row>
    <x:row r="386" ht="30" customHeight="1">
      <x:c r="C386" s="64"/>
      <x:c r="D386" s="63"/>
      <x:c r="E386" s="63"/>
      <x:c r="F386" s="63"/>
      <x:c r="G386" s="63"/>
      <x:c r="H386" s="63"/>
      <x:c r="I386" s="63"/>
    </x:row>
    <x:row r="387" ht="30" customHeight="1">
      <x:c r="C387" s="64"/>
      <x:c r="D387" s="63"/>
      <x:c r="E387" s="63"/>
      <x:c r="F387" s="63"/>
      <x:c r="G387" s="63"/>
      <x:c r="H387" s="63"/>
      <x:c r="I387" s="63"/>
    </x:row>
    <x:row r="388" ht="30" customHeight="1">
      <x:c r="C388" s="64"/>
      <x:c r="D388" s="63"/>
      <x:c r="E388" s="63"/>
      <x:c r="F388" s="63"/>
      <x:c r="G388" s="63"/>
      <x:c r="H388" s="63"/>
      <x:c r="I388" s="63"/>
    </x:row>
    <x:row r="389" ht="30" customHeight="1">
      <x:c r="C389" s="64"/>
      <x:c r="D389" s="63"/>
      <x:c r="E389" s="63"/>
      <x:c r="F389" s="63"/>
      <x:c r="G389" s="63"/>
      <x:c r="H389" s="63"/>
      <x:c r="I389" s="63"/>
    </x:row>
    <x:row r="390" ht="30" customHeight="1">
      <x:c r="C390" s="64"/>
      <x:c r="D390" s="63"/>
      <x:c r="E390" s="63"/>
      <x:c r="F390" s="63"/>
      <x:c r="G390" s="63"/>
      <x:c r="H390" s="63"/>
      <x:c r="I390" s="63"/>
    </x:row>
    <x:row r="391" ht="30" customHeight="1">
      <x:c r="C391" s="64"/>
      <x:c r="D391" s="63"/>
      <x:c r="E391" s="63"/>
      <x:c r="F391" s="63"/>
      <x:c r="G391" s="63"/>
      <x:c r="H391" s="63"/>
      <x:c r="I391" s="63"/>
    </x:row>
    <x:row r="392" ht="30" customHeight="1">
      <x:c r="C392" s="64"/>
      <x:c r="D392" s="63"/>
      <x:c r="E392" s="63"/>
      <x:c r="F392" s="63"/>
      <x:c r="G392" s="63"/>
      <x:c r="H392" s="63"/>
      <x:c r="I392" s="63"/>
    </x:row>
    <x:row r="393" ht="30" customHeight="1">
      <x:c r="C393" s="64"/>
      <x:c r="D393" s="63"/>
      <x:c r="E393" s="63"/>
      <x:c r="F393" s="63"/>
      <x:c r="G393" s="63"/>
      <x:c r="H393" s="63"/>
      <x:c r="I393" s="63"/>
    </x:row>
    <x:row r="394" ht="30" customHeight="1">
      <x:c r="C394" s="64"/>
      <x:c r="D394" s="63"/>
      <x:c r="E394" s="63"/>
      <x:c r="F394" s="63"/>
      <x:c r="G394" s="63"/>
      <x:c r="H394" s="63"/>
      <x:c r="I394" s="63"/>
    </x:row>
    <x:row r="395" ht="30" customHeight="1">
      <x:c r="C395" s="64"/>
      <x:c r="D395" s="63"/>
      <x:c r="E395" s="63"/>
      <x:c r="F395" s="63"/>
      <x:c r="G395" s="63"/>
      <x:c r="H395" s="63"/>
      <x:c r="I395" s="63"/>
    </x:row>
    <x:row r="396" ht="30" customHeight="1">
      <x:c r="C396" s="64"/>
      <x:c r="D396" s="63"/>
      <x:c r="E396" s="63"/>
      <x:c r="F396" s="63"/>
      <x:c r="G396" s="63"/>
      <x:c r="H396" s="63"/>
      <x:c r="I396" s="63"/>
    </x:row>
    <x:row r="397" ht="30" customHeight="1">
      <x:c r="C397" s="64"/>
      <x:c r="D397" s="63"/>
      <x:c r="E397" s="63"/>
      <x:c r="F397" s="63"/>
      <x:c r="G397" s="63"/>
      <x:c r="H397" s="63"/>
      <x:c r="I397" s="63"/>
    </x:row>
    <x:row r="398" ht="25" customHeight="1">
      <x:c r="C398" s="68" t="str">
        <x:v>SCENARIO ASSUMPTIONS</x:v>
      </x:c>
      <x:c r="D398" s="82"/>
      <x:c r="E398" s="82"/>
      <x:c r="F398" s="82"/>
      <x:c r="G398" s="82"/>
      <x:c r="H398" s="82"/>
      <x:c r="I398" s="82"/>
    </x:row>
    <x:row r="399" ht="30" customHeight="1">
      <x:c r="C399" s="64"/>
      <x:c r="D399" s="63"/>
      <x:c r="E399" s="63"/>
      <x:c r="F399" s="63"/>
      <x:c r="G399" s="63"/>
      <x:c r="H399" s="63"/>
      <x:c r="I399" s="63"/>
    </x:row>
    <x:row r="400" ht="30" customHeight="1">
      <x:c r="C400" s="64" t="str">
        <x:v>Capacity utilization — active</x:v>
      </x:c>
      <x:c r="D400" s="63"/>
      <x:c r="E400" s="83" t="n">
        <x:f>IF(COUNT(CHOOSE('Controls'!$E$5,E401,E402,E403))=1,CHOOSE('Controls'!$E$5,E401,E402,E403),NA())</x:f>
        <x:v>1</x:v>
      </x:c>
      <x:c r="F400" s="83" t="n">
        <x:f>IF(COUNT(CHOOSE('Controls'!$E$5,F401,F402,F403))=1,CHOOSE('Controls'!$E$5,F401,F402,F403),NA())</x:f>
        <x:v>1</x:v>
      </x:c>
      <x:c r="G400" s="83" t="n">
        <x:f>IF(COUNT(CHOOSE('Controls'!$E$5,G401,G402,G403))=1,CHOOSE('Controls'!$E$5,G401,G402,G403),NA())</x:f>
        <x:v>1</x:v>
      </x:c>
      <x:c r="H400" s="83" t="n">
        <x:f>IF(COUNT(CHOOSE('Controls'!$E$5,H401,H402,H403))=1,CHOOSE('Controls'!$E$5,H401,H402,H403),NA())</x:f>
        <x:v>1</x:v>
      </x:c>
      <x:c r="I400" s="83" t="n">
        <x:f>IF(COUNT(CHOOSE('Controls'!$E$5,I401,I402,I403))=1,CHOOSE('Controls'!$E$5,I401,I402,I403),NA())</x:f>
        <x:v>1</x:v>
      </x:c>
    </x:row>
    <x:row r="401" ht="30" customHeight="1">
      <x:c r="C401" s="64" t="str">
        <x:v>Base</x:v>
      </x:c>
      <x:c r="D401" s="63"/>
      <x:c r="E401" s="85" t="n">
        <x:v>1</x:v>
      </x:c>
      <x:c r="F401" s="85" t="n">
        <x:v>1</x:v>
      </x:c>
      <x:c r="G401" s="85" t="n">
        <x:v>1</x:v>
      </x:c>
      <x:c r="H401" s="85" t="n">
        <x:v>1</x:v>
      </x:c>
      <x:c r="I401" s="85" t="n">
        <x:v>1</x:v>
      </x:c>
    </x:row>
    <x:row r="402" ht="30" customHeight="1">
      <x:c r="C402" s="64" t="str">
        <x:v>Downside</x:v>
      </x:c>
      <x:c r="D402" s="63"/>
      <x:c r="E402" s="85" t="n">
        <x:v>1</x:v>
      </x:c>
      <x:c r="F402" s="85" t="n">
        <x:v>1</x:v>
      </x:c>
      <x:c r="G402" s="85" t="n">
        <x:v>1</x:v>
      </x:c>
      <x:c r="H402" s="85" t="n">
        <x:v>1</x:v>
      </x:c>
      <x:c r="I402" s="85" t="n">
        <x:v>1</x:v>
      </x:c>
    </x:row>
    <x:row r="403" ht="30" customHeight="1">
      <x:c r="C403" s="64" t="str">
        <x:v>Upside</x:v>
      </x:c>
      <x:c r="D403" s="63"/>
      <x:c r="E403" s="85" t="n">
        <x:v>1</x:v>
      </x:c>
      <x:c r="F403" s="85" t="n">
        <x:v>1</x:v>
      </x:c>
      <x:c r="G403" s="85" t="n">
        <x:v>1</x:v>
      </x:c>
      <x:c r="H403" s="85" t="n">
        <x:v>1</x:v>
      </x:c>
      <x:c r="I403" s="85" t="n">
        <x:v>1</x:v>
      </x:c>
    </x:row>
    <x:row r="404" ht="30" customHeight="1">
      <x:c r="C404" s="64"/>
      <x:c r="D404" s="63"/>
      <x:c r="E404" s="63"/>
      <x:c r="F404" s="63"/>
      <x:c r="G404" s="63"/>
      <x:c r="H404" s="63"/>
      <x:c r="I404" s="63"/>
    </x:row>
    <x:row r="405" ht="30" customHeight="1">
      <x:c r="C405" s="64" t="str">
        <x:v>Network variable and interconnect / revenue — active</x:v>
      </x:c>
      <x:c r="D405" s="63"/>
      <x:c r="E405" s="83" t="n">
        <x:f>IF(COUNT(CHOOSE('Controls'!$E$5,E406,E407,E408))=1,CHOOSE('Controls'!$E$5,E406,E407,E408),NA())</x:f>
        <x:v>0.32</x:v>
      </x:c>
      <x:c r="F405" s="83" t="n">
        <x:f>IF(COUNT(CHOOSE('Controls'!$E$5,F406,F407,F408))=1,CHOOSE('Controls'!$E$5,F406,F407,F408),NA())</x:f>
        <x:v>0.32</x:v>
      </x:c>
      <x:c r="G405" s="83" t="n">
        <x:f>IF(COUNT(CHOOSE('Controls'!$E$5,G406,G407,G408))=1,CHOOSE('Controls'!$E$5,G406,G407,G408),NA())</x:f>
        <x:v>0.32</x:v>
      </x:c>
      <x:c r="H405" s="83" t="n">
        <x:f>IF(COUNT(CHOOSE('Controls'!$E$5,H406,H407,H408))=1,CHOOSE('Controls'!$E$5,H406,H407,H408),NA())</x:f>
        <x:v>0.32</x:v>
      </x:c>
      <x:c r="I405" s="83" t="n">
        <x:f>IF(COUNT(CHOOSE('Controls'!$E$5,I406,I407,I408))=1,CHOOSE('Controls'!$E$5,I406,I407,I408),NA())</x:f>
        <x:v>0.32</x:v>
      </x:c>
    </x:row>
    <x:row r="406" ht="30" customHeight="1">
      <x:c r="C406" s="64" t="str">
        <x:v>Base</x:v>
      </x:c>
      <x:c r="D406" s="63"/>
      <x:c r="E406" s="85" t="n">
        <x:v>0.32</x:v>
      </x:c>
      <x:c r="F406" s="85" t="n">
        <x:v>0.32</x:v>
      </x:c>
      <x:c r="G406" s="85" t="n">
        <x:v>0.32</x:v>
      </x:c>
      <x:c r="H406" s="85" t="n">
        <x:v>0.32</x:v>
      </x:c>
      <x:c r="I406" s="85" t="n">
        <x:v>0.32</x:v>
      </x:c>
    </x:row>
    <x:row r="407" ht="30" customHeight="1">
      <x:c r="C407" s="64" t="str">
        <x:v>Downside</x:v>
      </x:c>
      <x:c r="D407" s="63"/>
      <x:c r="E407" s="85" t="n">
        <x:v>0.32</x:v>
      </x:c>
      <x:c r="F407" s="85" t="n">
        <x:v>0.32</x:v>
      </x:c>
      <x:c r="G407" s="85" t="n">
        <x:v>0.32</x:v>
      </x:c>
      <x:c r="H407" s="85" t="n">
        <x:v>0.32</x:v>
      </x:c>
      <x:c r="I407" s="85" t="n">
        <x:v>0.32</x:v>
      </x:c>
    </x:row>
    <x:row r="408" ht="30" customHeight="1">
      <x:c r="C408" s="64" t="str">
        <x:v>Upside</x:v>
      </x:c>
      <x:c r="D408" s="63"/>
      <x:c r="E408" s="85" t="n">
        <x:v>0.32</x:v>
      </x:c>
      <x:c r="F408" s="85" t="n">
        <x:v>0.32</x:v>
      </x:c>
      <x:c r="G408" s="85" t="n">
        <x:v>0.32</x:v>
      </x:c>
      <x:c r="H408" s="85" t="n">
        <x:v>0.32</x:v>
      </x:c>
      <x:c r="I408" s="85" t="n">
        <x:v>0.32</x:v>
      </x:c>
    </x:row>
    <x:row r="409" ht="30" customHeight="1">
      <x:c r="C409" s="64"/>
      <x:c r="D409" s="63"/>
      <x:c r="E409" s="63"/>
      <x:c r="F409" s="63"/>
      <x:c r="G409" s="63"/>
      <x:c r="H409" s="63"/>
      <x:c r="I409" s="63"/>
    </x:row>
    <x:row r="410" ht="30" customHeight="1">
      <x:c r="C410" s="64" t="str">
        <x:v>Other cash operating costs / revenue — active</x:v>
      </x:c>
      <x:c r="D410" s="63"/>
      <x:c r="E410" s="83" t="n">
        <x:f>IF(COUNT(CHOOSE('Controls'!$E$5,E411,E412,E413))=1,CHOOSE('Controls'!$E$5,E411,E412,E413),NA())</x:f>
        <x:v>0.2</x:v>
      </x:c>
      <x:c r="F410" s="83" t="n">
        <x:f>IF(COUNT(CHOOSE('Controls'!$E$5,F411,F412,F413))=1,CHOOSE('Controls'!$E$5,F411,F412,F413),NA())</x:f>
        <x:v>0.2</x:v>
      </x:c>
      <x:c r="G410" s="83" t="n">
        <x:f>IF(COUNT(CHOOSE('Controls'!$E$5,G411,G412,G413))=1,CHOOSE('Controls'!$E$5,G411,G412,G413),NA())</x:f>
        <x:v>0.2</x:v>
      </x:c>
      <x:c r="H410" s="83" t="n">
        <x:f>IF(COUNT(CHOOSE('Controls'!$E$5,H411,H412,H413))=1,CHOOSE('Controls'!$E$5,H411,H412,H413),NA())</x:f>
        <x:v>0.2</x:v>
      </x:c>
      <x:c r="I410" s="83" t="n">
        <x:f>IF(COUNT(CHOOSE('Controls'!$E$5,I411,I412,I413))=1,CHOOSE('Controls'!$E$5,I411,I412,I413),NA())</x:f>
        <x:v>0.2</x:v>
      </x:c>
    </x:row>
    <x:row r="411" ht="30" customHeight="1">
      <x:c r="C411" s="64" t="str">
        <x:v>Base</x:v>
      </x:c>
      <x:c r="D411" s="63"/>
      <x:c r="E411" s="85" t="n">
        <x:v>0.2</x:v>
      </x:c>
      <x:c r="F411" s="85" t="n">
        <x:v>0.2</x:v>
      </x:c>
      <x:c r="G411" s="85" t="n">
        <x:v>0.2</x:v>
      </x:c>
      <x:c r="H411" s="85" t="n">
        <x:v>0.2</x:v>
      </x:c>
      <x:c r="I411" s="85" t="n">
        <x:v>0.2</x:v>
      </x:c>
    </x:row>
    <x:row r="412" ht="30" customHeight="1">
      <x:c r="C412" s="64" t="str">
        <x:v>Downside</x:v>
      </x:c>
      <x:c r="D412" s="63"/>
      <x:c r="E412" s="85" t="n">
        <x:v>0.2</x:v>
      </x:c>
      <x:c r="F412" s="85" t="n">
        <x:v>0.2</x:v>
      </x:c>
      <x:c r="G412" s="85" t="n">
        <x:v>0.2</x:v>
      </x:c>
      <x:c r="H412" s="85" t="n">
        <x:v>0.2</x:v>
      </x:c>
      <x:c r="I412" s="85" t="n">
        <x:v>0.2</x:v>
      </x:c>
    </x:row>
    <x:row r="413" ht="30" customHeight="1">
      <x:c r="C413" s="64" t="str">
        <x:v>Upside</x:v>
      </x:c>
      <x:c r="D413" s="63"/>
      <x:c r="E413" s="85" t="n">
        <x:v>0.2</x:v>
      </x:c>
      <x:c r="F413" s="85" t="n">
        <x:v>0.2</x:v>
      </x:c>
      <x:c r="G413" s="85" t="n">
        <x:v>0.2</x:v>
      </x:c>
      <x:c r="H413" s="85" t="n">
        <x:v>0.2</x:v>
      </x:c>
      <x:c r="I413" s="85" t="n">
        <x:v>0.2</x:v>
      </x:c>
    </x:row>
    <x:row r="414" ht="30" customHeight="1">
      <x:c r="C414" s="64"/>
      <x:c r="D414" s="63"/>
      <x:c r="E414" s="63"/>
      <x:c r="F414" s="63"/>
      <x:c r="G414" s="63"/>
      <x:c r="H414" s="63"/>
      <x:c r="I414" s="63"/>
    </x:row>
    <x:row r="415" ht="30" customHeight="1">
      <x:c r="C415" s="64" t="str">
        <x:v>Cash capex / revenue — active</x:v>
      </x:c>
      <x:c r="D415" s="63"/>
      <x:c r="E415" s="83" t="n">
        <x:f>IF(COUNT(CHOOSE('Controls'!$E$5,E416,E417,E418))=1,CHOOSE('Controls'!$E$5,E416,E417,E418),NA())</x:f>
        <x:v>0.2</x:v>
      </x:c>
      <x:c r="F415" s="83" t="n">
        <x:f>IF(COUNT(CHOOSE('Controls'!$E$5,F416,F417,F418))=1,CHOOSE('Controls'!$E$5,F416,F417,F418),NA())</x:f>
        <x:v>0.2</x:v>
      </x:c>
      <x:c r="G415" s="83" t="n">
        <x:f>IF(COUNT(CHOOSE('Controls'!$E$5,G416,G417,G418))=1,CHOOSE('Controls'!$E$5,G416,G417,G418),NA())</x:f>
        <x:v>0.2</x:v>
      </x:c>
      <x:c r="H415" s="83" t="n">
        <x:f>IF(COUNT(CHOOSE('Controls'!$E$5,H416,H417,H418))=1,CHOOSE('Controls'!$E$5,H416,H417,H418),NA())</x:f>
        <x:v>0.2</x:v>
      </x:c>
      <x:c r="I415" s="83" t="n">
        <x:f>IF(COUNT(CHOOSE('Controls'!$E$5,I416,I417,I418))=1,CHOOSE('Controls'!$E$5,I416,I417,I418),NA())</x:f>
        <x:v>0.2</x:v>
      </x:c>
    </x:row>
    <x:row r="416" ht="30" customHeight="1">
      <x:c r="C416" s="64" t="str">
        <x:v>Base</x:v>
      </x:c>
      <x:c r="D416" s="63"/>
      <x:c r="E416" s="85" t="n">
        <x:v>0.2</x:v>
      </x:c>
      <x:c r="F416" s="85" t="n">
        <x:v>0.2</x:v>
      </x:c>
      <x:c r="G416" s="85" t="n">
        <x:v>0.2</x:v>
      </x:c>
      <x:c r="H416" s="85" t="n">
        <x:v>0.2</x:v>
      </x:c>
      <x:c r="I416" s="85" t="n">
        <x:v>0.2</x:v>
      </x:c>
    </x:row>
    <x:row r="417" ht="30" customHeight="1">
      <x:c r="C417" s="64" t="str">
        <x:v>Downside</x:v>
      </x:c>
      <x:c r="D417" s="63"/>
      <x:c r="E417" s="85" t="n">
        <x:v>0.2</x:v>
      </x:c>
      <x:c r="F417" s="85" t="n">
        <x:v>0.2</x:v>
      </x:c>
      <x:c r="G417" s="85" t="n">
        <x:v>0.2</x:v>
      </x:c>
      <x:c r="H417" s="85" t="n">
        <x:v>0.2</x:v>
      </x:c>
      <x:c r="I417" s="85" t="n">
        <x:v>0.2</x:v>
      </x:c>
    </x:row>
    <x:row r="418" ht="30" customHeight="1">
      <x:c r="C418" s="64" t="str">
        <x:v>Upside</x:v>
      </x:c>
      <x:c r="D418" s="63"/>
      <x:c r="E418" s="85" t="n">
        <x:v>0.2</x:v>
      </x:c>
      <x:c r="F418" s="85" t="n">
        <x:v>0.2</x:v>
      </x:c>
      <x:c r="G418" s="85" t="n">
        <x:v>0.2</x:v>
      </x:c>
      <x:c r="H418" s="85" t="n">
        <x:v>0.2</x:v>
      </x:c>
      <x:c r="I418" s="85" t="n">
        <x:v>0.2</x:v>
      </x:c>
    </x:row>
    <x:row r="419" ht="30" customHeight="1">
      <x:c r="C419" s="64"/>
      <x:c r="D419" s="63"/>
      <x:c r="E419" s="63"/>
      <x:c r="F419" s="63"/>
      <x:c r="G419" s="63"/>
      <x:c r="H419" s="63"/>
      <x:c r="I419" s="63"/>
    </x:row>
    <x:row r="420" ht="30" customHeight="1">
      <x:c r="C420" s="64" t="str">
        <x:v>D&amp;A / opening net PP&amp;E — active</x:v>
      </x:c>
      <x:c r="D420" s="63"/>
      <x:c r="E420" s="83" t="n">
        <x:f>IF(COUNT(CHOOSE('Controls'!$E$5,E421,E422,E423))=1,CHOOSE('Controls'!$E$5,E421,E422,E423),NA())</x:f>
        <x:v>0.12</x:v>
      </x:c>
      <x:c r="F420" s="83" t="n">
        <x:f>IF(COUNT(CHOOSE('Controls'!$E$5,F421,F422,F423))=1,CHOOSE('Controls'!$E$5,F421,F422,F423),NA())</x:f>
        <x:v>0.12</x:v>
      </x:c>
      <x:c r="G420" s="83" t="n">
        <x:f>IF(COUNT(CHOOSE('Controls'!$E$5,G421,G422,G423))=1,CHOOSE('Controls'!$E$5,G421,G422,G423),NA())</x:f>
        <x:v>0.12</x:v>
      </x:c>
      <x:c r="H420" s="83" t="n">
        <x:f>IF(COUNT(CHOOSE('Controls'!$E$5,H421,H422,H423))=1,CHOOSE('Controls'!$E$5,H421,H422,H423),NA())</x:f>
        <x:v>0.12</x:v>
      </x:c>
      <x:c r="I420" s="83" t="n">
        <x:f>IF(COUNT(CHOOSE('Controls'!$E$5,I421,I422,I423))=1,CHOOSE('Controls'!$E$5,I421,I422,I423),NA())</x:f>
        <x:v>0.12</x:v>
      </x:c>
    </x:row>
    <x:row r="421" ht="30" customHeight="1">
      <x:c r="C421" s="64" t="str">
        <x:v>Base</x:v>
      </x:c>
      <x:c r="D421" s="63"/>
      <x:c r="E421" s="85" t="n">
        <x:v>0.12</x:v>
      </x:c>
      <x:c r="F421" s="85" t="n">
        <x:v>0.12</x:v>
      </x:c>
      <x:c r="G421" s="85" t="n">
        <x:v>0.12</x:v>
      </x:c>
      <x:c r="H421" s="85" t="n">
        <x:v>0.12</x:v>
      </x:c>
      <x:c r="I421" s="85" t="n">
        <x:v>0.12</x:v>
      </x:c>
    </x:row>
    <x:row r="422" ht="30" customHeight="1">
      <x:c r="C422" s="64" t="str">
        <x:v>Downside</x:v>
      </x:c>
      <x:c r="D422" s="63"/>
      <x:c r="E422" s="85" t="n">
        <x:v>0.12</x:v>
      </x:c>
      <x:c r="F422" s="85" t="n">
        <x:v>0.12</x:v>
      </x:c>
      <x:c r="G422" s="85" t="n">
        <x:v>0.12</x:v>
      </x:c>
      <x:c r="H422" s="85" t="n">
        <x:v>0.12</x:v>
      </x:c>
      <x:c r="I422" s="85" t="n">
        <x:v>0.12</x:v>
      </x:c>
    </x:row>
    <x:row r="423" ht="30" customHeight="1">
      <x:c r="C423" s="64" t="str">
        <x:v>Upside</x:v>
      </x:c>
      <x:c r="D423" s="63"/>
      <x:c r="E423" s="85" t="n">
        <x:v>0.12</x:v>
      </x:c>
      <x:c r="F423" s="85" t="n">
        <x:v>0.12</x:v>
      </x:c>
      <x:c r="G423" s="85" t="n">
        <x:v>0.12</x:v>
      </x:c>
      <x:c r="H423" s="85" t="n">
        <x:v>0.12</x:v>
      </x:c>
      <x:c r="I423" s="85" t="n">
        <x:v>0.12</x:v>
      </x:c>
    </x:row>
    <x:row r="424" ht="30" customHeight="1">
      <x:c r="C424" s="64"/>
      <x:c r="D424" s="63"/>
      <x:c r="E424" s="63"/>
      <x:c r="F424" s="63"/>
      <x:c r="G424" s="63"/>
      <x:c r="H424" s="63"/>
      <x:c r="I424" s="63"/>
    </x:row>
    <x:row r="425" ht="30" customHeight="1">
      <x:c r="C425" s="64" t="str">
        <x:v>Receivable days — active</x:v>
      </x:c>
      <x:c r="D425" s="63"/>
      <x:c r="E425" s="8" t="n">
        <x:f>IF(COUNT(CHOOSE('Controls'!$E$5,E426,E427,E428))=1,CHOOSE('Controls'!$E$5,E426,E427,E428),NA())</x:f>
        <x:v>15</x:v>
      </x:c>
      <x:c r="F425" s="8" t="n">
        <x:f>IF(COUNT(CHOOSE('Controls'!$E$5,F426,F427,F428))=1,CHOOSE('Controls'!$E$5,F426,F427,F428),NA())</x:f>
        <x:v>15</x:v>
      </x:c>
      <x:c r="G425" s="8" t="n">
        <x:f>IF(COUNT(CHOOSE('Controls'!$E$5,G426,G427,G428))=1,CHOOSE('Controls'!$E$5,G426,G427,G428),NA())</x:f>
        <x:v>15</x:v>
      </x:c>
      <x:c r="H425" s="8" t="n">
        <x:f>IF(COUNT(CHOOSE('Controls'!$E$5,H426,H427,H428))=1,CHOOSE('Controls'!$E$5,H426,H427,H428),NA())</x:f>
        <x:v>15</x:v>
      </x:c>
      <x:c r="I425" s="8" t="n">
        <x:f>IF(COUNT(CHOOSE('Controls'!$E$5,I426,I427,I428))=1,CHOOSE('Controls'!$E$5,I426,I427,I428),NA())</x:f>
        <x:v>15</x:v>
      </x:c>
    </x:row>
    <x:row r="426" ht="30" customHeight="1">
      <x:c r="C426" s="64" t="str">
        <x:v>Base</x:v>
      </x:c>
      <x:c r="D426" s="63"/>
      <x:c r="E426" s="74" t="n">
        <x:v>15</x:v>
      </x:c>
      <x:c r="F426" s="74" t="n">
        <x:v>15</x:v>
      </x:c>
      <x:c r="G426" s="74" t="n">
        <x:v>15</x:v>
      </x:c>
      <x:c r="H426" s="74" t="n">
        <x:v>15</x:v>
      </x:c>
      <x:c r="I426" s="74" t="n">
        <x:v>15</x:v>
      </x:c>
    </x:row>
    <x:row r="427" ht="30" customHeight="1">
      <x:c r="C427" s="64" t="str">
        <x:v>Downside</x:v>
      </x:c>
      <x:c r="D427" s="63"/>
      <x:c r="E427" s="74" t="n">
        <x:v>15</x:v>
      </x:c>
      <x:c r="F427" s="74" t="n">
        <x:v>15</x:v>
      </x:c>
      <x:c r="G427" s="74" t="n">
        <x:v>15</x:v>
      </x:c>
      <x:c r="H427" s="74" t="n">
        <x:v>15</x:v>
      </x:c>
      <x:c r="I427" s="74" t="n">
        <x:v>15</x:v>
      </x:c>
    </x:row>
    <x:row r="428" ht="30" customHeight="1">
      <x:c r="C428" s="64" t="str">
        <x:v>Upside</x:v>
      </x:c>
      <x:c r="D428" s="63"/>
      <x:c r="E428" s="74" t="n">
        <x:v>15</x:v>
      </x:c>
      <x:c r="F428" s="74" t="n">
        <x:v>15</x:v>
      </x:c>
      <x:c r="G428" s="74" t="n">
        <x:v>15</x:v>
      </x:c>
      <x:c r="H428" s="74" t="n">
        <x:v>15</x:v>
      </x:c>
      <x:c r="I428" s="74" t="n">
        <x:v>15</x:v>
      </x:c>
    </x:row>
    <x:row r="429" ht="30" customHeight="1">
      <x:c r="C429" s="64"/>
      <x:c r="D429" s="63"/>
      <x:c r="E429" s="63"/>
      <x:c r="F429" s="63"/>
      <x:c r="G429" s="63"/>
      <x:c r="H429" s="63"/>
      <x:c r="I429" s="63"/>
    </x:row>
    <x:row r="430" ht="30" customHeight="1">
      <x:c r="C430" s="64" t="str">
        <x:v>Inventory days — active</x:v>
      </x:c>
      <x:c r="D430" s="63"/>
      <x:c r="E430" s="8" t="n">
        <x:f>IF(COUNT(CHOOSE('Controls'!$E$5,E431,E432,E433))=1,CHOOSE('Controls'!$E$5,E431,E432,E433),NA())</x:f>
        <x:v>0</x:v>
      </x:c>
      <x:c r="F430" s="8" t="n">
        <x:f>IF(COUNT(CHOOSE('Controls'!$E$5,F431,F432,F433))=1,CHOOSE('Controls'!$E$5,F431,F432,F433),NA())</x:f>
        <x:v>0</x:v>
      </x:c>
      <x:c r="G430" s="8" t="n">
        <x:f>IF(COUNT(CHOOSE('Controls'!$E$5,G431,G432,G433))=1,CHOOSE('Controls'!$E$5,G431,G432,G433),NA())</x:f>
        <x:v>0</x:v>
      </x:c>
      <x:c r="H430" s="8" t="n">
        <x:f>IF(COUNT(CHOOSE('Controls'!$E$5,H431,H432,H433))=1,CHOOSE('Controls'!$E$5,H431,H432,H433),NA())</x:f>
        <x:v>0</x:v>
      </x:c>
      <x:c r="I430" s="8" t="n">
        <x:f>IF(COUNT(CHOOSE('Controls'!$E$5,I431,I432,I433))=1,CHOOSE('Controls'!$E$5,I431,I432,I433),NA())</x:f>
        <x:v>0</x:v>
      </x:c>
    </x:row>
    <x:row r="431" ht="30" customHeight="1">
      <x:c r="C431" s="64" t="str">
        <x:v>Base</x:v>
      </x:c>
      <x:c r="D431" s="63"/>
      <x:c r="E431" s="74" t="n">
        <x:v>0</x:v>
      </x:c>
      <x:c r="F431" s="74" t="n">
        <x:v>0</x:v>
      </x:c>
      <x:c r="G431" s="74" t="n">
        <x:v>0</x:v>
      </x:c>
      <x:c r="H431" s="74" t="n">
        <x:v>0</x:v>
      </x:c>
      <x:c r="I431" s="74" t="n">
        <x:v>0</x:v>
      </x:c>
    </x:row>
    <x:row r="432" ht="30" customHeight="1">
      <x:c r="C432" s="64" t="str">
        <x:v>Downside</x:v>
      </x:c>
      <x:c r="D432" s="63"/>
      <x:c r="E432" s="74" t="n">
        <x:v>0</x:v>
      </x:c>
      <x:c r="F432" s="74" t="n">
        <x:v>0</x:v>
      </x:c>
      <x:c r="G432" s="74" t="n">
        <x:v>0</x:v>
      </x:c>
      <x:c r="H432" s="74" t="n">
        <x:v>0</x:v>
      </x:c>
      <x:c r="I432" s="74" t="n">
        <x:v>0</x:v>
      </x:c>
    </x:row>
    <x:row r="433" ht="30" customHeight="1">
      <x:c r="C433" s="64" t="str">
        <x:v>Upside</x:v>
      </x:c>
      <x:c r="D433" s="63"/>
      <x:c r="E433" s="74" t="n">
        <x:v>0</x:v>
      </x:c>
      <x:c r="F433" s="74" t="n">
        <x:v>0</x:v>
      </x:c>
      <x:c r="G433" s="74" t="n">
        <x:v>0</x:v>
      </x:c>
      <x:c r="H433" s="74" t="n">
        <x:v>0</x:v>
      </x:c>
      <x:c r="I433" s="74" t="n">
        <x:v>0</x:v>
      </x:c>
    </x:row>
    <x:row r="434" ht="30" customHeight="1">
      <x:c r="C434" s="64"/>
      <x:c r="D434" s="63"/>
      <x:c r="E434" s="63"/>
      <x:c r="F434" s="63"/>
      <x:c r="G434" s="63"/>
      <x:c r="H434" s="63"/>
      <x:c r="I434" s="63"/>
    </x:row>
    <x:row r="435" ht="30" customHeight="1">
      <x:c r="C435" s="64" t="str">
        <x:v>Payable days — active</x:v>
      </x:c>
      <x:c r="D435" s="63"/>
      <x:c r="E435" s="8" t="n">
        <x:f>IF(COUNT(CHOOSE('Controls'!$E$5,E436,E437,E438))=1,CHOOSE('Controls'!$E$5,E436,E437,E438),NA())</x:f>
        <x:v>50</x:v>
      </x:c>
      <x:c r="F435" s="8" t="n">
        <x:f>IF(COUNT(CHOOSE('Controls'!$E$5,F436,F437,F438))=1,CHOOSE('Controls'!$E$5,F436,F437,F438),NA())</x:f>
        <x:v>50</x:v>
      </x:c>
      <x:c r="G435" s="8" t="n">
        <x:f>IF(COUNT(CHOOSE('Controls'!$E$5,G436,G437,G438))=1,CHOOSE('Controls'!$E$5,G436,G437,G438),NA())</x:f>
        <x:v>50</x:v>
      </x:c>
      <x:c r="H435" s="8" t="n">
        <x:f>IF(COUNT(CHOOSE('Controls'!$E$5,H436,H437,H438))=1,CHOOSE('Controls'!$E$5,H436,H437,H438),NA())</x:f>
        <x:v>50</x:v>
      </x:c>
      <x:c r="I435" s="8" t="n">
        <x:f>IF(COUNT(CHOOSE('Controls'!$E$5,I436,I437,I438))=1,CHOOSE('Controls'!$E$5,I436,I437,I438),NA())</x:f>
        <x:v>50</x:v>
      </x:c>
    </x:row>
    <x:row r="436" ht="30" customHeight="1">
      <x:c r="C436" s="64" t="str">
        <x:v>Base</x:v>
      </x:c>
      <x:c r="D436" s="63"/>
      <x:c r="E436" s="74" t="n">
        <x:v>50</x:v>
      </x:c>
      <x:c r="F436" s="74" t="n">
        <x:v>50</x:v>
      </x:c>
      <x:c r="G436" s="74" t="n">
        <x:v>50</x:v>
      </x:c>
      <x:c r="H436" s="74" t="n">
        <x:v>50</x:v>
      </x:c>
      <x:c r="I436" s="74" t="n">
        <x:v>50</x:v>
      </x:c>
    </x:row>
    <x:row r="437" ht="30" customHeight="1">
      <x:c r="C437" s="64" t="str">
        <x:v>Downside</x:v>
      </x:c>
      <x:c r="D437" s="63"/>
      <x:c r="E437" s="74" t="n">
        <x:v>50</x:v>
      </x:c>
      <x:c r="F437" s="74" t="n">
        <x:v>50</x:v>
      </x:c>
      <x:c r="G437" s="74" t="n">
        <x:v>50</x:v>
      </x:c>
      <x:c r="H437" s="74" t="n">
        <x:v>50</x:v>
      </x:c>
      <x:c r="I437" s="74" t="n">
        <x:v>50</x:v>
      </x:c>
    </x:row>
    <x:row r="438" ht="30" customHeight="1">
      <x:c r="C438" s="64" t="str">
        <x:v>Upside</x:v>
      </x:c>
      <x:c r="D438" s="63"/>
      <x:c r="E438" s="74" t="n">
        <x:v>50</x:v>
      </x:c>
      <x:c r="F438" s="74" t="n">
        <x:v>50</x:v>
      </x:c>
      <x:c r="G438" s="74" t="n">
        <x:v>50</x:v>
      </x:c>
      <x:c r="H438" s="74" t="n">
        <x:v>50</x:v>
      </x:c>
      <x:c r="I438" s="74" t="n">
        <x:v>50</x:v>
      </x:c>
    </x:row>
    <x:row r="439" ht="30" customHeight="1">
      <x:c r="C439" s="64"/>
      <x:c r="D439" s="63"/>
      <x:c r="E439" s="63"/>
      <x:c r="F439" s="63"/>
      <x:c r="G439" s="63"/>
      <x:c r="H439" s="63"/>
      <x:c r="I439" s="63"/>
    </x:row>
    <x:row r="440" ht="30" customHeight="1">
      <x:c r="C440" s="64" t="str">
        <x:v>Effective cash tax rate — active</x:v>
      </x:c>
      <x:c r="D440" s="63"/>
      <x:c r="E440" s="83" t="n">
        <x:f>IF(COUNT(CHOOSE('Controls'!$E$5,E441,E442,E443))=1,CHOOSE('Controls'!$E$5,E441,E442,E443),NA())</x:f>
        <x:v>0.25</x:v>
      </x:c>
      <x:c r="F440" s="83" t="n">
        <x:f>IF(COUNT(CHOOSE('Controls'!$E$5,F441,F442,F443))=1,CHOOSE('Controls'!$E$5,F441,F442,F443),NA())</x:f>
        <x:v>0.25</x:v>
      </x:c>
      <x:c r="G440" s="83" t="n">
        <x:f>IF(COUNT(CHOOSE('Controls'!$E$5,G441,G442,G443))=1,CHOOSE('Controls'!$E$5,G441,G442,G443),NA())</x:f>
        <x:v>0.25</x:v>
      </x:c>
      <x:c r="H440" s="83" t="n">
        <x:f>IF(COUNT(CHOOSE('Controls'!$E$5,H441,H442,H443))=1,CHOOSE('Controls'!$E$5,H441,H442,H443),NA())</x:f>
        <x:v>0.25</x:v>
      </x:c>
      <x:c r="I440" s="83" t="n">
        <x:f>IF(COUNT(CHOOSE('Controls'!$E$5,I441,I442,I443))=1,CHOOSE('Controls'!$E$5,I441,I442,I443),NA())</x:f>
        <x:v>0.25</x:v>
      </x:c>
    </x:row>
    <x:row r="441" ht="30" customHeight="1">
      <x:c r="C441" s="64" t="str">
        <x:v>Base</x:v>
      </x:c>
      <x:c r="D441" s="63"/>
      <x:c r="E441" s="85" t="n">
        <x:v>0.25</x:v>
      </x:c>
      <x:c r="F441" s="85" t="n">
        <x:v>0.25</x:v>
      </x:c>
      <x:c r="G441" s="85" t="n">
        <x:v>0.25</x:v>
      </x:c>
      <x:c r="H441" s="85" t="n">
        <x:v>0.25</x:v>
      </x:c>
      <x:c r="I441" s="85" t="n">
        <x:v>0.25</x:v>
      </x:c>
    </x:row>
    <x:row r="442" ht="30" customHeight="1">
      <x:c r="C442" s="64" t="str">
        <x:v>Downside</x:v>
      </x:c>
      <x:c r="D442" s="63"/>
      <x:c r="E442" s="85" t="n">
        <x:v>0.25</x:v>
      </x:c>
      <x:c r="F442" s="85" t="n">
        <x:v>0.25</x:v>
      </x:c>
      <x:c r="G442" s="85" t="n">
        <x:v>0.25</x:v>
      </x:c>
      <x:c r="H442" s="85" t="n">
        <x:v>0.25</x:v>
      </x:c>
      <x:c r="I442" s="85" t="n">
        <x:v>0.25</x:v>
      </x:c>
    </x:row>
    <x:row r="443" ht="30" customHeight="1">
      <x:c r="C443" s="64" t="str">
        <x:v>Upside</x:v>
      </x:c>
      <x:c r="D443" s="63"/>
      <x:c r="E443" s="85" t="n">
        <x:v>0.25</x:v>
      </x:c>
      <x:c r="F443" s="85" t="n">
        <x:v>0.25</x:v>
      </x:c>
      <x:c r="G443" s="85" t="n">
        <x:v>0.25</x:v>
      </x:c>
      <x:c r="H443" s="85" t="n">
        <x:v>0.25</x:v>
      </x:c>
      <x:c r="I443" s="85" t="n">
        <x:v>0.25</x:v>
      </x:c>
    </x:row>
    <x:row r="444" ht="30" customHeight="1">
      <x:c r="C444" s="64"/>
      <x:c r="D444" s="63"/>
      <x:c r="E444" s="63"/>
      <x:c r="F444" s="63"/>
      <x:c r="G444" s="63"/>
      <x:c r="H444" s="63"/>
      <x:c r="I444" s="63"/>
    </x:row>
    <x:row r="445" ht="30" customHeight="1">
      <x:c r="C445" s="64" t="str">
        <x:v>Interest on opening debt — active</x:v>
      </x:c>
      <x:c r="D445" s="63"/>
      <x:c r="E445" s="83" t="n">
        <x:f>IF(COUNT(CHOOSE('Controls'!$E$5,E446,E447,E448))=1,CHOOSE('Controls'!$E$5,E446,E447,E448),NA())</x:f>
        <x:v>0.085</x:v>
      </x:c>
      <x:c r="F445" s="83" t="n">
        <x:f>IF(COUNT(CHOOSE('Controls'!$E$5,F446,F447,F448))=1,CHOOSE('Controls'!$E$5,F446,F447,F448),NA())</x:f>
        <x:v>0.085</x:v>
      </x:c>
      <x:c r="G445" s="83" t="n">
        <x:f>IF(COUNT(CHOOSE('Controls'!$E$5,G446,G447,G448))=1,CHOOSE('Controls'!$E$5,G446,G447,G448),NA())</x:f>
        <x:v>0.085</x:v>
      </x:c>
      <x:c r="H445" s="83" t="n">
        <x:f>IF(COUNT(CHOOSE('Controls'!$E$5,H446,H447,H448))=1,CHOOSE('Controls'!$E$5,H446,H447,H448),NA())</x:f>
        <x:v>0.085</x:v>
      </x:c>
      <x:c r="I445" s="83" t="n">
        <x:f>IF(COUNT(CHOOSE('Controls'!$E$5,I446,I447,I448))=1,CHOOSE('Controls'!$E$5,I446,I447,I448),NA())</x:f>
        <x:v>0.085</x:v>
      </x:c>
    </x:row>
    <x:row r="446" ht="30" customHeight="1">
      <x:c r="C446" s="64" t="str">
        <x:v>Base</x:v>
      </x:c>
      <x:c r="D446" s="63"/>
      <x:c r="E446" s="85" t="n">
        <x:v>0.085</x:v>
      </x:c>
      <x:c r="F446" s="85" t="n">
        <x:v>0.085</x:v>
      </x:c>
      <x:c r="G446" s="85" t="n">
        <x:v>0.085</x:v>
      </x:c>
      <x:c r="H446" s="85" t="n">
        <x:v>0.085</x:v>
      </x:c>
      <x:c r="I446" s="85" t="n">
        <x:v>0.085</x:v>
      </x:c>
    </x:row>
    <x:row r="447" ht="30" customHeight="1">
      <x:c r="C447" s="64" t="str">
        <x:v>Downside</x:v>
      </x:c>
      <x:c r="D447" s="63"/>
      <x:c r="E447" s="85" t="n">
        <x:v>0.085</x:v>
      </x:c>
      <x:c r="F447" s="85" t="n">
        <x:v>0.085</x:v>
      </x:c>
      <x:c r="G447" s="85" t="n">
        <x:v>0.085</x:v>
      </x:c>
      <x:c r="H447" s="85" t="n">
        <x:v>0.085</x:v>
      </x:c>
      <x:c r="I447" s="85" t="n">
        <x:v>0.085</x:v>
      </x:c>
    </x:row>
    <x:row r="448" ht="30" customHeight="1">
      <x:c r="C448" s="64" t="str">
        <x:v>Upside</x:v>
      </x:c>
      <x:c r="D448" s="63"/>
      <x:c r="E448" s="85" t="n">
        <x:v>0.085</x:v>
      </x:c>
      <x:c r="F448" s="85" t="n">
        <x:v>0.085</x:v>
      </x:c>
      <x:c r="G448" s="85" t="n">
        <x:v>0.085</x:v>
      </x:c>
      <x:c r="H448" s="85" t="n">
        <x:v>0.085</x:v>
      </x:c>
      <x:c r="I448" s="85" t="n">
        <x:v>0.085</x:v>
      </x:c>
    </x:row>
    <x:row r="449" ht="30" customHeight="1">
      <x:c r="C449" s="64"/>
      <x:c r="D449" s="63"/>
      <x:c r="E449" s="63"/>
      <x:c r="F449" s="63"/>
      <x:c r="G449" s="63"/>
      <x:c r="H449" s="63"/>
      <x:c r="I449" s="63"/>
    </x:row>
    <x:row r="450" ht="30" customHeight="1">
      <x:c r="C450" s="64" t="str">
        <x:v>New borrowing — active</x:v>
      </x:c>
      <x:c r="D450" s="63"/>
      <x:c r="E450" s="8" t="n">
        <x:f>IF(COUNT(CHOOSE('Controls'!$E$5,E451,E452,E453))=1,CHOOSE('Controls'!$E$5,E451,E452,E453),NA())</x:f>
        <x:v>0</x:v>
      </x:c>
      <x:c r="F450" s="8" t="n">
        <x:f>IF(COUNT(CHOOSE('Controls'!$E$5,F451,F452,F453))=1,CHOOSE('Controls'!$E$5,F451,F452,F453),NA())</x:f>
        <x:v>0</x:v>
      </x:c>
      <x:c r="G450" s="8" t="n">
        <x:f>IF(COUNT(CHOOSE('Controls'!$E$5,G451,G452,G453))=1,CHOOSE('Controls'!$E$5,G451,G452,G453),NA())</x:f>
        <x:v>0</x:v>
      </x:c>
      <x:c r="H450" s="8" t="n">
        <x:f>IF(COUNT(CHOOSE('Controls'!$E$5,H451,H452,H453))=1,CHOOSE('Controls'!$E$5,H451,H452,H453),NA())</x:f>
        <x:v>0</x:v>
      </x:c>
      <x:c r="I450" s="8" t="n">
        <x:f>IF(COUNT(CHOOSE('Controls'!$E$5,I451,I452,I453))=1,CHOOSE('Controls'!$E$5,I451,I452,I453),NA())</x:f>
        <x:v>0</x:v>
      </x:c>
    </x:row>
    <x:row r="451" ht="30" customHeight="1">
      <x:c r="C451" s="64" t="str">
        <x:v>Base</x:v>
      </x:c>
      <x:c r="D451" s="63"/>
      <x:c r="E451" s="74" t="n">
        <x:v>0</x:v>
      </x:c>
      <x:c r="F451" s="74" t="n">
        <x:v>0</x:v>
      </x:c>
      <x:c r="G451" s="74" t="n">
        <x:v>0</x:v>
      </x:c>
      <x:c r="H451" s="74" t="n">
        <x:v>0</x:v>
      </x:c>
      <x:c r="I451" s="74" t="n">
        <x:v>0</x:v>
      </x:c>
    </x:row>
    <x:row r="452" ht="30" customHeight="1">
      <x:c r="C452" s="64" t="str">
        <x:v>Downside</x:v>
      </x:c>
      <x:c r="D452" s="63"/>
      <x:c r="E452" s="74" t="n">
        <x:v>0</x:v>
      </x:c>
      <x:c r="F452" s="74" t="n">
        <x:v>0</x:v>
      </x:c>
      <x:c r="G452" s="74" t="n">
        <x:v>0</x:v>
      </x:c>
      <x:c r="H452" s="74" t="n">
        <x:v>0</x:v>
      </x:c>
      <x:c r="I452" s="74" t="n">
        <x:v>0</x:v>
      </x:c>
    </x:row>
    <x:row r="453" ht="30" customHeight="1">
      <x:c r="C453" s="64" t="str">
        <x:v>Upside</x:v>
      </x:c>
      <x:c r="D453" s="63"/>
      <x:c r="E453" s="74" t="n">
        <x:v>0</x:v>
      </x:c>
      <x:c r="F453" s="74" t="n">
        <x:v>0</x:v>
      </x:c>
      <x:c r="G453" s="74" t="n">
        <x:v>0</x:v>
      </x:c>
      <x:c r="H453" s="74" t="n">
        <x:v>0</x:v>
      </x:c>
      <x:c r="I453" s="74" t="n">
        <x:v>0</x:v>
      </x:c>
    </x:row>
    <x:row r="454" ht="30" customHeight="1">
      <x:c r="C454" s="64"/>
      <x:c r="D454" s="63"/>
      <x:c r="E454" s="63"/>
      <x:c r="F454" s="63"/>
      <x:c r="G454" s="63"/>
      <x:c r="H454" s="63"/>
      <x:c r="I454" s="63"/>
    </x:row>
    <x:row r="455" ht="30" customHeight="1">
      <x:c r="C455" s="64" t="str">
        <x:v>Scheduled principal repayment — active</x:v>
      </x:c>
      <x:c r="D455" s="63"/>
      <x:c r="E455" s="8" t="n">
        <x:f>IF(COUNT(CHOOSE('Controls'!$E$5,E456,E457,E458))=1,CHOOSE('Controls'!$E$5,E456,E457,E458),NA())</x:f>
        <x:v>900</x:v>
      </x:c>
      <x:c r="F455" s="8" t="n">
        <x:f>IF(COUNT(CHOOSE('Controls'!$E$5,F456,F457,F458))=1,CHOOSE('Controls'!$E$5,F456,F457,F458),NA())</x:f>
        <x:v>900</x:v>
      </x:c>
      <x:c r="G455" s="8" t="n">
        <x:f>IF(COUNT(CHOOSE('Controls'!$E$5,G456,G457,G458))=1,CHOOSE('Controls'!$E$5,G456,G457,G458),NA())</x:f>
        <x:v>900</x:v>
      </x:c>
      <x:c r="H455" s="8" t="n">
        <x:f>IF(COUNT(CHOOSE('Controls'!$E$5,H456,H457,H458))=1,CHOOSE('Controls'!$E$5,H456,H457,H458),NA())</x:f>
        <x:v>900</x:v>
      </x:c>
      <x:c r="I455" s="8" t="n">
        <x:f>IF(COUNT(CHOOSE('Controls'!$E$5,I456,I457,I458))=1,CHOOSE('Controls'!$E$5,I456,I457,I458),NA())</x:f>
        <x:v>900</x:v>
      </x:c>
    </x:row>
    <x:row r="456" ht="30" customHeight="1">
      <x:c r="C456" s="64" t="str">
        <x:v>Base</x:v>
      </x:c>
      <x:c r="D456" s="63"/>
      <x:c r="E456" s="74" t="n">
        <x:v>900</x:v>
      </x:c>
      <x:c r="F456" s="74" t="n">
        <x:v>900</x:v>
      </x:c>
      <x:c r="G456" s="74" t="n">
        <x:v>900</x:v>
      </x:c>
      <x:c r="H456" s="74" t="n">
        <x:v>900</x:v>
      </x:c>
      <x:c r="I456" s="74" t="n">
        <x:v>900</x:v>
      </x:c>
    </x:row>
    <x:row r="457" ht="30" customHeight="1">
      <x:c r="C457" s="64" t="str">
        <x:v>Downside</x:v>
      </x:c>
      <x:c r="D457" s="63"/>
      <x:c r="E457" s="74" t="n">
        <x:v>900</x:v>
      </x:c>
      <x:c r="F457" s="74" t="n">
        <x:v>900</x:v>
      </x:c>
      <x:c r="G457" s="74" t="n">
        <x:v>900</x:v>
      </x:c>
      <x:c r="H457" s="74" t="n">
        <x:v>900</x:v>
      </x:c>
      <x:c r="I457" s="74" t="n">
        <x:v>900</x:v>
      </x:c>
    </x:row>
    <x:row r="458" ht="30" customHeight="1">
      <x:c r="C458" s="64" t="str">
        <x:v>Upside</x:v>
      </x:c>
      <x:c r="D458" s="63"/>
      <x:c r="E458" s="74" t="n">
        <x:v>900</x:v>
      </x:c>
      <x:c r="F458" s="74" t="n">
        <x:v>900</x:v>
      </x:c>
      <x:c r="G458" s="74" t="n">
        <x:v>900</x:v>
      </x:c>
      <x:c r="H458" s="74" t="n">
        <x:v>900</x:v>
      </x:c>
      <x:c r="I458" s="74" t="n">
        <x:v>900</x:v>
      </x:c>
    </x:row>
    <x:row r="459" ht="30" customHeight="1">
      <x:c r="C459" s="64"/>
      <x:c r="D459" s="63"/>
      <x:c r="E459" s="63"/>
      <x:c r="F459" s="63"/>
      <x:c r="G459" s="63"/>
      <x:c r="H459" s="63"/>
      <x:c r="I459" s="63"/>
    </x:row>
    <x:row r="460" ht="30" customHeight="1">
      <x:c r="C460" s="64" t="str">
        <x:v>Dividend payout on positive PAT — active</x:v>
      </x:c>
      <x:c r="D460" s="63"/>
      <x:c r="E460" s="83" t="n">
        <x:f>IF(COUNT(CHOOSE('Controls'!$E$5,E461,E462,E463))=1,CHOOSE('Controls'!$E$5,E461,E462,E463),NA())</x:f>
        <x:v>0.25</x:v>
      </x:c>
      <x:c r="F460" s="83" t="n">
        <x:f>IF(COUNT(CHOOSE('Controls'!$E$5,F461,F462,F463))=1,CHOOSE('Controls'!$E$5,F461,F462,F463),NA())</x:f>
        <x:v>0.25</x:v>
      </x:c>
      <x:c r="G460" s="83" t="n">
        <x:f>IF(COUNT(CHOOSE('Controls'!$E$5,G461,G462,G463))=1,CHOOSE('Controls'!$E$5,G461,G462,G463),NA())</x:f>
        <x:v>0.25</x:v>
      </x:c>
      <x:c r="H460" s="83" t="n">
        <x:f>IF(COUNT(CHOOSE('Controls'!$E$5,H461,H462,H463))=1,CHOOSE('Controls'!$E$5,H461,H462,H463),NA())</x:f>
        <x:v>0.25</x:v>
      </x:c>
      <x:c r="I460" s="83" t="n">
        <x:f>IF(COUNT(CHOOSE('Controls'!$E$5,I461,I462,I463))=1,CHOOSE('Controls'!$E$5,I461,I462,I463),NA())</x:f>
        <x:v>0.25</x:v>
      </x:c>
    </x:row>
    <x:row r="461" ht="30" customHeight="1">
      <x:c r="C461" s="64" t="str">
        <x:v>Base</x:v>
      </x:c>
      <x:c r="D461" s="63"/>
      <x:c r="E461" s="85" t="n">
        <x:v>0.25</x:v>
      </x:c>
      <x:c r="F461" s="85" t="n">
        <x:v>0.25</x:v>
      </x:c>
      <x:c r="G461" s="85" t="n">
        <x:v>0.25</x:v>
      </x:c>
      <x:c r="H461" s="85" t="n">
        <x:v>0.25</x:v>
      </x:c>
      <x:c r="I461" s="85" t="n">
        <x:v>0.25</x:v>
      </x:c>
    </x:row>
    <x:row r="462" ht="30" customHeight="1">
      <x:c r="C462" s="64" t="str">
        <x:v>Downside</x:v>
      </x:c>
      <x:c r="D462" s="63"/>
      <x:c r="E462" s="85" t="n">
        <x:v>0.25</x:v>
      </x:c>
      <x:c r="F462" s="85" t="n">
        <x:v>0.25</x:v>
      </x:c>
      <x:c r="G462" s="85" t="n">
        <x:v>0.25</x:v>
      </x:c>
      <x:c r="H462" s="85" t="n">
        <x:v>0.25</x:v>
      </x:c>
      <x:c r="I462" s="85" t="n">
        <x:v>0.25</x:v>
      </x:c>
    </x:row>
    <x:row r="463" ht="30" customHeight="1">
      <x:c r="C463" s="64" t="str">
        <x:v>Upside</x:v>
      </x:c>
      <x:c r="D463" s="63"/>
      <x:c r="E463" s="85" t="n">
        <x:v>0.25</x:v>
      </x:c>
      <x:c r="F463" s="85" t="n">
        <x:v>0.25</x:v>
      </x:c>
      <x:c r="G463" s="85" t="n">
        <x:v>0.25</x:v>
      </x:c>
      <x:c r="H463" s="85" t="n">
        <x:v>0.25</x:v>
      </x:c>
      <x:c r="I463" s="85" t="n">
        <x:v>0.25</x:v>
      </x:c>
    </x:row>
    <x:row r="464" ht="30" customHeight="1">
      <x:c r="C464" s="64"/>
      <x:c r="D464" s="63"/>
      <x:c r="E464" s="63"/>
      <x:c r="F464" s="63"/>
      <x:c r="G464" s="63"/>
      <x:c r="H464" s="63"/>
      <x:c r="I464" s="63"/>
    </x:row>
    <x:row r="465" ht="30" customHeight="1">
      <x:c r="C465" s="64"/>
      <x:c r="D465" s="63"/>
      <x:c r="E465" s="63"/>
      <x:c r="F465" s="63"/>
      <x:c r="G465" s="63"/>
      <x:c r="H465" s="63"/>
      <x:c r="I465" s="63"/>
    </x:row>
    <x:row r="466" ht="30" customHeight="1">
      <x:c r="C466" s="64"/>
      <x:c r="D466" s="63"/>
      <x:c r="E466" s="63"/>
      <x:c r="F466" s="63"/>
      <x:c r="G466" s="63"/>
      <x:c r="H466" s="63"/>
      <x:c r="I466" s="63"/>
    </x:row>
    <x:row r="467" ht="30" customHeight="1">
      <x:c r="C467" s="64"/>
      <x:c r="D467" s="63"/>
      <x:c r="E467" s="63"/>
      <x:c r="F467" s="63"/>
      <x:c r="G467" s="63"/>
      <x:c r="H467" s="63"/>
      <x:c r="I467" s="63"/>
    </x:row>
    <x:row r="468" ht="30" customHeight="1">
      <x:c r="C468" s="64"/>
      <x:c r="D468" s="63"/>
      <x:c r="E468" s="63"/>
      <x:c r="F468" s="63"/>
      <x:c r="G468" s="63"/>
      <x:c r="H468" s="63"/>
      <x:c r="I468" s="63"/>
    </x:row>
    <x:row r="469" ht="30" customHeight="1">
      <x:c r="C469" s="64"/>
      <x:c r="D469" s="63"/>
      <x:c r="E469" s="63"/>
      <x:c r="F469" s="63"/>
      <x:c r="G469" s="63"/>
      <x:c r="H469" s="63"/>
      <x:c r="I469" s="63"/>
    </x:row>
    <x:row r="470" ht="30" customHeight="1">
      <x:c r="C470" s="64"/>
      <x:c r="D470" s="63"/>
      <x:c r="E470" s="63"/>
      <x:c r="F470" s="63"/>
      <x:c r="G470" s="63"/>
      <x:c r="H470" s="63"/>
      <x:c r="I470" s="63"/>
    </x:row>
    <x:row r="471" ht="30" customHeight="1">
      <x:c r="C471" s="64"/>
      <x:c r="D471" s="63"/>
      <x:c r="E471" s="63"/>
      <x:c r="F471" s="63"/>
      <x:c r="G471" s="63"/>
      <x:c r="H471" s="63"/>
      <x:c r="I471" s="63"/>
    </x:row>
    <x:row r="472" ht="30" customHeight="1">
      <x:c r="C472" s="64"/>
      <x:c r="D472" s="63"/>
      <x:c r="E472" s="63"/>
      <x:c r="F472" s="63"/>
      <x:c r="G472" s="63"/>
      <x:c r="H472" s="63"/>
      <x:c r="I472" s="63"/>
    </x:row>
    <x:row r="473" ht="30" customHeight="1">
      <x:c r="C473" s="64"/>
      <x:c r="D473" s="63"/>
      <x:c r="E473" s="63"/>
      <x:c r="F473" s="63"/>
      <x:c r="G473" s="63"/>
      <x:c r="H473" s="63"/>
      <x:c r="I473" s="63"/>
    </x:row>
    <x:row r="474" ht="30" customHeight="1">
      <x:c r="C474" s="64"/>
      <x:c r="D474" s="63"/>
      <x:c r="E474" s="63"/>
      <x:c r="F474" s="63"/>
      <x:c r="G474" s="63"/>
      <x:c r="H474" s="63"/>
      <x:c r="I474" s="63"/>
    </x:row>
    <x:row r="475" ht="30" customHeight="1">
      <x:c r="C475" s="64"/>
      <x:c r="D475" s="63"/>
      <x:c r="E475" s="63"/>
      <x:c r="F475" s="63"/>
      <x:c r="G475" s="63"/>
      <x:c r="H475" s="63"/>
      <x:c r="I475" s="63"/>
    </x:row>
    <x:row r="476" ht="30" customHeight="1">
      <x:c r="C476" s="64"/>
      <x:c r="D476" s="63"/>
      <x:c r="E476" s="63"/>
      <x:c r="F476" s="63"/>
      <x:c r="G476" s="63"/>
      <x:c r="H476" s="63"/>
      <x:c r="I476" s="63"/>
    </x:row>
    <x:row r="477" ht="30" customHeight="1">
      <x:c r="C477" s="64"/>
      <x:c r="D477" s="63"/>
      <x:c r="E477" s="63"/>
      <x:c r="F477" s="63"/>
      <x:c r="G477" s="63"/>
      <x:c r="H477" s="63"/>
      <x:c r="I477" s="63"/>
    </x:row>
    <x:row r="478" ht="30" customHeight="1">
      <x:c r="C478" s="64"/>
      <x:c r="D478" s="63"/>
      <x:c r="E478" s="63"/>
      <x:c r="F478" s="63"/>
      <x:c r="G478" s="63"/>
      <x:c r="H478" s="63"/>
      <x:c r="I478" s="63"/>
    </x:row>
    <x:row r="479" ht="30" customHeight="1">
      <x:c r="C479" s="64"/>
      <x:c r="D479" s="63"/>
      <x:c r="E479" s="63"/>
      <x:c r="F479" s="63"/>
      <x:c r="G479" s="63"/>
      <x:c r="H479" s="63"/>
      <x:c r="I479" s="63"/>
    </x:row>
    <x:row r="480" ht="30" customHeight="1">
      <x:c r="C480" s="64"/>
      <x:c r="D480" s="63"/>
      <x:c r="E480" s="63"/>
      <x:c r="F480" s="63"/>
      <x:c r="G480" s="63"/>
      <x:c r="H480" s="63"/>
      <x:c r="I480" s="63"/>
    </x:row>
    <x:row r="481" ht="30" customHeight="1">
      <x:c r="C481" s="64"/>
      <x:c r="D481" s="63"/>
      <x:c r="E481" s="63"/>
      <x:c r="F481" s="63"/>
      <x:c r="G481" s="63"/>
      <x:c r="H481" s="63"/>
      <x:c r="I481" s="63"/>
    </x:row>
    <x:row r="482" ht="30" customHeight="1">
      <x:c r="C482" s="64"/>
      <x:c r="D482" s="63"/>
      <x:c r="E482" s="63"/>
      <x:c r="F482" s="63"/>
      <x:c r="G482" s="63"/>
      <x:c r="H482" s="63"/>
      <x:c r="I482" s="63"/>
    </x:row>
    <x:row r="483" ht="30" customHeight="1">
      <x:c r="C483" s="64"/>
      <x:c r="D483" s="63"/>
      <x:c r="E483" s="63"/>
      <x:c r="F483" s="63"/>
      <x:c r="G483" s="63"/>
      <x:c r="H483" s="63"/>
      <x:c r="I483" s="63"/>
    </x:row>
    <x:row r="484" ht="30" customHeight="1">
      <x:c r="C484" s="64"/>
      <x:c r="D484" s="63"/>
      <x:c r="E484" s="63"/>
      <x:c r="F484" s="63"/>
      <x:c r="G484" s="63"/>
      <x:c r="H484" s="63"/>
      <x:c r="I484" s="63"/>
    </x:row>
    <x:row r="485" ht="30" customHeight="1">
      <x:c r="C485" s="64"/>
      <x:c r="D485" s="63"/>
      <x:c r="E485" s="63"/>
      <x:c r="F485" s="63"/>
      <x:c r="G485" s="63"/>
      <x:c r="H485" s="63"/>
      <x:c r="I485" s="63"/>
    </x:row>
    <x:row r="486" ht="30" customHeight="1">
      <x:c r="C486" s="64"/>
      <x:c r="D486" s="63"/>
      <x:c r="E486" s="63"/>
      <x:c r="F486" s="63"/>
      <x:c r="G486" s="63"/>
      <x:c r="H486" s="63"/>
      <x:c r="I486" s="63"/>
    </x:row>
    <x:row r="487" ht="30" customHeight="1">
      <x:c r="C487" s="64"/>
      <x:c r="D487" s="63"/>
      <x:c r="E487" s="63"/>
      <x:c r="F487" s="63"/>
      <x:c r="G487" s="63"/>
      <x:c r="H487" s="63"/>
      <x:c r="I487" s="63"/>
    </x:row>
    <x:row r="488" ht="30" customHeight="1">
      <x:c r="C488" s="64"/>
      <x:c r="D488" s="63"/>
      <x:c r="E488" s="63"/>
      <x:c r="F488" s="63"/>
      <x:c r="G488" s="63"/>
      <x:c r="H488" s="63"/>
      <x:c r="I488" s="63"/>
    </x:row>
    <x:row r="489" ht="30" customHeight="1">
      <x:c r="C489" s="64"/>
      <x:c r="D489" s="63"/>
      <x:c r="E489" s="63"/>
      <x:c r="F489" s="63"/>
      <x:c r="G489" s="63"/>
      <x:c r="H489" s="63"/>
      <x:c r="I489" s="63"/>
    </x:row>
    <x:row r="490" ht="30" customHeight="1">
      <x:c r="C490" s="64"/>
      <x:c r="D490" s="63"/>
      <x:c r="E490" s="63"/>
      <x:c r="F490" s="63"/>
      <x:c r="G490" s="63"/>
      <x:c r="H490" s="63"/>
      <x:c r="I490" s="63"/>
    </x:row>
    <x:row r="491" ht="30" customHeight="1">
      <x:c r="C491" s="64"/>
      <x:c r="D491" s="63"/>
      <x:c r="E491" s="63"/>
      <x:c r="F491" s="63"/>
      <x:c r="G491" s="63"/>
      <x:c r="H491" s="63"/>
      <x:c r="I491" s="63"/>
    </x:row>
    <x:row r="492" ht="30" customHeight="1">
      <x:c r="C492" s="64"/>
      <x:c r="D492" s="63"/>
      <x:c r="E492" s="63"/>
      <x:c r="F492" s="63"/>
      <x:c r="G492" s="63"/>
      <x:c r="H492" s="63"/>
      <x:c r="I492" s="63"/>
    </x:row>
    <x:row r="493" ht="30" customHeight="1">
      <x:c r="C493" s="64"/>
      <x:c r="D493" s="63"/>
      <x:c r="E493" s="63"/>
      <x:c r="F493" s="63"/>
      <x:c r="G493" s="63"/>
      <x:c r="H493" s="63"/>
      <x:c r="I493" s="63"/>
    </x:row>
    <x:row r="494" ht="30" customHeight="1">
      <x:c r="C494" s="64"/>
      <x:c r="D494" s="63"/>
      <x:c r="E494" s="63"/>
      <x:c r="F494" s="63"/>
      <x:c r="G494" s="63"/>
      <x:c r="H494" s="63"/>
      <x:c r="I494" s="63"/>
    </x:row>
    <x:row r="495" ht="30" customHeight="1">
      <x:c r="C495" s="64"/>
      <x:c r="D495" s="63"/>
      <x:c r="E495" s="63"/>
      <x:c r="F495" s="63"/>
      <x:c r="G495" s="63"/>
      <x:c r="H495" s="63"/>
      <x:c r="I495" s="63"/>
    </x:row>
    <x:row r="496" ht="30" customHeight="1">
      <x:c r="C496" s="64"/>
      <x:c r="D496" s="63"/>
      <x:c r="E496" s="63"/>
      <x:c r="F496" s="63"/>
      <x:c r="G496" s="63"/>
      <x:c r="H496" s="63"/>
      <x:c r="I496" s="63"/>
    </x:row>
    <x:row r="497" ht="30" customHeight="1">
      <x:c r="C497" s="64"/>
      <x:c r="D497" s="63"/>
      <x:c r="E497" s="63"/>
      <x:c r="F497" s="63"/>
      <x:c r="G497" s="63"/>
      <x:c r="H497" s="63"/>
      <x:c r="I497" s="63"/>
    </x:row>
    <x:row r="498" ht="30" customHeight="1">
      <x:c r="C498" s="64"/>
      <x:c r="D498" s="63"/>
      <x:c r="E498" s="63"/>
      <x:c r="F498" s="63"/>
      <x:c r="G498" s="63"/>
      <x:c r="H498" s="63"/>
      <x:c r="I498" s="63"/>
    </x:row>
    <x:row r="499" ht="30" customHeight="1">
      <x:c r="C499" s="64"/>
      <x:c r="D499" s="63"/>
      <x:c r="E499" s="63"/>
      <x:c r="F499" s="63"/>
      <x:c r="G499" s="63"/>
      <x:c r="H499" s="63"/>
      <x:c r="I499" s="63"/>
    </x:row>
    <x:row r="500" ht="30" customHeight="1">
      <x:c r="C500" s="64"/>
      <x:c r="D500" s="63"/>
      <x:c r="E500" s="63"/>
      <x:c r="F500" s="63"/>
      <x:c r="G500" s="63"/>
      <x:c r="H500" s="63"/>
      <x:c r="I500" s="63"/>
    </x:row>
    <x:row r="501" ht="30" customHeight="1">
      <x:c r="C501" s="64"/>
      <x:c r="D501" s="63"/>
      <x:c r="E501" s="63"/>
      <x:c r="F501" s="63"/>
      <x:c r="G501" s="63"/>
      <x:c r="H501" s="63"/>
      <x:c r="I501" s="63"/>
    </x:row>
    <x:row r="502" ht="30" customHeight="1">
      <x:c r="C502" s="64"/>
      <x:c r="D502" s="63"/>
      <x:c r="E502" s="63"/>
      <x:c r="F502" s="63"/>
      <x:c r="G502" s="63"/>
      <x:c r="H502" s="63"/>
      <x:c r="I502" s="63"/>
    </x:row>
    <x:row r="503" ht="30" customHeight="1">
      <x:c r="C503" s="64"/>
      <x:c r="D503" s="63"/>
      <x:c r="E503" s="63"/>
      <x:c r="F503" s="63"/>
      <x:c r="G503" s="63"/>
      <x:c r="H503" s="63"/>
      <x:c r="I503" s="63"/>
    </x:row>
    <x:row r="504" ht="30" customHeight="1">
      <x:c r="C504" s="64"/>
      <x:c r="D504" s="63"/>
      <x:c r="E504" s="63"/>
      <x:c r="F504" s="63"/>
      <x:c r="G504" s="63"/>
      <x:c r="H504" s="63"/>
      <x:c r="I504" s="63"/>
    </x:row>
    <x:row r="505" ht="30" customHeight="1">
      <x:c r="C505" s="64"/>
      <x:c r="D505" s="63"/>
      <x:c r="E505" s="63"/>
      <x:c r="F505" s="63"/>
      <x:c r="G505" s="63"/>
      <x:c r="H505" s="63"/>
      <x:c r="I505" s="63"/>
    </x:row>
    <x:row r="506" ht="30" customHeight="1">
      <x:c r="C506" s="64"/>
      <x:c r="D506" s="63"/>
      <x:c r="E506" s="63"/>
      <x:c r="F506" s="63"/>
      <x:c r="G506" s="63"/>
      <x:c r="H506" s="63"/>
      <x:c r="I506" s="63"/>
    </x:row>
    <x:row r="507" ht="30" customHeight="1">
      <x:c r="C507" s="64"/>
      <x:c r="D507" s="63"/>
      <x:c r="E507" s="63"/>
      <x:c r="F507" s="63"/>
      <x:c r="G507" s="63"/>
      <x:c r="H507" s="63"/>
      <x:c r="I507" s="63"/>
    </x:row>
    <x:row r="508" ht="30" customHeight="1">
      <x:c r="C508" s="64"/>
      <x:c r="D508" s="63"/>
      <x:c r="E508" s="63"/>
      <x:c r="F508" s="63"/>
      <x:c r="G508" s="63"/>
      <x:c r="H508" s="63"/>
      <x:c r="I508" s="63"/>
    </x:row>
    <x:row r="509" ht="30" customHeight="1">
      <x:c r="C509" s="64"/>
      <x:c r="D509" s="63"/>
      <x:c r="E509" s="63"/>
      <x:c r="F509" s="63"/>
      <x:c r="G509" s="63"/>
      <x:c r="H509" s="63"/>
      <x:c r="I509" s="63"/>
    </x:row>
    <x:row r="510" ht="30" customHeight="1">
      <x:c r="C510" s="64"/>
      <x:c r="D510" s="63"/>
      <x:c r="E510" s="63"/>
      <x:c r="F510" s="63"/>
      <x:c r="G510" s="63"/>
      <x:c r="H510" s="63"/>
      <x:c r="I510" s="63"/>
    </x:row>
  </x:sheetData>
  <x:mergeCells>
    <x:mergeCell ref="M2:U2"/>
    <x:mergeCell ref="M9:U9"/>
    <x:mergeCell ref="M10:U10"/>
    <x:mergeCell ref="M30:U30"/>
    <x:mergeCell ref="M43:U44"/>
    <x:mergeCell ref="M48:R48"/>
    <x:mergeCell ref="M58:R58"/>
    <x:mergeCell ref="M68:R68"/>
  </x:mergeCells>
  <x:conditionalFormatting sqref="E99:I99">
    <x:cfRule type="expression" dxfId="35" priority="1">
      <x:formula>ABS(E99)&gt;0.01</x:formula>
    </x:cfRule>
  </x:conditionalFormatting>
  <x:conditionalFormatting sqref="E100:I100">
    <x:cfRule type="expression" dxfId="36" priority="2">
      <x:formula>ABS(E100)&gt;0.01</x:formula>
    </x:cfRule>
  </x:conditionalFormatting>
  <x:conditionalFormatting sqref="E101:I101">
    <x:cfRule type="expression" dxfId="37" priority="3">
      <x:formula>ABS(E101)&gt;0.01</x:formula>
    </x:cfRule>
  </x:conditionalFormatting>
  <x:conditionalFormatting sqref="E102:I102">
    <x:cfRule type="expression" dxfId="38" priority="4">
      <x:formula>ABS(E102)&gt;0.01</x:formula>
    </x:cfRule>
  </x:conditionalFormatting>
  <x:conditionalFormatting sqref="E103:I103">
    <x:cfRule type="expression" dxfId="39" priority="5">
      <x:formula>ABS(E103)&gt;0.01</x:formula>
    </x:cfRule>
  </x:conditionalFormatting>
  <x:conditionalFormatting sqref="E180:I205">
    <x:cfRule type="cellIs" dxfId="83" priority="6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46945876d9a1403e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88" hidden="0" customWidth="1"/>
    <x:col min="13" max="13" width="3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45" hidden="0" customWidth="1"/>
  </x:cols>
  <x:sheetData>
    <x:row r="1" ht="18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  <x:c r="K1" s="1"/>
    </x:row>
    <x:row r="2" ht="32" customHeight="1">
      <x:c r="A2" s="1"/>
      <x:c r="B2" s="1"/>
      <x:c r="C2" s="3" t="str">
        <x:v>Renewable Power</x:v>
      </x:c>
      <x:c r="D2" s="2"/>
      <x:c r="E2" s="2"/>
      <x:c r="F2" s="2"/>
      <x:c r="G2" s="2"/>
      <x:c r="H2" s="2"/>
      <x:c r="I2" s="2"/>
      <x:c r="J2" s="1"/>
      <x:c r="K2" s="1"/>
      <x:c r="M2" s="86" t="str">
        <x:v>Renewable Power | Client summary</x:v>
      </x:c>
      <x:c r="N2" s="86"/>
      <x:c r="O2" s="86"/>
      <x:c r="P2" s="86"/>
      <x:c r="Q2" s="86"/>
      <x:c r="R2" s="86"/>
      <x:c r="S2" s="86"/>
      <x:c r="T2" s="86"/>
      <x:c r="U2" s="86"/>
      <x:c r="V2" s="63"/>
      <x:c r="X2" t="str">
        <x:v>Forecast year</x:v>
      </x:c>
      <x:c r="Y2" t="str">
        <x:v>Income</x:v>
      </x:c>
      <x:c r="Z2" t="str">
        <x:v>Profit after tax</x:v>
      </x:c>
    </x:row>
    <x:row r="3" ht="18" customHeight="1">
      <x:c r="A3" s="1"/>
      <x:c r="B3" s="1"/>
      <x:c r="C3" s="4"/>
      <x:c r="D3" s="5"/>
      <x:c r="E3" s="5"/>
      <x:c r="F3" s="5"/>
      <x:c r="G3" s="5"/>
      <x:c r="H3" s="5"/>
      <x:c r="I3" s="5"/>
      <x:c r="J3" s="1"/>
      <x:c r="K3" s="1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X3" t="n">
        <x:f>'Controls'!$E$17+0</x:f>
        <x:v>2027</x:v>
      </x:c>
      <x:c r="Y3" t="n">
        <x:f>E47</x:f>
        <x:v>1271.5315200000005</x:v>
      </x:c>
      <x:c r="Z3" t="n">
        <x:f>E58</x:f>
        <x:v>252.59593920000017</x:v>
      </x:c>
    </x:row>
    <x:row r="4" ht="18" customHeight="1">
      <x:c r="A4" s="1"/>
      <x:c r="B4" s="1"/>
      <x:c r="C4" s="1" t="str">
        <x:v>Illustrative assumptions. Financial amounts in INR crore.</x:v>
      </x:c>
      <x:c r="D4" s="2"/>
      <x:c r="E4" s="2"/>
      <x:c r="F4" s="2"/>
      <x:c r="G4" s="2"/>
      <x:c r="H4" s="2"/>
      <x:c r="I4" s="2"/>
      <x:c r="J4" s="1"/>
      <x:c r="K4" s="1"/>
      <x:c r="M4" s="63" t="str">
        <x:v>Company / model name</x:v>
      </x:c>
      <x:c r="N4" s="63" t="str">
        <x:v>Illustrative company</x:v>
      </x:c>
      <x:c r="O4" s="63"/>
      <x:c r="P4" s="63"/>
      <x:c r="Q4" s="63"/>
      <x:c r="R4" s="63"/>
      <x:c r="S4" s="63"/>
      <x:c r="T4" s="63"/>
      <x:c r="U4" s="63"/>
      <x:c r="V4" s="63"/>
      <x:c r="X4" t="n">
        <x:f>'Controls'!$E$17+1</x:f>
        <x:v>2028</x:v>
      </x:c>
      <x:c r="Y4" t="n">
        <x:f>F47</x:f>
        <x:v>1424.1153024000005</x:v>
      </x:c>
      <x:c r="Z4" t="n">
        <x:f>F58</x:f>
        <x:v>354.51015470400023</x:v>
      </x:c>
    </x:row>
    <x:row r="5" ht="18" customHeight="1">
      <x:c r="A5" s="1"/>
      <x:c r="B5" s="1"/>
      <x:c r="C5" s="1" t="str">
        <x:v>Selected case</x:v>
      </x:c>
      <x:c r="D5" s="2"/>
      <x:c r="E5" s="10" t="str">
        <x:f>'Controls'!E6</x:f>
        <x:v>Base</x:v>
      </x:c>
      <x:c r="F5" s="2"/>
      <x:c r="G5" s="2"/>
      <x:c r="H5" s="2"/>
      <x:c r="I5" s="2"/>
      <x:c r="J5" s="1"/>
      <x:c r="K5" s="1"/>
      <x:c r="M5" s="63" t="str">
        <x:v>Valuation date</x:v>
      </x:c>
      <x:c r="N5" s="87" t="n">
        <x:f>'Controls'!E18</x:f>
        <x:v>46112</x:v>
      </x:c>
      <x:c r="O5" s="63"/>
      <x:c r="P5" s="63"/>
      <x:c r="Q5" s="63"/>
      <x:c r="R5" s="63"/>
      <x:c r="S5" s="63"/>
      <x:c r="T5" s="63"/>
      <x:c r="U5" s="63"/>
      <x:c r="V5" s="63"/>
      <x:c r="X5" t="n">
        <x:f>'Controls'!$E$17+2</x:f>
        <x:v>2029</x:v>
      </x:c>
      <x:c r="Y5" t="n">
        <x:f>G47</x:f>
        <x:v>1595.0091386880006</x:v>
      </x:c>
      <x:c r="Z5" t="n">
        <x:f>G58</x:f>
        <x:v>465.8527044424802</x:v>
      </x:c>
    </x:row>
    <x:row r="6" ht="18" customHeight="1">
      <x:c r="A6" s="1"/>
      <x:c r="B6" s="1"/>
      <x:c r="C6" s="1"/>
      <x:c r="D6" s="2"/>
      <x:c r="E6" s="2"/>
      <x:c r="F6" s="2"/>
      <x:c r="G6" s="2"/>
      <x:c r="H6" s="2"/>
      <x:c r="I6" s="2"/>
      <x:c r="J6" s="1"/>
      <x:c r="K6" s="1"/>
      <x:c r="M6" s="63" t="str">
        <x:v>Selected case</x:v>
      </x:c>
      <x:c r="N6" s="63" t="str">
        <x:f>'Controls'!E6</x:f>
        <x:v>Base</x:v>
      </x:c>
      <x:c r="O6" s="63"/>
      <x:c r="P6" s="63"/>
      <x:c r="Q6" s="63"/>
      <x:c r="R6" s="63"/>
      <x:c r="S6" s="63"/>
      <x:c r="T6" s="63"/>
      <x:c r="U6" s="63"/>
      <x:c r="V6" s="63"/>
      <x:c r="X6" t="n">
        <x:f>'Controls'!$E$17+3</x:f>
        <x:v>2030</x:v>
      </x:c>
      <x:c r="Y6" t="n">
        <x:f>H47</x:f>
        <x:v>1786.4102353305611</x:v>
      </x:c>
      <x:c r="Z6" t="n">
        <x:f>H58</x:f>
        <x:v>587.8122002467481</x:v>
      </x:c>
    </x:row>
    <x:row r="7" ht="18" customHeight="1">
      <x:c r="A7" s="1"/>
      <x:c r="B7" s="1"/>
      <x:c r="C7" s="15" t="str">
        <x:v>Metric</x:v>
      </x:c>
      <x:c r="D7" s="16" t="str">
        <x:v>Opening / seed</x:v>
      </x:c>
      <x:c r="E7" s="65" t="n">
        <x:f>'Controls'!$E$17+0</x:f>
        <x:v>2027</x:v>
      </x:c>
      <x:c r="F7" s="65" t="n">
        <x:f>'Controls'!$E$17+1</x:f>
        <x:v>2028</x:v>
      </x:c>
      <x:c r="G7" s="65" t="n">
        <x:f>'Controls'!$E$17+2</x:f>
        <x:v>2029</x:v>
      </x:c>
      <x:c r="H7" s="65" t="n">
        <x:f>'Controls'!$E$17+3</x:f>
        <x:v>2030</x:v>
      </x:c>
      <x:c r="I7" s="65" t="n">
        <x:f>'Controls'!$E$17+4</x:f>
        <x:v>2031</x:v>
      </x:c>
      <x:c r="J7" s="1"/>
      <x:c r="K7" s="1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X7" t="n">
        <x:f>'Controls'!$E$17+4</x:f>
        <x:v>2031</x:v>
      </x:c>
      <x:c r="Y7" t="n">
        <x:f>I47</x:f>
        <x:v>2000.779463570229</x:v>
      </x:c>
      <x:c r="Z7" t="n">
        <x:f>I58</x:f>
        <x:v>721.7173128403256</x:v>
      </x:c>
    </x:row>
    <x:row r="8" ht="18" customHeight="1">
      <x:c r="A8" s="1"/>
      <x:c r="B8" s="1"/>
      <x:c r="C8" s="1"/>
      <x:c r="D8" s="2"/>
      <x:c r="E8" s="2"/>
      <x:c r="F8" s="2"/>
      <x:c r="G8" s="2"/>
      <x:c r="H8" s="2"/>
      <x:c r="I8" s="2"/>
      <x:c r="J8" s="1"/>
      <x:c r="K8" s="1"/>
      <x:c r="M8" s="63" t="str">
        <x:v>Equity value (INR crore)</x:v>
      </x:c>
      <x:c r="N8" s="8" t="n">
        <x:f>E93</x:f>
        <x:v>3536.3859298965253</x:v>
      </x:c>
      <x:c r="O8" s="63"/>
      <x:c r="P8" s="63"/>
      <x:c r="Q8" s="63"/>
      <x:c r="R8" s="63"/>
      <x:c r="S8" s="63"/>
      <x:c r="T8" s="63"/>
      <x:c r="U8" s="63"/>
      <x:c r="V8" s="63"/>
    </x:row>
    <x:row r="9" ht="18" customHeight="1">
      <x:c r="A9" s="1"/>
      <x:c r="B9" s="1"/>
      <x:c r="C9" s="19" t="str">
        <x:v>OPERATING ASSUMPTIONS</x:v>
      </x:c>
      <x:c r="D9" s="20"/>
      <x:c r="E9" s="20"/>
      <x:c r="F9" s="20"/>
      <x:c r="G9" s="20"/>
      <x:c r="H9" s="20"/>
      <x:c r="I9" s="20"/>
      <x:c r="J9" s="1"/>
      <x:c r="K9" s="1"/>
      <x:c r="M9" s="63" t="str">
        <x:f>IF(MAX(E99,F99,G99,H99,I99,E100,F100,G100,H100,I100,E101,F101,G101,H101,I101,E102,F102,G102,H102,I102,E103,F103,G103,H103,I103,E180:I205)&gt;0.01,"ATTENTION: model checks contain exceptions",IF(MIN(E99,F99,G99,H99,I99,E100,F100,G100,H100,I100,E101,F101,G101,H101,I101,E102,F102,G102,H102,I102,E103,F103,G103,H103,I103,E180:I205)&lt;-0.01,"ATTENTION: model checks contain exceptions","Model checks clear; review company assumptions"))</x:f>
        <x:v>Model checks clear; review company assumptions</x:v>
      </x:c>
      <x:c r="N9" s="63"/>
      <x:c r="O9" s="63"/>
      <x:c r="P9" s="63"/>
      <x:c r="Q9" s="63"/>
      <x:c r="R9" s="63"/>
      <x:c r="S9" s="63"/>
      <x:c r="T9" s="63"/>
      <x:c r="U9" s="63"/>
      <x:c r="V9" s="63"/>
    </x:row>
    <x:row r="10" ht="18" customHeight="1">
      <x:c r="A10" s="1"/>
      <x:c r="B10" s="1"/>
      <x:c r="C10" s="1" t="str">
        <x:v>Average operational capacity (MW) — seed</x:v>
      </x:c>
      <x:c r="D10" s="7" t="n">
        <x:v>1500</x:v>
      </x:c>
      <x:c r="E10" s="2"/>
      <x:c r="F10" s="2"/>
      <x:c r="G10" s="2"/>
      <x:c r="H10" s="2"/>
      <x:c r="I10" s="2"/>
      <x:c r="J10" s="1"/>
      <x:c r="K10" s="1" t="str">
        <x:v>Input provenance: all amber cells are constructed examples, not external observations.</x:v>
      </x:c>
      <x:c r="M10" s="63" t="str">
        <x:v>Illustrative inputs; replace with company evidence.</x:v>
      </x:c>
      <x:c r="N10" s="63"/>
      <x:c r="O10" s="63"/>
      <x:c r="P10" s="63"/>
      <x:c r="Q10" s="63"/>
      <x:c r="R10" s="63"/>
      <x:c r="S10" s="63"/>
      <x:c r="T10" s="63"/>
      <x:c r="U10" s="63"/>
      <x:c r="V10" s="63"/>
    </x:row>
    <x:row r="11" ht="18" customHeight="1">
      <x:c r="A11" s="1"/>
      <x:c r="B11" s="1"/>
      <x:c r="C11" s="1" t="str">
        <x:v>Realized tariff (INR per kWh) — seed</x:v>
      </x:c>
      <x:c r="D11" s="7" t="n">
        <x:v>3.2</x:v>
      </x:c>
      <x:c r="E11" s="2"/>
      <x:c r="F11" s="2"/>
      <x:c r="G11" s="2"/>
      <x:c r="H11" s="2"/>
      <x:c r="I11" s="2"/>
      <x:c r="J11" s="1"/>
      <x:c r="K11" s="1" t="str">
        <x:v>Generation archetype. Capacity, capex and project timing must be reconciled for a real asset portfolio.</x:v>
      </x:c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</x:row>
    <x:row r="12" ht="18" customHeight="1">
      <x:c r="A12" s="1"/>
      <x:c r="B12" s="1"/>
      <x:c r="C12" s="28" t="str">
        <x:v>Operating scale growth — active</x:v>
      </x:c>
      <x:c r="D12" s="29"/>
      <x:c r="E12" s="30" t="n">
        <x:f>IF(COUNT(INDEX(E13:E15,'Controls'!$E$5))=0,NA(),INDEX(E13:E15,'Controls'!$E$5))</x:f>
        <x:v>0.12</x:v>
      </x:c>
      <x:c r="F12" s="30" t="n">
        <x:f>IF(COUNT(INDEX(F13:F15,'Controls'!$E$5))=0,NA(),INDEX(F13:F15,'Controls'!$E$5))</x:f>
        <x:v>0.12</x:v>
      </x:c>
      <x:c r="G12" s="30" t="n">
        <x:f>IF(COUNT(INDEX(G13:G15,'Controls'!$E$5))=0,NA(),INDEX(G13:G15,'Controls'!$E$5))</x:f>
        <x:v>0.12</x:v>
      </x:c>
      <x:c r="H12" s="30" t="n">
        <x:f>IF(COUNT(INDEX(H13:H15,'Controls'!$E$5))=0,NA(),INDEX(H13:H15,'Controls'!$E$5))</x:f>
        <x:v>0.12</x:v>
      </x:c>
      <x:c r="I12" s="30" t="n">
        <x:f>IF(COUNT(INDEX(I13:I15,'Controls'!$E$5))=0,NA(),INDEX(I13:I15,'Controls'!$E$5))</x:f>
        <x:v>0.12</x:v>
      </x:c>
      <x:c r="J12" s="1"/>
      <x:c r="K12" s="1" t="str">
        <x:v>Five-year nominal INR model. Positive costs are subtracted. Discounting is end-of-year.</x:v>
      </x:c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</x:row>
    <x:row r="13" ht="18" customHeight="1">
      <x:c r="A13" s="1"/>
      <x:c r="B13" s="1"/>
      <x:c r="C13" s="23" t="str">
        <x:v>Base</x:v>
      </x:c>
      <x:c r="D13" s="24"/>
      <x:c r="E13" s="26" t="n">
        <x:v>0.12</x:v>
      </x:c>
      <x:c r="F13" s="26" t="n">
        <x:v>0.12</x:v>
      </x:c>
      <x:c r="G13" s="26" t="n">
        <x:v>0.12</x:v>
      </x:c>
      <x:c r="H13" s="26" t="n">
        <x:v>0.12</x:v>
      </x:c>
      <x:c r="I13" s="26" t="n">
        <x:v>0.12</x:v>
      </x:c>
      <x:c r="J13" s="1"/>
      <x:c r="K13" s="1" t="str">
        <x:v>Cash earns no interest; borrowing is explicit. Negative cash is an unfunded shortfall.</x:v>
      </x:c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</x:row>
    <x:row r="14" ht="18" customHeight="1">
      <x:c r="A14" s="1"/>
      <x:c r="B14" s="1"/>
      <x:c r="C14" s="23" t="str">
        <x:v>Downside</x:v>
      </x:c>
      <x:c r="D14" s="24"/>
      <x:c r="E14" s="26" t="n">
        <x:v>0.06999999999999999</x:v>
      </x:c>
      <x:c r="F14" s="26" t="n">
        <x:v>0.06999999999999999</x:v>
      </x:c>
      <x:c r="G14" s="26" t="n">
        <x:v>0.06999999999999999</x:v>
      </x:c>
      <x:c r="H14" s="26" t="n">
        <x:v>0.06999999999999999</x:v>
      </x:c>
      <x:c r="I14" s="26" t="n">
        <x:v>0.06999999999999999</x:v>
      </x:c>
      <x:c r="J14" s="1"/>
      <x:c r="K14" s="1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</x:row>
    <x:row r="15" ht="18" customHeight="1">
      <x:c r="A15" s="1"/>
      <x:c r="B15" s="1"/>
      <x:c r="C15" s="23" t="str">
        <x:v>Upside</x:v>
      </x:c>
      <x:c r="D15" s="24"/>
      <x:c r="E15" s="26" t="n">
        <x:v>0.16</x:v>
      </x:c>
      <x:c r="F15" s="26" t="n">
        <x:v>0.16</x:v>
      </x:c>
      <x:c r="G15" s="26" t="n">
        <x:v>0.16</x:v>
      </x:c>
      <x:c r="H15" s="26" t="n">
        <x:v>0.16</x:v>
      </x:c>
      <x:c r="I15" s="26" t="n">
        <x:v>0.16</x:v>
      </x:c>
      <x:c r="J15" s="1"/>
      <x:c r="K15" s="1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</x:row>
    <x:row r="16" ht="18" customHeight="1">
      <x:c r="A16" s="1"/>
      <x:c r="B16" s="1"/>
      <x:c r="C16" s="28" t="str">
        <x:v>Realization growth — active</x:v>
      </x:c>
      <x:c r="D16" s="29"/>
      <x:c r="E16" s="30" t="n">
        <x:f>IF(COUNT(INDEX(E17:E19,'Controls'!$E$5))=0,NA(),INDEX(E17:E19,'Controls'!$E$5))</x:f>
        <x:v>0</x:v>
      </x:c>
      <x:c r="F16" s="30" t="n">
        <x:f>IF(COUNT(INDEX(F17:F19,'Controls'!$E$5))=0,NA(),INDEX(F17:F19,'Controls'!$E$5))</x:f>
        <x:v>0</x:v>
      </x:c>
      <x:c r="G16" s="30" t="n">
        <x:f>IF(COUNT(INDEX(G17:G19,'Controls'!$E$5))=0,NA(),INDEX(G17:G19,'Controls'!$E$5))</x:f>
        <x:v>0</x:v>
      </x:c>
      <x:c r="H16" s="30" t="n">
        <x:f>IF(COUNT(INDEX(H17:H19,'Controls'!$E$5))=0,NA(),INDEX(H17:H19,'Controls'!$E$5))</x:f>
        <x:v>0</x:v>
      </x:c>
      <x:c r="I16" s="30" t="n">
        <x:f>IF(COUNT(INDEX(I17:I19,'Controls'!$E$5))=0,NA(),INDEX(I17:I19,'Controls'!$E$5))</x:f>
        <x:v>0</x:v>
      </x:c>
      <x:c r="J16" s="1"/>
      <x:c r="K16" s="1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</x:row>
    <x:row r="17" ht="18" customHeight="1">
      <x:c r="A17" s="1"/>
      <x:c r="B17" s="1"/>
      <x:c r="C17" s="23" t="str">
        <x:v>Base</x:v>
      </x:c>
      <x:c r="D17" s="24"/>
      <x:c r="E17" s="26" t="n">
        <x:v>0</x:v>
      </x:c>
      <x:c r="F17" s="26" t="n">
        <x:v>0</x:v>
      </x:c>
      <x:c r="G17" s="26" t="n">
        <x:v>0</x:v>
      </x:c>
      <x:c r="H17" s="26" t="n">
        <x:v>0</x:v>
      </x:c>
      <x:c r="I17" s="26" t="n">
        <x:v>0</x:v>
      </x:c>
      <x:c r="J17" s="1"/>
      <x:c r="K17" s="1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</x:row>
    <x:row r="18" ht="18" customHeight="1">
      <x:c r="A18" s="1"/>
      <x:c r="B18" s="1"/>
      <x:c r="C18" s="23" t="str">
        <x:v>Downside</x:v>
      </x:c>
      <x:c r="D18" s="24"/>
      <x:c r="E18" s="26" t="n">
        <x:v>-0.025</x:v>
      </x:c>
      <x:c r="F18" s="26" t="n">
        <x:v>-0.025</x:v>
      </x:c>
      <x:c r="G18" s="26" t="n">
        <x:v>-0.025</x:v>
      </x:c>
      <x:c r="H18" s="26" t="n">
        <x:v>-0.025</x:v>
      </x:c>
      <x:c r="I18" s="26" t="n">
        <x:v>-0.025</x:v>
      </x:c>
      <x:c r="J18" s="1"/>
      <x:c r="K18" s="1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</x:row>
    <x:row r="19" ht="18" customHeight="1">
      <x:c r="A19" s="1"/>
      <x:c r="B19" s="1"/>
      <x:c r="C19" s="23" t="str">
        <x:v>Upside</x:v>
      </x:c>
      <x:c r="D19" s="24"/>
      <x:c r="E19" s="26" t="n">
        <x:v>0.02</x:v>
      </x:c>
      <x:c r="F19" s="26" t="n">
        <x:v>0.02</x:v>
      </x:c>
      <x:c r="G19" s="26" t="n">
        <x:v>0.02</x:v>
      </x:c>
      <x:c r="H19" s="26" t="n">
        <x:v>0.02</x:v>
      </x:c>
      <x:c r="I19" s="26" t="n">
        <x:v>0.02</x:v>
      </x:c>
      <x:c r="J19" s="1"/>
      <x:c r="K19" s="1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</x:row>
    <x:row r="20" ht="18" customHeight="1">
      <x:c r="A20" s="1"/>
      <x:c r="B20" s="1"/>
      <x:c r="C20" s="23" t="str">
        <x:v>Capacity utilization factor</x:v>
      </x:c>
      <x:c r="D20" s="24"/>
      <x:c r="E20" s="26" t="n">
        <x:f>E400</x:f>
        <x:v>0.27</x:v>
      </x:c>
      <x:c r="F20" s="26" t="n">
        <x:f>F400</x:f>
        <x:v>0.27</x:v>
      </x:c>
      <x:c r="G20" s="26" t="n">
        <x:f>G400</x:f>
        <x:v>0.27</x:v>
      </x:c>
      <x:c r="H20" s="26" t="n">
        <x:f>H400</x:f>
        <x:v>0.27</x:v>
      </x:c>
      <x:c r="I20" s="26" t="n">
        <x:f>I400</x:f>
        <x:v>0.27</x:v>
      </x:c>
      <x:c r="J20" s="1"/>
      <x:c r="K20" s="1" t="str">
        <x:v>Use 100% when volume already represents actual sales.</x:v>
      </x:c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</x:row>
    <x:row r="21" ht="18" customHeight="1">
      <x:c r="A21" s="1"/>
      <x:c r="B21" s="1"/>
      <x:c r="C21" s="23" t="str">
        <x:v>Variable operations cost / revenue</x:v>
      </x:c>
      <x:c r="D21" s="24"/>
      <x:c r="E21" s="26" t="n">
        <x:f>E405</x:f>
        <x:v>0.14</x:v>
      </x:c>
      <x:c r="F21" s="26" t="n">
        <x:f>F405</x:f>
        <x:v>0.14</x:v>
      </x:c>
      <x:c r="G21" s="26" t="n">
        <x:f>G405</x:f>
        <x:v>0.14</x:v>
      </x:c>
      <x:c r="H21" s="26" t="n">
        <x:f>H405</x:f>
        <x:v>0.14</x:v>
      </x:c>
      <x:c r="I21" s="26" t="n">
        <x:f>I405</x:f>
        <x:v>0.14</x:v>
      </x:c>
      <x:c r="J21" s="1"/>
      <x:c r="K21" s="1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</x:row>
    <x:row r="22" ht="18" customHeight="1">
      <x:c r="A22" s="1"/>
      <x:c r="B22" s="1"/>
      <x:c r="C22" s="23" t="str">
        <x:v>Other cash operating costs / revenue</x:v>
      </x:c>
      <x:c r="D22" s="24"/>
      <x:c r="E22" s="26" t="n">
        <x:f>E410</x:f>
        <x:v>0.08</x:v>
      </x:c>
      <x:c r="F22" s="26" t="n">
        <x:f>F410</x:f>
        <x:v>0.08</x:v>
      </x:c>
      <x:c r="G22" s="26" t="n">
        <x:f>G410</x:f>
        <x:v>0.08</x:v>
      </x:c>
      <x:c r="H22" s="26" t="n">
        <x:f>H410</x:f>
        <x:v>0.08</x:v>
      </x:c>
      <x:c r="I22" s="26" t="n">
        <x:f>I410</x:f>
        <x:v>0.08</x:v>
      </x:c>
      <x:c r="J22" s="1"/>
      <x:c r="K22" s="1" t="str">
        <x:v>Includes fixed and selling costs, modeled as revenue share.</x:v>
      </x:c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</x:row>
    <x:row r="23" ht="18" customHeight="1">
      <x:c r="A23" s="1"/>
      <x:c r="B23" s="1"/>
      <x:c r="C23" s="23" t="str">
        <x:v>Cash capex / revenue</x:v>
      </x:c>
      <x:c r="D23" s="24"/>
      <x:c r="E23" s="26" t="n">
        <x:f>E415</x:f>
        <x:v>0.25</x:v>
      </x:c>
      <x:c r="F23" s="26" t="n">
        <x:f>F415</x:f>
        <x:v>0.25</x:v>
      </x:c>
      <x:c r="G23" s="26" t="n">
        <x:f>G415</x:f>
        <x:v>0.25</x:v>
      </x:c>
      <x:c r="H23" s="26" t="n">
        <x:f>H415</x:f>
        <x:v>0.25</x:v>
      </x:c>
      <x:c r="I23" s="26" t="n">
        <x:f>I415</x:f>
        <x:v>0.25</x:v>
      </x:c>
      <x:c r="J23" s="1"/>
      <x:c r="K23" s="1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</x:row>
    <x:row r="24" ht="18" customHeight="1">
      <x:c r="A24" s="1"/>
      <x:c r="B24" s="1"/>
      <x:c r="C24" s="23" t="str">
        <x:v>D&amp;A / opening net PP&amp;E</x:v>
      </x:c>
      <x:c r="D24" s="24"/>
      <x:c r="E24" s="26" t="n">
        <x:f>E420</x:f>
        <x:v>0.045</x:v>
      </x:c>
      <x:c r="F24" s="26" t="n">
        <x:f>F420</x:f>
        <x:v>0.045</x:v>
      </x:c>
      <x:c r="G24" s="26" t="n">
        <x:f>G420</x:f>
        <x:v>0.045</x:v>
      </x:c>
      <x:c r="H24" s="26" t="n">
        <x:f>H420</x:f>
        <x:v>0.045</x:v>
      </x:c>
      <x:c r="I24" s="26" t="n">
        <x:f>I420</x:f>
        <x:v>0.045</x:v>
      </x:c>
      <x:c r="J24" s="1"/>
      <x:c r="K24" s="1" t="str">
        <x:v>No disposals or impairments. Current-year capex begins depreciation next year.</x:v>
      </x:c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</x:row>
    <x:row r="25" ht="18" customHeight="1">
      <x:c r="A25" s="1"/>
      <x:c r="B25" s="1"/>
      <x:c r="C25" s="1" t="str">
        <x:v>Receivable days</x:v>
      </x:c>
      <x:c r="D25" s="2"/>
      <x:c r="E25" s="7" t="n">
        <x:f>E425</x:f>
        <x:v>100</x:v>
      </x:c>
      <x:c r="F25" s="7" t="n">
        <x:f>F425</x:f>
        <x:v>100</x:v>
      </x:c>
      <x:c r="G25" s="7" t="n">
        <x:f>G425</x:f>
        <x:v>100</x:v>
      </x:c>
      <x:c r="H25" s="7" t="n">
        <x:f>H425</x:f>
        <x:v>100</x:v>
      </x:c>
      <x:c r="I25" s="7" t="n">
        <x:f>I425</x:f>
        <x:v>100</x:v>
      </x:c>
      <x:c r="J25" s="1"/>
      <x:c r="K25" s="1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</x:row>
    <x:row r="26" ht="18" customHeight="1">
      <x:c r="A26" s="1"/>
      <x:c r="B26" s="1"/>
      <x:c r="C26" s="1" t="str">
        <x:v>Inventory days</x:v>
      </x:c>
      <x:c r="D26" s="2"/>
      <x:c r="E26" s="7" t="n">
        <x:f>E430</x:f>
        <x:v>0</x:v>
      </x:c>
      <x:c r="F26" s="7" t="n">
        <x:f>F430</x:f>
        <x:v>0</x:v>
      </x:c>
      <x:c r="G26" s="7" t="n">
        <x:f>G430</x:f>
        <x:v>0</x:v>
      </x:c>
      <x:c r="H26" s="7" t="n">
        <x:f>H430</x:f>
        <x:v>0</x:v>
      </x:c>
      <x:c r="I26" s="7" t="n">
        <x:f>I430</x:f>
        <x:v>0</x:v>
      </x:c>
      <x:c r="J26" s="1"/>
      <x:c r="K26" s="1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</x:row>
    <x:row r="27" ht="18" customHeight="1">
      <x:c r="A27" s="1"/>
      <x:c r="B27" s="1"/>
      <x:c r="C27" s="1" t="str">
        <x:v>Payable days</x:v>
      </x:c>
      <x:c r="D27" s="2"/>
      <x:c r="E27" s="7" t="n">
        <x:f>E435</x:f>
        <x:v>30</x:v>
      </x:c>
      <x:c r="F27" s="7" t="n">
        <x:f>F435</x:f>
        <x:v>30</x:v>
      </x:c>
      <x:c r="G27" s="7" t="n">
        <x:f>G435</x:f>
        <x:v>30</x:v>
      </x:c>
      <x:c r="H27" s="7" t="n">
        <x:f>H435</x:f>
        <x:v>30</x:v>
      </x:c>
      <x:c r="I27" s="7" t="n">
        <x:f>I435</x:f>
        <x:v>30</x:v>
      </x:c>
      <x:c r="J27" s="1"/>
      <x:c r="K27" s="1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</x:row>
    <x:row r="28" ht="18" customHeight="1">
      <x:c r="A28" s="1"/>
      <x:c r="B28" s="1"/>
      <x:c r="C28" s="23" t="str">
        <x:v>Effective cash tax rate</x:v>
      </x:c>
      <x:c r="D28" s="24"/>
      <x:c r="E28" s="26" t="n">
        <x:f>E440</x:f>
        <x:v>0.25</x:v>
      </x:c>
      <x:c r="F28" s="26" t="n">
        <x:f>F440</x:f>
        <x:v>0.25</x:v>
      </x:c>
      <x:c r="G28" s="26" t="n">
        <x:f>G440</x:f>
        <x:v>0.25</x:v>
      </x:c>
      <x:c r="H28" s="26" t="n">
        <x:f>H440</x:f>
        <x:v>0.25</x:v>
      </x:c>
      <x:c r="I28" s="26" t="n">
        <x:f>I440</x:f>
        <x:v>0.25</x:v>
      </x:c>
      <x:c r="J28" s="1"/>
      <x:c r="K28" s="1" t="str">
        <x:v>Illustrative assumption, not a statutory rate. No loss carryforwards or deferred tax.</x:v>
      </x:c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</x:row>
    <x:row r="29" ht="18" customHeight="1">
      <x:c r="A29" s="1"/>
      <x:c r="B29" s="1"/>
      <x:c r="C29" s="23" t="str">
        <x:v>Interest on opening debt</x:v>
      </x:c>
      <x:c r="D29" s="24"/>
      <x:c r="E29" s="26" t="n">
        <x:f>E445</x:f>
        <x:v>0.085</x:v>
      </x:c>
      <x:c r="F29" s="26" t="n">
        <x:f>F445</x:f>
        <x:v>0.085</x:v>
      </x:c>
      <x:c r="G29" s="26" t="n">
        <x:f>G445</x:f>
        <x:v>0.085</x:v>
      </x:c>
      <x:c r="H29" s="26" t="n">
        <x:f>H445</x:f>
        <x:v>0.085</x:v>
      </x:c>
      <x:c r="I29" s="26" t="n">
        <x:f>I445</x:f>
        <x:v>0.085</x:v>
      </x:c>
      <x:c r="J29" s="1"/>
      <x:c r="K29" s="1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</x:row>
    <x:row r="30" ht="18" customHeight="1">
      <x:c r="A30" s="1"/>
      <x:c r="B30" s="1"/>
      <x:c r="C30" s="1" t="str">
        <x:v>New borrowing</x:v>
      </x:c>
      <x:c r="D30" s="2"/>
      <x:c r="E30" s="7" t="n">
        <x:f>E450</x:f>
        <x:v>0</x:v>
      </x:c>
      <x:c r="F30" s="7" t="n">
        <x:f>F450</x:f>
        <x:v>0</x:v>
      </x:c>
      <x:c r="G30" s="7" t="n">
        <x:f>G450</x:f>
        <x:v>0</x:v>
      </x:c>
      <x:c r="H30" s="7" t="n">
        <x:f>H450</x:f>
        <x:v>0</x:v>
      </x:c>
      <x:c r="I30" s="7" t="n">
        <x:f>I450</x:f>
        <x:v>0</x:v>
      </x:c>
      <x:c r="J30" s="1"/>
      <x:c r="K30" s="1"/>
      <x:c r="M30" s="82" t="str">
        <x:v>Historical actuals and forecast | INR crore</x:v>
      </x:c>
      <x:c r="N30" s="82"/>
      <x:c r="O30" s="82"/>
      <x:c r="P30" s="82"/>
      <x:c r="Q30" s="82"/>
      <x:c r="R30" s="82"/>
      <x:c r="S30" s="82"/>
      <x:c r="T30" s="82"/>
      <x:c r="U30" s="82"/>
      <x:c r="V30" s="63"/>
    </x:row>
    <x:row r="31" ht="18" customHeight="1">
      <x:c r="A31" s="1"/>
      <x:c r="B31" s="1"/>
      <x:c r="C31" s="1" t="str">
        <x:v>Scheduled principal repayment</x:v>
      </x:c>
      <x:c r="D31" s="2"/>
      <x:c r="E31" s="7" t="n">
        <x:f>E455</x:f>
        <x:v>200</x:v>
      </x:c>
      <x:c r="F31" s="7" t="n">
        <x:f>F455</x:f>
        <x:v>200</x:v>
      </x:c>
      <x:c r="G31" s="7" t="n">
        <x:f>G455</x:f>
        <x:v>200</x:v>
      </x:c>
      <x:c r="H31" s="7" t="n">
        <x:f>H455</x:f>
        <x:v>200</x:v>
      </x:c>
      <x:c r="I31" s="7" t="n">
        <x:f>I455</x:f>
        <x:v>200</x:v>
      </x:c>
      <x:c r="J31" s="1"/>
      <x:c r="K31" s="1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</x:row>
    <x:row r="32" ht="18" customHeight="1">
      <x:c r="A32" s="1"/>
      <x:c r="B32" s="1"/>
      <x:c r="C32" s="23" t="str">
        <x:v>Dividend payout on positive PAT</x:v>
      </x:c>
      <x:c r="D32" s="24"/>
      <x:c r="E32" s="26" t="n">
        <x:f>E460</x:f>
        <x:v>0.25</x:v>
      </x:c>
      <x:c r="F32" s="26" t="n">
        <x:f>F460</x:f>
        <x:v>0.25</x:v>
      </x:c>
      <x:c r="G32" s="26" t="n">
        <x:f>G460</x:f>
        <x:v>0.25</x:v>
      </x:c>
      <x:c r="H32" s="26" t="n">
        <x:f>H460</x:f>
        <x:v>0.25</x:v>
      </x:c>
      <x:c r="I32" s="26" t="n">
        <x:f>I460</x:f>
        <x:v>0.25</x:v>
      </x:c>
      <x:c r="J32" s="1"/>
      <x:c r="K32" s="1"/>
      <x:c r="M32" s="63" t="str">
        <x:v>Metric</x:v>
      </x:c>
      <x:c r="N32" s="88" t="n">
        <x:f>'Controls'!$E$17+-3</x:f>
        <x:v>2024</x:v>
      </x:c>
      <x:c r="O32" s="88" t="n">
        <x:f>'Controls'!$E$17+-2</x:f>
        <x:v>2025</x:v>
      </x:c>
      <x:c r="P32" s="88" t="n">
        <x:f>'Controls'!$E$17+-1</x:f>
        <x:v>2026</x:v>
      </x:c>
      <x:c r="Q32" s="89" t="n">
        <x:f>'Controls'!$E$17+0</x:f>
        <x:v>2027</x:v>
      </x:c>
      <x:c r="R32" s="89" t="n">
        <x:f>'Controls'!$E$17+1</x:f>
        <x:v>2028</x:v>
      </x:c>
      <x:c r="S32" s="89" t="n">
        <x:f>'Controls'!$E$17+2</x:f>
        <x:v>2029</x:v>
      </x:c>
      <x:c r="T32" s="89" t="n">
        <x:f>'Controls'!$E$17+3</x:f>
        <x:v>2030</x:v>
      </x:c>
      <x:c r="U32" s="89" t="n">
        <x:f>'Controls'!$E$17+4</x:f>
        <x:v>2031</x:v>
      </x:c>
      <x:c r="V32" s="63" t="str">
        <x:v>Source / reporting date</x:v>
      </x:c>
    </x:row>
    <x:row r="33" ht="18" customHeight="1">
      <x:c r="A33" s="1"/>
      <x:c r="B33" s="1"/>
      <x:c r="C33" s="19" t="str">
        <x:v>OPENING BALANCE SHEET AND VALUATION INPUTS</x:v>
      </x:c>
      <x:c r="D33" s="20"/>
      <x:c r="E33" s="20"/>
      <x:c r="F33" s="20"/>
      <x:c r="G33" s="20"/>
      <x:c r="H33" s="20"/>
      <x:c r="I33" s="20"/>
      <x:c r="J33" s="1"/>
      <x:c r="K33" s="1"/>
      <x:c r="M33" s="63" t="str">
        <x:v>Income</x:v>
      </x:c>
      <x:c r="N33" s="74"/>
      <x:c r="O33" s="74"/>
      <x:c r="P33" s="74"/>
      <x:c r="Q33" s="8" t="n">
        <x:f>E47</x:f>
        <x:v>1271.5315200000005</x:v>
      </x:c>
      <x:c r="R33" s="8" t="n">
        <x:f>F47</x:f>
        <x:v>1424.1153024000005</x:v>
      </x:c>
      <x:c r="S33" s="8" t="n">
        <x:f>G47</x:f>
        <x:v>1595.0091386880006</x:v>
      </x:c>
      <x:c r="T33" s="8" t="n">
        <x:f>H47</x:f>
        <x:v>1786.4102353305611</x:v>
      </x:c>
      <x:c r="U33" s="8" t="n">
        <x:f>I47</x:f>
        <x:v>2000.779463570229</x:v>
      </x:c>
      <x:c r="V33" s="63"/>
    </x:row>
    <x:row r="34" ht="18" customHeight="1">
      <x:c r="A34" s="1"/>
      <x:c r="B34" s="1"/>
      <x:c r="C34" s="1" t="str">
        <x:v>Opening net PP&amp;E</x:v>
      </x:c>
      <x:c r="D34" s="7" t="n">
        <x:v>7000</x:v>
      </x:c>
      <x:c r="E34" s="2"/>
      <x:c r="F34" s="2"/>
      <x:c r="G34" s="2"/>
      <x:c r="H34" s="2"/>
      <x:c r="I34" s="2"/>
      <x:c r="J34" s="1"/>
      <x:c r="K34" s="1"/>
      <x:c r="M34" s="63" t="str">
        <x:v>Profit after tax</x:v>
      </x:c>
      <x:c r="N34" s="74"/>
      <x:c r="O34" s="74"/>
      <x:c r="P34" s="74"/>
      <x:c r="Q34" s="8" t="n">
        <x:f>E58</x:f>
        <x:v>252.59593920000017</x:v>
      </x:c>
      <x:c r="R34" s="8" t="n">
        <x:f>F58</x:f>
        <x:v>354.51015470400023</x:v>
      </x:c>
      <x:c r="S34" s="8" t="n">
        <x:f>G58</x:f>
        <x:v>465.8527044424802</x:v>
      </x:c>
      <x:c r="T34" s="8" t="n">
        <x:f>H58</x:f>
        <x:v>587.8122002467481</x:v>
      </x:c>
      <x:c r="U34" s="8" t="n">
        <x:f>I58</x:f>
        <x:v>721.7173128403256</x:v>
      </x:c>
      <x:c r="V34" s="63"/>
    </x:row>
    <x:row r="35" ht="18" customHeight="1">
      <x:c r="A35" s="1"/>
      <x:c r="B35" s="1"/>
      <x:c r="C35" s="1" t="str">
        <x:v>Opening debt</x:v>
      </x:c>
      <x:c r="D35" s="7" t="n">
        <x:v>4000</x:v>
      </x:c>
      <x:c r="E35" s="2"/>
      <x:c r="F35" s="2"/>
      <x:c r="G35" s="2"/>
      <x:c r="H35" s="2"/>
      <x:c r="I35" s="2"/>
      <x:c r="J35" s="1"/>
      <x:c r="K35" s="1"/>
      <x:c r="M35" s="63" t="str">
        <x:v>EBITDA</x:v>
      </x:c>
      <x:c r="N35" s="74"/>
      <x:c r="O35" s="74"/>
      <x:c r="P35" s="74"/>
      <x:c r="Q35" s="8" t="n">
        <x:f>E52</x:f>
        <x:v>991.7945856000002</x:v>
      </x:c>
      <x:c r="R35" s="8" t="n">
        <x:f>F52</x:f>
        <x:v>1110.8099358720003</x:v>
      </x:c>
      <x:c r="S35" s="8" t="n">
        <x:f>G52</x:f>
        <x:v>1244.1071281766403</x:v>
      </x:c>
      <x:c r="T35" s="8" t="n">
        <x:f>H52</x:f>
        <x:v>1393.3999835578377</x:v>
      </x:c>
      <x:c r="U35" s="8" t="n">
        <x:f>I52</x:f>
        <x:v>1560.6079815847786</x:v>
      </x:c>
      <x:c r="V35" s="63"/>
    </x:row>
    <x:row r="36" ht="18" customHeight="1">
      <x:c r="A36" s="1"/>
      <x:c r="B36" s="1"/>
      <x:c r="C36" s="1" t="str">
        <x:v>Opening cash</x:v>
      </x:c>
      <x:c r="D36" s="7" t="n">
        <x:v>500</x:v>
      </x:c>
      <x:c r="E36" s="2"/>
      <x:c r="F36" s="2"/>
      <x:c r="G36" s="2"/>
      <x:c r="H36" s="2"/>
      <x:c r="I36" s="2"/>
      <x:c r="J36" s="1"/>
      <x:c r="K36" s="1"/>
      <x:c r="M36" s="63" t="str">
        <x:v>Closing debt</x:v>
      </x:c>
      <x:c r="N36" s="74"/>
      <x:c r="O36" s="74"/>
      <x:c r="P36" s="74"/>
      <x:c r="Q36" s="8" t="n">
        <x:f>E67</x:f>
        <x:v>3800</x:v>
      </x:c>
      <x:c r="R36" s="8" t="n">
        <x:f>F67</x:f>
        <x:v>3600</x:v>
      </x:c>
      <x:c r="S36" s="8" t="n">
        <x:f>G67</x:f>
        <x:v>3400</x:v>
      </x:c>
      <x:c r="T36" s="8" t="n">
        <x:f>H67</x:f>
        <x:v>3200</x:v>
      </x:c>
      <x:c r="U36" s="8" t="n">
        <x:f>I67</x:f>
        <x:v>3000</x:v>
      </x:c>
      <x:c r="V36" s="63"/>
    </x:row>
    <x:row r="37" ht="18" customHeight="1">
      <x:c r="A37" s="1"/>
      <x:c r="B37" s="1"/>
      <x:c r="C37" s="1" t="str">
        <x:v>Opening net working capital</x:v>
      </x:c>
      <x:c r="D37" s="7" t="n">
        <x:v>297.97632</x:v>
      </x:c>
      <x:c r="E37" s="2"/>
      <x:c r="F37" s="2"/>
      <x:c r="G37" s="2"/>
      <x:c r="H37" s="2"/>
      <x:c r="I37" s="2"/>
      <x:c r="J37" s="1"/>
      <x:c r="K37" s="1" t="str">
        <x:v>Illustrative opening net balance. Replace with receivables + inventory − payables.</x:v>
      </x:c>
      <x:c r="M37" s="63" t="str">
        <x:v>Closing cash / (funding gap)</x:v>
      </x:c>
      <x:c r="N37" s="74"/>
      <x:c r="O37" s="74"/>
      <x:c r="P37" s="74"/>
      <x:c r="Q37" s="8" t="n">
        <x:f>E72</x:f>
        <x:v>450.80691599999994</x:v>
      </x:c>
      <x:c r="R37" s="8" t="n">
        <x:f>F72</x:f>
        <x:v>435.74241861999997</x:v>
      </x:c>
      <x:c r="S37" s="8" t="n">
        <x:f>G72</x:f>
        <x:v>458.49607170290005</x:v>
      </x:c>
      <x:c r="T37" s="8" t="n">
        <x:f>H72</x:f>
        <x:v>523.1668132475655</x:v>
      </x:c>
      <x:c r="U37" s="8" t="n">
        <x:f>I72</x:f>
        <x:v>634.3135821152769</x:v>
      </x:c>
      <x:c r="V37" s="63"/>
    </x:row>
    <x:row r="38" ht="18" customHeight="1">
      <x:c r="A38" s="1"/>
      <x:c r="B38" s="1"/>
      <x:c r="C38" s="1" t="str">
        <x:v>Diluted shares (crore)</x:v>
      </x:c>
      <x:c r="D38" s="7" t="n">
        <x:v>100</x:v>
      </x:c>
      <x:c r="E38" s="2"/>
      <x:c r="F38" s="2"/>
      <x:c r="G38" s="2"/>
      <x:c r="H38" s="2"/>
      <x:c r="I38" s="2"/>
      <x:c r="J38" s="1"/>
      <x:c r="K38" s="1"/>
      <x:c r="M38" s="63" t="str">
        <x:v>Closing book equity</x:v>
      </x:c>
      <x:c r="N38" s="74"/>
      <x:c r="O38" s="74"/>
      <x:c r="P38" s="74"/>
      <x:c r="Q38" s="8" t="n">
        <x:f>E73</x:f>
        <x:v>3987.4232743999996</x:v>
      </x:c>
      <x:c r="R38" s="8" t="n">
        <x:f>F73</x:f>
        <x:v>4253.305890428</x:v>
      </x:c>
      <x:c r="S38" s="8" t="n">
        <x:f>G73</x:f>
        <x:v>4602.695418759859</x:v>
      </x:c>
      <x:c r="T38" s="8" t="n">
        <x:f>H73</x:f>
        <x:v>5043.55456894492</x:v>
      </x:c>
      <x:c r="U38" s="8" t="n">
        <x:f>I73</x:f>
        <x:v>5584.842553575164</x:v>
      </x:c>
      <x:c r="V38" s="63"/>
    </x:row>
    <x:row r="39" ht="18" customHeight="1">
      <x:c r="A39" s="1"/>
      <x:c r="B39" s="1"/>
      <x:c r="C39" s="1" t="str">
        <x:v>WACC</x:v>
      </x:c>
      <x:c r="D39" s="25" t="n">
        <x:v>0.12</x:v>
      </x:c>
      <x:c r="E39" s="2"/>
      <x:c r="F39" s="2"/>
      <x:c r="G39" s="2"/>
      <x:c r="H39" s="2"/>
      <x:c r="I39" s="2"/>
      <x:c r="J39" s="1"/>
      <x:c r="K39" s="1"/>
      <x:c r="M39" s="63" t="str">
        <x:v>Operating cash flow after interest</x:v>
      </x:c>
      <x:c r="N39" s="74"/>
      <x:c r="O39" s="74"/>
      <x:c r="P39" s="74"/>
      <x:c r="Q39" s="8" t="n">
        <x:f>E69</x:f>
        <x:v>531.8387808000001</x:v>
      </x:c>
      <x:c r="R39" s="8" t="n">
        <x:f>F69</x:f>
        <x:v>629.5918668960002</x:v>
      </x:c>
      <x:c r="S39" s="8" t="n">
        <x:f>G69</x:f>
        <x:v>737.9691138655203</x:v>
      </x:c>
      <x:c r="T39" s="8" t="n">
        <x:f>H69</x:f>
        <x:v>858.2263504389928</x:v>
      </x:c>
      <x:c r="U39" s="8" t="n">
        <x:f>I69</x:f>
        <x:v>991.77096297035</x:v>
      </x:c>
      <x:c r="V39" s="63"/>
    </x:row>
    <x:row r="40" ht="18" customHeight="1">
      <x:c r="A40" s="1"/>
      <x:c r="B40" s="1"/>
      <x:c r="C40" s="1" t="str">
        <x:v>Terminal growth</x:v>
      </x:c>
      <x:c r="D40" s="25" t="n">
        <x:v>0.04</x:v>
      </x:c>
      <x:c r="E40" s="2"/>
      <x:c r="F40" s="2"/>
      <x:c r="G40" s="2"/>
      <x:c r="H40" s="2"/>
      <x:c r="I40" s="2"/>
      <x:c r="J40" s="1"/>
      <x:c r="K40" s="1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</x:row>
    <x:row r="41" ht="18" customHeight="1">
      <x:c r="A41" s="1"/>
      <x:c r="B41" s="1"/>
      <x:c r="C41" s="1" t="str">
        <x:v>Terminal incremental ROIC</x:v>
      </x:c>
      <x:c r="D41" s="25" t="n">
        <x:v>0.15</x:v>
      </x:c>
      <x:c r="E41" s="2"/>
      <x:c r="F41" s="2"/>
      <x:c r="G41" s="2"/>
      <x:c r="H41" s="2"/>
      <x:c r="I41" s="2"/>
      <x:c r="J41" s="1"/>
      <x:c r="K41" s="1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</x:row>
    <x:row r="42" ht="18" customHeight="1">
      <x:c r="A42" s="1"/>
      <x:c r="B42" s="1"/>
      <x:c r="C42" s="1" t="str">
        <x:v>Forward EV / EBITDA</x:v>
      </x:c>
      <x:c r="D42" s="55" t="n">
        <x:v>11</x:v>
      </x:c>
      <x:c r="E42" s="2"/>
      <x:c r="F42" s="2"/>
      <x:c r="G42" s="2"/>
      <x:c r="H42" s="2"/>
      <x:c r="I42" s="2"/>
      <x:c r="J42" s="1"/>
      <x:c r="K42" s="1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</x:row>
    <x:row r="43" ht="18" customHeight="1">
      <x:c r="A43" s="1"/>
      <x:c r="B43" s="1"/>
      <x:c r="C43" s="19" t="str">
        <x:v>OPERATING BUILD</x:v>
      </x:c>
      <x:c r="D43" s="20"/>
      <x:c r="E43" s="20"/>
      <x:c r="F43" s="20"/>
      <x:c r="G43" s="20"/>
      <x:c r="H43" s="20"/>
      <x:c r="I43" s="20"/>
      <x:c r="J43" s="1"/>
      <x:c r="K43" s="1"/>
      <x:c r="M43" s="64" t="str">
        <x:v>Actuals are reference inputs. Calibrate the opening balances and forecast assumptions separately.</x:v>
      </x:c>
      <x:c r="N43" s="64"/>
      <x:c r="O43" s="64"/>
      <x:c r="P43" s="64"/>
      <x:c r="Q43" s="64"/>
      <x:c r="R43" s="64"/>
      <x:c r="S43" s="64"/>
      <x:c r="T43" s="64"/>
      <x:c r="U43" s="64"/>
      <x:c r="V43" s="63"/>
    </x:row>
    <x:row r="44" ht="18" customHeight="1">
      <x:c r="A44" s="1"/>
      <x:c r="B44" s="1"/>
      <x:c r="C44" s="1" t="str">
        <x:v>Average operational capacity (MW)</x:v>
      </x:c>
      <x:c r="D44" s="2"/>
      <x:c r="E44" s="8" t="n">
        <x:f>IF($D$112=1,E163,$D10*(1+E12))</x:f>
        <x:v>1680.0000000000002</x:v>
      </x:c>
      <x:c r="F44" s="8" t="n">
        <x:f>IF($D$112=1,F163,E44*(1+F12))</x:f>
        <x:v>1881.6000000000004</x:v>
      </x:c>
      <x:c r="G44" s="8" t="n">
        <x:f>IF($D$112=1,G163,F44*(1+G12))</x:f>
        <x:v>2107.3920000000007</x:v>
      </x:c>
      <x:c r="H44" s="8" t="n">
        <x:f>IF($D$112=1,H163,G44*(1+H12))</x:f>
        <x:v>2360.2790400000013</x:v>
      </x:c>
      <x:c r="I44" s="8" t="n">
        <x:f>IF($D$112=1,I163,H44*(1+I12))</x:f>
        <x:v>2643.5125248000018</x:v>
      </x:c>
      <x:c r="J44" s="1"/>
      <x:c r="K44" s="1"/>
      <x:c r="M44" s="64"/>
      <x:c r="N44" s="64"/>
      <x:c r="O44" s="64"/>
      <x:c r="P44" s="64"/>
      <x:c r="Q44" s="64"/>
      <x:c r="R44" s="64"/>
      <x:c r="S44" s="64"/>
      <x:c r="T44" s="64"/>
      <x:c r="U44" s="64"/>
      <x:c r="V44" s="63"/>
    </x:row>
    <x:row r="45" ht="18" customHeight="1">
      <x:c r="A45" s="1"/>
      <x:c r="B45" s="1"/>
      <x:c r="C45" s="1" t="str">
        <x:v>Realized tariff (INR per kWh)</x:v>
      </x:c>
      <x:c r="D45" s="2"/>
      <x:c r="E45" s="8" t="n">
        <x:f>$D11*(1+E16)</x:f>
        <x:v>3.2</x:v>
      </x:c>
      <x:c r="F45" s="8" t="n">
        <x:f>E45*(1+F16)</x:f>
        <x:v>3.2</x:v>
      </x:c>
      <x:c r="G45" s="8" t="n">
        <x:f>F45*(1+G16)</x:f>
        <x:v>3.2</x:v>
      </x:c>
      <x:c r="H45" s="8" t="n">
        <x:f>G45*(1+H16)</x:f>
        <x:v>3.2</x:v>
      </x:c>
      <x:c r="I45" s="8" t="n">
        <x:f>H45*(1+I16)</x:f>
        <x:v>3.2</x:v>
      </x:c>
      <x:c r="J45" s="1"/>
      <x:c r="K45" s="1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</x:row>
    <x:row r="46" ht="18" customHeight="1">
      <x:c r="A46" s="1"/>
      <x:c r="B46" s="1"/>
      <x:c r="C46" s="1" t="str">
        <x:v>Generation (million kWh)</x:v>
      </x:c>
      <x:c r="D46" s="2"/>
      <x:c r="E46" s="10" t="n">
        <x:f>E44*'Controls'!$E$12*'Controls'!$E$13*E20/'Controls'!$E$14</x:f>
        <x:v>3973.536000000001</x:v>
      </x:c>
      <x:c r="F46" s="10" t="n">
        <x:f>F44*'Controls'!$E$12*'Controls'!$E$13*F20/'Controls'!$E$14</x:f>
        <x:v>4450.360320000001</x:v>
      </x:c>
      <x:c r="G46" s="10" t="n">
        <x:f>G44*'Controls'!$E$12*'Controls'!$E$13*G20/'Controls'!$E$14</x:f>
        <x:v>4984.403558400001</x:v>
      </x:c>
      <x:c r="H46" s="10" t="n">
        <x:f>H44*'Controls'!$E$12*'Controls'!$E$13*H20/'Controls'!$E$14</x:f>
        <x:v>5582.5319854080035</x:v>
      </x:c>
      <x:c r="I46" s="10" t="n">
        <x:f>I44*'Controls'!$E$12*'Controls'!$E$13*I20/'Controls'!$E$14</x:f>
        <x:v>6252.435823656965</x:v>
      </x:c>
      <x:c r="J46" s="1"/>
      <x:c r="K46" s="1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</x:row>
    <x:row r="47" ht="18" customHeight="1">
      <x:c r="A47" s="1"/>
      <x:c r="B47" s="1"/>
      <x:c r="C47" s="38" t="str">
        <x:v>Revenue</x:v>
      </x:c>
      <x:c r="D47" s="39"/>
      <x:c r="E47" s="60" t="n">
        <x:f>E46*E45*'Controls'!$E$14/'Controls'!$E$9</x:f>
        <x:v>1271.5315200000005</x:v>
      </x:c>
      <x:c r="F47" s="60" t="n">
        <x:f>F46*F45*'Controls'!$E$14/'Controls'!$E$9</x:f>
        <x:v>1424.1153024000005</x:v>
      </x:c>
      <x:c r="G47" s="60" t="n">
        <x:f>G46*G45*'Controls'!$E$14/'Controls'!$E$9</x:f>
        <x:v>1595.0091386880006</x:v>
      </x:c>
      <x:c r="H47" s="60" t="n">
        <x:f>H46*H45*'Controls'!$E$14/'Controls'!$E$9</x:f>
        <x:v>1786.4102353305611</x:v>
      </x:c>
      <x:c r="I47" s="60" t="n">
        <x:f>I46*I45*'Controls'!$E$14/'Controls'!$E$9</x:f>
        <x:v>2000.779463570229</x:v>
      </x:c>
      <x:c r="J47" s="1"/>
      <x:c r="K47" s="1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</x:row>
    <x:row r="48" ht="25" customHeight="1">
      <x:c r="A48" s="1"/>
      <x:c r="B48" s="1"/>
      <x:c r="C48" s="19" t="str">
        <x:v>INCOME STATEMENT</x:v>
      </x:c>
      <x:c r="D48" s="20"/>
      <x:c r="E48" s="20"/>
      <x:c r="F48" s="20"/>
      <x:c r="G48" s="20"/>
      <x:c r="H48" s="20"/>
      <x:c r="I48" s="20"/>
      <x:c r="J48" s="1"/>
      <x:c r="K48" s="1"/>
      <x:c r="M48" s="82" t="str">
        <x:v>DCF equity value | rows WACC / columns terminal growth</x:v>
      </x:c>
      <x:c r="N48" s="82"/>
      <x:c r="O48" s="82"/>
      <x:c r="P48" s="82"/>
      <x:c r="Q48" s="82"/>
      <x:c r="R48" s="82"/>
      <x:c r="S48" s="63"/>
      <x:c r="T48" s="63"/>
      <x:c r="U48" s="63"/>
      <x:c r="V48" s="63"/>
    </x:row>
    <x:row r="49" ht="18" customHeight="1">
      <x:c r="A49" s="1"/>
      <x:c r="B49" s="1"/>
      <x:c r="C49" s="1" t="str">
        <x:v>Direct cash costs</x:v>
      </x:c>
      <x:c r="D49" s="2"/>
      <x:c r="E49" s="8" t="n">
        <x:f>E47*E21</x:f>
        <x:v>178.0144128000001</x:v>
      </x:c>
      <x:c r="F49" s="8" t="n">
        <x:f>F47*F21</x:f>
        <x:v>199.37614233600007</x:v>
      </x:c>
      <x:c r="G49" s="8" t="n">
        <x:f>G47*G21</x:f>
        <x:v>223.3012794163201</x:v>
      </x:c>
      <x:c r="H49" s="8" t="n">
        <x:f>H47*H21</x:f>
        <x:v>250.0974329462786</x:v>
      </x:c>
      <x:c r="I49" s="8" t="n">
        <x:f>I47*I21</x:f>
        <x:v>280.10912489983207</x:v>
      </x:c>
      <x:c r="J49" s="1"/>
      <x:c r="K49" s="1"/>
      <x:c r="M49" s="63"/>
      <x:c r="N49" s="70" t="n">
        <x:f>$D$40+-0.01</x:f>
        <x:v>0.03</x:v>
      </x:c>
      <x:c r="O49" s="70" t="n">
        <x:f>$D$40+-0.005</x:f>
        <x:v>0.035</x:v>
      </x:c>
      <x:c r="P49" s="70" t="n">
        <x:f>$D$40+0</x:f>
        <x:v>0.04</x:v>
      </x:c>
      <x:c r="Q49" s="70" t="n">
        <x:f>$D$40+0.005</x:f>
        <x:v>0.045</x:v>
      </x:c>
      <x:c r="R49" s="70" t="n">
        <x:f>$D$40+0.01</x:f>
        <x:v>0.05</x:v>
      </x:c>
      <x:c r="S49" s="63"/>
      <x:c r="T49" s="63"/>
      <x:c r="U49" s="63"/>
      <x:c r="V49" s="63"/>
    </x:row>
    <x:row r="50" ht="18" customHeight="1">
      <x:c r="A50" s="1"/>
      <x:c r="B50" s="1"/>
      <x:c r="C50" s="1" t="str">
        <x:v>Gross profit</x:v>
      </x:c>
      <x:c r="D50" s="2"/>
      <x:c r="E50" s="8" t="n">
        <x:f>E47-E49</x:f>
        <x:v>1093.5171072000003</x:v>
      </x:c>
      <x:c r="F50" s="8" t="n">
        <x:f>F47-F49</x:f>
        <x:v>1224.7391600640003</x:v>
      </x:c>
      <x:c r="G50" s="8" t="n">
        <x:f>G47-G49</x:f>
        <x:v>1371.7078592716805</x:v>
      </x:c>
      <x:c r="H50" s="8" t="n">
        <x:f>H47-H49</x:f>
        <x:v>1536.3128023842826</x:v>
      </x:c>
      <x:c r="I50" s="8" t="n">
        <x:f>I47-I49</x:f>
        <x:v>1720.6703386703969</x:v>
      </x:c>
      <x:c r="J50" s="1"/>
      <x:c r="K50" s="1"/>
      <x:c r="M50" s="70" t="n">
        <x:f>$D$39+-0.02</x:f>
        <x:v>0.09999999999999999</x:v>
      </x:c>
      <x:c r="N50" s="8" t="n">
        <x:f>IF($M50&lt;=N$49,"n/a",IF(N$49&gt;$D$41,"n/a",E77/(1+$M50)^1+F77/(1+$M50)^2+G77/(1+$M50)^3+H77/(1+$M50)^4+I77/(1+$M50)^5+I76*(1+N$49)*(1-N$49/D41)/($M50-N$49)/(1+$M50)^5-D35+D36))</x:f>
        <x:v>5407.175583467277</x:v>
      </x:c>
      <x:c r="O50" s="8" t="n">
        <x:f>IF($M50&lt;=O$49,"n/a",IF(O$49&gt;$D$41,"n/a",E77/(1+$M50)^1+F77/(1+$M50)^2+G77/(1+$M50)^3+H77/(1+$M50)^4+I77/(1+$M50)^5+I76*(1+O$49)*(1-O$49/D41)/($M50-O$49)/(1+$M50)^5-D35+D36))</x:f>
        <x:v>5657.938940182692</x:v>
      </x:c>
      <x:c r="P50" s="8" t="n">
        <x:f>IF($M50&lt;=P$49,"n/a",IF(P$49&gt;$D$41,"n/a",E77/(1+$M50)^1+F77/(1+$M50)^2+G77/(1+$M50)^3+H77/(1+$M50)^4+I77/(1+$M50)^5+I76*(1+P$49)*(1-P$49/D41)/($M50-P$49)/(1+$M50)^5-D35+D36))</x:f>
        <x:v>5947.302869580304</x:v>
      </x:c>
      <x:c r="Q50" s="8" t="n">
        <x:f>IF($M50&lt;=Q$49,"n/a",IF(Q$49&gt;$D$41,"n/a",E77/(1+$M50)^1+F77/(1+$M50)^2+G77/(1+$M50)^3+H77/(1+$M50)^4+I77/(1+$M50)^5+I76*(1+Q$49)*(1-Q$49/D41)/($M50-Q$49)/(1+$M50)^5-D35+D36))</x:f>
        <x:v>6285.794800573432</x:v>
      </x:c>
      <x:c r="R50" s="8" t="n">
        <x:f>IF($M50&lt;=R$49,"n/a",IF(R$49&gt;$D$41,"n/a",E77/(1+$M50)^1+F77/(1+$M50)^2+G77/(1+$M50)^3+H77/(1+$M50)^4+I77/(1+$M50)^5+I76*(1+R$49)*(1-R$49/D41)/($M50-R$49)/(1+$M50)^5-D35+D36))</x:f>
        <x:v>6688.153133640742</x:v>
      </x:c>
      <x:c r="S50" s="63"/>
      <x:c r="T50" s="63"/>
      <x:c r="U50" s="63"/>
      <x:c r="V50" s="63"/>
    </x:row>
    <x:row r="51" ht="18" customHeight="1">
      <x:c r="A51" s="1"/>
      <x:c r="B51" s="1"/>
      <x:c r="C51" s="1" t="str">
        <x:v>Other cash operating costs</x:v>
      </x:c>
      <x:c r="D51" s="2"/>
      <x:c r="E51" s="8" t="n">
        <x:f>E47*E22</x:f>
        <x:v>101.72252160000004</x:v>
      </x:c>
      <x:c r="F51" s="8" t="n">
        <x:f>F47*F22</x:f>
        <x:v>113.92922419200004</x:v>
      </x:c>
      <x:c r="G51" s="8" t="n">
        <x:f>G47*G22</x:f>
        <x:v>127.60073109504005</x:v>
      </x:c>
      <x:c r="H51" s="8" t="n">
        <x:f>H47*H22</x:f>
        <x:v>142.9128188264449</x:v>
      </x:c>
      <x:c r="I51" s="8" t="n">
        <x:f>I47*I22</x:f>
        <x:v>160.06235708561832</x:v>
      </x:c>
      <x:c r="J51" s="1"/>
      <x:c r="K51" s="1"/>
      <x:c r="M51" s="70" t="n">
        <x:f>$D$39+-0.01</x:f>
        <x:v>0.11</x:v>
      </x:c>
      <x:c r="N51" s="8" t="n">
        <x:f>IF($M51&lt;=N$49,"n/a",IF(N$49&gt;$D$41,"n/a",E77/(1+$M51)^1+F77/(1+$M51)^2+G77/(1+$M51)^3+H77/(1+$M51)^4+I77/(1+$M51)^5+I76*(1+N$49)*(1-N$49/D41)/($M51-N$49)/(1+$M51)^5-D35+D36))</x:f>
        <x:v>4242.181049277421</x:v>
      </x:c>
      <x:c r="O51" s="8" t="n">
        <x:f>IF($M51&lt;=O$49,"n/a",IF(O$49&gt;$D$41,"n/a",E77/(1+$M51)^1+F77/(1+$M51)^2+G77/(1+$M51)^3+H77/(1+$M51)^4+I77/(1+$M51)^5+I76*(1+O$49)*(1-O$49/D41)/($M51-O$49)/(1+$M51)^5-D35+D36))</x:f>
        <x:v>4396.00413651675</x:v>
      </x:c>
      <x:c r="P51" s="8" t="n">
        <x:f>IF($M51&lt;=P$49,"n/a",IF(P$49&gt;$D$41,"n/a",E77/(1+$M51)^1+F77/(1+$M51)^2+G77/(1+$M51)^3+H77/(1+$M51)^4+I77/(1+$M51)^5+I76*(1+P$49)*(1-P$49/D41)/($M51-P$49)/(1+$M51)^5-D35+D36))</x:f>
        <x:v>4569.185911605928</x:v>
      </x:c>
      <x:c r="Q51" s="8" t="n">
        <x:f>IF($M51&lt;=Q$49,"n/a",IF(Q$49&gt;$D$41,"n/a",E77/(1+$M51)^1+F77/(1+$M51)^2+G77/(1+$M51)^3+H77/(1+$M51)^4+I77/(1+$M51)^5+I76*(1+Q$49)*(1-Q$49/D41)/($M51-Q$49)/(1+$M51)^5-D35+D36))</x:f>
        <x:v>4766.193764048763</x:v>
      </x:c>
      <x:c r="R51" s="8" t="n">
        <x:f>IF($M51&lt;=R$49,"n/a",IF(R$49&gt;$D$41,"n/a",E77/(1+$M51)^1+F77/(1+$M51)^2+G77/(1+$M51)^3+H77/(1+$M51)^4+I77/(1+$M51)^5+I76*(1+R$49)*(1-R$49/D41)/($M51-R$49)/(1+$M51)^5-D35+D36))</x:f>
        <x:v>4992.984213183674</x:v>
      </x:c>
      <x:c r="S51" s="63"/>
      <x:c r="T51" s="63"/>
      <x:c r="U51" s="63"/>
      <x:c r="V51" s="63"/>
    </x:row>
    <x:row r="52" ht="18" customHeight="1">
      <x:c r="A52" s="1"/>
      <x:c r="B52" s="1"/>
      <x:c r="C52" s="38" t="str">
        <x:v>EBITDA</x:v>
      </x:c>
      <x:c r="D52" s="39"/>
      <x:c r="E52" s="41" t="n">
        <x:f>E50-E51</x:f>
        <x:v>991.7945856000002</x:v>
      </x:c>
      <x:c r="F52" s="41" t="n">
        <x:f>F50-F51</x:f>
        <x:v>1110.8099358720003</x:v>
      </x:c>
      <x:c r="G52" s="41" t="n">
        <x:f>G50-G51</x:f>
        <x:v>1244.1071281766403</x:v>
      </x:c>
      <x:c r="H52" s="41" t="n">
        <x:f>H50-H51</x:f>
        <x:v>1393.3999835578377</x:v>
      </x:c>
      <x:c r="I52" s="41" t="n">
        <x:f>I50-I51</x:f>
        <x:v>1560.6079815847786</x:v>
      </x:c>
      <x:c r="J52" s="1"/>
      <x:c r="K52" s="1"/>
      <x:c r="M52" s="70" t="n">
        <x:f>$D$39+0</x:f>
        <x:v>0.12</x:v>
      </x:c>
      <x:c r="N52" s="8" t="n">
        <x:f>IF($M52&lt;=N$49,"n/a",IF(N$49&gt;$D$41,"n/a",E77/(1+$M52)^1+F77/(1+$M52)^2+G77/(1+$M52)^3+H77/(1+$M52)^4+I77/(1+$M52)^5+I76*(1+N$49)*(1-N$49/D41)/($M52-N$49)/(1+$M52)^5-D35+D36))</x:f>
        <x:v>3337.94800345525</x:v>
      </x:c>
      <x:c r="O52" s="8" t="n">
        <x:f>IF($M52&lt;=O$49,"n/a",IF(O$49&gt;$D$41,"n/a",E77/(1+$M52)^1+F77/(1+$M52)^2+G77/(1+$M52)^3+H77/(1+$M52)^4+I77/(1+$M52)^5+I76*(1+O$49)*(1-O$49/D41)/($M52-O$49)/(1+$M52)^5-D35+D36))</x:f>
        <x:v>3432.3605117101806</x:v>
      </x:c>
      <x:c r="P52" s="8" t="n">
        <x:f>IF($M52&lt;=P$49,"n/a",IF(P$49&gt;$D$41,"n/a",E77/(1+$M52)^1+F77/(1+$M52)^2+G77/(1+$M52)^3+H77/(1+$M52)^4+I77/(1+$M52)^5+I76*(1+P$49)*(1-P$49/D41)/($M52-P$49)/(1+$M52)^5-D35+D36))</x:f>
        <x:v>3536.3859298965253</x:v>
      </x:c>
      <x:c r="Q52" s="8" t="n">
        <x:f>IF($M52&lt;=Q$49,"n/a",IF(Q$49&gt;$D$41,"n/a",E77/(1+$M52)^1+F77/(1+$M52)^2+G77/(1+$M52)^3+H77/(1+$M52)^4+I77/(1+$M52)^5+I76*(1+Q$49)*(1-Q$49/D41)/($M52-Q$49)/(1+$M52)^5-D35+D36))</x:f>
        <x:v>3651.9468400005608</x:v>
      </x:c>
      <x:c r="R52" s="8" t="n">
        <x:f>IF($M52&lt;=R$49,"n/a",IF(R$49&gt;$D$41,"n/a",E77/(1+$M52)^1+F77/(1+$M52)^2+G77/(1+$M52)^3+H77/(1+$M52)^4+I77/(1+$M52)^5+I76*(1+R$49)*(1-R$49/D41)/($M52-R$49)/(1+$M52)^5-D35+D36))</x:f>
        <x:v>3781.5151331475117</x:v>
      </x:c>
      <x:c r="S52" s="63"/>
      <x:c r="T52" s="63"/>
      <x:c r="U52" s="63"/>
      <x:c r="V52" s="63"/>
    </x:row>
    <x:row r="53" ht="18" customHeight="1">
      <x:c r="A53" s="1"/>
      <x:c r="B53" s="1"/>
      <x:c r="C53" s="1" t="str">
        <x:v>Depreciation and amortization</x:v>
      </x:c>
      <x:c r="D53" s="2"/>
      <x:c r="E53" s="8" t="n">
        <x:f>E134</x:f>
        <x:v>315</x:v>
      </x:c>
      <x:c r="F53" s="8" t="n">
        <x:f>F134</x:f>
        <x:v>315.1297296</x:v>
      </x:c>
      <x:c r="G53" s="8" t="n">
        <x:f>G134</x:f>
        <x:v>316.97018892</x:v>
      </x:c>
      <x:c r="H53" s="8" t="n">
        <x:f>H134</x:f>
        <x:v>320.65038322884004</x:v>
      </x:c>
      <x:c r="I53" s="8" t="n">
        <x:f>I134</x:f>
        <x:v>326.31823113101103</x:v>
      </x:c>
      <x:c r="J53" s="1"/>
      <x:c r="K53" s="1"/>
      <x:c r="M53" s="70" t="n">
        <x:f>$D$39+0.01</x:f>
        <x:v>0.13</x:v>
      </x:c>
      <x:c r="N53" s="8" t="n">
        <x:f>IF($M53&lt;=N$49,"n/a",IF(N$49&gt;$D$41,"n/a",E77/(1+$M53)^1+F77/(1+$M53)^2+G77/(1+$M53)^3+H77/(1+$M53)^4+I77/(1+$M53)^5+I76*(1+N$49)*(1-N$49/D41)/($M53-N$49)/(1+$M53)^5-D35+D36))</x:f>
        <x:v>2616.1603379885682</x:v>
      </x:c>
      <x:c r="O53" s="8" t="n">
        <x:f>IF($M53&lt;=O$49,"n/a",IF(O$49&gt;$D$41,"n/a",E77/(1+$M53)^1+F77/(1+$M53)^2+G77/(1+$M53)^3+H77/(1+$M53)^4+I77/(1+$M53)^5+I76*(1+O$49)*(1-O$49/D41)/($M53-O$49)/(1+$M53)^5-D35+D36))</x:f>
        <x:v>2672.751204128963</x:v>
      </x:c>
      <x:c r="P53" s="8" t="n">
        <x:f>IF($M53&lt;=P$49,"n/a",IF(P$49&gt;$D$41,"n/a",E77/(1+$M53)^1+F77/(1+$M53)^2+G77/(1+$M53)^3+H77/(1+$M53)^4+I77/(1+$M53)^5+I76*(1+P$49)*(1-P$49/D41)/($M53-P$49)/(1+$M53)^5-D35+D36))</x:f>
        <x:v>2733.769046990622</x:v>
      </x:c>
      <x:c r="Q53" s="8" t="n">
        <x:f>IF($M53&lt;=Q$49,"n/a",IF(Q$49&gt;$D$41,"n/a",E77/(1+$M53)^1+F77/(1+$M53)^2+G77/(1+$M53)^3+H77/(1+$M53)^4+I77/(1+$M53)^5+I76*(1+Q$49)*(1-Q$49/D41)/($M53-Q$49)/(1+$M53)^5-D35+D36))</x:f>
        <x:v>2799.9950977596463</x:v>
      </x:c>
      <x:c r="R53" s="8" t="n">
        <x:f>IF($M53&lt;=R$49,"n/a",IF(R$49&gt;$D$41,"n/a",E77/(1+$M53)^1+F77/(1+$M53)^2+G77/(1+$M53)^3+H77/(1+$M53)^4+I77/(1+$M53)^5+I76*(1+R$49)*(1-R$49/D41)/($M53-R$49)/(1+$M53)^5-D35+D36))</x:f>
        <x:v>2872.405895418675</x:v>
      </x:c>
      <x:c r="S53" s="63"/>
      <x:c r="T53" s="63"/>
      <x:c r="U53" s="63"/>
      <x:c r="V53" s="63"/>
    </x:row>
    <x:row r="54" ht="18" customHeight="1">
      <x:c r="A54" s="1"/>
      <x:c r="B54" s="1"/>
      <x:c r="C54" s="1" t="str">
        <x:v>EBIT</x:v>
      </x:c>
      <x:c r="D54" s="2"/>
      <x:c r="E54" s="8" t="n">
        <x:f>E52-E53</x:f>
        <x:v>676.7945856000002</x:v>
      </x:c>
      <x:c r="F54" s="8" t="n">
        <x:f>F52-F53</x:f>
        <x:v>795.6802062720003</x:v>
      </x:c>
      <x:c r="G54" s="8" t="n">
        <x:f>G52-G53</x:f>
        <x:v>927.1369392566403</x:v>
      </x:c>
      <x:c r="H54" s="8" t="n">
        <x:f>H52-H53</x:f>
        <x:v>1072.7496003289975</x:v>
      </x:c>
      <x:c r="I54" s="8" t="n">
        <x:f>I52-I53</x:f>
        <x:v>1234.2897504537675</x:v>
      </x:c>
      <x:c r="J54" s="1"/>
      <x:c r="K54" s="1"/>
      <x:c r="M54" s="70" t="n">
        <x:f>$D$39+0.02</x:f>
        <x:v>0.13999999999999999</x:v>
      </x:c>
      <x:c r="N54" s="8" t="n">
        <x:f>IF($M54&lt;=N$49,"n/a",IF(N$49&gt;$D$41,"n/a",E77/(1+$M54)^1+F77/(1+$M54)^2+G77/(1+$M54)^3+H77/(1+$M54)^4+I77/(1+$M54)^5+I76*(1+N$49)*(1-N$49/D41)/($M54-N$49)/(1+$M54)^5-D35+D36))</x:f>
        <x:v>2026.9854565730238</x:v>
      </x:c>
      <x:c r="O54" s="8" t="n">
        <x:f>IF($M54&lt;=O$49,"n/a",IF(O$49&gt;$D$41,"n/a",E77/(1+$M54)^1+F77/(1+$M54)^2+G77/(1+$M54)^3+H77/(1+$M54)^4+I77/(1+$M54)^5+I76*(1+O$49)*(1-O$49/D41)/($M54-O$49)/(1+$M54)^5-D35+D36))</x:f>
        <x:v>2058.8298939516935</x:v>
      </x:c>
      <x:c r="P54" s="8" t="n">
        <x:f>IF($M54&lt;=P$49,"n/a",IF(P$49&gt;$D$41,"n/a",E77/(1+$M54)^1+F77/(1+$M54)^2+G77/(1+$M54)^3+H77/(1+$M54)^4+I77/(1+$M54)^5+I76*(1+P$49)*(1-P$49/D41)/($M54-P$49)/(1+$M54)^5-D35+D36))</x:f>
        <x:v>2092.256146520418</x:v>
      </x:c>
      <x:c r="Q54" s="8" t="n">
        <x:f>IF($M54&lt;=Q$49,"n/a",IF(Q$49&gt;$D$41,"n/a",E77/(1+$M54)^1+F77/(1+$M54)^2+G77/(1+$M54)^3+H77/(1+$M54)^4+I77/(1+$M54)^5+I76*(1+Q$49)*(1-Q$49/D41)/($M54-Q$49)/(1+$M54)^5-D35+D36))</x:f>
        <x:v>2127.5139745723563</x:v>
      </x:c>
      <x:c r="R54" s="8" t="n">
        <x:f>IF($M54&lt;=R$49,"n/a",IF(R$49&gt;$D$41,"n/a",E77/(1+$M54)^1+F77/(1+$M54)^2+G77/(1+$M54)^3+H77/(1+$M54)^4+I77/(1+$M54)^5+I76*(1+R$49)*(1-R$49/D41)/($M54-R$49)/(1+$M54)^5-D35+D36))</x:f>
        <x:v>2164.9086406880515</x:v>
      </x:c>
      <x:c r="S54" s="63"/>
      <x:c r="T54" s="63"/>
      <x:c r="U54" s="63"/>
      <x:c r="V54" s="63"/>
    </x:row>
    <x:row r="55" ht="18" customHeight="1">
      <x:c r="A55" s="1"/>
      <x:c r="B55" s="1"/>
      <x:c r="C55" s="1" t="str">
        <x:v>Interest expense</x:v>
      </x:c>
      <x:c r="D55" s="2"/>
      <x:c r="E55" s="8" t="n">
        <x:f>E125</x:f>
        <x:v>340</x:v>
      </x:c>
      <x:c r="F55" s="8" t="n">
        <x:f>F125</x:f>
        <x:v>323</x:v>
      </x:c>
      <x:c r="G55" s="8" t="n">
        <x:f>G125</x:f>
        <x:v>306</x:v>
      </x:c>
      <x:c r="H55" s="8" t="n">
        <x:f>H125</x:f>
        <x:v>289</x:v>
      </x:c>
      <x:c r="I55" s="8" t="n">
        <x:f>I125</x:f>
        <x:v>272</x:v>
      </x:c>
      <x:c r="J55" s="1"/>
      <x:c r="K55" s="1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</x:row>
    <x:row r="56" ht="18" customHeight="1">
      <x:c r="A56" s="1"/>
      <x:c r="B56" s="1"/>
      <x:c r="C56" s="1" t="str">
        <x:v>Profit before tax</x:v>
      </x:c>
      <x:c r="D56" s="2"/>
      <x:c r="E56" s="8" t="n">
        <x:f>E54-E55</x:f>
        <x:v>336.79458560000023</x:v>
      </x:c>
      <x:c r="F56" s="8" t="n">
        <x:f>F54-F55</x:f>
        <x:v>472.6802062720003</x:v>
      </x:c>
      <x:c r="G56" s="8" t="n">
        <x:f>G54-G55</x:f>
        <x:v>621.1369392566403</x:v>
      </x:c>
      <x:c r="H56" s="8" t="n">
        <x:f>H54-H55</x:f>
        <x:v>783.7496003289975</x:v>
      </x:c>
      <x:c r="I56" s="8" t="n">
        <x:f>I54-I55</x:f>
        <x:v>962.2897504537675</x:v>
      </x:c>
      <x:c r="J56" s="1"/>
      <x:c r="K56" s="1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</x:row>
    <x:row r="57" ht="18" customHeight="1">
      <x:c r="A57" s="1"/>
      <x:c r="B57" s="1"/>
      <x:c r="C57" s="1" t="str">
        <x:v>Cash income tax</x:v>
      </x:c>
      <x:c r="D57" s="2"/>
      <x:c r="E57" s="8" t="n">
        <x:f>E144</x:f>
        <x:v>84.19864640000006</x:v>
      </x:c>
      <x:c r="F57" s="8" t="n">
        <x:f>F144</x:f>
        <x:v>118.17005156800008</x:v>
      </x:c>
      <x:c r="G57" s="8" t="n">
        <x:f>G144</x:f>
        <x:v>155.28423481416007</x:v>
      </x:c>
      <x:c r="H57" s="8" t="n">
        <x:f>H144</x:f>
        <x:v>195.93740008224938</x:v>
      </x:c>
      <x:c r="I57" s="8" t="n">
        <x:f>I144</x:f>
        <x:v>240.57243761344188</x:v>
      </x:c>
      <x:c r="J57" s="1"/>
      <x:c r="K57" s="1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</x:row>
    <x:row r="58" ht="25" customHeight="1">
      <x:c r="A58" s="1"/>
      <x:c r="B58" s="1"/>
      <x:c r="C58" s="38" t="str">
        <x:v>Profit after tax</x:v>
      </x:c>
      <x:c r="D58" s="39"/>
      <x:c r="E58" s="41" t="n">
        <x:f>E56-E57</x:f>
        <x:v>252.59593920000017</x:v>
      </x:c>
      <x:c r="F58" s="41" t="n">
        <x:f>F56-F57</x:f>
        <x:v>354.51015470400023</x:v>
      </x:c>
      <x:c r="G58" s="41" t="n">
        <x:f>G56-G57</x:f>
        <x:v>465.8527044424802</x:v>
      </x:c>
      <x:c r="H58" s="41" t="n">
        <x:f>H56-H57</x:f>
        <x:v>587.8122002467481</x:v>
      </x:c>
      <x:c r="I58" s="41" t="n">
        <x:f>I56-I57</x:f>
        <x:v>721.7173128403256</x:v>
      </x:c>
      <x:c r="J58" s="1"/>
      <x:c r="K58" s="1"/>
      <x:c r="M58" s="82" t="str">
        <x:v>Forward equity value | rows EBITDA / columns EV/EBITDA</x:v>
      </x:c>
      <x:c r="N58" s="82"/>
      <x:c r="O58" s="82"/>
      <x:c r="P58" s="82"/>
      <x:c r="Q58" s="82"/>
      <x:c r="R58" s="82"/>
      <x:c r="S58" s="63"/>
      <x:c r="T58" s="63"/>
      <x:c r="U58" s="63"/>
      <x:c r="V58" s="63"/>
    </x:row>
    <x:row r="59" ht="18" customHeight="1">
      <x:c r="A59" s="1"/>
      <x:c r="B59" s="1"/>
      <x:c r="C59" s="19" t="str">
        <x:v>WORKING CAPITAL AND ASSET SCHEDULES</x:v>
      </x:c>
      <x:c r="D59" s="20"/>
      <x:c r="E59" s="20"/>
      <x:c r="F59" s="20"/>
      <x:c r="G59" s="20"/>
      <x:c r="H59" s="20"/>
      <x:c r="I59" s="20"/>
      <x:c r="J59" s="1"/>
      <x:c r="K59" s="1"/>
      <x:c r="M59" s="63"/>
      <x:c r="N59" s="78" t="n">
        <x:f>MAX(0,D42+-2)</x:f>
        <x:v>9</x:v>
      </x:c>
      <x:c r="O59" s="78" t="n">
        <x:f>MAX(0,D42+-1)</x:f>
        <x:v>10</x:v>
      </x:c>
      <x:c r="P59" s="78" t="n">
        <x:f>MAX(0,D42+0)</x:f>
        <x:v>11</x:v>
      </x:c>
      <x:c r="Q59" s="78" t="n">
        <x:f>MAX(0,D42+1)</x:f>
        <x:v>12</x:v>
      </x:c>
      <x:c r="R59" s="78" t="n">
        <x:f>MAX(0,D42+2)</x:f>
        <x:v>13</x:v>
      </x:c>
      <x:c r="S59" s="63"/>
      <x:c r="T59" s="63"/>
      <x:c r="U59" s="63"/>
      <x:c r="V59" s="63"/>
    </x:row>
    <x:row r="60" ht="18" customHeight="1">
      <x:c r="A60" s="1"/>
      <x:c r="B60" s="1"/>
      <x:c r="C60" s="1" t="str">
        <x:v>Trade receivables</x:v>
      </x:c>
      <x:c r="D60" s="2"/>
      <x:c r="E60" s="10" t="n">
        <x:f>E47*E25/'Controls'!$E$11</x:f>
        <x:v>348.3648000000001</x:v>
      </x:c>
      <x:c r="F60" s="10" t="n">
        <x:f>F47*F25/'Controls'!$E$11</x:f>
        <x:v>390.16857600000014</x:v>
      </x:c>
      <x:c r="G60" s="10" t="n">
        <x:f>G47*G25/'Controls'!$E$11</x:f>
        <x:v>436.98880512000017</x:v>
      </x:c>
      <x:c r="H60" s="10" t="n">
        <x:f>H47*H25/'Controls'!$E$11</x:f>
        <x:v>489.4274617344003</x:v>
      </x:c>
      <x:c r="I60" s="10" t="n">
        <x:f>I47*I25/'Controls'!$E$11</x:f>
        <x:v>548.1587571425284</x:v>
      </x:c>
      <x:c r="J60" s="1"/>
      <x:c r="K60" s="1"/>
      <x:c r="M60" s="8" t="n">
        <x:f>E52*0.8</x:f>
        <x:v>793.4356684800002</x:v>
      </x:c>
      <x:c r="N60" s="8" t="n">
        <x:f>$M60*N$59-D35+D36</x:f>
        <x:v>3640.9210163200023</x:v>
      </x:c>
      <x:c r="O60" s="8" t="n">
        <x:f>$M60*O$59-D35+D36</x:f>
        <x:v>4434.356684800003</x:v>
      </x:c>
      <x:c r="P60" s="8" t="n">
        <x:f>$M60*P$59-D35+D36</x:f>
        <x:v>5227.792353280003</x:v>
      </x:c>
      <x:c r="Q60" s="8" t="n">
        <x:f>$M60*Q$59-D35+D36</x:f>
        <x:v>6021.228021760002</x:v>
      </x:c>
      <x:c r="R60" s="8" t="n">
        <x:f>$M60*R$59-D35+D36</x:f>
        <x:v>6814.663690240002</x:v>
      </x:c>
      <x:c r="S60" s="63"/>
      <x:c r="T60" s="63"/>
      <x:c r="U60" s="63"/>
      <x:c r="V60" s="63"/>
    </x:row>
    <x:row r="61" ht="18" customHeight="1">
      <x:c r="A61" s="1"/>
      <x:c r="B61" s="1"/>
      <x:c r="C61" s="1" t="str">
        <x:v>Inventory</x:v>
      </x:c>
      <x:c r="D61" s="2"/>
      <x:c r="E61" s="10" t="n">
        <x:f>E49*E26/'Controls'!$E$11</x:f>
        <x:v>0</x:v>
      </x:c>
      <x:c r="F61" s="10" t="n">
        <x:f>F49*F26/'Controls'!$E$11</x:f>
        <x:v>0</x:v>
      </x:c>
      <x:c r="G61" s="10" t="n">
        <x:f>G49*G26/'Controls'!$E$11</x:f>
        <x:v>0</x:v>
      </x:c>
      <x:c r="H61" s="10" t="n">
        <x:f>H49*H26/'Controls'!$E$11</x:f>
        <x:v>0</x:v>
      </x:c>
      <x:c r="I61" s="10" t="n">
        <x:f>I49*I26/'Controls'!$E$11</x:f>
        <x:v>0</x:v>
      </x:c>
      <x:c r="J61" s="1"/>
      <x:c r="K61" s="1"/>
      <x:c r="M61" s="8" t="n">
        <x:f>E52*0.9</x:f>
        <x:v>892.6151270400002</x:v>
      </x:c>
      <x:c r="N61" s="8" t="n">
        <x:f>$M61*N$59-D35+D36</x:f>
        <x:v>4533.536143360002</x:v>
      </x:c>
      <x:c r="O61" s="8" t="n">
        <x:f>$M61*O$59-D35+D36</x:f>
        <x:v>5426.1512704000015</x:v>
      </x:c>
      <x:c r="P61" s="8" t="n">
        <x:f>$M61*P$59-D35+D36</x:f>
        <x:v>6318.766397440002</x:v>
      </x:c>
      <x:c r="Q61" s="8" t="n">
        <x:f>$M61*Q$59-D35+D36</x:f>
        <x:v>7211.381524480003</x:v>
      </x:c>
      <x:c r="R61" s="8" t="n">
        <x:f>$M61*R$59-D35+D36</x:f>
        <x:v>8103.996651520003</x:v>
      </x:c>
      <x:c r="S61" s="63"/>
      <x:c r="T61" s="63"/>
      <x:c r="U61" s="63"/>
      <x:c r="V61" s="63"/>
    </x:row>
    <x:row r="62" ht="18" customHeight="1">
      <x:c r="A62" s="1"/>
      <x:c r="B62" s="1"/>
      <x:c r="C62" s="1" t="str">
        <x:v>Trade payables</x:v>
      </x:c>
      <x:c r="D62" s="2"/>
      <x:c r="E62" s="10" t="n">
        <x:f>E49*E27/'Controls'!$E$11</x:f>
        <x:v>14.631321600000007</x:v>
      </x:c>
      <x:c r="F62" s="10" t="n">
        <x:f>F49*F27/'Controls'!$E$11</x:f>
        <x:v>16.387080192000006</x:v>
      </x:c>
      <x:c r="G62" s="10" t="n">
        <x:f>G49*G27/'Controls'!$E$11</x:f>
        <x:v>18.35352981504001</x:v>
      </x:c>
      <x:c r="H62" s="10" t="n">
        <x:f>H49*H27/'Controls'!$E$11</x:f>
        <x:v>20.555953392844813</x:v>
      </x:c>
      <x:c r="I62" s="10" t="n">
        <x:f>I49*I27/'Controls'!$E$11</x:f>
        <x:v>23.0226677999862</x:v>
      </x:c>
      <x:c r="J62" s="1"/>
      <x:c r="K62" s="1"/>
      <x:c r="M62" s="8" t="n">
        <x:f>E52*1</x:f>
        <x:v>991.7945856000002</x:v>
      </x:c>
      <x:c r="N62" s="8" t="n">
        <x:f>$M62*N$59-D35+D36</x:f>
        <x:v>5426.1512704000015</x:v>
      </x:c>
      <x:c r="O62" s="8" t="n">
        <x:f>$M62*O$59-D35+D36</x:f>
        <x:v>6417.945856000002</x:v>
      </x:c>
      <x:c r="P62" s="8" t="n">
        <x:f>$M62*P$59-D35+D36</x:f>
        <x:v>7409.740441600003</x:v>
      </x:c>
      <x:c r="Q62" s="8" t="n">
        <x:f>$M62*Q$59-D35+D36</x:f>
        <x:v>8401.535027200003</x:v>
      </x:c>
      <x:c r="R62" s="8" t="n">
        <x:f>$M62*R$59-D35+D36</x:f>
        <x:v>9393.329612800004</x:v>
      </x:c>
      <x:c r="S62" s="63"/>
      <x:c r="T62" s="63"/>
      <x:c r="U62" s="63"/>
      <x:c r="V62" s="63"/>
    </x:row>
    <x:row r="63" ht="18" customHeight="1">
      <x:c r="A63" s="1"/>
      <x:c r="B63" s="1"/>
      <x:c r="C63" s="1" t="str">
        <x:v>Net working capital</x:v>
      </x:c>
      <x:c r="D63" s="2"/>
      <x:c r="E63" s="8" t="n">
        <x:f>E60+E61-E62</x:f>
        <x:v>333.7334784000001</x:v>
      </x:c>
      <x:c r="F63" s="8" t="n">
        <x:f>F60+F61-F62</x:f>
        <x:v>373.78149580800016</x:v>
      </x:c>
      <x:c r="G63" s="8" t="n">
        <x:f>G60+G61-G62</x:f>
        <x:v>418.63527530496015</x:v>
      </x:c>
      <x:c r="H63" s="8" t="n">
        <x:f>H60+H61-H62</x:f>
        <x:v>468.8715083415555</x:v>
      </x:c>
      <x:c r="I63" s="8" t="n">
        <x:f>I60+I61-I62</x:f>
        <x:v>525.1360893425423</x:v>
      </x:c>
      <x:c r="J63" s="1"/>
      <x:c r="K63" s="1"/>
      <x:c r="M63" s="8" t="n">
        <x:f>E52*1.1</x:f>
        <x:v>1090.9740441600004</x:v>
      </x:c>
      <x:c r="N63" s="8" t="n">
        <x:f>$M63*N$59-D35+D36</x:f>
        <x:v>6318.766397440004</x:v>
      </x:c>
      <x:c r="O63" s="8" t="n">
        <x:f>$M63*O$59-D35+D36</x:f>
        <x:v>7409.7404416000045</x:v>
      </x:c>
      <x:c r="P63" s="8" t="n">
        <x:f>$M63*P$59-D35+D36</x:f>
        <x:v>8500.714485760005</x:v>
      </x:c>
      <x:c r="Q63" s="8" t="n">
        <x:f>$M63*Q$59-D35+D36</x:f>
        <x:v>9591.688529920004</x:v>
      </x:c>
      <x:c r="R63" s="8" t="n">
        <x:f>$M63*R$59-D35+D36</x:f>
        <x:v>10682.662574080005</x:v>
      </x:c>
      <x:c r="S63" s="63"/>
      <x:c r="T63" s="63"/>
      <x:c r="U63" s="63"/>
      <x:c r="V63" s="63"/>
    </x:row>
    <x:row r="64" ht="18" customHeight="1">
      <x:c r="A64" s="1"/>
      <x:c r="B64" s="1"/>
      <x:c r="C64" s="1" t="str">
        <x:v>Increase in net working capital</x:v>
      </x:c>
      <x:c r="D64" s="2"/>
      <x:c r="E64" s="8" t="n">
        <x:f>E63-$D37</x:f>
        <x:v>35.757158400000094</x:v>
      </x:c>
      <x:c r="F64" s="8" t="n">
        <x:f>F63-E63</x:f>
        <x:v>40.04801740800008</x:v>
      </x:c>
      <x:c r="G64" s="8" t="n">
        <x:f>G63-F63</x:f>
        <x:v>44.85377949695999</x:v>
      </x:c>
      <x:c r="H64" s="8" t="n">
        <x:f>H63-G63</x:f>
        <x:v>50.236233036595365</x:v>
      </x:c>
      <x:c r="I64" s="8" t="n">
        <x:f>I63-H63</x:f>
        <x:v>56.264581000986766</x:v>
      </x:c>
      <x:c r="J64" s="1"/>
      <x:c r="K64" s="1"/>
      <x:c r="M64" s="8" t="n">
        <x:f>E52*1.2</x:f>
        <x:v>1190.1535027200002</x:v>
      </x:c>
      <x:c r="N64" s="8" t="n">
        <x:f>$M64*N$59-D35+D36</x:f>
        <x:v>7211.381524480003</x:v>
      </x:c>
      <x:c r="O64" s="8" t="n">
        <x:f>$M64*O$59-D35+D36</x:f>
        <x:v>8401.535027200003</x:v>
      </x:c>
      <x:c r="P64" s="8" t="n">
        <x:f>$M64*P$59-D35+D36</x:f>
        <x:v>9591.688529920002</x:v>
      </x:c>
      <x:c r="Q64" s="8" t="n">
        <x:f>$M64*Q$59-D35+D36</x:f>
        <x:v>10781.842032640003</x:v>
      </x:c>
      <x:c r="R64" s="8" t="n">
        <x:f>$M64*R$59-D35+D36</x:f>
        <x:v>11971.995535360003</x:v>
      </x:c>
      <x:c r="S64" s="63"/>
      <x:c r="T64" s="63"/>
      <x:c r="U64" s="63"/>
      <x:c r="V64" s="63"/>
    </x:row>
    <x:row r="65" ht="18" customHeight="1">
      <x:c r="A65" s="1"/>
      <x:c r="B65" s="1"/>
      <x:c r="C65" s="1" t="str">
        <x:v>Capital expenditure</x:v>
      </x:c>
      <x:c r="D65" s="2"/>
      <x:c r="E65" s="8" t="n">
        <x:f>IF($D$112=1,E166,E47*E23)</x:f>
        <x:v>317.8828800000001</x:v>
      </x:c>
      <x:c r="F65" s="8" t="n">
        <x:f>IF($D$112=1,F166,F47*F23)</x:f>
        <x:v>356.0288256000001</x:v>
      </x:c>
      <x:c r="G65" s="8" t="n">
        <x:f>IF($D$112=1,G166,G47*G23)</x:f>
        <x:v>398.75228467200014</x:v>
      </x:c>
      <x:c r="H65" s="8" t="n">
        <x:f>IF($D$112=1,H166,H47*H23)</x:f>
        <x:v>446.6025588326403</x:v>
      </x:c>
      <x:c r="I65" s="8" t="n">
        <x:f>IF($D$112=1,I166,I47*I23)</x:f>
        <x:v>500.19486589255723</x:v>
      </x:c>
      <x:c r="J65" s="1"/>
      <x:c r="K65" s="1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</x:row>
    <x:row r="66" ht="18" customHeight="1">
      <x:c r="A66" s="1"/>
      <x:c r="B66" s="1"/>
      <x:c r="C66" s="1" t="str">
        <x:v>Closing net PP&amp;E</x:v>
      </x:c>
      <x:c r="D66" s="2"/>
      <x:c r="E66" s="8" t="n">
        <x:f>E135</x:f>
        <x:v>7002.88288</x:v>
      </x:c>
      <x:c r="F66" s="8" t="n">
        <x:f>F135</x:f>
        <x:v>7043.781976</x:v>
      </x:c>
      <x:c r="G66" s="8" t="n">
        <x:f>G135</x:f>
        <x:v>7125.564071752001</x:v>
      </x:c>
      <x:c r="H66" s="8" t="n">
        <x:f>H135</x:f>
        <x:v>7251.516247355801</x:v>
      </x:c>
      <x:c r="I66" s="8" t="n">
        <x:f>I135</x:f>
        <x:v>7425.392882117348</x:v>
      </x:c>
      <x:c r="J66" s="1"/>
      <x:c r="K66" s="1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</x:row>
    <x:row r="67" ht="18" customHeight="1">
      <x:c r="A67" s="1"/>
      <x:c r="B67" s="1"/>
      <x:c r="C67" s="1" t="str">
        <x:v>Closing debt</x:v>
      </x:c>
      <x:c r="D67" s="2"/>
      <x:c r="E67" s="8" t="n">
        <x:f>E123</x:f>
        <x:v>3800</x:v>
      </x:c>
      <x:c r="F67" s="8" t="n">
        <x:f>F123</x:f>
        <x:v>3600</x:v>
      </x:c>
      <x:c r="G67" s="8" t="n">
        <x:f>G123</x:f>
        <x:v>3400</x:v>
      </x:c>
      <x:c r="H67" s="8" t="n">
        <x:f>H123</x:f>
        <x:v>3200</x:v>
      </x:c>
      <x:c r="I67" s="8" t="n">
        <x:f>I123</x:f>
        <x:v>3000</x:v>
      </x:c>
      <x:c r="J67" s="1"/>
      <x:c r="K67" s="1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</x:row>
    <x:row r="68" ht="25" customHeight="1">
      <x:c r="A68" s="1"/>
      <x:c r="B68" s="1"/>
      <x:c r="C68" s="19" t="str">
        <x:v>CASH FLOW AND BALANCE SHEET</x:v>
      </x:c>
      <x:c r="D68" s="20"/>
      <x:c r="E68" s="20"/>
      <x:c r="F68" s="20"/>
      <x:c r="G68" s="20"/>
      <x:c r="H68" s="20"/>
      <x:c r="I68" s="20"/>
      <x:c r="J68" s="1"/>
      <x:c r="K68" s="1"/>
      <x:c r="M68" s="82" t="str">
        <x:v>First-year EBITDA | rows revenue / columns EBITDA margin</x:v>
      </x:c>
      <x:c r="N68" s="82"/>
      <x:c r="O68" s="82"/>
      <x:c r="P68" s="82"/>
      <x:c r="Q68" s="82"/>
      <x:c r="R68" s="82"/>
      <x:c r="S68" s="63"/>
      <x:c r="T68" s="63"/>
      <x:c r="U68" s="63"/>
      <x:c r="V68" s="63"/>
    </x:row>
    <x:row r="69" ht="18" customHeight="1">
      <x:c r="A69" s="1"/>
      <x:c r="B69" s="1"/>
      <x:c r="C69" s="1" t="str">
        <x:v>Operating cash flow after interest</x:v>
      </x:c>
      <x:c r="D69" s="2"/>
      <x:c r="E69" s="8" t="n">
        <x:f>E58+E53-E64</x:f>
        <x:v>531.8387808000001</x:v>
      </x:c>
      <x:c r="F69" s="8" t="n">
        <x:f>F58+F53-F64</x:f>
        <x:v>629.5918668960002</x:v>
      </x:c>
      <x:c r="G69" s="8" t="n">
        <x:f>G58+G53-G64</x:f>
        <x:v>737.9691138655203</x:v>
      </x:c>
      <x:c r="H69" s="8" t="n">
        <x:f>H58+H53-H64</x:f>
        <x:v>858.2263504389928</x:v>
      </x:c>
      <x:c r="I69" s="8" t="n">
        <x:f>I58+I53-I64</x:f>
        <x:v>991.77096297035</x:v>
      </x:c>
      <x:c r="J69" s="1"/>
      <x:c r="K69" s="1"/>
      <x:c r="M69" s="63"/>
      <x:c r="N69" s="70" t="n">
        <x:f>E52/E47+-0.04</x:f>
        <x:v>0.7399999999999999</x:v>
      </x:c>
      <x:c r="O69" s="70" t="n">
        <x:f>E52/E47+-0.02</x:f>
        <x:v>0.7599999999999999</x:v>
      </x:c>
      <x:c r="P69" s="70" t="n">
        <x:f>E52/E47+0</x:f>
        <x:v>0.7799999999999999</x:v>
      </x:c>
      <x:c r="Q69" s="70" t="n">
        <x:f>E52/E47+0.02</x:f>
        <x:v>0.7999999999999999</x:v>
      </x:c>
      <x:c r="R69" s="70" t="n">
        <x:f>E52/E47+0.04</x:f>
        <x:v>0.82</x:v>
      </x:c>
      <x:c r="S69" s="63"/>
      <x:c r="T69" s="63"/>
      <x:c r="U69" s="63"/>
      <x:c r="V69" s="63"/>
    </x:row>
    <x:row r="70" ht="18" customHeight="1">
      <x:c r="A70" s="1"/>
      <x:c r="B70" s="1"/>
      <x:c r="C70" s="1" t="str">
        <x:v>Dividends</x:v>
      </x:c>
      <x:c r="D70" s="2"/>
      <x:c r="E70" s="8" t="n">
        <x:f>MAX(0,E58)*E32</x:f>
        <x:v>63.14898480000004</x:v>
      </x:c>
      <x:c r="F70" s="8" t="n">
        <x:f>MAX(0,F58)*F32</x:f>
        <x:v>88.62753867600006</x:v>
      </x:c>
      <x:c r="G70" s="8" t="n">
        <x:f>MAX(0,G58)*G32</x:f>
        <x:v>116.46317611062005</x:v>
      </x:c>
      <x:c r="H70" s="8" t="n">
        <x:f>MAX(0,H58)*H32</x:f>
        <x:v>146.95305006168704</x:v>
      </x:c>
      <x:c r="I70" s="8" t="n">
        <x:f>MAX(0,I58)*I32</x:f>
        <x:v>180.4293282100814</x:v>
      </x:c>
      <x:c r="J70" s="1"/>
      <x:c r="K70" s="1"/>
      <x:c r="M70" s="8" t="n">
        <x:f>E47*0.8</x:f>
        <x:v>1017.2252160000004</x:v>
      </x:c>
      <x:c r="N70" s="8" t="n">
        <x:f>$M70*N$69</x:f>
        <x:v>752.7466598400001</x:v>
      </x:c>
      <x:c r="O70" s="8" t="n">
        <x:f>$M70*O$69</x:f>
        <x:v>773.0911641600002</x:v>
      </x:c>
      <x:c r="P70" s="8" t="n">
        <x:f>$M70*P$69</x:f>
        <x:v>793.4356684800002</x:v>
      </x:c>
      <x:c r="Q70" s="8" t="n">
        <x:f>$M70*Q$69</x:f>
        <x:v>813.7801728000003</x:v>
      </x:c>
      <x:c r="R70" s="8" t="n">
        <x:f>$M70*R$69</x:f>
        <x:v>834.1246771200002</x:v>
      </x:c>
      <x:c r="S70" s="63"/>
      <x:c r="T70" s="63"/>
      <x:c r="U70" s="63"/>
      <x:c r="V70" s="63"/>
    </x:row>
    <x:row r="71" ht="18" customHeight="1">
      <x:c r="A71" s="1"/>
      <x:c r="B71" s="1"/>
      <x:c r="C71" s="1" t="str">
        <x:v>Change in cash</x:v>
      </x:c>
      <x:c r="D71" s="2"/>
      <x:c r="E71" s="8" t="n">
        <x:f>E69-E65+E30-E31-E70</x:f>
        <x:v>-49.19308400000005</x:v>
      </x:c>
      <x:c r="F71" s="8" t="n">
        <x:f>F69-F65+F30-F31-F70</x:f>
        <x:v>-15.064497380000006</x:v>
      </x:c>
      <x:c r="G71" s="8" t="n">
        <x:f>G69-G65+G30-G31-G70</x:f>
        <x:v>22.753653082900087</x:v>
      </x:c>
      <x:c r="H71" s="8" t="n">
        <x:f>H69-H65+H30-H31-H70</x:f>
        <x:v>64.67074154466545</x:v>
      </x:c>
      <x:c r="I71" s="8" t="n">
        <x:f>I69-I65+I30-I31-I70</x:f>
        <x:v>111.14676886771133</x:v>
      </x:c>
      <x:c r="J71" s="1"/>
      <x:c r="K71" s="1"/>
      <x:c r="M71" s="8" t="n">
        <x:f>E47*0.9</x:f>
        <x:v>1144.3783680000004</x:v>
      </x:c>
      <x:c r="N71" s="8" t="n">
        <x:f>$M71*N$69</x:f>
        <x:v>846.8399923200001</x:v>
      </x:c>
      <x:c r="O71" s="8" t="n">
        <x:f>$M71*O$69</x:f>
        <x:v>869.7275596800001</x:v>
      </x:c>
      <x:c r="P71" s="8" t="n">
        <x:f>$M71*P$69</x:f>
        <x:v>892.6151270400002</x:v>
      </x:c>
      <x:c r="Q71" s="8" t="n">
        <x:f>$M71*Q$69</x:f>
        <x:v>915.5026944000002</x:v>
      </x:c>
      <x:c r="R71" s="8" t="n">
        <x:f>$M71*R$69</x:f>
        <x:v>938.3902617600003</x:v>
      </x:c>
      <x:c r="S71" s="63"/>
      <x:c r="T71" s="63"/>
      <x:c r="U71" s="63"/>
      <x:c r="V71" s="63"/>
    </x:row>
    <x:row r="72" ht="18" customHeight="1">
      <x:c r="A72" s="1"/>
      <x:c r="B72" s="1"/>
      <x:c r="C72" s="1" t="str">
        <x:v>Closing cash / (funding gap)</x:v>
      </x:c>
      <x:c r="D72" s="2"/>
      <x:c r="E72" s="8" t="n">
        <x:f>$D36+E71</x:f>
        <x:v>450.80691599999994</x:v>
      </x:c>
      <x:c r="F72" s="8" t="n">
        <x:f>E72+F71</x:f>
        <x:v>435.74241861999997</x:v>
      </x:c>
      <x:c r="G72" s="8" t="n">
        <x:f>F72+G71</x:f>
        <x:v>458.49607170290005</x:v>
      </x:c>
      <x:c r="H72" s="8" t="n">
        <x:f>G72+H71</x:f>
        <x:v>523.1668132475655</x:v>
      </x:c>
      <x:c r="I72" s="8" t="n">
        <x:f>H72+I71</x:f>
        <x:v>634.3135821152769</x:v>
      </x:c>
      <x:c r="J72" s="1"/>
      <x:c r="K72" s="1"/>
      <x:c r="M72" s="8" t="n">
        <x:f>E47*1</x:f>
        <x:v>1271.5315200000005</x:v>
      </x:c>
      <x:c r="N72" s="8" t="n">
        <x:f>$M72*N$69</x:f>
        <x:v>940.9333248000002</x:v>
      </x:c>
      <x:c r="O72" s="8" t="n">
        <x:f>$M72*O$69</x:f>
        <x:v>966.3639552000002</x:v>
      </x:c>
      <x:c r="P72" s="8" t="n">
        <x:f>$M72*P$69</x:f>
        <x:v>991.7945856000002</x:v>
      </x:c>
      <x:c r="Q72" s="8" t="n">
        <x:f>$M72*Q$69</x:f>
        <x:v>1017.2252160000003</x:v>
      </x:c>
      <x:c r="R72" s="8" t="n">
        <x:f>$M72*R$69</x:f>
        <x:v>1042.6558464000002</x:v>
      </x:c>
      <x:c r="S72" s="63"/>
      <x:c r="T72" s="63"/>
      <x:c r="U72" s="63"/>
      <x:c r="V72" s="63"/>
    </x:row>
    <x:row r="73" ht="18" customHeight="1">
      <x:c r="A73" s="1"/>
      <x:c r="B73" s="1"/>
      <x:c r="C73" s="38" t="str">
        <x:v>Closing book equity</x:v>
      </x:c>
      <x:c r="D73" s="39"/>
      <x:c r="E73" s="41" t="n">
        <x:f>$D34+$D37+$D36-$D35+E58-E70</x:f>
        <x:v>3987.4232743999996</x:v>
      </x:c>
      <x:c r="F73" s="41" t="n">
        <x:f>E73+F58-F70</x:f>
        <x:v>4253.305890428</x:v>
      </x:c>
      <x:c r="G73" s="41" t="n">
        <x:f>F73+G58-G70</x:f>
        <x:v>4602.695418759859</x:v>
      </x:c>
      <x:c r="H73" s="41" t="n">
        <x:f>G73+H58-H70</x:f>
        <x:v>5043.55456894492</x:v>
      </x:c>
      <x:c r="I73" s="41" t="n">
        <x:f>H73+I58-I70</x:f>
        <x:v>5584.842553575164</x:v>
      </x:c>
      <x:c r="J73" s="1"/>
      <x:c r="K73" s="1"/>
      <x:c r="M73" s="8" t="n">
        <x:f>E47*1.1</x:f>
        <x:v>1398.6846720000005</x:v>
      </x:c>
      <x:c r="N73" s="8" t="n">
        <x:f>$M73*N$69</x:f>
        <x:v>1035.0266572800003</x:v>
      </x:c>
      <x:c r="O73" s="8" t="n">
        <x:f>$M73*O$69</x:f>
        <x:v>1063.0003507200004</x:v>
      </x:c>
      <x:c r="P73" s="8" t="n">
        <x:f>$M73*P$69</x:f>
        <x:v>1090.9740441600004</x:v>
      </x:c>
      <x:c r="Q73" s="8" t="n">
        <x:f>$M73*Q$69</x:f>
        <x:v>1118.9477376000004</x:v>
      </x:c>
      <x:c r="R73" s="8" t="n">
        <x:f>$M73*R$69</x:f>
        <x:v>1146.9214310400005</x:v>
      </x:c>
      <x:c r="S73" s="63"/>
      <x:c r="T73" s="63"/>
      <x:c r="U73" s="63"/>
      <x:c r="V73" s="63"/>
    </x:row>
    <x:row r="74" ht="18" customHeight="1">
      <x:c r="A74" s="1"/>
      <x:c r="B74" s="1"/>
      <x:c r="C74" s="1" t="str">
        <x:v>Total assets</x:v>
      </x:c>
      <x:c r="D74" s="2"/>
      <x:c r="E74" s="8" t="n">
        <x:f>E72+E60+E61+E66</x:f>
        <x:v>7802.054596</x:v>
      </x:c>
      <x:c r="F74" s="8" t="n">
        <x:f>F72+F60+F61+F66</x:f>
        <x:v>7869.692970620001</x:v>
      </x:c>
      <x:c r="G74" s="8" t="n">
        <x:f>G72+G60+G61+G66</x:f>
        <x:v>8021.048948574901</x:v>
      </x:c>
      <x:c r="H74" s="8" t="n">
        <x:f>H72+H60+H61+H66</x:f>
        <x:v>8264.110522337767</x:v>
      </x:c>
      <x:c r="I74" s="8" t="n">
        <x:f>I72+I60+I61+I66</x:f>
        <x:v>8607.865221375152</x:v>
      </x:c>
      <x:c r="J74" s="1"/>
      <x:c r="K74" s="1"/>
      <x:c r="M74" s="8" t="n">
        <x:f>E47*1.2</x:f>
        <x:v>1525.8378240000004</x:v>
      </x:c>
      <x:c r="N74" s="8" t="n">
        <x:f>$M74*N$69</x:f>
        <x:v>1129.1199897600002</x:v>
      </x:c>
      <x:c r="O74" s="8" t="n">
        <x:f>$M74*O$69</x:f>
        <x:v>1159.63674624</x:v>
      </x:c>
      <x:c r="P74" s="8" t="n">
        <x:f>$M74*P$69</x:f>
        <x:v>1190.1535027200002</x:v>
      </x:c>
      <x:c r="Q74" s="8" t="n">
        <x:f>$M74*Q$69</x:f>
        <x:v>1220.6702592000001</x:v>
      </x:c>
      <x:c r="R74" s="8" t="n">
        <x:f>$M74*R$69</x:f>
        <x:v>1251.1870156800003</x:v>
      </x:c>
      <x:c r="S74" s="63"/>
      <x:c r="T74" s="63"/>
      <x:c r="U74" s="63"/>
      <x:c r="V74" s="63"/>
    </x:row>
    <x:row r="75" ht="18" customHeight="1">
      <x:c r="A75" s="1"/>
      <x:c r="B75" s="1"/>
      <x:c r="C75" s="1" t="str">
        <x:v>Liabilities and equity</x:v>
      </x:c>
      <x:c r="D75" s="2"/>
      <x:c r="E75" s="8" t="n">
        <x:f>E62+E67+E73</x:f>
        <x:v>7802.054596</x:v>
      </x:c>
      <x:c r="F75" s="8" t="n">
        <x:f>F62+F67+F73</x:f>
        <x:v>7869.69297062</x:v>
      </x:c>
      <x:c r="G75" s="8" t="n">
        <x:f>G62+G67+G73</x:f>
        <x:v>8021.048948574899</x:v>
      </x:c>
      <x:c r="H75" s="8" t="n">
        <x:f>H62+H67+H73</x:f>
        <x:v>8264.110522337765</x:v>
      </x:c>
      <x:c r="I75" s="8" t="n">
        <x:f>I62+I67+I73</x:f>
        <x:v>8607.86522137515</x:v>
      </x:c>
      <x:c r="J75" s="1"/>
      <x:c r="K75" s="1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</x:row>
    <x:row r="76" ht="18" customHeight="1">
      <x:c r="A76" s="1"/>
      <x:c r="B76" s="1"/>
      <x:c r="C76" s="1" t="str">
        <x:v>Unlevered operating profit after tax</x:v>
      </x:c>
      <x:c r="D76" s="2"/>
      <x:c r="E76" s="8" t="n">
        <x:f>E54-MAX(0,E54)*E28</x:f>
        <x:v>507.5959392000002</x:v>
      </x:c>
      <x:c r="F76" s="8" t="n">
        <x:f>F54-MAX(0,F54)*F28</x:f>
        <x:v>596.7601547040002</x:v>
      </x:c>
      <x:c r="G76" s="8" t="n">
        <x:f>G54-MAX(0,G54)*G28</x:f>
        <x:v>695.3527044424802</x:v>
      </x:c>
      <x:c r="H76" s="8" t="n">
        <x:f>H54-MAX(0,H54)*H28</x:f>
        <x:v>804.5622002467481</x:v>
      </x:c>
      <x:c r="I76" s="8" t="n">
        <x:f>I54-MAX(0,I54)*I28</x:f>
        <x:v>925.7173128403256</x:v>
      </x:c>
      <x:c r="J76" s="1"/>
      <x:c r="K76" s="1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</x:row>
    <x:row r="77" ht="18" customHeight="1">
      <x:c r="A77" s="1"/>
      <x:c r="B77" s="1"/>
      <x:c r="C77" s="38" t="str">
        <x:v>Free cash flow to firm</x:v>
      </x:c>
      <x:c r="D77" s="39"/>
      <x:c r="E77" s="41" t="n">
        <x:f>E76+E53-E65-E64</x:f>
        <x:v>468.9559008</x:v>
      </x:c>
      <x:c r="F77" s="41" t="n">
        <x:f>F76+F53-F65-F64</x:f>
        <x:v>515.813041296</x:v>
      </x:c>
      <x:c r="G77" s="41" t="n">
        <x:f>G76+G53-G65-G64</x:f>
        <x:v>568.7168291935202</x:v>
      </x:c>
      <x:c r="H77" s="41" t="n">
        <x:f>H76+H53-H65-H64</x:f>
        <x:v>628.3737916063526</x:v>
      </x:c>
      <x:c r="I77" s="41" t="n">
        <x:f>I76+I53-I65-I64</x:f>
        <x:v>695.5760970777926</x:v>
      </x:c>
      <x:c r="J77" s="1"/>
      <x:c r="K77" s="1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</x:row>
    <x:row r="78" ht="18" customHeight="1">
      <x:c r="A78" s="1"/>
      <x:c r="B78" s="1"/>
      <x:c r="C78" s="19" t="str">
        <x:v>SECTOR KPIs AND RETURN METRICS</x:v>
      </x:c>
      <x:c r="D78" s="20"/>
      <x:c r="E78" s="20"/>
      <x:c r="F78" s="20"/>
      <x:c r="G78" s="20"/>
      <x:c r="H78" s="20"/>
      <x:c r="I78" s="20"/>
      <x:c r="J78" s="1"/>
      <x:c r="K78" s="1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</x:row>
    <x:row r="79" ht="18" customHeight="1">
      <x:c r="A79" s="1"/>
      <x:c r="B79" s="1"/>
      <x:c r="C79" s="23" t="str">
        <x:v>Gross margin</x:v>
      </x:c>
      <x:c r="D79" s="24"/>
      <x:c r="E79" s="35" t="n">
        <x:f>E50/E47</x:f>
        <x:v>0.8599999999999999</x:v>
      </x:c>
      <x:c r="F79" s="35" t="n">
        <x:f>F50/F47</x:f>
        <x:v>0.86</x:v>
      </x:c>
      <x:c r="G79" s="35" t="n">
        <x:f>G50/G47</x:f>
        <x:v>0.86</x:v>
      </x:c>
      <x:c r="H79" s="35" t="n">
        <x:f>H50/H47</x:f>
        <x:v>0.86</x:v>
      </x:c>
      <x:c r="I79" s="35" t="n">
        <x:f>I50/I47</x:f>
        <x:v>0.86</x:v>
      </x:c>
      <x:c r="J79" s="1"/>
      <x:c r="K79" s="1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</x:row>
    <x:row r="80" ht="18" customHeight="1">
      <x:c r="A80" s="1"/>
      <x:c r="B80" s="1"/>
      <x:c r="C80" s="23" t="str">
        <x:v>EBITDA margin</x:v>
      </x:c>
      <x:c r="D80" s="24"/>
      <x:c r="E80" s="35" t="n">
        <x:f>E52/E47</x:f>
        <x:v>0.7799999999999999</x:v>
      </x:c>
      <x:c r="F80" s="35" t="n">
        <x:f>F52/F47</x:f>
        <x:v>0.7799999999999999</x:v>
      </x:c>
      <x:c r="G80" s="35" t="n">
        <x:f>G52/G47</x:f>
        <x:v>0.7799999999999999</x:v>
      </x:c>
      <x:c r="H80" s="35" t="n">
        <x:f>H52/H47</x:f>
        <x:v>0.78</x:v>
      </x:c>
      <x:c r="I80" s="35" t="n">
        <x:f>I52/I47</x:f>
        <x:v>0.78</x:v>
      </x:c>
      <x:c r="J80" s="1"/>
      <x:c r="K80" s="1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</x:row>
    <x:row r="81" ht="18" customHeight="1">
      <x:c r="A81" s="1"/>
      <x:c r="B81" s="1"/>
      <x:c r="C81" s="23" t="str">
        <x:v>Net margin</x:v>
      </x:c>
      <x:c r="D81" s="24"/>
      <x:c r="E81" s="35" t="n">
        <x:f>E58/E47</x:f>
        <x:v>0.19865487817399924</x:v>
      </x:c>
      <x:c r="F81" s="35" t="n">
        <x:f>F58/F47</x:f>
        <x:v>0.24893360397613834</x:v>
      </x:c>
      <x:c r="G81" s="35" t="n">
        <x:f>G58/G47</x:f>
        <x:v>0.29206898765838707</x:v>
      </x:c>
      <x:c r="H81" s="35" t="n">
        <x:f>H58/H47</x:f>
        <x:v>0.32904659222240634</x:v>
      </x:c>
      <x:c r="I81" s="35" t="n">
        <x:f>I58/I47</x:f>
        <x:v>0.36071807312160203</x:v>
      </x:c>
      <x:c r="J81" s="1"/>
      <x:c r="K81" s="1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</x:row>
    <x:row r="82" ht="18" customHeight="1">
      <x:c r="A82" s="1"/>
      <x:c r="B82" s="1"/>
      <x:c r="C82" s="23" t="str">
        <x:v>Operating cash conversion</x:v>
      </x:c>
      <x:c r="D82" s="24"/>
      <x:c r="E82" s="35" t="n">
        <x:f>IF(E52=0,"n.a.",E69/E52)</x:f>
        <x:v>0.5362388427219097</x:v>
      </x:c>
      <x:c r="F82" s="35" t="n">
        <x:f>IF(F52=0,"n.a.",F69/F52)</x:f>
        <x:v>0.5667863120091399</x:v>
      </x:c>
      <x:c r="G82" s="35" t="n">
        <x:f>IF(G52=0,"n.a.",G69/G52)</x:f>
        <x:v>0.5931716788304924</x:v>
      </x:c>
      <x:c r="H82" s="35" t="n">
        <x:f>IF(H52=0,"n.a.",H69/H52)</x:f>
        <x:v>0.6159224634463111</x:v>
      </x:c>
      <x:c r="I82" s="35" t="n">
        <x:f>IF(I52=0,"n.a.",I69/I52)</x:f>
        <x:v>0.6355029415928134</x:v>
      </x:c>
      <x:c r="J82" s="1"/>
      <x:c r="K82" s="1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</x:row>
    <x:row r="83" ht="18" customHeight="1">
      <x:c r="A83" s="1"/>
      <x:c r="B83" s="1"/>
      <x:c r="C83" s="1" t="str">
        <x:v>Cash conversion cycle (days)</x:v>
      </x:c>
      <x:c r="D83" s="2"/>
      <x:c r="E83" s="8" t="n">
        <x:f>E25+E26-E27</x:f>
        <x:v>70</x:v>
      </x:c>
      <x:c r="F83" s="8" t="n">
        <x:f>F25+F26-F27</x:f>
        <x:v>70</x:v>
      </x:c>
      <x:c r="G83" s="8" t="n">
        <x:f>G25+G26-G27</x:f>
        <x:v>70</x:v>
      </x:c>
      <x:c r="H83" s="8" t="n">
        <x:f>H25+H26-H27</x:f>
        <x:v>70</x:v>
      </x:c>
      <x:c r="I83" s="8" t="n">
        <x:f>I25+I26-I27</x:f>
        <x:v>70</x:v>
      </x:c>
      <x:c r="J83" s="1"/>
      <x:c r="K83" s="1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</x:row>
    <x:row r="84" ht="18" customHeight="1">
      <x:c r="A84" s="1"/>
      <x:c r="B84" s="1"/>
      <x:c r="C84" s="23" t="str">
        <x:v>Net debt / EBITDA</x:v>
      </x:c>
      <x:c r="D84" s="32"/>
      <x:c r="E84" s="61" t="n">
        <x:f>IF(E52&lt;=0,"n.a.",(E67-E72)/E52)</x:f>
        <x:v>3.3769019640028164</x:v>
      </x:c>
      <x:c r="F84" s="61" t="n">
        <x:f>IF(F52&lt;=0,"n.a.",(F67-F72)/F52)</x:f>
        <x:v>2.848603959322723</x:v>
      </x:c>
      <x:c r="G84" s="61" t="n">
        <x:f>IF(G52&lt;=0,"n.a.",(G67-G72)/G52)</x:f>
        <x:v>2.3643493889534732</x:v>
      </x:c>
      <x:c r="H84" s="61" t="n">
        <x:f>IF(H52&lt;=0,"n.a.",(H67-H72)/H52)</x:f>
        <x:v>1.9210802485568736</x:v>
      </x:c>
      <x:c r="I84" s="61" t="n">
        <x:f>IF(I52&lt;=0,"n.a.",(I67-I72)/I52)</x:f>
        <x:v>1.5158748678719411</x:v>
      </x:c>
      <x:c r="J84" s="1"/>
      <x:c r="K84" s="1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</x:row>
    <x:row r="85" ht="18" customHeight="1">
      <x:c r="A85" s="1"/>
      <x:c r="B85" s="1"/>
      <x:c r="C85" s="23" t="str">
        <x:v>EBIT / interest</x:v>
      </x:c>
      <x:c r="D85" s="32"/>
      <x:c r="E85" s="61" t="n">
        <x:f>IF(E55=0,"n.a.",E54/E55)</x:f>
        <x:v>1.990572310588236</x:v>
      </x:c>
      <x:c r="F85" s="61" t="n">
        <x:f>IF(F55=0,"n.a.",F54/F55)</x:f>
        <x:v>2.463406211368422</x:v>
      </x:c>
      <x:c r="G85" s="61" t="n">
        <x:f>IF(G55=0,"n.a.",G54/G55)</x:f>
        <x:v>3.0298592786164718</x:v>
      </x:c>
      <x:c r="H85" s="61" t="n">
        <x:f>IF(H55=0,"n.a.",H54/H55)</x:f>
        <x:v>3.7119363333183304</x:v>
      </x:c>
      <x:c r="I85" s="61" t="n">
        <x:f>IF(I55=0,"n.a.",I54/I55)</x:f>
        <x:v>4.537829964903557</x:v>
      </x:c>
      <x:c r="J85" s="1"/>
      <x:c r="K85" s="1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</x:row>
    <x:row r="86" ht="18" customHeight="1">
      <x:c r="A86" s="1"/>
      <x:c r="B86" s="1"/>
      <x:c r="C86" s="23" t="str">
        <x:v>ROIC on average invested capital</x:v>
      </x:c>
      <x:c r="D86" s="24"/>
      <x:c r="E86" s="35" t="n">
        <x:f>E76/(($D34+$D37+E66+E63)/2)</x:f>
        <x:v>0.06936932928091522</x:v>
      </x:c>
      <x:c r="F86" s="35" t="n">
        <x:f>F76/((E66+E63+F66+F63)/2)</x:f>
        <x:v>0.08089370762340603</x:v>
      </x:c>
      <x:c r="G86" s="35" t="n">
        <x:f>G76/((F66+F63+G66+G63)/2)</x:f>
        <x:v>0.09295063861936445</x:v>
      </x:c>
      <x:c r="H86" s="35" t="n">
        <x:f>H76/((G66+G63+H66+H63)/2)</x:f>
        <x:v>0.10541552088252347</x:v>
      </x:c>
      <x:c r="I86" s="35" t="n">
        <x:f>I76/((H66+H63+I66+I63)/2)</x:f>
        <x:v>0.11814462790630292</x:v>
      </x:c>
      <x:c r="J86" s="1"/>
      <x:c r="K86" s="1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</x:row>
    <x:row r="87" ht="18" customHeight="1">
      <x:c r="A87" s="1"/>
      <x:c r="B87" s="1"/>
      <x:c r="C87" s="1" t="str">
        <x:v>EBITDA / generated kWh (INR)</x:v>
      </x:c>
      <x:c r="D87" s="2"/>
      <x:c r="E87" s="10" t="n">
        <x:f>E52*'Controls'!$E$9/(E46*'Controls'!$E$14)</x:f>
        <x:v>2.496</x:v>
      </x:c>
      <x:c r="F87" s="10" t="n">
        <x:f>F52*'Controls'!$E$9/(F46*'Controls'!$E$14)</x:f>
        <x:v>2.496</x:v>
      </x:c>
      <x:c r="G87" s="10" t="n">
        <x:f>G52*'Controls'!$E$9/(G46*'Controls'!$E$14)</x:f>
        <x:v>2.496</x:v>
      </x:c>
      <x:c r="H87" s="10" t="n">
        <x:f>H52*'Controls'!$E$9/(H46*'Controls'!$E$14)</x:f>
        <x:v>2.496</x:v>
      </x:c>
      <x:c r="I87" s="10" t="n">
        <x:f>I52*'Controls'!$E$9/(I46*'Controls'!$E$14)</x:f>
        <x:v>2.496</x:v>
      </x:c>
      <x:c r="J87" s="1"/>
      <x:c r="K87" s="1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</x:row>
    <x:row r="88" ht="18" customHeight="1">
      <x:c r="A88" s="1"/>
      <x:c r="B88" s="1"/>
      <x:c r="C88" s="19" t="str">
        <x:v>VALUATION AT 31 MARCH 2026</x:v>
      </x:c>
      <x:c r="D88" s="20"/>
      <x:c r="E88" s="20"/>
      <x:c r="F88" s="20"/>
      <x:c r="G88" s="20"/>
      <x:c r="H88" s="20"/>
      <x:c r="I88" s="20"/>
      <x:c r="J88" s="1"/>
      <x:c r="K88" s="1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</x:row>
    <x:row r="89" ht="18" customHeight="1">
      <x:c r="A89" s="1"/>
      <x:c r="B89" s="1"/>
      <x:c r="C89" s="1" t="str">
        <x:v>PV of annual FCFF</x:v>
      </x:c>
      <x:c r="D89" s="2"/>
      <x:c r="E89" s="8" t="n">
        <x:f>E77/(1+$D39)^1</x:f>
        <x:v>418.7106257142857</x:v>
      </x:c>
      <x:c r="F89" s="8" t="n">
        <x:f>F77/(1+$D39)^2</x:f>
        <x:v>411.20299848214285</x:v>
      </x:c>
      <x:c r="G89" s="8" t="n">
        <x:f>G77/(1+$D39)^3</x:f>
        <x:v>404.80140561902107</x:v>
      </x:c>
      <x:c r="H89" s="8" t="n">
        <x:f>H77/(1+$D39)^4</x:f>
        <x:v>399.342904561627</x:v>
      </x:c>
      <x:c r="I89" s="8" t="n">
        <x:f>I77/(1+$D39)^5</x:f>
        <x:v>394.6885576778669</x:v>
      </x:c>
      <x:c r="J89" s="1"/>
      <x:c r="K89" s="1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</x:row>
    <x:row r="90" ht="18" customHeight="1">
      <x:c r="A90" s="1"/>
      <x:c r="B90" s="1"/>
      <x:c r="C90" s="1" t="str">
        <x:v>Normalized terminal FCFF</x:v>
      </x:c>
      <x:c r="D90" s="2"/>
      <x:c r="E90" s="8" t="n">
        <x:f>I76*(1+$D40)*(1-$D40/$D41)</x:f>
        <x:v>706.013737259555</x:v>
      </x:c>
      <x:c r="F90" s="2"/>
      <x:c r="G90" s="2"/>
      <x:c r="H90" s="2"/>
      <x:c r="I90" s="2"/>
      <x:c r="J90" s="1"/>
      <x:c r="K90" s="1" t="str">
        <x:v>Terminal reinvestment = terminal NOPAT × growth / incremental ROIC.</x:v>
      </x:c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</x:row>
    <x:row r="91" ht="18" customHeight="1">
      <x:c r="A91" s="1"/>
      <x:c r="B91" s="1"/>
      <x:c r="C91" s="1" t="str">
        <x:v>Terminal enterprise value</x:v>
      </x:c>
      <x:c r="D91" s="2"/>
      <x:c r="E91" s="8" t="n">
        <x:f>IF($D39&lt;=$D40,NA(),E90/($D39-$D40))</x:f>
        <x:v>8825.171715744438</x:v>
      </x:c>
      <x:c r="F91" s="2"/>
      <x:c r="G91" s="2"/>
      <x:c r="H91" s="2"/>
      <x:c r="I91" s="2"/>
      <x:c r="J91" s="1"/>
      <x:c r="K91" s="1"/>
    </x:row>
    <x:row r="92" ht="18" customHeight="1">
      <x:c r="A92" s="1"/>
      <x:c r="B92" s="1"/>
      <x:c r="C92" s="1" t="str">
        <x:v>DCF enterprise value</x:v>
      </x:c>
      <x:c r="D92" s="2"/>
      <x:c r="E92" s="8" t="n">
        <x:f>SUM(E89:I89)+E91/(1+$D39)^5</x:f>
        <x:v>7036.385929896525</x:v>
      </x:c>
      <x:c r="F92" s="2"/>
      <x:c r="G92" s="2"/>
      <x:c r="H92" s="2"/>
      <x:c r="I92" s="2"/>
      <x:c r="J92" s="1"/>
      <x:c r="K92" s="1"/>
    </x:row>
    <x:row r="93" ht="18" customHeight="1">
      <x:c r="A93" s="1"/>
      <x:c r="B93" s="1"/>
      <x:c r="C93" s="38" t="str">
        <x:v>DCF equity value</x:v>
      </x:c>
      <x:c r="D93" s="39"/>
      <x:c r="E93" s="41" t="n">
        <x:f>E92-$D35+$D36</x:f>
        <x:v>3536.3859298965253</x:v>
      </x:c>
      <x:c r="F93" s="39"/>
      <x:c r="G93" s="39"/>
      <x:c r="H93" s="39"/>
      <x:c r="I93" s="39"/>
      <x:c r="J93" s="1"/>
      <x:c r="K93" s="1"/>
    </x:row>
    <x:row r="94" ht="18" customHeight="1">
      <x:c r="A94" s="1"/>
      <x:c r="B94" s="1"/>
      <x:c r="C94" s="1" t="str">
        <x:v>DCF value per share (INR)</x:v>
      </x:c>
      <x:c r="D94" s="33"/>
      <x:c r="E94" s="34" t="n">
        <x:f>E93/$D38</x:f>
        <x:v>35.36385929896525</x:v>
      </x:c>
      <x:c r="F94" s="33"/>
      <x:c r="G94" s="33"/>
      <x:c r="H94" s="33"/>
      <x:c r="I94" s="33"/>
      <x:c r="J94" s="1"/>
      <x:c r="K94" s="1"/>
    </x:row>
    <x:row r="95" ht="18" customHeight="1">
      <x:c r="A95" s="1"/>
      <x:c r="B95" s="1"/>
      <x:c r="C95" s="1" t="str">
        <x:v>Forward multiple enterprise value</x:v>
      </x:c>
      <x:c r="D95" s="2"/>
      <x:c r="E95" s="8" t="n">
        <x:f>E52*$D42</x:f>
        <x:v>10909.740441600003</x:v>
      </x:c>
      <x:c r="F95" s="2"/>
      <x:c r="G95" s="2"/>
      <x:c r="H95" s="2"/>
      <x:c r="I95" s="2"/>
      <x:c r="J95" s="1"/>
      <x:c r="K95" s="1"/>
    </x:row>
    <x:row r="96" ht="18" customHeight="1">
      <x:c r="A96" s="1"/>
      <x:c r="B96" s="1"/>
      <x:c r="C96" s="1" t="str">
        <x:v>Forward multiple equity value</x:v>
      </x:c>
      <x:c r="D96" s="2"/>
      <x:c r="E96" s="8" t="n">
        <x:f>E95-$D35+$D36</x:f>
        <x:v>7409.740441600003</x:v>
      </x:c>
      <x:c r="F96" s="2"/>
      <x:c r="G96" s="2"/>
      <x:c r="H96" s="2"/>
      <x:c r="I96" s="2"/>
      <x:c r="J96" s="1"/>
      <x:c r="K96" s="1"/>
    </x:row>
    <x:row r="97" ht="18" customHeight="1">
      <x:c r="A97" s="1"/>
      <x:c r="B97" s="1"/>
      <x:c r="C97" s="23" t="str">
        <x:v>Terminal value / DCF enterprise value</x:v>
      </x:c>
      <x:c r="D97" s="24"/>
      <x:c r="E97" s="35" t="n">
        <x:f>(E91/(1+$D39)^5)/E92</x:f>
        <x:v>0.7116777686347319</x:v>
      </x:c>
      <x:c r="F97" s="24"/>
      <x:c r="G97" s="24"/>
      <x:c r="H97" s="24"/>
      <x:c r="I97" s="24"/>
      <x:c r="J97" s="1"/>
      <x:c r="K97" s="1"/>
    </x:row>
    <x:row r="98" ht="18" customHeight="1">
      <x:c r="A98" s="1"/>
      <x:c r="B98" s="1"/>
      <x:c r="C98" s="19" t="str">
        <x:v>MODEL CHECKS</x:v>
      </x:c>
      <x:c r="D98" s="20"/>
      <x:c r="E98" s="20"/>
      <x:c r="F98" s="20"/>
      <x:c r="G98" s="20"/>
      <x:c r="H98" s="20"/>
      <x:c r="I98" s="20"/>
      <x:c r="J98" s="1"/>
      <x:c r="K98" s="1"/>
    </x:row>
    <x:row r="99" ht="18" customHeight="1">
      <x:c r="A99" s="1"/>
      <x:c r="B99" s="1"/>
      <x:c r="C99" s="1" t="str">
        <x:v>Assets less liabilities and equity</x:v>
      </x:c>
      <x:c r="D99" s="33"/>
      <x:c r="E99" s="34" t="n">
        <x:f>E74-E75</x:f>
        <x:v>0</x:v>
      </x:c>
      <x:c r="F99" s="34" t="n">
        <x:f>F74-F75</x:f>
        <x:v>9.094947017729282e-13</x:v>
      </x:c>
      <x:c r="G99" s="34" t="n">
        <x:f>G74-G75</x:f>
        <x:v>1.8189894035458565e-12</x:v>
      </x:c>
      <x:c r="H99" s="34" t="n">
        <x:f>H74-H75</x:f>
        <x:v>1.8189894035458565e-12</x:v>
      </x:c>
      <x:c r="I99" s="34" t="n">
        <x:f>I74-I75</x:f>
        <x:v>1.8189894035458565e-12</x:v>
      </x:c>
      <x:c r="J99" s="1"/>
      <x:c r="K99" s="1"/>
    </x:row>
    <x:row r="100" ht="18" customHeight="1">
      <x:c r="A100" s="1"/>
      <x:c r="B100" s="1"/>
      <x:c r="C100" s="1" t="str">
        <x:v>Cash funding shortfall</x:v>
      </x:c>
      <x:c r="D100" s="33"/>
      <x:c r="E100" s="34" t="n">
        <x:f>MAX(0,-E72)</x:f>
        <x:v>0</x:v>
      </x:c>
      <x:c r="F100" s="34" t="n">
        <x:f>MAX(0,-F72)</x:f>
        <x:v>0</x:v>
      </x:c>
      <x:c r="G100" s="34" t="n">
        <x:f>MAX(0,-G72)</x:f>
        <x:v>0</x:v>
      </x:c>
      <x:c r="H100" s="34" t="n">
        <x:f>MAX(0,-H72)</x:f>
        <x:v>0</x:v>
      </x:c>
      <x:c r="I100" s="34" t="n">
        <x:f>MAX(0,-I72)</x:f>
        <x:v>0</x:v>
      </x:c>
      <x:c r="J100" s="1"/>
      <x:c r="K100" s="1"/>
    </x:row>
    <x:row r="101" ht="18" customHeight="1">
      <x:c r="A101" s="1"/>
      <x:c r="B101" s="1"/>
      <x:c r="C101" s="1" t="str">
        <x:v>Debt below zero</x:v>
      </x:c>
      <x:c r="D101" s="33"/>
      <x:c r="E101" s="34" t="n">
        <x:f>MAX(0,-E67)</x:f>
        <x:v>0</x:v>
      </x:c>
      <x:c r="F101" s="34" t="n">
        <x:f>MAX(0,-F67)</x:f>
        <x:v>0</x:v>
      </x:c>
      <x:c r="G101" s="34" t="n">
        <x:f>MAX(0,-G67)</x:f>
        <x:v>0</x:v>
      </x:c>
      <x:c r="H101" s="34" t="n">
        <x:f>MAX(0,-H67)</x:f>
        <x:v>0</x:v>
      </x:c>
      <x:c r="I101" s="34" t="n">
        <x:f>MAX(0,-I67)</x:f>
        <x:v>0</x:v>
      </x:c>
      <x:c r="J101" s="1"/>
      <x:c r="K101" s="1"/>
    </x:row>
    <x:row r="102" ht="18" customHeight="1">
      <x:c r="A102" s="1"/>
      <x:c r="B102" s="1"/>
      <x:c r="C102" s="1" t="str">
        <x:v>Utilization above 100%</x:v>
      </x:c>
      <x:c r="D102" s="33"/>
      <x:c r="E102" s="34" t="n">
        <x:f>MAX(0,E20-1)</x:f>
        <x:v>0</x:v>
      </x:c>
      <x:c r="F102" s="34" t="n">
        <x:f>MAX(0,F20-1)</x:f>
        <x:v>0</x:v>
      </x:c>
      <x:c r="G102" s="34" t="n">
        <x:f>MAX(0,G20-1)</x:f>
        <x:v>0</x:v>
      </x:c>
      <x:c r="H102" s="34" t="n">
        <x:f>MAX(0,H20-1)</x:f>
        <x:v>0</x:v>
      </x:c>
      <x:c r="I102" s="34" t="n">
        <x:f>MAX(0,I20-1)</x:f>
        <x:v>0</x:v>
      </x:c>
      <x:c r="J102" s="1"/>
      <x:c r="K102" s="1"/>
    </x:row>
    <x:row r="103" ht="18" customHeight="1">
      <x:c r="A103" s="1"/>
      <x:c r="B103" s="1"/>
      <x:c r="C103" s="1" t="str">
        <x:v>Net PP&amp;E below zero</x:v>
      </x:c>
      <x:c r="D103" s="33"/>
      <x:c r="E103" s="34" t="n">
        <x:f>MAX(0,-E66)</x:f>
        <x:v>0</x:v>
      </x:c>
      <x:c r="F103" s="34" t="n">
        <x:f>MAX(0,-F66)</x:f>
        <x:v>0</x:v>
      </x:c>
      <x:c r="G103" s="34" t="n">
        <x:f>MAX(0,-G66)</x:f>
        <x:v>0</x:v>
      </x:c>
      <x:c r="H103" s="34" t="n">
        <x:f>MAX(0,-H66)</x:f>
        <x:v>0</x:v>
      </x:c>
      <x:c r="I103" s="34" t="n">
        <x:f>MAX(0,-I66)</x:f>
        <x:v>0</x:v>
      </x:c>
      <x:c r="J103" s="1"/>
      <x:c r="K103" s="1"/>
    </x:row>
    <x:row r="104" ht="18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1"/>
      <x:c r="K104" s="1"/>
    </x:row>
    <x:row r="105" ht="18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1"/>
      <x:c r="K105" s="1"/>
    </x:row>
    <x:row r="106" ht="18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1"/>
      <x:c r="K106" s="1"/>
    </x:row>
    <x:row r="107" ht="18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1"/>
      <x:c r="K107" s="1"/>
    </x:row>
    <x:row r="108" ht="18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1"/>
      <x:c r="K108" s="1"/>
    </x:row>
    <x:row r="109" ht="18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1"/>
      <x:c r="K109" s="1"/>
    </x:row>
    <x:row r="110" ht="25" customHeight="1">
      <x:c r="A110" s="1"/>
      <x:c r="B110" s="1"/>
      <x:c r="C110" s="68" t="str">
        <x:v>SUPPORTING SCHEDULE ASSUMPTIONS</x:v>
      </x:c>
      <x:c r="D110" s="69"/>
      <x:c r="E110" s="69"/>
      <x:c r="F110" s="69"/>
      <x:c r="G110" s="69"/>
      <x:c r="H110" s="69"/>
      <x:c r="I110" s="69"/>
      <x:c r="J110" s="1"/>
      <x:c r="K110" s="1"/>
    </x:row>
    <x:row r="111" ht="30" customHeight="1">
      <x:c r="A111" s="1"/>
      <x:c r="B111" s="1"/>
      <x:c r="C111" s="64"/>
      <x:c r="D111" s="8"/>
      <x:c r="E111" s="8"/>
      <x:c r="F111" s="8"/>
      <x:c r="G111" s="8"/>
      <x:c r="H111" s="8"/>
      <x:c r="I111" s="8"/>
      <x:c r="J111" s="1"/>
      <x:c r="K111" s="1"/>
    </x:row>
    <x:row r="112" ht="30" customHeight="1">
      <x:c r="A112" s="1"/>
      <x:c r="B112" s="1"/>
      <x:c r="C112" s="64" t="str">
        <x:v>Detailed operating bridge (0 off / 1 on)</x:v>
      </x:c>
      <x:c r="D112" s="77" t="n">
        <x:v>0</x:v>
      </x:c>
      <x:c r="E112" s="8"/>
      <x:c r="F112" s="8"/>
      <x:c r="G112" s="8"/>
      <x:c r="H112" s="8"/>
      <x:c r="I112" s="8"/>
      <x:c r="J112" s="1"/>
      <x:c r="K112" s="1"/>
    </x:row>
    <x:row r="113" ht="30" customHeight="1">
      <x:c r="A113" s="1"/>
      <x:c r="B113" s="1"/>
      <x:c r="C113" s="64"/>
      <x:c r="D113" s="8"/>
      <x:c r="E113" s="8"/>
      <x:c r="F113" s="8"/>
      <x:c r="G113" s="8"/>
      <x:c r="H113" s="8"/>
      <x:c r="I113" s="8"/>
      <x:c r="J113" s="1"/>
      <x:c r="K113" s="1"/>
    </x:row>
    <x:row r="114" ht="30" customHeight="1">
      <x:c r="A114" s="1"/>
      <x:c r="B114" s="1"/>
      <x:c r="C114" s="64" t="str">
        <x:v>Current-year capex depreciation fraction</x:v>
      </x:c>
      <x:c r="D114" s="72" t="n">
        <x:v>0</x:v>
      </x:c>
      <x:c r="E114" s="8"/>
      <x:c r="F114" s="8"/>
      <x:c r="G114" s="8"/>
      <x:c r="H114" s="8"/>
      <x:c r="I114" s="8"/>
      <x:c r="J114" s="1"/>
      <x:c r="K114" s="1"/>
    </x:row>
    <x:row r="115" ht="30" customHeight="1">
      <x:c r="A115" s="1"/>
      <x:c r="B115" s="1"/>
      <x:c r="C115" s="64" t="str">
        <x:v>Debt movement interest weighting</x:v>
      </x:c>
      <x:c r="D115" s="72" t="n">
        <x:v>0</x:v>
      </x:c>
      <x:c r="E115" s="8"/>
      <x:c r="F115" s="8"/>
      <x:c r="G115" s="8"/>
      <x:c r="H115" s="8"/>
      <x:c r="I115" s="8"/>
      <x:c r="J115" s="1"/>
      <x:c r="K115" s="1" t="str">
        <x:v>0 = opening debt interest; 0.5 = mid-year movements; 1 = full-year movements.</x:v>
      </x:c>
    </x:row>
    <x:row r="116" ht="30" customHeight="1">
      <x:c r="A116" s="1"/>
      <x:c r="B116" s="1"/>
      <x:c r="C116" s="64" t="str">
        <x:v>Opening tax losses available for use</x:v>
      </x:c>
      <x:c r="D116" s="74" t="n">
        <x:v>0</x:v>
      </x:c>
      <x:c r="E116" s="8"/>
      <x:c r="F116" s="8"/>
      <x:c r="G116" s="8"/>
      <x:c r="H116" s="8"/>
      <x:c r="I116" s="8"/>
      <x:c r="J116" s="1"/>
      <x:c r="K116" s="1"/>
    </x:row>
    <x:row r="117" ht="30" customHeight="1">
      <x:c r="A117" s="1"/>
      <x:c r="B117" s="1"/>
      <x:c r="C117" s="64" t="str">
        <x:v>Tax loss utilization share of positive PBT</x:v>
      </x:c>
      <x:c r="D117" s="72" t="n">
        <x:v>1</x:v>
      </x:c>
      <x:c r="E117" s="8"/>
      <x:c r="F117" s="8"/>
      <x:c r="G117" s="8"/>
      <x:c r="H117" s="8"/>
      <x:c r="I117" s="8"/>
      <x:c r="J117" s="1"/>
      <x:c r="K117" s="1" t="str">
        <x:v>Simplified cash tax schedule. Check company-specific eligibility, expiry, MAT and deferred tax separately.</x:v>
      </x:c>
    </x:row>
    <x:row r="118" ht="30" customHeight="1">
      <x:c r="A118" s="1"/>
      <x:c r="B118" s="1"/>
      <x:c r="C118" s="64"/>
      <x:c r="D118" s="8"/>
      <x:c r="E118" s="8"/>
      <x:c r="F118" s="8"/>
      <x:c r="G118" s="8"/>
      <x:c r="H118" s="8"/>
      <x:c r="I118" s="8"/>
      <x:c r="J118" s="1"/>
      <x:c r="K118" s="1"/>
    </x:row>
    <x:row r="119" ht="25" customHeight="1">
      <x:c r="A119" s="1"/>
      <x:c r="B119" s="1"/>
      <x:c r="C119" s="68" t="str">
        <x:v>DEBT AND INTEREST SCHEDULE</x:v>
      </x:c>
      <x:c r="D119" s="69"/>
      <x:c r="E119" s="69"/>
      <x:c r="F119" s="69"/>
      <x:c r="G119" s="69"/>
      <x:c r="H119" s="69"/>
      <x:c r="I119" s="69"/>
      <x:c r="J119" s="1"/>
      <x:c r="K119" s="1"/>
    </x:row>
    <x:row r="120" ht="30" customHeight="1">
      <x:c r="A120" s="1"/>
      <x:c r="B120" s="1"/>
      <x:c r="C120" s="64" t="str">
        <x:v>Opening debt balance</x:v>
      </x:c>
      <x:c r="D120" s="8"/>
      <x:c r="E120" s="8" t="n">
        <x:f>D35</x:f>
        <x:v>4000</x:v>
      </x:c>
      <x:c r="F120" s="8" t="n">
        <x:f>E123</x:f>
        <x:v>3800</x:v>
      </x:c>
      <x:c r="G120" s="8" t="n">
        <x:f>F123</x:f>
        <x:v>3600</x:v>
      </x:c>
      <x:c r="H120" s="8" t="n">
        <x:f>G123</x:f>
        <x:v>3400</x:v>
      </x:c>
      <x:c r="I120" s="8" t="n">
        <x:f>H123</x:f>
        <x:v>3200</x:v>
      </x:c>
      <x:c r="J120" s="1"/>
      <x:c r="K120" s="1"/>
    </x:row>
    <x:row r="121" ht="30" customHeight="1">
      <x:c r="A121" s="1"/>
      <x:c r="B121" s="1"/>
      <x:c r="C121" s="64" t="str">
        <x:v>Debt drawn</x:v>
      </x:c>
      <x:c r="D121" s="8"/>
      <x:c r="E121" s="8" t="n">
        <x:f>E30</x:f>
        <x:v>0</x:v>
      </x:c>
      <x:c r="F121" s="8" t="n">
        <x:f>F30</x:f>
        <x:v>0</x:v>
      </x:c>
      <x:c r="G121" s="8" t="n">
        <x:f>G30</x:f>
        <x:v>0</x:v>
      </x:c>
      <x:c r="H121" s="8" t="n">
        <x:f>H30</x:f>
        <x:v>0</x:v>
      </x:c>
      <x:c r="I121" s="8" t="n">
        <x:f>I30</x:f>
        <x:v>0</x:v>
      </x:c>
      <x:c r="J121" s="1"/>
      <x:c r="K121" s="1"/>
    </x:row>
    <x:row r="122" ht="30" customHeight="1">
      <x:c r="A122" s="1"/>
      <x:c r="B122" s="1"/>
      <x:c r="C122" s="64" t="str">
        <x:v>Debt principal repaid</x:v>
      </x:c>
      <x:c r="D122" s="8"/>
      <x:c r="E122" s="8" t="n">
        <x:f>E31</x:f>
        <x:v>200</x:v>
      </x:c>
      <x:c r="F122" s="8" t="n">
        <x:f>F31</x:f>
        <x:v>200</x:v>
      </x:c>
      <x:c r="G122" s="8" t="n">
        <x:f>G31</x:f>
        <x:v>200</x:v>
      </x:c>
      <x:c r="H122" s="8" t="n">
        <x:f>H31</x:f>
        <x:v>200</x:v>
      </x:c>
      <x:c r="I122" s="8" t="n">
        <x:f>I31</x:f>
        <x:v>200</x:v>
      </x:c>
      <x:c r="J122" s="1"/>
      <x:c r="K122" s="1"/>
    </x:row>
    <x:row r="123" ht="30" customHeight="1">
      <x:c r="A123" s="1"/>
      <x:c r="B123" s="1"/>
      <x:c r="C123" s="64" t="str">
        <x:v>Closing debt balance</x:v>
      </x:c>
      <x:c r="D123" s="8"/>
      <x:c r="E123" s="8" t="n">
        <x:f>E120+E121-E122</x:f>
        <x:v>3800</x:v>
      </x:c>
      <x:c r="F123" s="8" t="n">
        <x:f>F120+F121-F122</x:f>
        <x:v>3600</x:v>
      </x:c>
      <x:c r="G123" s="8" t="n">
        <x:f>G120+G121-G122</x:f>
        <x:v>3400</x:v>
      </x:c>
      <x:c r="H123" s="8" t="n">
        <x:f>H120+H121-H122</x:f>
        <x:v>3200</x:v>
      </x:c>
      <x:c r="I123" s="8" t="n">
        <x:f>I120+I121-I122</x:f>
        <x:v>3000</x:v>
      </x:c>
      <x:c r="J123" s="1"/>
      <x:c r="K123" s="1"/>
    </x:row>
    <x:row r="124" ht="30" customHeight="1">
      <x:c r="A124" s="1"/>
      <x:c r="B124" s="1"/>
      <x:c r="C124" s="64" t="str">
        <x:v>Interest-bearing debt base</x:v>
      </x:c>
      <x:c r="D124" s="8"/>
      <x:c r="E124" s="8" t="n">
        <x:f>E120+(E121-E122)*$D$115</x:f>
        <x:v>4000</x:v>
      </x:c>
      <x:c r="F124" s="8" t="n">
        <x:f>F120+(F121-F122)*$D$115</x:f>
        <x:v>3800</x:v>
      </x:c>
      <x:c r="G124" s="8" t="n">
        <x:f>G120+(G121-G122)*$D$115</x:f>
        <x:v>3600</x:v>
      </x:c>
      <x:c r="H124" s="8" t="n">
        <x:f>H120+(H121-H122)*$D$115</x:f>
        <x:v>3400</x:v>
      </x:c>
      <x:c r="I124" s="8" t="n">
        <x:f>I120+(I121-I122)*$D$115</x:f>
        <x:v>3200</x:v>
      </x:c>
      <x:c r="J124" s="1"/>
      <x:c r="K124" s="1"/>
    </x:row>
    <x:row r="125" ht="30" customHeight="1">
      <x:c r="A125" s="1"/>
      <x:c r="B125" s="1"/>
      <x:c r="C125" s="64" t="str">
        <x:v>Scheduled interest expense</x:v>
      </x:c>
      <x:c r="D125" s="8"/>
      <x:c r="E125" s="8" t="n">
        <x:f>E124*E29</x:f>
        <x:v>340</x:v>
      </x:c>
      <x:c r="F125" s="8" t="n">
        <x:f>F124*F29</x:f>
        <x:v>323</x:v>
      </x:c>
      <x:c r="G125" s="8" t="n">
        <x:f>G124*G29</x:f>
        <x:v>306</x:v>
      </x:c>
      <x:c r="H125" s="8" t="n">
        <x:f>H124*H29</x:f>
        <x:v>289</x:v>
      </x:c>
      <x:c r="I125" s="8" t="n">
        <x:f>I124*I29</x:f>
        <x:v>272</x:v>
      </x:c>
      <x:c r="J125" s="1"/>
      <x:c r="K125" s="1"/>
    </x:row>
    <x:row r="126" ht="30" customHeight="1">
      <x:c r="A126" s="1"/>
      <x:c r="B126" s="1"/>
      <x:c r="C126" s="64"/>
      <x:c r="D126" s="8"/>
      <x:c r="E126" s="8"/>
      <x:c r="F126" s="8"/>
      <x:c r="G126" s="8"/>
      <x:c r="H126" s="8"/>
      <x:c r="I126" s="8"/>
      <x:c r="J126" s="1"/>
      <x:c r="K126" s="1"/>
    </x:row>
    <x:row r="127" ht="30" customHeight="1">
      <x:c r="A127" s="1"/>
      <x:c r="B127" s="1"/>
      <x:c r="C127" s="64"/>
      <x:c r="D127" s="8"/>
      <x:c r="E127" s="8"/>
      <x:c r="F127" s="8"/>
      <x:c r="G127" s="8"/>
      <x:c r="H127" s="8"/>
      <x:c r="I127" s="8"/>
      <x:c r="J127" s="1"/>
      <x:c r="K127" s="1"/>
    </x:row>
    <x:row r="128" ht="30" customHeight="1">
      <x:c r="A128" s="1"/>
      <x:c r="B128" s="1"/>
      <x:c r="C128" s="64"/>
      <x:c r="D128" s="8"/>
      <x:c r="E128" s="8"/>
      <x:c r="F128" s="8"/>
      <x:c r="G128" s="8"/>
      <x:c r="H128" s="8"/>
      <x:c r="I128" s="8"/>
      <x:c r="J128" s="1"/>
      <x:c r="K128" s="1"/>
    </x:row>
    <x:row r="129" ht="25" customHeight="1">
      <x:c r="A129" s="1"/>
      <x:c r="B129" s="1"/>
      <x:c r="C129" s="68" t="str">
        <x:v>CAPEX AND DEPRECIATION SCHEDULE</x:v>
      </x:c>
      <x:c r="D129" s="69"/>
      <x:c r="E129" s="69"/>
      <x:c r="F129" s="69"/>
      <x:c r="G129" s="69"/>
      <x:c r="H129" s="69"/>
      <x:c r="I129" s="69"/>
      <x:c r="J129" s="1"/>
      <x:c r="K129" s="1"/>
    </x:row>
    <x:row r="130" ht="30" customHeight="1">
      <x:c r="A130" s="1"/>
      <x:c r="B130" s="1"/>
      <x:c r="C130" s="64" t="str">
        <x:v>Opening net property plant and equipment</x:v>
      </x:c>
      <x:c r="D130" s="8"/>
      <x:c r="E130" s="8" t="n">
        <x:f>D34</x:f>
        <x:v>7000</x:v>
      </x:c>
      <x:c r="F130" s="8" t="n">
        <x:f>E135</x:f>
        <x:v>7002.88288</x:v>
      </x:c>
      <x:c r="G130" s="8" t="n">
        <x:f>F135</x:f>
        <x:v>7043.781976</x:v>
      </x:c>
      <x:c r="H130" s="8" t="n">
        <x:f>G135</x:f>
        <x:v>7125.564071752001</x:v>
      </x:c>
      <x:c r="I130" s="8" t="n">
        <x:f>H135</x:f>
        <x:v>7251.516247355801</x:v>
      </x:c>
      <x:c r="J130" s="1"/>
      <x:c r="K130" s="1"/>
    </x:row>
    <x:row r="131" ht="30" customHeight="1">
      <x:c r="A131" s="1"/>
      <x:c r="B131" s="1"/>
      <x:c r="C131" s="64" t="str">
        <x:v>Capital expenditure added</x:v>
      </x:c>
      <x:c r="D131" s="8"/>
      <x:c r="E131" s="8" t="n">
        <x:f>E65</x:f>
        <x:v>317.8828800000001</x:v>
      </x:c>
      <x:c r="F131" s="8" t="n">
        <x:f>F65</x:f>
        <x:v>356.0288256000001</x:v>
      </x:c>
      <x:c r="G131" s="8" t="n">
        <x:f>G65</x:f>
        <x:v>398.75228467200014</x:v>
      </x:c>
      <x:c r="H131" s="8" t="n">
        <x:f>H65</x:f>
        <x:v>446.6025588326403</x:v>
      </x:c>
      <x:c r="I131" s="8" t="n">
        <x:f>I65</x:f>
        <x:v>500.19486589255723</x:v>
      </x:c>
      <x:c r="J131" s="1"/>
      <x:c r="K131" s="1"/>
    </x:row>
    <x:row r="132" ht="30" customHeight="1">
      <x:c r="A132" s="1"/>
      <x:c r="B132" s="1"/>
      <x:c r="C132" s="64" t="str">
        <x:v>Depreciation on opening assets</x:v>
      </x:c>
      <x:c r="D132" s="8"/>
      <x:c r="E132" s="8" t="n">
        <x:f>E130*E24</x:f>
        <x:v>315</x:v>
      </x:c>
      <x:c r="F132" s="8" t="n">
        <x:f>F130*F24</x:f>
        <x:v>315.1297296</x:v>
      </x:c>
      <x:c r="G132" s="8" t="n">
        <x:f>G130*G24</x:f>
        <x:v>316.97018892</x:v>
      </x:c>
      <x:c r="H132" s="8" t="n">
        <x:f>H130*H24</x:f>
        <x:v>320.65038322884004</x:v>
      </x:c>
      <x:c r="I132" s="8" t="n">
        <x:f>I130*I24</x:f>
        <x:v>326.31823113101103</x:v>
      </x:c>
      <x:c r="J132" s="1"/>
      <x:c r="K132" s="1"/>
    </x:row>
    <x:row r="133" ht="30" customHeight="1">
      <x:c r="A133" s="1"/>
      <x:c r="B133" s="1"/>
      <x:c r="C133" s="64" t="str">
        <x:v>Depreciation on current-year additions</x:v>
      </x:c>
      <x:c r="D133" s="8"/>
      <x:c r="E133" s="8" t="n">
        <x:f>E131*E24*$D$114</x:f>
        <x:v>0</x:v>
      </x:c>
      <x:c r="F133" s="8" t="n">
        <x:f>F131*F24*$D$114</x:f>
        <x:v>0</x:v>
      </x:c>
      <x:c r="G133" s="8" t="n">
        <x:f>G131*G24*$D$114</x:f>
        <x:v>0</x:v>
      </x:c>
      <x:c r="H133" s="8" t="n">
        <x:f>H131*H24*$D$114</x:f>
        <x:v>0</x:v>
      </x:c>
      <x:c r="I133" s="8" t="n">
        <x:f>I131*I24*$D$114</x:f>
        <x:v>0</x:v>
      </x:c>
      <x:c r="J133" s="1"/>
      <x:c r="K133" s="1"/>
    </x:row>
    <x:row r="134" ht="30" customHeight="1">
      <x:c r="A134" s="1"/>
      <x:c r="B134" s="1"/>
      <x:c r="C134" s="64" t="str">
        <x:v>Total depreciation charge</x:v>
      </x:c>
      <x:c r="D134" s="8"/>
      <x:c r="E134" s="8" t="n">
        <x:f>E132+E133</x:f>
        <x:v>315</x:v>
      </x:c>
      <x:c r="F134" s="8" t="n">
        <x:f>F132+F133</x:f>
        <x:v>315.1297296</x:v>
      </x:c>
      <x:c r="G134" s="8" t="n">
        <x:f>G132+G133</x:f>
        <x:v>316.97018892</x:v>
      </x:c>
      <x:c r="H134" s="8" t="n">
        <x:f>H132+H133</x:f>
        <x:v>320.65038322884004</x:v>
      </x:c>
      <x:c r="I134" s="8" t="n">
        <x:f>I132+I133</x:f>
        <x:v>326.31823113101103</x:v>
      </x:c>
      <x:c r="J134" s="1"/>
      <x:c r="K134" s="1"/>
    </x:row>
    <x:row r="135" ht="30" customHeight="1">
      <x:c r="A135" s="1"/>
      <x:c r="B135" s="1"/>
      <x:c r="C135" s="64" t="str">
        <x:v>Closing net property plant and equipment</x:v>
      </x:c>
      <x:c r="D135" s="8"/>
      <x:c r="E135" s="8" t="n">
        <x:f>E130+E131-E134</x:f>
        <x:v>7002.88288</x:v>
      </x:c>
      <x:c r="F135" s="8" t="n">
        <x:f>F130+F131-F134</x:f>
        <x:v>7043.781976</x:v>
      </x:c>
      <x:c r="G135" s="8" t="n">
        <x:f>G130+G131-G134</x:f>
        <x:v>7125.564071752001</x:v>
      </x:c>
      <x:c r="H135" s="8" t="n">
        <x:f>H130+H131-H134</x:f>
        <x:v>7251.516247355801</x:v>
      </x:c>
      <x:c r="I135" s="8" t="n">
        <x:f>I130+I131-I134</x:f>
        <x:v>7425.392882117348</x:v>
      </x:c>
      <x:c r="J135" s="1"/>
      <x:c r="K135" s="1"/>
    </x:row>
    <x:row r="136" ht="30" customHeight="1">
      <x:c r="A136" s="1"/>
      <x:c r="B136" s="1"/>
      <x:c r="C136" s="64"/>
      <x:c r="D136" s="8"/>
      <x:c r="E136" s="8"/>
      <x:c r="F136" s="8"/>
      <x:c r="G136" s="8"/>
      <x:c r="H136" s="8"/>
      <x:c r="I136" s="8"/>
      <x:c r="J136" s="1"/>
      <x:c r="K136" s="1"/>
    </x:row>
    <x:row r="137" ht="30" customHeight="1">
      <x:c r="A137" s="1"/>
      <x:c r="B137" s="1"/>
      <x:c r="C137" s="64"/>
      <x:c r="D137" s="8"/>
      <x:c r="E137" s="8"/>
      <x:c r="F137" s="8"/>
      <x:c r="G137" s="8"/>
      <x:c r="H137" s="8"/>
      <x:c r="I137" s="8"/>
      <x:c r="J137" s="1"/>
      <x:c r="K137" s="1"/>
    </x:row>
    <x:row r="138" ht="30" customHeight="1">
      <x:c r="A138" s="1"/>
      <x:c r="B138" s="1"/>
      <x:c r="C138" s="64"/>
      <x:c r="D138" s="8"/>
      <x:c r="E138" s="8"/>
      <x:c r="F138" s="8"/>
      <x:c r="G138" s="8"/>
      <x:c r="H138" s="8"/>
      <x:c r="I138" s="8"/>
      <x:c r="J138" s="1"/>
      <x:c r="K138" s="1"/>
    </x:row>
    <x:row r="139" ht="25" customHeight="1">
      <x:c r="A139" s="1"/>
      <x:c r="B139" s="1"/>
      <x:c r="C139" s="68" t="str">
        <x:v>CASH TAX SCHEDULE</x:v>
      </x:c>
      <x:c r="D139" s="69"/>
      <x:c r="E139" s="69"/>
      <x:c r="F139" s="69"/>
      <x:c r="G139" s="69"/>
      <x:c r="H139" s="69"/>
      <x:c r="I139" s="69"/>
      <x:c r="J139" s="1"/>
      <x:c r="K139" s="1"/>
    </x:row>
    <x:row r="140" ht="30" customHeight="1">
      <x:c r="A140" s="1"/>
      <x:c r="B140" s="1"/>
      <x:c r="C140" s="64" t="str">
        <x:v>Opening usable tax losses</x:v>
      </x:c>
      <x:c r="D140" s="8"/>
      <x:c r="E140" s="8" t="n">
        <x:f>$D$116</x:f>
        <x:v>0</x:v>
      </x:c>
      <x:c r="F140" s="8" t="n">
        <x:f>E145</x:f>
        <x:v>0</x:v>
      </x:c>
      <x:c r="G140" s="8" t="n">
        <x:f>F145</x:f>
        <x:v>0</x:v>
      </x:c>
      <x:c r="H140" s="8" t="n">
        <x:f>G145</x:f>
        <x:v>0</x:v>
      </x:c>
      <x:c r="I140" s="8" t="n">
        <x:f>H145</x:f>
        <x:v>0</x:v>
      </x:c>
      <x:c r="J140" s="1"/>
      <x:c r="K140" s="1"/>
    </x:row>
    <x:row r="141" ht="30" customHeight="1">
      <x:c r="A141" s="1"/>
      <x:c r="B141" s="1"/>
      <x:c r="C141" s="64" t="str">
        <x:v>Profit before tax for loss utilization</x:v>
      </x:c>
      <x:c r="D141" s="8"/>
      <x:c r="E141" s="8" t="n">
        <x:f>E56</x:f>
        <x:v>336.79458560000023</x:v>
      </x:c>
      <x:c r="F141" s="8" t="n">
        <x:f>F56</x:f>
        <x:v>472.6802062720003</x:v>
      </x:c>
      <x:c r="G141" s="8" t="n">
        <x:f>G56</x:f>
        <x:v>621.1369392566403</x:v>
      </x:c>
      <x:c r="H141" s="8" t="n">
        <x:f>H56</x:f>
        <x:v>783.7496003289975</x:v>
      </x:c>
      <x:c r="I141" s="8" t="n">
        <x:f>I56</x:f>
        <x:v>962.2897504537675</x:v>
      </x:c>
      <x:c r="J141" s="1"/>
      <x:c r="K141" s="1"/>
    </x:row>
    <x:row r="142" ht="30" customHeight="1">
      <x:c r="A142" s="1"/>
      <x:c r="B142" s="1"/>
      <x:c r="C142" s="64" t="str">
        <x:v>Tax losses utilized</x:v>
      </x:c>
      <x:c r="D142" s="8"/>
      <x:c r="E142" s="8" t="n">
        <x:f>MIN(E140,MAX(0,E141)*$D$117)</x:f>
        <x:v>0</x:v>
      </x:c>
      <x:c r="F142" s="8" t="n">
        <x:f>MIN(F140,MAX(0,F141)*$D$117)</x:f>
        <x:v>0</x:v>
      </x:c>
      <x:c r="G142" s="8" t="n">
        <x:f>MIN(G140,MAX(0,G141)*$D$117)</x:f>
        <x:v>0</x:v>
      </x:c>
      <x:c r="H142" s="8" t="n">
        <x:f>MIN(H140,MAX(0,H141)*$D$117)</x:f>
        <x:v>0</x:v>
      </x:c>
      <x:c r="I142" s="8" t="n">
        <x:f>MIN(I140,MAX(0,I141)*$D$117)</x:f>
        <x:v>0</x:v>
      </x:c>
      <x:c r="J142" s="1"/>
      <x:c r="K142" s="1"/>
    </x:row>
    <x:row r="143" ht="30" customHeight="1">
      <x:c r="A143" s="1"/>
      <x:c r="B143" s="1"/>
      <x:c r="C143" s="64" t="str">
        <x:v>Taxable profit after loss utilization</x:v>
      </x:c>
      <x:c r="D143" s="8"/>
      <x:c r="E143" s="8" t="n">
        <x:f>MAX(0,E141-E142)</x:f>
        <x:v>336.79458560000023</x:v>
      </x:c>
      <x:c r="F143" s="8" t="n">
        <x:f>MAX(0,F141-F142)</x:f>
        <x:v>472.6802062720003</x:v>
      </x:c>
      <x:c r="G143" s="8" t="n">
        <x:f>MAX(0,G141-G142)</x:f>
        <x:v>621.1369392566403</x:v>
      </x:c>
      <x:c r="H143" s="8" t="n">
        <x:f>MAX(0,H141-H142)</x:f>
        <x:v>783.7496003289975</x:v>
      </x:c>
      <x:c r="I143" s="8" t="n">
        <x:f>MAX(0,I141-I142)</x:f>
        <x:v>962.2897504537675</x:v>
      </x:c>
      <x:c r="J143" s="1"/>
      <x:c r="K143" s="1"/>
    </x:row>
    <x:row r="144" ht="30" customHeight="1">
      <x:c r="A144" s="1"/>
      <x:c r="B144" s="1"/>
      <x:c r="C144" s="64" t="str">
        <x:v>Cash income tax after loss utilization</x:v>
      </x:c>
      <x:c r="D144" s="8"/>
      <x:c r="E144" s="8" t="n">
        <x:f>E143*E28</x:f>
        <x:v>84.19864640000006</x:v>
      </x:c>
      <x:c r="F144" s="8" t="n">
        <x:f>F143*F28</x:f>
        <x:v>118.17005156800008</x:v>
      </x:c>
      <x:c r="G144" s="8" t="n">
        <x:f>G143*G28</x:f>
        <x:v>155.28423481416007</x:v>
      </x:c>
      <x:c r="H144" s="8" t="n">
        <x:f>H143*H28</x:f>
        <x:v>195.93740008224938</x:v>
      </x:c>
      <x:c r="I144" s="8" t="n">
        <x:f>I143*I28</x:f>
        <x:v>240.57243761344188</x:v>
      </x:c>
      <x:c r="J144" s="1"/>
      <x:c r="K144" s="1"/>
    </x:row>
    <x:row r="145" ht="30" customHeight="1">
      <x:c r="A145" s="1"/>
      <x:c r="B145" s="1"/>
      <x:c r="C145" s="64" t="str">
        <x:v>Closing usable tax losses</x:v>
      </x:c>
      <x:c r="D145" s="8"/>
      <x:c r="E145" s="8" t="n">
        <x:f>E140-E142+MAX(0,-E141)</x:f>
        <x:v>0</x:v>
      </x:c>
      <x:c r="F145" s="8" t="n">
        <x:f>F140-F142+MAX(0,-F141)</x:f>
        <x:v>0</x:v>
      </x:c>
      <x:c r="G145" s="8" t="n">
        <x:f>G140-G142+MAX(0,-G141)</x:f>
        <x:v>0</x:v>
      </x:c>
      <x:c r="H145" s="8" t="n">
        <x:f>H140-H142+MAX(0,-H141)</x:f>
        <x:v>0</x:v>
      </x:c>
      <x:c r="I145" s="8" t="n">
        <x:f>I140-I142+MAX(0,-I141)</x:f>
        <x:v>0</x:v>
      </x:c>
      <x:c r="J145" s="1"/>
      <x:c r="K145" s="1"/>
    </x:row>
    <x:row r="146" ht="30" customHeight="1">
      <x:c r="A146" s="1"/>
      <x:c r="B146" s="1"/>
      <x:c r="C146" s="64"/>
      <x:c r="D146" s="8"/>
      <x:c r="E146" s="8"/>
      <x:c r="F146" s="8"/>
      <x:c r="G146" s="8"/>
      <x:c r="H146" s="8"/>
      <x:c r="I146" s="8"/>
      <x:c r="J146" s="1"/>
      <x:c r="K146" s="1"/>
    </x:row>
    <x:row r="147" ht="30" customHeight="1">
      <x:c r="A147" s="1"/>
      <x:c r="B147" s="1"/>
      <x:c r="C147" s="64"/>
      <x:c r="D147" s="8"/>
      <x:c r="E147" s="8"/>
      <x:c r="F147" s="8"/>
      <x:c r="G147" s="8"/>
      <x:c r="H147" s="8"/>
      <x:c r="I147" s="8"/>
      <x:c r="J147" s="1"/>
      <x:c r="K147" s="1"/>
    </x:row>
    <x:row r="148" ht="30" customHeight="1">
      <x:c r="A148" s="1"/>
      <x:c r="B148" s="1"/>
      <x:c r="C148" s="64"/>
      <x:c r="D148" s="8"/>
      <x:c r="E148" s="8"/>
      <x:c r="F148" s="8"/>
      <x:c r="G148" s="8"/>
      <x:c r="H148" s="8"/>
      <x:c r="I148" s="8"/>
      <x:c r="J148" s="1"/>
      <x:c r="K148" s="1"/>
    </x:row>
    <x:row r="149" ht="30" customHeight="1">
      <x:c r="A149" s="1"/>
      <x:c r="B149" s="1"/>
      <x:c r="C149" s="64"/>
      <x:c r="D149" s="8"/>
      <x:c r="E149" s="8"/>
      <x:c r="F149" s="8"/>
      <x:c r="G149" s="8"/>
      <x:c r="H149" s="8"/>
      <x:c r="I149" s="8"/>
      <x:c r="J149" s="1"/>
      <x:c r="K149" s="1"/>
    </x:row>
    <x:row r="150" ht="25" customHeight="1">
      <x:c r="A150" s="1"/>
      <x:c r="B150" s="1"/>
      <x:c r="C150" s="68" t="str">
        <x:v>DETAILED OPERATING BRIDGE INPUTS</x:v>
      </x:c>
      <x:c r="D150" s="69"/>
      <x:c r="E150" s="69"/>
      <x:c r="F150" s="69"/>
      <x:c r="G150" s="69"/>
      <x:c r="H150" s="69"/>
      <x:c r="I150" s="69"/>
      <x:c r="J150" s="1"/>
      <x:c r="K150" s="1"/>
    </x:row>
    <x:row r="151" ht="30" customHeight="1">
      <x:c r="A151" s="1"/>
      <x:c r="B151" s="1"/>
      <x:c r="C151" s="64" t="str">
        <x:v>New commissioned capacity (MW)</x:v>
      </x:c>
      <x:c r="D151" s="8"/>
      <x:c r="E151" s="74" t="n">
        <x:f>E465</x:f>
        <x:v>180</x:v>
      </x:c>
      <x:c r="F151" s="74" t="n">
        <x:f>F465</x:f>
        <x:v>180</x:v>
      </x:c>
      <x:c r="G151" s="74" t="n">
        <x:f>G465</x:f>
        <x:v>180</x:v>
      </x:c>
      <x:c r="H151" s="74" t="n">
        <x:f>H465</x:f>
        <x:v>180</x:v>
      </x:c>
      <x:c r="I151" s="74" t="n">
        <x:f>I465</x:f>
        <x:v>180</x:v>
      </x:c>
      <x:c r="J151" s="1"/>
      <x:c r="K151" s="1" t="str">
        <x:v>Detailed bridge assumes construction payments in the commissioning year. DSCR includes all capex; lender covenant definitions can differ.</x:v>
      </x:c>
    </x:row>
    <x:row r="152" ht="30" customHeight="1">
      <x:c r="A152" s="1"/>
      <x:c r="B152" s="1"/>
      <x:c r="C152" s="64" t="str">
        <x:v>Commissioned capacity operating-year fraction</x:v>
      </x:c>
      <x:c r="D152" s="8"/>
      <x:c r="E152" s="72" t="n">
        <x:f>E470</x:f>
        <x:v>0.5</x:v>
      </x:c>
      <x:c r="F152" s="72" t="n">
        <x:f>F470</x:f>
        <x:v>0.5</x:v>
      </x:c>
      <x:c r="G152" s="72" t="n">
        <x:f>G470</x:f>
        <x:v>0.5</x:v>
      </x:c>
      <x:c r="H152" s="72" t="n">
        <x:f>H470</x:f>
        <x:v>0.5</x:v>
      </x:c>
      <x:c r="I152" s="72" t="n">
        <x:f>I470</x:f>
        <x:v>0.5</x:v>
      </x:c>
      <x:c r="J152" s="1"/>
      <x:c r="K152" s="1"/>
    </x:row>
    <x:row r="153" ht="30" customHeight="1">
      <x:c r="A153" s="1"/>
      <x:c r="B153" s="1"/>
      <x:c r="C153" s="64" t="str">
        <x:v>Construction cash cost per new MW (INR crore)</x:v>
      </x:c>
      <x:c r="D153" s="8"/>
      <x:c r="E153" s="74" t="n">
        <x:f>E475</x:f>
        <x:v>4</x:v>
      </x:c>
      <x:c r="F153" s="74" t="n">
        <x:f>F475</x:f>
        <x:v>4</x:v>
      </x:c>
      <x:c r="G153" s="74" t="n">
        <x:f>G475</x:f>
        <x:v>4</x:v>
      </x:c>
      <x:c r="H153" s="74" t="n">
        <x:f>H475</x:f>
        <x:v>4</x:v>
      </x:c>
      <x:c r="I153" s="74" t="n">
        <x:f>I475</x:f>
        <x:v>4</x:v>
      </x:c>
      <x:c r="J153" s="1"/>
      <x:c r="K153" s="1"/>
    </x:row>
    <x:row r="154" ht="30" customHeight="1">
      <x:c r="A154" s="1"/>
      <x:c r="B154" s="1"/>
      <x:c r="C154" s="64" t="str">
        <x:v>Maintenance capex / revenue</x:v>
      </x:c>
      <x:c r="D154" s="8"/>
      <x:c r="E154" s="72" t="n">
        <x:f>E480</x:f>
        <x:v>0.02</x:v>
      </x:c>
      <x:c r="F154" s="72" t="n">
        <x:f>F480</x:f>
        <x:v>0.02</x:v>
      </x:c>
      <x:c r="G154" s="72" t="n">
        <x:f>G480</x:f>
        <x:v>0.02</x:v>
      </x:c>
      <x:c r="H154" s="72" t="n">
        <x:f>H480</x:f>
        <x:v>0.02</x:v>
      </x:c>
      <x:c r="I154" s="72" t="n">
        <x:f>I480</x:f>
        <x:v>0.02</x:v>
      </x:c>
      <x:c r="J154" s="1"/>
      <x:c r="K154" s="1"/>
    </x:row>
    <x:row r="155" ht="30" customHeight="1">
      <x:c r="A155" s="1"/>
      <x:c r="B155" s="1"/>
      <x:c r="C155" s="64"/>
      <x:c r="D155" s="8"/>
      <x:c r="E155" s="8"/>
      <x:c r="F155" s="8"/>
      <x:c r="G155" s="8"/>
      <x:c r="H155" s="8"/>
      <x:c r="I155" s="8"/>
      <x:c r="J155" s="1"/>
      <x:c r="K155" s="1"/>
    </x:row>
    <x:row r="156" ht="30" customHeight="1">
      <x:c r="A156" s="1"/>
      <x:c r="B156" s="1"/>
      <x:c r="C156" s="64"/>
      <x:c r="D156" s="8"/>
      <x:c r="E156" s="8"/>
      <x:c r="F156" s="8"/>
      <x:c r="G156" s="8"/>
      <x:c r="H156" s="8"/>
      <x:c r="I156" s="8"/>
      <x:c r="J156" s="1"/>
      <x:c r="K156" s="1"/>
    </x:row>
    <x:row r="157" ht="30" customHeight="1">
      <x:c r="A157" s="1"/>
      <x:c r="B157" s="1"/>
      <x:c r="C157" s="64"/>
      <x:c r="D157" s="8"/>
      <x:c r="E157" s="8"/>
      <x:c r="F157" s="8"/>
      <x:c r="G157" s="8"/>
      <x:c r="H157" s="8"/>
      <x:c r="I157" s="8"/>
      <x:c r="J157" s="1"/>
      <x:c r="K157" s="1"/>
    </x:row>
    <x:row r="158" ht="30" customHeight="1">
      <x:c r="A158" s="1"/>
      <x:c r="B158" s="1"/>
      <x:c r="C158" s="64"/>
      <x:c r="D158" s="8"/>
      <x:c r="E158" s="8"/>
      <x:c r="F158" s="8"/>
      <x:c r="G158" s="8"/>
      <x:c r="H158" s="8"/>
      <x:c r="I158" s="8"/>
      <x:c r="J158" s="1"/>
      <x:c r="K158" s="1"/>
    </x:row>
    <x:row r="159" ht="25" customHeight="1">
      <x:c r="A159" s="1"/>
      <x:c r="B159" s="1"/>
      <x:c r="C159" s="68" t="str">
        <x:v>DETAILED OPERATING BRIDGE</x:v>
      </x:c>
      <x:c r="D159" s="69"/>
      <x:c r="E159" s="69"/>
      <x:c r="F159" s="69"/>
      <x:c r="G159" s="69"/>
      <x:c r="H159" s="69"/>
      <x:c r="I159" s="69"/>
      <x:c r="J159" s="1"/>
      <x:c r="K159" s="1"/>
    </x:row>
    <x:row r="160" ht="30" customHeight="1">
      <x:c r="A160" s="1"/>
      <x:c r="B160" s="1"/>
      <x:c r="C160" s="64" t="str">
        <x:v>Opening operational capacity (MW)</x:v>
      </x:c>
      <x:c r="D160" s="8"/>
      <x:c r="E160" s="8" t="n">
        <x:f>$D$10</x:f>
        <x:v>1500</x:v>
      </x:c>
      <x:c r="F160" s="8" t="n">
        <x:f>E162</x:f>
        <x:v>1680</x:v>
      </x:c>
      <x:c r="G160" s="8" t="n">
        <x:f>F162</x:f>
        <x:v>1860</x:v>
      </x:c>
      <x:c r="H160" s="8" t="n">
        <x:f>G162</x:f>
        <x:v>2040</x:v>
      </x:c>
      <x:c r="I160" s="8" t="n">
        <x:f>H162</x:f>
        <x:v>2220</x:v>
      </x:c>
      <x:c r="J160" s="1"/>
      <x:c r="K160" s="1"/>
    </x:row>
    <x:row r="161" ht="30" customHeight="1">
      <x:c r="A161" s="1"/>
      <x:c r="B161" s="1"/>
      <x:c r="C161" s="64" t="str">
        <x:v>Commissioned capacity (MW)</x:v>
      </x:c>
      <x:c r="D161" s="8"/>
      <x:c r="E161" s="8" t="n">
        <x:f>E151</x:f>
        <x:v>180</x:v>
      </x:c>
      <x:c r="F161" s="8" t="n">
        <x:f>F151</x:f>
        <x:v>180</x:v>
      </x:c>
      <x:c r="G161" s="8" t="n">
        <x:f>G151</x:f>
        <x:v>180</x:v>
      </x:c>
      <x:c r="H161" s="8" t="n">
        <x:f>H151</x:f>
        <x:v>180</x:v>
      </x:c>
      <x:c r="I161" s="8" t="n">
        <x:f>I151</x:f>
        <x:v>180</x:v>
      </x:c>
      <x:c r="J161" s="1"/>
      <x:c r="K161" s="1"/>
    </x:row>
    <x:row r="162" ht="30" customHeight="1">
      <x:c r="A162" s="1"/>
      <x:c r="B162" s="1"/>
      <x:c r="C162" s="64" t="str">
        <x:v>Closing operational capacity (MW)</x:v>
      </x:c>
      <x:c r="D162" s="8"/>
      <x:c r="E162" s="8" t="n">
        <x:f>E160+E161</x:f>
        <x:v>1680</x:v>
      </x:c>
      <x:c r="F162" s="8" t="n">
        <x:f>F160+F161</x:f>
        <x:v>1860</x:v>
      </x:c>
      <x:c r="G162" s="8" t="n">
        <x:f>G160+G161</x:f>
        <x:v>2040</x:v>
      </x:c>
      <x:c r="H162" s="8" t="n">
        <x:f>H160+H161</x:f>
        <x:v>2220</x:v>
      </x:c>
      <x:c r="I162" s="8" t="n">
        <x:f>I160+I161</x:f>
        <x:v>2400</x:v>
      </x:c>
      <x:c r="J162" s="1"/>
      <x:c r="K162" s="1"/>
    </x:row>
    <x:row r="163" ht="30" customHeight="1">
      <x:c r="A163" s="1"/>
      <x:c r="B163" s="1"/>
      <x:c r="C163" s="64" t="str">
        <x:v>Time-weighted operational capacity (MW)</x:v>
      </x:c>
      <x:c r="D163" s="8"/>
      <x:c r="E163" s="8" t="n">
        <x:f>E160+E161*E152</x:f>
        <x:v>1590</x:v>
      </x:c>
      <x:c r="F163" s="8" t="n">
        <x:f>F160+F161*F152</x:f>
        <x:v>1770</x:v>
      </x:c>
      <x:c r="G163" s="8" t="n">
        <x:f>G160+G161*G152</x:f>
        <x:v>1950</x:v>
      </x:c>
      <x:c r="H163" s="8" t="n">
        <x:f>H160+H161*H152</x:f>
        <x:v>2130</x:v>
      </x:c>
      <x:c r="I163" s="8" t="n">
        <x:f>I160+I161*I152</x:f>
        <x:v>2310</x:v>
      </x:c>
      <x:c r="J163" s="1"/>
      <x:c r="K163" s="1"/>
    </x:row>
    <x:row r="164" ht="30" customHeight="1">
      <x:c r="A164" s="1"/>
      <x:c r="B164" s="1"/>
      <x:c r="C164" s="64" t="str">
        <x:v>Construction cash expenditure</x:v>
      </x:c>
      <x:c r="D164" s="8"/>
      <x:c r="E164" s="8" t="n">
        <x:f>E151*E153</x:f>
        <x:v>720</x:v>
      </x:c>
      <x:c r="F164" s="8" t="n">
        <x:f>F151*F153</x:f>
        <x:v>720</x:v>
      </x:c>
      <x:c r="G164" s="8" t="n">
        <x:f>G151*G153</x:f>
        <x:v>720</x:v>
      </x:c>
      <x:c r="H164" s="8" t="n">
        <x:f>H151*H153</x:f>
        <x:v>720</x:v>
      </x:c>
      <x:c r="I164" s="8" t="n">
        <x:f>I151*I153</x:f>
        <x:v>720</x:v>
      </x:c>
      <x:c r="J164" s="1"/>
      <x:c r="K164" s="1"/>
    </x:row>
    <x:row r="165" ht="30" customHeight="1">
      <x:c r="A165" s="1"/>
      <x:c r="B165" s="1"/>
      <x:c r="C165" s="64" t="str">
        <x:v>Maintenance capital expenditure</x:v>
      </x:c>
      <x:c r="D165" s="8"/>
      <x:c r="E165" s="8" t="n">
        <x:f>E47*E154</x:f>
        <x:v>25.43063040000001</x:v>
      </x:c>
      <x:c r="F165" s="8" t="n">
        <x:f>F47*F154</x:f>
        <x:v>28.48230604800001</x:v>
      </x:c>
      <x:c r="G165" s="8" t="n">
        <x:f>G47*G154</x:f>
        <x:v>31.90018277376001</x:v>
      </x:c>
      <x:c r="H165" s="8" t="n">
        <x:f>H47*H154</x:f>
        <x:v>35.72820470661122</x:v>
      </x:c>
      <x:c r="I165" s="8" t="n">
        <x:f>I47*I154</x:f>
        <x:v>40.01558927140458</x:v>
      </x:c>
      <x:c r="J165" s="1"/>
      <x:c r="K165" s="1"/>
    </x:row>
    <x:row r="166" ht="30" customHeight="1">
      <x:c r="A166" s="1"/>
      <x:c r="B166" s="1"/>
      <x:c r="C166" s="64" t="str">
        <x:v>Total capacity-linked capital expenditure</x:v>
      </x:c>
      <x:c r="D166" s="8"/>
      <x:c r="E166" s="8" t="n">
        <x:f>E164+E165</x:f>
        <x:v>745.4306304</x:v>
      </x:c>
      <x:c r="F166" s="8" t="n">
        <x:f>F164+F165</x:f>
        <x:v>748.482306048</x:v>
      </x:c>
      <x:c r="G166" s="8" t="n">
        <x:f>G164+G165</x:f>
        <x:v>751.90018277376</x:v>
      </x:c>
      <x:c r="H166" s="8" t="n">
        <x:f>H164+H165</x:f>
        <x:v>755.7282047066112</x:v>
      </x:c>
      <x:c r="I166" s="8" t="n">
        <x:f>I164+I165</x:f>
        <x:v>760.0155892714046</x:v>
      </x:c>
      <x:c r="J166" s="1"/>
      <x:c r="K166" s="1"/>
    </x:row>
    <x:row r="167" ht="30" customHeight="1">
      <x:c r="A167" s="1"/>
      <x:c r="B167" s="1"/>
      <x:c r="C167" s="64" t="str">
        <x:v>Cash available for debt service after all capex</x:v>
      </x:c>
      <x:c r="D167" s="8"/>
      <x:c r="E167" s="8" t="n">
        <x:f>E52-E57-E64-E65</x:f>
        <x:v>553.9559008</x:v>
      </x:c>
      <x:c r="F167" s="8" t="n">
        <x:f>F52-F57-F64-F65</x:f>
        <x:v>596.563041296</x:v>
      </x:c>
      <x:c r="G167" s="8" t="n">
        <x:f>G52-G57-G64-G65</x:f>
        <x:v>645.2168291935202</x:v>
      </x:c>
      <x:c r="H167" s="8" t="n">
        <x:f>H52-H57-H64-H65</x:f>
        <x:v>700.6237916063527</x:v>
      </x:c>
      <x:c r="I167" s="8" t="n">
        <x:f>I52-I57-I64-I65</x:f>
        <x:v>763.5760970777927</x:v>
      </x:c>
      <x:c r="J167" s="1"/>
      <x:c r="K167" s="1"/>
    </x:row>
    <x:row r="168" ht="30" customHeight="1">
      <x:c r="A168" s="1"/>
      <x:c r="B168" s="1"/>
      <x:c r="C168" s="64" t="str">
        <x:v>Interest plus scheduled principal</x:v>
      </x:c>
      <x:c r="D168" s="8"/>
      <x:c r="E168" s="8" t="n">
        <x:f>E125+E122</x:f>
        <x:v>540</x:v>
      </x:c>
      <x:c r="F168" s="8" t="n">
        <x:f>F125+F122</x:f>
        <x:v>523</x:v>
      </x:c>
      <x:c r="G168" s="8" t="n">
        <x:f>G125+G122</x:f>
        <x:v>506</x:v>
      </x:c>
      <x:c r="H168" s="8" t="n">
        <x:f>H125+H122</x:f>
        <x:v>489</x:v>
      </x:c>
      <x:c r="I168" s="8" t="n">
        <x:f>I125+I122</x:f>
        <x:v>472</x:v>
      </x:c>
      <x:c r="J168" s="1"/>
      <x:c r="K168" s="1"/>
    </x:row>
    <x:row r="169" ht="30" customHeight="1">
      <x:c r="A169" s="1"/>
      <x:c r="B169" s="1"/>
      <x:c r="C169" s="64" t="str">
        <x:v>DSCR after all capex (n/a if no debt service)</x:v>
      </x:c>
      <x:c r="D169" s="8"/>
      <x:c r="E169" s="92" t="n">
        <x:f>IF(E168=0,"n/a",E167/E168)</x:f>
        <x:v>1.0258442607407408</x:v>
      </x:c>
      <x:c r="F169" s="92" t="n">
        <x:f>IF(F168=0,"n/a",F167/F168)</x:f>
        <x:v>1.1406559106998089</x:v>
      </x:c>
      <x:c r="G169" s="92" t="n">
        <x:f>IF(G168=0,"n/a",G167/G168)</x:f>
        <x:v>1.2751320735049807</x:v>
      </x:c>
      <x:c r="H169" s="92" t="n">
        <x:f>IF(H168=0,"n/a",H167/H168)</x:f>
        <x:v>1.4327684899925412</x:v>
      </x:c>
      <x:c r="I169" s="92" t="n">
        <x:f>IF(I168=0,"n/a",I167/I168)</x:f>
        <x:v>1.617745968385154</x:v>
      </x:c>
      <x:c r="J169" s="1"/>
      <x:c r="K169" s="1"/>
    </x:row>
    <x:row r="170" ht="30" customHeight="1">
      <x:c r="A170" s="1"/>
      <x:c r="B170" s="1"/>
      <x:c r="C170" s="64"/>
      <x:c r="D170" s="8"/>
      <x:c r="E170" s="8"/>
      <x:c r="F170" s="8"/>
      <x:c r="G170" s="8"/>
      <x:c r="H170" s="8"/>
      <x:c r="I170" s="8"/>
      <x:c r="J170" s="1"/>
      <x:c r="K170" s="1"/>
    </x:row>
    <x:row r="171" ht="30" customHeight="1">
      <x:c r="A171" s="1"/>
      <x:c r="B171" s="1"/>
      <x:c r="C171" s="64"/>
      <x:c r="D171" s="8"/>
      <x:c r="E171" s="8"/>
      <x:c r="F171" s="8"/>
      <x:c r="G171" s="8"/>
      <x:c r="H171" s="8"/>
      <x:c r="I171" s="8"/>
      <x:c r="J171" s="1"/>
      <x:c r="K171" s="1"/>
    </x:row>
    <x:row r="172" ht="30" customHeight="1">
      <x:c r="A172" s="1"/>
      <x:c r="B172" s="1"/>
      <x:c r="C172" s="64"/>
      <x:c r="D172" s="8"/>
      <x:c r="E172" s="8"/>
      <x:c r="F172" s="8"/>
      <x:c r="G172" s="8"/>
      <x:c r="H172" s="8"/>
      <x:c r="I172" s="8"/>
      <x:c r="J172" s="1"/>
      <x:c r="K172" s="1"/>
    </x:row>
    <x:row r="173" ht="30" customHeight="1">
      <x:c r="A173" s="1"/>
      <x:c r="B173" s="1"/>
      <x:c r="C173" s="64"/>
      <x:c r="D173" s="8"/>
      <x:c r="E173" s="8"/>
      <x:c r="F173" s="8"/>
      <x:c r="G173" s="8"/>
      <x:c r="H173" s="8"/>
      <x:c r="I173" s="8"/>
      <x:c r="J173" s="1"/>
      <x:c r="K173" s="1"/>
    </x:row>
    <x:row r="174" ht="30" customHeight="1">
      <x:c r="A174" s="1"/>
      <x:c r="B174" s="1"/>
      <x:c r="C174" s="64"/>
      <x:c r="D174" s="8"/>
      <x:c r="E174" s="8"/>
      <x:c r="F174" s="8"/>
      <x:c r="G174" s="8"/>
      <x:c r="H174" s="8"/>
      <x:c r="I174" s="8"/>
      <x:c r="J174" s="1"/>
      <x:c r="K174" s="1"/>
    </x:row>
    <x:row r="175" ht="30" customHeight="1">
      <x:c r="A175" s="1"/>
      <x:c r="B175" s="1"/>
      <x:c r="C175" s="64"/>
      <x:c r="D175" s="8"/>
      <x:c r="E175" s="8"/>
      <x:c r="F175" s="8"/>
      <x:c r="G175" s="8"/>
      <x:c r="H175" s="8"/>
      <x:c r="I175" s="8"/>
      <x:c r="J175" s="1"/>
      <x:c r="K175" s="1"/>
    </x:row>
    <x:row r="176" ht="30" customHeight="1">
      <x:c r="A176" s="1"/>
      <x:c r="B176" s="1"/>
      <x:c r="C176" s="64"/>
      <x:c r="D176" s="8"/>
      <x:c r="E176" s="8"/>
      <x:c r="F176" s="8"/>
      <x:c r="G176" s="8"/>
      <x:c r="H176" s="8"/>
      <x:c r="I176" s="8"/>
      <x:c r="J176" s="1"/>
      <x:c r="K176" s="1"/>
    </x:row>
    <x:row r="177" ht="30" customHeight="1">
      <x:c r="A177" s="1"/>
      <x:c r="B177" s="1"/>
      <x:c r="C177" s="64"/>
      <x:c r="D177" s="8"/>
      <x:c r="E177" s="8"/>
      <x:c r="F177" s="8"/>
      <x:c r="G177" s="8"/>
      <x:c r="H177" s="8"/>
      <x:c r="I177" s="8"/>
      <x:c r="J177" s="1"/>
      <x:c r="K177" s="1"/>
    </x:row>
    <x:row r="178" ht="30" customHeight="1">
      <x:c r="A178" s="1"/>
      <x:c r="B178" s="1"/>
      <x:c r="C178" s="64"/>
      <x:c r="D178" s="8"/>
      <x:c r="E178" s="8"/>
      <x:c r="F178" s="8"/>
      <x:c r="G178" s="8"/>
      <x:c r="H178" s="8"/>
      <x:c r="I178" s="8"/>
      <x:c r="J178" s="1"/>
      <x:c r="K178" s="1"/>
    </x:row>
    <x:row r="179" ht="25" customHeight="1">
      <x:c r="A179" s="1"/>
      <x:c r="B179" s="1"/>
      <x:c r="C179" s="68" t="str">
        <x:v>MODEL CHECKS</x:v>
      </x:c>
      <x:c r="D179" s="69"/>
      <x:c r="E179" s="69"/>
      <x:c r="F179" s="69"/>
      <x:c r="G179" s="69"/>
      <x:c r="H179" s="69"/>
      <x:c r="I179" s="69"/>
      <x:c r="J179" s="1"/>
      <x:c r="K179" s="1"/>
    </x:row>
    <x:row r="180" ht="30" customHeight="1">
      <x:c r="A180" s="1"/>
      <x:c r="B180" s="1"/>
      <x:c r="C180" s="64" t="str">
        <x:v>Average operational capacity (MW) — seed input outside bounds</x:v>
      </x:c>
      <x:c r="D180" s="8"/>
      <x:c r="E180" s="75" t="n">
        <x:f>IF(COUNT(D10)=0,1,IF(D10&lt;0,1,0))</x:f>
        <x:v>0</x:v>
      </x:c>
      <x:c r="F180" s="75" t="n">
        <x:f>IF(COUNT(D10)=0,1,IF(D10&lt;0,1,0))</x:f>
        <x:v>0</x:v>
      </x:c>
      <x:c r="G180" s="75" t="n">
        <x:f>IF(COUNT(D10)=0,1,IF(D10&lt;0,1,0))</x:f>
        <x:v>0</x:v>
      </x:c>
      <x:c r="H180" s="75" t="n">
        <x:f>IF(COUNT(D10)=0,1,IF(D10&lt;0,1,0))</x:f>
        <x:v>0</x:v>
      </x:c>
      <x:c r="I180" s="75" t="n">
        <x:f>IF(COUNT(D10)=0,1,IF(D10&lt;0,1,0))</x:f>
        <x:v>0</x:v>
      </x:c>
      <x:c r="J180" s="1"/>
      <x:c r="K180" s="1"/>
    </x:row>
    <x:row r="181" ht="30" customHeight="1">
      <x:c r="A181" s="1"/>
      <x:c r="B181" s="1"/>
      <x:c r="C181" s="64" t="str">
        <x:v>Realized tariff (INR per kWh) — seed input outside bounds</x:v>
      </x:c>
      <x:c r="D181" s="8"/>
      <x:c r="E181" s="75" t="n">
        <x:f>IF(COUNT(D11)=0,1,IF(D11&lt;0,1,0))</x:f>
        <x:v>0</x:v>
      </x:c>
      <x:c r="F181" s="75" t="n">
        <x:f>IF(COUNT(D11)=0,1,IF(D11&lt;0,1,0))</x:f>
        <x:v>0</x:v>
      </x:c>
      <x:c r="G181" s="75" t="n">
        <x:f>IF(COUNT(D11)=0,1,IF(D11&lt;0,1,0))</x:f>
        <x:v>0</x:v>
      </x:c>
      <x:c r="H181" s="75" t="n">
        <x:f>IF(COUNT(D11)=0,1,IF(D11&lt;0,1,0))</x:f>
        <x:v>0</x:v>
      </x:c>
      <x:c r="I181" s="75" t="n">
        <x:f>IF(COUNT(D11)=0,1,IF(D11&lt;0,1,0))</x:f>
        <x:v>0</x:v>
      </x:c>
      <x:c r="J181" s="1"/>
      <x:c r="K181" s="1"/>
    </x:row>
    <x:row r="182" ht="30" customHeight="1">
      <x:c r="A182" s="1"/>
      <x:c r="B182" s="1"/>
      <x:c r="C182" s="64" t="str">
        <x:v>Operating scale growth input outside bounds</x:v>
      </x:c>
      <x:c r="D182" s="8"/>
      <x:c r="E182" s="75" t="n">
        <x:f>IF(COUNT(E12)=0,1,IF(E12&lt;-1,1,0))</x:f>
        <x:v>0</x:v>
      </x:c>
      <x:c r="F182" s="75" t="n">
        <x:f>IF(COUNT(F12)=0,1,IF(F12&lt;-1,1,0))</x:f>
        <x:v>0</x:v>
      </x:c>
      <x:c r="G182" s="75" t="n">
        <x:f>IF(COUNT(G12)=0,1,IF(G12&lt;-1,1,0))</x:f>
        <x:v>0</x:v>
      </x:c>
      <x:c r="H182" s="75" t="n">
        <x:f>IF(COUNT(H12)=0,1,IF(H12&lt;-1,1,0))</x:f>
        <x:v>0</x:v>
      </x:c>
      <x:c r="I182" s="75" t="n">
        <x:f>IF(COUNT(I12)=0,1,IF(I12&lt;-1,1,0))</x:f>
        <x:v>0</x:v>
      </x:c>
      <x:c r="J182" s="1"/>
      <x:c r="K182" s="1"/>
    </x:row>
    <x:row r="183" ht="30" customHeight="1">
      <x:c r="A183" s="1"/>
      <x:c r="B183" s="1"/>
      <x:c r="C183" s="64" t="str">
        <x:v>Realization growth input outside bounds</x:v>
      </x:c>
      <x:c r="D183" s="8"/>
      <x:c r="E183" s="75" t="n">
        <x:f>IF(COUNT(E16)=0,1,IF(E16&lt;-1,1,0))</x:f>
        <x:v>0</x:v>
      </x:c>
      <x:c r="F183" s="75" t="n">
        <x:f>IF(COUNT(F16)=0,1,IF(F16&lt;-1,1,0))</x:f>
        <x:v>0</x:v>
      </x:c>
      <x:c r="G183" s="75" t="n">
        <x:f>IF(COUNT(G16)=0,1,IF(G16&lt;-1,1,0))</x:f>
        <x:v>0</x:v>
      </x:c>
      <x:c r="H183" s="75" t="n">
        <x:f>IF(COUNT(H16)=0,1,IF(H16&lt;-1,1,0))</x:f>
        <x:v>0</x:v>
      </x:c>
      <x:c r="I183" s="75" t="n">
        <x:f>IF(COUNT(I16)=0,1,IF(I16&lt;-1,1,0))</x:f>
        <x:v>0</x:v>
      </x:c>
      <x:c r="J183" s="1"/>
      <x:c r="K183" s="1"/>
    </x:row>
    <x:row r="184" ht="30" customHeight="1">
      <x:c r="A184" s="1"/>
      <x:c r="B184" s="1"/>
      <x:c r="C184" s="64" t="str">
        <x:v>Capacity utilization factor input outside bounds</x:v>
      </x:c>
      <x:c r="D184" s="8"/>
      <x:c r="E184" s="75" t="n">
        <x:f>IF(COUNT(E20)=0,1,IF(E20&lt;0,1,IF(E20&gt;1,1,0)))</x:f>
        <x:v>0</x:v>
      </x:c>
      <x:c r="F184" s="75" t="n">
        <x:f>IF(COUNT(F20)=0,1,IF(F20&lt;0,1,IF(F20&gt;1,1,0)))</x:f>
        <x:v>0</x:v>
      </x:c>
      <x:c r="G184" s="75" t="n">
        <x:f>IF(COUNT(G20)=0,1,IF(G20&lt;0,1,IF(G20&gt;1,1,0)))</x:f>
        <x:v>0</x:v>
      </x:c>
      <x:c r="H184" s="75" t="n">
        <x:f>IF(COUNT(H20)=0,1,IF(H20&lt;0,1,IF(H20&gt;1,1,0)))</x:f>
        <x:v>0</x:v>
      </x:c>
      <x:c r="I184" s="75" t="n">
        <x:f>IF(COUNT(I20)=0,1,IF(I20&lt;0,1,IF(I20&gt;1,1,0)))</x:f>
        <x:v>0</x:v>
      </x:c>
      <x:c r="J184" s="1"/>
      <x:c r="K184" s="1"/>
    </x:row>
    <x:row r="185" ht="30" customHeight="1">
      <x:c r="A185" s="1"/>
      <x:c r="B185" s="1"/>
      <x:c r="C185" s="64" t="str">
        <x:v>Variable operations cost / revenue input outside bounds</x:v>
      </x:c>
      <x:c r="D185" s="8"/>
      <x:c r="E185" s="75" t="n">
        <x:f>IF(COUNT(E21)=0,1,IF(E21&lt;0,1,0))</x:f>
        <x:v>0</x:v>
      </x:c>
      <x:c r="F185" s="75" t="n">
        <x:f>IF(COUNT(F21)=0,1,IF(F21&lt;0,1,0))</x:f>
        <x:v>0</x:v>
      </x:c>
      <x:c r="G185" s="75" t="n">
        <x:f>IF(COUNT(G21)=0,1,IF(G21&lt;0,1,0))</x:f>
        <x:v>0</x:v>
      </x:c>
      <x:c r="H185" s="75" t="n">
        <x:f>IF(COUNT(H21)=0,1,IF(H21&lt;0,1,0))</x:f>
        <x:v>0</x:v>
      </x:c>
      <x:c r="I185" s="75" t="n">
        <x:f>IF(COUNT(I21)=0,1,IF(I21&lt;0,1,0))</x:f>
        <x:v>0</x:v>
      </x:c>
      <x:c r="J185" s="1"/>
      <x:c r="K185" s="1"/>
    </x:row>
    <x:row r="186" ht="30" customHeight="1">
      <x:c r="A186" s="1"/>
      <x:c r="B186" s="1"/>
      <x:c r="C186" s="64" t="str">
        <x:v>Other cash operating costs / revenue input outside bounds</x:v>
      </x:c>
      <x:c r="D186" s="8"/>
      <x:c r="E186" s="75" t="n">
        <x:f>IF(COUNT(E22)=0,1,IF(E22&lt;0,1,0))</x:f>
        <x:v>0</x:v>
      </x:c>
      <x:c r="F186" s="75" t="n">
        <x:f>IF(COUNT(F22)=0,1,IF(F22&lt;0,1,0))</x:f>
        <x:v>0</x:v>
      </x:c>
      <x:c r="G186" s="75" t="n">
        <x:f>IF(COUNT(G22)=0,1,IF(G22&lt;0,1,0))</x:f>
        <x:v>0</x:v>
      </x:c>
      <x:c r="H186" s="75" t="n">
        <x:f>IF(COUNT(H22)=0,1,IF(H22&lt;0,1,0))</x:f>
        <x:v>0</x:v>
      </x:c>
      <x:c r="I186" s="75" t="n">
        <x:f>IF(COUNT(I22)=0,1,IF(I22&lt;0,1,0))</x:f>
        <x:v>0</x:v>
      </x:c>
      <x:c r="J186" s="1"/>
      <x:c r="K186" s="1"/>
    </x:row>
    <x:row r="187" ht="30" customHeight="1">
      <x:c r="A187" s="1"/>
      <x:c r="B187" s="1"/>
      <x:c r="C187" s="64" t="str">
        <x:v>Cash capex / revenue input outside bounds</x:v>
      </x:c>
      <x:c r="D187" s="8"/>
      <x:c r="E187" s="75" t="n">
        <x:f>IF(COUNT(E23)=0,1,IF(E23&lt;0,1,0))</x:f>
        <x:v>0</x:v>
      </x:c>
      <x:c r="F187" s="75" t="n">
        <x:f>IF(COUNT(F23)=0,1,IF(F23&lt;0,1,0))</x:f>
        <x:v>0</x:v>
      </x:c>
      <x:c r="G187" s="75" t="n">
        <x:f>IF(COUNT(G23)=0,1,IF(G23&lt;0,1,0))</x:f>
        <x:v>0</x:v>
      </x:c>
      <x:c r="H187" s="75" t="n">
        <x:f>IF(COUNT(H23)=0,1,IF(H23&lt;0,1,0))</x:f>
        <x:v>0</x:v>
      </x:c>
      <x:c r="I187" s="75" t="n">
        <x:f>IF(COUNT(I23)=0,1,IF(I23&lt;0,1,0))</x:f>
        <x:v>0</x:v>
      </x:c>
      <x:c r="J187" s="1"/>
      <x:c r="K187" s="1"/>
    </x:row>
    <x:row r="188" ht="30" customHeight="1">
      <x:c r="A188" s="1"/>
      <x:c r="B188" s="1"/>
      <x:c r="C188" s="64" t="str">
        <x:v>D&amp;A / opening net PP&amp;E input outside bounds</x:v>
      </x:c>
      <x:c r="D188" s="8"/>
      <x:c r="E188" s="75" t="n">
        <x:f>IF(COUNT(E24)=0,1,IF(E24&lt;0,1,IF(E24&gt;1,1,0)))</x:f>
        <x:v>0</x:v>
      </x:c>
      <x:c r="F188" s="75" t="n">
        <x:f>IF(COUNT(F24)=0,1,IF(F24&lt;0,1,IF(F24&gt;1,1,0)))</x:f>
        <x:v>0</x:v>
      </x:c>
      <x:c r="G188" s="75" t="n">
        <x:f>IF(COUNT(G24)=0,1,IF(G24&lt;0,1,IF(G24&gt;1,1,0)))</x:f>
        <x:v>0</x:v>
      </x:c>
      <x:c r="H188" s="75" t="n">
        <x:f>IF(COUNT(H24)=0,1,IF(H24&lt;0,1,IF(H24&gt;1,1,0)))</x:f>
        <x:v>0</x:v>
      </x:c>
      <x:c r="I188" s="75" t="n">
        <x:f>IF(COUNT(I24)=0,1,IF(I24&lt;0,1,IF(I24&gt;1,1,0)))</x:f>
        <x:v>0</x:v>
      </x:c>
      <x:c r="J188" s="1"/>
      <x:c r="K188" s="1"/>
    </x:row>
    <x:row r="189" ht="30" customHeight="1">
      <x:c r="A189" s="1"/>
      <x:c r="B189" s="1"/>
      <x:c r="C189" s="64" t="str">
        <x:v>Receivable days input outside bounds</x:v>
      </x:c>
      <x:c r="D189" s="8"/>
      <x:c r="E189" s="75" t="n">
        <x:f>IF(COUNT(E25)=0,1,IF(E25&lt;0,1,0))</x:f>
        <x:v>0</x:v>
      </x:c>
      <x:c r="F189" s="75" t="n">
        <x:f>IF(COUNT(F25)=0,1,IF(F25&lt;0,1,0))</x:f>
        <x:v>0</x:v>
      </x:c>
      <x:c r="G189" s="75" t="n">
        <x:f>IF(COUNT(G25)=0,1,IF(G25&lt;0,1,0))</x:f>
        <x:v>0</x:v>
      </x:c>
      <x:c r="H189" s="75" t="n">
        <x:f>IF(COUNT(H25)=0,1,IF(H25&lt;0,1,0))</x:f>
        <x:v>0</x:v>
      </x:c>
      <x:c r="I189" s="75" t="n">
        <x:f>IF(COUNT(I25)=0,1,IF(I25&lt;0,1,0))</x:f>
        <x:v>0</x:v>
      </x:c>
      <x:c r="J189" s="1"/>
      <x:c r="K189" s="1"/>
    </x:row>
    <x:row r="190" ht="30" customHeight="1">
      <x:c r="A190" s="1"/>
      <x:c r="B190" s="1"/>
      <x:c r="C190" s="64" t="str">
        <x:v>Inventory days input outside bounds</x:v>
      </x:c>
      <x:c r="D190" s="8"/>
      <x:c r="E190" s="75" t="n">
        <x:f>IF(COUNT(E26)=0,1,IF(E26&lt;0,1,0))</x:f>
        <x:v>0</x:v>
      </x:c>
      <x:c r="F190" s="75" t="n">
        <x:f>IF(COUNT(F26)=0,1,IF(F26&lt;0,1,0))</x:f>
        <x:v>0</x:v>
      </x:c>
      <x:c r="G190" s="75" t="n">
        <x:f>IF(COUNT(G26)=0,1,IF(G26&lt;0,1,0))</x:f>
        <x:v>0</x:v>
      </x:c>
      <x:c r="H190" s="75" t="n">
        <x:f>IF(COUNT(H26)=0,1,IF(H26&lt;0,1,0))</x:f>
        <x:v>0</x:v>
      </x:c>
      <x:c r="I190" s="75" t="n">
        <x:f>IF(COUNT(I26)=0,1,IF(I26&lt;0,1,0))</x:f>
        <x:v>0</x:v>
      </x:c>
      <x:c r="J190" s="1"/>
      <x:c r="K190" s="1"/>
    </x:row>
    <x:row r="191" ht="30" customHeight="1">
      <x:c r="A191" s="1"/>
      <x:c r="B191" s="1"/>
      <x:c r="C191" s="64" t="str">
        <x:v>Payable days input outside bounds</x:v>
      </x:c>
      <x:c r="D191" s="8"/>
      <x:c r="E191" s="75" t="n">
        <x:f>IF(COUNT(E27)=0,1,IF(E27&lt;0,1,0))</x:f>
        <x:v>0</x:v>
      </x:c>
      <x:c r="F191" s="75" t="n">
        <x:f>IF(COUNT(F27)=0,1,IF(F27&lt;0,1,0))</x:f>
        <x:v>0</x:v>
      </x:c>
      <x:c r="G191" s="75" t="n">
        <x:f>IF(COUNT(G27)=0,1,IF(G27&lt;0,1,0))</x:f>
        <x:v>0</x:v>
      </x:c>
      <x:c r="H191" s="75" t="n">
        <x:f>IF(COUNT(H27)=0,1,IF(H27&lt;0,1,0))</x:f>
        <x:v>0</x:v>
      </x:c>
      <x:c r="I191" s="75" t="n">
        <x:f>IF(COUNT(I27)=0,1,IF(I27&lt;0,1,0))</x:f>
        <x:v>0</x:v>
      </x:c>
      <x:c r="J191" s="1"/>
      <x:c r="K191" s="1"/>
    </x:row>
    <x:row r="192" ht="30" customHeight="1">
      <x:c r="A192" s="1"/>
      <x:c r="B192" s="1"/>
      <x:c r="C192" s="64" t="str">
        <x:v>Effective cash tax rate input outside bounds</x:v>
      </x:c>
      <x:c r="D192" s="8"/>
      <x:c r="E192" s="75" t="n">
        <x:f>IF(COUNT(E28)=0,1,IF(E28&lt;0,1,IF(E28&gt;1,1,0)))</x:f>
        <x:v>0</x:v>
      </x:c>
      <x:c r="F192" s="75" t="n">
        <x:f>IF(COUNT(F28)=0,1,IF(F28&lt;0,1,IF(F28&gt;1,1,0)))</x:f>
        <x:v>0</x:v>
      </x:c>
      <x:c r="G192" s="75" t="n">
        <x:f>IF(COUNT(G28)=0,1,IF(G28&lt;0,1,IF(G28&gt;1,1,0)))</x:f>
        <x:v>0</x:v>
      </x:c>
      <x:c r="H192" s="75" t="n">
        <x:f>IF(COUNT(H28)=0,1,IF(H28&lt;0,1,IF(H28&gt;1,1,0)))</x:f>
        <x:v>0</x:v>
      </x:c>
      <x:c r="I192" s="75" t="n">
        <x:f>IF(COUNT(I28)=0,1,IF(I28&lt;0,1,IF(I28&gt;1,1,0)))</x:f>
        <x:v>0</x:v>
      </x:c>
      <x:c r="J192" s="1"/>
      <x:c r="K192" s="1"/>
    </x:row>
    <x:row r="193" ht="30" customHeight="1">
      <x:c r="A193" s="1"/>
      <x:c r="B193" s="1"/>
      <x:c r="C193" s="64" t="str">
        <x:v>Interest on opening debt input outside bounds</x:v>
      </x:c>
      <x:c r="D193" s="8"/>
      <x:c r="E193" s="75" t="n">
        <x:f>IF(COUNT(E29)=0,1,IF(E29&lt;0,1,0))</x:f>
        <x:v>0</x:v>
      </x:c>
      <x:c r="F193" s="75" t="n">
        <x:f>IF(COUNT(F29)=0,1,IF(F29&lt;0,1,0))</x:f>
        <x:v>0</x:v>
      </x:c>
      <x:c r="G193" s="75" t="n">
        <x:f>IF(COUNT(G29)=0,1,IF(G29&lt;0,1,0))</x:f>
        <x:v>0</x:v>
      </x:c>
      <x:c r="H193" s="75" t="n">
        <x:f>IF(COUNT(H29)=0,1,IF(H29&lt;0,1,0))</x:f>
        <x:v>0</x:v>
      </x:c>
      <x:c r="I193" s="75" t="n">
        <x:f>IF(COUNT(I29)=0,1,IF(I29&lt;0,1,0))</x:f>
        <x:v>0</x:v>
      </x:c>
      <x:c r="J193" s="1"/>
      <x:c r="K193" s="1"/>
    </x:row>
    <x:row r="194" ht="30" customHeight="1">
      <x:c r="A194" s="1"/>
      <x:c r="B194" s="1"/>
      <x:c r="C194" s="64" t="str">
        <x:v>New borrowing input outside bounds</x:v>
      </x:c>
      <x:c r="D194" s="8"/>
      <x:c r="E194" s="75" t="n">
        <x:f>IF(COUNT(E30)=0,1,IF(E30&lt;0,1,0))</x:f>
        <x:v>0</x:v>
      </x:c>
      <x:c r="F194" s="75" t="n">
        <x:f>IF(COUNT(F30)=0,1,IF(F30&lt;0,1,0))</x:f>
        <x:v>0</x:v>
      </x:c>
      <x:c r="G194" s="75" t="n">
        <x:f>IF(COUNT(G30)=0,1,IF(G30&lt;0,1,0))</x:f>
        <x:v>0</x:v>
      </x:c>
      <x:c r="H194" s="75" t="n">
        <x:f>IF(COUNT(H30)=0,1,IF(H30&lt;0,1,0))</x:f>
        <x:v>0</x:v>
      </x:c>
      <x:c r="I194" s="75" t="n">
        <x:f>IF(COUNT(I30)=0,1,IF(I30&lt;0,1,0))</x:f>
        <x:v>0</x:v>
      </x:c>
      <x:c r="J194" s="1"/>
      <x:c r="K194" s="1"/>
    </x:row>
    <x:row r="195" ht="30" customHeight="1">
      <x:c r="A195" s="1"/>
      <x:c r="B195" s="1"/>
      <x:c r="C195" s="64" t="str">
        <x:v>Scheduled principal repayment input outside bounds</x:v>
      </x:c>
      <x:c r="D195" s="8"/>
      <x:c r="E195" s="75" t="n">
        <x:f>IF(COUNT(E31)=0,1,IF(E31&lt;0,1,0))</x:f>
        <x:v>0</x:v>
      </x:c>
      <x:c r="F195" s="75" t="n">
        <x:f>IF(COUNT(F31)=0,1,IF(F31&lt;0,1,0))</x:f>
        <x:v>0</x:v>
      </x:c>
      <x:c r="G195" s="75" t="n">
        <x:f>IF(COUNT(G31)=0,1,IF(G31&lt;0,1,0))</x:f>
        <x:v>0</x:v>
      </x:c>
      <x:c r="H195" s="75" t="n">
        <x:f>IF(COUNT(H31)=0,1,IF(H31&lt;0,1,0))</x:f>
        <x:v>0</x:v>
      </x:c>
      <x:c r="I195" s="75" t="n">
        <x:f>IF(COUNT(I31)=0,1,IF(I31&lt;0,1,0))</x:f>
        <x:v>0</x:v>
      </x:c>
      <x:c r="J195" s="1"/>
      <x:c r="K195" s="1"/>
    </x:row>
    <x:row r="196" ht="30" customHeight="1">
      <x:c r="A196" s="1"/>
      <x:c r="B196" s="1"/>
      <x:c r="C196" s="64" t="str">
        <x:v>Dividend payout on positive PAT input outside bounds</x:v>
      </x:c>
      <x:c r="D196" s="8"/>
      <x:c r="E196" s="75" t="n">
        <x:f>IF(COUNT(E32)=0,1,IF(E32&lt;0,1,IF(E32&gt;1,1,0)))</x:f>
        <x:v>0</x:v>
      </x:c>
      <x:c r="F196" s="75" t="n">
        <x:f>IF(COUNT(F32)=0,1,IF(F32&lt;0,1,IF(F32&gt;1,1,0)))</x:f>
        <x:v>0</x:v>
      </x:c>
      <x:c r="G196" s="75" t="n">
        <x:f>IF(COUNT(G32)=0,1,IF(G32&lt;0,1,IF(G32&gt;1,1,0)))</x:f>
        <x:v>0</x:v>
      </x:c>
      <x:c r="H196" s="75" t="n">
        <x:f>IF(COUNT(H32)=0,1,IF(H32&lt;0,1,IF(H32&gt;1,1,0)))</x:f>
        <x:v>0</x:v>
      </x:c>
      <x:c r="I196" s="75" t="n">
        <x:f>IF(COUNT(I32)=0,1,IF(I32&lt;0,1,IF(I32&gt;1,1,0)))</x:f>
        <x:v>0</x:v>
      </x:c>
      <x:c r="J196" s="1"/>
      <x:c r="K196" s="1"/>
    </x:row>
    <x:row r="197" ht="30" customHeight="1">
      <x:c r="A197" s="1"/>
      <x:c r="B197" s="1"/>
      <x:c r="C197" s="64" t="str">
        <x:v>Opening net PP&amp;E input outside bounds</x:v>
      </x:c>
      <x:c r="D197" s="8"/>
      <x:c r="E197" s="75" t="n">
        <x:f>IF(COUNT(D34)=0,1,IF(D34&lt;0,1,0))</x:f>
        <x:v>0</x:v>
      </x:c>
      <x:c r="F197" s="75" t="n">
        <x:f>IF(COUNT(D34)=0,1,IF(D34&lt;0,1,0))</x:f>
        <x:v>0</x:v>
      </x:c>
      <x:c r="G197" s="75" t="n">
        <x:f>IF(COUNT(D34)=0,1,IF(D34&lt;0,1,0))</x:f>
        <x:v>0</x:v>
      </x:c>
      <x:c r="H197" s="75" t="n">
        <x:f>IF(COUNT(D34)=0,1,IF(D34&lt;0,1,0))</x:f>
        <x:v>0</x:v>
      </x:c>
      <x:c r="I197" s="75" t="n">
        <x:f>IF(COUNT(D34)=0,1,IF(D34&lt;0,1,0))</x:f>
        <x:v>0</x:v>
      </x:c>
      <x:c r="J197" s="1"/>
      <x:c r="K197" s="1"/>
    </x:row>
    <x:row r="198" ht="30" customHeight="1">
      <x:c r="A198" s="1"/>
      <x:c r="B198" s="1"/>
      <x:c r="C198" s="64" t="str">
        <x:v>Opening debt input outside bounds</x:v>
      </x:c>
      <x:c r="D198" s="8"/>
      <x:c r="E198" s="75" t="n">
        <x:f>IF(COUNT(D35)=0,1,IF(D35&lt;0,1,0))</x:f>
        <x:v>0</x:v>
      </x:c>
      <x:c r="F198" s="75" t="n">
        <x:f>IF(COUNT(D35)=0,1,IF(D35&lt;0,1,0))</x:f>
        <x:v>0</x:v>
      </x:c>
      <x:c r="G198" s="75" t="n">
        <x:f>IF(COUNT(D35)=0,1,IF(D35&lt;0,1,0))</x:f>
        <x:v>0</x:v>
      </x:c>
      <x:c r="H198" s="75" t="n">
        <x:f>IF(COUNT(D35)=0,1,IF(D35&lt;0,1,0))</x:f>
        <x:v>0</x:v>
      </x:c>
      <x:c r="I198" s="75" t="n">
        <x:f>IF(COUNT(D35)=0,1,IF(D35&lt;0,1,0))</x:f>
        <x:v>0</x:v>
      </x:c>
      <x:c r="J198" s="1"/>
      <x:c r="K198" s="1"/>
    </x:row>
    <x:row r="199" ht="30" customHeight="1">
      <x:c r="A199" s="1"/>
      <x:c r="B199" s="1"/>
      <x:c r="C199" s="64" t="str">
        <x:v>Opening cash input outside bounds</x:v>
      </x:c>
      <x:c r="D199" s="8"/>
      <x:c r="E199" s="75" t="n">
        <x:f>IF(COUNT(D36)=0,1,IF(D36&lt;0,1,0))</x:f>
        <x:v>0</x:v>
      </x:c>
      <x:c r="F199" s="75" t="n">
        <x:f>IF(COUNT(D36)=0,1,IF(D36&lt;0,1,0))</x:f>
        <x:v>0</x:v>
      </x:c>
      <x:c r="G199" s="75" t="n">
        <x:f>IF(COUNT(D36)=0,1,IF(D36&lt;0,1,0))</x:f>
        <x:v>0</x:v>
      </x:c>
      <x:c r="H199" s="75" t="n">
        <x:f>IF(COUNT(D36)=0,1,IF(D36&lt;0,1,0))</x:f>
        <x:v>0</x:v>
      </x:c>
      <x:c r="I199" s="75" t="n">
        <x:f>IF(COUNT(D36)=0,1,IF(D36&lt;0,1,0))</x:f>
        <x:v>0</x:v>
      </x:c>
      <x:c r="J199" s="1"/>
      <x:c r="K199" s="1"/>
    </x:row>
    <x:row r="200" ht="30" customHeight="1">
      <x:c r="A200" s="1"/>
      <x:c r="B200" s="1"/>
      <x:c r="C200" s="64" t="str">
        <x:v>Diluted shares (crore) input outside bounds</x:v>
      </x:c>
      <x:c r="D200" s="8"/>
      <x:c r="E200" s="75" t="n">
        <x:f>IF(COUNT(D38)=0,1,IF(D38&lt;0,1,0))</x:f>
        <x:v>0</x:v>
      </x:c>
      <x:c r="F200" s="75" t="n">
        <x:f>IF(COUNT(D38)=0,1,IF(D38&lt;0,1,0))</x:f>
        <x:v>0</x:v>
      </x:c>
      <x:c r="G200" s="75" t="n">
        <x:f>IF(COUNT(D38)=0,1,IF(D38&lt;0,1,0))</x:f>
        <x:v>0</x:v>
      </x:c>
      <x:c r="H200" s="75" t="n">
        <x:f>IF(COUNT(D38)=0,1,IF(D38&lt;0,1,0))</x:f>
        <x:v>0</x:v>
      </x:c>
      <x:c r="I200" s="75" t="n">
        <x:f>IF(COUNT(D38)=0,1,IF(D38&lt;0,1,0))</x:f>
        <x:v>0</x:v>
      </x:c>
      <x:c r="J200" s="1"/>
      <x:c r="K200" s="1"/>
    </x:row>
    <x:row r="201" ht="30" customHeight="1">
      <x:c r="A201" s="1"/>
      <x:c r="B201" s="1"/>
      <x:c r="C201" s="64" t="str">
        <x:v>WACC input outside bounds</x:v>
      </x:c>
      <x:c r="D201" s="8"/>
      <x:c r="E201" s="75" t="n">
        <x:f>IF(COUNT(D39)=0,1,IF(D39&lt;0,1,0))</x:f>
        <x:v>0</x:v>
      </x:c>
      <x:c r="F201" s="75" t="n">
        <x:f>IF(COUNT(D39)=0,1,IF(D39&lt;0,1,0))</x:f>
        <x:v>0</x:v>
      </x:c>
      <x:c r="G201" s="75" t="n">
        <x:f>IF(COUNT(D39)=0,1,IF(D39&lt;0,1,0))</x:f>
        <x:v>0</x:v>
      </x:c>
      <x:c r="H201" s="75" t="n">
        <x:f>IF(COUNT(D39)=0,1,IF(D39&lt;0,1,0))</x:f>
        <x:v>0</x:v>
      </x:c>
      <x:c r="I201" s="75" t="n">
        <x:f>IF(COUNT(D39)=0,1,IF(D39&lt;0,1,0))</x:f>
        <x:v>0</x:v>
      </x:c>
      <x:c r="J201" s="1"/>
      <x:c r="K201" s="1"/>
    </x:row>
    <x:row r="202" ht="30" customHeight="1">
      <x:c r="A202" s="1"/>
      <x:c r="B202" s="1"/>
      <x:c r="C202" s="64" t="str">
        <x:v>Terminal growth input outside bounds</x:v>
      </x:c>
      <x:c r="D202" s="8"/>
      <x:c r="E202" s="75" t="n">
        <x:f>IF(COUNT(D40)=0,1,IF(D40&lt;-1,1,0))</x:f>
        <x:v>0</x:v>
      </x:c>
      <x:c r="F202" s="75" t="n">
        <x:f>IF(COUNT(D40)=0,1,IF(D40&lt;-1,1,0))</x:f>
        <x:v>0</x:v>
      </x:c>
      <x:c r="G202" s="75" t="n">
        <x:f>IF(COUNT(D40)=0,1,IF(D40&lt;-1,1,0))</x:f>
        <x:v>0</x:v>
      </x:c>
      <x:c r="H202" s="75" t="n">
        <x:f>IF(COUNT(D40)=0,1,IF(D40&lt;-1,1,0))</x:f>
        <x:v>0</x:v>
      </x:c>
      <x:c r="I202" s="75" t="n">
        <x:f>IF(COUNT(D40)=0,1,IF(D40&lt;-1,1,0))</x:f>
        <x:v>0</x:v>
      </x:c>
      <x:c r="J202" s="1"/>
      <x:c r="K202" s="1"/>
    </x:row>
    <x:row r="203" ht="30" customHeight="1">
      <x:c r="A203" s="1"/>
      <x:c r="B203" s="1"/>
      <x:c r="C203" s="64" t="str">
        <x:v>Terminal incremental ROIC input outside bounds</x:v>
      </x:c>
      <x:c r="D203" s="8"/>
      <x:c r="E203" s="75" t="n">
        <x:f>IF(COUNT(D41)=0,1,IF(D41&lt;0,1,0))</x:f>
        <x:v>0</x:v>
      </x:c>
      <x:c r="F203" s="75" t="n">
        <x:f>IF(COUNT(D41)=0,1,IF(D41&lt;0,1,0))</x:f>
        <x:v>0</x:v>
      </x:c>
      <x:c r="G203" s="75" t="n">
        <x:f>IF(COUNT(D41)=0,1,IF(D41&lt;0,1,0))</x:f>
        <x:v>0</x:v>
      </x:c>
      <x:c r="H203" s="75" t="n">
        <x:f>IF(COUNT(D41)=0,1,IF(D41&lt;0,1,0))</x:f>
        <x:v>0</x:v>
      </x:c>
      <x:c r="I203" s="75" t="n">
        <x:f>IF(COUNT(D41)=0,1,IF(D41&lt;0,1,0))</x:f>
        <x:v>0</x:v>
      </x:c>
      <x:c r="J203" s="1"/>
      <x:c r="K203" s="1"/>
    </x:row>
    <x:row r="204" ht="30" customHeight="1">
      <x:c r="A204" s="1"/>
      <x:c r="B204" s="1"/>
      <x:c r="C204" s="64" t="str">
        <x:v>Forward EV / EBITDA input outside bounds</x:v>
      </x:c>
      <x:c r="D204" s="8"/>
      <x:c r="E204" s="75" t="n">
        <x:f>IF(COUNT(D42)=0,1,IF(D42&lt;0,1,0))</x:f>
        <x:v>0</x:v>
      </x:c>
      <x:c r="F204" s="75" t="n">
        <x:f>IF(COUNT(D42)=0,1,IF(D42&lt;0,1,0))</x:f>
        <x:v>0</x:v>
      </x:c>
      <x:c r="G204" s="75" t="n">
        <x:f>IF(COUNT(D42)=0,1,IF(D42&lt;0,1,0))</x:f>
        <x:v>0</x:v>
      </x:c>
      <x:c r="H204" s="75" t="n">
        <x:f>IF(COUNT(D42)=0,1,IF(D42&lt;0,1,0))</x:f>
        <x:v>0</x:v>
      </x:c>
      <x:c r="I204" s="75" t="n">
        <x:f>IF(COUNT(D42)=0,1,IF(D42&lt;0,1,0))</x:f>
        <x:v>0</x:v>
      </x:c>
      <x:c r="J204" s="1"/>
      <x:c r="K204" s="1"/>
    </x:row>
    <x:row r="205" ht="30" customHeight="1">
      <x:c r="A205" s="1"/>
      <x:c r="B205" s="1"/>
      <x:c r="C205" s="64" t="str">
        <x:v>Terminal valuation assumptions invalid</x:v>
      </x:c>
      <x:c r="D205" s="8"/>
      <x:c r="E205" s="75" t="n">
        <x:f>IF(D39&lt;=D40,1,IF(D41&lt;=0,1,IF(D40&gt;D41,1,0)))</x:f>
        <x:v>0</x:v>
      </x:c>
      <x:c r="F205" s="75" t="n">
        <x:f>IF(D39&lt;=D40,1,IF(D41&lt;=0,1,IF(D40&gt;D41,1,0)))</x:f>
        <x:v>0</x:v>
      </x:c>
      <x:c r="G205" s="75" t="n">
        <x:f>IF(D39&lt;=D40,1,IF(D41&lt;=0,1,IF(D40&gt;D41,1,0)))</x:f>
        <x:v>0</x:v>
      </x:c>
      <x:c r="H205" s="75" t="n">
        <x:f>IF(D39&lt;=D40,1,IF(D41&lt;=0,1,IF(D40&gt;D41,1,0)))</x:f>
        <x:v>0</x:v>
      </x:c>
      <x:c r="I205" s="75" t="n">
        <x:f>IF(D39&lt;=D40,1,IF(D41&lt;=0,1,IF(D40&gt;D41,1,0)))</x:f>
        <x:v>0</x:v>
      </x:c>
      <x:c r="J205" s="1"/>
      <x:c r="K205" s="1"/>
    </x:row>
    <x:row r="206" ht="30" customHeight="1">
      <x:c r="A206" s="1"/>
      <x:c r="B206" s="1"/>
      <x:c r="C206" s="64"/>
      <x:c r="D206" s="8"/>
      <x:c r="E206" s="8"/>
      <x:c r="F206" s="8"/>
      <x:c r="G206" s="8"/>
      <x:c r="H206" s="8"/>
      <x:c r="I206" s="8"/>
      <x:c r="J206" s="1"/>
      <x:c r="K206" s="1"/>
    </x:row>
    <x:row r="207" ht="30" customHeight="1">
      <x:c r="A207" s="1"/>
      <x:c r="B207" s="1"/>
      <x:c r="C207" s="64"/>
      <x:c r="D207" s="8"/>
      <x:c r="E207" s="8"/>
      <x:c r="F207" s="8"/>
      <x:c r="G207" s="8"/>
      <x:c r="H207" s="8"/>
      <x:c r="I207" s="8"/>
      <x:c r="J207" s="1"/>
      <x:c r="K207" s="1"/>
    </x:row>
    <x:row r="208" ht="30" customHeight="1">
      <x:c r="A208" s="1"/>
      <x:c r="B208" s="1"/>
      <x:c r="C208" s="64"/>
      <x:c r="D208" s="8"/>
      <x:c r="E208" s="8"/>
      <x:c r="F208" s="8"/>
      <x:c r="G208" s="8"/>
      <x:c r="H208" s="8"/>
      <x:c r="I208" s="8"/>
      <x:c r="J208" s="1"/>
      <x:c r="K208" s="1"/>
    </x:row>
    <x:row r="209" ht="30" customHeight="1">
      <x:c r="A209" s="1"/>
      <x:c r="B209" s="1"/>
      <x:c r="C209" s="64"/>
      <x:c r="D209" s="8"/>
      <x:c r="E209" s="8"/>
      <x:c r="F209" s="8"/>
      <x:c r="G209" s="8"/>
      <x:c r="H209" s="8"/>
      <x:c r="I209" s="8"/>
      <x:c r="J209" s="1"/>
      <x:c r="K209" s="1"/>
    </x:row>
    <x:row r="210" ht="30" customHeight="1">
      <x:c r="A210" s="1"/>
      <x:c r="B210" s="1"/>
      <x:c r="C210" s="64"/>
      <x:c r="D210" s="8"/>
      <x:c r="E210" s="8"/>
      <x:c r="F210" s="8"/>
      <x:c r="G210" s="8"/>
      <x:c r="H210" s="8"/>
      <x:c r="I210" s="8"/>
      <x:c r="J210" s="1"/>
      <x:c r="K210" s="1"/>
    </x:row>
    <x:row r="211" ht="30" customHeight="1">
      <x:c r="C211" s="64"/>
      <x:c r="D211" s="63"/>
      <x:c r="E211" s="63"/>
      <x:c r="F211" s="63"/>
      <x:c r="G211" s="63"/>
      <x:c r="H211" s="63"/>
      <x:c r="I211" s="63"/>
    </x:row>
    <x:row r="212" ht="30" customHeight="1">
      <x:c r="C212" s="64"/>
      <x:c r="D212" s="63"/>
      <x:c r="E212" s="63"/>
      <x:c r="F212" s="63"/>
      <x:c r="G212" s="63"/>
      <x:c r="H212" s="63"/>
      <x:c r="I212" s="63"/>
    </x:row>
    <x:row r="213" ht="30" customHeight="1">
      <x:c r="C213" s="64"/>
      <x:c r="D213" s="63"/>
      <x:c r="E213" s="63"/>
      <x:c r="F213" s="63"/>
      <x:c r="G213" s="63"/>
      <x:c r="H213" s="63"/>
      <x:c r="I213" s="63"/>
    </x:row>
    <x:row r="214" ht="30" customHeight="1">
      <x:c r="C214" s="64"/>
      <x:c r="D214" s="63"/>
      <x:c r="E214" s="63"/>
      <x:c r="F214" s="63"/>
      <x:c r="G214" s="63"/>
      <x:c r="H214" s="63"/>
      <x:c r="I214" s="63"/>
    </x:row>
    <x:row r="215" ht="30" customHeight="1">
      <x:c r="C215" s="64"/>
      <x:c r="D215" s="63"/>
      <x:c r="E215" s="63"/>
      <x:c r="F215" s="63"/>
      <x:c r="G215" s="63"/>
      <x:c r="H215" s="63"/>
      <x:c r="I215" s="63"/>
    </x:row>
    <x:row r="216" ht="30" customHeight="1">
      <x:c r="C216" s="64"/>
      <x:c r="D216" s="63"/>
      <x:c r="E216" s="63"/>
      <x:c r="F216" s="63"/>
      <x:c r="G216" s="63"/>
      <x:c r="H216" s="63"/>
      <x:c r="I216" s="63"/>
    </x:row>
    <x:row r="217" ht="30" customHeight="1">
      <x:c r="C217" s="64"/>
      <x:c r="D217" s="63"/>
      <x:c r="E217" s="63"/>
      <x:c r="F217" s="63"/>
      <x:c r="G217" s="63"/>
      <x:c r="H217" s="63"/>
      <x:c r="I217" s="63"/>
    </x:row>
    <x:row r="218" ht="30" customHeight="1">
      <x:c r="C218" s="64"/>
      <x:c r="D218" s="63"/>
      <x:c r="E218" s="63"/>
      <x:c r="F218" s="63"/>
      <x:c r="G218" s="63"/>
      <x:c r="H218" s="63"/>
      <x:c r="I218" s="63"/>
    </x:row>
    <x:row r="219" ht="30" customHeight="1">
      <x:c r="C219" s="64"/>
      <x:c r="D219" s="63"/>
      <x:c r="E219" s="63"/>
      <x:c r="F219" s="63"/>
      <x:c r="G219" s="63"/>
      <x:c r="H219" s="63"/>
      <x:c r="I219" s="63"/>
    </x:row>
    <x:row r="220" ht="30" customHeight="1">
      <x:c r="C220" s="64"/>
      <x:c r="D220" s="63"/>
      <x:c r="E220" s="63"/>
      <x:c r="F220" s="63"/>
      <x:c r="G220" s="63"/>
      <x:c r="H220" s="63"/>
      <x:c r="I220" s="63"/>
    </x:row>
    <x:row r="221" ht="30" customHeight="1">
      <x:c r="C221" s="64"/>
      <x:c r="D221" s="63"/>
      <x:c r="E221" s="63"/>
      <x:c r="F221" s="63"/>
      <x:c r="G221" s="63"/>
      <x:c r="H221" s="63"/>
      <x:c r="I221" s="63"/>
    </x:row>
    <x:row r="222" ht="30" customHeight="1">
      <x:c r="C222" s="64"/>
      <x:c r="D222" s="63"/>
      <x:c r="E222" s="63"/>
      <x:c r="F222" s="63"/>
      <x:c r="G222" s="63"/>
      <x:c r="H222" s="63"/>
      <x:c r="I222" s="63"/>
    </x:row>
    <x:row r="223" ht="30" customHeight="1">
      <x:c r="C223" s="64"/>
      <x:c r="D223" s="63"/>
      <x:c r="E223" s="63"/>
      <x:c r="F223" s="63"/>
      <x:c r="G223" s="63"/>
      <x:c r="H223" s="63"/>
      <x:c r="I223" s="63"/>
    </x:row>
    <x:row r="224" ht="30" customHeight="1">
      <x:c r="C224" s="64"/>
      <x:c r="D224" s="63"/>
      <x:c r="E224" s="63"/>
      <x:c r="F224" s="63"/>
      <x:c r="G224" s="63"/>
      <x:c r="H224" s="63"/>
      <x:c r="I224" s="63"/>
    </x:row>
    <x:row r="225" ht="30" customHeight="1">
      <x:c r="C225" s="64"/>
      <x:c r="D225" s="63"/>
      <x:c r="E225" s="63"/>
      <x:c r="F225" s="63"/>
      <x:c r="G225" s="63"/>
      <x:c r="H225" s="63"/>
      <x:c r="I225" s="63"/>
    </x:row>
    <x:row r="226" ht="30" customHeight="1">
      <x:c r="C226" s="64"/>
      <x:c r="D226" s="63"/>
      <x:c r="E226" s="63"/>
      <x:c r="F226" s="63"/>
      <x:c r="G226" s="63"/>
      <x:c r="H226" s="63"/>
      <x:c r="I226" s="63"/>
    </x:row>
    <x:row r="227" ht="30" customHeight="1">
      <x:c r="C227" s="64"/>
      <x:c r="D227" s="63"/>
      <x:c r="E227" s="63"/>
      <x:c r="F227" s="63"/>
      <x:c r="G227" s="63"/>
      <x:c r="H227" s="63"/>
      <x:c r="I227" s="63"/>
    </x:row>
    <x:row r="228" ht="30" customHeight="1">
      <x:c r="C228" s="64"/>
      <x:c r="D228" s="63"/>
      <x:c r="E228" s="63"/>
      <x:c r="F228" s="63"/>
      <x:c r="G228" s="63"/>
      <x:c r="H228" s="63"/>
      <x:c r="I228" s="63"/>
    </x:row>
    <x:row r="229" ht="30" customHeight="1">
      <x:c r="C229" s="64"/>
      <x:c r="D229" s="63"/>
      <x:c r="E229" s="63"/>
      <x:c r="F229" s="63"/>
      <x:c r="G229" s="63"/>
      <x:c r="H229" s="63"/>
      <x:c r="I229" s="63"/>
    </x:row>
    <x:row r="230" ht="30" customHeight="1">
      <x:c r="C230" s="64"/>
      <x:c r="D230" s="63"/>
      <x:c r="E230" s="63"/>
      <x:c r="F230" s="63"/>
      <x:c r="G230" s="63"/>
      <x:c r="H230" s="63"/>
      <x:c r="I230" s="63"/>
    </x:row>
    <x:row r="231" ht="30" customHeight="1">
      <x:c r="C231" s="64"/>
      <x:c r="D231" s="63"/>
      <x:c r="E231" s="63"/>
      <x:c r="F231" s="63"/>
      <x:c r="G231" s="63"/>
      <x:c r="H231" s="63"/>
      <x:c r="I231" s="63"/>
    </x:row>
    <x:row r="232" ht="30" customHeight="1">
      <x:c r="C232" s="64"/>
      <x:c r="D232" s="63"/>
      <x:c r="E232" s="63"/>
      <x:c r="F232" s="63"/>
      <x:c r="G232" s="63"/>
      <x:c r="H232" s="63"/>
      <x:c r="I232" s="63"/>
    </x:row>
    <x:row r="233" ht="30" customHeight="1">
      <x:c r="C233" s="64"/>
      <x:c r="D233" s="63"/>
      <x:c r="E233" s="63"/>
      <x:c r="F233" s="63"/>
      <x:c r="G233" s="63"/>
      <x:c r="H233" s="63"/>
      <x:c r="I233" s="63"/>
    </x:row>
    <x:row r="234" ht="30" customHeight="1">
      <x:c r="C234" s="64"/>
      <x:c r="D234" s="63"/>
      <x:c r="E234" s="63"/>
      <x:c r="F234" s="63"/>
      <x:c r="G234" s="63"/>
      <x:c r="H234" s="63"/>
      <x:c r="I234" s="63"/>
    </x:row>
    <x:row r="235" ht="30" customHeight="1">
      <x:c r="C235" s="64"/>
      <x:c r="D235" s="63"/>
      <x:c r="E235" s="63"/>
      <x:c r="F235" s="63"/>
      <x:c r="G235" s="63"/>
      <x:c r="H235" s="63"/>
      <x:c r="I235" s="63"/>
    </x:row>
    <x:row r="236" ht="30" customHeight="1">
      <x:c r="C236" s="64"/>
      <x:c r="D236" s="63"/>
      <x:c r="E236" s="63"/>
      <x:c r="F236" s="63"/>
      <x:c r="G236" s="63"/>
      <x:c r="H236" s="63"/>
      <x:c r="I236" s="63"/>
    </x:row>
    <x:row r="237" ht="30" customHeight="1">
      <x:c r="C237" s="64"/>
      <x:c r="D237" s="63"/>
      <x:c r="E237" s="63"/>
      <x:c r="F237" s="63"/>
      <x:c r="G237" s="63"/>
      <x:c r="H237" s="63"/>
      <x:c r="I237" s="63"/>
    </x:row>
    <x:row r="238" ht="30" customHeight="1">
      <x:c r="C238" s="64"/>
      <x:c r="D238" s="63"/>
      <x:c r="E238" s="63"/>
      <x:c r="F238" s="63"/>
      <x:c r="G238" s="63"/>
      <x:c r="H238" s="63"/>
      <x:c r="I238" s="63"/>
    </x:row>
    <x:row r="239" ht="30" customHeight="1">
      <x:c r="C239" s="64"/>
      <x:c r="D239" s="63"/>
      <x:c r="E239" s="63"/>
      <x:c r="F239" s="63"/>
      <x:c r="G239" s="63"/>
      <x:c r="H239" s="63"/>
      <x:c r="I239" s="63"/>
    </x:row>
    <x:row r="240" ht="30" customHeight="1">
      <x:c r="C240" s="64"/>
      <x:c r="D240" s="63"/>
      <x:c r="E240" s="63"/>
      <x:c r="F240" s="63"/>
      <x:c r="G240" s="63"/>
      <x:c r="H240" s="63"/>
      <x:c r="I240" s="63"/>
    </x:row>
    <x:row r="241" ht="30" customHeight="1">
      <x:c r="C241" s="64"/>
      <x:c r="D241" s="63"/>
      <x:c r="E241" s="63"/>
      <x:c r="F241" s="63"/>
      <x:c r="G241" s="63"/>
      <x:c r="H241" s="63"/>
      <x:c r="I241" s="63"/>
    </x:row>
    <x:row r="242" ht="30" customHeight="1">
      <x:c r="C242" s="64"/>
      <x:c r="D242" s="63"/>
      <x:c r="E242" s="63"/>
      <x:c r="F242" s="63"/>
      <x:c r="G242" s="63"/>
      <x:c r="H242" s="63"/>
      <x:c r="I242" s="63"/>
    </x:row>
    <x:row r="243" ht="30" customHeight="1">
      <x:c r="C243" s="64"/>
      <x:c r="D243" s="63"/>
      <x:c r="E243" s="63"/>
      <x:c r="F243" s="63"/>
      <x:c r="G243" s="63"/>
      <x:c r="H243" s="63"/>
      <x:c r="I243" s="63"/>
    </x:row>
    <x:row r="244" ht="30" customHeight="1">
      <x:c r="C244" s="64"/>
      <x:c r="D244" s="63"/>
      <x:c r="E244" s="63"/>
      <x:c r="F244" s="63"/>
      <x:c r="G244" s="63"/>
      <x:c r="H244" s="63"/>
      <x:c r="I244" s="63"/>
    </x:row>
    <x:row r="245" ht="30" customHeight="1">
      <x:c r="C245" s="64"/>
      <x:c r="D245" s="63"/>
      <x:c r="E245" s="63"/>
      <x:c r="F245" s="63"/>
      <x:c r="G245" s="63"/>
      <x:c r="H245" s="63"/>
      <x:c r="I245" s="63"/>
    </x:row>
    <x:row r="246" ht="30" customHeight="1">
      <x:c r="C246" s="64"/>
      <x:c r="D246" s="63"/>
      <x:c r="E246" s="63"/>
      <x:c r="F246" s="63"/>
      <x:c r="G246" s="63"/>
      <x:c r="H246" s="63"/>
      <x:c r="I246" s="63"/>
    </x:row>
    <x:row r="247" ht="30" customHeight="1">
      <x:c r="C247" s="64"/>
      <x:c r="D247" s="63"/>
      <x:c r="E247" s="63"/>
      <x:c r="F247" s="63"/>
      <x:c r="G247" s="63"/>
      <x:c r="H247" s="63"/>
      <x:c r="I247" s="63"/>
    </x:row>
    <x:row r="248" ht="30" customHeight="1">
      <x:c r="C248" s="64"/>
      <x:c r="D248" s="63"/>
      <x:c r="E248" s="63"/>
      <x:c r="F248" s="63"/>
      <x:c r="G248" s="63"/>
      <x:c r="H248" s="63"/>
      <x:c r="I248" s="63"/>
    </x:row>
    <x:row r="249" ht="30" customHeight="1">
      <x:c r="C249" s="64"/>
      <x:c r="D249" s="63"/>
      <x:c r="E249" s="63"/>
      <x:c r="F249" s="63"/>
      <x:c r="G249" s="63"/>
      <x:c r="H249" s="63"/>
      <x:c r="I249" s="63"/>
    </x:row>
    <x:row r="250" ht="30" customHeight="1">
      <x:c r="C250" s="64"/>
      <x:c r="D250" s="63"/>
      <x:c r="E250" s="63"/>
      <x:c r="F250" s="63"/>
      <x:c r="G250" s="63"/>
      <x:c r="H250" s="63"/>
      <x:c r="I250" s="63"/>
    </x:row>
    <x:row r="251" ht="30" customHeight="1">
      <x:c r="C251" s="64"/>
      <x:c r="D251" s="63"/>
      <x:c r="E251" s="63"/>
      <x:c r="F251" s="63"/>
      <x:c r="G251" s="63"/>
      <x:c r="H251" s="63"/>
      <x:c r="I251" s="63"/>
    </x:row>
    <x:row r="252" ht="30" customHeight="1">
      <x:c r="C252" s="64"/>
      <x:c r="D252" s="63"/>
      <x:c r="E252" s="63"/>
      <x:c r="F252" s="63"/>
      <x:c r="G252" s="63"/>
      <x:c r="H252" s="63"/>
      <x:c r="I252" s="63"/>
    </x:row>
    <x:row r="253" ht="30" customHeight="1">
      <x:c r="C253" s="64"/>
      <x:c r="D253" s="63"/>
      <x:c r="E253" s="63"/>
      <x:c r="F253" s="63"/>
      <x:c r="G253" s="63"/>
      <x:c r="H253" s="63"/>
      <x:c r="I253" s="63"/>
    </x:row>
    <x:row r="254" ht="30" customHeight="1">
      <x:c r="C254" s="64"/>
      <x:c r="D254" s="63"/>
      <x:c r="E254" s="63"/>
      <x:c r="F254" s="63"/>
      <x:c r="G254" s="63"/>
      <x:c r="H254" s="63"/>
      <x:c r="I254" s="63"/>
    </x:row>
    <x:row r="255" ht="30" customHeight="1">
      <x:c r="C255" s="64"/>
      <x:c r="D255" s="63"/>
      <x:c r="E255" s="63"/>
      <x:c r="F255" s="63"/>
      <x:c r="G255" s="63"/>
      <x:c r="H255" s="63"/>
      <x:c r="I255" s="63"/>
    </x:row>
    <x:row r="256" ht="30" customHeight="1">
      <x:c r="C256" s="64"/>
      <x:c r="D256" s="63"/>
      <x:c r="E256" s="63"/>
      <x:c r="F256" s="63"/>
      <x:c r="G256" s="63"/>
      <x:c r="H256" s="63"/>
      <x:c r="I256" s="63"/>
    </x:row>
    <x:row r="257" ht="30" customHeight="1">
      <x:c r="C257" s="64"/>
      <x:c r="D257" s="63"/>
      <x:c r="E257" s="63"/>
      <x:c r="F257" s="63"/>
      <x:c r="G257" s="63"/>
      <x:c r="H257" s="63"/>
      <x:c r="I257" s="63"/>
    </x:row>
    <x:row r="258" ht="30" customHeight="1">
      <x:c r="C258" s="64"/>
      <x:c r="D258" s="63"/>
      <x:c r="E258" s="63"/>
      <x:c r="F258" s="63"/>
      <x:c r="G258" s="63"/>
      <x:c r="H258" s="63"/>
      <x:c r="I258" s="63"/>
    </x:row>
    <x:row r="259" ht="30" customHeight="1">
      <x:c r="C259" s="64"/>
      <x:c r="D259" s="63"/>
      <x:c r="E259" s="63"/>
      <x:c r="F259" s="63"/>
      <x:c r="G259" s="63"/>
      <x:c r="H259" s="63"/>
      <x:c r="I259" s="63"/>
    </x:row>
    <x:row r="260" ht="30" customHeight="1">
      <x:c r="C260" s="64"/>
      <x:c r="D260" s="63"/>
      <x:c r="E260" s="63"/>
      <x:c r="F260" s="63"/>
      <x:c r="G260" s="63"/>
      <x:c r="H260" s="63"/>
      <x:c r="I260" s="63"/>
    </x:row>
    <x:row r="261" ht="30" customHeight="1">
      <x:c r="C261" s="64"/>
      <x:c r="D261" s="63"/>
      <x:c r="E261" s="63"/>
      <x:c r="F261" s="63"/>
      <x:c r="G261" s="63"/>
      <x:c r="H261" s="63"/>
      <x:c r="I261" s="63"/>
    </x:row>
    <x:row r="262" ht="30" customHeight="1">
      <x:c r="C262" s="64"/>
      <x:c r="D262" s="63"/>
      <x:c r="E262" s="63"/>
      <x:c r="F262" s="63"/>
      <x:c r="G262" s="63"/>
      <x:c r="H262" s="63"/>
      <x:c r="I262" s="63"/>
    </x:row>
    <x:row r="263" ht="30" customHeight="1">
      <x:c r="C263" s="64"/>
      <x:c r="D263" s="63"/>
      <x:c r="E263" s="63"/>
      <x:c r="F263" s="63"/>
      <x:c r="G263" s="63"/>
      <x:c r="H263" s="63"/>
      <x:c r="I263" s="63"/>
    </x:row>
    <x:row r="264" ht="30" customHeight="1">
      <x:c r="C264" s="64"/>
      <x:c r="D264" s="63"/>
      <x:c r="E264" s="63"/>
      <x:c r="F264" s="63"/>
      <x:c r="G264" s="63"/>
      <x:c r="H264" s="63"/>
      <x:c r="I264" s="63"/>
    </x:row>
    <x:row r="265" ht="30" customHeight="1">
      <x:c r="C265" s="64"/>
      <x:c r="D265" s="63"/>
      <x:c r="E265" s="63"/>
      <x:c r="F265" s="63"/>
      <x:c r="G265" s="63"/>
      <x:c r="H265" s="63"/>
      <x:c r="I265" s="63"/>
    </x:row>
    <x:row r="266" ht="30" customHeight="1">
      <x:c r="C266" s="64"/>
      <x:c r="D266" s="63"/>
      <x:c r="E266" s="63"/>
      <x:c r="F266" s="63"/>
      <x:c r="G266" s="63"/>
      <x:c r="H266" s="63"/>
      <x:c r="I266" s="63"/>
    </x:row>
    <x:row r="267" ht="30" customHeight="1">
      <x:c r="C267" s="64"/>
      <x:c r="D267" s="63"/>
      <x:c r="E267" s="63"/>
      <x:c r="F267" s="63"/>
      <x:c r="G267" s="63"/>
      <x:c r="H267" s="63"/>
      <x:c r="I267" s="63"/>
    </x:row>
    <x:row r="268" ht="30" customHeight="1">
      <x:c r="C268" s="64"/>
      <x:c r="D268" s="63"/>
      <x:c r="E268" s="63"/>
      <x:c r="F268" s="63"/>
      <x:c r="G268" s="63"/>
      <x:c r="H268" s="63"/>
      <x:c r="I268" s="63"/>
    </x:row>
    <x:row r="269" ht="30" customHeight="1">
      <x:c r="C269" s="64"/>
      <x:c r="D269" s="63"/>
      <x:c r="E269" s="63"/>
      <x:c r="F269" s="63"/>
      <x:c r="G269" s="63"/>
      <x:c r="H269" s="63"/>
      <x:c r="I269" s="63"/>
    </x:row>
    <x:row r="270" ht="30" customHeight="1">
      <x:c r="C270" s="64"/>
      <x:c r="D270" s="63"/>
      <x:c r="E270" s="63"/>
      <x:c r="F270" s="63"/>
      <x:c r="G270" s="63"/>
      <x:c r="H270" s="63"/>
      <x:c r="I270" s="63"/>
    </x:row>
    <x:row r="271" ht="30" customHeight="1">
      <x:c r="C271" s="64"/>
      <x:c r="D271" s="63"/>
      <x:c r="E271" s="63"/>
      <x:c r="F271" s="63"/>
      <x:c r="G271" s="63"/>
      <x:c r="H271" s="63"/>
      <x:c r="I271" s="63"/>
    </x:row>
    <x:row r="272" ht="30" customHeight="1">
      <x:c r="C272" s="64"/>
      <x:c r="D272" s="63"/>
      <x:c r="E272" s="63"/>
      <x:c r="F272" s="63"/>
      <x:c r="G272" s="63"/>
      <x:c r="H272" s="63"/>
      <x:c r="I272" s="63"/>
    </x:row>
    <x:row r="273" ht="30" customHeight="1">
      <x:c r="C273" s="64"/>
      <x:c r="D273" s="63"/>
      <x:c r="E273" s="63"/>
      <x:c r="F273" s="63"/>
      <x:c r="G273" s="63"/>
      <x:c r="H273" s="63"/>
      <x:c r="I273" s="63"/>
    </x:row>
    <x:row r="274" ht="30" customHeight="1">
      <x:c r="C274" s="64"/>
      <x:c r="D274" s="63"/>
      <x:c r="E274" s="63"/>
      <x:c r="F274" s="63"/>
      <x:c r="G274" s="63"/>
      <x:c r="H274" s="63"/>
      <x:c r="I274" s="63"/>
    </x:row>
    <x:row r="275" ht="30" customHeight="1">
      <x:c r="C275" s="64"/>
      <x:c r="D275" s="63"/>
      <x:c r="E275" s="63"/>
      <x:c r="F275" s="63"/>
      <x:c r="G275" s="63"/>
      <x:c r="H275" s="63"/>
      <x:c r="I275" s="63"/>
    </x:row>
    <x:row r="276" ht="30" customHeight="1">
      <x:c r="C276" s="64"/>
      <x:c r="D276" s="63"/>
      <x:c r="E276" s="63"/>
      <x:c r="F276" s="63"/>
      <x:c r="G276" s="63"/>
      <x:c r="H276" s="63"/>
      <x:c r="I276" s="63"/>
    </x:row>
    <x:row r="277" ht="30" customHeight="1">
      <x:c r="C277" s="64"/>
      <x:c r="D277" s="63"/>
      <x:c r="E277" s="63"/>
      <x:c r="F277" s="63"/>
      <x:c r="G277" s="63"/>
      <x:c r="H277" s="63"/>
      <x:c r="I277" s="63"/>
    </x:row>
    <x:row r="278" ht="30" customHeight="1">
      <x:c r="C278" s="64"/>
      <x:c r="D278" s="63"/>
      <x:c r="E278" s="63"/>
      <x:c r="F278" s="63"/>
      <x:c r="G278" s="63"/>
      <x:c r="H278" s="63"/>
      <x:c r="I278" s="63"/>
    </x:row>
    <x:row r="279" ht="30" customHeight="1">
      <x:c r="C279" s="64"/>
      <x:c r="D279" s="63"/>
      <x:c r="E279" s="63"/>
      <x:c r="F279" s="63"/>
      <x:c r="G279" s="63"/>
      <x:c r="H279" s="63"/>
      <x:c r="I279" s="63"/>
    </x:row>
    <x:row r="280" ht="30" customHeight="1">
      <x:c r="C280" s="64"/>
      <x:c r="D280" s="63"/>
      <x:c r="E280" s="63"/>
      <x:c r="F280" s="63"/>
      <x:c r="G280" s="63"/>
      <x:c r="H280" s="63"/>
      <x:c r="I280" s="63"/>
    </x:row>
    <x:row r="281" ht="30" customHeight="1">
      <x:c r="C281" s="64"/>
      <x:c r="D281" s="63"/>
      <x:c r="E281" s="63"/>
      <x:c r="F281" s="63"/>
      <x:c r="G281" s="63"/>
      <x:c r="H281" s="63"/>
      <x:c r="I281" s="63"/>
    </x:row>
    <x:row r="282" ht="30" customHeight="1">
      <x:c r="C282" s="64"/>
      <x:c r="D282" s="63"/>
      <x:c r="E282" s="63"/>
      <x:c r="F282" s="63"/>
      <x:c r="G282" s="63"/>
      <x:c r="H282" s="63"/>
      <x:c r="I282" s="63"/>
    </x:row>
    <x:row r="283" ht="30" customHeight="1">
      <x:c r="C283" s="64"/>
      <x:c r="D283" s="63"/>
      <x:c r="E283" s="63"/>
      <x:c r="F283" s="63"/>
      <x:c r="G283" s="63"/>
      <x:c r="H283" s="63"/>
      <x:c r="I283" s="63"/>
    </x:row>
    <x:row r="284" ht="30" customHeight="1">
      <x:c r="C284" s="64"/>
      <x:c r="D284" s="63"/>
      <x:c r="E284" s="63"/>
      <x:c r="F284" s="63"/>
      <x:c r="G284" s="63"/>
      <x:c r="H284" s="63"/>
      <x:c r="I284" s="63"/>
    </x:row>
    <x:row r="285" ht="30" customHeight="1">
      <x:c r="C285" s="64"/>
      <x:c r="D285" s="63"/>
      <x:c r="E285" s="63"/>
      <x:c r="F285" s="63"/>
      <x:c r="G285" s="63"/>
      <x:c r="H285" s="63"/>
      <x:c r="I285" s="63"/>
    </x:row>
    <x:row r="286" ht="30" customHeight="1">
      <x:c r="C286" s="64"/>
      <x:c r="D286" s="63"/>
      <x:c r="E286" s="63"/>
      <x:c r="F286" s="63"/>
      <x:c r="G286" s="63"/>
      <x:c r="H286" s="63"/>
      <x:c r="I286" s="63"/>
    </x:row>
    <x:row r="287" ht="30" customHeight="1">
      <x:c r="C287" s="64"/>
      <x:c r="D287" s="63"/>
      <x:c r="E287" s="63"/>
      <x:c r="F287" s="63"/>
      <x:c r="G287" s="63"/>
      <x:c r="H287" s="63"/>
      <x:c r="I287" s="63"/>
    </x:row>
    <x:row r="288" ht="30" customHeight="1">
      <x:c r="C288" s="64"/>
      <x:c r="D288" s="63"/>
      <x:c r="E288" s="63"/>
      <x:c r="F288" s="63"/>
      <x:c r="G288" s="63"/>
      <x:c r="H288" s="63"/>
      <x:c r="I288" s="63"/>
    </x:row>
    <x:row r="289" ht="30" customHeight="1">
      <x:c r="C289" s="64"/>
      <x:c r="D289" s="63"/>
      <x:c r="E289" s="63"/>
      <x:c r="F289" s="63"/>
      <x:c r="G289" s="63"/>
      <x:c r="H289" s="63"/>
      <x:c r="I289" s="63"/>
    </x:row>
    <x:row r="290" ht="30" customHeight="1">
      <x:c r="C290" s="64"/>
      <x:c r="D290" s="63"/>
      <x:c r="E290" s="63"/>
      <x:c r="F290" s="63"/>
      <x:c r="G290" s="63"/>
      <x:c r="H290" s="63"/>
      <x:c r="I290" s="63"/>
    </x:row>
    <x:row r="291" ht="30" customHeight="1">
      <x:c r="C291" s="64"/>
      <x:c r="D291" s="63"/>
      <x:c r="E291" s="63"/>
      <x:c r="F291" s="63"/>
      <x:c r="G291" s="63"/>
      <x:c r="H291" s="63"/>
      <x:c r="I291" s="63"/>
    </x:row>
    <x:row r="292" ht="30" customHeight="1">
      <x:c r="C292" s="64"/>
      <x:c r="D292" s="63"/>
      <x:c r="E292" s="63"/>
      <x:c r="F292" s="63"/>
      <x:c r="G292" s="63"/>
      <x:c r="H292" s="63"/>
      <x:c r="I292" s="63"/>
    </x:row>
    <x:row r="293" ht="30" customHeight="1">
      <x:c r="C293" s="64"/>
      <x:c r="D293" s="63"/>
      <x:c r="E293" s="63"/>
      <x:c r="F293" s="63"/>
      <x:c r="G293" s="63"/>
      <x:c r="H293" s="63"/>
      <x:c r="I293" s="63"/>
    </x:row>
    <x:row r="294" ht="30" customHeight="1">
      <x:c r="C294" s="64"/>
      <x:c r="D294" s="63"/>
      <x:c r="E294" s="63"/>
      <x:c r="F294" s="63"/>
      <x:c r="G294" s="63"/>
      <x:c r="H294" s="63"/>
      <x:c r="I294" s="63"/>
    </x:row>
    <x:row r="295" ht="30" customHeight="1">
      <x:c r="C295" s="64"/>
      <x:c r="D295" s="63"/>
      <x:c r="E295" s="63"/>
      <x:c r="F295" s="63"/>
      <x:c r="G295" s="63"/>
      <x:c r="H295" s="63"/>
      <x:c r="I295" s="63"/>
    </x:row>
    <x:row r="296" ht="30" customHeight="1">
      <x:c r="C296" s="64"/>
      <x:c r="D296" s="63"/>
      <x:c r="E296" s="63"/>
      <x:c r="F296" s="63"/>
      <x:c r="G296" s="63"/>
      <x:c r="H296" s="63"/>
      <x:c r="I296" s="63"/>
    </x:row>
    <x:row r="297" ht="30" customHeight="1">
      <x:c r="C297" s="64"/>
      <x:c r="D297" s="63"/>
      <x:c r="E297" s="63"/>
      <x:c r="F297" s="63"/>
      <x:c r="G297" s="63"/>
      <x:c r="H297" s="63"/>
      <x:c r="I297" s="63"/>
    </x:row>
    <x:row r="298" ht="30" customHeight="1">
      <x:c r="C298" s="64"/>
      <x:c r="D298" s="63"/>
      <x:c r="E298" s="63"/>
      <x:c r="F298" s="63"/>
      <x:c r="G298" s="63"/>
      <x:c r="H298" s="63"/>
      <x:c r="I298" s="63"/>
    </x:row>
    <x:row r="299" ht="30" customHeight="1">
      <x:c r="C299" s="64"/>
      <x:c r="D299" s="63"/>
      <x:c r="E299" s="63"/>
      <x:c r="F299" s="63"/>
      <x:c r="G299" s="63"/>
      <x:c r="H299" s="63"/>
      <x:c r="I299" s="63"/>
    </x:row>
    <x:row r="300" ht="30" customHeight="1">
      <x:c r="C300" s="64"/>
      <x:c r="D300" s="63"/>
      <x:c r="E300" s="63"/>
      <x:c r="F300" s="63"/>
      <x:c r="G300" s="63"/>
      <x:c r="H300" s="63"/>
      <x:c r="I300" s="63"/>
    </x:row>
    <x:row r="301" ht="30" customHeight="1">
      <x:c r="C301" s="64"/>
      <x:c r="D301" s="63"/>
      <x:c r="E301" s="63"/>
      <x:c r="F301" s="63"/>
      <x:c r="G301" s="63"/>
      <x:c r="H301" s="63"/>
      <x:c r="I301" s="63"/>
    </x:row>
    <x:row r="302" ht="30" customHeight="1">
      <x:c r="C302" s="64"/>
      <x:c r="D302" s="63"/>
      <x:c r="E302" s="63"/>
      <x:c r="F302" s="63"/>
      <x:c r="G302" s="63"/>
      <x:c r="H302" s="63"/>
      <x:c r="I302" s="63"/>
    </x:row>
    <x:row r="303" ht="30" customHeight="1">
      <x:c r="C303" s="64"/>
      <x:c r="D303" s="63"/>
      <x:c r="E303" s="63"/>
      <x:c r="F303" s="63"/>
      <x:c r="G303" s="63"/>
      <x:c r="H303" s="63"/>
      <x:c r="I303" s="63"/>
    </x:row>
    <x:row r="304" ht="30" customHeight="1">
      <x:c r="C304" s="64"/>
      <x:c r="D304" s="63"/>
      <x:c r="E304" s="63"/>
      <x:c r="F304" s="63"/>
      <x:c r="G304" s="63"/>
      <x:c r="H304" s="63"/>
      <x:c r="I304" s="63"/>
    </x:row>
    <x:row r="305" ht="30" customHeight="1">
      <x:c r="C305" s="64"/>
      <x:c r="D305" s="63"/>
      <x:c r="E305" s="63"/>
      <x:c r="F305" s="63"/>
      <x:c r="G305" s="63"/>
      <x:c r="H305" s="63"/>
      <x:c r="I305" s="63"/>
    </x:row>
    <x:row r="306" ht="30" customHeight="1">
      <x:c r="C306" s="64"/>
      <x:c r="D306" s="63"/>
      <x:c r="E306" s="63"/>
      <x:c r="F306" s="63"/>
      <x:c r="G306" s="63"/>
      <x:c r="H306" s="63"/>
      <x:c r="I306" s="63"/>
    </x:row>
    <x:row r="307" ht="30" customHeight="1">
      <x:c r="C307" s="64"/>
      <x:c r="D307" s="63"/>
      <x:c r="E307" s="63"/>
      <x:c r="F307" s="63"/>
      <x:c r="G307" s="63"/>
      <x:c r="H307" s="63"/>
      <x:c r="I307" s="63"/>
    </x:row>
    <x:row r="308" ht="30" customHeight="1">
      <x:c r="C308" s="64"/>
      <x:c r="D308" s="63"/>
      <x:c r="E308" s="63"/>
      <x:c r="F308" s="63"/>
      <x:c r="G308" s="63"/>
      <x:c r="H308" s="63"/>
      <x:c r="I308" s="63"/>
    </x:row>
    <x:row r="309" ht="30" customHeight="1">
      <x:c r="C309" s="64"/>
      <x:c r="D309" s="63"/>
      <x:c r="E309" s="63"/>
      <x:c r="F309" s="63"/>
      <x:c r="G309" s="63"/>
      <x:c r="H309" s="63"/>
      <x:c r="I309" s="63"/>
    </x:row>
    <x:row r="310" ht="30" customHeight="1">
      <x:c r="C310" s="64"/>
      <x:c r="D310" s="63"/>
      <x:c r="E310" s="63"/>
      <x:c r="F310" s="63"/>
      <x:c r="G310" s="63"/>
      <x:c r="H310" s="63"/>
      <x:c r="I310" s="63"/>
    </x:row>
    <x:row r="311" ht="30" customHeight="1">
      <x:c r="C311" s="64"/>
      <x:c r="D311" s="63"/>
      <x:c r="E311" s="63"/>
      <x:c r="F311" s="63"/>
      <x:c r="G311" s="63"/>
      <x:c r="H311" s="63"/>
      <x:c r="I311" s="63"/>
    </x:row>
    <x:row r="312" ht="30" customHeight="1">
      <x:c r="C312" s="64"/>
      <x:c r="D312" s="63"/>
      <x:c r="E312" s="63"/>
      <x:c r="F312" s="63"/>
      <x:c r="G312" s="63"/>
      <x:c r="H312" s="63"/>
      <x:c r="I312" s="63"/>
    </x:row>
    <x:row r="313" ht="30" customHeight="1">
      <x:c r="C313" s="64"/>
      <x:c r="D313" s="63"/>
      <x:c r="E313" s="63"/>
      <x:c r="F313" s="63"/>
      <x:c r="G313" s="63"/>
      <x:c r="H313" s="63"/>
      <x:c r="I313" s="63"/>
    </x:row>
    <x:row r="314" ht="30" customHeight="1">
      <x:c r="C314" s="64"/>
      <x:c r="D314" s="63"/>
      <x:c r="E314" s="63"/>
      <x:c r="F314" s="63"/>
      <x:c r="G314" s="63"/>
      <x:c r="H314" s="63"/>
      <x:c r="I314" s="63"/>
    </x:row>
    <x:row r="315" ht="30" customHeight="1">
      <x:c r="C315" s="64"/>
      <x:c r="D315" s="63"/>
      <x:c r="E315" s="63"/>
      <x:c r="F315" s="63"/>
      <x:c r="G315" s="63"/>
      <x:c r="H315" s="63"/>
      <x:c r="I315" s="63"/>
    </x:row>
    <x:row r="316" ht="30" customHeight="1">
      <x:c r="C316" s="64"/>
      <x:c r="D316" s="63"/>
      <x:c r="E316" s="63"/>
      <x:c r="F316" s="63"/>
      <x:c r="G316" s="63"/>
      <x:c r="H316" s="63"/>
      <x:c r="I316" s="63"/>
    </x:row>
    <x:row r="317" ht="30" customHeight="1">
      <x:c r="C317" s="64"/>
      <x:c r="D317" s="63"/>
      <x:c r="E317" s="63"/>
      <x:c r="F317" s="63"/>
      <x:c r="G317" s="63"/>
      <x:c r="H317" s="63"/>
      <x:c r="I317" s="63"/>
    </x:row>
    <x:row r="318" ht="30" customHeight="1">
      <x:c r="C318" s="64"/>
      <x:c r="D318" s="63"/>
      <x:c r="E318" s="63"/>
      <x:c r="F318" s="63"/>
      <x:c r="G318" s="63"/>
      <x:c r="H318" s="63"/>
      <x:c r="I318" s="63"/>
    </x:row>
    <x:row r="319" ht="30" customHeight="1">
      <x:c r="C319" s="64"/>
      <x:c r="D319" s="63"/>
      <x:c r="E319" s="63"/>
      <x:c r="F319" s="63"/>
      <x:c r="G319" s="63"/>
      <x:c r="H319" s="63"/>
      <x:c r="I319" s="63"/>
    </x:row>
    <x:row r="320" ht="30" customHeight="1">
      <x:c r="C320" s="64"/>
      <x:c r="D320" s="63"/>
      <x:c r="E320" s="63"/>
      <x:c r="F320" s="63"/>
      <x:c r="G320" s="63"/>
      <x:c r="H320" s="63"/>
      <x:c r="I320" s="63"/>
    </x:row>
    <x:row r="321" ht="30" customHeight="1">
      <x:c r="C321" s="64"/>
      <x:c r="D321" s="63"/>
      <x:c r="E321" s="63"/>
      <x:c r="F321" s="63"/>
      <x:c r="G321" s="63"/>
      <x:c r="H321" s="63"/>
      <x:c r="I321" s="63"/>
    </x:row>
    <x:row r="322" ht="30" customHeight="1">
      <x:c r="C322" s="64"/>
      <x:c r="D322" s="63"/>
      <x:c r="E322" s="63"/>
      <x:c r="F322" s="63"/>
      <x:c r="G322" s="63"/>
      <x:c r="H322" s="63"/>
      <x:c r="I322" s="63"/>
    </x:row>
    <x:row r="323" ht="30" customHeight="1">
      <x:c r="C323" s="64"/>
      <x:c r="D323" s="63"/>
      <x:c r="E323" s="63"/>
      <x:c r="F323" s="63"/>
      <x:c r="G323" s="63"/>
      <x:c r="H323" s="63"/>
      <x:c r="I323" s="63"/>
    </x:row>
    <x:row r="324" ht="30" customHeight="1">
      <x:c r="C324" s="64"/>
      <x:c r="D324" s="63"/>
      <x:c r="E324" s="63"/>
      <x:c r="F324" s="63"/>
      <x:c r="G324" s="63"/>
      <x:c r="H324" s="63"/>
      <x:c r="I324" s="63"/>
    </x:row>
    <x:row r="325" ht="30" customHeight="1">
      <x:c r="C325" s="64"/>
      <x:c r="D325" s="63"/>
      <x:c r="E325" s="63"/>
      <x:c r="F325" s="63"/>
      <x:c r="G325" s="63"/>
      <x:c r="H325" s="63"/>
      <x:c r="I325" s="63"/>
    </x:row>
    <x:row r="326" ht="30" customHeight="1">
      <x:c r="C326" s="64"/>
      <x:c r="D326" s="63"/>
      <x:c r="E326" s="63"/>
      <x:c r="F326" s="63"/>
      <x:c r="G326" s="63"/>
      <x:c r="H326" s="63"/>
      <x:c r="I326" s="63"/>
    </x:row>
    <x:row r="327" ht="30" customHeight="1">
      <x:c r="C327" s="64"/>
      <x:c r="D327" s="63"/>
      <x:c r="E327" s="63"/>
      <x:c r="F327" s="63"/>
      <x:c r="G327" s="63"/>
      <x:c r="H327" s="63"/>
      <x:c r="I327" s="63"/>
    </x:row>
    <x:row r="328" ht="30" customHeight="1">
      <x:c r="C328" s="64"/>
      <x:c r="D328" s="63"/>
      <x:c r="E328" s="63"/>
      <x:c r="F328" s="63"/>
      <x:c r="G328" s="63"/>
      <x:c r="H328" s="63"/>
      <x:c r="I328" s="63"/>
    </x:row>
    <x:row r="329" ht="30" customHeight="1">
      <x:c r="C329" s="64"/>
      <x:c r="D329" s="63"/>
      <x:c r="E329" s="63"/>
      <x:c r="F329" s="63"/>
      <x:c r="G329" s="63"/>
      <x:c r="H329" s="63"/>
      <x:c r="I329" s="63"/>
    </x:row>
    <x:row r="330" ht="30" customHeight="1">
      <x:c r="C330" s="64"/>
      <x:c r="D330" s="63"/>
      <x:c r="E330" s="63"/>
      <x:c r="F330" s="63"/>
      <x:c r="G330" s="63"/>
      <x:c r="H330" s="63"/>
      <x:c r="I330" s="63"/>
    </x:row>
    <x:row r="331" ht="30" customHeight="1">
      <x:c r="C331" s="64"/>
      <x:c r="D331" s="63"/>
      <x:c r="E331" s="63"/>
      <x:c r="F331" s="63"/>
      <x:c r="G331" s="63"/>
      <x:c r="H331" s="63"/>
      <x:c r="I331" s="63"/>
    </x:row>
    <x:row r="332" ht="30" customHeight="1">
      <x:c r="C332" s="64"/>
      <x:c r="D332" s="63"/>
      <x:c r="E332" s="63"/>
      <x:c r="F332" s="63"/>
      <x:c r="G332" s="63"/>
      <x:c r="H332" s="63"/>
      <x:c r="I332" s="63"/>
    </x:row>
    <x:row r="333" ht="30" customHeight="1">
      <x:c r="C333" s="64"/>
      <x:c r="D333" s="63"/>
      <x:c r="E333" s="63"/>
      <x:c r="F333" s="63"/>
      <x:c r="G333" s="63"/>
      <x:c r="H333" s="63"/>
      <x:c r="I333" s="63"/>
    </x:row>
    <x:row r="334" ht="30" customHeight="1">
      <x:c r="C334" s="64"/>
      <x:c r="D334" s="63"/>
      <x:c r="E334" s="63"/>
      <x:c r="F334" s="63"/>
      <x:c r="G334" s="63"/>
      <x:c r="H334" s="63"/>
      <x:c r="I334" s="63"/>
    </x:row>
    <x:row r="335" ht="30" customHeight="1">
      <x:c r="C335" s="64"/>
      <x:c r="D335" s="63"/>
      <x:c r="E335" s="63"/>
      <x:c r="F335" s="63"/>
      <x:c r="G335" s="63"/>
      <x:c r="H335" s="63"/>
      <x:c r="I335" s="63"/>
    </x:row>
    <x:row r="336" ht="30" customHeight="1">
      <x:c r="C336" s="64"/>
      <x:c r="D336" s="63"/>
      <x:c r="E336" s="63"/>
      <x:c r="F336" s="63"/>
      <x:c r="G336" s="63"/>
      <x:c r="H336" s="63"/>
      <x:c r="I336" s="63"/>
    </x:row>
    <x:row r="337" ht="30" customHeight="1">
      <x:c r="C337" s="64"/>
      <x:c r="D337" s="63"/>
      <x:c r="E337" s="63"/>
      <x:c r="F337" s="63"/>
      <x:c r="G337" s="63"/>
      <x:c r="H337" s="63"/>
      <x:c r="I337" s="63"/>
    </x:row>
    <x:row r="338" ht="30" customHeight="1">
      <x:c r="C338" s="64"/>
      <x:c r="D338" s="63"/>
      <x:c r="E338" s="63"/>
      <x:c r="F338" s="63"/>
      <x:c r="G338" s="63"/>
      <x:c r="H338" s="63"/>
      <x:c r="I338" s="63"/>
    </x:row>
    <x:row r="339" ht="30" customHeight="1">
      <x:c r="C339" s="64"/>
      <x:c r="D339" s="63"/>
      <x:c r="E339" s="63"/>
      <x:c r="F339" s="63"/>
      <x:c r="G339" s="63"/>
      <x:c r="H339" s="63"/>
      <x:c r="I339" s="63"/>
    </x:row>
    <x:row r="340" ht="30" customHeight="1">
      <x:c r="C340" s="64"/>
      <x:c r="D340" s="63"/>
      <x:c r="E340" s="63"/>
      <x:c r="F340" s="63"/>
      <x:c r="G340" s="63"/>
      <x:c r="H340" s="63"/>
      <x:c r="I340" s="63"/>
    </x:row>
    <x:row r="341" ht="30" customHeight="1">
      <x:c r="C341" s="64"/>
      <x:c r="D341" s="63"/>
      <x:c r="E341" s="63"/>
      <x:c r="F341" s="63"/>
      <x:c r="G341" s="63"/>
      <x:c r="H341" s="63"/>
      <x:c r="I341" s="63"/>
    </x:row>
    <x:row r="342" ht="30" customHeight="1">
      <x:c r="C342" s="64"/>
      <x:c r="D342" s="63"/>
      <x:c r="E342" s="63"/>
      <x:c r="F342" s="63"/>
      <x:c r="G342" s="63"/>
      <x:c r="H342" s="63"/>
      <x:c r="I342" s="63"/>
    </x:row>
    <x:row r="343" ht="30" customHeight="1">
      <x:c r="C343" s="64"/>
      <x:c r="D343" s="63"/>
      <x:c r="E343" s="63"/>
      <x:c r="F343" s="63"/>
      <x:c r="G343" s="63"/>
      <x:c r="H343" s="63"/>
      <x:c r="I343" s="63"/>
    </x:row>
    <x:row r="344" ht="30" customHeight="1">
      <x:c r="C344" s="64"/>
      <x:c r="D344" s="63"/>
      <x:c r="E344" s="63"/>
      <x:c r="F344" s="63"/>
      <x:c r="G344" s="63"/>
      <x:c r="H344" s="63"/>
      <x:c r="I344" s="63"/>
    </x:row>
    <x:row r="345" ht="30" customHeight="1">
      <x:c r="C345" s="64"/>
      <x:c r="D345" s="63"/>
      <x:c r="E345" s="63"/>
      <x:c r="F345" s="63"/>
      <x:c r="G345" s="63"/>
      <x:c r="H345" s="63"/>
      <x:c r="I345" s="63"/>
    </x:row>
    <x:row r="346" ht="30" customHeight="1">
      <x:c r="C346" s="64"/>
      <x:c r="D346" s="63"/>
      <x:c r="E346" s="63"/>
      <x:c r="F346" s="63"/>
      <x:c r="G346" s="63"/>
      <x:c r="H346" s="63"/>
      <x:c r="I346" s="63"/>
    </x:row>
    <x:row r="347" ht="30" customHeight="1">
      <x:c r="C347" s="64"/>
      <x:c r="D347" s="63"/>
      <x:c r="E347" s="63"/>
      <x:c r="F347" s="63"/>
      <x:c r="G347" s="63"/>
      <x:c r="H347" s="63"/>
      <x:c r="I347" s="63"/>
    </x:row>
    <x:row r="348" ht="30" customHeight="1">
      <x:c r="C348" s="64"/>
      <x:c r="D348" s="63"/>
      <x:c r="E348" s="63"/>
      <x:c r="F348" s="63"/>
      <x:c r="G348" s="63"/>
      <x:c r="H348" s="63"/>
      <x:c r="I348" s="63"/>
    </x:row>
    <x:row r="349" ht="30" customHeight="1">
      <x:c r="C349" s="64"/>
      <x:c r="D349" s="63"/>
      <x:c r="E349" s="63"/>
      <x:c r="F349" s="63"/>
      <x:c r="G349" s="63"/>
      <x:c r="H349" s="63"/>
      <x:c r="I349" s="63"/>
    </x:row>
    <x:row r="350" ht="30" customHeight="1">
      <x:c r="C350" s="64"/>
      <x:c r="D350" s="63"/>
      <x:c r="E350" s="63"/>
      <x:c r="F350" s="63"/>
      <x:c r="G350" s="63"/>
      <x:c r="H350" s="63"/>
      <x:c r="I350" s="63"/>
    </x:row>
    <x:row r="351" ht="30" customHeight="1">
      <x:c r="C351" s="64"/>
      <x:c r="D351" s="63"/>
      <x:c r="E351" s="63"/>
      <x:c r="F351" s="63"/>
      <x:c r="G351" s="63"/>
      <x:c r="H351" s="63"/>
      <x:c r="I351" s="63"/>
    </x:row>
    <x:row r="352" ht="30" customHeight="1">
      <x:c r="C352" s="64"/>
      <x:c r="D352" s="63"/>
      <x:c r="E352" s="63"/>
      <x:c r="F352" s="63"/>
      <x:c r="G352" s="63"/>
      <x:c r="H352" s="63"/>
      <x:c r="I352" s="63"/>
    </x:row>
    <x:row r="353" ht="30" customHeight="1">
      <x:c r="C353" s="64"/>
      <x:c r="D353" s="63"/>
      <x:c r="E353" s="63"/>
      <x:c r="F353" s="63"/>
      <x:c r="G353" s="63"/>
      <x:c r="H353" s="63"/>
      <x:c r="I353" s="63"/>
    </x:row>
    <x:row r="354" ht="30" customHeight="1">
      <x:c r="C354" s="64"/>
      <x:c r="D354" s="63"/>
      <x:c r="E354" s="63"/>
      <x:c r="F354" s="63"/>
      <x:c r="G354" s="63"/>
      <x:c r="H354" s="63"/>
      <x:c r="I354" s="63"/>
    </x:row>
    <x:row r="355" ht="30" customHeight="1">
      <x:c r="C355" s="64"/>
      <x:c r="D355" s="63"/>
      <x:c r="E355" s="63"/>
      <x:c r="F355" s="63"/>
      <x:c r="G355" s="63"/>
      <x:c r="H355" s="63"/>
      <x:c r="I355" s="63"/>
    </x:row>
    <x:row r="356" ht="30" customHeight="1">
      <x:c r="C356" s="64"/>
      <x:c r="D356" s="63"/>
      <x:c r="E356" s="63"/>
      <x:c r="F356" s="63"/>
      <x:c r="G356" s="63"/>
      <x:c r="H356" s="63"/>
      <x:c r="I356" s="63"/>
    </x:row>
    <x:row r="357" ht="30" customHeight="1">
      <x:c r="C357" s="64"/>
      <x:c r="D357" s="63"/>
      <x:c r="E357" s="63"/>
      <x:c r="F357" s="63"/>
      <x:c r="G357" s="63"/>
      <x:c r="H357" s="63"/>
      <x:c r="I357" s="63"/>
    </x:row>
    <x:row r="358" ht="30" customHeight="1">
      <x:c r="C358" s="64"/>
      <x:c r="D358" s="63"/>
      <x:c r="E358" s="63"/>
      <x:c r="F358" s="63"/>
      <x:c r="G358" s="63"/>
      <x:c r="H358" s="63"/>
      <x:c r="I358" s="63"/>
    </x:row>
    <x:row r="359" ht="30" customHeight="1">
      <x:c r="C359" s="64"/>
      <x:c r="D359" s="63"/>
      <x:c r="E359" s="63"/>
      <x:c r="F359" s="63"/>
      <x:c r="G359" s="63"/>
      <x:c r="H359" s="63"/>
      <x:c r="I359" s="63"/>
    </x:row>
    <x:row r="360" ht="30" customHeight="1">
      <x:c r="C360" s="64"/>
      <x:c r="D360" s="63"/>
      <x:c r="E360" s="63"/>
      <x:c r="F360" s="63"/>
      <x:c r="G360" s="63"/>
      <x:c r="H360" s="63"/>
      <x:c r="I360" s="63"/>
    </x:row>
    <x:row r="361" ht="30" customHeight="1">
      <x:c r="C361" s="64"/>
      <x:c r="D361" s="63"/>
      <x:c r="E361" s="63"/>
      <x:c r="F361" s="63"/>
      <x:c r="G361" s="63"/>
      <x:c r="H361" s="63"/>
      <x:c r="I361" s="63"/>
    </x:row>
    <x:row r="362" ht="30" customHeight="1">
      <x:c r="C362" s="64"/>
      <x:c r="D362" s="63"/>
      <x:c r="E362" s="63"/>
      <x:c r="F362" s="63"/>
      <x:c r="G362" s="63"/>
      <x:c r="H362" s="63"/>
      <x:c r="I362" s="63"/>
    </x:row>
    <x:row r="363" ht="30" customHeight="1">
      <x:c r="C363" s="64"/>
      <x:c r="D363" s="63"/>
      <x:c r="E363" s="63"/>
      <x:c r="F363" s="63"/>
      <x:c r="G363" s="63"/>
      <x:c r="H363" s="63"/>
      <x:c r="I363" s="63"/>
    </x:row>
    <x:row r="364" ht="30" customHeight="1">
      <x:c r="C364" s="64"/>
      <x:c r="D364" s="63"/>
      <x:c r="E364" s="63"/>
      <x:c r="F364" s="63"/>
      <x:c r="G364" s="63"/>
      <x:c r="H364" s="63"/>
      <x:c r="I364" s="63"/>
    </x:row>
    <x:row r="365" ht="30" customHeight="1">
      <x:c r="C365" s="64"/>
      <x:c r="D365" s="63"/>
      <x:c r="E365" s="63"/>
      <x:c r="F365" s="63"/>
      <x:c r="G365" s="63"/>
      <x:c r="H365" s="63"/>
      <x:c r="I365" s="63"/>
    </x:row>
    <x:row r="366" ht="30" customHeight="1">
      <x:c r="C366" s="64"/>
      <x:c r="D366" s="63"/>
      <x:c r="E366" s="63"/>
      <x:c r="F366" s="63"/>
      <x:c r="G366" s="63"/>
      <x:c r="H366" s="63"/>
      <x:c r="I366" s="63"/>
    </x:row>
    <x:row r="367" ht="30" customHeight="1">
      <x:c r="C367" s="64"/>
      <x:c r="D367" s="63"/>
      <x:c r="E367" s="63"/>
      <x:c r="F367" s="63"/>
      <x:c r="G367" s="63"/>
      <x:c r="H367" s="63"/>
      <x:c r="I367" s="63"/>
    </x:row>
    <x:row r="368" ht="30" customHeight="1">
      <x:c r="C368" s="64"/>
      <x:c r="D368" s="63"/>
      <x:c r="E368" s="63"/>
      <x:c r="F368" s="63"/>
      <x:c r="G368" s="63"/>
      <x:c r="H368" s="63"/>
      <x:c r="I368" s="63"/>
    </x:row>
    <x:row r="369" ht="30" customHeight="1">
      <x:c r="C369" s="64"/>
      <x:c r="D369" s="63"/>
      <x:c r="E369" s="63"/>
      <x:c r="F369" s="63"/>
      <x:c r="G369" s="63"/>
      <x:c r="H369" s="63"/>
      <x:c r="I369" s="63"/>
    </x:row>
    <x:row r="370" ht="30" customHeight="1">
      <x:c r="C370" s="64"/>
      <x:c r="D370" s="63"/>
      <x:c r="E370" s="63"/>
      <x:c r="F370" s="63"/>
      <x:c r="G370" s="63"/>
      <x:c r="H370" s="63"/>
      <x:c r="I370" s="63"/>
    </x:row>
    <x:row r="371" ht="30" customHeight="1">
      <x:c r="C371" s="64"/>
      <x:c r="D371" s="63"/>
      <x:c r="E371" s="63"/>
      <x:c r="F371" s="63"/>
      <x:c r="G371" s="63"/>
      <x:c r="H371" s="63"/>
      <x:c r="I371" s="63"/>
    </x:row>
    <x:row r="372" ht="30" customHeight="1">
      <x:c r="C372" s="64"/>
      <x:c r="D372" s="63"/>
      <x:c r="E372" s="63"/>
      <x:c r="F372" s="63"/>
      <x:c r="G372" s="63"/>
      <x:c r="H372" s="63"/>
      <x:c r="I372" s="63"/>
    </x:row>
    <x:row r="373" ht="30" customHeight="1">
      <x:c r="C373" s="64"/>
      <x:c r="D373" s="63"/>
      <x:c r="E373" s="63"/>
      <x:c r="F373" s="63"/>
      <x:c r="G373" s="63"/>
      <x:c r="H373" s="63"/>
      <x:c r="I373" s="63"/>
    </x:row>
    <x:row r="374" ht="30" customHeight="1">
      <x:c r="C374" s="64"/>
      <x:c r="D374" s="63"/>
      <x:c r="E374" s="63"/>
      <x:c r="F374" s="63"/>
      <x:c r="G374" s="63"/>
      <x:c r="H374" s="63"/>
      <x:c r="I374" s="63"/>
    </x:row>
    <x:row r="375" ht="30" customHeight="1">
      <x:c r="C375" s="64"/>
      <x:c r="D375" s="63"/>
      <x:c r="E375" s="63"/>
      <x:c r="F375" s="63"/>
      <x:c r="G375" s="63"/>
      <x:c r="H375" s="63"/>
      <x:c r="I375" s="63"/>
    </x:row>
    <x:row r="376" ht="30" customHeight="1">
      <x:c r="C376" s="64"/>
      <x:c r="D376" s="63"/>
      <x:c r="E376" s="63"/>
      <x:c r="F376" s="63"/>
      <x:c r="G376" s="63"/>
      <x:c r="H376" s="63"/>
      <x:c r="I376" s="63"/>
    </x:row>
    <x:row r="377" ht="30" customHeight="1">
      <x:c r="C377" s="64"/>
      <x:c r="D377" s="63"/>
      <x:c r="E377" s="63"/>
      <x:c r="F377" s="63"/>
      <x:c r="G377" s="63"/>
      <x:c r="H377" s="63"/>
      <x:c r="I377" s="63"/>
    </x:row>
    <x:row r="378" ht="30" customHeight="1">
      <x:c r="C378" s="64"/>
      <x:c r="D378" s="63"/>
      <x:c r="E378" s="63"/>
      <x:c r="F378" s="63"/>
      <x:c r="G378" s="63"/>
      <x:c r="H378" s="63"/>
      <x:c r="I378" s="63"/>
    </x:row>
    <x:row r="379" ht="30" customHeight="1">
      <x:c r="C379" s="64"/>
      <x:c r="D379" s="63"/>
      <x:c r="E379" s="63"/>
      <x:c r="F379" s="63"/>
      <x:c r="G379" s="63"/>
      <x:c r="H379" s="63"/>
      <x:c r="I379" s="63"/>
    </x:row>
    <x:row r="380" ht="30" customHeight="1">
      <x:c r="C380" s="64"/>
      <x:c r="D380" s="63"/>
      <x:c r="E380" s="63"/>
      <x:c r="F380" s="63"/>
      <x:c r="G380" s="63"/>
      <x:c r="H380" s="63"/>
      <x:c r="I380" s="63"/>
    </x:row>
    <x:row r="381" ht="30" customHeight="1">
      <x:c r="C381" s="64"/>
      <x:c r="D381" s="63"/>
      <x:c r="E381" s="63"/>
      <x:c r="F381" s="63"/>
      <x:c r="G381" s="63"/>
      <x:c r="H381" s="63"/>
      <x:c r="I381" s="63"/>
    </x:row>
    <x:row r="382" ht="30" customHeight="1">
      <x:c r="C382" s="64"/>
      <x:c r="D382" s="63"/>
      <x:c r="E382" s="63"/>
      <x:c r="F382" s="63"/>
      <x:c r="G382" s="63"/>
      <x:c r="H382" s="63"/>
      <x:c r="I382" s="63"/>
    </x:row>
    <x:row r="383" ht="30" customHeight="1">
      <x:c r="C383" s="64"/>
      <x:c r="D383" s="63"/>
      <x:c r="E383" s="63"/>
      <x:c r="F383" s="63"/>
      <x:c r="G383" s="63"/>
      <x:c r="H383" s="63"/>
      <x:c r="I383" s="63"/>
    </x:row>
    <x:row r="384" ht="30" customHeight="1">
      <x:c r="C384" s="64"/>
      <x:c r="D384" s="63"/>
      <x:c r="E384" s="63"/>
      <x:c r="F384" s="63"/>
      <x:c r="G384" s="63"/>
      <x:c r="H384" s="63"/>
      <x:c r="I384" s="63"/>
    </x:row>
    <x:row r="385" ht="30" customHeight="1">
      <x:c r="C385" s="64"/>
      <x:c r="D385" s="63"/>
      <x:c r="E385" s="63"/>
      <x:c r="F385" s="63"/>
      <x:c r="G385" s="63"/>
      <x:c r="H385" s="63"/>
      <x:c r="I385" s="63"/>
    </x:row>
    <x:row r="386" ht="30" customHeight="1">
      <x:c r="C386" s="64"/>
      <x:c r="D386" s="63"/>
      <x:c r="E386" s="63"/>
      <x:c r="F386" s="63"/>
      <x:c r="G386" s="63"/>
      <x:c r="H386" s="63"/>
      <x:c r="I386" s="63"/>
    </x:row>
    <x:row r="387" ht="30" customHeight="1">
      <x:c r="C387" s="64"/>
      <x:c r="D387" s="63"/>
      <x:c r="E387" s="63"/>
      <x:c r="F387" s="63"/>
      <x:c r="G387" s="63"/>
      <x:c r="H387" s="63"/>
      <x:c r="I387" s="63"/>
    </x:row>
    <x:row r="388" ht="30" customHeight="1">
      <x:c r="C388" s="64"/>
      <x:c r="D388" s="63"/>
      <x:c r="E388" s="63"/>
      <x:c r="F388" s="63"/>
      <x:c r="G388" s="63"/>
      <x:c r="H388" s="63"/>
      <x:c r="I388" s="63"/>
    </x:row>
    <x:row r="389" ht="30" customHeight="1">
      <x:c r="C389" s="64"/>
      <x:c r="D389" s="63"/>
      <x:c r="E389" s="63"/>
      <x:c r="F389" s="63"/>
      <x:c r="G389" s="63"/>
      <x:c r="H389" s="63"/>
      <x:c r="I389" s="63"/>
    </x:row>
    <x:row r="390" ht="30" customHeight="1">
      <x:c r="C390" s="64"/>
      <x:c r="D390" s="63"/>
      <x:c r="E390" s="63"/>
      <x:c r="F390" s="63"/>
      <x:c r="G390" s="63"/>
      <x:c r="H390" s="63"/>
      <x:c r="I390" s="63"/>
    </x:row>
    <x:row r="391" ht="30" customHeight="1">
      <x:c r="C391" s="64"/>
      <x:c r="D391" s="63"/>
      <x:c r="E391" s="63"/>
      <x:c r="F391" s="63"/>
      <x:c r="G391" s="63"/>
      <x:c r="H391" s="63"/>
      <x:c r="I391" s="63"/>
    </x:row>
    <x:row r="392" ht="30" customHeight="1">
      <x:c r="C392" s="64"/>
      <x:c r="D392" s="63"/>
      <x:c r="E392" s="63"/>
      <x:c r="F392" s="63"/>
      <x:c r="G392" s="63"/>
      <x:c r="H392" s="63"/>
      <x:c r="I392" s="63"/>
    </x:row>
    <x:row r="393" ht="30" customHeight="1">
      <x:c r="C393" s="64"/>
      <x:c r="D393" s="63"/>
      <x:c r="E393" s="63"/>
      <x:c r="F393" s="63"/>
      <x:c r="G393" s="63"/>
      <x:c r="H393" s="63"/>
      <x:c r="I393" s="63"/>
    </x:row>
    <x:row r="394" ht="30" customHeight="1">
      <x:c r="C394" s="64"/>
      <x:c r="D394" s="63"/>
      <x:c r="E394" s="63"/>
      <x:c r="F394" s="63"/>
      <x:c r="G394" s="63"/>
      <x:c r="H394" s="63"/>
      <x:c r="I394" s="63"/>
    </x:row>
    <x:row r="395" ht="30" customHeight="1">
      <x:c r="C395" s="64"/>
      <x:c r="D395" s="63"/>
      <x:c r="E395" s="63"/>
      <x:c r="F395" s="63"/>
      <x:c r="G395" s="63"/>
      <x:c r="H395" s="63"/>
      <x:c r="I395" s="63"/>
    </x:row>
    <x:row r="396" ht="30" customHeight="1">
      <x:c r="C396" s="64"/>
      <x:c r="D396" s="63"/>
      <x:c r="E396" s="63"/>
      <x:c r="F396" s="63"/>
      <x:c r="G396" s="63"/>
      <x:c r="H396" s="63"/>
      <x:c r="I396" s="63"/>
    </x:row>
    <x:row r="397" ht="30" customHeight="1">
      <x:c r="C397" s="64"/>
      <x:c r="D397" s="63"/>
      <x:c r="E397" s="63"/>
      <x:c r="F397" s="63"/>
      <x:c r="G397" s="63"/>
      <x:c r="H397" s="63"/>
      <x:c r="I397" s="63"/>
    </x:row>
    <x:row r="398" ht="25" customHeight="1">
      <x:c r="C398" s="68" t="str">
        <x:v>SCENARIO ASSUMPTIONS</x:v>
      </x:c>
      <x:c r="D398" s="82"/>
      <x:c r="E398" s="82"/>
      <x:c r="F398" s="82"/>
      <x:c r="G398" s="82"/>
      <x:c r="H398" s="82"/>
      <x:c r="I398" s="82"/>
    </x:row>
    <x:row r="399" ht="30" customHeight="1">
      <x:c r="C399" s="64"/>
      <x:c r="D399" s="63"/>
      <x:c r="E399" s="63"/>
      <x:c r="F399" s="63"/>
      <x:c r="G399" s="63"/>
      <x:c r="H399" s="63"/>
      <x:c r="I399" s="63"/>
    </x:row>
    <x:row r="400" ht="30" customHeight="1">
      <x:c r="C400" s="64" t="str">
        <x:v>Capacity utilization factor — active</x:v>
      </x:c>
      <x:c r="D400" s="63"/>
      <x:c r="E400" s="83" t="n">
        <x:f>IF(COUNT(CHOOSE('Controls'!$E$5,E401,E402,E403))=1,CHOOSE('Controls'!$E$5,E401,E402,E403),NA())</x:f>
        <x:v>0.27</x:v>
      </x:c>
      <x:c r="F400" s="83" t="n">
        <x:f>IF(COUNT(CHOOSE('Controls'!$E$5,F401,F402,F403))=1,CHOOSE('Controls'!$E$5,F401,F402,F403),NA())</x:f>
        <x:v>0.27</x:v>
      </x:c>
      <x:c r="G400" s="83" t="n">
        <x:f>IF(COUNT(CHOOSE('Controls'!$E$5,G401,G402,G403))=1,CHOOSE('Controls'!$E$5,G401,G402,G403),NA())</x:f>
        <x:v>0.27</x:v>
      </x:c>
      <x:c r="H400" s="83" t="n">
        <x:f>IF(COUNT(CHOOSE('Controls'!$E$5,H401,H402,H403))=1,CHOOSE('Controls'!$E$5,H401,H402,H403),NA())</x:f>
        <x:v>0.27</x:v>
      </x:c>
      <x:c r="I400" s="83" t="n">
        <x:f>IF(COUNT(CHOOSE('Controls'!$E$5,I401,I402,I403))=1,CHOOSE('Controls'!$E$5,I401,I402,I403),NA())</x:f>
        <x:v>0.27</x:v>
      </x:c>
    </x:row>
    <x:row r="401" ht="30" customHeight="1">
      <x:c r="C401" s="64" t="str">
        <x:v>Base</x:v>
      </x:c>
      <x:c r="D401" s="63"/>
      <x:c r="E401" s="85" t="n">
        <x:v>0.27</x:v>
      </x:c>
      <x:c r="F401" s="85" t="n">
        <x:v>0.27</x:v>
      </x:c>
      <x:c r="G401" s="85" t="n">
        <x:v>0.27</x:v>
      </x:c>
      <x:c r="H401" s="85" t="n">
        <x:v>0.27</x:v>
      </x:c>
      <x:c r="I401" s="85" t="n">
        <x:v>0.27</x:v>
      </x:c>
    </x:row>
    <x:row r="402" ht="30" customHeight="1">
      <x:c r="C402" s="64" t="str">
        <x:v>Downside</x:v>
      </x:c>
      <x:c r="D402" s="63"/>
      <x:c r="E402" s="85" t="n">
        <x:v>0.27</x:v>
      </x:c>
      <x:c r="F402" s="85" t="n">
        <x:v>0.27</x:v>
      </x:c>
      <x:c r="G402" s="85" t="n">
        <x:v>0.27</x:v>
      </x:c>
      <x:c r="H402" s="85" t="n">
        <x:v>0.27</x:v>
      </x:c>
      <x:c r="I402" s="85" t="n">
        <x:v>0.27</x:v>
      </x:c>
    </x:row>
    <x:row r="403" ht="30" customHeight="1">
      <x:c r="C403" s="64" t="str">
        <x:v>Upside</x:v>
      </x:c>
      <x:c r="D403" s="63"/>
      <x:c r="E403" s="85" t="n">
        <x:v>0.27</x:v>
      </x:c>
      <x:c r="F403" s="85" t="n">
        <x:v>0.27</x:v>
      </x:c>
      <x:c r="G403" s="85" t="n">
        <x:v>0.27</x:v>
      </x:c>
      <x:c r="H403" s="85" t="n">
        <x:v>0.27</x:v>
      </x:c>
      <x:c r="I403" s="85" t="n">
        <x:v>0.27</x:v>
      </x:c>
    </x:row>
    <x:row r="404" ht="30" customHeight="1">
      <x:c r="C404" s="64"/>
      <x:c r="D404" s="63"/>
      <x:c r="E404" s="63"/>
      <x:c r="F404" s="63"/>
      <x:c r="G404" s="63"/>
      <x:c r="H404" s="63"/>
      <x:c r="I404" s="63"/>
    </x:row>
    <x:row r="405" ht="30" customHeight="1">
      <x:c r="C405" s="64" t="str">
        <x:v>Variable operations cost / revenue — active</x:v>
      </x:c>
      <x:c r="D405" s="63"/>
      <x:c r="E405" s="83" t="n">
        <x:f>IF(COUNT(CHOOSE('Controls'!$E$5,E406,E407,E408))=1,CHOOSE('Controls'!$E$5,E406,E407,E408),NA())</x:f>
        <x:v>0.14</x:v>
      </x:c>
      <x:c r="F405" s="83" t="n">
        <x:f>IF(COUNT(CHOOSE('Controls'!$E$5,F406,F407,F408))=1,CHOOSE('Controls'!$E$5,F406,F407,F408),NA())</x:f>
        <x:v>0.14</x:v>
      </x:c>
      <x:c r="G405" s="83" t="n">
        <x:f>IF(COUNT(CHOOSE('Controls'!$E$5,G406,G407,G408))=1,CHOOSE('Controls'!$E$5,G406,G407,G408),NA())</x:f>
        <x:v>0.14</x:v>
      </x:c>
      <x:c r="H405" s="83" t="n">
        <x:f>IF(COUNT(CHOOSE('Controls'!$E$5,H406,H407,H408))=1,CHOOSE('Controls'!$E$5,H406,H407,H408),NA())</x:f>
        <x:v>0.14</x:v>
      </x:c>
      <x:c r="I405" s="83" t="n">
        <x:f>IF(COUNT(CHOOSE('Controls'!$E$5,I406,I407,I408))=1,CHOOSE('Controls'!$E$5,I406,I407,I408),NA())</x:f>
        <x:v>0.14</x:v>
      </x:c>
    </x:row>
    <x:row r="406" ht="30" customHeight="1">
      <x:c r="C406" s="64" t="str">
        <x:v>Base</x:v>
      </x:c>
      <x:c r="D406" s="63"/>
      <x:c r="E406" s="85" t="n">
        <x:v>0.14</x:v>
      </x:c>
      <x:c r="F406" s="85" t="n">
        <x:v>0.14</x:v>
      </x:c>
      <x:c r="G406" s="85" t="n">
        <x:v>0.14</x:v>
      </x:c>
      <x:c r="H406" s="85" t="n">
        <x:v>0.14</x:v>
      </x:c>
      <x:c r="I406" s="85" t="n">
        <x:v>0.14</x:v>
      </x:c>
    </x:row>
    <x:row r="407" ht="30" customHeight="1">
      <x:c r="C407" s="64" t="str">
        <x:v>Downside</x:v>
      </x:c>
      <x:c r="D407" s="63"/>
      <x:c r="E407" s="85" t="n">
        <x:v>0.14</x:v>
      </x:c>
      <x:c r="F407" s="85" t="n">
        <x:v>0.14</x:v>
      </x:c>
      <x:c r="G407" s="85" t="n">
        <x:v>0.14</x:v>
      </x:c>
      <x:c r="H407" s="85" t="n">
        <x:v>0.14</x:v>
      </x:c>
      <x:c r="I407" s="85" t="n">
        <x:v>0.14</x:v>
      </x:c>
    </x:row>
    <x:row r="408" ht="30" customHeight="1">
      <x:c r="C408" s="64" t="str">
        <x:v>Upside</x:v>
      </x:c>
      <x:c r="D408" s="63"/>
      <x:c r="E408" s="85" t="n">
        <x:v>0.14</x:v>
      </x:c>
      <x:c r="F408" s="85" t="n">
        <x:v>0.14</x:v>
      </x:c>
      <x:c r="G408" s="85" t="n">
        <x:v>0.14</x:v>
      </x:c>
      <x:c r="H408" s="85" t="n">
        <x:v>0.14</x:v>
      </x:c>
      <x:c r="I408" s="85" t="n">
        <x:v>0.14</x:v>
      </x:c>
    </x:row>
    <x:row r="409" ht="30" customHeight="1">
      <x:c r="C409" s="64"/>
      <x:c r="D409" s="63"/>
      <x:c r="E409" s="63"/>
      <x:c r="F409" s="63"/>
      <x:c r="G409" s="63"/>
      <x:c r="H409" s="63"/>
      <x:c r="I409" s="63"/>
    </x:row>
    <x:row r="410" ht="30" customHeight="1">
      <x:c r="C410" s="64" t="str">
        <x:v>Other cash operating costs / revenue — active</x:v>
      </x:c>
      <x:c r="D410" s="63"/>
      <x:c r="E410" s="83" t="n">
        <x:f>IF(COUNT(CHOOSE('Controls'!$E$5,E411,E412,E413))=1,CHOOSE('Controls'!$E$5,E411,E412,E413),NA())</x:f>
        <x:v>0.08</x:v>
      </x:c>
      <x:c r="F410" s="83" t="n">
        <x:f>IF(COUNT(CHOOSE('Controls'!$E$5,F411,F412,F413))=1,CHOOSE('Controls'!$E$5,F411,F412,F413),NA())</x:f>
        <x:v>0.08</x:v>
      </x:c>
      <x:c r="G410" s="83" t="n">
        <x:f>IF(COUNT(CHOOSE('Controls'!$E$5,G411,G412,G413))=1,CHOOSE('Controls'!$E$5,G411,G412,G413),NA())</x:f>
        <x:v>0.08</x:v>
      </x:c>
      <x:c r="H410" s="83" t="n">
        <x:f>IF(COUNT(CHOOSE('Controls'!$E$5,H411,H412,H413))=1,CHOOSE('Controls'!$E$5,H411,H412,H413),NA())</x:f>
        <x:v>0.08</x:v>
      </x:c>
      <x:c r="I410" s="83" t="n">
        <x:f>IF(COUNT(CHOOSE('Controls'!$E$5,I411,I412,I413))=1,CHOOSE('Controls'!$E$5,I411,I412,I413),NA())</x:f>
        <x:v>0.08</x:v>
      </x:c>
    </x:row>
    <x:row r="411" ht="30" customHeight="1">
      <x:c r="C411" s="64" t="str">
        <x:v>Base</x:v>
      </x:c>
      <x:c r="D411" s="63"/>
      <x:c r="E411" s="85" t="n">
        <x:v>0.08</x:v>
      </x:c>
      <x:c r="F411" s="85" t="n">
        <x:v>0.08</x:v>
      </x:c>
      <x:c r="G411" s="85" t="n">
        <x:v>0.08</x:v>
      </x:c>
      <x:c r="H411" s="85" t="n">
        <x:v>0.08</x:v>
      </x:c>
      <x:c r="I411" s="85" t="n">
        <x:v>0.08</x:v>
      </x:c>
    </x:row>
    <x:row r="412" ht="30" customHeight="1">
      <x:c r="C412" s="64" t="str">
        <x:v>Downside</x:v>
      </x:c>
      <x:c r="D412" s="63"/>
      <x:c r="E412" s="85" t="n">
        <x:v>0.08</x:v>
      </x:c>
      <x:c r="F412" s="85" t="n">
        <x:v>0.08</x:v>
      </x:c>
      <x:c r="G412" s="85" t="n">
        <x:v>0.08</x:v>
      </x:c>
      <x:c r="H412" s="85" t="n">
        <x:v>0.08</x:v>
      </x:c>
      <x:c r="I412" s="85" t="n">
        <x:v>0.08</x:v>
      </x:c>
    </x:row>
    <x:row r="413" ht="30" customHeight="1">
      <x:c r="C413" s="64" t="str">
        <x:v>Upside</x:v>
      </x:c>
      <x:c r="D413" s="63"/>
      <x:c r="E413" s="85" t="n">
        <x:v>0.08</x:v>
      </x:c>
      <x:c r="F413" s="85" t="n">
        <x:v>0.08</x:v>
      </x:c>
      <x:c r="G413" s="85" t="n">
        <x:v>0.08</x:v>
      </x:c>
      <x:c r="H413" s="85" t="n">
        <x:v>0.08</x:v>
      </x:c>
      <x:c r="I413" s="85" t="n">
        <x:v>0.08</x:v>
      </x:c>
    </x:row>
    <x:row r="414" ht="30" customHeight="1">
      <x:c r="C414" s="64"/>
      <x:c r="D414" s="63"/>
      <x:c r="E414" s="63"/>
      <x:c r="F414" s="63"/>
      <x:c r="G414" s="63"/>
      <x:c r="H414" s="63"/>
      <x:c r="I414" s="63"/>
    </x:row>
    <x:row r="415" ht="30" customHeight="1">
      <x:c r="C415" s="64" t="str">
        <x:v>Cash capex / revenue — active</x:v>
      </x:c>
      <x:c r="D415" s="63"/>
      <x:c r="E415" s="83" t="n">
        <x:f>IF(COUNT(CHOOSE('Controls'!$E$5,E416,E417,E418))=1,CHOOSE('Controls'!$E$5,E416,E417,E418),NA())</x:f>
        <x:v>0.25</x:v>
      </x:c>
      <x:c r="F415" s="83" t="n">
        <x:f>IF(COUNT(CHOOSE('Controls'!$E$5,F416,F417,F418))=1,CHOOSE('Controls'!$E$5,F416,F417,F418),NA())</x:f>
        <x:v>0.25</x:v>
      </x:c>
      <x:c r="G415" s="83" t="n">
        <x:f>IF(COUNT(CHOOSE('Controls'!$E$5,G416,G417,G418))=1,CHOOSE('Controls'!$E$5,G416,G417,G418),NA())</x:f>
        <x:v>0.25</x:v>
      </x:c>
      <x:c r="H415" s="83" t="n">
        <x:f>IF(COUNT(CHOOSE('Controls'!$E$5,H416,H417,H418))=1,CHOOSE('Controls'!$E$5,H416,H417,H418),NA())</x:f>
        <x:v>0.25</x:v>
      </x:c>
      <x:c r="I415" s="83" t="n">
        <x:f>IF(COUNT(CHOOSE('Controls'!$E$5,I416,I417,I418))=1,CHOOSE('Controls'!$E$5,I416,I417,I418),NA())</x:f>
        <x:v>0.25</x:v>
      </x:c>
    </x:row>
    <x:row r="416" ht="30" customHeight="1">
      <x:c r="C416" s="64" t="str">
        <x:v>Base</x:v>
      </x:c>
      <x:c r="D416" s="63"/>
      <x:c r="E416" s="85" t="n">
        <x:v>0.25</x:v>
      </x:c>
      <x:c r="F416" s="85" t="n">
        <x:v>0.25</x:v>
      </x:c>
      <x:c r="G416" s="85" t="n">
        <x:v>0.25</x:v>
      </x:c>
      <x:c r="H416" s="85" t="n">
        <x:v>0.25</x:v>
      </x:c>
      <x:c r="I416" s="85" t="n">
        <x:v>0.25</x:v>
      </x:c>
    </x:row>
    <x:row r="417" ht="30" customHeight="1">
      <x:c r="C417" s="64" t="str">
        <x:v>Downside</x:v>
      </x:c>
      <x:c r="D417" s="63"/>
      <x:c r="E417" s="85" t="n">
        <x:v>0.25</x:v>
      </x:c>
      <x:c r="F417" s="85" t="n">
        <x:v>0.25</x:v>
      </x:c>
      <x:c r="G417" s="85" t="n">
        <x:v>0.25</x:v>
      </x:c>
      <x:c r="H417" s="85" t="n">
        <x:v>0.25</x:v>
      </x:c>
      <x:c r="I417" s="85" t="n">
        <x:v>0.25</x:v>
      </x:c>
    </x:row>
    <x:row r="418" ht="30" customHeight="1">
      <x:c r="C418" s="64" t="str">
        <x:v>Upside</x:v>
      </x:c>
      <x:c r="D418" s="63"/>
      <x:c r="E418" s="85" t="n">
        <x:v>0.25</x:v>
      </x:c>
      <x:c r="F418" s="85" t="n">
        <x:v>0.25</x:v>
      </x:c>
      <x:c r="G418" s="85" t="n">
        <x:v>0.25</x:v>
      </x:c>
      <x:c r="H418" s="85" t="n">
        <x:v>0.25</x:v>
      </x:c>
      <x:c r="I418" s="85" t="n">
        <x:v>0.25</x:v>
      </x:c>
    </x:row>
    <x:row r="419" ht="30" customHeight="1">
      <x:c r="C419" s="64"/>
      <x:c r="D419" s="63"/>
      <x:c r="E419" s="63"/>
      <x:c r="F419" s="63"/>
      <x:c r="G419" s="63"/>
      <x:c r="H419" s="63"/>
      <x:c r="I419" s="63"/>
    </x:row>
    <x:row r="420" ht="30" customHeight="1">
      <x:c r="C420" s="64" t="str">
        <x:v>D&amp;A / opening net PP&amp;E — active</x:v>
      </x:c>
      <x:c r="D420" s="63"/>
      <x:c r="E420" s="83" t="n">
        <x:f>IF(COUNT(CHOOSE('Controls'!$E$5,E421,E422,E423))=1,CHOOSE('Controls'!$E$5,E421,E422,E423),NA())</x:f>
        <x:v>0.045</x:v>
      </x:c>
      <x:c r="F420" s="83" t="n">
        <x:f>IF(COUNT(CHOOSE('Controls'!$E$5,F421,F422,F423))=1,CHOOSE('Controls'!$E$5,F421,F422,F423),NA())</x:f>
        <x:v>0.045</x:v>
      </x:c>
      <x:c r="G420" s="83" t="n">
        <x:f>IF(COUNT(CHOOSE('Controls'!$E$5,G421,G422,G423))=1,CHOOSE('Controls'!$E$5,G421,G422,G423),NA())</x:f>
        <x:v>0.045</x:v>
      </x:c>
      <x:c r="H420" s="83" t="n">
        <x:f>IF(COUNT(CHOOSE('Controls'!$E$5,H421,H422,H423))=1,CHOOSE('Controls'!$E$5,H421,H422,H423),NA())</x:f>
        <x:v>0.045</x:v>
      </x:c>
      <x:c r="I420" s="83" t="n">
        <x:f>IF(COUNT(CHOOSE('Controls'!$E$5,I421,I422,I423))=1,CHOOSE('Controls'!$E$5,I421,I422,I423),NA())</x:f>
        <x:v>0.045</x:v>
      </x:c>
    </x:row>
    <x:row r="421" ht="30" customHeight="1">
      <x:c r="C421" s="64" t="str">
        <x:v>Base</x:v>
      </x:c>
      <x:c r="D421" s="63"/>
      <x:c r="E421" s="85" t="n">
        <x:v>0.045</x:v>
      </x:c>
      <x:c r="F421" s="85" t="n">
        <x:v>0.045</x:v>
      </x:c>
      <x:c r="G421" s="85" t="n">
        <x:v>0.045</x:v>
      </x:c>
      <x:c r="H421" s="85" t="n">
        <x:v>0.045</x:v>
      </x:c>
      <x:c r="I421" s="85" t="n">
        <x:v>0.045</x:v>
      </x:c>
    </x:row>
    <x:row r="422" ht="30" customHeight="1">
      <x:c r="C422" s="64" t="str">
        <x:v>Downside</x:v>
      </x:c>
      <x:c r="D422" s="63"/>
      <x:c r="E422" s="85" t="n">
        <x:v>0.045</x:v>
      </x:c>
      <x:c r="F422" s="85" t="n">
        <x:v>0.045</x:v>
      </x:c>
      <x:c r="G422" s="85" t="n">
        <x:v>0.045</x:v>
      </x:c>
      <x:c r="H422" s="85" t="n">
        <x:v>0.045</x:v>
      </x:c>
      <x:c r="I422" s="85" t="n">
        <x:v>0.045</x:v>
      </x:c>
    </x:row>
    <x:row r="423" ht="30" customHeight="1">
      <x:c r="C423" s="64" t="str">
        <x:v>Upside</x:v>
      </x:c>
      <x:c r="D423" s="63"/>
      <x:c r="E423" s="85" t="n">
        <x:v>0.045</x:v>
      </x:c>
      <x:c r="F423" s="85" t="n">
        <x:v>0.045</x:v>
      </x:c>
      <x:c r="G423" s="85" t="n">
        <x:v>0.045</x:v>
      </x:c>
      <x:c r="H423" s="85" t="n">
        <x:v>0.045</x:v>
      </x:c>
      <x:c r="I423" s="85" t="n">
        <x:v>0.045</x:v>
      </x:c>
    </x:row>
    <x:row r="424" ht="30" customHeight="1">
      <x:c r="C424" s="64"/>
      <x:c r="D424" s="63"/>
      <x:c r="E424" s="63"/>
      <x:c r="F424" s="63"/>
      <x:c r="G424" s="63"/>
      <x:c r="H424" s="63"/>
      <x:c r="I424" s="63"/>
    </x:row>
    <x:row r="425" ht="30" customHeight="1">
      <x:c r="C425" s="64" t="str">
        <x:v>Receivable days — active</x:v>
      </x:c>
      <x:c r="D425" s="63"/>
      <x:c r="E425" s="8" t="n">
        <x:f>IF(COUNT(CHOOSE('Controls'!$E$5,E426,E427,E428))=1,CHOOSE('Controls'!$E$5,E426,E427,E428),NA())</x:f>
        <x:v>100</x:v>
      </x:c>
      <x:c r="F425" s="8" t="n">
        <x:f>IF(COUNT(CHOOSE('Controls'!$E$5,F426,F427,F428))=1,CHOOSE('Controls'!$E$5,F426,F427,F428),NA())</x:f>
        <x:v>100</x:v>
      </x:c>
      <x:c r="G425" s="8" t="n">
        <x:f>IF(COUNT(CHOOSE('Controls'!$E$5,G426,G427,G428))=1,CHOOSE('Controls'!$E$5,G426,G427,G428),NA())</x:f>
        <x:v>100</x:v>
      </x:c>
      <x:c r="H425" s="8" t="n">
        <x:f>IF(COUNT(CHOOSE('Controls'!$E$5,H426,H427,H428))=1,CHOOSE('Controls'!$E$5,H426,H427,H428),NA())</x:f>
        <x:v>100</x:v>
      </x:c>
      <x:c r="I425" s="8" t="n">
        <x:f>IF(COUNT(CHOOSE('Controls'!$E$5,I426,I427,I428))=1,CHOOSE('Controls'!$E$5,I426,I427,I428),NA())</x:f>
        <x:v>100</x:v>
      </x:c>
    </x:row>
    <x:row r="426" ht="30" customHeight="1">
      <x:c r="C426" s="64" t="str">
        <x:v>Base</x:v>
      </x:c>
      <x:c r="D426" s="63"/>
      <x:c r="E426" s="74" t="n">
        <x:v>100</x:v>
      </x:c>
      <x:c r="F426" s="74" t="n">
        <x:v>100</x:v>
      </x:c>
      <x:c r="G426" s="74" t="n">
        <x:v>100</x:v>
      </x:c>
      <x:c r="H426" s="74" t="n">
        <x:v>100</x:v>
      </x:c>
      <x:c r="I426" s="74" t="n">
        <x:v>100</x:v>
      </x:c>
    </x:row>
    <x:row r="427" ht="30" customHeight="1">
      <x:c r="C427" s="64" t="str">
        <x:v>Downside</x:v>
      </x:c>
      <x:c r="D427" s="63"/>
      <x:c r="E427" s="74" t="n">
        <x:v>100</x:v>
      </x:c>
      <x:c r="F427" s="74" t="n">
        <x:v>100</x:v>
      </x:c>
      <x:c r="G427" s="74" t="n">
        <x:v>100</x:v>
      </x:c>
      <x:c r="H427" s="74" t="n">
        <x:v>100</x:v>
      </x:c>
      <x:c r="I427" s="74" t="n">
        <x:v>100</x:v>
      </x:c>
    </x:row>
    <x:row r="428" ht="30" customHeight="1">
      <x:c r="C428" s="64" t="str">
        <x:v>Upside</x:v>
      </x:c>
      <x:c r="D428" s="63"/>
      <x:c r="E428" s="74" t="n">
        <x:v>100</x:v>
      </x:c>
      <x:c r="F428" s="74" t="n">
        <x:v>100</x:v>
      </x:c>
      <x:c r="G428" s="74" t="n">
        <x:v>100</x:v>
      </x:c>
      <x:c r="H428" s="74" t="n">
        <x:v>100</x:v>
      </x:c>
      <x:c r="I428" s="74" t="n">
        <x:v>100</x:v>
      </x:c>
    </x:row>
    <x:row r="429" ht="30" customHeight="1">
      <x:c r="C429" s="64"/>
      <x:c r="D429" s="63"/>
      <x:c r="E429" s="63"/>
      <x:c r="F429" s="63"/>
      <x:c r="G429" s="63"/>
      <x:c r="H429" s="63"/>
      <x:c r="I429" s="63"/>
    </x:row>
    <x:row r="430" ht="30" customHeight="1">
      <x:c r="C430" s="64" t="str">
        <x:v>Inventory days — active</x:v>
      </x:c>
      <x:c r="D430" s="63"/>
      <x:c r="E430" s="8" t="n">
        <x:f>IF(COUNT(CHOOSE('Controls'!$E$5,E431,E432,E433))=1,CHOOSE('Controls'!$E$5,E431,E432,E433),NA())</x:f>
        <x:v>0</x:v>
      </x:c>
      <x:c r="F430" s="8" t="n">
        <x:f>IF(COUNT(CHOOSE('Controls'!$E$5,F431,F432,F433))=1,CHOOSE('Controls'!$E$5,F431,F432,F433),NA())</x:f>
        <x:v>0</x:v>
      </x:c>
      <x:c r="G430" s="8" t="n">
        <x:f>IF(COUNT(CHOOSE('Controls'!$E$5,G431,G432,G433))=1,CHOOSE('Controls'!$E$5,G431,G432,G433),NA())</x:f>
        <x:v>0</x:v>
      </x:c>
      <x:c r="H430" s="8" t="n">
        <x:f>IF(COUNT(CHOOSE('Controls'!$E$5,H431,H432,H433))=1,CHOOSE('Controls'!$E$5,H431,H432,H433),NA())</x:f>
        <x:v>0</x:v>
      </x:c>
      <x:c r="I430" s="8" t="n">
        <x:f>IF(COUNT(CHOOSE('Controls'!$E$5,I431,I432,I433))=1,CHOOSE('Controls'!$E$5,I431,I432,I433),NA())</x:f>
        <x:v>0</x:v>
      </x:c>
    </x:row>
    <x:row r="431" ht="30" customHeight="1">
      <x:c r="C431" s="64" t="str">
        <x:v>Base</x:v>
      </x:c>
      <x:c r="D431" s="63"/>
      <x:c r="E431" s="74" t="n">
        <x:v>0</x:v>
      </x:c>
      <x:c r="F431" s="74" t="n">
        <x:v>0</x:v>
      </x:c>
      <x:c r="G431" s="74" t="n">
        <x:v>0</x:v>
      </x:c>
      <x:c r="H431" s="74" t="n">
        <x:v>0</x:v>
      </x:c>
      <x:c r="I431" s="74" t="n">
        <x:v>0</x:v>
      </x:c>
    </x:row>
    <x:row r="432" ht="30" customHeight="1">
      <x:c r="C432" s="64" t="str">
        <x:v>Downside</x:v>
      </x:c>
      <x:c r="D432" s="63"/>
      <x:c r="E432" s="74" t="n">
        <x:v>0</x:v>
      </x:c>
      <x:c r="F432" s="74" t="n">
        <x:v>0</x:v>
      </x:c>
      <x:c r="G432" s="74" t="n">
        <x:v>0</x:v>
      </x:c>
      <x:c r="H432" s="74" t="n">
        <x:v>0</x:v>
      </x:c>
      <x:c r="I432" s="74" t="n">
        <x:v>0</x:v>
      </x:c>
    </x:row>
    <x:row r="433" ht="30" customHeight="1">
      <x:c r="C433" s="64" t="str">
        <x:v>Upside</x:v>
      </x:c>
      <x:c r="D433" s="63"/>
      <x:c r="E433" s="74" t="n">
        <x:v>0</x:v>
      </x:c>
      <x:c r="F433" s="74" t="n">
        <x:v>0</x:v>
      </x:c>
      <x:c r="G433" s="74" t="n">
        <x:v>0</x:v>
      </x:c>
      <x:c r="H433" s="74" t="n">
        <x:v>0</x:v>
      </x:c>
      <x:c r="I433" s="74" t="n">
        <x:v>0</x:v>
      </x:c>
    </x:row>
    <x:row r="434" ht="30" customHeight="1">
      <x:c r="C434" s="64"/>
      <x:c r="D434" s="63"/>
      <x:c r="E434" s="63"/>
      <x:c r="F434" s="63"/>
      <x:c r="G434" s="63"/>
      <x:c r="H434" s="63"/>
      <x:c r="I434" s="63"/>
    </x:row>
    <x:row r="435" ht="30" customHeight="1">
      <x:c r="C435" s="64" t="str">
        <x:v>Payable days — active</x:v>
      </x:c>
      <x:c r="D435" s="63"/>
      <x:c r="E435" s="8" t="n">
        <x:f>IF(COUNT(CHOOSE('Controls'!$E$5,E436,E437,E438))=1,CHOOSE('Controls'!$E$5,E436,E437,E438),NA())</x:f>
        <x:v>30</x:v>
      </x:c>
      <x:c r="F435" s="8" t="n">
        <x:f>IF(COUNT(CHOOSE('Controls'!$E$5,F436,F437,F438))=1,CHOOSE('Controls'!$E$5,F436,F437,F438),NA())</x:f>
        <x:v>30</x:v>
      </x:c>
      <x:c r="G435" s="8" t="n">
        <x:f>IF(COUNT(CHOOSE('Controls'!$E$5,G436,G437,G438))=1,CHOOSE('Controls'!$E$5,G436,G437,G438),NA())</x:f>
        <x:v>30</x:v>
      </x:c>
      <x:c r="H435" s="8" t="n">
        <x:f>IF(COUNT(CHOOSE('Controls'!$E$5,H436,H437,H438))=1,CHOOSE('Controls'!$E$5,H436,H437,H438),NA())</x:f>
        <x:v>30</x:v>
      </x:c>
      <x:c r="I435" s="8" t="n">
        <x:f>IF(COUNT(CHOOSE('Controls'!$E$5,I436,I437,I438))=1,CHOOSE('Controls'!$E$5,I436,I437,I438),NA())</x:f>
        <x:v>30</x:v>
      </x:c>
    </x:row>
    <x:row r="436" ht="30" customHeight="1">
      <x:c r="C436" s="64" t="str">
        <x:v>Base</x:v>
      </x:c>
      <x:c r="D436" s="63"/>
      <x:c r="E436" s="74" t="n">
        <x:v>30</x:v>
      </x:c>
      <x:c r="F436" s="74" t="n">
        <x:v>30</x:v>
      </x:c>
      <x:c r="G436" s="74" t="n">
        <x:v>30</x:v>
      </x:c>
      <x:c r="H436" s="74" t="n">
        <x:v>30</x:v>
      </x:c>
      <x:c r="I436" s="74" t="n">
        <x:v>30</x:v>
      </x:c>
    </x:row>
    <x:row r="437" ht="30" customHeight="1">
      <x:c r="C437" s="64" t="str">
        <x:v>Downside</x:v>
      </x:c>
      <x:c r="D437" s="63"/>
      <x:c r="E437" s="74" t="n">
        <x:v>30</x:v>
      </x:c>
      <x:c r="F437" s="74" t="n">
        <x:v>30</x:v>
      </x:c>
      <x:c r="G437" s="74" t="n">
        <x:v>30</x:v>
      </x:c>
      <x:c r="H437" s="74" t="n">
        <x:v>30</x:v>
      </x:c>
      <x:c r="I437" s="74" t="n">
        <x:v>30</x:v>
      </x:c>
    </x:row>
    <x:row r="438" ht="30" customHeight="1">
      <x:c r="C438" s="64" t="str">
        <x:v>Upside</x:v>
      </x:c>
      <x:c r="D438" s="63"/>
      <x:c r="E438" s="74" t="n">
        <x:v>30</x:v>
      </x:c>
      <x:c r="F438" s="74" t="n">
        <x:v>30</x:v>
      </x:c>
      <x:c r="G438" s="74" t="n">
        <x:v>30</x:v>
      </x:c>
      <x:c r="H438" s="74" t="n">
        <x:v>30</x:v>
      </x:c>
      <x:c r="I438" s="74" t="n">
        <x:v>30</x:v>
      </x:c>
    </x:row>
    <x:row r="439" ht="30" customHeight="1">
      <x:c r="C439" s="64"/>
      <x:c r="D439" s="63"/>
      <x:c r="E439" s="63"/>
      <x:c r="F439" s="63"/>
      <x:c r="G439" s="63"/>
      <x:c r="H439" s="63"/>
      <x:c r="I439" s="63"/>
    </x:row>
    <x:row r="440" ht="30" customHeight="1">
      <x:c r="C440" s="64" t="str">
        <x:v>Effective cash tax rate — active</x:v>
      </x:c>
      <x:c r="D440" s="63"/>
      <x:c r="E440" s="83" t="n">
        <x:f>IF(COUNT(CHOOSE('Controls'!$E$5,E441,E442,E443))=1,CHOOSE('Controls'!$E$5,E441,E442,E443),NA())</x:f>
        <x:v>0.25</x:v>
      </x:c>
      <x:c r="F440" s="83" t="n">
        <x:f>IF(COUNT(CHOOSE('Controls'!$E$5,F441,F442,F443))=1,CHOOSE('Controls'!$E$5,F441,F442,F443),NA())</x:f>
        <x:v>0.25</x:v>
      </x:c>
      <x:c r="G440" s="83" t="n">
        <x:f>IF(COUNT(CHOOSE('Controls'!$E$5,G441,G442,G443))=1,CHOOSE('Controls'!$E$5,G441,G442,G443),NA())</x:f>
        <x:v>0.25</x:v>
      </x:c>
      <x:c r="H440" s="83" t="n">
        <x:f>IF(COUNT(CHOOSE('Controls'!$E$5,H441,H442,H443))=1,CHOOSE('Controls'!$E$5,H441,H442,H443),NA())</x:f>
        <x:v>0.25</x:v>
      </x:c>
      <x:c r="I440" s="83" t="n">
        <x:f>IF(COUNT(CHOOSE('Controls'!$E$5,I441,I442,I443))=1,CHOOSE('Controls'!$E$5,I441,I442,I443),NA())</x:f>
        <x:v>0.25</x:v>
      </x:c>
    </x:row>
    <x:row r="441" ht="30" customHeight="1">
      <x:c r="C441" s="64" t="str">
        <x:v>Base</x:v>
      </x:c>
      <x:c r="D441" s="63"/>
      <x:c r="E441" s="85" t="n">
        <x:v>0.25</x:v>
      </x:c>
      <x:c r="F441" s="85" t="n">
        <x:v>0.25</x:v>
      </x:c>
      <x:c r="G441" s="85" t="n">
        <x:v>0.25</x:v>
      </x:c>
      <x:c r="H441" s="85" t="n">
        <x:v>0.25</x:v>
      </x:c>
      <x:c r="I441" s="85" t="n">
        <x:v>0.25</x:v>
      </x:c>
    </x:row>
    <x:row r="442" ht="30" customHeight="1">
      <x:c r="C442" s="64" t="str">
        <x:v>Downside</x:v>
      </x:c>
      <x:c r="D442" s="63"/>
      <x:c r="E442" s="85" t="n">
        <x:v>0.25</x:v>
      </x:c>
      <x:c r="F442" s="85" t="n">
        <x:v>0.25</x:v>
      </x:c>
      <x:c r="G442" s="85" t="n">
        <x:v>0.25</x:v>
      </x:c>
      <x:c r="H442" s="85" t="n">
        <x:v>0.25</x:v>
      </x:c>
      <x:c r="I442" s="85" t="n">
        <x:v>0.25</x:v>
      </x:c>
    </x:row>
    <x:row r="443" ht="30" customHeight="1">
      <x:c r="C443" s="64" t="str">
        <x:v>Upside</x:v>
      </x:c>
      <x:c r="D443" s="63"/>
      <x:c r="E443" s="85" t="n">
        <x:v>0.25</x:v>
      </x:c>
      <x:c r="F443" s="85" t="n">
        <x:v>0.25</x:v>
      </x:c>
      <x:c r="G443" s="85" t="n">
        <x:v>0.25</x:v>
      </x:c>
      <x:c r="H443" s="85" t="n">
        <x:v>0.25</x:v>
      </x:c>
      <x:c r="I443" s="85" t="n">
        <x:v>0.25</x:v>
      </x:c>
    </x:row>
    <x:row r="444" ht="30" customHeight="1">
      <x:c r="C444" s="64"/>
      <x:c r="D444" s="63"/>
      <x:c r="E444" s="63"/>
      <x:c r="F444" s="63"/>
      <x:c r="G444" s="63"/>
      <x:c r="H444" s="63"/>
      <x:c r="I444" s="63"/>
    </x:row>
    <x:row r="445" ht="30" customHeight="1">
      <x:c r="C445" s="64" t="str">
        <x:v>Interest on opening debt — active</x:v>
      </x:c>
      <x:c r="D445" s="63"/>
      <x:c r="E445" s="83" t="n">
        <x:f>IF(COUNT(CHOOSE('Controls'!$E$5,E446,E447,E448))=1,CHOOSE('Controls'!$E$5,E446,E447,E448),NA())</x:f>
        <x:v>0.085</x:v>
      </x:c>
      <x:c r="F445" s="83" t="n">
        <x:f>IF(COUNT(CHOOSE('Controls'!$E$5,F446,F447,F448))=1,CHOOSE('Controls'!$E$5,F446,F447,F448),NA())</x:f>
        <x:v>0.085</x:v>
      </x:c>
      <x:c r="G445" s="83" t="n">
        <x:f>IF(COUNT(CHOOSE('Controls'!$E$5,G446,G447,G448))=1,CHOOSE('Controls'!$E$5,G446,G447,G448),NA())</x:f>
        <x:v>0.085</x:v>
      </x:c>
      <x:c r="H445" s="83" t="n">
        <x:f>IF(COUNT(CHOOSE('Controls'!$E$5,H446,H447,H448))=1,CHOOSE('Controls'!$E$5,H446,H447,H448),NA())</x:f>
        <x:v>0.085</x:v>
      </x:c>
      <x:c r="I445" s="83" t="n">
        <x:f>IF(COUNT(CHOOSE('Controls'!$E$5,I446,I447,I448))=1,CHOOSE('Controls'!$E$5,I446,I447,I448),NA())</x:f>
        <x:v>0.085</x:v>
      </x:c>
    </x:row>
    <x:row r="446" ht="30" customHeight="1">
      <x:c r="C446" s="64" t="str">
        <x:v>Base</x:v>
      </x:c>
      <x:c r="D446" s="63"/>
      <x:c r="E446" s="85" t="n">
        <x:v>0.085</x:v>
      </x:c>
      <x:c r="F446" s="85" t="n">
        <x:v>0.085</x:v>
      </x:c>
      <x:c r="G446" s="85" t="n">
        <x:v>0.085</x:v>
      </x:c>
      <x:c r="H446" s="85" t="n">
        <x:v>0.085</x:v>
      </x:c>
      <x:c r="I446" s="85" t="n">
        <x:v>0.085</x:v>
      </x:c>
    </x:row>
    <x:row r="447" ht="30" customHeight="1">
      <x:c r="C447" s="64" t="str">
        <x:v>Downside</x:v>
      </x:c>
      <x:c r="D447" s="63"/>
      <x:c r="E447" s="85" t="n">
        <x:v>0.085</x:v>
      </x:c>
      <x:c r="F447" s="85" t="n">
        <x:v>0.085</x:v>
      </x:c>
      <x:c r="G447" s="85" t="n">
        <x:v>0.085</x:v>
      </x:c>
      <x:c r="H447" s="85" t="n">
        <x:v>0.085</x:v>
      </x:c>
      <x:c r="I447" s="85" t="n">
        <x:v>0.085</x:v>
      </x:c>
    </x:row>
    <x:row r="448" ht="30" customHeight="1">
      <x:c r="C448" s="64" t="str">
        <x:v>Upside</x:v>
      </x:c>
      <x:c r="D448" s="63"/>
      <x:c r="E448" s="85" t="n">
        <x:v>0.085</x:v>
      </x:c>
      <x:c r="F448" s="85" t="n">
        <x:v>0.085</x:v>
      </x:c>
      <x:c r="G448" s="85" t="n">
        <x:v>0.085</x:v>
      </x:c>
      <x:c r="H448" s="85" t="n">
        <x:v>0.085</x:v>
      </x:c>
      <x:c r="I448" s="85" t="n">
        <x:v>0.085</x:v>
      </x:c>
    </x:row>
    <x:row r="449" ht="30" customHeight="1">
      <x:c r="C449" s="64"/>
      <x:c r="D449" s="63"/>
      <x:c r="E449" s="63"/>
      <x:c r="F449" s="63"/>
      <x:c r="G449" s="63"/>
      <x:c r="H449" s="63"/>
      <x:c r="I449" s="63"/>
    </x:row>
    <x:row r="450" ht="30" customHeight="1">
      <x:c r="C450" s="64" t="str">
        <x:v>New borrowing — active</x:v>
      </x:c>
      <x:c r="D450" s="63"/>
      <x:c r="E450" s="8" t="n">
        <x:f>IF(COUNT(CHOOSE('Controls'!$E$5,E451,E452,E453))=1,CHOOSE('Controls'!$E$5,E451,E452,E453),NA())</x:f>
        <x:v>0</x:v>
      </x:c>
      <x:c r="F450" s="8" t="n">
        <x:f>IF(COUNT(CHOOSE('Controls'!$E$5,F451,F452,F453))=1,CHOOSE('Controls'!$E$5,F451,F452,F453),NA())</x:f>
        <x:v>0</x:v>
      </x:c>
      <x:c r="G450" s="8" t="n">
        <x:f>IF(COUNT(CHOOSE('Controls'!$E$5,G451,G452,G453))=1,CHOOSE('Controls'!$E$5,G451,G452,G453),NA())</x:f>
        <x:v>0</x:v>
      </x:c>
      <x:c r="H450" s="8" t="n">
        <x:f>IF(COUNT(CHOOSE('Controls'!$E$5,H451,H452,H453))=1,CHOOSE('Controls'!$E$5,H451,H452,H453),NA())</x:f>
        <x:v>0</x:v>
      </x:c>
      <x:c r="I450" s="8" t="n">
        <x:f>IF(COUNT(CHOOSE('Controls'!$E$5,I451,I452,I453))=1,CHOOSE('Controls'!$E$5,I451,I452,I453),NA())</x:f>
        <x:v>0</x:v>
      </x:c>
    </x:row>
    <x:row r="451" ht="30" customHeight="1">
      <x:c r="C451" s="64" t="str">
        <x:v>Base</x:v>
      </x:c>
      <x:c r="D451" s="63"/>
      <x:c r="E451" s="74" t="n">
        <x:v>0</x:v>
      </x:c>
      <x:c r="F451" s="74" t="n">
        <x:v>0</x:v>
      </x:c>
      <x:c r="G451" s="74" t="n">
        <x:v>0</x:v>
      </x:c>
      <x:c r="H451" s="74" t="n">
        <x:v>0</x:v>
      </x:c>
      <x:c r="I451" s="74" t="n">
        <x:v>0</x:v>
      </x:c>
    </x:row>
    <x:row r="452" ht="30" customHeight="1">
      <x:c r="C452" s="64" t="str">
        <x:v>Downside</x:v>
      </x:c>
      <x:c r="D452" s="63"/>
      <x:c r="E452" s="74" t="n">
        <x:v>0</x:v>
      </x:c>
      <x:c r="F452" s="74" t="n">
        <x:v>0</x:v>
      </x:c>
      <x:c r="G452" s="74" t="n">
        <x:v>0</x:v>
      </x:c>
      <x:c r="H452" s="74" t="n">
        <x:v>0</x:v>
      </x:c>
      <x:c r="I452" s="74" t="n">
        <x:v>0</x:v>
      </x:c>
    </x:row>
    <x:row r="453" ht="30" customHeight="1">
      <x:c r="C453" s="64" t="str">
        <x:v>Upside</x:v>
      </x:c>
      <x:c r="D453" s="63"/>
      <x:c r="E453" s="74" t="n">
        <x:v>0</x:v>
      </x:c>
      <x:c r="F453" s="74" t="n">
        <x:v>0</x:v>
      </x:c>
      <x:c r="G453" s="74" t="n">
        <x:v>0</x:v>
      </x:c>
      <x:c r="H453" s="74" t="n">
        <x:v>0</x:v>
      </x:c>
      <x:c r="I453" s="74" t="n">
        <x:v>0</x:v>
      </x:c>
    </x:row>
    <x:row r="454" ht="30" customHeight="1">
      <x:c r="C454" s="64"/>
      <x:c r="D454" s="63"/>
      <x:c r="E454" s="63"/>
      <x:c r="F454" s="63"/>
      <x:c r="G454" s="63"/>
      <x:c r="H454" s="63"/>
      <x:c r="I454" s="63"/>
    </x:row>
    <x:row r="455" ht="30" customHeight="1">
      <x:c r="C455" s="64" t="str">
        <x:v>Scheduled principal repayment — active</x:v>
      </x:c>
      <x:c r="D455" s="63"/>
      <x:c r="E455" s="8" t="n">
        <x:f>IF(COUNT(CHOOSE('Controls'!$E$5,E456,E457,E458))=1,CHOOSE('Controls'!$E$5,E456,E457,E458),NA())</x:f>
        <x:v>200</x:v>
      </x:c>
      <x:c r="F455" s="8" t="n">
        <x:f>IF(COUNT(CHOOSE('Controls'!$E$5,F456,F457,F458))=1,CHOOSE('Controls'!$E$5,F456,F457,F458),NA())</x:f>
        <x:v>200</x:v>
      </x:c>
      <x:c r="G455" s="8" t="n">
        <x:f>IF(COUNT(CHOOSE('Controls'!$E$5,G456,G457,G458))=1,CHOOSE('Controls'!$E$5,G456,G457,G458),NA())</x:f>
        <x:v>200</x:v>
      </x:c>
      <x:c r="H455" s="8" t="n">
        <x:f>IF(COUNT(CHOOSE('Controls'!$E$5,H456,H457,H458))=1,CHOOSE('Controls'!$E$5,H456,H457,H458),NA())</x:f>
        <x:v>200</x:v>
      </x:c>
      <x:c r="I455" s="8" t="n">
        <x:f>IF(COUNT(CHOOSE('Controls'!$E$5,I456,I457,I458))=1,CHOOSE('Controls'!$E$5,I456,I457,I458),NA())</x:f>
        <x:v>200</x:v>
      </x:c>
    </x:row>
    <x:row r="456" ht="30" customHeight="1">
      <x:c r="C456" s="64" t="str">
        <x:v>Base</x:v>
      </x:c>
      <x:c r="D456" s="63"/>
      <x:c r="E456" s="74" t="n">
        <x:v>200</x:v>
      </x:c>
      <x:c r="F456" s="74" t="n">
        <x:v>200</x:v>
      </x:c>
      <x:c r="G456" s="74" t="n">
        <x:v>200</x:v>
      </x:c>
      <x:c r="H456" s="74" t="n">
        <x:v>200</x:v>
      </x:c>
      <x:c r="I456" s="74" t="n">
        <x:v>200</x:v>
      </x:c>
    </x:row>
    <x:row r="457" ht="30" customHeight="1">
      <x:c r="C457" s="64" t="str">
        <x:v>Downside</x:v>
      </x:c>
      <x:c r="D457" s="63"/>
      <x:c r="E457" s="74" t="n">
        <x:v>200</x:v>
      </x:c>
      <x:c r="F457" s="74" t="n">
        <x:v>200</x:v>
      </x:c>
      <x:c r="G457" s="74" t="n">
        <x:v>200</x:v>
      </x:c>
      <x:c r="H457" s="74" t="n">
        <x:v>200</x:v>
      </x:c>
      <x:c r="I457" s="74" t="n">
        <x:v>200</x:v>
      </x:c>
    </x:row>
    <x:row r="458" ht="30" customHeight="1">
      <x:c r="C458" s="64" t="str">
        <x:v>Upside</x:v>
      </x:c>
      <x:c r="D458" s="63"/>
      <x:c r="E458" s="74" t="n">
        <x:v>200</x:v>
      </x:c>
      <x:c r="F458" s="74" t="n">
        <x:v>200</x:v>
      </x:c>
      <x:c r="G458" s="74" t="n">
        <x:v>200</x:v>
      </x:c>
      <x:c r="H458" s="74" t="n">
        <x:v>200</x:v>
      </x:c>
      <x:c r="I458" s="74" t="n">
        <x:v>200</x:v>
      </x:c>
    </x:row>
    <x:row r="459" ht="30" customHeight="1">
      <x:c r="C459" s="64"/>
      <x:c r="D459" s="63"/>
      <x:c r="E459" s="63"/>
      <x:c r="F459" s="63"/>
      <x:c r="G459" s="63"/>
      <x:c r="H459" s="63"/>
      <x:c r="I459" s="63"/>
    </x:row>
    <x:row r="460" ht="30" customHeight="1">
      <x:c r="C460" s="64" t="str">
        <x:v>Dividend payout on positive PAT — active</x:v>
      </x:c>
      <x:c r="D460" s="63"/>
      <x:c r="E460" s="83" t="n">
        <x:f>IF(COUNT(CHOOSE('Controls'!$E$5,E461,E462,E463))=1,CHOOSE('Controls'!$E$5,E461,E462,E463),NA())</x:f>
        <x:v>0.25</x:v>
      </x:c>
      <x:c r="F460" s="83" t="n">
        <x:f>IF(COUNT(CHOOSE('Controls'!$E$5,F461,F462,F463))=1,CHOOSE('Controls'!$E$5,F461,F462,F463),NA())</x:f>
        <x:v>0.25</x:v>
      </x:c>
      <x:c r="G460" s="83" t="n">
        <x:f>IF(COUNT(CHOOSE('Controls'!$E$5,G461,G462,G463))=1,CHOOSE('Controls'!$E$5,G461,G462,G463),NA())</x:f>
        <x:v>0.25</x:v>
      </x:c>
      <x:c r="H460" s="83" t="n">
        <x:f>IF(COUNT(CHOOSE('Controls'!$E$5,H461,H462,H463))=1,CHOOSE('Controls'!$E$5,H461,H462,H463),NA())</x:f>
        <x:v>0.25</x:v>
      </x:c>
      <x:c r="I460" s="83" t="n">
        <x:f>IF(COUNT(CHOOSE('Controls'!$E$5,I461,I462,I463))=1,CHOOSE('Controls'!$E$5,I461,I462,I463),NA())</x:f>
        <x:v>0.25</x:v>
      </x:c>
    </x:row>
    <x:row r="461" ht="30" customHeight="1">
      <x:c r="C461" s="64" t="str">
        <x:v>Base</x:v>
      </x:c>
      <x:c r="D461" s="63"/>
      <x:c r="E461" s="85" t="n">
        <x:v>0.25</x:v>
      </x:c>
      <x:c r="F461" s="85" t="n">
        <x:v>0.25</x:v>
      </x:c>
      <x:c r="G461" s="85" t="n">
        <x:v>0.25</x:v>
      </x:c>
      <x:c r="H461" s="85" t="n">
        <x:v>0.25</x:v>
      </x:c>
      <x:c r="I461" s="85" t="n">
        <x:v>0.25</x:v>
      </x:c>
    </x:row>
    <x:row r="462" ht="30" customHeight="1">
      <x:c r="C462" s="64" t="str">
        <x:v>Downside</x:v>
      </x:c>
      <x:c r="D462" s="63"/>
      <x:c r="E462" s="85" t="n">
        <x:v>0.25</x:v>
      </x:c>
      <x:c r="F462" s="85" t="n">
        <x:v>0.25</x:v>
      </x:c>
      <x:c r="G462" s="85" t="n">
        <x:v>0.25</x:v>
      </x:c>
      <x:c r="H462" s="85" t="n">
        <x:v>0.25</x:v>
      </x:c>
      <x:c r="I462" s="85" t="n">
        <x:v>0.25</x:v>
      </x:c>
    </x:row>
    <x:row r="463" ht="30" customHeight="1">
      <x:c r="C463" s="64" t="str">
        <x:v>Upside</x:v>
      </x:c>
      <x:c r="D463" s="63"/>
      <x:c r="E463" s="85" t="n">
        <x:v>0.25</x:v>
      </x:c>
      <x:c r="F463" s="85" t="n">
        <x:v>0.25</x:v>
      </x:c>
      <x:c r="G463" s="85" t="n">
        <x:v>0.25</x:v>
      </x:c>
      <x:c r="H463" s="85" t="n">
        <x:v>0.25</x:v>
      </x:c>
      <x:c r="I463" s="85" t="n">
        <x:v>0.25</x:v>
      </x:c>
    </x:row>
    <x:row r="464" ht="30" customHeight="1">
      <x:c r="C464" s="64"/>
      <x:c r="D464" s="63"/>
      <x:c r="E464" s="63"/>
      <x:c r="F464" s="63"/>
      <x:c r="G464" s="63"/>
      <x:c r="H464" s="63"/>
      <x:c r="I464" s="63"/>
    </x:row>
    <x:row r="465" ht="30" customHeight="1">
      <x:c r="C465" s="64" t="str">
        <x:v>New commissioned capacity (MW) — active</x:v>
      </x:c>
      <x:c r="D465" s="63"/>
      <x:c r="E465" s="8" t="n">
        <x:f>IF(COUNT(CHOOSE('Controls'!$E$5,E466,E467,E468))=1,CHOOSE('Controls'!$E$5,E466,E467,E468),NA())</x:f>
        <x:v>180</x:v>
      </x:c>
      <x:c r="F465" s="8" t="n">
        <x:f>IF(COUNT(CHOOSE('Controls'!$E$5,F466,F467,F468))=1,CHOOSE('Controls'!$E$5,F466,F467,F468),NA())</x:f>
        <x:v>180</x:v>
      </x:c>
      <x:c r="G465" s="8" t="n">
        <x:f>IF(COUNT(CHOOSE('Controls'!$E$5,G466,G467,G468))=1,CHOOSE('Controls'!$E$5,G466,G467,G468),NA())</x:f>
        <x:v>180</x:v>
      </x:c>
      <x:c r="H465" s="8" t="n">
        <x:f>IF(COUNT(CHOOSE('Controls'!$E$5,H466,H467,H468))=1,CHOOSE('Controls'!$E$5,H466,H467,H468),NA())</x:f>
        <x:v>180</x:v>
      </x:c>
      <x:c r="I465" s="8" t="n">
        <x:f>IF(COUNT(CHOOSE('Controls'!$E$5,I466,I467,I468))=1,CHOOSE('Controls'!$E$5,I466,I467,I468),NA())</x:f>
        <x:v>180</x:v>
      </x:c>
    </x:row>
    <x:row r="466" ht="30" customHeight="1">
      <x:c r="C466" s="64" t="str">
        <x:v>Base</x:v>
      </x:c>
      <x:c r="D466" s="63"/>
      <x:c r="E466" s="74" t="n">
        <x:v>180</x:v>
      </x:c>
      <x:c r="F466" s="74" t="n">
        <x:v>180</x:v>
      </x:c>
      <x:c r="G466" s="74" t="n">
        <x:v>180</x:v>
      </x:c>
      <x:c r="H466" s="74" t="n">
        <x:v>180</x:v>
      </x:c>
      <x:c r="I466" s="74" t="n">
        <x:v>180</x:v>
      </x:c>
    </x:row>
    <x:row r="467" ht="30" customHeight="1">
      <x:c r="C467" s="64" t="str">
        <x:v>Downside</x:v>
      </x:c>
      <x:c r="D467" s="63"/>
      <x:c r="E467" s="74" t="n">
        <x:v>180</x:v>
      </x:c>
      <x:c r="F467" s="74" t="n">
        <x:v>180</x:v>
      </x:c>
      <x:c r="G467" s="74" t="n">
        <x:v>180</x:v>
      </x:c>
      <x:c r="H467" s="74" t="n">
        <x:v>180</x:v>
      </x:c>
      <x:c r="I467" s="74" t="n">
        <x:v>180</x:v>
      </x:c>
    </x:row>
    <x:row r="468" ht="30" customHeight="1">
      <x:c r="C468" s="64" t="str">
        <x:v>Upside</x:v>
      </x:c>
      <x:c r="D468" s="63"/>
      <x:c r="E468" s="74" t="n">
        <x:v>180</x:v>
      </x:c>
      <x:c r="F468" s="74" t="n">
        <x:v>180</x:v>
      </x:c>
      <x:c r="G468" s="74" t="n">
        <x:v>180</x:v>
      </x:c>
      <x:c r="H468" s="74" t="n">
        <x:v>180</x:v>
      </x:c>
      <x:c r="I468" s="74" t="n">
        <x:v>180</x:v>
      </x:c>
    </x:row>
    <x:row r="469" ht="30" customHeight="1">
      <x:c r="C469" s="64"/>
      <x:c r="D469" s="63"/>
      <x:c r="E469" s="63"/>
      <x:c r="F469" s="63"/>
      <x:c r="G469" s="63"/>
      <x:c r="H469" s="63"/>
      <x:c r="I469" s="63"/>
    </x:row>
    <x:row r="470" ht="30" customHeight="1">
      <x:c r="C470" s="64" t="str">
        <x:v>Commissioned capacity operating-year fraction — active</x:v>
      </x:c>
      <x:c r="D470" s="63"/>
      <x:c r="E470" s="70" t="n">
        <x:f>IF(COUNT(CHOOSE('Controls'!$E$5,E471,E472,E473))=1,CHOOSE('Controls'!$E$5,E471,E472,E473),NA())</x:f>
        <x:v>0.5</x:v>
      </x:c>
      <x:c r="F470" s="70" t="n">
        <x:f>IF(COUNT(CHOOSE('Controls'!$E$5,F471,F472,F473))=1,CHOOSE('Controls'!$E$5,F471,F472,F473),NA())</x:f>
        <x:v>0.5</x:v>
      </x:c>
      <x:c r="G470" s="70" t="n">
        <x:f>IF(COUNT(CHOOSE('Controls'!$E$5,G471,G472,G473))=1,CHOOSE('Controls'!$E$5,G471,G472,G473),NA())</x:f>
        <x:v>0.5</x:v>
      </x:c>
      <x:c r="H470" s="70" t="n">
        <x:f>IF(COUNT(CHOOSE('Controls'!$E$5,H471,H472,H473))=1,CHOOSE('Controls'!$E$5,H471,H472,H473),NA())</x:f>
        <x:v>0.5</x:v>
      </x:c>
      <x:c r="I470" s="70" t="n">
        <x:f>IF(COUNT(CHOOSE('Controls'!$E$5,I471,I472,I473))=1,CHOOSE('Controls'!$E$5,I471,I472,I473),NA())</x:f>
        <x:v>0.5</x:v>
      </x:c>
    </x:row>
    <x:row r="471" ht="30" customHeight="1">
      <x:c r="C471" s="64" t="str">
        <x:v>Base</x:v>
      </x:c>
      <x:c r="D471" s="63"/>
      <x:c r="E471" s="72" t="n">
        <x:v>0.5</x:v>
      </x:c>
      <x:c r="F471" s="72" t="n">
        <x:v>0.5</x:v>
      </x:c>
      <x:c r="G471" s="72" t="n">
        <x:v>0.5</x:v>
      </x:c>
      <x:c r="H471" s="72" t="n">
        <x:v>0.5</x:v>
      </x:c>
      <x:c r="I471" s="72" t="n">
        <x:v>0.5</x:v>
      </x:c>
    </x:row>
    <x:row r="472" ht="30" customHeight="1">
      <x:c r="C472" s="64" t="str">
        <x:v>Downside</x:v>
      </x:c>
      <x:c r="D472" s="63"/>
      <x:c r="E472" s="72" t="n">
        <x:v>0.5</x:v>
      </x:c>
      <x:c r="F472" s="72" t="n">
        <x:v>0.5</x:v>
      </x:c>
      <x:c r="G472" s="72" t="n">
        <x:v>0.5</x:v>
      </x:c>
      <x:c r="H472" s="72" t="n">
        <x:v>0.5</x:v>
      </x:c>
      <x:c r="I472" s="72" t="n">
        <x:v>0.5</x:v>
      </x:c>
    </x:row>
    <x:row r="473" ht="30" customHeight="1">
      <x:c r="C473" s="64" t="str">
        <x:v>Upside</x:v>
      </x:c>
      <x:c r="D473" s="63"/>
      <x:c r="E473" s="72" t="n">
        <x:v>0.5</x:v>
      </x:c>
      <x:c r="F473" s="72" t="n">
        <x:v>0.5</x:v>
      </x:c>
      <x:c r="G473" s="72" t="n">
        <x:v>0.5</x:v>
      </x:c>
      <x:c r="H473" s="72" t="n">
        <x:v>0.5</x:v>
      </x:c>
      <x:c r="I473" s="72" t="n">
        <x:v>0.5</x:v>
      </x:c>
    </x:row>
    <x:row r="474" ht="30" customHeight="1">
      <x:c r="C474" s="64"/>
      <x:c r="D474" s="63"/>
      <x:c r="E474" s="63"/>
      <x:c r="F474" s="63"/>
      <x:c r="G474" s="63"/>
      <x:c r="H474" s="63"/>
      <x:c r="I474" s="63"/>
    </x:row>
    <x:row r="475" ht="30" customHeight="1">
      <x:c r="C475" s="64" t="str">
        <x:v>Construction cash cost per new MW (INR crore) — active</x:v>
      </x:c>
      <x:c r="D475" s="63"/>
      <x:c r="E475" s="8" t="n">
        <x:f>IF(COUNT(CHOOSE('Controls'!$E$5,E476,E477,E478))=1,CHOOSE('Controls'!$E$5,E476,E477,E478),NA())</x:f>
        <x:v>4</x:v>
      </x:c>
      <x:c r="F475" s="8" t="n">
        <x:f>IF(COUNT(CHOOSE('Controls'!$E$5,F476,F477,F478))=1,CHOOSE('Controls'!$E$5,F476,F477,F478),NA())</x:f>
        <x:v>4</x:v>
      </x:c>
      <x:c r="G475" s="8" t="n">
        <x:f>IF(COUNT(CHOOSE('Controls'!$E$5,G476,G477,G478))=1,CHOOSE('Controls'!$E$5,G476,G477,G478),NA())</x:f>
        <x:v>4</x:v>
      </x:c>
      <x:c r="H475" s="8" t="n">
        <x:f>IF(COUNT(CHOOSE('Controls'!$E$5,H476,H477,H478))=1,CHOOSE('Controls'!$E$5,H476,H477,H478),NA())</x:f>
        <x:v>4</x:v>
      </x:c>
      <x:c r="I475" s="8" t="n">
        <x:f>IF(COUNT(CHOOSE('Controls'!$E$5,I476,I477,I478))=1,CHOOSE('Controls'!$E$5,I476,I477,I478),NA())</x:f>
        <x:v>4</x:v>
      </x:c>
    </x:row>
    <x:row r="476" ht="30" customHeight="1">
      <x:c r="C476" s="64" t="str">
        <x:v>Base</x:v>
      </x:c>
      <x:c r="D476" s="63"/>
      <x:c r="E476" s="74" t="n">
        <x:v>4</x:v>
      </x:c>
      <x:c r="F476" s="74" t="n">
        <x:v>4</x:v>
      </x:c>
      <x:c r="G476" s="74" t="n">
        <x:v>4</x:v>
      </x:c>
      <x:c r="H476" s="74" t="n">
        <x:v>4</x:v>
      </x:c>
      <x:c r="I476" s="74" t="n">
        <x:v>4</x:v>
      </x:c>
    </x:row>
    <x:row r="477" ht="30" customHeight="1">
      <x:c r="C477" s="64" t="str">
        <x:v>Downside</x:v>
      </x:c>
      <x:c r="D477" s="63"/>
      <x:c r="E477" s="74" t="n">
        <x:v>4</x:v>
      </x:c>
      <x:c r="F477" s="74" t="n">
        <x:v>4</x:v>
      </x:c>
      <x:c r="G477" s="74" t="n">
        <x:v>4</x:v>
      </x:c>
      <x:c r="H477" s="74" t="n">
        <x:v>4</x:v>
      </x:c>
      <x:c r="I477" s="74" t="n">
        <x:v>4</x:v>
      </x:c>
    </x:row>
    <x:row r="478" ht="30" customHeight="1">
      <x:c r="C478" s="64" t="str">
        <x:v>Upside</x:v>
      </x:c>
      <x:c r="D478" s="63"/>
      <x:c r="E478" s="74" t="n">
        <x:v>4</x:v>
      </x:c>
      <x:c r="F478" s="74" t="n">
        <x:v>4</x:v>
      </x:c>
      <x:c r="G478" s="74" t="n">
        <x:v>4</x:v>
      </x:c>
      <x:c r="H478" s="74" t="n">
        <x:v>4</x:v>
      </x:c>
      <x:c r="I478" s="74" t="n">
        <x:v>4</x:v>
      </x:c>
    </x:row>
    <x:row r="479" ht="30" customHeight="1">
      <x:c r="C479" s="64"/>
      <x:c r="D479" s="63"/>
      <x:c r="E479" s="63"/>
      <x:c r="F479" s="63"/>
      <x:c r="G479" s="63"/>
      <x:c r="H479" s="63"/>
      <x:c r="I479" s="63"/>
    </x:row>
    <x:row r="480" ht="30" customHeight="1">
      <x:c r="C480" s="64" t="str">
        <x:v>Maintenance capex / revenue — active</x:v>
      </x:c>
      <x:c r="D480" s="63"/>
      <x:c r="E480" s="70" t="n">
        <x:f>IF(COUNT(CHOOSE('Controls'!$E$5,E481,E482,E483))=1,CHOOSE('Controls'!$E$5,E481,E482,E483),NA())</x:f>
        <x:v>0.02</x:v>
      </x:c>
      <x:c r="F480" s="70" t="n">
        <x:f>IF(COUNT(CHOOSE('Controls'!$E$5,F481,F482,F483))=1,CHOOSE('Controls'!$E$5,F481,F482,F483),NA())</x:f>
        <x:v>0.02</x:v>
      </x:c>
      <x:c r="G480" s="70" t="n">
        <x:f>IF(COUNT(CHOOSE('Controls'!$E$5,G481,G482,G483))=1,CHOOSE('Controls'!$E$5,G481,G482,G483),NA())</x:f>
        <x:v>0.02</x:v>
      </x:c>
      <x:c r="H480" s="70" t="n">
        <x:f>IF(COUNT(CHOOSE('Controls'!$E$5,H481,H482,H483))=1,CHOOSE('Controls'!$E$5,H481,H482,H483),NA())</x:f>
        <x:v>0.02</x:v>
      </x:c>
      <x:c r="I480" s="70" t="n">
        <x:f>IF(COUNT(CHOOSE('Controls'!$E$5,I481,I482,I483))=1,CHOOSE('Controls'!$E$5,I481,I482,I483),NA())</x:f>
        <x:v>0.02</x:v>
      </x:c>
    </x:row>
    <x:row r="481" ht="30" customHeight="1">
      <x:c r="C481" s="64" t="str">
        <x:v>Base</x:v>
      </x:c>
      <x:c r="D481" s="63"/>
      <x:c r="E481" s="72" t="n">
        <x:v>0.02</x:v>
      </x:c>
      <x:c r="F481" s="72" t="n">
        <x:v>0.02</x:v>
      </x:c>
      <x:c r="G481" s="72" t="n">
        <x:v>0.02</x:v>
      </x:c>
      <x:c r="H481" s="72" t="n">
        <x:v>0.02</x:v>
      </x:c>
      <x:c r="I481" s="72" t="n">
        <x:v>0.02</x:v>
      </x:c>
    </x:row>
    <x:row r="482" ht="30" customHeight="1">
      <x:c r="C482" s="64" t="str">
        <x:v>Downside</x:v>
      </x:c>
      <x:c r="D482" s="63"/>
      <x:c r="E482" s="72" t="n">
        <x:v>0.02</x:v>
      </x:c>
      <x:c r="F482" s="72" t="n">
        <x:v>0.02</x:v>
      </x:c>
      <x:c r="G482" s="72" t="n">
        <x:v>0.02</x:v>
      </x:c>
      <x:c r="H482" s="72" t="n">
        <x:v>0.02</x:v>
      </x:c>
      <x:c r="I482" s="72" t="n">
        <x:v>0.02</x:v>
      </x:c>
    </x:row>
    <x:row r="483" ht="30" customHeight="1">
      <x:c r="C483" s="64" t="str">
        <x:v>Upside</x:v>
      </x:c>
      <x:c r="D483" s="63"/>
      <x:c r="E483" s="72" t="n">
        <x:v>0.02</x:v>
      </x:c>
      <x:c r="F483" s="72" t="n">
        <x:v>0.02</x:v>
      </x:c>
      <x:c r="G483" s="72" t="n">
        <x:v>0.02</x:v>
      </x:c>
      <x:c r="H483" s="72" t="n">
        <x:v>0.02</x:v>
      </x:c>
      <x:c r="I483" s="72" t="n">
        <x:v>0.02</x:v>
      </x:c>
    </x:row>
    <x:row r="484" ht="30" customHeight="1">
      <x:c r="C484" s="64"/>
      <x:c r="D484" s="63"/>
      <x:c r="E484" s="63"/>
      <x:c r="F484" s="63"/>
      <x:c r="G484" s="63"/>
      <x:c r="H484" s="63"/>
      <x:c r="I484" s="63"/>
    </x:row>
    <x:row r="485" ht="30" customHeight="1">
      <x:c r="C485" s="64"/>
      <x:c r="D485" s="63"/>
      <x:c r="E485" s="63"/>
      <x:c r="F485" s="63"/>
      <x:c r="G485" s="63"/>
      <x:c r="H485" s="63"/>
      <x:c r="I485" s="63"/>
    </x:row>
    <x:row r="486" ht="30" customHeight="1">
      <x:c r="C486" s="64"/>
      <x:c r="D486" s="63"/>
      <x:c r="E486" s="63"/>
      <x:c r="F486" s="63"/>
      <x:c r="G486" s="63"/>
      <x:c r="H486" s="63"/>
      <x:c r="I486" s="63"/>
    </x:row>
    <x:row r="487" ht="30" customHeight="1">
      <x:c r="C487" s="64"/>
      <x:c r="D487" s="63"/>
      <x:c r="E487" s="63"/>
      <x:c r="F487" s="63"/>
      <x:c r="G487" s="63"/>
      <x:c r="H487" s="63"/>
      <x:c r="I487" s="63"/>
    </x:row>
    <x:row r="488" ht="30" customHeight="1">
      <x:c r="C488" s="64"/>
      <x:c r="D488" s="63"/>
      <x:c r="E488" s="63"/>
      <x:c r="F488" s="63"/>
      <x:c r="G488" s="63"/>
      <x:c r="H488" s="63"/>
      <x:c r="I488" s="63"/>
    </x:row>
    <x:row r="489" ht="30" customHeight="1">
      <x:c r="C489" s="64"/>
      <x:c r="D489" s="63"/>
      <x:c r="E489" s="63"/>
      <x:c r="F489" s="63"/>
      <x:c r="G489" s="63"/>
      <x:c r="H489" s="63"/>
      <x:c r="I489" s="63"/>
    </x:row>
    <x:row r="490" ht="30" customHeight="1">
      <x:c r="C490" s="64"/>
      <x:c r="D490" s="63"/>
      <x:c r="E490" s="63"/>
      <x:c r="F490" s="63"/>
      <x:c r="G490" s="63"/>
      <x:c r="H490" s="63"/>
      <x:c r="I490" s="63"/>
    </x:row>
    <x:row r="491" ht="30" customHeight="1">
      <x:c r="C491" s="64"/>
      <x:c r="D491" s="63"/>
      <x:c r="E491" s="63"/>
      <x:c r="F491" s="63"/>
      <x:c r="G491" s="63"/>
      <x:c r="H491" s="63"/>
      <x:c r="I491" s="63"/>
    </x:row>
    <x:row r="492" ht="30" customHeight="1">
      <x:c r="C492" s="64"/>
      <x:c r="D492" s="63"/>
      <x:c r="E492" s="63"/>
      <x:c r="F492" s="63"/>
      <x:c r="G492" s="63"/>
      <x:c r="H492" s="63"/>
      <x:c r="I492" s="63"/>
    </x:row>
    <x:row r="493" ht="30" customHeight="1">
      <x:c r="C493" s="64"/>
      <x:c r="D493" s="63"/>
      <x:c r="E493" s="63"/>
      <x:c r="F493" s="63"/>
      <x:c r="G493" s="63"/>
      <x:c r="H493" s="63"/>
      <x:c r="I493" s="63"/>
    </x:row>
    <x:row r="494" ht="30" customHeight="1">
      <x:c r="C494" s="64"/>
      <x:c r="D494" s="63"/>
      <x:c r="E494" s="63"/>
      <x:c r="F494" s="63"/>
      <x:c r="G494" s="63"/>
      <x:c r="H494" s="63"/>
      <x:c r="I494" s="63"/>
    </x:row>
    <x:row r="495" ht="30" customHeight="1">
      <x:c r="C495" s="64"/>
      <x:c r="D495" s="63"/>
      <x:c r="E495" s="63"/>
      <x:c r="F495" s="63"/>
      <x:c r="G495" s="63"/>
      <x:c r="H495" s="63"/>
      <x:c r="I495" s="63"/>
    </x:row>
    <x:row r="496" ht="30" customHeight="1">
      <x:c r="C496" s="64"/>
      <x:c r="D496" s="63"/>
      <x:c r="E496" s="63"/>
      <x:c r="F496" s="63"/>
      <x:c r="G496" s="63"/>
      <x:c r="H496" s="63"/>
      <x:c r="I496" s="63"/>
    </x:row>
    <x:row r="497" ht="30" customHeight="1">
      <x:c r="C497" s="64"/>
      <x:c r="D497" s="63"/>
      <x:c r="E497" s="63"/>
      <x:c r="F497" s="63"/>
      <x:c r="G497" s="63"/>
      <x:c r="H497" s="63"/>
      <x:c r="I497" s="63"/>
    </x:row>
    <x:row r="498" ht="30" customHeight="1">
      <x:c r="C498" s="64"/>
      <x:c r="D498" s="63"/>
      <x:c r="E498" s="63"/>
      <x:c r="F498" s="63"/>
      <x:c r="G498" s="63"/>
      <x:c r="H498" s="63"/>
      <x:c r="I498" s="63"/>
    </x:row>
    <x:row r="499" ht="30" customHeight="1">
      <x:c r="C499" s="64"/>
      <x:c r="D499" s="63"/>
      <x:c r="E499" s="63"/>
      <x:c r="F499" s="63"/>
      <x:c r="G499" s="63"/>
      <x:c r="H499" s="63"/>
      <x:c r="I499" s="63"/>
    </x:row>
    <x:row r="500" ht="30" customHeight="1">
      <x:c r="C500" s="64"/>
      <x:c r="D500" s="63"/>
      <x:c r="E500" s="63"/>
      <x:c r="F500" s="63"/>
      <x:c r="G500" s="63"/>
      <x:c r="H500" s="63"/>
      <x:c r="I500" s="63"/>
    </x:row>
    <x:row r="501" ht="30" customHeight="1">
      <x:c r="C501" s="64"/>
      <x:c r="D501" s="63"/>
      <x:c r="E501" s="63"/>
      <x:c r="F501" s="63"/>
      <x:c r="G501" s="63"/>
      <x:c r="H501" s="63"/>
      <x:c r="I501" s="63"/>
    </x:row>
    <x:row r="502" ht="30" customHeight="1">
      <x:c r="C502" s="64"/>
      <x:c r="D502" s="63"/>
      <x:c r="E502" s="63"/>
      <x:c r="F502" s="63"/>
      <x:c r="G502" s="63"/>
      <x:c r="H502" s="63"/>
      <x:c r="I502" s="63"/>
    </x:row>
    <x:row r="503" ht="30" customHeight="1">
      <x:c r="C503" s="64"/>
      <x:c r="D503" s="63"/>
      <x:c r="E503" s="63"/>
      <x:c r="F503" s="63"/>
      <x:c r="G503" s="63"/>
      <x:c r="H503" s="63"/>
      <x:c r="I503" s="63"/>
    </x:row>
    <x:row r="504" ht="30" customHeight="1">
      <x:c r="C504" s="64"/>
      <x:c r="D504" s="63"/>
      <x:c r="E504" s="63"/>
      <x:c r="F504" s="63"/>
      <x:c r="G504" s="63"/>
      <x:c r="H504" s="63"/>
      <x:c r="I504" s="63"/>
    </x:row>
    <x:row r="505" ht="30" customHeight="1">
      <x:c r="C505" s="64"/>
      <x:c r="D505" s="63"/>
      <x:c r="E505" s="63"/>
      <x:c r="F505" s="63"/>
      <x:c r="G505" s="63"/>
      <x:c r="H505" s="63"/>
      <x:c r="I505" s="63"/>
    </x:row>
    <x:row r="506" ht="30" customHeight="1">
      <x:c r="C506" s="64"/>
      <x:c r="D506" s="63"/>
      <x:c r="E506" s="63"/>
      <x:c r="F506" s="63"/>
      <x:c r="G506" s="63"/>
      <x:c r="H506" s="63"/>
      <x:c r="I506" s="63"/>
    </x:row>
    <x:row r="507" ht="30" customHeight="1">
      <x:c r="C507" s="64"/>
      <x:c r="D507" s="63"/>
      <x:c r="E507" s="63"/>
      <x:c r="F507" s="63"/>
      <x:c r="G507" s="63"/>
      <x:c r="H507" s="63"/>
      <x:c r="I507" s="63"/>
    </x:row>
    <x:row r="508" ht="30" customHeight="1">
      <x:c r="C508" s="64"/>
      <x:c r="D508" s="63"/>
      <x:c r="E508" s="63"/>
      <x:c r="F508" s="63"/>
      <x:c r="G508" s="63"/>
      <x:c r="H508" s="63"/>
      <x:c r="I508" s="63"/>
    </x:row>
    <x:row r="509" ht="30" customHeight="1">
      <x:c r="C509" s="64"/>
      <x:c r="D509" s="63"/>
      <x:c r="E509" s="63"/>
      <x:c r="F509" s="63"/>
      <x:c r="G509" s="63"/>
      <x:c r="H509" s="63"/>
      <x:c r="I509" s="63"/>
    </x:row>
    <x:row r="510" ht="30" customHeight="1">
      <x:c r="C510" s="64"/>
      <x:c r="D510" s="63"/>
      <x:c r="E510" s="63"/>
      <x:c r="F510" s="63"/>
      <x:c r="G510" s="63"/>
      <x:c r="H510" s="63"/>
      <x:c r="I510" s="63"/>
    </x:row>
  </x:sheetData>
  <x:mergeCells>
    <x:mergeCell ref="M2:U2"/>
    <x:mergeCell ref="M9:U9"/>
    <x:mergeCell ref="M10:U10"/>
    <x:mergeCell ref="M30:U30"/>
    <x:mergeCell ref="M43:U44"/>
    <x:mergeCell ref="M48:R48"/>
    <x:mergeCell ref="M58:R58"/>
    <x:mergeCell ref="M68:R68"/>
  </x:mergeCells>
  <x:conditionalFormatting sqref="E99:I99">
    <x:cfRule type="expression" dxfId="40" priority="1">
      <x:formula>ABS(E99)&gt;0.01</x:formula>
    </x:cfRule>
  </x:conditionalFormatting>
  <x:conditionalFormatting sqref="E100:I100">
    <x:cfRule type="expression" dxfId="41" priority="2">
      <x:formula>ABS(E100)&gt;0.01</x:formula>
    </x:cfRule>
  </x:conditionalFormatting>
  <x:conditionalFormatting sqref="E101:I101">
    <x:cfRule type="expression" dxfId="42" priority="3">
      <x:formula>ABS(E101)&gt;0.01</x:formula>
    </x:cfRule>
  </x:conditionalFormatting>
  <x:conditionalFormatting sqref="E102:I102">
    <x:cfRule type="expression" dxfId="43" priority="4">
      <x:formula>ABS(E102)&gt;0.01</x:formula>
    </x:cfRule>
  </x:conditionalFormatting>
  <x:conditionalFormatting sqref="E103:I103">
    <x:cfRule type="expression" dxfId="44" priority="5">
      <x:formula>ABS(E103)&gt;0.01</x:formula>
    </x:cfRule>
  </x:conditionalFormatting>
  <x:conditionalFormatting sqref="E180:I205">
    <x:cfRule type="cellIs" dxfId="84" priority="6" operator="notEqual">
      <x:formula>0</x:formula>
    </x:cfRule>
  </x:conditionalFormatting>
  <x:dataValidations count="1">
    <x:dataValidation type="whole" errorStyle="stop" operator="between" showErrorMessage="1" errorTitle="Choose 0 or 1" error="0 uses scale growth; 1 uses the detailed operating bridge." sqref="D112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56ea073b6b414cb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88" hidden="0" customWidth="1"/>
    <x:col min="13" max="13" width="3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45" hidden="0" customWidth="1"/>
  </x:cols>
  <x:sheetData>
    <x:row r="1" ht="18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  <x:c r="K1" s="1"/>
    </x:row>
    <x:row r="2" ht="32" customHeight="1">
      <x:c r="A2" s="1"/>
      <x:c r="B2" s="1"/>
      <x:c r="C2" s="3" t="str">
        <x:v>Hotels</x:v>
      </x:c>
      <x:c r="D2" s="2"/>
      <x:c r="E2" s="2"/>
      <x:c r="F2" s="2"/>
      <x:c r="G2" s="2"/>
      <x:c r="H2" s="2"/>
      <x:c r="I2" s="2"/>
      <x:c r="J2" s="1"/>
      <x:c r="K2" s="1"/>
      <x:c r="M2" s="86" t="str">
        <x:v>Hotels | Client summary</x:v>
      </x:c>
      <x:c r="N2" s="86"/>
      <x:c r="O2" s="86"/>
      <x:c r="P2" s="86"/>
      <x:c r="Q2" s="86"/>
      <x:c r="R2" s="86"/>
      <x:c r="S2" s="86"/>
      <x:c r="T2" s="86"/>
      <x:c r="U2" s="86"/>
      <x:c r="V2" s="63"/>
      <x:c r="X2" t="str">
        <x:v>Forecast year</x:v>
      </x:c>
      <x:c r="Y2" t="str">
        <x:v>Income</x:v>
      </x:c>
      <x:c r="Z2" t="str">
        <x:v>Profit after tax</x:v>
      </x:c>
    </x:row>
    <x:row r="3" ht="18" customHeight="1">
      <x:c r="A3" s="1"/>
      <x:c r="B3" s="1"/>
      <x:c r="C3" s="4"/>
      <x:c r="D3" s="5"/>
      <x:c r="E3" s="5"/>
      <x:c r="F3" s="5"/>
      <x:c r="G3" s="5"/>
      <x:c r="H3" s="5"/>
      <x:c r="I3" s="5"/>
      <x:c r="J3" s="1"/>
      <x:c r="K3" s="1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X3" t="n">
        <x:f>'Controls'!$E$17+0</x:f>
        <x:v>2027</x:v>
      </x:c>
      <x:c r="Y3" t="n">
        <x:f>E48</x:f>
        <x:v>528.21167765625</x:v>
      </x:c>
      <x:c r="Z3" t="n">
        <x:f>E59</x:f>
        <x:v>-48.72226314999998</x:v>
      </x:c>
    </x:row>
    <x:row r="4" ht="18" customHeight="1">
      <x:c r="A4" s="1"/>
      <x:c r="B4" s="1"/>
      <x:c r="C4" s="1" t="str">
        <x:v>Illustrative assumptions. Financial amounts in INR crore.</x:v>
      </x:c>
      <x:c r="D4" s="2"/>
      <x:c r="E4" s="2"/>
      <x:c r="F4" s="2"/>
      <x:c r="G4" s="2"/>
      <x:c r="H4" s="2"/>
      <x:c r="I4" s="2"/>
      <x:c r="J4" s="1"/>
      <x:c r="K4" s="1"/>
      <x:c r="M4" s="63" t="str">
        <x:v>Company / model name</x:v>
      </x:c>
      <x:c r="N4" s="63" t="str">
        <x:v>Illustrative company</x:v>
      </x:c>
      <x:c r="O4" s="63"/>
      <x:c r="P4" s="63"/>
      <x:c r="Q4" s="63"/>
      <x:c r="R4" s="63"/>
      <x:c r="S4" s="63"/>
      <x:c r="T4" s="63"/>
      <x:c r="U4" s="63"/>
      <x:c r="V4" s="63"/>
      <x:c r="X4" t="n">
        <x:f>'Controls'!$E$17+1</x:f>
        <x:v>2028</x:v>
      </x:c>
      <x:c r="Y4" t="n">
        <x:f>F48</x:f>
        <x:v>590.6727085391014</x:v>
      </x:c>
      <x:c r="Z4" t="n">
        <x:f>F59</x:f>
        <x:v>-15.737271581776618</x:v>
      </x:c>
    </x:row>
    <x:row r="5" ht="18" customHeight="1">
      <x:c r="A5" s="1"/>
      <x:c r="B5" s="1"/>
      <x:c r="C5" s="1" t="str">
        <x:v>Selected case</x:v>
      </x:c>
      <x:c r="D5" s="2"/>
      <x:c r="E5" s="10" t="str">
        <x:f>'Controls'!E6</x:f>
        <x:v>Base</x:v>
      </x:c>
      <x:c r="F5" s="2"/>
      <x:c r="G5" s="2"/>
      <x:c r="H5" s="2"/>
      <x:c r="I5" s="2"/>
      <x:c r="J5" s="1"/>
      <x:c r="K5" s="1"/>
      <x:c r="M5" s="63" t="str">
        <x:v>Valuation date</x:v>
      </x:c>
      <x:c r="N5" s="87" t="n">
        <x:f>'Controls'!E18</x:f>
        <x:v>46112</x:v>
      </x:c>
      <x:c r="O5" s="63"/>
      <x:c r="P5" s="63"/>
      <x:c r="Q5" s="63"/>
      <x:c r="R5" s="63"/>
      <x:c r="S5" s="63"/>
      <x:c r="T5" s="63"/>
      <x:c r="U5" s="63"/>
      <x:c r="V5" s="63"/>
      <x:c r="X5" t="n">
        <x:f>'Controls'!$E$17+2</x:f>
        <x:v>2029</x:v>
      </x:c>
      <x:c r="Y5" t="n">
        <x:f>G48</x:f>
        <x:v>660.5197563238501</x:v>
      </x:c>
      <x:c r="Z5" t="n">
        <x:f>G59</x:f>
        <x:v>18.760138354817926</x:v>
      </x:c>
    </x:row>
    <x:row r="6" ht="18" customHeight="1">
      <x:c r="A6" s="1"/>
      <x:c r="B6" s="1"/>
      <x:c r="C6" s="1"/>
      <x:c r="D6" s="2"/>
      <x:c r="E6" s="2"/>
      <x:c r="F6" s="2"/>
      <x:c r="G6" s="2"/>
      <x:c r="H6" s="2"/>
      <x:c r="I6" s="2"/>
      <x:c r="J6" s="1"/>
      <x:c r="K6" s="1"/>
      <x:c r="M6" s="63" t="str">
        <x:v>Selected case</x:v>
      </x:c>
      <x:c r="N6" s="63" t="str">
        <x:f>'Controls'!E6</x:f>
        <x:v>Base</x:v>
      </x:c>
      <x:c r="O6" s="63"/>
      <x:c r="P6" s="63"/>
      <x:c r="Q6" s="63"/>
      <x:c r="R6" s="63"/>
      <x:c r="S6" s="63"/>
      <x:c r="T6" s="63"/>
      <x:c r="U6" s="63"/>
      <x:c r="V6" s="63"/>
      <x:c r="X6" t="n">
        <x:f>'Controls'!$E$17+3</x:f>
        <x:v>2030</x:v>
      </x:c>
      <x:c r="Y6" t="n">
        <x:f>H48</x:f>
        <x:v>738.6262175091454</x:v>
      </x:c>
      <x:c r="Z6" t="n">
        <x:f>H59</x:f>
        <x:v>52.721024567807845</x:v>
      </x:c>
    </x:row>
    <x:row r="7" ht="18" customHeight="1">
      <x:c r="A7" s="1"/>
      <x:c r="B7" s="1"/>
      <x:c r="C7" s="15" t="str">
        <x:v>Metric</x:v>
      </x:c>
      <x:c r="D7" s="16" t="str">
        <x:v>Opening / seed</x:v>
      </x:c>
      <x:c r="E7" s="65" t="n">
        <x:f>'Controls'!$E$17+0</x:f>
        <x:v>2027</x:v>
      </x:c>
      <x:c r="F7" s="65" t="n">
        <x:f>'Controls'!$E$17+1</x:f>
        <x:v>2028</x:v>
      </x:c>
      <x:c r="G7" s="65" t="n">
        <x:f>'Controls'!$E$17+2</x:f>
        <x:v>2029</x:v>
      </x:c>
      <x:c r="H7" s="65" t="n">
        <x:f>'Controls'!$E$17+3</x:f>
        <x:v>2030</x:v>
      </x:c>
      <x:c r="I7" s="65" t="n">
        <x:f>'Controls'!$E$17+4</x:f>
        <x:v>2031</x:v>
      </x:c>
      <x:c r="J7" s="1"/>
      <x:c r="K7" s="1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X7" t="n">
        <x:f>'Controls'!$E$17+4</x:f>
        <x:v>2031</x:v>
      </x:c>
      <x:c r="Y7" t="n">
        <x:f>I48</x:f>
        <x:v>825.9687677296018</x:v>
      </x:c>
      <x:c r="Z7" t="n">
        <x:f>I59</x:f>
        <x:v>70.1143263345171</x:v>
      </x:c>
    </x:row>
    <x:row r="8" ht="18" customHeight="1">
      <x:c r="A8" s="1"/>
      <x:c r="B8" s="1"/>
      <x:c r="C8" s="1"/>
      <x:c r="D8" s="2"/>
      <x:c r="E8" s="2"/>
      <x:c r="F8" s="2"/>
      <x:c r="G8" s="2"/>
      <x:c r="H8" s="2"/>
      <x:c r="I8" s="2"/>
      <x:c r="J8" s="1"/>
      <x:c r="K8" s="1"/>
      <x:c r="M8" s="63" t="str">
        <x:v>Equity value (INR crore)</x:v>
      </x:c>
      <x:c r="N8" s="8" t="n">
        <x:f>E95</x:f>
        <x:v>546.9478797602006</x:v>
      </x:c>
      <x:c r="O8" s="63"/>
      <x:c r="P8" s="63"/>
      <x:c r="Q8" s="63"/>
      <x:c r="R8" s="63"/>
      <x:c r="S8" s="63"/>
      <x:c r="T8" s="63"/>
      <x:c r="U8" s="63"/>
      <x:c r="V8" s="63"/>
    </x:row>
    <x:row r="9" ht="18" customHeight="1">
      <x:c r="A9" s="1"/>
      <x:c r="B9" s="1"/>
      <x:c r="C9" s="19" t="str">
        <x:v>OPERATING ASSUMPTIONS</x:v>
      </x:c>
      <x:c r="D9" s="20"/>
      <x:c r="E9" s="20"/>
      <x:c r="F9" s="20"/>
      <x:c r="G9" s="20"/>
      <x:c r="H9" s="20"/>
      <x:c r="I9" s="20"/>
      <x:c r="J9" s="1"/>
      <x:c r="K9" s="1"/>
      <x:c r="M9" s="63" t="str">
        <x:f>IF(MAX(E101,F101,G101,H101,I101,E102,F102,G102,H102,I102,E103,F103,G103,H103,I103,E104,F104,G104,H104,I104,E105,F105,G105,H105,I105,E180:I206)&gt;0.01,"ATTENTION: model checks contain exceptions",IF(MIN(E101,F101,G101,H101,I101,E102,F102,G102,H102,I102,E103,F103,G103,H103,I103,E104,F104,G104,H104,I104,E105,F105,G105,H105,I105,E180:I206)&lt;-0.01,"ATTENTION: model checks contain exceptions","Model checks clear; review company assumptions"))</x:f>
        <x:v>Model checks clear; review company assumptions</x:v>
      </x:c>
      <x:c r="N9" s="63"/>
      <x:c r="O9" s="63"/>
      <x:c r="P9" s="63"/>
      <x:c r="Q9" s="63"/>
      <x:c r="R9" s="63"/>
      <x:c r="S9" s="63"/>
      <x:c r="T9" s="63"/>
      <x:c r="U9" s="63"/>
      <x:c r="V9" s="63"/>
    </x:row>
    <x:row r="10" ht="18" customHeight="1">
      <x:c r="A10" s="1"/>
      <x:c r="B10" s="1"/>
      <x:c r="C10" s="1" t="str">
        <x:v>Average available rooms — seed</x:v>
      </x:c>
      <x:c r="D10" s="7" t="n">
        <x:v>1500</x:v>
      </x:c>
      <x:c r="E10" s="2"/>
      <x:c r="F10" s="2"/>
      <x:c r="G10" s="2"/>
      <x:c r="H10" s="2"/>
      <x:c r="I10" s="2"/>
      <x:c r="J10" s="1"/>
      <x:c r="K10" s="1" t="str">
        <x:v>Input provenance: all amber cells are constructed examples, not external observations.</x:v>
      </x:c>
      <x:c r="M10" s="63" t="str">
        <x:v>Illustrative inputs; replace with company evidence.</x:v>
      </x:c>
      <x:c r="N10" s="63"/>
      <x:c r="O10" s="63"/>
      <x:c r="P10" s="63"/>
      <x:c r="Q10" s="63"/>
      <x:c r="R10" s="63"/>
      <x:c r="S10" s="63"/>
      <x:c r="T10" s="63"/>
      <x:c r="U10" s="63"/>
      <x:c r="V10" s="63"/>
    </x:row>
    <x:row r="11" ht="18" customHeight="1">
      <x:c r="A11" s="1"/>
      <x:c r="B11" s="1"/>
      <x:c r="C11" s="1" t="str">
        <x:v>Average daily room rate (INR) — seed</x:v>
      </x:c>
      <x:c r="D11" s="7" t="n">
        <x:v>8500</x:v>
      </x:c>
      <x:c r="E11" s="2"/>
      <x:c r="F11" s="2"/>
      <x:c r="G11" s="2"/>
      <x:c r="H11" s="2"/>
      <x:c r="I11" s="2"/>
      <x:c r="J11" s="1"/>
      <x:c r="K11" s="1" t="str">
        <x:v>Owned-hotel model. Excludes management fees and separately capitalized leases.</x:v>
      </x:c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</x:row>
    <x:row r="12" ht="18" customHeight="1">
      <x:c r="A12" s="1"/>
      <x:c r="B12" s="1"/>
      <x:c r="C12" s="28" t="str">
        <x:v>Operating scale growth — active</x:v>
      </x:c>
      <x:c r="D12" s="29"/>
      <x:c r="E12" s="30" t="n">
        <x:f>IF(COUNT(INDEX(E13:E15,'Controls'!$E$5))=0,NA(),INDEX(E13:E15,'Controls'!$E$5))</x:f>
        <x:v>0.065</x:v>
      </x:c>
      <x:c r="F12" s="30" t="n">
        <x:f>IF(COUNT(INDEX(F13:F15,'Controls'!$E$5))=0,NA(),INDEX(F13:F15,'Controls'!$E$5))</x:f>
        <x:v>0.065</x:v>
      </x:c>
      <x:c r="G12" s="30" t="n">
        <x:f>IF(COUNT(INDEX(G13:G15,'Controls'!$E$5))=0,NA(),INDEX(G13:G15,'Controls'!$E$5))</x:f>
        <x:v>0.065</x:v>
      </x:c>
      <x:c r="H12" s="30" t="n">
        <x:f>IF(COUNT(INDEX(H13:H15,'Controls'!$E$5))=0,NA(),INDEX(H13:H15,'Controls'!$E$5))</x:f>
        <x:v>0.065</x:v>
      </x:c>
      <x:c r="I12" s="30" t="n">
        <x:f>IF(COUNT(INDEX(I13:I15,'Controls'!$E$5))=0,NA(),INDEX(I13:I15,'Controls'!$E$5))</x:f>
        <x:v>0.065</x:v>
      </x:c>
      <x:c r="J12" s="1"/>
      <x:c r="K12" s="1" t="str">
        <x:v>Five-year nominal INR model. Positive costs are subtracted. Discounting is end-of-year.</x:v>
      </x:c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</x:row>
    <x:row r="13" ht="18" customHeight="1">
      <x:c r="A13" s="1"/>
      <x:c r="B13" s="1"/>
      <x:c r="C13" s="23" t="str">
        <x:v>Base</x:v>
      </x:c>
      <x:c r="D13" s="24"/>
      <x:c r="E13" s="26" t="n">
        <x:v>0.065</x:v>
      </x:c>
      <x:c r="F13" s="26" t="n">
        <x:v>0.065</x:v>
      </x:c>
      <x:c r="G13" s="26" t="n">
        <x:v>0.065</x:v>
      </x:c>
      <x:c r="H13" s="26" t="n">
        <x:v>0.065</x:v>
      </x:c>
      <x:c r="I13" s="26" t="n">
        <x:v>0.065</x:v>
      </x:c>
      <x:c r="J13" s="1"/>
      <x:c r="K13" s="1" t="str">
        <x:v>Cash earns no interest; borrowing is explicit. Negative cash is an unfunded shortfall.</x:v>
      </x:c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</x:row>
    <x:row r="14" ht="18" customHeight="1">
      <x:c r="A14" s="1"/>
      <x:c r="B14" s="1"/>
      <x:c r="C14" s="23" t="str">
        <x:v>Downside</x:v>
      </x:c>
      <x:c r="D14" s="24"/>
      <x:c r="E14" s="26" t="n">
        <x:v>0.015</x:v>
      </x:c>
      <x:c r="F14" s="26" t="n">
        <x:v>0.015</x:v>
      </x:c>
      <x:c r="G14" s="26" t="n">
        <x:v>0.015</x:v>
      </x:c>
      <x:c r="H14" s="26" t="n">
        <x:v>0.015</x:v>
      </x:c>
      <x:c r="I14" s="26" t="n">
        <x:v>0.015</x:v>
      </x:c>
      <x:c r="J14" s="1"/>
      <x:c r="K14" s="1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</x:row>
    <x:row r="15" ht="18" customHeight="1">
      <x:c r="A15" s="1"/>
      <x:c r="B15" s="1"/>
      <x:c r="C15" s="23" t="str">
        <x:v>Upside</x:v>
      </x:c>
      <x:c r="D15" s="24"/>
      <x:c r="E15" s="26" t="n">
        <x:v>0.10500000000000001</x:v>
      </x:c>
      <x:c r="F15" s="26" t="n">
        <x:v>0.10500000000000001</x:v>
      </x:c>
      <x:c r="G15" s="26" t="n">
        <x:v>0.10500000000000001</x:v>
      </x:c>
      <x:c r="H15" s="26" t="n">
        <x:v>0.10500000000000001</x:v>
      </x:c>
      <x:c r="I15" s="26" t="n">
        <x:v>0.10500000000000001</x:v>
      </x:c>
      <x:c r="J15" s="1"/>
      <x:c r="K15" s="1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</x:row>
    <x:row r="16" ht="18" customHeight="1">
      <x:c r="A16" s="1"/>
      <x:c r="B16" s="1"/>
      <x:c r="C16" s="28" t="str">
        <x:v>Realization growth — active</x:v>
      </x:c>
      <x:c r="D16" s="29"/>
      <x:c r="E16" s="30" t="n">
        <x:f>IF(COUNT(INDEX(E17:E19,'Controls'!$E$5))=0,NA(),INDEX(E17:E19,'Controls'!$E$5))</x:f>
        <x:v>0.05</x:v>
      </x:c>
      <x:c r="F16" s="30" t="n">
        <x:f>IF(COUNT(INDEX(F17:F19,'Controls'!$E$5))=0,NA(),INDEX(F17:F19,'Controls'!$E$5))</x:f>
        <x:v>0.05</x:v>
      </x:c>
      <x:c r="G16" s="30" t="n">
        <x:f>IF(COUNT(INDEX(G17:G19,'Controls'!$E$5))=0,NA(),INDEX(G17:G19,'Controls'!$E$5))</x:f>
        <x:v>0.05</x:v>
      </x:c>
      <x:c r="H16" s="30" t="n">
        <x:f>IF(COUNT(INDEX(H17:H19,'Controls'!$E$5))=0,NA(),INDEX(H17:H19,'Controls'!$E$5))</x:f>
        <x:v>0.05</x:v>
      </x:c>
      <x:c r="I16" s="30" t="n">
        <x:f>IF(COUNT(INDEX(I17:I19,'Controls'!$E$5))=0,NA(),INDEX(I17:I19,'Controls'!$E$5))</x:f>
        <x:v>0.05</x:v>
      </x:c>
      <x:c r="J16" s="1"/>
      <x:c r="K16" s="1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</x:row>
    <x:row r="17" ht="18" customHeight="1">
      <x:c r="A17" s="1"/>
      <x:c r="B17" s="1"/>
      <x:c r="C17" s="23" t="str">
        <x:v>Base</x:v>
      </x:c>
      <x:c r="D17" s="24"/>
      <x:c r="E17" s="26" t="n">
        <x:v>0.05</x:v>
      </x:c>
      <x:c r="F17" s="26" t="n">
        <x:v>0.05</x:v>
      </x:c>
      <x:c r="G17" s="26" t="n">
        <x:v>0.05</x:v>
      </x:c>
      <x:c r="H17" s="26" t="n">
        <x:v>0.05</x:v>
      </x:c>
      <x:c r="I17" s="26" t="n">
        <x:v>0.05</x:v>
      </x:c>
      <x:c r="J17" s="1"/>
      <x:c r="K17" s="1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</x:row>
    <x:row r="18" ht="18" customHeight="1">
      <x:c r="A18" s="1"/>
      <x:c r="B18" s="1"/>
      <x:c r="C18" s="23" t="str">
        <x:v>Downside</x:v>
      </x:c>
      <x:c r="D18" s="24"/>
      <x:c r="E18" s="26" t="n">
        <x:v>0.025</x:v>
      </x:c>
      <x:c r="F18" s="26" t="n">
        <x:v>0.025</x:v>
      </x:c>
      <x:c r="G18" s="26" t="n">
        <x:v>0.025</x:v>
      </x:c>
      <x:c r="H18" s="26" t="n">
        <x:v>0.025</x:v>
      </x:c>
      <x:c r="I18" s="26" t="n">
        <x:v>0.025</x:v>
      </x:c>
      <x:c r="J18" s="1"/>
      <x:c r="K18" s="1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</x:row>
    <x:row r="19" ht="18" customHeight="1">
      <x:c r="A19" s="1"/>
      <x:c r="B19" s="1"/>
      <x:c r="C19" s="23" t="str">
        <x:v>Upside</x:v>
      </x:c>
      <x:c r="D19" s="24"/>
      <x:c r="E19" s="26" t="n">
        <x:v>0.07</x:v>
      </x:c>
      <x:c r="F19" s="26" t="n">
        <x:v>0.07</x:v>
      </x:c>
      <x:c r="G19" s="26" t="n">
        <x:v>0.07</x:v>
      </x:c>
      <x:c r="H19" s="26" t="n">
        <x:v>0.07</x:v>
      </x:c>
      <x:c r="I19" s="26" t="n">
        <x:v>0.07</x:v>
      </x:c>
      <x:c r="J19" s="1"/>
      <x:c r="K19" s="1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</x:row>
    <x:row r="20" ht="18" customHeight="1">
      <x:c r="A20" s="1"/>
      <x:c r="B20" s="1"/>
      <x:c r="C20" s="23" t="str">
        <x:v>Occupancy</x:v>
      </x:c>
      <x:c r="D20" s="24"/>
      <x:c r="E20" s="26" t="n">
        <x:f>E400</x:f>
        <x:v>0.7</x:v>
      </x:c>
      <x:c r="F20" s="26" t="n">
        <x:f>F400</x:f>
        <x:v>0.7</x:v>
      </x:c>
      <x:c r="G20" s="26" t="n">
        <x:f>G400</x:f>
        <x:v>0.7</x:v>
      </x:c>
      <x:c r="H20" s="26" t="n">
        <x:f>H400</x:f>
        <x:v>0.7</x:v>
      </x:c>
      <x:c r="I20" s="26" t="n">
        <x:f>I400</x:f>
        <x:v>0.7</x:v>
      </x:c>
      <x:c r="J20" s="1"/>
      <x:c r="K20" s="1" t="str">
        <x:v>Use 100% when volume already represents actual sales.</x:v>
      </x:c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</x:row>
    <x:row r="21" ht="18" customHeight="1">
      <x:c r="A21" s="1"/>
      <x:c r="B21" s="1"/>
      <x:c r="C21" s="23" t="str">
        <x:v>Rooms and food variable cost / revenue</x:v>
      </x:c>
      <x:c r="D21" s="24"/>
      <x:c r="E21" s="26" t="n">
        <x:f>E405</x:f>
        <x:v>0.32</x:v>
      </x:c>
      <x:c r="F21" s="26" t="n">
        <x:f>F405</x:f>
        <x:v>0.32</x:v>
      </x:c>
      <x:c r="G21" s="26" t="n">
        <x:f>G405</x:f>
        <x:v>0.32</x:v>
      </x:c>
      <x:c r="H21" s="26" t="n">
        <x:f>H405</x:f>
        <x:v>0.32</x:v>
      </x:c>
      <x:c r="I21" s="26" t="n">
        <x:f>I405</x:f>
        <x:v>0.32</x:v>
      </x:c>
      <x:c r="J21" s="1"/>
      <x:c r="K21" s="1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</x:row>
    <x:row r="22" ht="18" customHeight="1">
      <x:c r="A22" s="1"/>
      <x:c r="B22" s="1"/>
      <x:c r="C22" s="23" t="str">
        <x:v>Other cash operating costs / revenue</x:v>
      </x:c>
      <x:c r="D22" s="24"/>
      <x:c r="E22" s="26" t="n">
        <x:f>E410</x:f>
        <x:v>0.36</x:v>
      </x:c>
      <x:c r="F22" s="26" t="n">
        <x:f>F410</x:f>
        <x:v>0.36</x:v>
      </x:c>
      <x:c r="G22" s="26" t="n">
        <x:f>G410</x:f>
        <x:v>0.36</x:v>
      </x:c>
      <x:c r="H22" s="26" t="n">
        <x:f>H410</x:f>
        <x:v>0.36</x:v>
      </x:c>
      <x:c r="I22" s="26" t="n">
        <x:f>I410</x:f>
        <x:v>0.36</x:v>
      </x:c>
      <x:c r="J22" s="1"/>
      <x:c r="K22" s="1" t="str">
        <x:v>Includes fixed and selling costs, modeled as revenue share.</x:v>
      </x:c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</x:row>
    <x:row r="23" ht="18" customHeight="1">
      <x:c r="A23" s="1"/>
      <x:c r="B23" s="1"/>
      <x:c r="C23" s="23" t="str">
        <x:v>Food, beverage and other / room revenue</x:v>
      </x:c>
      <x:c r="D23" s="24"/>
      <x:c r="E23" s="26" t="n">
        <x:f>E415</x:f>
        <x:v>0.45</x:v>
      </x:c>
      <x:c r="F23" s="26" t="n">
        <x:f>F415</x:f>
        <x:v>0.45</x:v>
      </x:c>
      <x:c r="G23" s="26" t="n">
        <x:f>G415</x:f>
        <x:v>0.45</x:v>
      </x:c>
      <x:c r="H23" s="26" t="n">
        <x:f>H415</x:f>
        <x:v>0.45</x:v>
      </x:c>
      <x:c r="I23" s="26" t="n">
        <x:f>I415</x:f>
        <x:v>0.45</x:v>
      </x:c>
      <x:c r="J23" s="1"/>
      <x:c r="K23" s="1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</x:row>
    <x:row r="24" ht="18" customHeight="1">
      <x:c r="A24" s="1"/>
      <x:c r="B24" s="1"/>
      <x:c r="C24" s="23" t="str">
        <x:v>Cash capex / revenue</x:v>
      </x:c>
      <x:c r="D24" s="24"/>
      <x:c r="E24" s="26" t="n">
        <x:f>E420</x:f>
        <x:v>0.09</x:v>
      </x:c>
      <x:c r="F24" s="26" t="n">
        <x:f>F420</x:f>
        <x:v>0.09</x:v>
      </x:c>
      <x:c r="G24" s="26" t="n">
        <x:f>G420</x:f>
        <x:v>0.09</x:v>
      </x:c>
      <x:c r="H24" s="26" t="n">
        <x:f>H420</x:f>
        <x:v>0.09</x:v>
      </x:c>
      <x:c r="I24" s="26" t="n">
        <x:f>I420</x:f>
        <x:v>0.09</x:v>
      </x:c>
      <x:c r="J24" s="1"/>
      <x:c r="K24" s="1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</x:row>
    <x:row r="25" ht="18" customHeight="1">
      <x:c r="A25" s="1"/>
      <x:c r="B25" s="1"/>
      <x:c r="C25" s="23" t="str">
        <x:v>D&amp;A / opening net PP&amp;E</x:v>
      </x:c>
      <x:c r="D25" s="24"/>
      <x:c r="E25" s="26" t="n">
        <x:f>E425</x:f>
        <x:v>0.065</x:v>
      </x:c>
      <x:c r="F25" s="26" t="n">
        <x:f>F425</x:f>
        <x:v>0.065</x:v>
      </x:c>
      <x:c r="G25" s="26" t="n">
        <x:f>G425</x:f>
        <x:v>0.065</x:v>
      </x:c>
      <x:c r="H25" s="26" t="n">
        <x:f>H425</x:f>
        <x:v>0.065</x:v>
      </x:c>
      <x:c r="I25" s="26" t="n">
        <x:f>I425</x:f>
        <x:v>0.065</x:v>
      </x:c>
      <x:c r="J25" s="1"/>
      <x:c r="K25" s="1" t="str">
        <x:v>No disposals or impairments. Current-year capex begins depreciation next year.</x:v>
      </x:c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</x:row>
    <x:row r="26" ht="18" customHeight="1">
      <x:c r="A26" s="1"/>
      <x:c r="B26" s="1"/>
      <x:c r="C26" s="1" t="str">
        <x:v>Receivable days</x:v>
      </x:c>
      <x:c r="D26" s="2"/>
      <x:c r="E26" s="7" t="n">
        <x:f>E430</x:f>
        <x:v>15</x:v>
      </x:c>
      <x:c r="F26" s="7" t="n">
        <x:f>F430</x:f>
        <x:v>15</x:v>
      </x:c>
      <x:c r="G26" s="7" t="n">
        <x:f>G430</x:f>
        <x:v>15</x:v>
      </x:c>
      <x:c r="H26" s="7" t="n">
        <x:f>H430</x:f>
        <x:v>15</x:v>
      </x:c>
      <x:c r="I26" s="7" t="n">
        <x:f>I430</x:f>
        <x:v>15</x:v>
      </x:c>
      <x:c r="J26" s="1"/>
      <x:c r="K26" s="1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</x:row>
    <x:row r="27" ht="18" customHeight="1">
      <x:c r="A27" s="1"/>
      <x:c r="B27" s="1"/>
      <x:c r="C27" s="1" t="str">
        <x:v>Inventory days</x:v>
      </x:c>
      <x:c r="D27" s="2"/>
      <x:c r="E27" s="7" t="n">
        <x:f>E435</x:f>
        <x:v>12</x:v>
      </x:c>
      <x:c r="F27" s="7" t="n">
        <x:f>F435</x:f>
        <x:v>12</x:v>
      </x:c>
      <x:c r="G27" s="7" t="n">
        <x:f>G435</x:f>
        <x:v>12</x:v>
      </x:c>
      <x:c r="H27" s="7" t="n">
        <x:f>H435</x:f>
        <x:v>12</x:v>
      </x:c>
      <x:c r="I27" s="7" t="n">
        <x:f>I435</x:f>
        <x:v>12</x:v>
      </x:c>
      <x:c r="J27" s="1"/>
      <x:c r="K27" s="1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</x:row>
    <x:row r="28" ht="18" customHeight="1">
      <x:c r="A28" s="1"/>
      <x:c r="B28" s="1"/>
      <x:c r="C28" s="1" t="str">
        <x:v>Payable days</x:v>
      </x:c>
      <x:c r="D28" s="2"/>
      <x:c r="E28" s="7" t="n">
        <x:f>E440</x:f>
        <x:v>35</x:v>
      </x:c>
      <x:c r="F28" s="7" t="n">
        <x:f>F440</x:f>
        <x:v>35</x:v>
      </x:c>
      <x:c r="G28" s="7" t="n">
        <x:f>G440</x:f>
        <x:v>35</x:v>
      </x:c>
      <x:c r="H28" s="7" t="n">
        <x:f>H440</x:f>
        <x:v>35</x:v>
      </x:c>
      <x:c r="I28" s="7" t="n">
        <x:f>I440</x:f>
        <x:v>35</x:v>
      </x:c>
      <x:c r="J28" s="1"/>
      <x:c r="K28" s="1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</x:row>
    <x:row r="29" ht="18" customHeight="1">
      <x:c r="A29" s="1"/>
      <x:c r="B29" s="1"/>
      <x:c r="C29" s="23" t="str">
        <x:v>Effective cash tax rate</x:v>
      </x:c>
      <x:c r="D29" s="24"/>
      <x:c r="E29" s="26" t="n">
        <x:f>E445</x:f>
        <x:v>0.25</x:v>
      </x:c>
      <x:c r="F29" s="26" t="n">
        <x:f>F445</x:f>
        <x:v>0.25</x:v>
      </x:c>
      <x:c r="G29" s="26" t="n">
        <x:f>G445</x:f>
        <x:v>0.25</x:v>
      </x:c>
      <x:c r="H29" s="26" t="n">
        <x:f>H445</x:f>
        <x:v>0.25</x:v>
      </x:c>
      <x:c r="I29" s="26" t="n">
        <x:f>I445</x:f>
        <x:v>0.25</x:v>
      </x:c>
      <x:c r="J29" s="1"/>
      <x:c r="K29" s="1" t="str">
        <x:v>Illustrative assumption, not a statutory rate. No loss carryforwards or deferred tax.</x:v>
      </x:c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</x:row>
    <x:row r="30" ht="18" customHeight="1">
      <x:c r="A30" s="1"/>
      <x:c r="B30" s="1"/>
      <x:c r="C30" s="23" t="str">
        <x:v>Interest on opening debt</x:v>
      </x:c>
      <x:c r="D30" s="24"/>
      <x:c r="E30" s="26" t="n">
        <x:f>E450</x:f>
        <x:v>0.085</x:v>
      </x:c>
      <x:c r="F30" s="26" t="n">
        <x:f>F450</x:f>
        <x:v>0.085</x:v>
      </x:c>
      <x:c r="G30" s="26" t="n">
        <x:f>G450</x:f>
        <x:v>0.085</x:v>
      </x:c>
      <x:c r="H30" s="26" t="n">
        <x:f>H450</x:f>
        <x:v>0.085</x:v>
      </x:c>
      <x:c r="I30" s="26" t="n">
        <x:f>I450</x:f>
        <x:v>0.085</x:v>
      </x:c>
      <x:c r="J30" s="1"/>
      <x:c r="K30" s="1"/>
      <x:c r="M30" s="82" t="str">
        <x:v>Historical actuals and forecast | INR crore</x:v>
      </x:c>
      <x:c r="N30" s="82"/>
      <x:c r="O30" s="82"/>
      <x:c r="P30" s="82"/>
      <x:c r="Q30" s="82"/>
      <x:c r="R30" s="82"/>
      <x:c r="S30" s="82"/>
      <x:c r="T30" s="82"/>
      <x:c r="U30" s="82"/>
      <x:c r="V30" s="63"/>
    </x:row>
    <x:row r="31" ht="18" customHeight="1">
      <x:c r="A31" s="1"/>
      <x:c r="B31" s="1"/>
      <x:c r="C31" s="1" t="str">
        <x:v>New borrowing</x:v>
      </x:c>
      <x:c r="D31" s="2"/>
      <x:c r="E31" s="7" t="n">
        <x:f>E455</x:f>
        <x:v>0</x:v>
      </x:c>
      <x:c r="F31" s="7" t="n">
        <x:f>F455</x:f>
        <x:v>0</x:v>
      </x:c>
      <x:c r="G31" s="7" t="n">
        <x:f>G455</x:f>
        <x:v>0</x:v>
      </x:c>
      <x:c r="H31" s="7" t="n">
        <x:f>H455</x:f>
        <x:v>0</x:v>
      </x:c>
      <x:c r="I31" s="7" t="n">
        <x:f>I455</x:f>
        <x:v>0</x:v>
      </x:c>
      <x:c r="J31" s="1"/>
      <x:c r="K31" s="1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</x:row>
    <x:row r="32" ht="18" customHeight="1">
      <x:c r="A32" s="1"/>
      <x:c r="B32" s="1"/>
      <x:c r="C32" s="1" t="str">
        <x:v>Scheduled principal repayment</x:v>
      </x:c>
      <x:c r="D32" s="2"/>
      <x:c r="E32" s="7" t="n">
        <x:f>E460</x:f>
        <x:v>65</x:v>
      </x:c>
      <x:c r="F32" s="7" t="n">
        <x:f>F460</x:f>
        <x:v>65</x:v>
      </x:c>
      <x:c r="G32" s="7" t="n">
        <x:f>G460</x:f>
        <x:v>65</x:v>
      </x:c>
      <x:c r="H32" s="7" t="n">
        <x:f>H460</x:f>
        <x:v>65</x:v>
      </x:c>
      <x:c r="I32" s="7" t="n">
        <x:f>I460</x:f>
        <x:v>65</x:v>
      </x:c>
      <x:c r="J32" s="1"/>
      <x:c r="K32" s="1"/>
      <x:c r="M32" s="63" t="str">
        <x:v>Metric</x:v>
      </x:c>
      <x:c r="N32" s="88" t="n">
        <x:f>'Controls'!$E$17+-3</x:f>
        <x:v>2024</x:v>
      </x:c>
      <x:c r="O32" s="88" t="n">
        <x:f>'Controls'!$E$17+-2</x:f>
        <x:v>2025</x:v>
      </x:c>
      <x:c r="P32" s="88" t="n">
        <x:f>'Controls'!$E$17+-1</x:f>
        <x:v>2026</x:v>
      </x:c>
      <x:c r="Q32" s="89" t="n">
        <x:f>'Controls'!$E$17+0</x:f>
        <x:v>2027</x:v>
      </x:c>
      <x:c r="R32" s="89" t="n">
        <x:f>'Controls'!$E$17+1</x:f>
        <x:v>2028</x:v>
      </x:c>
      <x:c r="S32" s="89" t="n">
        <x:f>'Controls'!$E$17+2</x:f>
        <x:v>2029</x:v>
      </x:c>
      <x:c r="T32" s="89" t="n">
        <x:f>'Controls'!$E$17+3</x:f>
        <x:v>2030</x:v>
      </x:c>
      <x:c r="U32" s="89" t="n">
        <x:f>'Controls'!$E$17+4</x:f>
        <x:v>2031</x:v>
      </x:c>
      <x:c r="V32" s="63" t="str">
        <x:v>Source / reporting date</x:v>
      </x:c>
    </x:row>
    <x:row r="33" ht="18" customHeight="1">
      <x:c r="A33" s="1"/>
      <x:c r="B33" s="1"/>
      <x:c r="C33" s="23" t="str">
        <x:v>Dividend payout on positive PAT</x:v>
      </x:c>
      <x:c r="D33" s="24"/>
      <x:c r="E33" s="26" t="n">
        <x:f>E465</x:f>
        <x:v>0.25</x:v>
      </x:c>
      <x:c r="F33" s="26" t="n">
        <x:f>F465</x:f>
        <x:v>0.25</x:v>
      </x:c>
      <x:c r="G33" s="26" t="n">
        <x:f>G465</x:f>
        <x:v>0.25</x:v>
      </x:c>
      <x:c r="H33" s="26" t="n">
        <x:f>H465</x:f>
        <x:v>0.25</x:v>
      </x:c>
      <x:c r="I33" s="26" t="n">
        <x:f>I465</x:f>
        <x:v>0.25</x:v>
      </x:c>
      <x:c r="J33" s="1"/>
      <x:c r="K33" s="1"/>
      <x:c r="M33" s="63" t="str">
        <x:v>Income</x:v>
      </x:c>
      <x:c r="N33" s="74"/>
      <x:c r="O33" s="74"/>
      <x:c r="P33" s="74"/>
      <x:c r="Q33" s="8" t="n">
        <x:f>E48</x:f>
        <x:v>528.21167765625</x:v>
      </x:c>
      <x:c r="R33" s="8" t="n">
        <x:f>F48</x:f>
        <x:v>590.6727085391014</x:v>
      </x:c>
      <x:c r="S33" s="8" t="n">
        <x:f>G48</x:f>
        <x:v>660.5197563238501</x:v>
      </x:c>
      <x:c r="T33" s="8" t="n">
        <x:f>H48</x:f>
        <x:v>738.6262175091454</x:v>
      </x:c>
      <x:c r="U33" s="8" t="n">
        <x:f>I48</x:f>
        <x:v>825.9687677296018</x:v>
      </x:c>
      <x:c r="V33" s="63"/>
    </x:row>
    <x:row r="34" ht="18" customHeight="1">
      <x:c r="A34" s="1"/>
      <x:c r="B34" s="1"/>
      <x:c r="C34" s="19" t="str">
        <x:v>OPENING BALANCE SHEET AND VALUATION INPUTS</x:v>
      </x:c>
      <x:c r="D34" s="20"/>
      <x:c r="E34" s="20"/>
      <x:c r="F34" s="20"/>
      <x:c r="G34" s="20"/>
      <x:c r="H34" s="20"/>
      <x:c r="I34" s="20"/>
      <x:c r="J34" s="1"/>
      <x:c r="K34" s="1"/>
      <x:c r="M34" s="63" t="str">
        <x:v>Profit after tax</x:v>
      </x:c>
      <x:c r="N34" s="74"/>
      <x:c r="O34" s="74"/>
      <x:c r="P34" s="74"/>
      <x:c r="Q34" s="8" t="n">
        <x:f>E59</x:f>
        <x:v>-48.72226314999998</x:v>
      </x:c>
      <x:c r="R34" s="8" t="n">
        <x:f>F59</x:f>
        <x:v>-15.737271581776618</x:v>
      </x:c>
      <x:c r="S34" s="8" t="n">
        <x:f>G59</x:f>
        <x:v>18.760138354817926</x:v>
      </x:c>
      <x:c r="T34" s="8" t="n">
        <x:f>H59</x:f>
        <x:v>52.721024567807845</x:v>
      </x:c>
      <x:c r="U34" s="8" t="n">
        <x:f>I59</x:f>
        <x:v>70.1143263345171</x:v>
      </x:c>
      <x:c r="V34" s="63"/>
    </x:row>
    <x:row r="35" ht="18" customHeight="1">
      <x:c r="A35" s="1"/>
      <x:c r="B35" s="1"/>
      <x:c r="C35" s="1" t="str">
        <x:v>Opening net PP&amp;E</x:v>
      </x:c>
      <x:c r="D35" s="7" t="n">
        <x:v>2500</x:v>
      </x:c>
      <x:c r="E35" s="2"/>
      <x:c r="F35" s="2"/>
      <x:c r="G35" s="2"/>
      <x:c r="H35" s="2"/>
      <x:c r="I35" s="2"/>
      <x:c r="J35" s="1"/>
      <x:c r="K35" s="1"/>
      <x:c r="M35" s="63" t="str">
        <x:v>EBITDA</x:v>
      </x:c>
      <x:c r="N35" s="74"/>
      <x:c r="O35" s="74"/>
      <x:c r="P35" s="74"/>
      <x:c r="Q35" s="8" t="n">
        <x:f>E53</x:f>
        <x:v>169.02773685000003</x:v>
      </x:c>
      <x:c r="R35" s="8" t="n">
        <x:f>F53</x:f>
        <x:v>189.01526673251246</x:v>
      </x:c>
      <x:c r="S35" s="8" t="n">
        <x:f>G53</x:f>
        <x:v>211.366322023632</x:v>
      </x:c>
      <x:c r="T35" s="8" t="n">
        <x:f>H53</x:f>
        <x:v>236.36038960292655</x:v>
      </x:c>
      <x:c r="U35" s="8" t="n">
        <x:f>I53</x:f>
        <x:v>264.31000567347263</x:v>
      </x:c>
      <x:c r="V35" s="63"/>
    </x:row>
    <x:row r="36" ht="18" customHeight="1">
      <x:c r="A36" s="1"/>
      <x:c r="B36" s="1"/>
      <x:c r="C36" s="1" t="str">
        <x:v>Opening debt</x:v>
      </x:c>
      <x:c r="D36" s="7" t="n">
        <x:v>650</x:v>
      </x:c>
      <x:c r="E36" s="2"/>
      <x:c r="F36" s="2"/>
      <x:c r="G36" s="2"/>
      <x:c r="H36" s="2"/>
      <x:c r="I36" s="2"/>
      <x:c r="J36" s="1"/>
      <x:c r="K36" s="1"/>
      <x:c r="M36" s="63" t="str">
        <x:v>Closing debt</x:v>
      </x:c>
      <x:c r="N36" s="74"/>
      <x:c r="O36" s="74"/>
      <x:c r="P36" s="74"/>
      <x:c r="Q36" s="8" t="n">
        <x:f>E68</x:f>
        <x:v>585</x:v>
      </x:c>
      <x:c r="R36" s="8" t="n">
        <x:f>F68</x:f>
        <x:v>520</x:v>
      </x:c>
      <x:c r="S36" s="8" t="n">
        <x:f>G68</x:f>
        <x:v>455</x:v>
      </x:c>
      <x:c r="T36" s="8" t="n">
        <x:f>H68</x:f>
        <x:v>390</x:v>
      </x:c>
      <x:c r="U36" s="8" t="n">
        <x:f>I68</x:f>
        <x:v>325</x:v>
      </x:c>
      <x:c r="V36" s="63"/>
    </x:row>
    <x:row r="37" ht="18" customHeight="1">
      <x:c r="A37" s="1"/>
      <x:c r="B37" s="1"/>
      <x:c r="C37" s="1" t="str">
        <x:v>Opening cash</x:v>
      </x:c>
      <x:c r="D37" s="7" t="n">
        <x:v>200</x:v>
      </x:c>
      <x:c r="E37" s="2"/>
      <x:c r="F37" s="2"/>
      <x:c r="G37" s="2"/>
      <x:c r="H37" s="2"/>
      <x:c r="I37" s="2"/>
      <x:c r="J37" s="1"/>
      <x:c r="K37" s="1"/>
      <x:c r="M37" s="63" t="str">
        <x:v>Closing cash / (funding gap)</x:v>
      </x:c>
      <x:c r="N37" s="74"/>
      <x:c r="O37" s="74"/>
      <x:c r="P37" s="74"/>
      <x:c r="Q37" s="8" t="n">
        <x:f>E73</x:f>
        <x:v>200.06953451218752</x:v>
      </x:c>
      <x:c r="R37" s="8" t="n">
        <x:f>F73</x:f>
        <x:v>219.89185398044117</x:v>
      </x:c>
      <x:c r="S37" s="8" t="n">
        <x:f>G73</x:f>
        <x:v>256.4593593871113</x:v>
      </x:c>
      <x:c r="T37" s="8" t="n">
        <x:f>H73</x:f>
        <x:v>305.512704614704</x:v>
      </x:c>
      <x:c r="U37" s="8" t="n">
        <x:f>I73</x:f>
        <x:v>354.60728630920136</x:v>
      </x:c>
      <x:c r="V37" s="63"/>
    </x:row>
    <x:row r="38" ht="18" customHeight="1">
      <x:c r="A38" s="1"/>
      <x:c r="B38" s="1"/>
      <x:c r="C38" s="1" t="str">
        <x:v>Opening net working capital</x:v>
      </x:c>
      <x:c r="D38" s="7" t="n">
        <x:v>9.887115</x:v>
      </x:c>
      <x:c r="E38" s="2"/>
      <x:c r="F38" s="2"/>
      <x:c r="G38" s="2"/>
      <x:c r="H38" s="2"/>
      <x:c r="I38" s="2"/>
      <x:c r="J38" s="1"/>
      <x:c r="K38" s="1" t="str">
        <x:v>Illustrative opening net balance. Replace with receivables + inventory − payables.</x:v>
      </x:c>
      <x:c r="M38" s="63" t="str">
        <x:v>Closing book equity</x:v>
      </x:c>
      <x:c r="N38" s="74"/>
      <x:c r="O38" s="74"/>
      <x:c r="P38" s="74"/>
      <x:c r="Q38" s="8" t="n">
        <x:f>E74</x:f>
        <x:v>2011.16485185</x:v>
      </x:c>
      <x:c r="R38" s="8" t="n">
        <x:f>F74</x:f>
        <x:v>1995.4275802682234</x:v>
      </x:c>
      <x:c r="S38" s="8" t="n">
        <x:f>G74</x:f>
        <x:v>2009.4976840343368</x:v>
      </x:c>
      <x:c r="T38" s="8" t="n">
        <x:f>H74</x:f>
        <x:v>2049.0384524601927</x:v>
      </x:c>
      <x:c r="U38" s="8" t="n">
        <x:f>I74</x:f>
        <x:v>2101.6241972110806</x:v>
      </x:c>
      <x:c r="V38" s="63"/>
    </x:row>
    <x:row r="39" ht="18" customHeight="1">
      <x:c r="A39" s="1"/>
      <x:c r="B39" s="1"/>
      <x:c r="C39" s="1" t="str">
        <x:v>Diluted shares (crore)</x:v>
      </x:c>
      <x:c r="D39" s="7" t="n">
        <x:v>100</x:v>
      </x:c>
      <x:c r="E39" s="2"/>
      <x:c r="F39" s="2"/>
      <x:c r="G39" s="2"/>
      <x:c r="H39" s="2"/>
      <x:c r="I39" s="2"/>
      <x:c r="J39" s="1"/>
      <x:c r="K39" s="1"/>
      <x:c r="M39" s="63" t="str">
        <x:v>Operating cash flow after interest</x:v>
      </x:c>
      <x:c r="N39" s="74"/>
      <x:c r="O39" s="74"/>
      <x:c r="P39" s="74"/>
      <x:c r="Q39" s="8" t="n">
        <x:f>E70</x:f>
        <x:v>112.60858550125002</x:v>
      </x:c>
      <x:c r="R39" s="8" t="n">
        <x:f>F70</x:f>
        <x:v>137.98286323677277</x:v>
      </x:c>
      <x:c r="S39" s="8" t="n">
        <x:f>G70</x:f>
        <x:v>165.70431806452112</x:v>
      </x:c>
      <x:c r="T39" s="8" t="n">
        <x:f>H70</x:f>
        <x:v>193.7099609453677</x:v>
      </x:c>
      <x:c r="U39" s="8" t="n">
        <x:f>I70</x:f>
        <x:v>205.96035237379078</x:v>
      </x:c>
      <x:c r="V39" s="63"/>
    </x:row>
    <x:row r="40" ht="18" customHeight="1">
      <x:c r="A40" s="1"/>
      <x:c r="B40" s="1"/>
      <x:c r="C40" s="1" t="str">
        <x:v>WACC</x:v>
      </x:c>
      <x:c r="D40" s="25" t="n">
        <x:v>0.12</x:v>
      </x:c>
      <x:c r="E40" s="2"/>
      <x:c r="F40" s="2"/>
      <x:c r="G40" s="2"/>
      <x:c r="H40" s="2"/>
      <x:c r="I40" s="2"/>
      <x:c r="J40" s="1"/>
      <x:c r="K40" s="1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</x:row>
    <x:row r="41" ht="18" customHeight="1">
      <x:c r="A41" s="1"/>
      <x:c r="B41" s="1"/>
      <x:c r="C41" s="1" t="str">
        <x:v>Terminal growth</x:v>
      </x:c>
      <x:c r="D41" s="25" t="n">
        <x:v>0.04</x:v>
      </x:c>
      <x:c r="E41" s="2"/>
      <x:c r="F41" s="2"/>
      <x:c r="G41" s="2"/>
      <x:c r="H41" s="2"/>
      <x:c r="I41" s="2"/>
      <x:c r="J41" s="1"/>
      <x:c r="K41" s="1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</x:row>
    <x:row r="42" ht="18" customHeight="1">
      <x:c r="A42" s="1"/>
      <x:c r="B42" s="1"/>
      <x:c r="C42" s="1" t="str">
        <x:v>Terminal incremental ROIC</x:v>
      </x:c>
      <x:c r="D42" s="25" t="n">
        <x:v>0.15</x:v>
      </x:c>
      <x:c r="E42" s="2"/>
      <x:c r="F42" s="2"/>
      <x:c r="G42" s="2"/>
      <x:c r="H42" s="2"/>
      <x:c r="I42" s="2"/>
      <x:c r="J42" s="1"/>
      <x:c r="K42" s="1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</x:row>
    <x:row r="43" ht="18" customHeight="1">
      <x:c r="A43" s="1"/>
      <x:c r="B43" s="1"/>
      <x:c r="C43" s="1" t="str">
        <x:v>Forward EV / EBITDA</x:v>
      </x:c>
      <x:c r="D43" s="55" t="n">
        <x:v>17</x:v>
      </x:c>
      <x:c r="E43" s="2"/>
      <x:c r="F43" s="2"/>
      <x:c r="G43" s="2"/>
      <x:c r="H43" s="2"/>
      <x:c r="I43" s="2"/>
      <x:c r="J43" s="1"/>
      <x:c r="K43" s="1"/>
      <x:c r="M43" s="64" t="str">
        <x:v>Actuals are reference inputs. Calibrate the opening balances and forecast assumptions separately.</x:v>
      </x:c>
      <x:c r="N43" s="64"/>
      <x:c r="O43" s="64"/>
      <x:c r="P43" s="64"/>
      <x:c r="Q43" s="64"/>
      <x:c r="R43" s="64"/>
      <x:c r="S43" s="64"/>
      <x:c r="T43" s="64"/>
      <x:c r="U43" s="64"/>
      <x:c r="V43" s="63"/>
    </x:row>
    <x:row r="44" ht="18" customHeight="1">
      <x:c r="A44" s="1"/>
      <x:c r="B44" s="1"/>
      <x:c r="C44" s="19" t="str">
        <x:v>OPERATING BUILD</x:v>
      </x:c>
      <x:c r="D44" s="20"/>
      <x:c r="E44" s="20"/>
      <x:c r="F44" s="20"/>
      <x:c r="G44" s="20"/>
      <x:c r="H44" s="20"/>
      <x:c r="I44" s="20"/>
      <x:c r="J44" s="1"/>
      <x:c r="K44" s="1"/>
      <x:c r="M44" s="64"/>
      <x:c r="N44" s="64"/>
      <x:c r="O44" s="64"/>
      <x:c r="P44" s="64"/>
      <x:c r="Q44" s="64"/>
      <x:c r="R44" s="64"/>
      <x:c r="S44" s="64"/>
      <x:c r="T44" s="64"/>
      <x:c r="U44" s="64"/>
      <x:c r="V44" s="63"/>
    </x:row>
    <x:row r="45" ht="18" customHeight="1">
      <x:c r="A45" s="1"/>
      <x:c r="B45" s="1"/>
      <x:c r="C45" s="1" t="str">
        <x:v>Average available rooms</x:v>
      </x:c>
      <x:c r="D45" s="2"/>
      <x:c r="E45" s="8" t="n">
        <x:f>$D10*(1+E12)</x:f>
        <x:v>1597.5</x:v>
      </x:c>
      <x:c r="F45" s="8" t="n">
        <x:f>E45*(1+F12)</x:f>
        <x:v>1701.3374999999999</x:v>
      </x:c>
      <x:c r="G45" s="8" t="n">
        <x:f>F45*(1+G12)</x:f>
        <x:v>1811.9244374999998</x:v>
      </x:c>
      <x:c r="H45" s="8" t="n">
        <x:f>G45*(1+H12)</x:f>
        <x:v>1929.6995259374996</x:v>
      </x:c>
      <x:c r="I45" s="8" t="n">
        <x:f>H45*(1+I12)</x:f>
        <x:v>2055.129995123437</x:v>
      </x:c>
      <x:c r="J45" s="1"/>
      <x:c r="K45" s="1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</x:row>
    <x:row r="46" ht="18" customHeight="1">
      <x:c r="A46" s="1"/>
      <x:c r="B46" s="1"/>
      <x:c r="C46" s="1" t="str">
        <x:v>Average daily room rate (INR)</x:v>
      </x:c>
      <x:c r="D46" s="2"/>
      <x:c r="E46" s="8" t="n">
        <x:f>$D11*(1+E16)</x:f>
        <x:v>8925</x:v>
      </x:c>
      <x:c r="F46" s="8" t="n">
        <x:f>E46*(1+F16)</x:f>
        <x:v>9371.25</x:v>
      </x:c>
      <x:c r="G46" s="8" t="n">
        <x:f>F46*(1+G16)</x:f>
        <x:v>9839.8125</x:v>
      </x:c>
      <x:c r="H46" s="8" t="n">
        <x:f>G46*(1+H16)</x:f>
        <x:v>10331.803125</x:v>
      </x:c>
      <x:c r="I46" s="8" t="n">
        <x:f>H46*(1+I16)</x:f>
        <x:v>10848.39328125</x:v>
      </x:c>
      <x:c r="J46" s="1"/>
      <x:c r="K46" s="1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</x:row>
    <x:row r="47" ht="18" customHeight="1">
      <x:c r="A47" s="1"/>
      <x:c r="B47" s="1"/>
      <x:c r="C47" s="1" t="str">
        <x:v>Occupied room-nights</x:v>
      </x:c>
      <x:c r="D47" s="2"/>
      <x:c r="E47" s="10" t="n">
        <x:f>E45*E20*'Controls'!$E$11</x:f>
        <x:v>408161.25</x:v>
      </x:c>
      <x:c r="F47" s="10" t="n">
        <x:f>F45*F20*'Controls'!$E$11</x:f>
        <x:v>434691.7312499999</x:v>
      </x:c>
      <x:c r="G47" s="10" t="n">
        <x:f>G45*G20*'Controls'!$E$11</x:f>
        <x:v>462946.6937812499</x:v>
      </x:c>
      <x:c r="H47" s="10" t="n">
        <x:f>H45*H20*'Controls'!$E$11</x:f>
        <x:v>493038.2288770311</x:v>
      </x:c>
      <x:c r="I47" s="10" t="n">
        <x:f>I45*I20*'Controls'!$E$11</x:f>
        <x:v>525085.7137540381</x:v>
      </x:c>
      <x:c r="J47" s="1"/>
      <x:c r="K47" s="1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</x:row>
    <x:row r="48" ht="25" customHeight="1">
      <x:c r="A48" s="1"/>
      <x:c r="B48" s="1"/>
      <x:c r="C48" s="38" t="str">
        <x:v>Revenue</x:v>
      </x:c>
      <x:c r="D48" s="39"/>
      <x:c r="E48" s="60" t="n">
        <x:f>E47*E46/'Controls'!$E$9*(1+E23)</x:f>
        <x:v>528.21167765625</x:v>
      </x:c>
      <x:c r="F48" s="60" t="n">
        <x:f>F47*F46/'Controls'!$E$9*(1+F23)</x:f>
        <x:v>590.6727085391014</x:v>
      </x:c>
      <x:c r="G48" s="60" t="n">
        <x:f>G47*G46/'Controls'!$E$9*(1+G23)</x:f>
        <x:v>660.5197563238501</x:v>
      </x:c>
      <x:c r="H48" s="60" t="n">
        <x:f>H47*H46/'Controls'!$E$9*(1+H23)</x:f>
        <x:v>738.6262175091454</x:v>
      </x:c>
      <x:c r="I48" s="60" t="n">
        <x:f>I47*I46/'Controls'!$E$9*(1+I23)</x:f>
        <x:v>825.9687677296018</x:v>
      </x:c>
      <x:c r="J48" s="1"/>
      <x:c r="K48" s="1"/>
      <x:c r="M48" s="82" t="str">
        <x:v>DCF equity value | rows WACC / columns terminal growth</x:v>
      </x:c>
      <x:c r="N48" s="82"/>
      <x:c r="O48" s="82"/>
      <x:c r="P48" s="82"/>
      <x:c r="Q48" s="82"/>
      <x:c r="R48" s="82"/>
      <x:c r="S48" s="63"/>
      <x:c r="T48" s="63"/>
      <x:c r="U48" s="63"/>
      <x:c r="V48" s="63"/>
    </x:row>
    <x:row r="49" ht="18" customHeight="1">
      <x:c r="A49" s="1"/>
      <x:c r="B49" s="1"/>
      <x:c r="C49" s="19" t="str">
        <x:v>INCOME STATEMENT</x:v>
      </x:c>
      <x:c r="D49" s="20"/>
      <x:c r="E49" s="20"/>
      <x:c r="F49" s="20"/>
      <x:c r="G49" s="20"/>
      <x:c r="H49" s="20"/>
      <x:c r="I49" s="20"/>
      <x:c r="J49" s="1"/>
      <x:c r="K49" s="1"/>
      <x:c r="M49" s="63"/>
      <x:c r="N49" s="70" t="n">
        <x:f>$D$41+-0.01</x:f>
        <x:v>0.03</x:v>
      </x:c>
      <x:c r="O49" s="70" t="n">
        <x:f>$D$41+-0.005</x:f>
        <x:v>0.035</x:v>
      </x:c>
      <x:c r="P49" s="70" t="n">
        <x:f>$D$41+0</x:f>
        <x:v>0.04</x:v>
      </x:c>
      <x:c r="Q49" s="70" t="n">
        <x:f>$D$41+0.005</x:f>
        <x:v>0.045</x:v>
      </x:c>
      <x:c r="R49" s="70" t="n">
        <x:f>$D$41+0.01</x:f>
        <x:v>0.05</x:v>
      </x:c>
      <x:c r="S49" s="63"/>
      <x:c r="T49" s="63"/>
      <x:c r="U49" s="63"/>
      <x:c r="V49" s="63"/>
    </x:row>
    <x:row r="50" ht="18" customHeight="1">
      <x:c r="A50" s="1"/>
      <x:c r="B50" s="1"/>
      <x:c r="C50" s="1" t="str">
        <x:v>Direct cash costs</x:v>
      </x:c>
      <x:c r="D50" s="2"/>
      <x:c r="E50" s="8" t="n">
        <x:f>E48*E21</x:f>
        <x:v>169.02773685</x:v>
      </x:c>
      <x:c r="F50" s="8" t="n">
        <x:f>F48*F21</x:f>
        <x:v>189.01526673251246</x:v>
      </x:c>
      <x:c r="G50" s="8" t="n">
        <x:f>G48*G21</x:f>
        <x:v>211.36632202363202</x:v>
      </x:c>
      <x:c r="H50" s="8" t="n">
        <x:f>H48*H21</x:f>
        <x:v>236.36038960292652</x:v>
      </x:c>
      <x:c r="I50" s="8" t="n">
        <x:f>I48*I21</x:f>
        <x:v>264.3100056734726</x:v>
      </x:c>
      <x:c r="J50" s="1"/>
      <x:c r="K50" s="1"/>
      <x:c r="M50" s="70" t="n">
        <x:f>$D$40+-0.02</x:f>
        <x:v>0.09999999999999999</x:v>
      </x:c>
      <x:c r="N50" s="8" t="n">
        <x:f>IF($M50&lt;=N$49,"n/a",IF(N$49&gt;$D$42,"n/a",E78/(1+$M50)^1+F78/(1+$M50)^2+G78/(1+$M50)^3+H78/(1+$M50)^4+I78/(1+$M50)^5+I77*(1+N$49)*(1-N$49/D42)/($M50-N$49)/(1+$M50)^5-D36+D37))</x:f>
        <x:v>753.560894151934</x:v>
      </x:c>
      <x:c r="O50" s="8" t="n">
        <x:f>IF($M50&lt;=O$49,"n/a",IF(O$49&gt;$D$42,"n/a",E78/(1+$M50)^1+F78/(1+$M50)^2+G78/(1+$M50)^3+H78/(1+$M50)^4+I78/(1+$M50)^5+I77*(1+O$49)*(1-O$49/D42)/($M50-O$49)/(1+$M50)^5-D36+D37))</x:f>
        <x:v>779.2887350937276</x:v>
      </x:c>
      <x:c r="P50" s="8" t="n">
        <x:f>IF($M50&lt;=P$49,"n/a",IF(P$49&gt;$D$42,"n/a",E78/(1+$M50)^1+F78/(1+$M50)^2+G78/(1+$M50)^3+H78/(1+$M50)^4+I78/(1+$M50)^5+I77*(1+P$49)*(1-P$49/D42)/($M50-P$49)/(1+$M50)^5-D36+D37))</x:f>
        <x:v>808.9769209887786</x:v>
      </x:c>
      <x:c r="Q50" s="8" t="n">
        <x:f>IF($M50&lt;=Q$49,"n/a",IF(Q$49&gt;$D$42,"n/a",E78/(1+$M50)^1+F78/(1+$M50)^2+G78/(1+$M50)^3+H78/(1+$M50)^4+I78/(1+$M50)^5+I77*(1+Q$49)*(1-Q$49/D42)/($M50-Q$49)/(1+$M50)^5-D36+D37))</x:f>
        <x:v>843.7055459152466</x:v>
      </x:c>
      <x:c r="R50" s="8" t="n">
        <x:f>IF($M50&lt;=R$49,"n/a",IF(R$49&gt;$D$42,"n/a",E78/(1+$M50)^1+F78/(1+$M50)^2+G78/(1+$M50)^3+H78/(1+$M50)^4+I78/(1+$M50)^5+I77*(1+R$49)*(1-R$49/D42)/($M50-R$49)/(1+$M50)^5-D36+D37))</x:f>
        <x:v>884.9867415825586</x:v>
      </x:c>
      <x:c r="S50" s="63"/>
      <x:c r="T50" s="63"/>
      <x:c r="U50" s="63"/>
      <x:c r="V50" s="63"/>
    </x:row>
    <x:row r="51" ht="18" customHeight="1">
      <x:c r="A51" s="1"/>
      <x:c r="B51" s="1"/>
      <x:c r="C51" s="1" t="str">
        <x:v>Gross profit</x:v>
      </x:c>
      <x:c r="D51" s="2"/>
      <x:c r="E51" s="8" t="n">
        <x:f>E48-E50</x:f>
        <x:v>359.18394080625</x:v>
      </x:c>
      <x:c r="F51" s="8" t="n">
        <x:f>F48-F50</x:f>
        <x:v>401.65744180658896</x:v>
      </x:c>
      <x:c r="G51" s="8" t="n">
        <x:f>G48-G50</x:f>
        <x:v>449.153434300218</x:v>
      </x:c>
      <x:c r="H51" s="8" t="n">
        <x:f>H48-H50</x:f>
        <x:v>502.2658279062189</x:v>
      </x:c>
      <x:c r="I51" s="8" t="n">
        <x:f>I48-I50</x:f>
        <x:v>561.6587620561293</x:v>
      </x:c>
      <x:c r="J51" s="1"/>
      <x:c r="K51" s="1"/>
      <x:c r="M51" s="70" t="n">
        <x:f>$D$40+-0.01</x:f>
        <x:v>0.11</x:v>
      </x:c>
      <x:c r="N51" s="8" t="n">
        <x:f>IF($M51&lt;=N$49,"n/a",IF(N$49&gt;$D$42,"n/a",E78/(1+$M51)^1+F78/(1+$M51)^2+G78/(1+$M51)^3+H78/(1+$M51)^4+I78/(1+$M51)^5+I77*(1+N$49)*(1-N$49/D42)/($M51-N$49)/(1+$M51)^5-D36+D37))</x:f>
        <x:v>626.5465935640711</x:v>
      </x:c>
      <x:c r="O51" s="8" t="n">
        <x:f>IF($M51&lt;=O$49,"n/a",IF(O$49&gt;$D$42,"n/a",E78/(1+$M51)^1+F78/(1+$M51)^2+G78/(1+$M51)^3+H78/(1+$M51)^4+I78/(1+$M51)^5+I77*(1+O$49)*(1-O$49/D42)/($M51-O$49)/(1+$M51)^5-D36+D37))</x:f>
        <x:v>642.3285482065126</x:v>
      </x:c>
      <x:c r="P51" s="8" t="n">
        <x:f>IF($M51&lt;=P$49,"n/a",IF(P$49&gt;$D$42,"n/a",E78/(1+$M51)^1+F78/(1+$M51)^2+G78/(1+$M51)^3+H78/(1+$M51)^4+I78/(1+$M51)^5+I77*(1+P$49)*(1-P$49/D42)/($M51-P$49)/(1+$M51)^5-D36+D37))</x:f>
        <x:v>660.0966672087175</x:v>
      </x:c>
      <x:c r="Q51" s="8" t="n">
        <x:f>IF($M51&lt;=Q$49,"n/a",IF(Q$49&gt;$D$42,"n/a",E78/(1+$M51)^1+F78/(1+$M51)^2+G78/(1+$M51)^3+H78/(1+$M51)^4+I78/(1+$M51)^5+I77*(1+Q$49)*(1-Q$49/D42)/($M51-Q$49)/(1+$M51)^5-D36+D37))</x:f>
        <x:v>680.3092961921693</x:v>
      </x:c>
      <x:c r="R51" s="8" t="n">
        <x:f>IF($M51&lt;=R$49,"n/a",IF(R$49&gt;$D$42,"n/a",E78/(1+$M51)^1+F78/(1+$M51)^2+G78/(1+$M51)^3+H78/(1+$M51)^4+I78/(1+$M51)^5+I77*(1+R$49)*(1-R$49/D42)/($M51-R$49)/(1+$M51)^5-D36+D37))</x:f>
        <x:v>703.5775626521797</x:v>
      </x:c>
      <x:c r="S51" s="63"/>
      <x:c r="T51" s="63"/>
      <x:c r="U51" s="63"/>
      <x:c r="V51" s="63"/>
    </x:row>
    <x:row r="52" ht="18" customHeight="1">
      <x:c r="A52" s="1"/>
      <x:c r="B52" s="1"/>
      <x:c r="C52" s="1" t="str">
        <x:v>Other cash operating costs</x:v>
      </x:c>
      <x:c r="D52" s="2"/>
      <x:c r="E52" s="8" t="n">
        <x:f>E48*E22</x:f>
        <x:v>190.15620395624998</x:v>
      </x:c>
      <x:c r="F52" s="8" t="n">
        <x:f>F48*F22</x:f>
        <x:v>212.6421750740765</x:v>
      </x:c>
      <x:c r="G52" s="8" t="n">
        <x:f>G48*G22</x:f>
        <x:v>237.78711227658602</x:v>
      </x:c>
      <x:c r="H52" s="8" t="n">
        <x:f>H48*H22</x:f>
        <x:v>265.9054383032923</x:v>
      </x:c>
      <x:c r="I52" s="8" t="n">
        <x:f>I48*I22</x:f>
        <x:v>297.34875638265663</x:v>
      </x:c>
      <x:c r="J52" s="1"/>
      <x:c r="K52" s="1"/>
      <x:c r="M52" s="70" t="n">
        <x:f>$D$40+0</x:f>
        <x:v>0.12</x:v>
      </x:c>
      <x:c r="N52" s="8" t="n">
        <x:f>IF($M52&lt;=N$49,"n/a",IF(N$49&gt;$D$42,"n/a",E78/(1+$M52)^1+F78/(1+$M52)^2+G78/(1+$M52)^3+H78/(1+$M52)^4+I78/(1+$M52)^5+I77*(1+N$49)*(1-N$49/D42)/($M52-N$49)/(1+$M52)^5-D36+D37))</x:f>
        <x:v>526.5885279187974</x:v>
      </x:c>
      <x:c r="O52" s="8" t="n">
        <x:f>IF($M52&lt;=O$49,"n/a",IF(O$49&gt;$D$42,"n/a",E78/(1+$M52)^1+F78/(1+$M52)^2+G78/(1+$M52)^3+H78/(1+$M52)^4+I78/(1+$M52)^5+I77*(1+O$49)*(1-O$49/D42)/($M52-O$49)/(1+$M52)^5-D36+D37))</x:f>
        <x:v>536.2750707499147</x:v>
      </x:c>
      <x:c r="P52" s="8" t="n">
        <x:f>IF($M52&lt;=P$49,"n/a",IF(P$49&gt;$D$42,"n/a",E78/(1+$M52)^1+F78/(1+$M52)^2+G78/(1+$M52)^3+H78/(1+$M52)^4+I78/(1+$M52)^5+I77*(1+P$49)*(1-P$49/D42)/($M52-P$49)/(1+$M52)^5-D36+D37))</x:f>
        <x:v>546.9478797602006</x:v>
      </x:c>
      <x:c r="Q52" s="8" t="n">
        <x:f>IF($M52&lt;=Q$49,"n/a",IF(Q$49&gt;$D$42,"n/a",E78/(1+$M52)^1+F78/(1+$M52)^2+G78/(1+$M52)^3+H78/(1+$M52)^4+I78/(1+$M52)^5+I77*(1+Q$49)*(1-Q$49/D42)/($M52-Q$49)/(1+$M52)^5-D36+D37))</x:f>
        <x:v>558.8042081854883</x:v>
      </x:c>
      <x:c r="R52" s="8" t="n">
        <x:f>IF($M52&lt;=R$49,"n/a",IF(R$49&gt;$D$42,"n/a",E78/(1+$M52)^1+F78/(1+$M52)^2+G78/(1+$M52)^3+H78/(1+$M52)^4+I78/(1+$M52)^5+I77*(1+R$49)*(1-R$49/D42)/($M52-R$49)/(1+$M52)^5-D36+D37))</x:f>
        <x:v>572.097667328993</x:v>
      </x:c>
      <x:c r="S52" s="63"/>
      <x:c r="T52" s="63"/>
      <x:c r="U52" s="63"/>
      <x:c r="V52" s="63"/>
    </x:row>
    <x:row r="53" ht="18" customHeight="1">
      <x:c r="A53" s="1"/>
      <x:c r="B53" s="1"/>
      <x:c r="C53" s="38" t="str">
        <x:v>EBITDA</x:v>
      </x:c>
      <x:c r="D53" s="39"/>
      <x:c r="E53" s="41" t="n">
        <x:f>E51-E52</x:f>
        <x:v>169.02773685000003</x:v>
      </x:c>
      <x:c r="F53" s="41" t="n">
        <x:f>F51-F52</x:f>
        <x:v>189.01526673251246</x:v>
      </x:c>
      <x:c r="G53" s="41" t="n">
        <x:f>G51-G52</x:f>
        <x:v>211.366322023632</x:v>
      </x:c>
      <x:c r="H53" s="41" t="n">
        <x:f>H51-H52</x:f>
        <x:v>236.36038960292655</x:v>
      </x:c>
      <x:c r="I53" s="41" t="n">
        <x:f>I51-I52</x:f>
        <x:v>264.31000567347263</x:v>
      </x:c>
      <x:c r="J53" s="1"/>
      <x:c r="K53" s="1"/>
      <x:c r="M53" s="70" t="n">
        <x:f>$D$40+0.01</x:f>
        <x:v>0.13</x:v>
      </x:c>
      <x:c r="N53" s="8" t="n">
        <x:f>IF($M53&lt;=N$49,"n/a",IF(N$49&gt;$D$42,"n/a",E78/(1+$M53)^1+F78/(1+$M53)^2+G78/(1+$M53)^3+H78/(1+$M53)^4+I78/(1+$M53)^5+I77*(1+N$49)*(1-N$49/D42)/($M53-N$49)/(1+$M53)^5-D36+D37))</x:f>
        <x:v>445.63594526302484</x:v>
      </x:c>
      <x:c r="O53" s="8" t="n">
        <x:f>IF($M53&lt;=O$49,"n/a",IF(O$49&gt;$D$42,"n/a",E78/(1+$M53)^1+F78/(1+$M53)^2+G78/(1+$M53)^3+H78/(1+$M53)^4+I78/(1+$M53)^5+I77*(1+O$49)*(1-O$49/D42)/($M53-O$49)/(1+$M53)^5-D36+D37))</x:f>
        <x:v>451.44205992781895</x:v>
      </x:c>
      <x:c r="P53" s="8" t="n">
        <x:f>IF($M53&lt;=P$49,"n/a",IF(P$49&gt;$D$42,"n/a",E78/(1+$M53)^1+F78/(1+$M53)^2+G78/(1+$M53)^3+H78/(1+$M53)^4+I78/(1+$M53)^5+I77*(1+P$49)*(1-P$49/D42)/($M53-P$49)/(1+$M53)^5-D36+D37))</x:f>
        <x:v>457.7023739398767</x:v>
      </x:c>
      <x:c r="Q53" s="8" t="n">
        <x:f>IF($M53&lt;=Q$49,"n/a",IF(Q$49&gt;$D$42,"n/a",E78/(1+$M53)^1+F78/(1+$M53)^2+G78/(1+$M53)^3+H78/(1+$M53)^4+I78/(1+$M53)^5+I77*(1+Q$49)*(1-Q$49/D42)/($M53-Q$49)/(1+$M53)^5-D36+D37))</x:f>
        <x:v>464.497040125185</x:v>
      </x:c>
      <x:c r="R53" s="8" t="n">
        <x:f>IF($M53&lt;=R$49,"n/a",IF(R$49&gt;$D$42,"n/a",E78/(1+$M53)^1+F78/(1+$M53)^2+G78/(1+$M53)^3+H78/(1+$M53)^4+I78/(1+$M53)^5+I77*(1+R$49)*(1-R$49/D42)/($M53-R$49)/(1+$M53)^5-D36+D37))</x:f>
        <x:v>471.92624951622895</x:v>
      </x:c>
      <x:c r="S53" s="63"/>
      <x:c r="T53" s="63"/>
      <x:c r="U53" s="63"/>
      <x:c r="V53" s="63"/>
    </x:row>
    <x:row r="54" ht="18" customHeight="1">
      <x:c r="A54" s="1"/>
      <x:c r="B54" s="1"/>
      <x:c r="C54" s="1" t="str">
        <x:v>Depreciation and amortization</x:v>
      </x:c>
      <x:c r="D54" s="2"/>
      <x:c r="E54" s="8" t="n">
        <x:f>E134</x:f>
        <x:v>162.5</x:v>
      </x:c>
      <x:c r="F54" s="8" t="n">
        <x:f>F134</x:f>
        <x:v>155.02753831428907</x:v>
      </x:c>
      <x:c r="G54" s="8" t="n">
        <x:f>G134</x:f>
        <x:v>148.40618366881407</x:v>
      </x:c>
      <x:c r="H54" s="8" t="n">
        <x:f>H134</x:f>
        <x:v>142.62382230483564</x:v>
      </x:c>
      <x:c r="I54" s="8" t="n">
        <x:f>I134</x:f>
        <x:v>137.67423722744982</x:v>
      </x:c>
      <x:c r="J54" s="1"/>
      <x:c r="K54" s="1"/>
      <x:c r="M54" s="70" t="n">
        <x:f>$D$40+0.02</x:f>
        <x:v>0.13999999999999999</x:v>
      </x:c>
      <x:c r="N54" s="8" t="n">
        <x:f>IF($M54&lt;=N$49,"n/a",IF(N$49&gt;$D$42,"n/a",E78/(1+$M54)^1+F78/(1+$M54)^2+G78/(1+$M54)^3+H78/(1+$M54)^4+I78/(1+$M54)^5+I77*(1+N$49)*(1-N$49/D42)/($M54-N$49)/(1+$M54)^5-D36+D37))</x:f>
        <x:v>378.5614151802065</x:v>
      </x:c>
      <x:c r="O54" s="8" t="n">
        <x:f>IF($M54&lt;=O$49,"n/a",IF(O$49&gt;$D$42,"n/a",E78/(1+$M54)^1+F78/(1+$M54)^2+G78/(1+$M54)^3+H78/(1+$M54)^4+I78/(1+$M54)^5+I77*(1+O$49)*(1-O$49/D42)/($M54-O$49)/(1+$M54)^5-D36+D37))</x:f>
        <x:v>381.8285935689896</x:v>
      </x:c>
      <x:c r="P54" s="8" t="n">
        <x:f>IF($M54&lt;=P$49,"n/a",IF(P$49&gt;$D$42,"n/a",E78/(1+$M54)^1+F78/(1+$M54)^2+G78/(1+$M54)^3+H78/(1+$M54)^4+I78/(1+$M54)^5+I77*(1+P$49)*(1-P$49/D42)/($M54-P$49)/(1+$M54)^5-D36+D37))</x:f>
        <x:v>385.2580631718565</x:v>
      </x:c>
      <x:c r="Q54" s="8" t="n">
        <x:f>IF($M54&lt;=Q$49,"n/a",IF(Q$49&gt;$D$42,"n/a",E78/(1+$M54)^1+F78/(1+$M54)^2+G78/(1+$M54)^3+H78/(1+$M54)^4+I78/(1+$M54)^5+I77*(1+Q$49)*(1-Q$49/D42)/($M54-Q$49)/(1+$M54)^5-D36+D37))</x:f>
        <x:v>388.8754489173457</x:v>
      </x:c>
      <x:c r="R54" s="8" t="n">
        <x:f>IF($M54&lt;=R$49,"n/a",IF(R$49&gt;$D$42,"n/a",E78/(1+$M54)^1+F78/(1+$M54)^2+G78/(1+$M54)^3+H78/(1+$M54)^4+I78/(1+$M54)^5+I77*(1+R$49)*(1-R$49/D42)/($M54-R$49)/(1+$M54)^5-D36+D37))</x:f>
        <x:v>392.7120701625619</x:v>
      </x:c>
      <x:c r="S54" s="63"/>
      <x:c r="T54" s="63"/>
      <x:c r="U54" s="63"/>
      <x:c r="V54" s="63"/>
    </x:row>
    <x:row r="55" ht="18" customHeight="1">
      <x:c r="A55" s="1"/>
      <x:c r="B55" s="1"/>
      <x:c r="C55" s="1" t="str">
        <x:v>EBIT</x:v>
      </x:c>
      <x:c r="D55" s="2"/>
      <x:c r="E55" s="8" t="n">
        <x:f>E53-E54</x:f>
        <x:v>6.527736850000025</x:v>
      </x:c>
      <x:c r="F55" s="8" t="n">
        <x:f>F53-F54</x:f>
        <x:v>33.987728418223384</x:v>
      </x:c>
      <x:c r="G55" s="8" t="n">
        <x:f>G53-G54</x:f>
        <x:v>62.96013835481793</x:v>
      </x:c>
      <x:c r="H55" s="8" t="n">
        <x:f>H53-H54</x:f>
        <x:v>93.7365672980909</x:v>
      </x:c>
      <x:c r="I55" s="8" t="n">
        <x:f>I53-I54</x:f>
        <x:v>126.63576844602281</x:v>
      </x:c>
      <x:c r="J55" s="1"/>
      <x:c r="K55" s="1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</x:row>
    <x:row r="56" ht="18" customHeight="1">
      <x:c r="A56" s="1"/>
      <x:c r="B56" s="1"/>
      <x:c r="C56" s="1" t="str">
        <x:v>Interest expense</x:v>
      </x:c>
      <x:c r="D56" s="2"/>
      <x:c r="E56" s="8" t="n">
        <x:f>E125</x:f>
        <x:v>55.25000000000001</x:v>
      </x:c>
      <x:c r="F56" s="8" t="n">
        <x:f>F125</x:f>
        <x:v>49.725</x:v>
      </x:c>
      <x:c r="G56" s="8" t="n">
        <x:f>G125</x:f>
        <x:v>44.2</x:v>
      </x:c>
      <x:c r="H56" s="8" t="n">
        <x:f>H125</x:f>
        <x:v>38.675000000000004</x:v>
      </x:c>
      <x:c r="I56" s="8" t="n">
        <x:f>I125</x:f>
        <x:v>33.150000000000006</x:v>
      </x:c>
      <x:c r="J56" s="1"/>
      <x:c r="K56" s="1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</x:row>
    <x:row r="57" ht="18" customHeight="1">
      <x:c r="A57" s="1"/>
      <x:c r="B57" s="1"/>
      <x:c r="C57" s="1" t="str">
        <x:v>Profit before tax</x:v>
      </x:c>
      <x:c r="D57" s="2"/>
      <x:c r="E57" s="8" t="n">
        <x:f>E55-E56</x:f>
        <x:v>-48.72226314999998</x:v>
      </x:c>
      <x:c r="F57" s="8" t="n">
        <x:f>F55-F56</x:f>
        <x:v>-15.737271581776618</x:v>
      </x:c>
      <x:c r="G57" s="8" t="n">
        <x:f>G55-G56</x:f>
        <x:v>18.760138354817926</x:v>
      </x:c>
      <x:c r="H57" s="8" t="n">
        <x:f>H55-H56</x:f>
        <x:v>55.0615672980909</x:v>
      </x:c>
      <x:c r="I57" s="8" t="n">
        <x:f>I55-I56</x:f>
        <x:v>93.4857684460228</x:v>
      </x:c>
      <x:c r="J57" s="1"/>
      <x:c r="K57" s="1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</x:row>
    <x:row r="58" ht="25" customHeight="1">
      <x:c r="A58" s="1"/>
      <x:c r="B58" s="1"/>
      <x:c r="C58" s="1" t="str">
        <x:v>Cash income tax</x:v>
      </x:c>
      <x:c r="D58" s="2"/>
      <x:c r="E58" s="8" t="n">
        <x:f>E144</x:f>
        <x:v>0</x:v>
      </x:c>
      <x:c r="F58" s="8" t="n">
        <x:f>F144</x:f>
        <x:v>0</x:v>
      </x:c>
      <x:c r="G58" s="8" t="n">
        <x:f>G144</x:f>
        <x:v>0</x:v>
      </x:c>
      <x:c r="H58" s="8" t="n">
        <x:f>H144</x:f>
        <x:v>2.3405427302830564</x:v>
      </x:c>
      <x:c r="I58" s="8" t="n">
        <x:f>I144</x:f>
        <x:v>23.3714421115057</x:v>
      </x:c>
      <x:c r="J58" s="1"/>
      <x:c r="K58" s="1"/>
      <x:c r="M58" s="82" t="str">
        <x:v>Forward equity value | rows EBITDA / columns EV/EBITDA</x:v>
      </x:c>
      <x:c r="N58" s="82"/>
      <x:c r="O58" s="82"/>
      <x:c r="P58" s="82"/>
      <x:c r="Q58" s="82"/>
      <x:c r="R58" s="82"/>
      <x:c r="S58" s="63"/>
      <x:c r="T58" s="63"/>
      <x:c r="U58" s="63"/>
      <x:c r="V58" s="63"/>
    </x:row>
    <x:row r="59" ht="18" customHeight="1">
      <x:c r="A59" s="1"/>
      <x:c r="B59" s="1"/>
      <x:c r="C59" s="38" t="str">
        <x:v>Profit after tax</x:v>
      </x:c>
      <x:c r="D59" s="39"/>
      <x:c r="E59" s="41" t="n">
        <x:f>E57-E58</x:f>
        <x:v>-48.72226314999998</x:v>
      </x:c>
      <x:c r="F59" s="41" t="n">
        <x:f>F57-F58</x:f>
        <x:v>-15.737271581776618</x:v>
      </x:c>
      <x:c r="G59" s="41" t="n">
        <x:f>G57-G58</x:f>
        <x:v>18.760138354817926</x:v>
      </x:c>
      <x:c r="H59" s="41" t="n">
        <x:f>H57-H58</x:f>
        <x:v>52.721024567807845</x:v>
      </x:c>
      <x:c r="I59" s="41" t="n">
        <x:f>I57-I58</x:f>
        <x:v>70.1143263345171</x:v>
      </x:c>
      <x:c r="J59" s="1"/>
      <x:c r="K59" s="1"/>
      <x:c r="M59" s="63"/>
      <x:c r="N59" s="78" t="n">
        <x:f>MAX(0,D43+-2)</x:f>
        <x:v>15</x:v>
      </x:c>
      <x:c r="O59" s="78" t="n">
        <x:f>MAX(0,D43+-1)</x:f>
        <x:v>16</x:v>
      </x:c>
      <x:c r="P59" s="78" t="n">
        <x:f>MAX(0,D43+0)</x:f>
        <x:v>17</x:v>
      </x:c>
      <x:c r="Q59" s="78" t="n">
        <x:f>MAX(0,D43+1)</x:f>
        <x:v>18</x:v>
      </x:c>
      <x:c r="R59" s="78" t="n">
        <x:f>MAX(0,D43+2)</x:f>
        <x:v>19</x:v>
      </x:c>
      <x:c r="S59" s="63"/>
      <x:c r="T59" s="63"/>
      <x:c r="U59" s="63"/>
      <x:c r="V59" s="63"/>
    </x:row>
    <x:row r="60" ht="18" customHeight="1">
      <x:c r="A60" s="1"/>
      <x:c r="B60" s="1"/>
      <x:c r="C60" s="19" t="str">
        <x:v>WORKING CAPITAL AND ASSET SCHEDULES</x:v>
      </x:c>
      <x:c r="D60" s="20"/>
      <x:c r="E60" s="20"/>
      <x:c r="F60" s="20"/>
      <x:c r="G60" s="20"/>
      <x:c r="H60" s="20"/>
      <x:c r="I60" s="20"/>
      <x:c r="J60" s="1"/>
      <x:c r="K60" s="1"/>
      <x:c r="M60" s="8" t="n">
        <x:f>E53*0.8</x:f>
        <x:v>135.22218948000003</x:v>
      </x:c>
      <x:c r="N60" s="8" t="n">
        <x:f>$M60*N$59-D36+D37</x:f>
        <x:v>1578.3328422000004</x:v>
      </x:c>
      <x:c r="O60" s="8" t="n">
        <x:f>$M60*O$59-D36+D37</x:f>
        <x:v>1713.5550316800004</x:v>
      </x:c>
      <x:c r="P60" s="8" t="n">
        <x:f>$M60*P$59-D36+D37</x:f>
        <x:v>1848.7772211600004</x:v>
      </x:c>
      <x:c r="Q60" s="8" t="n">
        <x:f>$M60*Q$59-D36+D37</x:f>
        <x:v>1983.9994106400004</x:v>
      </x:c>
      <x:c r="R60" s="8" t="n">
        <x:f>$M60*R$59-D36+D37</x:f>
        <x:v>2119.2216001200004</x:v>
      </x:c>
      <x:c r="S60" s="63"/>
      <x:c r="T60" s="63"/>
      <x:c r="U60" s="63"/>
      <x:c r="V60" s="63"/>
    </x:row>
    <x:row r="61" ht="18" customHeight="1">
      <x:c r="A61" s="1"/>
      <x:c r="B61" s="1"/>
      <x:c r="C61" s="1" t="str">
        <x:v>Trade receivables</x:v>
      </x:c>
      <x:c r="D61" s="2"/>
      <x:c r="E61" s="10" t="n">
        <x:f>E48*E26/'Controls'!$E$11</x:f>
        <x:v>21.70732921875</x:v>
      </x:c>
      <x:c r="F61" s="10" t="n">
        <x:f>F48*F26/'Controls'!$E$11</x:f>
        <x:v>24.274220898867185</x:v>
      </x:c>
      <x:c r="G61" s="10" t="n">
        <x:f>G48*G26/'Controls'!$E$11</x:f>
        <x:v>27.14464752015822</x:v>
      </x:c>
      <x:c r="H61" s="10" t="n">
        <x:f>H48*H26/'Controls'!$E$11</x:f>
        <x:v>30.354502089416933</x:v>
      </x:c>
      <x:c r="I61" s="10" t="n">
        <x:f>I48*I26/'Controls'!$E$11</x:f>
        <x:v>33.94392196149048</x:v>
      </x:c>
      <x:c r="J61" s="1"/>
      <x:c r="K61" s="1"/>
      <x:c r="M61" s="8" t="n">
        <x:f>E53*0.9</x:f>
        <x:v>152.12496316500003</x:v>
      </x:c>
      <x:c r="N61" s="8" t="n">
        <x:f>$M61*N$59-D36+D37</x:f>
        <x:v>1831.8744474750006</x:v>
      </x:c>
      <x:c r="O61" s="8" t="n">
        <x:f>$M61*O$59-D36+D37</x:f>
        <x:v>1983.9994106400004</x:v>
      </x:c>
      <x:c r="P61" s="8" t="n">
        <x:f>$M61*P$59-D36+D37</x:f>
        <x:v>2136.1243738050002</x:v>
      </x:c>
      <x:c r="Q61" s="8" t="n">
        <x:f>$M61*Q$59-D36+D37</x:f>
        <x:v>2288.2493369700005</x:v>
      </x:c>
      <x:c r="R61" s="8" t="n">
        <x:f>$M61*R$59-D36+D37</x:f>
        <x:v>2440.3743001350003</x:v>
      </x:c>
      <x:c r="S61" s="63"/>
      <x:c r="T61" s="63"/>
      <x:c r="U61" s="63"/>
      <x:c r="V61" s="63"/>
    </x:row>
    <x:row r="62" ht="18" customHeight="1">
      <x:c r="A62" s="1"/>
      <x:c r="B62" s="1"/>
      <x:c r="C62" s="1" t="str">
        <x:v>Inventory</x:v>
      </x:c>
      <x:c r="D62" s="2"/>
      <x:c r="E62" s="10" t="n">
        <x:f>E50*E27/'Controls'!$E$11</x:f>
        <x:v>5.5570762799999995</x:v>
      </x:c>
      <x:c r="F62" s="10" t="n">
        <x:f>F50*F27/'Controls'!$E$11</x:f>
        <x:v>6.214200550109998</x:v>
      </x:c>
      <x:c r="G62" s="10" t="n">
        <x:f>G50*G27/'Controls'!$E$11</x:f>
        <x:v>6.949029765160504</x:v>
      </x:c>
      <x:c r="H62" s="10" t="n">
        <x:f>H50*H27/'Controls'!$E$11</x:f>
        <x:v>7.770752534890735</x:v>
      </x:c>
      <x:c r="I62" s="10" t="n">
        <x:f>I50*I27/'Controls'!$E$11</x:f>
        <x:v>8.689644022141565</x:v>
      </x:c>
      <x:c r="J62" s="1"/>
      <x:c r="K62" s="1"/>
      <x:c r="M62" s="8" t="n">
        <x:f>E53*1</x:f>
        <x:v>169.02773685000003</x:v>
      </x:c>
      <x:c r="N62" s="8" t="n">
        <x:f>$M62*N$59-D36+D37</x:f>
        <x:v>2085.4160527500003</x:v>
      </x:c>
      <x:c r="O62" s="8" t="n">
        <x:f>$M62*O$59-D36+D37</x:f>
        <x:v>2254.4437896000004</x:v>
      </x:c>
      <x:c r="P62" s="8" t="n">
        <x:f>$M62*P$59-D36+D37</x:f>
        <x:v>2423.4715264500005</x:v>
      </x:c>
      <x:c r="Q62" s="8" t="n">
        <x:f>$M62*Q$59-D36+D37</x:f>
        <x:v>2592.4992633000006</x:v>
      </x:c>
      <x:c r="R62" s="8" t="n">
        <x:f>$M62*R$59-D36+D37</x:f>
        <x:v>2761.5270001500003</x:v>
      </x:c>
      <x:c r="S62" s="63"/>
      <x:c r="T62" s="63"/>
      <x:c r="U62" s="63"/>
      <x:c r="V62" s="63"/>
    </x:row>
    <x:row r="63" ht="18" customHeight="1">
      <x:c r="A63" s="1"/>
      <x:c r="B63" s="1"/>
      <x:c r="C63" s="1" t="str">
        <x:v>Trade payables</x:v>
      </x:c>
      <x:c r="D63" s="2"/>
      <x:c r="E63" s="10" t="n">
        <x:f>E50*E28/'Controls'!$E$11</x:f>
        <x:v>16.20813915</x:v>
      </x:c>
      <x:c r="F63" s="10" t="n">
        <x:f>F50*F28/'Controls'!$E$11</x:f>
        <x:v>18.124751604487496</x:v>
      </x:c>
      <x:c r="G63" s="10" t="n">
        <x:f>G50*G28/'Controls'!$E$11</x:f>
        <x:v>20.26800348171814</x:v>
      </x:c>
      <x:c r="H63" s="10" t="n">
        <x:f>H50*H28/'Controls'!$E$11</x:f>
        <x:v>22.664694893431307</x:v>
      </x:c>
      <x:c r="I63" s="10" t="n">
        <x:f>I50*I28/'Controls'!$E$11</x:f>
        <x:v>25.34479506457956</x:v>
      </x:c>
      <x:c r="J63" s="1"/>
      <x:c r="K63" s="1"/>
      <x:c r="M63" s="8" t="n">
        <x:f>E53*1.1</x:f>
        <x:v>185.93051053500005</x:v>
      </x:c>
      <x:c r="N63" s="8" t="n">
        <x:f>$M63*N$59-D36+D37</x:f>
        <x:v>2338.957658025001</x:v>
      </x:c>
      <x:c r="O63" s="8" t="n">
        <x:f>$M63*O$59-D36+D37</x:f>
        <x:v>2524.888168560001</x:v>
      </x:c>
      <x:c r="P63" s="8" t="n">
        <x:f>$M63*P$59-D36+D37</x:f>
        <x:v>2710.818679095001</x:v>
      </x:c>
      <x:c r="Q63" s="8" t="n">
        <x:f>$M63*Q$59-D36+D37</x:f>
        <x:v>2896.7491896300007</x:v>
      </x:c>
      <x:c r="R63" s="8" t="n">
        <x:f>$M63*R$59-D36+D37</x:f>
        <x:v>3082.679700165001</x:v>
      </x:c>
      <x:c r="S63" s="63"/>
      <x:c r="T63" s="63"/>
      <x:c r="U63" s="63"/>
      <x:c r="V63" s="63"/>
    </x:row>
    <x:row r="64" ht="18" customHeight="1">
      <x:c r="A64" s="1"/>
      <x:c r="B64" s="1"/>
      <x:c r="C64" s="1" t="str">
        <x:v>Net working capital</x:v>
      </x:c>
      <x:c r="D64" s="2"/>
      <x:c r="E64" s="8" t="n">
        <x:f>E61+E62-E63</x:f>
        <x:v>11.05626634875</x:v>
      </x:c>
      <x:c r="F64" s="8" t="n">
        <x:f>F61+F62-F63</x:f>
        <x:v>12.363669844489689</x:v>
      </x:c>
      <x:c r="G64" s="8" t="n">
        <x:f>G61+G62-G63</x:f>
        <x:v>13.825673803600587</x:v>
      </x:c>
      <x:c r="H64" s="8" t="n">
        <x:f>H61+H62-H63</x:f>
        <x:v>15.460559730876358</x:v>
      </x:c>
      <x:c r="I64" s="8" t="n">
        <x:f>I61+I62-I63</x:f>
        <x:v>17.288770919052485</x:v>
      </x:c>
      <x:c r="J64" s="1"/>
      <x:c r="K64" s="1"/>
      <x:c r="M64" s="8" t="n">
        <x:f>E53*1.2</x:f>
        <x:v>202.83328422000002</x:v>
      </x:c>
      <x:c r="N64" s="8" t="n">
        <x:f>$M64*N$59-D36+D37</x:f>
        <x:v>2592.4992633</x:v>
      </x:c>
      <x:c r="O64" s="8" t="n">
        <x:f>$M64*O$59-D36+D37</x:f>
        <x:v>2795.3325475200004</x:v>
      </x:c>
      <x:c r="P64" s="8" t="n">
        <x:f>$M64*P$59-D36+D37</x:f>
        <x:v>2998.1658317400006</x:v>
      </x:c>
      <x:c r="Q64" s="8" t="n">
        <x:f>$M64*Q$59-D36+D37</x:f>
        <x:v>3200.9991159600004</x:v>
      </x:c>
      <x:c r="R64" s="8" t="n">
        <x:f>$M64*R$59-D36+D37</x:f>
        <x:v>3403.8324001800006</x:v>
      </x:c>
      <x:c r="S64" s="63"/>
      <x:c r="T64" s="63"/>
      <x:c r="U64" s="63"/>
      <x:c r="V64" s="63"/>
    </x:row>
    <x:row r="65" ht="18" customHeight="1">
      <x:c r="A65" s="1"/>
      <x:c r="B65" s="1"/>
      <x:c r="C65" s="1" t="str">
        <x:v>Increase in net working capital</x:v>
      </x:c>
      <x:c r="D65" s="2"/>
      <x:c r="E65" s="8" t="n">
        <x:f>E64-$D38</x:f>
        <x:v>1.1691513487500007</x:v>
      </x:c>
      <x:c r="F65" s="8" t="n">
        <x:f>F64-E64</x:f>
        <x:v>1.3074034957396883</x:v>
      </x:c>
      <x:c r="G65" s="8" t="n">
        <x:f>G64-F64</x:f>
        <x:v>1.4620039591108984</x:v>
      </x:c>
      <x:c r="H65" s="8" t="n">
        <x:f>H64-G64</x:f>
        <x:v>1.6348859272757714</x:v>
      </x:c>
      <x:c r="I65" s="8" t="n">
        <x:f>I64-H64</x:f>
        <x:v>1.8282111881761267</x:v>
      </x:c>
      <x:c r="J65" s="1"/>
      <x:c r="K65" s="1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</x:row>
    <x:row r="66" ht="18" customHeight="1">
      <x:c r="A66" s="1"/>
      <x:c r="B66" s="1"/>
      <x:c r="C66" s="1" t="str">
        <x:v>Capital expenditure</x:v>
      </x:c>
      <x:c r="D66" s="2"/>
      <x:c r="E66" s="8" t="n">
        <x:f>E48*E24</x:f>
        <x:v>47.539050989062495</x:v>
      </x:c>
      <x:c r="F66" s="8" t="n">
        <x:f>F48*F24</x:f>
        <x:v>53.160543768519126</x:v>
      </x:c>
      <x:c r="G66" s="8" t="n">
        <x:f>G48*G24</x:f>
        <x:v>59.446778069146504</x:v>
      </x:c>
      <x:c r="H66" s="8" t="n">
        <x:f>H48*H24</x:f>
        <x:v>66.47635957582308</x:v>
      </x:c>
      <x:c r="I66" s="8" t="n">
        <x:f>I48*I24</x:f>
        <x:v>74.33718909566416</x:v>
      </x:c>
      <x:c r="J66" s="1"/>
      <x:c r="K66" s="1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</x:row>
    <x:row r="67" ht="18" customHeight="1">
      <x:c r="A67" s="1"/>
      <x:c r="B67" s="1"/>
      <x:c r="C67" s="1" t="str">
        <x:v>Closing net PP&amp;E</x:v>
      </x:c>
      <x:c r="D67" s="2"/>
      <x:c r="E67" s="8" t="n">
        <x:f>E135</x:f>
        <x:v>2385.0390509890626</x:v>
      </x:c>
      <x:c r="F67" s="8" t="n">
        <x:f>F135</x:f>
        <x:v>2283.172056443293</x:v>
      </x:c>
      <x:c r="G67" s="8" t="n">
        <x:f>G135</x:f>
        <x:v>2194.2126508436254</x:v>
      </x:c>
      <x:c r="H67" s="8" t="n">
        <x:f>H135</x:f>
        <x:v>2118.0651881146127</x:v>
      </x:c>
      <x:c r="I67" s="8" t="n">
        <x:f>I135</x:f>
        <x:v>2054.728139982827</x:v>
      </x:c>
      <x:c r="J67" s="1"/>
      <x:c r="K67" s="1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</x:row>
    <x:row r="68" ht="25" customHeight="1">
      <x:c r="A68" s="1"/>
      <x:c r="B68" s="1"/>
      <x:c r="C68" s="1" t="str">
        <x:v>Closing debt</x:v>
      </x:c>
      <x:c r="D68" s="2"/>
      <x:c r="E68" s="8" t="n">
        <x:f>E123</x:f>
        <x:v>585</x:v>
      </x:c>
      <x:c r="F68" s="8" t="n">
        <x:f>F123</x:f>
        <x:v>520</x:v>
      </x:c>
      <x:c r="G68" s="8" t="n">
        <x:f>G123</x:f>
        <x:v>455</x:v>
      </x:c>
      <x:c r="H68" s="8" t="n">
        <x:f>H123</x:f>
        <x:v>390</x:v>
      </x:c>
      <x:c r="I68" s="8" t="n">
        <x:f>I123</x:f>
        <x:v>325</x:v>
      </x:c>
      <x:c r="J68" s="1"/>
      <x:c r="K68" s="1"/>
      <x:c r="M68" s="82" t="str">
        <x:v>First-year EBITDA | rows revenue / columns EBITDA margin</x:v>
      </x:c>
      <x:c r="N68" s="82"/>
      <x:c r="O68" s="82"/>
      <x:c r="P68" s="82"/>
      <x:c r="Q68" s="82"/>
      <x:c r="R68" s="82"/>
      <x:c r="S68" s="63"/>
      <x:c r="T68" s="63"/>
      <x:c r="U68" s="63"/>
      <x:c r="V68" s="63"/>
    </x:row>
    <x:row r="69" ht="18" customHeight="1">
      <x:c r="A69" s="1"/>
      <x:c r="B69" s="1"/>
      <x:c r="C69" s="19" t="str">
        <x:v>CASH FLOW AND BALANCE SHEET</x:v>
      </x:c>
      <x:c r="D69" s="20"/>
      <x:c r="E69" s="20"/>
      <x:c r="F69" s="20"/>
      <x:c r="G69" s="20"/>
      <x:c r="H69" s="20"/>
      <x:c r="I69" s="20"/>
      <x:c r="J69" s="1"/>
      <x:c r="K69" s="1"/>
      <x:c r="M69" s="63"/>
      <x:c r="N69" s="70" t="n">
        <x:f>E53/E48+-0.04</x:f>
        <x:v>0.2800000000000001</x:v>
      </x:c>
      <x:c r="O69" s="70" t="n">
        <x:f>E53/E48+-0.02</x:f>
        <x:v>0.30000000000000004</x:v>
      </x:c>
      <x:c r="P69" s="70" t="n">
        <x:f>E53/E48+0</x:f>
        <x:v>0.32000000000000006</x:v>
      </x:c>
      <x:c r="Q69" s="70" t="n">
        <x:f>E53/E48+0.02</x:f>
        <x:v>0.3400000000000001</x:v>
      </x:c>
      <x:c r="R69" s="70" t="n">
        <x:f>E53/E48+0.04</x:f>
        <x:v>0.36000000000000004</x:v>
      </x:c>
      <x:c r="S69" s="63"/>
      <x:c r="T69" s="63"/>
      <x:c r="U69" s="63"/>
      <x:c r="V69" s="63"/>
    </x:row>
    <x:row r="70" ht="18" customHeight="1">
      <x:c r="A70" s="1"/>
      <x:c r="B70" s="1"/>
      <x:c r="C70" s="1" t="str">
        <x:v>Operating cash flow after interest</x:v>
      </x:c>
      <x:c r="D70" s="2"/>
      <x:c r="E70" s="8" t="n">
        <x:f>E59+E54-E65</x:f>
        <x:v>112.60858550125002</x:v>
      </x:c>
      <x:c r="F70" s="8" t="n">
        <x:f>F59+F54-F65</x:f>
        <x:v>137.98286323677277</x:v>
      </x:c>
      <x:c r="G70" s="8" t="n">
        <x:f>G59+G54-G65</x:f>
        <x:v>165.70431806452112</x:v>
      </x:c>
      <x:c r="H70" s="8" t="n">
        <x:f>H59+H54-H65</x:f>
        <x:v>193.7099609453677</x:v>
      </x:c>
      <x:c r="I70" s="8" t="n">
        <x:f>I59+I54-I65</x:f>
        <x:v>205.96035237379078</x:v>
      </x:c>
      <x:c r="J70" s="1"/>
      <x:c r="K70" s="1"/>
      <x:c r="M70" s="8" t="n">
        <x:f>E48*0.8</x:f>
        <x:v>422.56934212500005</x:v>
      </x:c>
      <x:c r="N70" s="8" t="n">
        <x:f>$M70*N$69</x:f>
        <x:v>118.31941579500005</x:v>
      </x:c>
      <x:c r="O70" s="8" t="n">
        <x:f>$M70*O$69</x:f>
        <x:v>126.77080263750004</x:v>
      </x:c>
      <x:c r="P70" s="8" t="n">
        <x:f>$M70*P$69</x:f>
        <x:v>135.22218948000005</x:v>
      </x:c>
      <x:c r="Q70" s="8" t="n">
        <x:f>$M70*Q$69</x:f>
        <x:v>143.67357632250005</x:v>
      </x:c>
      <x:c r="R70" s="8" t="n">
        <x:f>$M70*R$69</x:f>
        <x:v>152.12496316500003</x:v>
      </x:c>
      <x:c r="S70" s="63"/>
      <x:c r="T70" s="63"/>
      <x:c r="U70" s="63"/>
      <x:c r="V70" s="63"/>
    </x:row>
    <x:row r="71" ht="18" customHeight="1">
      <x:c r="A71" s="1"/>
      <x:c r="B71" s="1"/>
      <x:c r="C71" s="1" t="str">
        <x:v>Dividends</x:v>
      </x:c>
      <x:c r="D71" s="2"/>
      <x:c r="E71" s="8" t="n">
        <x:f>MAX(0,E59)*E33</x:f>
        <x:v>0</x:v>
      </x:c>
      <x:c r="F71" s="8" t="n">
        <x:f>MAX(0,F59)*F33</x:f>
        <x:v>0</x:v>
      </x:c>
      <x:c r="G71" s="8" t="n">
        <x:f>MAX(0,G59)*G33</x:f>
        <x:v>4.690034588704481</x:v>
      </x:c>
      <x:c r="H71" s="8" t="n">
        <x:f>MAX(0,H59)*H33</x:f>
        <x:v>13.180256141951961</x:v>
      </x:c>
      <x:c r="I71" s="8" t="n">
        <x:f>MAX(0,I59)*I33</x:f>
        <x:v>17.528581583629276</x:v>
      </x:c>
      <x:c r="J71" s="1"/>
      <x:c r="K71" s="1"/>
      <x:c r="M71" s="8" t="n">
        <x:f>E48*0.9</x:f>
        <x:v>475.390509890625</x:v>
      </x:c>
      <x:c r="N71" s="8" t="n">
        <x:f>$M71*N$69</x:f>
        <x:v>133.10934276937505</x:v>
      </x:c>
      <x:c r="O71" s="8" t="n">
        <x:f>$M71*O$69</x:f>
        <x:v>142.61715296718754</x:v>
      </x:c>
      <x:c r="P71" s="8" t="n">
        <x:f>$M71*P$69</x:f>
        <x:v>152.12496316500003</x:v>
      </x:c>
      <x:c r="Q71" s="8" t="n">
        <x:f>$M71*Q$69</x:f>
        <x:v>161.63277336281254</x:v>
      </x:c>
      <x:c r="R71" s="8" t="n">
        <x:f>$M71*R$69</x:f>
        <x:v>171.14058356062503</x:v>
      </x:c>
      <x:c r="S71" s="63"/>
      <x:c r="T71" s="63"/>
      <x:c r="U71" s="63"/>
      <x:c r="V71" s="63"/>
    </x:row>
    <x:row r="72" ht="18" customHeight="1">
      <x:c r="A72" s="1"/>
      <x:c r="B72" s="1"/>
      <x:c r="C72" s="1" t="str">
        <x:v>Change in cash</x:v>
      </x:c>
      <x:c r="D72" s="2"/>
      <x:c r="E72" s="8" t="n">
        <x:f>E70-E66+E31-E32-E71</x:f>
        <x:v>0.06953451218751638</x:v>
      </x:c>
      <x:c r="F72" s="8" t="n">
        <x:f>F70-F66+F31-F32-F71</x:f>
        <x:v>19.822319468253653</x:v>
      </x:c>
      <x:c r="G72" s="8" t="n">
        <x:f>G70-G66+G31-G32-G71</x:f>
        <x:v>36.567505406670136</x:v>
      </x:c>
      <x:c r="H72" s="8" t="n">
        <x:f>H70-H66+H31-H32-H71</x:f>
        <x:v>49.05334522759266</x:v>
      </x:c>
      <x:c r="I72" s="8" t="n">
        <x:f>I70-I66+I31-I32-I71</x:f>
        <x:v>49.094581694497364</x:v>
      </x:c>
      <x:c r="J72" s="1"/>
      <x:c r="K72" s="1"/>
      <x:c r="M72" s="8" t="n">
        <x:f>E48*1</x:f>
        <x:v>528.21167765625</x:v>
      </x:c>
      <x:c r="N72" s="8" t="n">
        <x:f>$M72*N$69</x:f>
        <x:v>147.89926974375004</x:v>
      </x:c>
      <x:c r="O72" s="8" t="n">
        <x:f>$M72*O$69</x:f>
        <x:v>158.46350329687502</x:v>
      </x:c>
      <x:c r="P72" s="8" t="n">
        <x:f>$M72*P$69</x:f>
        <x:v>169.02773685000003</x:v>
      </x:c>
      <x:c r="Q72" s="8" t="n">
        <x:f>$M72*Q$69</x:f>
        <x:v>179.59197040312503</x:v>
      </x:c>
      <x:c r="R72" s="8" t="n">
        <x:f>$M72*R$69</x:f>
        <x:v>190.15620395625</x:v>
      </x:c>
      <x:c r="S72" s="63"/>
      <x:c r="T72" s="63"/>
      <x:c r="U72" s="63"/>
      <x:c r="V72" s="63"/>
    </x:row>
    <x:row r="73" ht="18" customHeight="1">
      <x:c r="A73" s="1"/>
      <x:c r="B73" s="1"/>
      <x:c r="C73" s="1" t="str">
        <x:v>Closing cash / (funding gap)</x:v>
      </x:c>
      <x:c r="D73" s="2"/>
      <x:c r="E73" s="8" t="n">
        <x:f>$D37+E72</x:f>
        <x:v>200.06953451218752</x:v>
      </x:c>
      <x:c r="F73" s="8" t="n">
        <x:f>E73+F72</x:f>
        <x:v>219.89185398044117</x:v>
      </x:c>
      <x:c r="G73" s="8" t="n">
        <x:f>F73+G72</x:f>
        <x:v>256.4593593871113</x:v>
      </x:c>
      <x:c r="H73" s="8" t="n">
        <x:f>G73+H72</x:f>
        <x:v>305.512704614704</x:v>
      </x:c>
      <x:c r="I73" s="8" t="n">
        <x:f>H73+I72</x:f>
        <x:v>354.60728630920136</x:v>
      </x:c>
      <x:c r="J73" s="1"/>
      <x:c r="K73" s="1"/>
      <x:c r="M73" s="8" t="n">
        <x:f>E48*1.1</x:f>
        <x:v>581.0328454218751</x:v>
      </x:c>
      <x:c r="N73" s="8" t="n">
        <x:f>$M73*N$69</x:f>
        <x:v>162.68919671812506</x:v>
      </x:c>
      <x:c r="O73" s="8" t="n">
        <x:f>$M73*O$69</x:f>
        <x:v>174.30985362656256</x:v>
      </x:c>
      <x:c r="P73" s="8" t="n">
        <x:f>$M73*P$69</x:f>
        <x:v>185.93051053500005</x:v>
      </x:c>
      <x:c r="Q73" s="8" t="n">
        <x:f>$M73*Q$69</x:f>
        <x:v>197.55116744343758</x:v>
      </x:c>
      <x:c r="R73" s="8" t="n">
        <x:f>$M73*R$69</x:f>
        <x:v>209.17182435187505</x:v>
      </x:c>
      <x:c r="S73" s="63"/>
      <x:c r="T73" s="63"/>
      <x:c r="U73" s="63"/>
      <x:c r="V73" s="63"/>
    </x:row>
    <x:row r="74" ht="18" customHeight="1">
      <x:c r="A74" s="1"/>
      <x:c r="B74" s="1"/>
      <x:c r="C74" s="38" t="str">
        <x:v>Closing book equity</x:v>
      </x:c>
      <x:c r="D74" s="39"/>
      <x:c r="E74" s="41" t="n">
        <x:f>$D35+$D38+$D37-$D36+E59-E71</x:f>
        <x:v>2011.16485185</x:v>
      </x:c>
      <x:c r="F74" s="41" t="n">
        <x:f>E74+F59-F71</x:f>
        <x:v>1995.4275802682234</x:v>
      </x:c>
      <x:c r="G74" s="41" t="n">
        <x:f>F74+G59-G71</x:f>
        <x:v>2009.4976840343368</x:v>
      </x:c>
      <x:c r="H74" s="41" t="n">
        <x:f>G74+H59-H71</x:f>
        <x:v>2049.0384524601927</x:v>
      </x:c>
      <x:c r="I74" s="41" t="n">
        <x:f>H74+I59-I71</x:f>
        <x:v>2101.6241972110806</x:v>
      </x:c>
      <x:c r="J74" s="1"/>
      <x:c r="K74" s="1"/>
      <x:c r="M74" s="8" t="n">
        <x:f>E48*1.2</x:f>
        <x:v>633.8540131875</x:v>
      </x:c>
      <x:c r="N74" s="8" t="n">
        <x:f>$M74*N$69</x:f>
        <x:v>177.47912369250005</x:v>
      </x:c>
      <x:c r="O74" s="8" t="n">
        <x:f>$M74*O$69</x:f>
        <x:v>190.15620395625</x:v>
      </x:c>
      <x:c r="P74" s="8" t="n">
        <x:f>$M74*P$69</x:f>
        <x:v>202.83328422000002</x:v>
      </x:c>
      <x:c r="Q74" s="8" t="n">
        <x:f>$M74*Q$69</x:f>
        <x:v>215.51036448375004</x:v>
      </x:c>
      <x:c r="R74" s="8" t="n">
        <x:f>$M74*R$69</x:f>
        <x:v>228.18744474750002</x:v>
      </x:c>
      <x:c r="S74" s="63"/>
      <x:c r="T74" s="63"/>
      <x:c r="U74" s="63"/>
      <x:c r="V74" s="63"/>
    </x:row>
    <x:row r="75" ht="18" customHeight="1">
      <x:c r="A75" s="1"/>
      <x:c r="B75" s="1"/>
      <x:c r="C75" s="1" t="str">
        <x:v>Total assets</x:v>
      </x:c>
      <x:c r="D75" s="2"/>
      <x:c r="E75" s="8" t="n">
        <x:f>E73+E61+E62+E67</x:f>
        <x:v>2612.372991</x:v>
      </x:c>
      <x:c r="F75" s="8" t="n">
        <x:f>F73+F61+F62+F67</x:f>
        <x:v>2533.5523318727114</x:v>
      </x:c>
      <x:c r="G75" s="8" t="n">
        <x:f>G73+G61+G62+G67</x:f>
        <x:v>2484.7656875160556</x:v>
      </x:c>
      <x:c r="H75" s="8" t="n">
        <x:f>H73+H61+H62+H67</x:f>
        <x:v>2461.7031473536244</x:v>
      </x:c>
      <x:c r="I75" s="8" t="n">
        <x:f>I73+I61+I62+I67</x:f>
        <x:v>2451.9689922756606</x:v>
      </x:c>
      <x:c r="J75" s="1"/>
      <x:c r="K75" s="1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</x:row>
    <x:row r="76" ht="18" customHeight="1">
      <x:c r="A76" s="1"/>
      <x:c r="B76" s="1"/>
      <x:c r="C76" s="1" t="str">
        <x:v>Liabilities and equity</x:v>
      </x:c>
      <x:c r="D76" s="2"/>
      <x:c r="E76" s="8" t="n">
        <x:f>E63+E68+E74</x:f>
        <x:v>2612.372991</x:v>
      </x:c>
      <x:c r="F76" s="8" t="n">
        <x:f>F63+F68+F74</x:f>
        <x:v>2533.552331872711</x:v>
      </x:c>
      <x:c r="G76" s="8" t="n">
        <x:f>G63+G68+G74</x:f>
        <x:v>2484.765687516055</x:v>
      </x:c>
      <x:c r="H76" s="8" t="n">
        <x:f>H63+H68+H74</x:f>
        <x:v>2461.703147353624</x:v>
      </x:c>
      <x:c r="I76" s="8" t="n">
        <x:f>I63+I68+I74</x:f>
        <x:v>2451.96899227566</x:v>
      </x:c>
      <x:c r="J76" s="1"/>
      <x:c r="K76" s="1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</x:row>
    <x:row r="77" ht="18" customHeight="1">
      <x:c r="A77" s="1"/>
      <x:c r="B77" s="1"/>
      <x:c r="C77" s="1" t="str">
        <x:v>Unlevered operating profit after tax</x:v>
      </x:c>
      <x:c r="D77" s="2"/>
      <x:c r="E77" s="8" t="n">
        <x:f>E55-MAX(0,E55)*E29</x:f>
        <x:v>4.895802637500019</x:v>
      </x:c>
      <x:c r="F77" s="8" t="n">
        <x:f>F55-MAX(0,F55)*F29</x:f>
        <x:v>25.490796313667538</x:v>
      </x:c>
      <x:c r="G77" s="8" t="n">
        <x:f>G55-MAX(0,G55)*G29</x:f>
        <x:v>47.220103766113446</x:v>
      </x:c>
      <x:c r="H77" s="8" t="n">
        <x:f>H55-MAX(0,H55)*H29</x:f>
        <x:v>70.30242547356818</x:v>
      </x:c>
      <x:c r="I77" s="8" t="n">
        <x:f>I55-MAX(0,I55)*I29</x:f>
        <x:v>94.97682633451711</x:v>
      </x:c>
      <x:c r="J77" s="1"/>
      <x:c r="K77" s="1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</x:row>
    <x:row r="78" ht="18" customHeight="1">
      <x:c r="A78" s="1"/>
      <x:c r="B78" s="1"/>
      <x:c r="C78" s="38" t="str">
        <x:v>Free cash flow to firm</x:v>
      </x:c>
      <x:c r="D78" s="39"/>
      <x:c r="E78" s="41" t="n">
        <x:f>E77+E54-E66-E65</x:f>
        <x:v>118.68760029968752</x:v>
      </x:c>
      <x:c r="F78" s="41" t="n">
        <x:f>F77+F54-F66-F65</x:f>
        <x:v>126.05038736369781</x:v>
      </x:c>
      <x:c r="G78" s="41" t="n">
        <x:f>G77+G54-G66-G65</x:f>
        <x:v>134.71750540667014</x:v>
      </x:c>
      <x:c r="H78" s="41" t="n">
        <x:f>H77+H54-H66-H65</x:f>
        <x:v>144.81500227530495</x:v>
      </x:c>
      <x:c r="I78" s="41" t="n">
        <x:f>I77+I54-I66-I65</x:f>
        <x:v>156.48566327812665</x:v>
      </x:c>
      <x:c r="J78" s="1"/>
      <x:c r="K78" s="1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</x:row>
    <x:row r="79" ht="18" customHeight="1">
      <x:c r="A79" s="1"/>
      <x:c r="B79" s="1"/>
      <x:c r="C79" s="19" t="str">
        <x:v>SECTOR KPIs AND RETURN METRICS</x:v>
      </x:c>
      <x:c r="D79" s="20"/>
      <x:c r="E79" s="20"/>
      <x:c r="F79" s="20"/>
      <x:c r="G79" s="20"/>
      <x:c r="H79" s="20"/>
      <x:c r="I79" s="20"/>
      <x:c r="J79" s="1"/>
      <x:c r="K79" s="1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</x:row>
    <x:row r="80" ht="18" customHeight="1">
      <x:c r="A80" s="1"/>
      <x:c r="B80" s="1"/>
      <x:c r="C80" s="23" t="str">
        <x:v>Gross margin</x:v>
      </x:c>
      <x:c r="D80" s="24"/>
      <x:c r="E80" s="35" t="n">
        <x:f>E51/E48</x:f>
        <x:v>0.68</x:v>
      </x:c>
      <x:c r="F80" s="35" t="n">
        <x:f>F51/F48</x:f>
        <x:v>0.6799999999999999</x:v>
      </x:c>
      <x:c r="G80" s="35" t="n">
        <x:f>G51/G48</x:f>
        <x:v>0.6799999999999999</x:v>
      </x:c>
      <x:c r="H80" s="35" t="n">
        <x:f>H51/H48</x:f>
        <x:v>0.68</x:v>
      </x:c>
      <x:c r="I80" s="35" t="n">
        <x:f>I51/I48</x:f>
        <x:v>0.68</x:v>
      </x:c>
      <x:c r="J80" s="1"/>
      <x:c r="K80" s="1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</x:row>
    <x:row r="81" ht="18" customHeight="1">
      <x:c r="A81" s="1"/>
      <x:c r="B81" s="1"/>
      <x:c r="C81" s="23" t="str">
        <x:v>EBITDA margin</x:v>
      </x:c>
      <x:c r="D81" s="24"/>
      <x:c r="E81" s="35" t="n">
        <x:f>E53/E48</x:f>
        <x:v>0.32000000000000006</x:v>
      </x:c>
      <x:c r="F81" s="35" t="n">
        <x:f>F53/F48</x:f>
        <x:v>0.32</x:v>
      </x:c>
      <x:c r="G81" s="35" t="n">
        <x:f>G53/G48</x:f>
        <x:v>0.31999999999999995</x:v>
      </x:c>
      <x:c r="H81" s="35" t="n">
        <x:f>H53/H48</x:f>
        <x:v>0.32000000000000006</x:v>
      </x:c>
      <x:c r="I81" s="35" t="n">
        <x:f>I53/I48</x:f>
        <x:v>0.32000000000000006</x:v>
      </x:c>
      <x:c r="J81" s="1"/>
      <x:c r="K81" s="1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</x:row>
    <x:row r="82" ht="18" customHeight="1">
      <x:c r="A82" s="1"/>
      <x:c r="B82" s="1"/>
      <x:c r="C82" s="23" t="str">
        <x:v>Net margin</x:v>
      </x:c>
      <x:c r="D82" s="24"/>
      <x:c r="E82" s="35" t="n">
        <x:f>E59/E48</x:f>
        <x:v>-0.09224003408290321</x:v>
      </x:c>
      <x:c r="F82" s="35" t="n">
        <x:f>F59/F48</x:f>
        <x:v>-0.02664296378395285</x:v>
      </x:c>
      <x:c r="G82" s="35" t="n">
        <x:f>G59/G48</x:f>
        <x:v>0.028402085138570645</x:v>
      </x:c>
      <x:c r="H82" s="35" t="n">
        <x:f>H59/H48</x:f>
        <x:v>0.07137713679538471</x:v>
      </x:c>
      <x:c r="I82" s="35" t="n">
        <x:f>I59/I48</x:f>
        <x:v>0.08488738203412372</x:v>
      </x:c>
      <x:c r="J82" s="1"/>
      <x:c r="K82" s="1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</x:row>
    <x:row r="83" ht="18" customHeight="1">
      <x:c r="A83" s="1"/>
      <x:c r="B83" s="1"/>
      <x:c r="C83" s="23" t="str">
        <x:v>Operating cash conversion</x:v>
      </x:c>
      <x:c r="D83" s="24"/>
      <x:c r="E83" s="35" t="n">
        <x:f>IF(E53=0,"n.a.",E70/E53)</x:f>
        <x:v>0.6662136499004424</x:v>
      </x:c>
      <x:c r="F83" s="35" t="n">
        <x:f>IF(F53=0,"n.a.",F70/F53)</x:f>
        <x:v>0.7300090919747827</x:v>
      </x:c>
      <x:c r="G83" s="35" t="n">
        <x:f>IF(G53=0,"n.a.",G70/G53)</x:f>
        <x:v>0.7839674574362627</x:v>
      </x:c>
      <x:c r="H83" s="35" t="n">
        <x:f>IF(H53=0,"n.a.",H70/H53)</x:f>
        <x:v>0.8195534000886976</x:v>
      </x:c>
      <x:c r="I83" s="35" t="n">
        <x:f>IF(I53=0,"n.a.",I70/I53)</x:f>
        <x:v>0.7792378190488681</x:v>
      </x:c>
      <x:c r="J83" s="1"/>
      <x:c r="K83" s="1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</x:row>
    <x:row r="84" ht="18" customHeight="1">
      <x:c r="A84" s="1"/>
      <x:c r="B84" s="1"/>
      <x:c r="C84" s="1" t="str">
        <x:v>Cash conversion cycle (days)</x:v>
      </x:c>
      <x:c r="D84" s="2"/>
      <x:c r="E84" s="8" t="n">
        <x:f>E26+E27-E28</x:f>
        <x:v>-8</x:v>
      </x:c>
      <x:c r="F84" s="8" t="n">
        <x:f>F26+F27-F28</x:f>
        <x:v>-8</x:v>
      </x:c>
      <x:c r="G84" s="8" t="n">
        <x:f>G26+G27-G28</x:f>
        <x:v>-8</x:v>
      </x:c>
      <x:c r="H84" s="8" t="n">
        <x:f>H26+H27-H28</x:f>
        <x:v>-8</x:v>
      </x:c>
      <x:c r="I84" s="8" t="n">
        <x:f>I26+I27-I28</x:f>
        <x:v>-8</x:v>
      </x:c>
      <x:c r="J84" s="1"/>
      <x:c r="K84" s="1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</x:row>
    <x:row r="85" ht="18" customHeight="1">
      <x:c r="A85" s="1"/>
      <x:c r="B85" s="1"/>
      <x:c r="C85" s="23" t="str">
        <x:v>Net debt / EBITDA</x:v>
      </x:c>
      <x:c r="D85" s="32"/>
      <x:c r="E85" s="61" t="n">
        <x:f>IF(E53&lt;=0,"n.a.",(E68-E73)/E53)</x:f>
        <x:v>2.277321300405333</x:v>
      </x:c>
      <x:c r="F85" s="61" t="n">
        <x:f>IF(F53&lt;=0,"n.a.",(F68-F73)/F53)</x:f>
        <x:v>1.5877455361542885</x:v>
      </x:c>
      <x:c r="G85" s="61" t="n">
        <x:f>IF(G53&lt;=0,"n.a.",(G68-G73)/G53)</x:f>
        <x:v>0.939320127785971</x:v>
      </x:c>
      <x:c r="H85" s="61" t="n">
        <x:f>IF(H53&lt;=0,"n.a.",(H68-H73)/H53)</x:f>
        <x:v>0.3574511597617113</x:v>
      </x:c>
      <x:c r="I85" s="61" t="n">
        <x:f>IF(I53&lt;=0,"n.a.",(I68-I73)/I53)</x:f>
        <x:v>-0.11201727393467678</x:v>
      </x:c>
      <x:c r="J85" s="1"/>
      <x:c r="K85" s="1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</x:row>
    <x:row r="86" ht="18" customHeight="1">
      <x:c r="A86" s="1"/>
      <x:c r="B86" s="1"/>
      <x:c r="C86" s="23" t="str">
        <x:v>EBIT / interest</x:v>
      </x:c>
      <x:c r="D86" s="32"/>
      <x:c r="E86" s="61" t="n">
        <x:f>IF(E56=0,"n.a.",E55/E56)</x:f>
        <x:v>0.118149083257919</x:v>
      </x:c>
      <x:c r="F86" s="61" t="n">
        <x:f>IF(F56=0,"n.a.",F55/F56)</x:f>
        <x:v>0.6835138947857895</x:v>
      </x:c>
      <x:c r="G86" s="61" t="n">
        <x:f>IF(G56=0,"n.a.",G55/G56)</x:f>
        <x:v>1.424437519339772</x:v>
      </x:c>
      <x:c r="H86" s="61" t="n">
        <x:f>IF(H56=0,"n.a.",H55/H56)</x:f>
        <x:v>2.4236992190844444</x:v>
      </x:c>
      <x:c r="I86" s="61" t="n">
        <x:f>IF(I56=0,"n.a.",I55/I56)</x:f>
        <x:v>3.8200835127005366</x:v>
      </x:c>
      <x:c r="J86" s="1"/>
      <x:c r="K86" s="1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</x:row>
    <x:row r="87" ht="18" customHeight="1">
      <x:c r="A87" s="1"/>
      <x:c r="B87" s="1"/>
      <x:c r="C87" s="23" t="str">
        <x:v>ROIC on average invested capital</x:v>
      </x:c>
      <x:c r="D87" s="24"/>
      <x:c r="E87" s="35" t="n">
        <x:f>E77/(($D35+$D38+E67+E64)/2)</x:f>
        <x:v>0.0019958500483936944</x:v>
      </x:c>
      <x:c r="F87" s="35" t="n">
        <x:f>F77/((E67+E64+F67+F64)/2)</x:f>
        <x:v>0.010866496566605023</x:v>
      </x:c>
      <x:c r="G87" s="35" t="n">
        <x:f>G77/((F67+F64+G67+G64)/2)</x:f>
        <x:v>0.020970057661785245</x:v>
      </x:c>
      <x:c r="H87" s="35" t="n">
        <x:f>H77/((G67+G64+H67+H64)/2)</x:f>
        <x:v>0.032385759739901265</x:v>
      </x:c>
      <x:c r="I87" s="35" t="n">
        <x:f>I77/((H67+H64+I67+I64)/2)</x:f>
        <x:v>0.04516745354465443</x:v>
      </x:c>
      <x:c r="J87" s="1"/>
      <x:c r="K87" s="1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</x:row>
    <x:row r="88" ht="18" customHeight="1">
      <x:c r="A88" s="1"/>
      <x:c r="B88" s="1"/>
      <x:c r="C88" s="1" t="str">
        <x:v>Room RevPAR (INR)</x:v>
      </x:c>
      <x:c r="D88" s="2"/>
      <x:c r="E88" s="8" t="n">
        <x:f>E46*E20</x:f>
        <x:v>6247.5</x:v>
      </x:c>
      <x:c r="F88" s="8" t="n">
        <x:f>F46*F20</x:f>
        <x:v>6559.875</x:v>
      </x:c>
      <x:c r="G88" s="8" t="n">
        <x:f>G46*G20</x:f>
        <x:v>6887.86875</x:v>
      </x:c>
      <x:c r="H88" s="8" t="n">
        <x:f>H46*H20</x:f>
        <x:v>7232.2621874999995</x:v>
      </x:c>
      <x:c r="I88" s="8" t="n">
        <x:f>I46*I20</x:f>
        <x:v>7593.875296875</x:v>
      </x:c>
      <x:c r="J88" s="1"/>
      <x:c r="K88" s="1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</x:row>
    <x:row r="89" ht="18" customHeight="1">
      <x:c r="A89" s="1"/>
      <x:c r="B89" s="1"/>
      <x:c r="C89" s="1" t="str">
        <x:v>Total revenue per available room-day (INR)</x:v>
      </x:c>
      <x:c r="D89" s="2"/>
      <x:c r="E89" s="10" t="n">
        <x:f>E48*'Controls'!$E$9/(E45*'Controls'!$E$11)</x:f>
        <x:v>9058.875</x:v>
      </x:c>
      <x:c r="F89" s="10" t="n">
        <x:f>F48*'Controls'!$E$9/(F45*'Controls'!$E$11)</x:f>
        <x:v>9511.818749999997</x:v>
      </x:c>
      <x:c r="G89" s="10" t="n">
        <x:f>G48*'Controls'!$E$9/(G45*'Controls'!$E$11)</x:f>
        <x:v>9987.409687499996</x:v>
      </x:c>
      <x:c r="H89" s="10" t="n">
        <x:f>H48*'Controls'!$E$9/(H45*'Controls'!$E$11)</x:f>
        <x:v>10486.780171874998</x:v>
      </x:c>
      <x:c r="I89" s="10" t="n">
        <x:f>I48*'Controls'!$E$9/(I45*'Controls'!$E$11)</x:f>
        <x:v>11011.11918046875</x:v>
      </x:c>
      <x:c r="J89" s="1"/>
      <x:c r="K89" s="1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</x:row>
    <x:row r="90" ht="18" customHeight="1">
      <x:c r="A90" s="1"/>
      <x:c r="B90" s="1"/>
      <x:c r="C90" s="19" t="str">
        <x:v>VALUATION AT 31 MARCH 2026</x:v>
      </x:c>
      <x:c r="D90" s="20"/>
      <x:c r="E90" s="20"/>
      <x:c r="F90" s="20"/>
      <x:c r="G90" s="20"/>
      <x:c r="H90" s="20"/>
      <x:c r="I90" s="20"/>
      <x:c r="J90" s="1"/>
      <x:c r="K90" s="1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</x:row>
    <x:row r="91" ht="18" customHeight="1">
      <x:c r="A91" s="1"/>
      <x:c r="B91" s="1"/>
      <x:c r="C91" s="1" t="str">
        <x:v>PV of annual FCFF</x:v>
      </x:c>
      <x:c r="D91" s="2"/>
      <x:c r="E91" s="8" t="n">
        <x:f>E78/(1+$D40)^1</x:f>
        <x:v>105.97107169614956</x:v>
      </x:c>
      <x:c r="F91" s="8" t="n">
        <x:f>F78/(1+$D40)^2</x:f>
        <x:v>100.48659706927438</x:v>
      </x:c>
      <x:c r="G91" s="8" t="n">
        <x:f>G78/(1+$D40)^3</x:f>
        <x:v>95.88925938316419</x:v>
      </x:c>
      <x:c r="H91" s="8" t="n">
        <x:f>H78/(1+$D40)^4</x:f>
        <x:v>92.03255197019304</x:v>
      </x:c>
      <x:c r="I91" s="8" t="n">
        <x:f>I78/(1+$D40)^5</x:f>
        <x:v>88.79416787894687</x:v>
      </x:c>
      <x:c r="J91" s="1"/>
      <x:c r="K91" s="1"/>
    </x:row>
    <x:row r="92" ht="18" customHeight="1">
      <x:c r="A92" s="1"/>
      <x:c r="B92" s="1"/>
      <x:c r="C92" s="1" t="str">
        <x:v>Normalized terminal FCFF</x:v>
      </x:c>
      <x:c r="D92" s="2"/>
      <x:c r="E92" s="8" t="n">
        <x:f>I77*(1+$D41)*(1-$D41/$D42)</x:f>
        <x:v>72.43565955112506</x:v>
      </x:c>
      <x:c r="F92" s="2"/>
      <x:c r="G92" s="2"/>
      <x:c r="H92" s="2"/>
      <x:c r="I92" s="2"/>
      <x:c r="J92" s="1"/>
      <x:c r="K92" s="1" t="str">
        <x:v>Terminal reinvestment = terminal NOPAT × growth / incremental ROIC.</x:v>
      </x:c>
    </x:row>
    <x:row r="93" ht="18" customHeight="1">
      <x:c r="A93" s="1"/>
      <x:c r="B93" s="1"/>
      <x:c r="C93" s="1" t="str">
        <x:v>Terminal enterprise value</x:v>
      </x:c>
      <x:c r="D93" s="2"/>
      <x:c r="E93" s="8" t="n">
        <x:f>IF($D40&lt;=$D41,NA(),E92/($D40-$D41))</x:f>
        <x:v>905.4457443890633</x:v>
      </x:c>
      <x:c r="F93" s="2"/>
      <x:c r="G93" s="2"/>
      <x:c r="H93" s="2"/>
      <x:c r="I93" s="2"/>
      <x:c r="J93" s="1"/>
      <x:c r="K93" s="1"/>
    </x:row>
    <x:row r="94" ht="18" customHeight="1">
      <x:c r="A94" s="1"/>
      <x:c r="B94" s="1"/>
      <x:c r="C94" s="1" t="str">
        <x:v>DCF enterprise value</x:v>
      </x:c>
      <x:c r="D94" s="2"/>
      <x:c r="E94" s="8" t="n">
        <x:f>SUM(E91:I91)+E93/(1+$D40)^5</x:f>
        <x:v>996.9478797602006</x:v>
      </x:c>
      <x:c r="F94" s="2"/>
      <x:c r="G94" s="2"/>
      <x:c r="H94" s="2"/>
      <x:c r="I94" s="2"/>
      <x:c r="J94" s="1"/>
      <x:c r="K94" s="1"/>
    </x:row>
    <x:row r="95" ht="18" customHeight="1">
      <x:c r="A95" s="1"/>
      <x:c r="B95" s="1"/>
      <x:c r="C95" s="38" t="str">
        <x:v>DCF equity value</x:v>
      </x:c>
      <x:c r="D95" s="39"/>
      <x:c r="E95" s="41" t="n">
        <x:f>E94-$D36+$D37</x:f>
        <x:v>546.9478797602006</x:v>
      </x:c>
      <x:c r="F95" s="39"/>
      <x:c r="G95" s="39"/>
      <x:c r="H95" s="39"/>
      <x:c r="I95" s="39"/>
      <x:c r="J95" s="1"/>
      <x:c r="K95" s="1"/>
    </x:row>
    <x:row r="96" ht="18" customHeight="1">
      <x:c r="A96" s="1"/>
      <x:c r="B96" s="1"/>
      <x:c r="C96" s="1" t="str">
        <x:v>DCF value per share (INR)</x:v>
      </x:c>
      <x:c r="D96" s="33"/>
      <x:c r="E96" s="34" t="n">
        <x:f>E95/$D39</x:f>
        <x:v>5.469478797602006</x:v>
      </x:c>
      <x:c r="F96" s="33"/>
      <x:c r="G96" s="33"/>
      <x:c r="H96" s="33"/>
      <x:c r="I96" s="33"/>
      <x:c r="J96" s="1"/>
      <x:c r="K96" s="1"/>
    </x:row>
    <x:row r="97" ht="18" customHeight="1">
      <x:c r="A97" s="1"/>
      <x:c r="B97" s="1"/>
      <x:c r="C97" s="1" t="str">
        <x:v>Forward multiple enterprise value</x:v>
      </x:c>
      <x:c r="D97" s="2"/>
      <x:c r="E97" s="8" t="n">
        <x:f>E53*$D43</x:f>
        <x:v>2873.4715264500005</x:v>
      </x:c>
      <x:c r="F97" s="2"/>
      <x:c r="G97" s="2"/>
      <x:c r="H97" s="2"/>
      <x:c r="I97" s="2"/>
      <x:c r="J97" s="1"/>
      <x:c r="K97" s="1"/>
    </x:row>
    <x:row r="98" ht="18" customHeight="1">
      <x:c r="A98" s="1"/>
      <x:c r="B98" s="1"/>
      <x:c r="C98" s="1" t="str">
        <x:v>Forward multiple equity value</x:v>
      </x:c>
      <x:c r="D98" s="2"/>
      <x:c r="E98" s="8" t="n">
        <x:f>E97-$D36+$D37</x:f>
        <x:v>2423.4715264500005</x:v>
      </x:c>
      <x:c r="F98" s="2"/>
      <x:c r="G98" s="2"/>
      <x:c r="H98" s="2"/>
      <x:c r="I98" s="2"/>
      <x:c r="J98" s="1"/>
      <x:c r="K98" s="1"/>
    </x:row>
    <x:row r="99" ht="18" customHeight="1">
      <x:c r="A99" s="1"/>
      <x:c r="B99" s="1"/>
      <x:c r="C99" s="23" t="str">
        <x:v>Terminal value / DCF enterprise value</x:v>
      </x:c>
      <x:c r="D99" s="24"/>
      <x:c r="E99" s="35" t="n">
        <x:f>(E93/(1+$D40)^5)/E94</x:f>
        <x:v>0.5153471331781683</x:v>
      </x:c>
      <x:c r="F99" s="24"/>
      <x:c r="G99" s="24"/>
      <x:c r="H99" s="24"/>
      <x:c r="I99" s="24"/>
      <x:c r="J99" s="1"/>
      <x:c r="K99" s="1"/>
    </x:row>
    <x:row r="100" ht="18" customHeight="1">
      <x:c r="A100" s="1"/>
      <x:c r="B100" s="1"/>
      <x:c r="C100" s="19" t="str">
        <x:v>MODEL CHECKS</x:v>
      </x:c>
      <x:c r="D100" s="20"/>
      <x:c r="E100" s="20"/>
      <x:c r="F100" s="20"/>
      <x:c r="G100" s="20"/>
      <x:c r="H100" s="20"/>
      <x:c r="I100" s="20"/>
      <x:c r="J100" s="1"/>
      <x:c r="K100" s="1"/>
    </x:row>
    <x:row r="101" ht="18" customHeight="1">
      <x:c r="A101" s="1"/>
      <x:c r="B101" s="1"/>
      <x:c r="C101" s="1" t="str">
        <x:v>Assets less liabilities and equity</x:v>
      </x:c>
      <x:c r="D101" s="33"/>
      <x:c r="E101" s="34" t="n">
        <x:f>E75-E76</x:f>
        <x:v>0</x:v>
      </x:c>
      <x:c r="F101" s="34" t="n">
        <x:f>F75-F76</x:f>
        <x:v>4.547473508864641e-13</x:v>
      </x:c>
      <x:c r="G101" s="34" t="n">
        <x:f>G75-G76</x:f>
        <x:v>4.547473508864641e-13</x:v>
      </x:c>
      <x:c r="H101" s="34" t="n">
        <x:f>H75-H76</x:f>
        <x:v>4.547473508864641e-13</x:v>
      </x:c>
      <x:c r="I101" s="34" t="n">
        <x:f>I75-I76</x:f>
        <x:v>4.547473508864641e-13</x:v>
      </x:c>
      <x:c r="J101" s="1"/>
      <x:c r="K101" s="1"/>
    </x:row>
    <x:row r="102" ht="18" customHeight="1">
      <x:c r="A102" s="1"/>
      <x:c r="B102" s="1"/>
      <x:c r="C102" s="1" t="str">
        <x:v>Cash funding shortfall</x:v>
      </x:c>
      <x:c r="D102" s="33"/>
      <x:c r="E102" s="34" t="n">
        <x:f>MAX(0,-E73)</x:f>
        <x:v>0</x:v>
      </x:c>
      <x:c r="F102" s="34" t="n">
        <x:f>MAX(0,-F73)</x:f>
        <x:v>0</x:v>
      </x:c>
      <x:c r="G102" s="34" t="n">
        <x:f>MAX(0,-G73)</x:f>
        <x:v>0</x:v>
      </x:c>
      <x:c r="H102" s="34" t="n">
        <x:f>MAX(0,-H73)</x:f>
        <x:v>0</x:v>
      </x:c>
      <x:c r="I102" s="34" t="n">
        <x:f>MAX(0,-I73)</x:f>
        <x:v>0</x:v>
      </x:c>
      <x:c r="J102" s="1"/>
      <x:c r="K102" s="1"/>
    </x:row>
    <x:row r="103" ht="18" customHeight="1">
      <x:c r="A103" s="1"/>
      <x:c r="B103" s="1"/>
      <x:c r="C103" s="1" t="str">
        <x:v>Debt below zero</x:v>
      </x:c>
      <x:c r="D103" s="33"/>
      <x:c r="E103" s="34" t="n">
        <x:f>MAX(0,-E68)</x:f>
        <x:v>0</x:v>
      </x:c>
      <x:c r="F103" s="34" t="n">
        <x:f>MAX(0,-F68)</x:f>
        <x:v>0</x:v>
      </x:c>
      <x:c r="G103" s="34" t="n">
        <x:f>MAX(0,-G68)</x:f>
        <x:v>0</x:v>
      </x:c>
      <x:c r="H103" s="34" t="n">
        <x:f>MAX(0,-H68)</x:f>
        <x:v>0</x:v>
      </x:c>
      <x:c r="I103" s="34" t="n">
        <x:f>MAX(0,-I68)</x:f>
        <x:v>0</x:v>
      </x:c>
      <x:c r="J103" s="1"/>
      <x:c r="K103" s="1"/>
    </x:row>
    <x:row r="104" ht="18" customHeight="1">
      <x:c r="A104" s="1"/>
      <x:c r="B104" s="1"/>
      <x:c r="C104" s="1" t="str">
        <x:v>Utilization above 100%</x:v>
      </x:c>
      <x:c r="D104" s="33"/>
      <x:c r="E104" s="34" t="n">
        <x:f>MAX(0,E20-1)</x:f>
        <x:v>0</x:v>
      </x:c>
      <x:c r="F104" s="34" t="n">
        <x:f>MAX(0,F20-1)</x:f>
        <x:v>0</x:v>
      </x:c>
      <x:c r="G104" s="34" t="n">
        <x:f>MAX(0,G20-1)</x:f>
        <x:v>0</x:v>
      </x:c>
      <x:c r="H104" s="34" t="n">
        <x:f>MAX(0,H20-1)</x:f>
        <x:v>0</x:v>
      </x:c>
      <x:c r="I104" s="34" t="n">
        <x:f>MAX(0,I20-1)</x:f>
        <x:v>0</x:v>
      </x:c>
      <x:c r="J104" s="1"/>
      <x:c r="K104" s="1"/>
    </x:row>
    <x:row r="105" ht="18" customHeight="1">
      <x:c r="A105" s="1"/>
      <x:c r="B105" s="1"/>
      <x:c r="C105" s="1" t="str">
        <x:v>Net PP&amp;E below zero</x:v>
      </x:c>
      <x:c r="D105" s="33"/>
      <x:c r="E105" s="34" t="n">
        <x:f>MAX(0,-E67)</x:f>
        <x:v>0</x:v>
      </x:c>
      <x:c r="F105" s="34" t="n">
        <x:f>MAX(0,-F67)</x:f>
        <x:v>0</x:v>
      </x:c>
      <x:c r="G105" s="34" t="n">
        <x:f>MAX(0,-G67)</x:f>
        <x:v>0</x:v>
      </x:c>
      <x:c r="H105" s="34" t="n">
        <x:f>MAX(0,-H67)</x:f>
        <x:v>0</x:v>
      </x:c>
      <x:c r="I105" s="34" t="n">
        <x:f>MAX(0,-I67)</x:f>
        <x:v>0</x:v>
      </x:c>
      <x:c r="J105" s="1"/>
      <x:c r="K105" s="1"/>
    </x:row>
    <x:row r="106" ht="18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1"/>
      <x:c r="K106" s="1"/>
    </x:row>
    <x:row r="107" ht="18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1"/>
      <x:c r="K107" s="1"/>
    </x:row>
    <x:row r="108" ht="18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1"/>
      <x:c r="K108" s="1"/>
    </x:row>
    <x:row r="109" ht="18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1"/>
      <x:c r="K109" s="1"/>
    </x:row>
    <x:row r="110" ht="25" customHeight="1">
      <x:c r="A110" s="1"/>
      <x:c r="B110" s="1"/>
      <x:c r="C110" s="68" t="str">
        <x:v>SUPPORTING SCHEDULE ASSUMPTIONS</x:v>
      </x:c>
      <x:c r="D110" s="69"/>
      <x:c r="E110" s="69"/>
      <x:c r="F110" s="69"/>
      <x:c r="G110" s="69"/>
      <x:c r="H110" s="69"/>
      <x:c r="I110" s="69"/>
      <x:c r="J110" s="1"/>
      <x:c r="K110" s="1"/>
    </x:row>
    <x:row r="111" ht="30" customHeight="1">
      <x:c r="A111" s="1"/>
      <x:c r="B111" s="1"/>
      <x:c r="C111" s="64"/>
      <x:c r="D111" s="8"/>
      <x:c r="E111" s="8"/>
      <x:c r="F111" s="8"/>
      <x:c r="G111" s="8"/>
      <x:c r="H111" s="8"/>
      <x:c r="I111" s="8"/>
      <x:c r="J111" s="1"/>
      <x:c r="K111" s="1"/>
    </x:row>
    <x:row r="112" ht="30" customHeight="1">
      <x:c r="A112" s="1"/>
      <x:c r="B112" s="1"/>
      <x:c r="C112" s="64"/>
      <x:c r="D112" s="8"/>
      <x:c r="E112" s="8"/>
      <x:c r="F112" s="8"/>
      <x:c r="G112" s="8"/>
      <x:c r="H112" s="8"/>
      <x:c r="I112" s="8"/>
      <x:c r="J112" s="1"/>
      <x:c r="K112" s="1"/>
    </x:row>
    <x:row r="113" ht="30" customHeight="1">
      <x:c r="A113" s="1"/>
      <x:c r="B113" s="1"/>
      <x:c r="C113" s="64"/>
      <x:c r="D113" s="8"/>
      <x:c r="E113" s="8"/>
      <x:c r="F113" s="8"/>
      <x:c r="G113" s="8"/>
      <x:c r="H113" s="8"/>
      <x:c r="I113" s="8"/>
      <x:c r="J113" s="1"/>
      <x:c r="K113" s="1"/>
    </x:row>
    <x:row r="114" ht="30" customHeight="1">
      <x:c r="A114" s="1"/>
      <x:c r="B114" s="1"/>
      <x:c r="C114" s="64" t="str">
        <x:v>Current-year capex depreciation fraction</x:v>
      </x:c>
      <x:c r="D114" s="72" t="n">
        <x:v>0</x:v>
      </x:c>
      <x:c r="E114" s="8"/>
      <x:c r="F114" s="8"/>
      <x:c r="G114" s="8"/>
      <x:c r="H114" s="8"/>
      <x:c r="I114" s="8"/>
      <x:c r="J114" s="1"/>
      <x:c r="K114" s="1"/>
    </x:row>
    <x:row r="115" ht="30" customHeight="1">
      <x:c r="A115" s="1"/>
      <x:c r="B115" s="1"/>
      <x:c r="C115" s="64" t="str">
        <x:v>Debt movement interest weighting</x:v>
      </x:c>
      <x:c r="D115" s="72" t="n">
        <x:v>0</x:v>
      </x:c>
      <x:c r="E115" s="8"/>
      <x:c r="F115" s="8"/>
      <x:c r="G115" s="8"/>
      <x:c r="H115" s="8"/>
      <x:c r="I115" s="8"/>
      <x:c r="J115" s="1"/>
      <x:c r="K115" s="1" t="str">
        <x:v>0 = opening debt interest; 0.5 = mid-year movements; 1 = full-year movements.</x:v>
      </x:c>
    </x:row>
    <x:row r="116" ht="30" customHeight="1">
      <x:c r="A116" s="1"/>
      <x:c r="B116" s="1"/>
      <x:c r="C116" s="64" t="str">
        <x:v>Opening tax losses available for use</x:v>
      </x:c>
      <x:c r="D116" s="74" t="n">
        <x:v>0</x:v>
      </x:c>
      <x:c r="E116" s="8"/>
      <x:c r="F116" s="8"/>
      <x:c r="G116" s="8"/>
      <x:c r="H116" s="8"/>
      <x:c r="I116" s="8"/>
      <x:c r="J116" s="1"/>
      <x:c r="K116" s="1"/>
    </x:row>
    <x:row r="117" ht="30" customHeight="1">
      <x:c r="A117" s="1"/>
      <x:c r="B117" s="1"/>
      <x:c r="C117" s="64" t="str">
        <x:v>Tax loss utilization share of positive PBT</x:v>
      </x:c>
      <x:c r="D117" s="72" t="n">
        <x:v>1</x:v>
      </x:c>
      <x:c r="E117" s="8"/>
      <x:c r="F117" s="8"/>
      <x:c r="G117" s="8"/>
      <x:c r="H117" s="8"/>
      <x:c r="I117" s="8"/>
      <x:c r="J117" s="1"/>
      <x:c r="K117" s="1" t="str">
        <x:v>Simplified cash tax schedule. Check company-specific eligibility, expiry, MAT and deferred tax separately.</x:v>
      </x:c>
    </x:row>
    <x:row r="118" ht="30" customHeight="1">
      <x:c r="A118" s="1"/>
      <x:c r="B118" s="1"/>
      <x:c r="C118" s="64"/>
      <x:c r="D118" s="8"/>
      <x:c r="E118" s="8"/>
      <x:c r="F118" s="8"/>
      <x:c r="G118" s="8"/>
      <x:c r="H118" s="8"/>
      <x:c r="I118" s="8"/>
      <x:c r="J118" s="1"/>
      <x:c r="K118" s="1"/>
    </x:row>
    <x:row r="119" ht="25" customHeight="1">
      <x:c r="A119" s="1"/>
      <x:c r="B119" s="1"/>
      <x:c r="C119" s="68" t="str">
        <x:v>DEBT AND INTEREST SCHEDULE</x:v>
      </x:c>
      <x:c r="D119" s="69"/>
      <x:c r="E119" s="69"/>
      <x:c r="F119" s="69"/>
      <x:c r="G119" s="69"/>
      <x:c r="H119" s="69"/>
      <x:c r="I119" s="69"/>
      <x:c r="J119" s="1"/>
      <x:c r="K119" s="1"/>
    </x:row>
    <x:row r="120" ht="30" customHeight="1">
      <x:c r="A120" s="1"/>
      <x:c r="B120" s="1"/>
      <x:c r="C120" s="64" t="str">
        <x:v>Opening debt balance</x:v>
      </x:c>
      <x:c r="D120" s="8"/>
      <x:c r="E120" s="8" t="n">
        <x:f>D36</x:f>
        <x:v>650</x:v>
      </x:c>
      <x:c r="F120" s="8" t="n">
        <x:f>E123</x:f>
        <x:v>585</x:v>
      </x:c>
      <x:c r="G120" s="8" t="n">
        <x:f>F123</x:f>
        <x:v>520</x:v>
      </x:c>
      <x:c r="H120" s="8" t="n">
        <x:f>G123</x:f>
        <x:v>455</x:v>
      </x:c>
      <x:c r="I120" s="8" t="n">
        <x:f>H123</x:f>
        <x:v>390</x:v>
      </x:c>
      <x:c r="J120" s="1"/>
      <x:c r="K120" s="1"/>
    </x:row>
    <x:row r="121" ht="30" customHeight="1">
      <x:c r="A121" s="1"/>
      <x:c r="B121" s="1"/>
      <x:c r="C121" s="64" t="str">
        <x:v>Debt drawn</x:v>
      </x:c>
      <x:c r="D121" s="8"/>
      <x:c r="E121" s="8" t="n">
        <x:f>E31</x:f>
        <x:v>0</x:v>
      </x:c>
      <x:c r="F121" s="8" t="n">
        <x:f>F31</x:f>
        <x:v>0</x:v>
      </x:c>
      <x:c r="G121" s="8" t="n">
        <x:f>G31</x:f>
        <x:v>0</x:v>
      </x:c>
      <x:c r="H121" s="8" t="n">
        <x:f>H31</x:f>
        <x:v>0</x:v>
      </x:c>
      <x:c r="I121" s="8" t="n">
        <x:f>I31</x:f>
        <x:v>0</x:v>
      </x:c>
      <x:c r="J121" s="1"/>
      <x:c r="K121" s="1"/>
    </x:row>
    <x:row r="122" ht="30" customHeight="1">
      <x:c r="A122" s="1"/>
      <x:c r="B122" s="1"/>
      <x:c r="C122" s="64" t="str">
        <x:v>Debt principal repaid</x:v>
      </x:c>
      <x:c r="D122" s="8"/>
      <x:c r="E122" s="8" t="n">
        <x:f>E32</x:f>
        <x:v>65</x:v>
      </x:c>
      <x:c r="F122" s="8" t="n">
        <x:f>F32</x:f>
        <x:v>65</x:v>
      </x:c>
      <x:c r="G122" s="8" t="n">
        <x:f>G32</x:f>
        <x:v>65</x:v>
      </x:c>
      <x:c r="H122" s="8" t="n">
        <x:f>H32</x:f>
        <x:v>65</x:v>
      </x:c>
      <x:c r="I122" s="8" t="n">
        <x:f>I32</x:f>
        <x:v>65</x:v>
      </x:c>
      <x:c r="J122" s="1"/>
      <x:c r="K122" s="1"/>
    </x:row>
    <x:row r="123" ht="30" customHeight="1">
      <x:c r="A123" s="1"/>
      <x:c r="B123" s="1"/>
      <x:c r="C123" s="64" t="str">
        <x:v>Closing debt balance</x:v>
      </x:c>
      <x:c r="D123" s="8"/>
      <x:c r="E123" s="8" t="n">
        <x:f>E120+E121-E122</x:f>
        <x:v>585</x:v>
      </x:c>
      <x:c r="F123" s="8" t="n">
        <x:f>F120+F121-F122</x:f>
        <x:v>520</x:v>
      </x:c>
      <x:c r="G123" s="8" t="n">
        <x:f>G120+G121-G122</x:f>
        <x:v>455</x:v>
      </x:c>
      <x:c r="H123" s="8" t="n">
        <x:f>H120+H121-H122</x:f>
        <x:v>390</x:v>
      </x:c>
      <x:c r="I123" s="8" t="n">
        <x:f>I120+I121-I122</x:f>
        <x:v>325</x:v>
      </x:c>
      <x:c r="J123" s="1"/>
      <x:c r="K123" s="1"/>
    </x:row>
    <x:row r="124" ht="30" customHeight="1">
      <x:c r="A124" s="1"/>
      <x:c r="B124" s="1"/>
      <x:c r="C124" s="64" t="str">
        <x:v>Interest-bearing debt base</x:v>
      </x:c>
      <x:c r="D124" s="8"/>
      <x:c r="E124" s="8" t="n">
        <x:f>E120+(E121-E122)*$D$115</x:f>
        <x:v>650</x:v>
      </x:c>
      <x:c r="F124" s="8" t="n">
        <x:f>F120+(F121-F122)*$D$115</x:f>
        <x:v>585</x:v>
      </x:c>
      <x:c r="G124" s="8" t="n">
        <x:f>G120+(G121-G122)*$D$115</x:f>
        <x:v>520</x:v>
      </x:c>
      <x:c r="H124" s="8" t="n">
        <x:f>H120+(H121-H122)*$D$115</x:f>
        <x:v>455</x:v>
      </x:c>
      <x:c r="I124" s="8" t="n">
        <x:f>I120+(I121-I122)*$D$115</x:f>
        <x:v>390</x:v>
      </x:c>
      <x:c r="J124" s="1"/>
      <x:c r="K124" s="1"/>
    </x:row>
    <x:row r="125" ht="30" customHeight="1">
      <x:c r="A125" s="1"/>
      <x:c r="B125" s="1"/>
      <x:c r="C125" s="64" t="str">
        <x:v>Scheduled interest expense</x:v>
      </x:c>
      <x:c r="D125" s="8"/>
      <x:c r="E125" s="8" t="n">
        <x:f>E124*E30</x:f>
        <x:v>55.25000000000001</x:v>
      </x:c>
      <x:c r="F125" s="8" t="n">
        <x:f>F124*F30</x:f>
        <x:v>49.725</x:v>
      </x:c>
      <x:c r="G125" s="8" t="n">
        <x:f>G124*G30</x:f>
        <x:v>44.2</x:v>
      </x:c>
      <x:c r="H125" s="8" t="n">
        <x:f>H124*H30</x:f>
        <x:v>38.675000000000004</x:v>
      </x:c>
      <x:c r="I125" s="8" t="n">
        <x:f>I124*I30</x:f>
        <x:v>33.150000000000006</x:v>
      </x:c>
      <x:c r="J125" s="1"/>
      <x:c r="K125" s="1"/>
    </x:row>
    <x:row r="126" ht="30" customHeight="1">
      <x:c r="A126" s="1"/>
      <x:c r="B126" s="1"/>
      <x:c r="C126" s="64"/>
      <x:c r="D126" s="8"/>
      <x:c r="E126" s="8"/>
      <x:c r="F126" s="8"/>
      <x:c r="G126" s="8"/>
      <x:c r="H126" s="8"/>
      <x:c r="I126" s="8"/>
      <x:c r="J126" s="1"/>
      <x:c r="K126" s="1"/>
    </x:row>
    <x:row r="127" ht="30" customHeight="1">
      <x:c r="A127" s="1"/>
      <x:c r="B127" s="1"/>
      <x:c r="C127" s="64"/>
      <x:c r="D127" s="8"/>
      <x:c r="E127" s="8"/>
      <x:c r="F127" s="8"/>
      <x:c r="G127" s="8"/>
      <x:c r="H127" s="8"/>
      <x:c r="I127" s="8"/>
      <x:c r="J127" s="1"/>
      <x:c r="K127" s="1"/>
    </x:row>
    <x:row r="128" ht="30" customHeight="1">
      <x:c r="A128" s="1"/>
      <x:c r="B128" s="1"/>
      <x:c r="C128" s="64"/>
      <x:c r="D128" s="8"/>
      <x:c r="E128" s="8"/>
      <x:c r="F128" s="8"/>
      <x:c r="G128" s="8"/>
      <x:c r="H128" s="8"/>
      <x:c r="I128" s="8"/>
      <x:c r="J128" s="1"/>
      <x:c r="K128" s="1"/>
    </x:row>
    <x:row r="129" ht="25" customHeight="1">
      <x:c r="A129" s="1"/>
      <x:c r="B129" s="1"/>
      <x:c r="C129" s="68" t="str">
        <x:v>CAPEX AND DEPRECIATION SCHEDULE</x:v>
      </x:c>
      <x:c r="D129" s="69"/>
      <x:c r="E129" s="69"/>
      <x:c r="F129" s="69"/>
      <x:c r="G129" s="69"/>
      <x:c r="H129" s="69"/>
      <x:c r="I129" s="69"/>
      <x:c r="J129" s="1"/>
      <x:c r="K129" s="1"/>
    </x:row>
    <x:row r="130" ht="30" customHeight="1">
      <x:c r="A130" s="1"/>
      <x:c r="B130" s="1"/>
      <x:c r="C130" s="64" t="str">
        <x:v>Opening net property plant and equipment</x:v>
      </x:c>
      <x:c r="D130" s="8"/>
      <x:c r="E130" s="8" t="n">
        <x:f>D35</x:f>
        <x:v>2500</x:v>
      </x:c>
      <x:c r="F130" s="8" t="n">
        <x:f>E135</x:f>
        <x:v>2385.0390509890626</x:v>
      </x:c>
      <x:c r="G130" s="8" t="n">
        <x:f>F135</x:f>
        <x:v>2283.172056443293</x:v>
      </x:c>
      <x:c r="H130" s="8" t="n">
        <x:f>G135</x:f>
        <x:v>2194.2126508436254</x:v>
      </x:c>
      <x:c r="I130" s="8" t="n">
        <x:f>H135</x:f>
        <x:v>2118.0651881146127</x:v>
      </x:c>
      <x:c r="J130" s="1"/>
      <x:c r="K130" s="1"/>
    </x:row>
    <x:row r="131" ht="30" customHeight="1">
      <x:c r="A131" s="1"/>
      <x:c r="B131" s="1"/>
      <x:c r="C131" s="64" t="str">
        <x:v>Capital expenditure added</x:v>
      </x:c>
      <x:c r="D131" s="8"/>
      <x:c r="E131" s="8" t="n">
        <x:f>E66</x:f>
        <x:v>47.539050989062495</x:v>
      </x:c>
      <x:c r="F131" s="8" t="n">
        <x:f>F66</x:f>
        <x:v>53.160543768519126</x:v>
      </x:c>
      <x:c r="G131" s="8" t="n">
        <x:f>G66</x:f>
        <x:v>59.446778069146504</x:v>
      </x:c>
      <x:c r="H131" s="8" t="n">
        <x:f>H66</x:f>
        <x:v>66.47635957582308</x:v>
      </x:c>
      <x:c r="I131" s="8" t="n">
        <x:f>I66</x:f>
        <x:v>74.33718909566416</x:v>
      </x:c>
      <x:c r="J131" s="1"/>
      <x:c r="K131" s="1"/>
    </x:row>
    <x:row r="132" ht="30" customHeight="1">
      <x:c r="A132" s="1"/>
      <x:c r="B132" s="1"/>
      <x:c r="C132" s="64" t="str">
        <x:v>Depreciation on opening assets</x:v>
      </x:c>
      <x:c r="D132" s="8"/>
      <x:c r="E132" s="8" t="n">
        <x:f>E130*E25</x:f>
        <x:v>162.5</x:v>
      </x:c>
      <x:c r="F132" s="8" t="n">
        <x:f>F130*F25</x:f>
        <x:v>155.02753831428907</x:v>
      </x:c>
      <x:c r="G132" s="8" t="n">
        <x:f>G130*G25</x:f>
        <x:v>148.40618366881407</x:v>
      </x:c>
      <x:c r="H132" s="8" t="n">
        <x:f>H130*H25</x:f>
        <x:v>142.62382230483564</x:v>
      </x:c>
      <x:c r="I132" s="8" t="n">
        <x:f>I130*I25</x:f>
        <x:v>137.67423722744982</x:v>
      </x:c>
      <x:c r="J132" s="1"/>
      <x:c r="K132" s="1"/>
    </x:row>
    <x:row r="133" ht="30" customHeight="1">
      <x:c r="A133" s="1"/>
      <x:c r="B133" s="1"/>
      <x:c r="C133" s="64" t="str">
        <x:v>Depreciation on current-year additions</x:v>
      </x:c>
      <x:c r="D133" s="8"/>
      <x:c r="E133" s="8" t="n">
        <x:f>E131*E25*$D$114</x:f>
        <x:v>0</x:v>
      </x:c>
      <x:c r="F133" s="8" t="n">
        <x:f>F131*F25*$D$114</x:f>
        <x:v>0</x:v>
      </x:c>
      <x:c r="G133" s="8" t="n">
        <x:f>G131*G25*$D$114</x:f>
        <x:v>0</x:v>
      </x:c>
      <x:c r="H133" s="8" t="n">
        <x:f>H131*H25*$D$114</x:f>
        <x:v>0</x:v>
      </x:c>
      <x:c r="I133" s="8" t="n">
        <x:f>I131*I25*$D$114</x:f>
        <x:v>0</x:v>
      </x:c>
      <x:c r="J133" s="1"/>
      <x:c r="K133" s="1"/>
    </x:row>
    <x:row r="134" ht="30" customHeight="1">
      <x:c r="A134" s="1"/>
      <x:c r="B134" s="1"/>
      <x:c r="C134" s="64" t="str">
        <x:v>Total depreciation charge</x:v>
      </x:c>
      <x:c r="D134" s="8"/>
      <x:c r="E134" s="8" t="n">
        <x:f>E132+E133</x:f>
        <x:v>162.5</x:v>
      </x:c>
      <x:c r="F134" s="8" t="n">
        <x:f>F132+F133</x:f>
        <x:v>155.02753831428907</x:v>
      </x:c>
      <x:c r="G134" s="8" t="n">
        <x:f>G132+G133</x:f>
        <x:v>148.40618366881407</x:v>
      </x:c>
      <x:c r="H134" s="8" t="n">
        <x:f>H132+H133</x:f>
        <x:v>142.62382230483564</x:v>
      </x:c>
      <x:c r="I134" s="8" t="n">
        <x:f>I132+I133</x:f>
        <x:v>137.67423722744982</x:v>
      </x:c>
      <x:c r="J134" s="1"/>
      <x:c r="K134" s="1"/>
    </x:row>
    <x:row r="135" ht="30" customHeight="1">
      <x:c r="A135" s="1"/>
      <x:c r="B135" s="1"/>
      <x:c r="C135" s="64" t="str">
        <x:v>Closing net property plant and equipment</x:v>
      </x:c>
      <x:c r="D135" s="8"/>
      <x:c r="E135" s="8" t="n">
        <x:f>E130+E131-E134</x:f>
        <x:v>2385.0390509890626</x:v>
      </x:c>
      <x:c r="F135" s="8" t="n">
        <x:f>F130+F131-F134</x:f>
        <x:v>2283.172056443293</x:v>
      </x:c>
      <x:c r="G135" s="8" t="n">
        <x:f>G130+G131-G134</x:f>
        <x:v>2194.2126508436254</x:v>
      </x:c>
      <x:c r="H135" s="8" t="n">
        <x:f>H130+H131-H134</x:f>
        <x:v>2118.0651881146127</x:v>
      </x:c>
      <x:c r="I135" s="8" t="n">
        <x:f>I130+I131-I134</x:f>
        <x:v>2054.728139982827</x:v>
      </x:c>
      <x:c r="J135" s="1"/>
      <x:c r="K135" s="1"/>
    </x:row>
    <x:row r="136" ht="30" customHeight="1">
      <x:c r="A136" s="1"/>
      <x:c r="B136" s="1"/>
      <x:c r="C136" s="64"/>
      <x:c r="D136" s="8"/>
      <x:c r="E136" s="8"/>
      <x:c r="F136" s="8"/>
      <x:c r="G136" s="8"/>
      <x:c r="H136" s="8"/>
      <x:c r="I136" s="8"/>
      <x:c r="J136" s="1"/>
      <x:c r="K136" s="1"/>
    </x:row>
    <x:row r="137" ht="30" customHeight="1">
      <x:c r="A137" s="1"/>
      <x:c r="B137" s="1"/>
      <x:c r="C137" s="64"/>
      <x:c r="D137" s="8"/>
      <x:c r="E137" s="8"/>
      <x:c r="F137" s="8"/>
      <x:c r="G137" s="8"/>
      <x:c r="H137" s="8"/>
      <x:c r="I137" s="8"/>
      <x:c r="J137" s="1"/>
      <x:c r="K137" s="1"/>
    </x:row>
    <x:row r="138" ht="30" customHeight="1">
      <x:c r="A138" s="1"/>
      <x:c r="B138" s="1"/>
      <x:c r="C138" s="64"/>
      <x:c r="D138" s="8"/>
      <x:c r="E138" s="8"/>
      <x:c r="F138" s="8"/>
      <x:c r="G138" s="8"/>
      <x:c r="H138" s="8"/>
      <x:c r="I138" s="8"/>
      <x:c r="J138" s="1"/>
      <x:c r="K138" s="1"/>
    </x:row>
    <x:row r="139" ht="25" customHeight="1">
      <x:c r="A139" s="1"/>
      <x:c r="B139" s="1"/>
      <x:c r="C139" s="68" t="str">
        <x:v>CASH TAX SCHEDULE</x:v>
      </x:c>
      <x:c r="D139" s="69"/>
      <x:c r="E139" s="69"/>
      <x:c r="F139" s="69"/>
      <x:c r="G139" s="69"/>
      <x:c r="H139" s="69"/>
      <x:c r="I139" s="69"/>
      <x:c r="J139" s="1"/>
      <x:c r="K139" s="1"/>
    </x:row>
    <x:row r="140" ht="30" customHeight="1">
      <x:c r="A140" s="1"/>
      <x:c r="B140" s="1"/>
      <x:c r="C140" s="64" t="str">
        <x:v>Opening usable tax losses</x:v>
      </x:c>
      <x:c r="D140" s="8"/>
      <x:c r="E140" s="8" t="n">
        <x:f>$D$116</x:f>
        <x:v>0</x:v>
      </x:c>
      <x:c r="F140" s="8" t="n">
        <x:f>E145</x:f>
        <x:v>48.72226314999998</x:v>
      </x:c>
      <x:c r="G140" s="8" t="n">
        <x:f>F145</x:f>
        <x:v>64.4595347317766</x:v>
      </x:c>
      <x:c r="H140" s="8" t="n">
        <x:f>G145</x:f>
        <x:v>45.699396376958674</x:v>
      </x:c>
      <x:c r="I140" s="8" t="n">
        <x:f>H145</x:f>
        <x:v>0</x:v>
      </x:c>
      <x:c r="J140" s="1"/>
      <x:c r="K140" s="1"/>
    </x:row>
    <x:row r="141" ht="30" customHeight="1">
      <x:c r="A141" s="1"/>
      <x:c r="B141" s="1"/>
      <x:c r="C141" s="64" t="str">
        <x:v>Profit before tax for loss utilization</x:v>
      </x:c>
      <x:c r="D141" s="8"/>
      <x:c r="E141" s="8" t="n">
        <x:f>E57</x:f>
        <x:v>-48.72226314999998</x:v>
      </x:c>
      <x:c r="F141" s="8" t="n">
        <x:f>F57</x:f>
        <x:v>-15.737271581776618</x:v>
      </x:c>
      <x:c r="G141" s="8" t="n">
        <x:f>G57</x:f>
        <x:v>18.760138354817926</x:v>
      </x:c>
      <x:c r="H141" s="8" t="n">
        <x:f>H57</x:f>
        <x:v>55.0615672980909</x:v>
      </x:c>
      <x:c r="I141" s="8" t="n">
        <x:f>I57</x:f>
        <x:v>93.4857684460228</x:v>
      </x:c>
      <x:c r="J141" s="1"/>
      <x:c r="K141" s="1"/>
    </x:row>
    <x:row r="142" ht="30" customHeight="1">
      <x:c r="A142" s="1"/>
      <x:c r="B142" s="1"/>
      <x:c r="C142" s="64" t="str">
        <x:v>Tax losses utilized</x:v>
      </x:c>
      <x:c r="D142" s="8"/>
      <x:c r="E142" s="8" t="n">
        <x:f>MIN(E140,MAX(0,E141)*$D$117)</x:f>
        <x:v>0</x:v>
      </x:c>
      <x:c r="F142" s="8" t="n">
        <x:f>MIN(F140,MAX(0,F141)*$D$117)</x:f>
        <x:v>0</x:v>
      </x:c>
      <x:c r="G142" s="8" t="n">
        <x:f>MIN(G140,MAX(0,G141)*$D$117)</x:f>
        <x:v>18.760138354817926</x:v>
      </x:c>
      <x:c r="H142" s="8" t="n">
        <x:f>MIN(H140,MAX(0,H141)*$D$117)</x:f>
        <x:v>45.699396376958674</x:v>
      </x:c>
      <x:c r="I142" s="8" t="n">
        <x:f>MIN(I140,MAX(0,I141)*$D$117)</x:f>
        <x:v>0</x:v>
      </x:c>
      <x:c r="J142" s="1"/>
      <x:c r="K142" s="1"/>
    </x:row>
    <x:row r="143" ht="30" customHeight="1">
      <x:c r="A143" s="1"/>
      <x:c r="B143" s="1"/>
      <x:c r="C143" s="64" t="str">
        <x:v>Taxable profit after loss utilization</x:v>
      </x:c>
      <x:c r="D143" s="8"/>
      <x:c r="E143" s="8" t="n">
        <x:f>MAX(0,E141-E142)</x:f>
        <x:v>0</x:v>
      </x:c>
      <x:c r="F143" s="8" t="n">
        <x:f>MAX(0,F141-F142)</x:f>
        <x:v>0</x:v>
      </x:c>
      <x:c r="G143" s="8" t="n">
        <x:f>MAX(0,G141-G142)</x:f>
        <x:v>0</x:v>
      </x:c>
      <x:c r="H143" s="8" t="n">
        <x:f>MAX(0,H141-H142)</x:f>
        <x:v>9.362170921132225</x:v>
      </x:c>
      <x:c r="I143" s="8" t="n">
        <x:f>MAX(0,I141-I142)</x:f>
        <x:v>93.4857684460228</x:v>
      </x:c>
      <x:c r="J143" s="1"/>
      <x:c r="K143" s="1"/>
    </x:row>
    <x:row r="144" ht="30" customHeight="1">
      <x:c r="A144" s="1"/>
      <x:c r="B144" s="1"/>
      <x:c r="C144" s="64" t="str">
        <x:v>Cash income tax after loss utilization</x:v>
      </x:c>
      <x:c r="D144" s="8"/>
      <x:c r="E144" s="8" t="n">
        <x:f>E143*E29</x:f>
        <x:v>0</x:v>
      </x:c>
      <x:c r="F144" s="8" t="n">
        <x:f>F143*F29</x:f>
        <x:v>0</x:v>
      </x:c>
      <x:c r="G144" s="8" t="n">
        <x:f>G143*G29</x:f>
        <x:v>0</x:v>
      </x:c>
      <x:c r="H144" s="8" t="n">
        <x:f>H143*H29</x:f>
        <x:v>2.3405427302830564</x:v>
      </x:c>
      <x:c r="I144" s="8" t="n">
        <x:f>I143*I29</x:f>
        <x:v>23.3714421115057</x:v>
      </x:c>
      <x:c r="J144" s="1"/>
      <x:c r="K144" s="1"/>
    </x:row>
    <x:row r="145" ht="30" customHeight="1">
      <x:c r="A145" s="1"/>
      <x:c r="B145" s="1"/>
      <x:c r="C145" s="64" t="str">
        <x:v>Closing usable tax losses</x:v>
      </x:c>
      <x:c r="D145" s="8"/>
      <x:c r="E145" s="8" t="n">
        <x:f>E140-E142+MAX(0,-E141)</x:f>
        <x:v>48.72226314999998</x:v>
      </x:c>
      <x:c r="F145" s="8" t="n">
        <x:f>F140-F142+MAX(0,-F141)</x:f>
        <x:v>64.4595347317766</x:v>
      </x:c>
      <x:c r="G145" s="8" t="n">
        <x:f>G140-G142+MAX(0,-G141)</x:f>
        <x:v>45.699396376958674</x:v>
      </x:c>
      <x:c r="H145" s="8" t="n">
        <x:f>H140-H142+MAX(0,-H141)</x:f>
        <x:v>0</x:v>
      </x:c>
      <x:c r="I145" s="8" t="n">
        <x:f>I140-I142+MAX(0,-I141)</x:f>
        <x:v>0</x:v>
      </x:c>
      <x:c r="J145" s="1"/>
      <x:c r="K145" s="1"/>
    </x:row>
    <x:row r="146" ht="30" customHeight="1">
      <x:c r="A146" s="1"/>
      <x:c r="B146" s="1"/>
      <x:c r="C146" s="64"/>
      <x:c r="D146" s="8"/>
      <x:c r="E146" s="8"/>
      <x:c r="F146" s="8"/>
      <x:c r="G146" s="8"/>
      <x:c r="H146" s="8"/>
      <x:c r="I146" s="8"/>
      <x:c r="J146" s="1"/>
      <x:c r="K146" s="1"/>
    </x:row>
    <x:row r="147" ht="30" customHeight="1">
      <x:c r="A147" s="1"/>
      <x:c r="B147" s="1"/>
      <x:c r="C147" s="64"/>
      <x:c r="D147" s="8"/>
      <x:c r="E147" s="8"/>
      <x:c r="F147" s="8"/>
      <x:c r="G147" s="8"/>
      <x:c r="H147" s="8"/>
      <x:c r="I147" s="8"/>
      <x:c r="J147" s="1"/>
      <x:c r="K147" s="1"/>
    </x:row>
    <x:row r="148" ht="30" customHeight="1">
      <x:c r="A148" s="1"/>
      <x:c r="B148" s="1"/>
      <x:c r="C148" s="64"/>
      <x:c r="D148" s="8"/>
      <x:c r="E148" s="8"/>
      <x:c r="F148" s="8"/>
      <x:c r="G148" s="8"/>
      <x:c r="H148" s="8"/>
      <x:c r="I148" s="8"/>
      <x:c r="J148" s="1"/>
      <x:c r="K148" s="1"/>
    </x:row>
    <x:row r="149" ht="30" customHeight="1">
      <x:c r="A149" s="1"/>
      <x:c r="B149" s="1"/>
      <x:c r="C149" s="64"/>
      <x:c r="D149" s="8"/>
      <x:c r="E149" s="8"/>
      <x:c r="F149" s="8"/>
      <x:c r="G149" s="8"/>
      <x:c r="H149" s="8"/>
      <x:c r="I149" s="8"/>
      <x:c r="J149" s="1"/>
      <x:c r="K149" s="1"/>
    </x:row>
    <x:row r="150" ht="30" customHeight="1">
      <x:c r="A150" s="1"/>
      <x:c r="B150" s="1"/>
      <x:c r="C150" s="64"/>
      <x:c r="D150" s="8"/>
      <x:c r="E150" s="8"/>
      <x:c r="F150" s="8"/>
      <x:c r="G150" s="8"/>
      <x:c r="H150" s="8"/>
      <x:c r="I150" s="8"/>
      <x:c r="J150" s="1"/>
      <x:c r="K150" s="1"/>
    </x:row>
    <x:row r="151" ht="30" customHeight="1">
      <x:c r="A151" s="1"/>
      <x:c r="B151" s="1"/>
      <x:c r="C151" s="64"/>
      <x:c r="D151" s="8"/>
      <x:c r="E151" s="8"/>
      <x:c r="F151" s="8"/>
      <x:c r="G151" s="8"/>
      <x:c r="H151" s="8"/>
      <x:c r="I151" s="8"/>
      <x:c r="J151" s="1"/>
      <x:c r="K151" s="1"/>
    </x:row>
    <x:row r="152" ht="30" customHeight="1">
      <x:c r="A152" s="1"/>
      <x:c r="B152" s="1"/>
      <x:c r="C152" s="64"/>
      <x:c r="D152" s="8"/>
      <x:c r="E152" s="8"/>
      <x:c r="F152" s="8"/>
      <x:c r="G152" s="8"/>
      <x:c r="H152" s="8"/>
      <x:c r="I152" s="8"/>
      <x:c r="J152" s="1"/>
      <x:c r="K152" s="1"/>
    </x:row>
    <x:row r="153" ht="30" customHeight="1">
      <x:c r="A153" s="1"/>
      <x:c r="B153" s="1"/>
      <x:c r="C153" s="64"/>
      <x:c r="D153" s="8"/>
      <x:c r="E153" s="8"/>
      <x:c r="F153" s="8"/>
      <x:c r="G153" s="8"/>
      <x:c r="H153" s="8"/>
      <x:c r="I153" s="8"/>
      <x:c r="J153" s="1"/>
      <x:c r="K153" s="1"/>
    </x:row>
    <x:row r="154" ht="30" customHeight="1">
      <x:c r="A154" s="1"/>
      <x:c r="B154" s="1"/>
      <x:c r="C154" s="64"/>
      <x:c r="D154" s="8"/>
      <x:c r="E154" s="8"/>
      <x:c r="F154" s="8"/>
      <x:c r="G154" s="8"/>
      <x:c r="H154" s="8"/>
      <x:c r="I154" s="8"/>
      <x:c r="J154" s="1"/>
      <x:c r="K154" s="1"/>
    </x:row>
    <x:row r="155" ht="30" customHeight="1">
      <x:c r="A155" s="1"/>
      <x:c r="B155" s="1"/>
      <x:c r="C155" s="64"/>
      <x:c r="D155" s="8"/>
      <x:c r="E155" s="8"/>
      <x:c r="F155" s="8"/>
      <x:c r="G155" s="8"/>
      <x:c r="H155" s="8"/>
      <x:c r="I155" s="8"/>
      <x:c r="J155" s="1"/>
      <x:c r="K155" s="1"/>
    </x:row>
    <x:row r="156" ht="30" customHeight="1">
      <x:c r="A156" s="1"/>
      <x:c r="B156" s="1"/>
      <x:c r="C156" s="64"/>
      <x:c r="D156" s="8"/>
      <x:c r="E156" s="8"/>
      <x:c r="F156" s="8"/>
      <x:c r="G156" s="8"/>
      <x:c r="H156" s="8"/>
      <x:c r="I156" s="8"/>
      <x:c r="J156" s="1"/>
      <x:c r="K156" s="1"/>
    </x:row>
    <x:row r="157" ht="30" customHeight="1">
      <x:c r="A157" s="1"/>
      <x:c r="B157" s="1"/>
      <x:c r="C157" s="64"/>
      <x:c r="D157" s="8"/>
      <x:c r="E157" s="8"/>
      <x:c r="F157" s="8"/>
      <x:c r="G157" s="8"/>
      <x:c r="H157" s="8"/>
      <x:c r="I157" s="8"/>
      <x:c r="J157" s="1"/>
      <x:c r="K157" s="1"/>
    </x:row>
    <x:row r="158" ht="30" customHeight="1">
      <x:c r="A158" s="1"/>
      <x:c r="B158" s="1"/>
      <x:c r="C158" s="64"/>
      <x:c r="D158" s="8"/>
      <x:c r="E158" s="8"/>
      <x:c r="F158" s="8"/>
      <x:c r="G158" s="8"/>
      <x:c r="H158" s="8"/>
      <x:c r="I158" s="8"/>
      <x:c r="J158" s="1"/>
      <x:c r="K158" s="1"/>
    </x:row>
    <x:row r="159" ht="30" customHeight="1">
      <x:c r="A159" s="1"/>
      <x:c r="B159" s="1"/>
      <x:c r="C159" s="64"/>
      <x:c r="D159" s="8"/>
      <x:c r="E159" s="8"/>
      <x:c r="F159" s="8"/>
      <x:c r="G159" s="8"/>
      <x:c r="H159" s="8"/>
      <x:c r="I159" s="8"/>
      <x:c r="J159" s="1"/>
      <x:c r="K159" s="1"/>
    </x:row>
    <x:row r="160" ht="30" customHeight="1">
      <x:c r="A160" s="1"/>
      <x:c r="B160" s="1"/>
      <x:c r="C160" s="64"/>
      <x:c r="D160" s="8"/>
      <x:c r="E160" s="8"/>
      <x:c r="F160" s="8"/>
      <x:c r="G160" s="8"/>
      <x:c r="H160" s="8"/>
      <x:c r="I160" s="8"/>
      <x:c r="J160" s="1"/>
      <x:c r="K160" s="1"/>
    </x:row>
    <x:row r="161" ht="30" customHeight="1">
      <x:c r="A161" s="1"/>
      <x:c r="B161" s="1"/>
      <x:c r="C161" s="64"/>
      <x:c r="D161" s="8"/>
      <x:c r="E161" s="8"/>
      <x:c r="F161" s="8"/>
      <x:c r="G161" s="8"/>
      <x:c r="H161" s="8"/>
      <x:c r="I161" s="8"/>
      <x:c r="J161" s="1"/>
      <x:c r="K161" s="1"/>
    </x:row>
    <x:row r="162" ht="30" customHeight="1">
      <x:c r="A162" s="1"/>
      <x:c r="B162" s="1"/>
      <x:c r="C162" s="64"/>
      <x:c r="D162" s="8"/>
      <x:c r="E162" s="8"/>
      <x:c r="F162" s="8"/>
      <x:c r="G162" s="8"/>
      <x:c r="H162" s="8"/>
      <x:c r="I162" s="8"/>
      <x:c r="J162" s="1"/>
      <x:c r="K162" s="1"/>
    </x:row>
    <x:row r="163" ht="30" customHeight="1">
      <x:c r="A163" s="1"/>
      <x:c r="B163" s="1"/>
      <x:c r="C163" s="64"/>
      <x:c r="D163" s="8"/>
      <x:c r="E163" s="8"/>
      <x:c r="F163" s="8"/>
      <x:c r="G163" s="8"/>
      <x:c r="H163" s="8"/>
      <x:c r="I163" s="8"/>
      <x:c r="J163" s="1"/>
      <x:c r="K163" s="1"/>
    </x:row>
    <x:row r="164" ht="30" customHeight="1">
      <x:c r="A164" s="1"/>
      <x:c r="B164" s="1"/>
      <x:c r="C164" s="64"/>
      <x:c r="D164" s="8"/>
      <x:c r="E164" s="8"/>
      <x:c r="F164" s="8"/>
      <x:c r="G164" s="8"/>
      <x:c r="H164" s="8"/>
      <x:c r="I164" s="8"/>
      <x:c r="J164" s="1"/>
      <x:c r="K164" s="1"/>
    </x:row>
    <x:row r="165" ht="30" customHeight="1">
      <x:c r="A165" s="1"/>
      <x:c r="B165" s="1"/>
      <x:c r="C165" s="64"/>
      <x:c r="D165" s="8"/>
      <x:c r="E165" s="8"/>
      <x:c r="F165" s="8"/>
      <x:c r="G165" s="8"/>
      <x:c r="H165" s="8"/>
      <x:c r="I165" s="8"/>
      <x:c r="J165" s="1"/>
      <x:c r="K165" s="1"/>
    </x:row>
    <x:row r="166" ht="30" customHeight="1">
      <x:c r="A166" s="1"/>
      <x:c r="B166" s="1"/>
      <x:c r="C166" s="64"/>
      <x:c r="D166" s="8"/>
      <x:c r="E166" s="8"/>
      <x:c r="F166" s="8"/>
      <x:c r="G166" s="8"/>
      <x:c r="H166" s="8"/>
      <x:c r="I166" s="8"/>
      <x:c r="J166" s="1"/>
      <x:c r="K166" s="1"/>
    </x:row>
    <x:row r="167" ht="30" customHeight="1">
      <x:c r="A167" s="1"/>
      <x:c r="B167" s="1"/>
      <x:c r="C167" s="64"/>
      <x:c r="D167" s="8"/>
      <x:c r="E167" s="8"/>
      <x:c r="F167" s="8"/>
      <x:c r="G167" s="8"/>
      <x:c r="H167" s="8"/>
      <x:c r="I167" s="8"/>
      <x:c r="J167" s="1"/>
      <x:c r="K167" s="1"/>
    </x:row>
    <x:row r="168" ht="30" customHeight="1">
      <x:c r="A168" s="1"/>
      <x:c r="B168" s="1"/>
      <x:c r="C168" s="64"/>
      <x:c r="D168" s="8"/>
      <x:c r="E168" s="8"/>
      <x:c r="F168" s="8"/>
      <x:c r="G168" s="8"/>
      <x:c r="H168" s="8"/>
      <x:c r="I168" s="8"/>
      <x:c r="J168" s="1"/>
      <x:c r="K168" s="1"/>
    </x:row>
    <x:row r="169" ht="30" customHeight="1">
      <x:c r="A169" s="1"/>
      <x:c r="B169" s="1"/>
      <x:c r="C169" s="64"/>
      <x:c r="D169" s="8"/>
      <x:c r="E169" s="8"/>
      <x:c r="F169" s="8"/>
      <x:c r="G169" s="8"/>
      <x:c r="H169" s="8"/>
      <x:c r="I169" s="8"/>
      <x:c r="J169" s="1"/>
      <x:c r="K169" s="1"/>
    </x:row>
    <x:row r="170" ht="30" customHeight="1">
      <x:c r="A170" s="1"/>
      <x:c r="B170" s="1"/>
      <x:c r="C170" s="64"/>
      <x:c r="D170" s="8"/>
      <x:c r="E170" s="8"/>
      <x:c r="F170" s="8"/>
      <x:c r="G170" s="8"/>
      <x:c r="H170" s="8"/>
      <x:c r="I170" s="8"/>
      <x:c r="J170" s="1"/>
      <x:c r="K170" s="1"/>
    </x:row>
    <x:row r="171" ht="30" customHeight="1">
      <x:c r="A171" s="1"/>
      <x:c r="B171" s="1"/>
      <x:c r="C171" s="64"/>
      <x:c r="D171" s="8"/>
      <x:c r="E171" s="8"/>
      <x:c r="F171" s="8"/>
      <x:c r="G171" s="8"/>
      <x:c r="H171" s="8"/>
      <x:c r="I171" s="8"/>
      <x:c r="J171" s="1"/>
      <x:c r="K171" s="1"/>
    </x:row>
    <x:row r="172" ht="30" customHeight="1">
      <x:c r="A172" s="1"/>
      <x:c r="B172" s="1"/>
      <x:c r="C172" s="64"/>
      <x:c r="D172" s="8"/>
      <x:c r="E172" s="8"/>
      <x:c r="F172" s="8"/>
      <x:c r="G172" s="8"/>
      <x:c r="H172" s="8"/>
      <x:c r="I172" s="8"/>
      <x:c r="J172" s="1"/>
      <x:c r="K172" s="1"/>
    </x:row>
    <x:row r="173" ht="30" customHeight="1">
      <x:c r="A173" s="1"/>
      <x:c r="B173" s="1"/>
      <x:c r="C173" s="64"/>
      <x:c r="D173" s="8"/>
      <x:c r="E173" s="8"/>
      <x:c r="F173" s="8"/>
      <x:c r="G173" s="8"/>
      <x:c r="H173" s="8"/>
      <x:c r="I173" s="8"/>
      <x:c r="J173" s="1"/>
      <x:c r="K173" s="1"/>
    </x:row>
    <x:row r="174" ht="30" customHeight="1">
      <x:c r="A174" s="1"/>
      <x:c r="B174" s="1"/>
      <x:c r="C174" s="64"/>
      <x:c r="D174" s="8"/>
      <x:c r="E174" s="8"/>
      <x:c r="F174" s="8"/>
      <x:c r="G174" s="8"/>
      <x:c r="H174" s="8"/>
      <x:c r="I174" s="8"/>
      <x:c r="J174" s="1"/>
      <x:c r="K174" s="1"/>
    </x:row>
    <x:row r="175" ht="30" customHeight="1">
      <x:c r="A175" s="1"/>
      <x:c r="B175" s="1"/>
      <x:c r="C175" s="64"/>
      <x:c r="D175" s="8"/>
      <x:c r="E175" s="8"/>
      <x:c r="F175" s="8"/>
      <x:c r="G175" s="8"/>
      <x:c r="H175" s="8"/>
      <x:c r="I175" s="8"/>
      <x:c r="J175" s="1"/>
      <x:c r="K175" s="1"/>
    </x:row>
    <x:row r="176" ht="30" customHeight="1">
      <x:c r="A176" s="1"/>
      <x:c r="B176" s="1"/>
      <x:c r="C176" s="64"/>
      <x:c r="D176" s="8"/>
      <x:c r="E176" s="8"/>
      <x:c r="F176" s="8"/>
      <x:c r="G176" s="8"/>
      <x:c r="H176" s="8"/>
      <x:c r="I176" s="8"/>
      <x:c r="J176" s="1"/>
      <x:c r="K176" s="1"/>
    </x:row>
    <x:row r="177" ht="30" customHeight="1">
      <x:c r="A177" s="1"/>
      <x:c r="B177" s="1"/>
      <x:c r="C177" s="64"/>
      <x:c r="D177" s="8"/>
      <x:c r="E177" s="8"/>
      <x:c r="F177" s="8"/>
      <x:c r="G177" s="8"/>
      <x:c r="H177" s="8"/>
      <x:c r="I177" s="8"/>
      <x:c r="J177" s="1"/>
      <x:c r="K177" s="1"/>
    </x:row>
    <x:row r="178" ht="30" customHeight="1">
      <x:c r="A178" s="1"/>
      <x:c r="B178" s="1"/>
      <x:c r="C178" s="64"/>
      <x:c r="D178" s="8"/>
      <x:c r="E178" s="8"/>
      <x:c r="F178" s="8"/>
      <x:c r="G178" s="8"/>
      <x:c r="H178" s="8"/>
      <x:c r="I178" s="8"/>
      <x:c r="J178" s="1"/>
      <x:c r="K178" s="1"/>
    </x:row>
    <x:row r="179" ht="25" customHeight="1">
      <x:c r="A179" s="1"/>
      <x:c r="B179" s="1"/>
      <x:c r="C179" s="68" t="str">
        <x:v>MODEL CHECKS</x:v>
      </x:c>
      <x:c r="D179" s="69"/>
      <x:c r="E179" s="69"/>
      <x:c r="F179" s="69"/>
      <x:c r="G179" s="69"/>
      <x:c r="H179" s="69"/>
      <x:c r="I179" s="69"/>
      <x:c r="J179" s="1"/>
      <x:c r="K179" s="1"/>
    </x:row>
    <x:row r="180" ht="30" customHeight="1">
      <x:c r="A180" s="1"/>
      <x:c r="B180" s="1"/>
      <x:c r="C180" s="64" t="str">
        <x:v>Average available rooms — seed input outside bounds</x:v>
      </x:c>
      <x:c r="D180" s="8"/>
      <x:c r="E180" s="75" t="n">
        <x:f>IF(COUNT(D10)=0,1,IF(D10&lt;0,1,0))</x:f>
        <x:v>0</x:v>
      </x:c>
      <x:c r="F180" s="75" t="n">
        <x:f>IF(COUNT(D10)=0,1,IF(D10&lt;0,1,0))</x:f>
        <x:v>0</x:v>
      </x:c>
      <x:c r="G180" s="75" t="n">
        <x:f>IF(COUNT(D10)=0,1,IF(D10&lt;0,1,0))</x:f>
        <x:v>0</x:v>
      </x:c>
      <x:c r="H180" s="75" t="n">
        <x:f>IF(COUNT(D10)=0,1,IF(D10&lt;0,1,0))</x:f>
        <x:v>0</x:v>
      </x:c>
      <x:c r="I180" s="75" t="n">
        <x:f>IF(COUNT(D10)=0,1,IF(D10&lt;0,1,0))</x:f>
        <x:v>0</x:v>
      </x:c>
      <x:c r="J180" s="1"/>
      <x:c r="K180" s="1"/>
    </x:row>
    <x:row r="181" ht="30" customHeight="1">
      <x:c r="A181" s="1"/>
      <x:c r="B181" s="1"/>
      <x:c r="C181" s="64" t="str">
        <x:v>Average daily room rate (INR) — seed input outside bounds</x:v>
      </x:c>
      <x:c r="D181" s="8"/>
      <x:c r="E181" s="75" t="n">
        <x:f>IF(COUNT(D11)=0,1,IF(D11&lt;0,1,0))</x:f>
        <x:v>0</x:v>
      </x:c>
      <x:c r="F181" s="75" t="n">
        <x:f>IF(COUNT(D11)=0,1,IF(D11&lt;0,1,0))</x:f>
        <x:v>0</x:v>
      </x:c>
      <x:c r="G181" s="75" t="n">
        <x:f>IF(COUNT(D11)=0,1,IF(D11&lt;0,1,0))</x:f>
        <x:v>0</x:v>
      </x:c>
      <x:c r="H181" s="75" t="n">
        <x:f>IF(COUNT(D11)=0,1,IF(D11&lt;0,1,0))</x:f>
        <x:v>0</x:v>
      </x:c>
      <x:c r="I181" s="75" t="n">
        <x:f>IF(COUNT(D11)=0,1,IF(D11&lt;0,1,0))</x:f>
        <x:v>0</x:v>
      </x:c>
      <x:c r="J181" s="1"/>
      <x:c r="K181" s="1"/>
    </x:row>
    <x:row r="182" ht="30" customHeight="1">
      <x:c r="A182" s="1"/>
      <x:c r="B182" s="1"/>
      <x:c r="C182" s="64" t="str">
        <x:v>Operating scale growth input outside bounds</x:v>
      </x:c>
      <x:c r="D182" s="8"/>
      <x:c r="E182" s="75" t="n">
        <x:f>IF(COUNT(E12)=0,1,IF(E12&lt;-1,1,0))</x:f>
        <x:v>0</x:v>
      </x:c>
      <x:c r="F182" s="75" t="n">
        <x:f>IF(COUNT(F12)=0,1,IF(F12&lt;-1,1,0))</x:f>
        <x:v>0</x:v>
      </x:c>
      <x:c r="G182" s="75" t="n">
        <x:f>IF(COUNT(G12)=0,1,IF(G12&lt;-1,1,0))</x:f>
        <x:v>0</x:v>
      </x:c>
      <x:c r="H182" s="75" t="n">
        <x:f>IF(COUNT(H12)=0,1,IF(H12&lt;-1,1,0))</x:f>
        <x:v>0</x:v>
      </x:c>
      <x:c r="I182" s="75" t="n">
        <x:f>IF(COUNT(I12)=0,1,IF(I12&lt;-1,1,0))</x:f>
        <x:v>0</x:v>
      </x:c>
      <x:c r="J182" s="1"/>
      <x:c r="K182" s="1"/>
    </x:row>
    <x:row r="183" ht="30" customHeight="1">
      <x:c r="A183" s="1"/>
      <x:c r="B183" s="1"/>
      <x:c r="C183" s="64" t="str">
        <x:v>Realization growth input outside bounds</x:v>
      </x:c>
      <x:c r="D183" s="8"/>
      <x:c r="E183" s="75" t="n">
        <x:f>IF(COUNT(E16)=0,1,IF(E16&lt;-1,1,0))</x:f>
        <x:v>0</x:v>
      </x:c>
      <x:c r="F183" s="75" t="n">
        <x:f>IF(COUNT(F16)=0,1,IF(F16&lt;-1,1,0))</x:f>
        <x:v>0</x:v>
      </x:c>
      <x:c r="G183" s="75" t="n">
        <x:f>IF(COUNT(G16)=0,1,IF(G16&lt;-1,1,0))</x:f>
        <x:v>0</x:v>
      </x:c>
      <x:c r="H183" s="75" t="n">
        <x:f>IF(COUNT(H16)=0,1,IF(H16&lt;-1,1,0))</x:f>
        <x:v>0</x:v>
      </x:c>
      <x:c r="I183" s="75" t="n">
        <x:f>IF(COUNT(I16)=0,1,IF(I16&lt;-1,1,0))</x:f>
        <x:v>0</x:v>
      </x:c>
      <x:c r="J183" s="1"/>
      <x:c r="K183" s="1"/>
    </x:row>
    <x:row r="184" ht="30" customHeight="1">
      <x:c r="A184" s="1"/>
      <x:c r="B184" s="1"/>
      <x:c r="C184" s="64" t="str">
        <x:v>Occupancy input outside bounds</x:v>
      </x:c>
      <x:c r="D184" s="8"/>
      <x:c r="E184" s="75" t="n">
        <x:f>IF(COUNT(E20)=0,1,IF(E20&lt;0,1,IF(E20&gt;1,1,0)))</x:f>
        <x:v>0</x:v>
      </x:c>
      <x:c r="F184" s="75" t="n">
        <x:f>IF(COUNT(F20)=0,1,IF(F20&lt;0,1,IF(F20&gt;1,1,0)))</x:f>
        <x:v>0</x:v>
      </x:c>
      <x:c r="G184" s="75" t="n">
        <x:f>IF(COUNT(G20)=0,1,IF(G20&lt;0,1,IF(G20&gt;1,1,0)))</x:f>
        <x:v>0</x:v>
      </x:c>
      <x:c r="H184" s="75" t="n">
        <x:f>IF(COUNT(H20)=0,1,IF(H20&lt;0,1,IF(H20&gt;1,1,0)))</x:f>
        <x:v>0</x:v>
      </x:c>
      <x:c r="I184" s="75" t="n">
        <x:f>IF(COUNT(I20)=0,1,IF(I20&lt;0,1,IF(I20&gt;1,1,0)))</x:f>
        <x:v>0</x:v>
      </x:c>
      <x:c r="J184" s="1"/>
      <x:c r="K184" s="1"/>
    </x:row>
    <x:row r="185" ht="30" customHeight="1">
      <x:c r="A185" s="1"/>
      <x:c r="B185" s="1"/>
      <x:c r="C185" s="64" t="str">
        <x:v>Rooms and food variable cost / revenue input outside bounds</x:v>
      </x:c>
      <x:c r="D185" s="8"/>
      <x:c r="E185" s="75" t="n">
        <x:f>IF(COUNT(E21)=0,1,IF(E21&lt;0,1,0))</x:f>
        <x:v>0</x:v>
      </x:c>
      <x:c r="F185" s="75" t="n">
        <x:f>IF(COUNT(F21)=0,1,IF(F21&lt;0,1,0))</x:f>
        <x:v>0</x:v>
      </x:c>
      <x:c r="G185" s="75" t="n">
        <x:f>IF(COUNT(G21)=0,1,IF(G21&lt;0,1,0))</x:f>
        <x:v>0</x:v>
      </x:c>
      <x:c r="H185" s="75" t="n">
        <x:f>IF(COUNT(H21)=0,1,IF(H21&lt;0,1,0))</x:f>
        <x:v>0</x:v>
      </x:c>
      <x:c r="I185" s="75" t="n">
        <x:f>IF(COUNT(I21)=0,1,IF(I21&lt;0,1,0))</x:f>
        <x:v>0</x:v>
      </x:c>
      <x:c r="J185" s="1"/>
      <x:c r="K185" s="1"/>
    </x:row>
    <x:row r="186" ht="30" customHeight="1">
      <x:c r="A186" s="1"/>
      <x:c r="B186" s="1"/>
      <x:c r="C186" s="64" t="str">
        <x:v>Other cash operating costs / revenue input outside bounds</x:v>
      </x:c>
      <x:c r="D186" s="8"/>
      <x:c r="E186" s="75" t="n">
        <x:f>IF(COUNT(E22)=0,1,IF(E22&lt;0,1,0))</x:f>
        <x:v>0</x:v>
      </x:c>
      <x:c r="F186" s="75" t="n">
        <x:f>IF(COUNT(F22)=0,1,IF(F22&lt;0,1,0))</x:f>
        <x:v>0</x:v>
      </x:c>
      <x:c r="G186" s="75" t="n">
        <x:f>IF(COUNT(G22)=0,1,IF(G22&lt;0,1,0))</x:f>
        <x:v>0</x:v>
      </x:c>
      <x:c r="H186" s="75" t="n">
        <x:f>IF(COUNT(H22)=0,1,IF(H22&lt;0,1,0))</x:f>
        <x:v>0</x:v>
      </x:c>
      <x:c r="I186" s="75" t="n">
        <x:f>IF(COUNT(I22)=0,1,IF(I22&lt;0,1,0))</x:f>
        <x:v>0</x:v>
      </x:c>
      <x:c r="J186" s="1"/>
      <x:c r="K186" s="1"/>
    </x:row>
    <x:row r="187" ht="30" customHeight="1">
      <x:c r="A187" s="1"/>
      <x:c r="B187" s="1"/>
      <x:c r="C187" s="64" t="str">
        <x:v>Food, beverage and other / room revenue input outside bounds</x:v>
      </x:c>
      <x:c r="D187" s="8"/>
      <x:c r="E187" s="75" t="n">
        <x:f>IF(COUNT(E23)=0,1,IF(E23&lt;0,1,0))</x:f>
        <x:v>0</x:v>
      </x:c>
      <x:c r="F187" s="75" t="n">
        <x:f>IF(COUNT(F23)=0,1,IF(F23&lt;0,1,0))</x:f>
        <x:v>0</x:v>
      </x:c>
      <x:c r="G187" s="75" t="n">
        <x:f>IF(COUNT(G23)=0,1,IF(G23&lt;0,1,0))</x:f>
        <x:v>0</x:v>
      </x:c>
      <x:c r="H187" s="75" t="n">
        <x:f>IF(COUNT(H23)=0,1,IF(H23&lt;0,1,0))</x:f>
        <x:v>0</x:v>
      </x:c>
      <x:c r="I187" s="75" t="n">
        <x:f>IF(COUNT(I23)=0,1,IF(I23&lt;0,1,0))</x:f>
        <x:v>0</x:v>
      </x:c>
      <x:c r="J187" s="1"/>
      <x:c r="K187" s="1"/>
    </x:row>
    <x:row r="188" ht="30" customHeight="1">
      <x:c r="A188" s="1"/>
      <x:c r="B188" s="1"/>
      <x:c r="C188" s="64" t="str">
        <x:v>Cash capex / revenue input outside bounds</x:v>
      </x:c>
      <x:c r="D188" s="8"/>
      <x:c r="E188" s="75" t="n">
        <x:f>IF(COUNT(E24)=0,1,IF(E24&lt;0,1,0))</x:f>
        <x:v>0</x:v>
      </x:c>
      <x:c r="F188" s="75" t="n">
        <x:f>IF(COUNT(F24)=0,1,IF(F24&lt;0,1,0))</x:f>
        <x:v>0</x:v>
      </x:c>
      <x:c r="G188" s="75" t="n">
        <x:f>IF(COUNT(G24)=0,1,IF(G24&lt;0,1,0))</x:f>
        <x:v>0</x:v>
      </x:c>
      <x:c r="H188" s="75" t="n">
        <x:f>IF(COUNT(H24)=0,1,IF(H24&lt;0,1,0))</x:f>
        <x:v>0</x:v>
      </x:c>
      <x:c r="I188" s="75" t="n">
        <x:f>IF(COUNT(I24)=0,1,IF(I24&lt;0,1,0))</x:f>
        <x:v>0</x:v>
      </x:c>
      <x:c r="J188" s="1"/>
      <x:c r="K188" s="1"/>
    </x:row>
    <x:row r="189" ht="30" customHeight="1">
      <x:c r="A189" s="1"/>
      <x:c r="B189" s="1"/>
      <x:c r="C189" s="64" t="str">
        <x:v>D&amp;A / opening net PP&amp;E input outside bounds</x:v>
      </x:c>
      <x:c r="D189" s="8"/>
      <x:c r="E189" s="75" t="n">
        <x:f>IF(COUNT(E25)=0,1,IF(E25&lt;0,1,IF(E25&gt;1,1,0)))</x:f>
        <x:v>0</x:v>
      </x:c>
      <x:c r="F189" s="75" t="n">
        <x:f>IF(COUNT(F25)=0,1,IF(F25&lt;0,1,IF(F25&gt;1,1,0)))</x:f>
        <x:v>0</x:v>
      </x:c>
      <x:c r="G189" s="75" t="n">
        <x:f>IF(COUNT(G25)=0,1,IF(G25&lt;0,1,IF(G25&gt;1,1,0)))</x:f>
        <x:v>0</x:v>
      </x:c>
      <x:c r="H189" s="75" t="n">
        <x:f>IF(COUNT(H25)=0,1,IF(H25&lt;0,1,IF(H25&gt;1,1,0)))</x:f>
        <x:v>0</x:v>
      </x:c>
      <x:c r="I189" s="75" t="n">
        <x:f>IF(COUNT(I25)=0,1,IF(I25&lt;0,1,IF(I25&gt;1,1,0)))</x:f>
        <x:v>0</x:v>
      </x:c>
      <x:c r="J189" s="1"/>
      <x:c r="K189" s="1"/>
    </x:row>
    <x:row r="190" ht="30" customHeight="1">
      <x:c r="A190" s="1"/>
      <x:c r="B190" s="1"/>
      <x:c r="C190" s="64" t="str">
        <x:v>Receivable days input outside bounds</x:v>
      </x:c>
      <x:c r="D190" s="8"/>
      <x:c r="E190" s="75" t="n">
        <x:f>IF(COUNT(E26)=0,1,IF(E26&lt;0,1,0))</x:f>
        <x:v>0</x:v>
      </x:c>
      <x:c r="F190" s="75" t="n">
        <x:f>IF(COUNT(F26)=0,1,IF(F26&lt;0,1,0))</x:f>
        <x:v>0</x:v>
      </x:c>
      <x:c r="G190" s="75" t="n">
        <x:f>IF(COUNT(G26)=0,1,IF(G26&lt;0,1,0))</x:f>
        <x:v>0</x:v>
      </x:c>
      <x:c r="H190" s="75" t="n">
        <x:f>IF(COUNT(H26)=0,1,IF(H26&lt;0,1,0))</x:f>
        <x:v>0</x:v>
      </x:c>
      <x:c r="I190" s="75" t="n">
        <x:f>IF(COUNT(I26)=0,1,IF(I26&lt;0,1,0))</x:f>
        <x:v>0</x:v>
      </x:c>
      <x:c r="J190" s="1"/>
      <x:c r="K190" s="1"/>
    </x:row>
    <x:row r="191" ht="30" customHeight="1">
      <x:c r="A191" s="1"/>
      <x:c r="B191" s="1"/>
      <x:c r="C191" s="64" t="str">
        <x:v>Inventory days input outside bounds</x:v>
      </x:c>
      <x:c r="D191" s="8"/>
      <x:c r="E191" s="75" t="n">
        <x:f>IF(COUNT(E27)=0,1,IF(E27&lt;0,1,0))</x:f>
        <x:v>0</x:v>
      </x:c>
      <x:c r="F191" s="75" t="n">
        <x:f>IF(COUNT(F27)=0,1,IF(F27&lt;0,1,0))</x:f>
        <x:v>0</x:v>
      </x:c>
      <x:c r="G191" s="75" t="n">
        <x:f>IF(COUNT(G27)=0,1,IF(G27&lt;0,1,0))</x:f>
        <x:v>0</x:v>
      </x:c>
      <x:c r="H191" s="75" t="n">
        <x:f>IF(COUNT(H27)=0,1,IF(H27&lt;0,1,0))</x:f>
        <x:v>0</x:v>
      </x:c>
      <x:c r="I191" s="75" t="n">
        <x:f>IF(COUNT(I27)=0,1,IF(I27&lt;0,1,0))</x:f>
        <x:v>0</x:v>
      </x:c>
      <x:c r="J191" s="1"/>
      <x:c r="K191" s="1"/>
    </x:row>
    <x:row r="192" ht="30" customHeight="1">
      <x:c r="A192" s="1"/>
      <x:c r="B192" s="1"/>
      <x:c r="C192" s="64" t="str">
        <x:v>Payable days input outside bounds</x:v>
      </x:c>
      <x:c r="D192" s="8"/>
      <x:c r="E192" s="75" t="n">
        <x:f>IF(COUNT(E28)=0,1,IF(E28&lt;0,1,0))</x:f>
        <x:v>0</x:v>
      </x:c>
      <x:c r="F192" s="75" t="n">
        <x:f>IF(COUNT(F28)=0,1,IF(F28&lt;0,1,0))</x:f>
        <x:v>0</x:v>
      </x:c>
      <x:c r="G192" s="75" t="n">
        <x:f>IF(COUNT(G28)=0,1,IF(G28&lt;0,1,0))</x:f>
        <x:v>0</x:v>
      </x:c>
      <x:c r="H192" s="75" t="n">
        <x:f>IF(COUNT(H28)=0,1,IF(H28&lt;0,1,0))</x:f>
        <x:v>0</x:v>
      </x:c>
      <x:c r="I192" s="75" t="n">
        <x:f>IF(COUNT(I28)=0,1,IF(I28&lt;0,1,0))</x:f>
        <x:v>0</x:v>
      </x:c>
      <x:c r="J192" s="1"/>
      <x:c r="K192" s="1"/>
    </x:row>
    <x:row r="193" ht="30" customHeight="1">
      <x:c r="A193" s="1"/>
      <x:c r="B193" s="1"/>
      <x:c r="C193" s="64" t="str">
        <x:v>Effective cash tax rate input outside bounds</x:v>
      </x:c>
      <x:c r="D193" s="8"/>
      <x:c r="E193" s="75" t="n">
        <x:f>IF(COUNT(E29)=0,1,IF(E29&lt;0,1,IF(E29&gt;1,1,0)))</x:f>
        <x:v>0</x:v>
      </x:c>
      <x:c r="F193" s="75" t="n">
        <x:f>IF(COUNT(F29)=0,1,IF(F29&lt;0,1,IF(F29&gt;1,1,0)))</x:f>
        <x:v>0</x:v>
      </x:c>
      <x:c r="G193" s="75" t="n">
        <x:f>IF(COUNT(G29)=0,1,IF(G29&lt;0,1,IF(G29&gt;1,1,0)))</x:f>
        <x:v>0</x:v>
      </x:c>
      <x:c r="H193" s="75" t="n">
        <x:f>IF(COUNT(H29)=0,1,IF(H29&lt;0,1,IF(H29&gt;1,1,0)))</x:f>
        <x:v>0</x:v>
      </x:c>
      <x:c r="I193" s="75" t="n">
        <x:f>IF(COUNT(I29)=0,1,IF(I29&lt;0,1,IF(I29&gt;1,1,0)))</x:f>
        <x:v>0</x:v>
      </x:c>
      <x:c r="J193" s="1"/>
      <x:c r="K193" s="1"/>
    </x:row>
    <x:row r="194" ht="30" customHeight="1">
      <x:c r="A194" s="1"/>
      <x:c r="B194" s="1"/>
      <x:c r="C194" s="64" t="str">
        <x:v>Interest on opening debt input outside bounds</x:v>
      </x:c>
      <x:c r="D194" s="8"/>
      <x:c r="E194" s="75" t="n">
        <x:f>IF(COUNT(E30)=0,1,IF(E30&lt;0,1,0))</x:f>
        <x:v>0</x:v>
      </x:c>
      <x:c r="F194" s="75" t="n">
        <x:f>IF(COUNT(F30)=0,1,IF(F30&lt;0,1,0))</x:f>
        <x:v>0</x:v>
      </x:c>
      <x:c r="G194" s="75" t="n">
        <x:f>IF(COUNT(G30)=0,1,IF(G30&lt;0,1,0))</x:f>
        <x:v>0</x:v>
      </x:c>
      <x:c r="H194" s="75" t="n">
        <x:f>IF(COUNT(H30)=0,1,IF(H30&lt;0,1,0))</x:f>
        <x:v>0</x:v>
      </x:c>
      <x:c r="I194" s="75" t="n">
        <x:f>IF(COUNT(I30)=0,1,IF(I30&lt;0,1,0))</x:f>
        <x:v>0</x:v>
      </x:c>
      <x:c r="J194" s="1"/>
      <x:c r="K194" s="1"/>
    </x:row>
    <x:row r="195" ht="30" customHeight="1">
      <x:c r="A195" s="1"/>
      <x:c r="B195" s="1"/>
      <x:c r="C195" s="64" t="str">
        <x:v>New borrowing input outside bounds</x:v>
      </x:c>
      <x:c r="D195" s="8"/>
      <x:c r="E195" s="75" t="n">
        <x:f>IF(COUNT(E31)=0,1,IF(E31&lt;0,1,0))</x:f>
        <x:v>0</x:v>
      </x:c>
      <x:c r="F195" s="75" t="n">
        <x:f>IF(COUNT(F31)=0,1,IF(F31&lt;0,1,0))</x:f>
        <x:v>0</x:v>
      </x:c>
      <x:c r="G195" s="75" t="n">
        <x:f>IF(COUNT(G31)=0,1,IF(G31&lt;0,1,0))</x:f>
        <x:v>0</x:v>
      </x:c>
      <x:c r="H195" s="75" t="n">
        <x:f>IF(COUNT(H31)=0,1,IF(H31&lt;0,1,0))</x:f>
        <x:v>0</x:v>
      </x:c>
      <x:c r="I195" s="75" t="n">
        <x:f>IF(COUNT(I31)=0,1,IF(I31&lt;0,1,0))</x:f>
        <x:v>0</x:v>
      </x:c>
      <x:c r="J195" s="1"/>
      <x:c r="K195" s="1"/>
    </x:row>
    <x:row r="196" ht="30" customHeight="1">
      <x:c r="A196" s="1"/>
      <x:c r="B196" s="1"/>
      <x:c r="C196" s="64" t="str">
        <x:v>Scheduled principal repayment input outside bounds</x:v>
      </x:c>
      <x:c r="D196" s="8"/>
      <x:c r="E196" s="75" t="n">
        <x:f>IF(COUNT(E32)=0,1,IF(E32&lt;0,1,0))</x:f>
        <x:v>0</x:v>
      </x:c>
      <x:c r="F196" s="75" t="n">
        <x:f>IF(COUNT(F32)=0,1,IF(F32&lt;0,1,0))</x:f>
        <x:v>0</x:v>
      </x:c>
      <x:c r="G196" s="75" t="n">
        <x:f>IF(COUNT(G32)=0,1,IF(G32&lt;0,1,0))</x:f>
        <x:v>0</x:v>
      </x:c>
      <x:c r="H196" s="75" t="n">
        <x:f>IF(COUNT(H32)=0,1,IF(H32&lt;0,1,0))</x:f>
        <x:v>0</x:v>
      </x:c>
      <x:c r="I196" s="75" t="n">
        <x:f>IF(COUNT(I32)=0,1,IF(I32&lt;0,1,0))</x:f>
        <x:v>0</x:v>
      </x:c>
      <x:c r="J196" s="1"/>
      <x:c r="K196" s="1"/>
    </x:row>
    <x:row r="197" ht="30" customHeight="1">
      <x:c r="A197" s="1"/>
      <x:c r="B197" s="1"/>
      <x:c r="C197" s="64" t="str">
        <x:v>Dividend payout on positive PAT input outside bounds</x:v>
      </x:c>
      <x:c r="D197" s="8"/>
      <x:c r="E197" s="75" t="n">
        <x:f>IF(COUNT(E33)=0,1,IF(E33&lt;0,1,IF(E33&gt;1,1,0)))</x:f>
        <x:v>0</x:v>
      </x:c>
      <x:c r="F197" s="75" t="n">
        <x:f>IF(COUNT(F33)=0,1,IF(F33&lt;0,1,IF(F33&gt;1,1,0)))</x:f>
        <x:v>0</x:v>
      </x:c>
      <x:c r="G197" s="75" t="n">
        <x:f>IF(COUNT(G33)=0,1,IF(G33&lt;0,1,IF(G33&gt;1,1,0)))</x:f>
        <x:v>0</x:v>
      </x:c>
      <x:c r="H197" s="75" t="n">
        <x:f>IF(COUNT(H33)=0,1,IF(H33&lt;0,1,IF(H33&gt;1,1,0)))</x:f>
        <x:v>0</x:v>
      </x:c>
      <x:c r="I197" s="75" t="n">
        <x:f>IF(COUNT(I33)=0,1,IF(I33&lt;0,1,IF(I33&gt;1,1,0)))</x:f>
        <x:v>0</x:v>
      </x:c>
      <x:c r="J197" s="1"/>
      <x:c r="K197" s="1"/>
    </x:row>
    <x:row r="198" ht="30" customHeight="1">
      <x:c r="A198" s="1"/>
      <x:c r="B198" s="1"/>
      <x:c r="C198" s="64" t="str">
        <x:v>Opening net PP&amp;E input outside bounds</x:v>
      </x:c>
      <x:c r="D198" s="8"/>
      <x:c r="E198" s="75" t="n">
        <x:f>IF(COUNT(D35)=0,1,IF(D35&lt;0,1,0))</x:f>
        <x:v>0</x:v>
      </x:c>
      <x:c r="F198" s="75" t="n">
        <x:f>IF(COUNT(D35)=0,1,IF(D35&lt;0,1,0))</x:f>
        <x:v>0</x:v>
      </x:c>
      <x:c r="G198" s="75" t="n">
        <x:f>IF(COUNT(D35)=0,1,IF(D35&lt;0,1,0))</x:f>
        <x:v>0</x:v>
      </x:c>
      <x:c r="H198" s="75" t="n">
        <x:f>IF(COUNT(D35)=0,1,IF(D35&lt;0,1,0))</x:f>
        <x:v>0</x:v>
      </x:c>
      <x:c r="I198" s="75" t="n">
        <x:f>IF(COUNT(D35)=0,1,IF(D35&lt;0,1,0))</x:f>
        <x:v>0</x:v>
      </x:c>
      <x:c r="J198" s="1"/>
      <x:c r="K198" s="1"/>
    </x:row>
    <x:row r="199" ht="30" customHeight="1">
      <x:c r="A199" s="1"/>
      <x:c r="B199" s="1"/>
      <x:c r="C199" s="64" t="str">
        <x:v>Opening debt input outside bounds</x:v>
      </x:c>
      <x:c r="D199" s="8"/>
      <x:c r="E199" s="75" t="n">
        <x:f>IF(COUNT(D36)=0,1,IF(D36&lt;0,1,0))</x:f>
        <x:v>0</x:v>
      </x:c>
      <x:c r="F199" s="75" t="n">
        <x:f>IF(COUNT(D36)=0,1,IF(D36&lt;0,1,0))</x:f>
        <x:v>0</x:v>
      </x:c>
      <x:c r="G199" s="75" t="n">
        <x:f>IF(COUNT(D36)=0,1,IF(D36&lt;0,1,0))</x:f>
        <x:v>0</x:v>
      </x:c>
      <x:c r="H199" s="75" t="n">
        <x:f>IF(COUNT(D36)=0,1,IF(D36&lt;0,1,0))</x:f>
        <x:v>0</x:v>
      </x:c>
      <x:c r="I199" s="75" t="n">
        <x:f>IF(COUNT(D36)=0,1,IF(D36&lt;0,1,0))</x:f>
        <x:v>0</x:v>
      </x:c>
      <x:c r="J199" s="1"/>
      <x:c r="K199" s="1"/>
    </x:row>
    <x:row r="200" ht="30" customHeight="1">
      <x:c r="A200" s="1"/>
      <x:c r="B200" s="1"/>
      <x:c r="C200" s="64" t="str">
        <x:v>Opening cash input outside bounds</x:v>
      </x:c>
      <x:c r="D200" s="8"/>
      <x:c r="E200" s="75" t="n">
        <x:f>IF(COUNT(D37)=0,1,IF(D37&lt;0,1,0))</x:f>
        <x:v>0</x:v>
      </x:c>
      <x:c r="F200" s="75" t="n">
        <x:f>IF(COUNT(D37)=0,1,IF(D37&lt;0,1,0))</x:f>
        <x:v>0</x:v>
      </x:c>
      <x:c r="G200" s="75" t="n">
        <x:f>IF(COUNT(D37)=0,1,IF(D37&lt;0,1,0))</x:f>
        <x:v>0</x:v>
      </x:c>
      <x:c r="H200" s="75" t="n">
        <x:f>IF(COUNT(D37)=0,1,IF(D37&lt;0,1,0))</x:f>
        <x:v>0</x:v>
      </x:c>
      <x:c r="I200" s="75" t="n">
        <x:f>IF(COUNT(D37)=0,1,IF(D37&lt;0,1,0))</x:f>
        <x:v>0</x:v>
      </x:c>
      <x:c r="J200" s="1"/>
      <x:c r="K200" s="1"/>
    </x:row>
    <x:row r="201" ht="30" customHeight="1">
      <x:c r="A201" s="1"/>
      <x:c r="B201" s="1"/>
      <x:c r="C201" s="64" t="str">
        <x:v>Diluted shares (crore) input outside bounds</x:v>
      </x:c>
      <x:c r="D201" s="8"/>
      <x:c r="E201" s="75" t="n">
        <x:f>IF(COUNT(D39)=0,1,IF(D39&lt;0,1,0))</x:f>
        <x:v>0</x:v>
      </x:c>
      <x:c r="F201" s="75" t="n">
        <x:f>IF(COUNT(D39)=0,1,IF(D39&lt;0,1,0))</x:f>
        <x:v>0</x:v>
      </x:c>
      <x:c r="G201" s="75" t="n">
        <x:f>IF(COUNT(D39)=0,1,IF(D39&lt;0,1,0))</x:f>
        <x:v>0</x:v>
      </x:c>
      <x:c r="H201" s="75" t="n">
        <x:f>IF(COUNT(D39)=0,1,IF(D39&lt;0,1,0))</x:f>
        <x:v>0</x:v>
      </x:c>
      <x:c r="I201" s="75" t="n">
        <x:f>IF(COUNT(D39)=0,1,IF(D39&lt;0,1,0))</x:f>
        <x:v>0</x:v>
      </x:c>
      <x:c r="J201" s="1"/>
      <x:c r="K201" s="1"/>
    </x:row>
    <x:row r="202" ht="30" customHeight="1">
      <x:c r="A202" s="1"/>
      <x:c r="B202" s="1"/>
      <x:c r="C202" s="64" t="str">
        <x:v>WACC input outside bounds</x:v>
      </x:c>
      <x:c r="D202" s="8"/>
      <x:c r="E202" s="75" t="n">
        <x:f>IF(COUNT(D40)=0,1,IF(D40&lt;0,1,0))</x:f>
        <x:v>0</x:v>
      </x:c>
      <x:c r="F202" s="75" t="n">
        <x:f>IF(COUNT(D40)=0,1,IF(D40&lt;0,1,0))</x:f>
        <x:v>0</x:v>
      </x:c>
      <x:c r="G202" s="75" t="n">
        <x:f>IF(COUNT(D40)=0,1,IF(D40&lt;0,1,0))</x:f>
        <x:v>0</x:v>
      </x:c>
      <x:c r="H202" s="75" t="n">
        <x:f>IF(COUNT(D40)=0,1,IF(D40&lt;0,1,0))</x:f>
        <x:v>0</x:v>
      </x:c>
      <x:c r="I202" s="75" t="n">
        <x:f>IF(COUNT(D40)=0,1,IF(D40&lt;0,1,0))</x:f>
        <x:v>0</x:v>
      </x:c>
      <x:c r="J202" s="1"/>
      <x:c r="K202" s="1"/>
    </x:row>
    <x:row r="203" ht="30" customHeight="1">
      <x:c r="A203" s="1"/>
      <x:c r="B203" s="1"/>
      <x:c r="C203" s="64" t="str">
        <x:v>Terminal growth input outside bounds</x:v>
      </x:c>
      <x:c r="D203" s="8"/>
      <x:c r="E203" s="75" t="n">
        <x:f>IF(COUNT(D41)=0,1,IF(D41&lt;-1,1,0))</x:f>
        <x:v>0</x:v>
      </x:c>
      <x:c r="F203" s="75" t="n">
        <x:f>IF(COUNT(D41)=0,1,IF(D41&lt;-1,1,0))</x:f>
        <x:v>0</x:v>
      </x:c>
      <x:c r="G203" s="75" t="n">
        <x:f>IF(COUNT(D41)=0,1,IF(D41&lt;-1,1,0))</x:f>
        <x:v>0</x:v>
      </x:c>
      <x:c r="H203" s="75" t="n">
        <x:f>IF(COUNT(D41)=0,1,IF(D41&lt;-1,1,0))</x:f>
        <x:v>0</x:v>
      </x:c>
      <x:c r="I203" s="75" t="n">
        <x:f>IF(COUNT(D41)=0,1,IF(D41&lt;-1,1,0))</x:f>
        <x:v>0</x:v>
      </x:c>
      <x:c r="J203" s="1"/>
      <x:c r="K203" s="1"/>
    </x:row>
    <x:row r="204" ht="30" customHeight="1">
      <x:c r="A204" s="1"/>
      <x:c r="B204" s="1"/>
      <x:c r="C204" s="64" t="str">
        <x:v>Terminal incremental ROIC input outside bounds</x:v>
      </x:c>
      <x:c r="D204" s="8"/>
      <x:c r="E204" s="75" t="n">
        <x:f>IF(COUNT(D42)=0,1,IF(D42&lt;0,1,0))</x:f>
        <x:v>0</x:v>
      </x:c>
      <x:c r="F204" s="75" t="n">
        <x:f>IF(COUNT(D42)=0,1,IF(D42&lt;0,1,0))</x:f>
        <x:v>0</x:v>
      </x:c>
      <x:c r="G204" s="75" t="n">
        <x:f>IF(COUNT(D42)=0,1,IF(D42&lt;0,1,0))</x:f>
        <x:v>0</x:v>
      </x:c>
      <x:c r="H204" s="75" t="n">
        <x:f>IF(COUNT(D42)=0,1,IF(D42&lt;0,1,0))</x:f>
        <x:v>0</x:v>
      </x:c>
      <x:c r="I204" s="75" t="n">
        <x:f>IF(COUNT(D42)=0,1,IF(D42&lt;0,1,0))</x:f>
        <x:v>0</x:v>
      </x:c>
      <x:c r="J204" s="1"/>
      <x:c r="K204" s="1"/>
    </x:row>
    <x:row r="205" ht="30" customHeight="1">
      <x:c r="A205" s="1"/>
      <x:c r="B205" s="1"/>
      <x:c r="C205" s="64" t="str">
        <x:v>Forward EV / EBITDA input outside bounds</x:v>
      </x:c>
      <x:c r="D205" s="8"/>
      <x:c r="E205" s="75" t="n">
        <x:f>IF(COUNT(D43)=0,1,IF(D43&lt;0,1,0))</x:f>
        <x:v>0</x:v>
      </x:c>
      <x:c r="F205" s="75" t="n">
        <x:f>IF(COUNT(D43)=0,1,IF(D43&lt;0,1,0))</x:f>
        <x:v>0</x:v>
      </x:c>
      <x:c r="G205" s="75" t="n">
        <x:f>IF(COUNT(D43)=0,1,IF(D43&lt;0,1,0))</x:f>
        <x:v>0</x:v>
      </x:c>
      <x:c r="H205" s="75" t="n">
        <x:f>IF(COUNT(D43)=0,1,IF(D43&lt;0,1,0))</x:f>
        <x:v>0</x:v>
      </x:c>
      <x:c r="I205" s="75" t="n">
        <x:f>IF(COUNT(D43)=0,1,IF(D43&lt;0,1,0))</x:f>
        <x:v>0</x:v>
      </x:c>
      <x:c r="J205" s="1"/>
      <x:c r="K205" s="1"/>
    </x:row>
    <x:row r="206" ht="30" customHeight="1">
      <x:c r="A206" s="1"/>
      <x:c r="B206" s="1"/>
      <x:c r="C206" s="64" t="str">
        <x:v>Terminal valuation assumptions invalid</x:v>
      </x:c>
      <x:c r="D206" s="8"/>
      <x:c r="E206" s="75" t="n">
        <x:f>IF(D40&lt;=D41,1,IF(D42&lt;=0,1,IF(D41&gt;D42,1,0)))</x:f>
        <x:v>0</x:v>
      </x:c>
      <x:c r="F206" s="75" t="n">
        <x:f>IF(D40&lt;=D41,1,IF(D42&lt;=0,1,IF(D41&gt;D42,1,0)))</x:f>
        <x:v>0</x:v>
      </x:c>
      <x:c r="G206" s="75" t="n">
        <x:f>IF(D40&lt;=D41,1,IF(D42&lt;=0,1,IF(D41&gt;D42,1,0)))</x:f>
        <x:v>0</x:v>
      </x:c>
      <x:c r="H206" s="75" t="n">
        <x:f>IF(D40&lt;=D41,1,IF(D42&lt;=0,1,IF(D41&gt;D42,1,0)))</x:f>
        <x:v>0</x:v>
      </x:c>
      <x:c r="I206" s="75" t="n">
        <x:f>IF(D40&lt;=D41,1,IF(D42&lt;=0,1,IF(D41&gt;D42,1,0)))</x:f>
        <x:v>0</x:v>
      </x:c>
      <x:c r="J206" s="1"/>
      <x:c r="K206" s="1"/>
    </x:row>
    <x:row r="207" ht="30" customHeight="1">
      <x:c r="A207" s="1"/>
      <x:c r="B207" s="1"/>
      <x:c r="C207" s="64"/>
      <x:c r="D207" s="8"/>
      <x:c r="E207" s="8"/>
      <x:c r="F207" s="8"/>
      <x:c r="G207" s="8"/>
      <x:c r="H207" s="8"/>
      <x:c r="I207" s="8"/>
      <x:c r="J207" s="1"/>
      <x:c r="K207" s="1"/>
    </x:row>
    <x:row r="208" ht="30" customHeight="1">
      <x:c r="A208" s="1"/>
      <x:c r="B208" s="1"/>
      <x:c r="C208" s="64"/>
      <x:c r="D208" s="8"/>
      <x:c r="E208" s="8"/>
      <x:c r="F208" s="8"/>
      <x:c r="G208" s="8"/>
      <x:c r="H208" s="8"/>
      <x:c r="I208" s="8"/>
      <x:c r="J208" s="1"/>
      <x:c r="K208" s="1"/>
    </x:row>
    <x:row r="209" ht="30" customHeight="1">
      <x:c r="A209" s="1"/>
      <x:c r="B209" s="1"/>
      <x:c r="C209" s="64"/>
      <x:c r="D209" s="8"/>
      <x:c r="E209" s="8"/>
      <x:c r="F209" s="8"/>
      <x:c r="G209" s="8"/>
      <x:c r="H209" s="8"/>
      <x:c r="I209" s="8"/>
      <x:c r="J209" s="1"/>
      <x:c r="K209" s="1"/>
    </x:row>
    <x:row r="210" ht="30" customHeight="1">
      <x:c r="A210" s="1"/>
      <x:c r="B210" s="1"/>
      <x:c r="C210" s="64"/>
      <x:c r="D210" s="8"/>
      <x:c r="E210" s="8"/>
      <x:c r="F210" s="8"/>
      <x:c r="G210" s="8"/>
      <x:c r="H210" s="8"/>
      <x:c r="I210" s="8"/>
      <x:c r="J210" s="1"/>
      <x:c r="K210" s="1"/>
    </x:row>
    <x:row r="211" ht="30" customHeight="1">
      <x:c r="C211" s="64"/>
      <x:c r="D211" s="63"/>
      <x:c r="E211" s="63"/>
      <x:c r="F211" s="63"/>
      <x:c r="G211" s="63"/>
      <x:c r="H211" s="63"/>
      <x:c r="I211" s="63"/>
    </x:row>
    <x:row r="212" ht="30" customHeight="1">
      <x:c r="C212" s="64"/>
      <x:c r="D212" s="63"/>
      <x:c r="E212" s="63"/>
      <x:c r="F212" s="63"/>
      <x:c r="G212" s="63"/>
      <x:c r="H212" s="63"/>
      <x:c r="I212" s="63"/>
    </x:row>
    <x:row r="213" ht="30" customHeight="1">
      <x:c r="C213" s="64"/>
      <x:c r="D213" s="63"/>
      <x:c r="E213" s="63"/>
      <x:c r="F213" s="63"/>
      <x:c r="G213" s="63"/>
      <x:c r="H213" s="63"/>
      <x:c r="I213" s="63"/>
    </x:row>
    <x:row r="214" ht="30" customHeight="1">
      <x:c r="C214" s="64"/>
      <x:c r="D214" s="63"/>
      <x:c r="E214" s="63"/>
      <x:c r="F214" s="63"/>
      <x:c r="G214" s="63"/>
      <x:c r="H214" s="63"/>
      <x:c r="I214" s="63"/>
    </x:row>
    <x:row r="215" ht="30" customHeight="1">
      <x:c r="C215" s="64"/>
      <x:c r="D215" s="63"/>
      <x:c r="E215" s="63"/>
      <x:c r="F215" s="63"/>
      <x:c r="G215" s="63"/>
      <x:c r="H215" s="63"/>
      <x:c r="I215" s="63"/>
    </x:row>
    <x:row r="216" ht="30" customHeight="1">
      <x:c r="C216" s="64"/>
      <x:c r="D216" s="63"/>
      <x:c r="E216" s="63"/>
      <x:c r="F216" s="63"/>
      <x:c r="G216" s="63"/>
      <x:c r="H216" s="63"/>
      <x:c r="I216" s="63"/>
    </x:row>
    <x:row r="217" ht="30" customHeight="1">
      <x:c r="C217" s="64"/>
      <x:c r="D217" s="63"/>
      <x:c r="E217" s="63"/>
      <x:c r="F217" s="63"/>
      <x:c r="G217" s="63"/>
      <x:c r="H217" s="63"/>
      <x:c r="I217" s="63"/>
    </x:row>
    <x:row r="218" ht="30" customHeight="1">
      <x:c r="C218" s="64"/>
      <x:c r="D218" s="63"/>
      <x:c r="E218" s="63"/>
      <x:c r="F218" s="63"/>
      <x:c r="G218" s="63"/>
      <x:c r="H218" s="63"/>
      <x:c r="I218" s="63"/>
    </x:row>
    <x:row r="219" ht="30" customHeight="1">
      <x:c r="C219" s="64"/>
      <x:c r="D219" s="63"/>
      <x:c r="E219" s="63"/>
      <x:c r="F219" s="63"/>
      <x:c r="G219" s="63"/>
      <x:c r="H219" s="63"/>
      <x:c r="I219" s="63"/>
    </x:row>
    <x:row r="220" ht="30" customHeight="1">
      <x:c r="C220" s="64"/>
      <x:c r="D220" s="63"/>
      <x:c r="E220" s="63"/>
      <x:c r="F220" s="63"/>
      <x:c r="G220" s="63"/>
      <x:c r="H220" s="63"/>
      <x:c r="I220" s="63"/>
    </x:row>
    <x:row r="221" ht="30" customHeight="1">
      <x:c r="C221" s="64"/>
      <x:c r="D221" s="63"/>
      <x:c r="E221" s="63"/>
      <x:c r="F221" s="63"/>
      <x:c r="G221" s="63"/>
      <x:c r="H221" s="63"/>
      <x:c r="I221" s="63"/>
    </x:row>
    <x:row r="222" ht="30" customHeight="1">
      <x:c r="C222" s="64"/>
      <x:c r="D222" s="63"/>
      <x:c r="E222" s="63"/>
      <x:c r="F222" s="63"/>
      <x:c r="G222" s="63"/>
      <x:c r="H222" s="63"/>
      <x:c r="I222" s="63"/>
    </x:row>
    <x:row r="223" ht="30" customHeight="1">
      <x:c r="C223" s="64"/>
      <x:c r="D223" s="63"/>
      <x:c r="E223" s="63"/>
      <x:c r="F223" s="63"/>
      <x:c r="G223" s="63"/>
      <x:c r="H223" s="63"/>
      <x:c r="I223" s="63"/>
    </x:row>
    <x:row r="224" ht="30" customHeight="1">
      <x:c r="C224" s="64"/>
      <x:c r="D224" s="63"/>
      <x:c r="E224" s="63"/>
      <x:c r="F224" s="63"/>
      <x:c r="G224" s="63"/>
      <x:c r="H224" s="63"/>
      <x:c r="I224" s="63"/>
    </x:row>
    <x:row r="225" ht="30" customHeight="1">
      <x:c r="C225" s="64"/>
      <x:c r="D225" s="63"/>
      <x:c r="E225" s="63"/>
      <x:c r="F225" s="63"/>
      <x:c r="G225" s="63"/>
      <x:c r="H225" s="63"/>
      <x:c r="I225" s="63"/>
    </x:row>
    <x:row r="226" ht="30" customHeight="1">
      <x:c r="C226" s="64"/>
      <x:c r="D226" s="63"/>
      <x:c r="E226" s="63"/>
      <x:c r="F226" s="63"/>
      <x:c r="G226" s="63"/>
      <x:c r="H226" s="63"/>
      <x:c r="I226" s="63"/>
    </x:row>
    <x:row r="227" ht="30" customHeight="1">
      <x:c r="C227" s="64"/>
      <x:c r="D227" s="63"/>
      <x:c r="E227" s="63"/>
      <x:c r="F227" s="63"/>
      <x:c r="G227" s="63"/>
      <x:c r="H227" s="63"/>
      <x:c r="I227" s="63"/>
    </x:row>
    <x:row r="228" ht="30" customHeight="1">
      <x:c r="C228" s="64"/>
      <x:c r="D228" s="63"/>
      <x:c r="E228" s="63"/>
      <x:c r="F228" s="63"/>
      <x:c r="G228" s="63"/>
      <x:c r="H228" s="63"/>
      <x:c r="I228" s="63"/>
    </x:row>
    <x:row r="229" ht="30" customHeight="1">
      <x:c r="C229" s="64"/>
      <x:c r="D229" s="63"/>
      <x:c r="E229" s="63"/>
      <x:c r="F229" s="63"/>
      <x:c r="G229" s="63"/>
      <x:c r="H229" s="63"/>
      <x:c r="I229" s="63"/>
    </x:row>
    <x:row r="230" ht="30" customHeight="1">
      <x:c r="C230" s="64"/>
      <x:c r="D230" s="63"/>
      <x:c r="E230" s="63"/>
      <x:c r="F230" s="63"/>
      <x:c r="G230" s="63"/>
      <x:c r="H230" s="63"/>
      <x:c r="I230" s="63"/>
    </x:row>
    <x:row r="231" ht="30" customHeight="1">
      <x:c r="C231" s="64"/>
      <x:c r="D231" s="63"/>
      <x:c r="E231" s="63"/>
      <x:c r="F231" s="63"/>
      <x:c r="G231" s="63"/>
      <x:c r="H231" s="63"/>
      <x:c r="I231" s="63"/>
    </x:row>
    <x:row r="232" ht="30" customHeight="1">
      <x:c r="C232" s="64"/>
      <x:c r="D232" s="63"/>
      <x:c r="E232" s="63"/>
      <x:c r="F232" s="63"/>
      <x:c r="G232" s="63"/>
      <x:c r="H232" s="63"/>
      <x:c r="I232" s="63"/>
    </x:row>
    <x:row r="233" ht="30" customHeight="1">
      <x:c r="C233" s="64"/>
      <x:c r="D233" s="63"/>
      <x:c r="E233" s="63"/>
      <x:c r="F233" s="63"/>
      <x:c r="G233" s="63"/>
      <x:c r="H233" s="63"/>
      <x:c r="I233" s="63"/>
    </x:row>
    <x:row r="234" ht="30" customHeight="1">
      <x:c r="C234" s="64"/>
      <x:c r="D234" s="63"/>
      <x:c r="E234" s="63"/>
      <x:c r="F234" s="63"/>
      <x:c r="G234" s="63"/>
      <x:c r="H234" s="63"/>
      <x:c r="I234" s="63"/>
    </x:row>
    <x:row r="235" ht="30" customHeight="1">
      <x:c r="C235" s="64"/>
      <x:c r="D235" s="63"/>
      <x:c r="E235" s="63"/>
      <x:c r="F235" s="63"/>
      <x:c r="G235" s="63"/>
      <x:c r="H235" s="63"/>
      <x:c r="I235" s="63"/>
    </x:row>
    <x:row r="236" ht="30" customHeight="1">
      <x:c r="C236" s="64"/>
      <x:c r="D236" s="63"/>
      <x:c r="E236" s="63"/>
      <x:c r="F236" s="63"/>
      <x:c r="G236" s="63"/>
      <x:c r="H236" s="63"/>
      <x:c r="I236" s="63"/>
    </x:row>
    <x:row r="237" ht="30" customHeight="1">
      <x:c r="C237" s="64"/>
      <x:c r="D237" s="63"/>
      <x:c r="E237" s="63"/>
      <x:c r="F237" s="63"/>
      <x:c r="G237" s="63"/>
      <x:c r="H237" s="63"/>
      <x:c r="I237" s="63"/>
    </x:row>
    <x:row r="238" ht="30" customHeight="1">
      <x:c r="C238" s="64"/>
      <x:c r="D238" s="63"/>
      <x:c r="E238" s="63"/>
      <x:c r="F238" s="63"/>
      <x:c r="G238" s="63"/>
      <x:c r="H238" s="63"/>
      <x:c r="I238" s="63"/>
    </x:row>
    <x:row r="239" ht="30" customHeight="1">
      <x:c r="C239" s="64"/>
      <x:c r="D239" s="63"/>
      <x:c r="E239" s="63"/>
      <x:c r="F239" s="63"/>
      <x:c r="G239" s="63"/>
      <x:c r="H239" s="63"/>
      <x:c r="I239" s="63"/>
    </x:row>
    <x:row r="240" ht="30" customHeight="1">
      <x:c r="C240" s="64"/>
      <x:c r="D240" s="63"/>
      <x:c r="E240" s="63"/>
      <x:c r="F240" s="63"/>
      <x:c r="G240" s="63"/>
      <x:c r="H240" s="63"/>
      <x:c r="I240" s="63"/>
    </x:row>
    <x:row r="241" ht="30" customHeight="1">
      <x:c r="C241" s="64"/>
      <x:c r="D241" s="63"/>
      <x:c r="E241" s="63"/>
      <x:c r="F241" s="63"/>
      <x:c r="G241" s="63"/>
      <x:c r="H241" s="63"/>
      <x:c r="I241" s="63"/>
    </x:row>
    <x:row r="242" ht="30" customHeight="1">
      <x:c r="C242" s="64"/>
      <x:c r="D242" s="63"/>
      <x:c r="E242" s="63"/>
      <x:c r="F242" s="63"/>
      <x:c r="G242" s="63"/>
      <x:c r="H242" s="63"/>
      <x:c r="I242" s="63"/>
    </x:row>
    <x:row r="243" ht="30" customHeight="1">
      <x:c r="C243" s="64"/>
      <x:c r="D243" s="63"/>
      <x:c r="E243" s="63"/>
      <x:c r="F243" s="63"/>
      <x:c r="G243" s="63"/>
      <x:c r="H243" s="63"/>
      <x:c r="I243" s="63"/>
    </x:row>
    <x:row r="244" ht="30" customHeight="1">
      <x:c r="C244" s="64"/>
      <x:c r="D244" s="63"/>
      <x:c r="E244" s="63"/>
      <x:c r="F244" s="63"/>
      <x:c r="G244" s="63"/>
      <x:c r="H244" s="63"/>
      <x:c r="I244" s="63"/>
    </x:row>
    <x:row r="245" ht="30" customHeight="1">
      <x:c r="C245" s="64"/>
      <x:c r="D245" s="63"/>
      <x:c r="E245" s="63"/>
      <x:c r="F245" s="63"/>
      <x:c r="G245" s="63"/>
      <x:c r="H245" s="63"/>
      <x:c r="I245" s="63"/>
    </x:row>
    <x:row r="246" ht="30" customHeight="1">
      <x:c r="C246" s="64"/>
      <x:c r="D246" s="63"/>
      <x:c r="E246" s="63"/>
      <x:c r="F246" s="63"/>
      <x:c r="G246" s="63"/>
      <x:c r="H246" s="63"/>
      <x:c r="I246" s="63"/>
    </x:row>
    <x:row r="247" ht="30" customHeight="1">
      <x:c r="C247" s="64"/>
      <x:c r="D247" s="63"/>
      <x:c r="E247" s="63"/>
      <x:c r="F247" s="63"/>
      <x:c r="G247" s="63"/>
      <x:c r="H247" s="63"/>
      <x:c r="I247" s="63"/>
    </x:row>
    <x:row r="248" ht="30" customHeight="1">
      <x:c r="C248" s="64"/>
      <x:c r="D248" s="63"/>
      <x:c r="E248" s="63"/>
      <x:c r="F248" s="63"/>
      <x:c r="G248" s="63"/>
      <x:c r="H248" s="63"/>
      <x:c r="I248" s="63"/>
    </x:row>
    <x:row r="249" ht="30" customHeight="1">
      <x:c r="C249" s="64"/>
      <x:c r="D249" s="63"/>
      <x:c r="E249" s="63"/>
      <x:c r="F249" s="63"/>
      <x:c r="G249" s="63"/>
      <x:c r="H249" s="63"/>
      <x:c r="I249" s="63"/>
    </x:row>
    <x:row r="250" ht="30" customHeight="1">
      <x:c r="C250" s="64"/>
      <x:c r="D250" s="63"/>
      <x:c r="E250" s="63"/>
      <x:c r="F250" s="63"/>
      <x:c r="G250" s="63"/>
      <x:c r="H250" s="63"/>
      <x:c r="I250" s="63"/>
    </x:row>
    <x:row r="251" ht="30" customHeight="1">
      <x:c r="C251" s="64"/>
      <x:c r="D251" s="63"/>
      <x:c r="E251" s="63"/>
      <x:c r="F251" s="63"/>
      <x:c r="G251" s="63"/>
      <x:c r="H251" s="63"/>
      <x:c r="I251" s="63"/>
    </x:row>
    <x:row r="252" ht="30" customHeight="1">
      <x:c r="C252" s="64"/>
      <x:c r="D252" s="63"/>
      <x:c r="E252" s="63"/>
      <x:c r="F252" s="63"/>
      <x:c r="G252" s="63"/>
      <x:c r="H252" s="63"/>
      <x:c r="I252" s="63"/>
    </x:row>
    <x:row r="253" ht="30" customHeight="1">
      <x:c r="C253" s="64"/>
      <x:c r="D253" s="63"/>
      <x:c r="E253" s="63"/>
      <x:c r="F253" s="63"/>
      <x:c r="G253" s="63"/>
      <x:c r="H253" s="63"/>
      <x:c r="I253" s="63"/>
    </x:row>
    <x:row r="254" ht="30" customHeight="1">
      <x:c r="C254" s="64"/>
      <x:c r="D254" s="63"/>
      <x:c r="E254" s="63"/>
      <x:c r="F254" s="63"/>
      <x:c r="G254" s="63"/>
      <x:c r="H254" s="63"/>
      <x:c r="I254" s="63"/>
    </x:row>
    <x:row r="255" ht="30" customHeight="1">
      <x:c r="C255" s="64"/>
      <x:c r="D255" s="63"/>
      <x:c r="E255" s="63"/>
      <x:c r="F255" s="63"/>
      <x:c r="G255" s="63"/>
      <x:c r="H255" s="63"/>
      <x:c r="I255" s="63"/>
    </x:row>
    <x:row r="256" ht="30" customHeight="1">
      <x:c r="C256" s="64"/>
      <x:c r="D256" s="63"/>
      <x:c r="E256" s="63"/>
      <x:c r="F256" s="63"/>
      <x:c r="G256" s="63"/>
      <x:c r="H256" s="63"/>
      <x:c r="I256" s="63"/>
    </x:row>
    <x:row r="257" ht="30" customHeight="1">
      <x:c r="C257" s="64"/>
      <x:c r="D257" s="63"/>
      <x:c r="E257" s="63"/>
      <x:c r="F257" s="63"/>
      <x:c r="G257" s="63"/>
      <x:c r="H257" s="63"/>
      <x:c r="I257" s="63"/>
    </x:row>
    <x:row r="258" ht="30" customHeight="1">
      <x:c r="C258" s="64"/>
      <x:c r="D258" s="63"/>
      <x:c r="E258" s="63"/>
      <x:c r="F258" s="63"/>
      <x:c r="G258" s="63"/>
      <x:c r="H258" s="63"/>
      <x:c r="I258" s="63"/>
    </x:row>
    <x:row r="259" ht="30" customHeight="1">
      <x:c r="C259" s="64"/>
      <x:c r="D259" s="63"/>
      <x:c r="E259" s="63"/>
      <x:c r="F259" s="63"/>
      <x:c r="G259" s="63"/>
      <x:c r="H259" s="63"/>
      <x:c r="I259" s="63"/>
    </x:row>
    <x:row r="260" ht="30" customHeight="1">
      <x:c r="C260" s="64"/>
      <x:c r="D260" s="63"/>
      <x:c r="E260" s="63"/>
      <x:c r="F260" s="63"/>
      <x:c r="G260" s="63"/>
      <x:c r="H260" s="63"/>
      <x:c r="I260" s="63"/>
    </x:row>
    <x:row r="261" ht="30" customHeight="1">
      <x:c r="C261" s="64"/>
      <x:c r="D261" s="63"/>
      <x:c r="E261" s="63"/>
      <x:c r="F261" s="63"/>
      <x:c r="G261" s="63"/>
      <x:c r="H261" s="63"/>
      <x:c r="I261" s="63"/>
    </x:row>
    <x:row r="262" ht="30" customHeight="1">
      <x:c r="C262" s="64"/>
      <x:c r="D262" s="63"/>
      <x:c r="E262" s="63"/>
      <x:c r="F262" s="63"/>
      <x:c r="G262" s="63"/>
      <x:c r="H262" s="63"/>
      <x:c r="I262" s="63"/>
    </x:row>
    <x:row r="263" ht="30" customHeight="1">
      <x:c r="C263" s="64"/>
      <x:c r="D263" s="63"/>
      <x:c r="E263" s="63"/>
      <x:c r="F263" s="63"/>
      <x:c r="G263" s="63"/>
      <x:c r="H263" s="63"/>
      <x:c r="I263" s="63"/>
    </x:row>
    <x:row r="264" ht="30" customHeight="1">
      <x:c r="C264" s="64"/>
      <x:c r="D264" s="63"/>
      <x:c r="E264" s="63"/>
      <x:c r="F264" s="63"/>
      <x:c r="G264" s="63"/>
      <x:c r="H264" s="63"/>
      <x:c r="I264" s="63"/>
    </x:row>
    <x:row r="265" ht="30" customHeight="1">
      <x:c r="C265" s="64"/>
      <x:c r="D265" s="63"/>
      <x:c r="E265" s="63"/>
      <x:c r="F265" s="63"/>
      <x:c r="G265" s="63"/>
      <x:c r="H265" s="63"/>
      <x:c r="I265" s="63"/>
    </x:row>
    <x:row r="266" ht="30" customHeight="1">
      <x:c r="C266" s="64"/>
      <x:c r="D266" s="63"/>
      <x:c r="E266" s="63"/>
      <x:c r="F266" s="63"/>
      <x:c r="G266" s="63"/>
      <x:c r="H266" s="63"/>
      <x:c r="I266" s="63"/>
    </x:row>
    <x:row r="267" ht="30" customHeight="1">
      <x:c r="C267" s="64"/>
      <x:c r="D267" s="63"/>
      <x:c r="E267" s="63"/>
      <x:c r="F267" s="63"/>
      <x:c r="G267" s="63"/>
      <x:c r="H267" s="63"/>
      <x:c r="I267" s="63"/>
    </x:row>
    <x:row r="268" ht="30" customHeight="1">
      <x:c r="C268" s="64"/>
      <x:c r="D268" s="63"/>
      <x:c r="E268" s="63"/>
      <x:c r="F268" s="63"/>
      <x:c r="G268" s="63"/>
      <x:c r="H268" s="63"/>
      <x:c r="I268" s="63"/>
    </x:row>
    <x:row r="269" ht="30" customHeight="1">
      <x:c r="C269" s="64"/>
      <x:c r="D269" s="63"/>
      <x:c r="E269" s="63"/>
      <x:c r="F269" s="63"/>
      <x:c r="G269" s="63"/>
      <x:c r="H269" s="63"/>
      <x:c r="I269" s="63"/>
    </x:row>
    <x:row r="270" ht="30" customHeight="1">
      <x:c r="C270" s="64"/>
      <x:c r="D270" s="63"/>
      <x:c r="E270" s="63"/>
      <x:c r="F270" s="63"/>
      <x:c r="G270" s="63"/>
      <x:c r="H270" s="63"/>
      <x:c r="I270" s="63"/>
    </x:row>
    <x:row r="271" ht="30" customHeight="1">
      <x:c r="C271" s="64"/>
      <x:c r="D271" s="63"/>
      <x:c r="E271" s="63"/>
      <x:c r="F271" s="63"/>
      <x:c r="G271" s="63"/>
      <x:c r="H271" s="63"/>
      <x:c r="I271" s="63"/>
    </x:row>
    <x:row r="272" ht="30" customHeight="1">
      <x:c r="C272" s="64"/>
      <x:c r="D272" s="63"/>
      <x:c r="E272" s="63"/>
      <x:c r="F272" s="63"/>
      <x:c r="G272" s="63"/>
      <x:c r="H272" s="63"/>
      <x:c r="I272" s="63"/>
    </x:row>
    <x:row r="273" ht="30" customHeight="1">
      <x:c r="C273" s="64"/>
      <x:c r="D273" s="63"/>
      <x:c r="E273" s="63"/>
      <x:c r="F273" s="63"/>
      <x:c r="G273" s="63"/>
      <x:c r="H273" s="63"/>
      <x:c r="I273" s="63"/>
    </x:row>
    <x:row r="274" ht="30" customHeight="1">
      <x:c r="C274" s="64"/>
      <x:c r="D274" s="63"/>
      <x:c r="E274" s="63"/>
      <x:c r="F274" s="63"/>
      <x:c r="G274" s="63"/>
      <x:c r="H274" s="63"/>
      <x:c r="I274" s="63"/>
    </x:row>
    <x:row r="275" ht="30" customHeight="1">
      <x:c r="C275" s="64"/>
      <x:c r="D275" s="63"/>
      <x:c r="E275" s="63"/>
      <x:c r="F275" s="63"/>
      <x:c r="G275" s="63"/>
      <x:c r="H275" s="63"/>
      <x:c r="I275" s="63"/>
    </x:row>
    <x:row r="276" ht="30" customHeight="1">
      <x:c r="C276" s="64"/>
      <x:c r="D276" s="63"/>
      <x:c r="E276" s="63"/>
      <x:c r="F276" s="63"/>
      <x:c r="G276" s="63"/>
      <x:c r="H276" s="63"/>
      <x:c r="I276" s="63"/>
    </x:row>
    <x:row r="277" ht="30" customHeight="1">
      <x:c r="C277" s="64"/>
      <x:c r="D277" s="63"/>
      <x:c r="E277" s="63"/>
      <x:c r="F277" s="63"/>
      <x:c r="G277" s="63"/>
      <x:c r="H277" s="63"/>
      <x:c r="I277" s="63"/>
    </x:row>
    <x:row r="278" ht="30" customHeight="1">
      <x:c r="C278" s="64"/>
      <x:c r="D278" s="63"/>
      <x:c r="E278" s="63"/>
      <x:c r="F278" s="63"/>
      <x:c r="G278" s="63"/>
      <x:c r="H278" s="63"/>
      <x:c r="I278" s="63"/>
    </x:row>
    <x:row r="279" ht="30" customHeight="1">
      <x:c r="C279" s="64"/>
      <x:c r="D279" s="63"/>
      <x:c r="E279" s="63"/>
      <x:c r="F279" s="63"/>
      <x:c r="G279" s="63"/>
      <x:c r="H279" s="63"/>
      <x:c r="I279" s="63"/>
    </x:row>
    <x:row r="280" ht="30" customHeight="1">
      <x:c r="C280" s="64"/>
      <x:c r="D280" s="63"/>
      <x:c r="E280" s="63"/>
      <x:c r="F280" s="63"/>
      <x:c r="G280" s="63"/>
      <x:c r="H280" s="63"/>
      <x:c r="I280" s="63"/>
    </x:row>
    <x:row r="281" ht="30" customHeight="1">
      <x:c r="C281" s="64"/>
      <x:c r="D281" s="63"/>
      <x:c r="E281" s="63"/>
      <x:c r="F281" s="63"/>
      <x:c r="G281" s="63"/>
      <x:c r="H281" s="63"/>
      <x:c r="I281" s="63"/>
    </x:row>
    <x:row r="282" ht="30" customHeight="1">
      <x:c r="C282" s="64"/>
      <x:c r="D282" s="63"/>
      <x:c r="E282" s="63"/>
      <x:c r="F282" s="63"/>
      <x:c r="G282" s="63"/>
      <x:c r="H282" s="63"/>
      <x:c r="I282" s="63"/>
    </x:row>
    <x:row r="283" ht="30" customHeight="1">
      <x:c r="C283" s="64"/>
      <x:c r="D283" s="63"/>
      <x:c r="E283" s="63"/>
      <x:c r="F283" s="63"/>
      <x:c r="G283" s="63"/>
      <x:c r="H283" s="63"/>
      <x:c r="I283" s="63"/>
    </x:row>
    <x:row r="284" ht="30" customHeight="1">
      <x:c r="C284" s="64"/>
      <x:c r="D284" s="63"/>
      <x:c r="E284" s="63"/>
      <x:c r="F284" s="63"/>
      <x:c r="G284" s="63"/>
      <x:c r="H284" s="63"/>
      <x:c r="I284" s="63"/>
    </x:row>
    <x:row r="285" ht="30" customHeight="1">
      <x:c r="C285" s="64"/>
      <x:c r="D285" s="63"/>
      <x:c r="E285" s="63"/>
      <x:c r="F285" s="63"/>
      <x:c r="G285" s="63"/>
      <x:c r="H285" s="63"/>
      <x:c r="I285" s="63"/>
    </x:row>
    <x:row r="286" ht="30" customHeight="1">
      <x:c r="C286" s="64"/>
      <x:c r="D286" s="63"/>
      <x:c r="E286" s="63"/>
      <x:c r="F286" s="63"/>
      <x:c r="G286" s="63"/>
      <x:c r="H286" s="63"/>
      <x:c r="I286" s="63"/>
    </x:row>
    <x:row r="287" ht="30" customHeight="1">
      <x:c r="C287" s="64"/>
      <x:c r="D287" s="63"/>
      <x:c r="E287" s="63"/>
      <x:c r="F287" s="63"/>
      <x:c r="G287" s="63"/>
      <x:c r="H287" s="63"/>
      <x:c r="I287" s="63"/>
    </x:row>
    <x:row r="288" ht="30" customHeight="1">
      <x:c r="C288" s="64"/>
      <x:c r="D288" s="63"/>
      <x:c r="E288" s="63"/>
      <x:c r="F288" s="63"/>
      <x:c r="G288" s="63"/>
      <x:c r="H288" s="63"/>
      <x:c r="I288" s="63"/>
    </x:row>
    <x:row r="289" ht="30" customHeight="1">
      <x:c r="C289" s="64"/>
      <x:c r="D289" s="63"/>
      <x:c r="E289" s="63"/>
      <x:c r="F289" s="63"/>
      <x:c r="G289" s="63"/>
      <x:c r="H289" s="63"/>
      <x:c r="I289" s="63"/>
    </x:row>
    <x:row r="290" ht="30" customHeight="1">
      <x:c r="C290" s="64"/>
      <x:c r="D290" s="63"/>
      <x:c r="E290" s="63"/>
      <x:c r="F290" s="63"/>
      <x:c r="G290" s="63"/>
      <x:c r="H290" s="63"/>
      <x:c r="I290" s="63"/>
    </x:row>
    <x:row r="291" ht="30" customHeight="1">
      <x:c r="C291" s="64"/>
      <x:c r="D291" s="63"/>
      <x:c r="E291" s="63"/>
      <x:c r="F291" s="63"/>
      <x:c r="G291" s="63"/>
      <x:c r="H291" s="63"/>
      <x:c r="I291" s="63"/>
    </x:row>
    <x:row r="292" ht="30" customHeight="1">
      <x:c r="C292" s="64"/>
      <x:c r="D292" s="63"/>
      <x:c r="E292" s="63"/>
      <x:c r="F292" s="63"/>
      <x:c r="G292" s="63"/>
      <x:c r="H292" s="63"/>
      <x:c r="I292" s="63"/>
    </x:row>
    <x:row r="293" ht="30" customHeight="1">
      <x:c r="C293" s="64"/>
      <x:c r="D293" s="63"/>
      <x:c r="E293" s="63"/>
      <x:c r="F293" s="63"/>
      <x:c r="G293" s="63"/>
      <x:c r="H293" s="63"/>
      <x:c r="I293" s="63"/>
    </x:row>
    <x:row r="294" ht="30" customHeight="1">
      <x:c r="C294" s="64"/>
      <x:c r="D294" s="63"/>
      <x:c r="E294" s="63"/>
      <x:c r="F294" s="63"/>
      <x:c r="G294" s="63"/>
      <x:c r="H294" s="63"/>
      <x:c r="I294" s="63"/>
    </x:row>
    <x:row r="295" ht="30" customHeight="1">
      <x:c r="C295" s="64"/>
      <x:c r="D295" s="63"/>
      <x:c r="E295" s="63"/>
      <x:c r="F295" s="63"/>
      <x:c r="G295" s="63"/>
      <x:c r="H295" s="63"/>
      <x:c r="I295" s="63"/>
    </x:row>
    <x:row r="296" ht="30" customHeight="1">
      <x:c r="C296" s="64"/>
      <x:c r="D296" s="63"/>
      <x:c r="E296" s="63"/>
      <x:c r="F296" s="63"/>
      <x:c r="G296" s="63"/>
      <x:c r="H296" s="63"/>
      <x:c r="I296" s="63"/>
    </x:row>
    <x:row r="297" ht="30" customHeight="1">
      <x:c r="C297" s="64"/>
      <x:c r="D297" s="63"/>
      <x:c r="E297" s="63"/>
      <x:c r="F297" s="63"/>
      <x:c r="G297" s="63"/>
      <x:c r="H297" s="63"/>
      <x:c r="I297" s="63"/>
    </x:row>
    <x:row r="298" ht="30" customHeight="1">
      <x:c r="C298" s="64"/>
      <x:c r="D298" s="63"/>
      <x:c r="E298" s="63"/>
      <x:c r="F298" s="63"/>
      <x:c r="G298" s="63"/>
      <x:c r="H298" s="63"/>
      <x:c r="I298" s="63"/>
    </x:row>
    <x:row r="299" ht="30" customHeight="1">
      <x:c r="C299" s="64"/>
      <x:c r="D299" s="63"/>
      <x:c r="E299" s="63"/>
      <x:c r="F299" s="63"/>
      <x:c r="G299" s="63"/>
      <x:c r="H299" s="63"/>
      <x:c r="I299" s="63"/>
    </x:row>
    <x:row r="300" ht="30" customHeight="1">
      <x:c r="C300" s="64"/>
      <x:c r="D300" s="63"/>
      <x:c r="E300" s="63"/>
      <x:c r="F300" s="63"/>
      <x:c r="G300" s="63"/>
      <x:c r="H300" s="63"/>
      <x:c r="I300" s="63"/>
    </x:row>
    <x:row r="301" ht="30" customHeight="1">
      <x:c r="C301" s="64"/>
      <x:c r="D301" s="63"/>
      <x:c r="E301" s="63"/>
      <x:c r="F301" s="63"/>
      <x:c r="G301" s="63"/>
      <x:c r="H301" s="63"/>
      <x:c r="I301" s="63"/>
    </x:row>
    <x:row r="302" ht="30" customHeight="1">
      <x:c r="C302" s="64"/>
      <x:c r="D302" s="63"/>
      <x:c r="E302" s="63"/>
      <x:c r="F302" s="63"/>
      <x:c r="G302" s="63"/>
      <x:c r="H302" s="63"/>
      <x:c r="I302" s="63"/>
    </x:row>
    <x:row r="303" ht="30" customHeight="1">
      <x:c r="C303" s="64"/>
      <x:c r="D303" s="63"/>
      <x:c r="E303" s="63"/>
      <x:c r="F303" s="63"/>
      <x:c r="G303" s="63"/>
      <x:c r="H303" s="63"/>
      <x:c r="I303" s="63"/>
    </x:row>
    <x:row r="304" ht="30" customHeight="1">
      <x:c r="C304" s="64"/>
      <x:c r="D304" s="63"/>
      <x:c r="E304" s="63"/>
      <x:c r="F304" s="63"/>
      <x:c r="G304" s="63"/>
      <x:c r="H304" s="63"/>
      <x:c r="I304" s="63"/>
    </x:row>
    <x:row r="305" ht="30" customHeight="1">
      <x:c r="C305" s="64"/>
      <x:c r="D305" s="63"/>
      <x:c r="E305" s="63"/>
      <x:c r="F305" s="63"/>
      <x:c r="G305" s="63"/>
      <x:c r="H305" s="63"/>
      <x:c r="I305" s="63"/>
    </x:row>
    <x:row r="306" ht="30" customHeight="1">
      <x:c r="C306" s="64"/>
      <x:c r="D306" s="63"/>
      <x:c r="E306" s="63"/>
      <x:c r="F306" s="63"/>
      <x:c r="G306" s="63"/>
      <x:c r="H306" s="63"/>
      <x:c r="I306" s="63"/>
    </x:row>
    <x:row r="307" ht="30" customHeight="1">
      <x:c r="C307" s="64"/>
      <x:c r="D307" s="63"/>
      <x:c r="E307" s="63"/>
      <x:c r="F307" s="63"/>
      <x:c r="G307" s="63"/>
      <x:c r="H307" s="63"/>
      <x:c r="I307" s="63"/>
    </x:row>
    <x:row r="308" ht="30" customHeight="1">
      <x:c r="C308" s="64"/>
      <x:c r="D308" s="63"/>
      <x:c r="E308" s="63"/>
      <x:c r="F308" s="63"/>
      <x:c r="G308" s="63"/>
      <x:c r="H308" s="63"/>
      <x:c r="I308" s="63"/>
    </x:row>
    <x:row r="309" ht="30" customHeight="1">
      <x:c r="C309" s="64"/>
      <x:c r="D309" s="63"/>
      <x:c r="E309" s="63"/>
      <x:c r="F309" s="63"/>
      <x:c r="G309" s="63"/>
      <x:c r="H309" s="63"/>
      <x:c r="I309" s="63"/>
    </x:row>
    <x:row r="310" ht="30" customHeight="1">
      <x:c r="C310" s="64"/>
      <x:c r="D310" s="63"/>
      <x:c r="E310" s="63"/>
      <x:c r="F310" s="63"/>
      <x:c r="G310" s="63"/>
      <x:c r="H310" s="63"/>
      <x:c r="I310" s="63"/>
    </x:row>
    <x:row r="311" ht="30" customHeight="1">
      <x:c r="C311" s="64"/>
      <x:c r="D311" s="63"/>
      <x:c r="E311" s="63"/>
      <x:c r="F311" s="63"/>
      <x:c r="G311" s="63"/>
      <x:c r="H311" s="63"/>
      <x:c r="I311" s="63"/>
    </x:row>
    <x:row r="312" ht="30" customHeight="1">
      <x:c r="C312" s="64"/>
      <x:c r="D312" s="63"/>
      <x:c r="E312" s="63"/>
      <x:c r="F312" s="63"/>
      <x:c r="G312" s="63"/>
      <x:c r="H312" s="63"/>
      <x:c r="I312" s="63"/>
    </x:row>
    <x:row r="313" ht="30" customHeight="1">
      <x:c r="C313" s="64"/>
      <x:c r="D313" s="63"/>
      <x:c r="E313" s="63"/>
      <x:c r="F313" s="63"/>
      <x:c r="G313" s="63"/>
      <x:c r="H313" s="63"/>
      <x:c r="I313" s="63"/>
    </x:row>
    <x:row r="314" ht="30" customHeight="1">
      <x:c r="C314" s="64"/>
      <x:c r="D314" s="63"/>
      <x:c r="E314" s="63"/>
      <x:c r="F314" s="63"/>
      <x:c r="G314" s="63"/>
      <x:c r="H314" s="63"/>
      <x:c r="I314" s="63"/>
    </x:row>
    <x:row r="315" ht="30" customHeight="1">
      <x:c r="C315" s="64"/>
      <x:c r="D315" s="63"/>
      <x:c r="E315" s="63"/>
      <x:c r="F315" s="63"/>
      <x:c r="G315" s="63"/>
      <x:c r="H315" s="63"/>
      <x:c r="I315" s="63"/>
    </x:row>
    <x:row r="316" ht="30" customHeight="1">
      <x:c r="C316" s="64"/>
      <x:c r="D316" s="63"/>
      <x:c r="E316" s="63"/>
      <x:c r="F316" s="63"/>
      <x:c r="G316" s="63"/>
      <x:c r="H316" s="63"/>
      <x:c r="I316" s="63"/>
    </x:row>
    <x:row r="317" ht="30" customHeight="1">
      <x:c r="C317" s="64"/>
      <x:c r="D317" s="63"/>
      <x:c r="E317" s="63"/>
      <x:c r="F317" s="63"/>
      <x:c r="G317" s="63"/>
      <x:c r="H317" s="63"/>
      <x:c r="I317" s="63"/>
    </x:row>
    <x:row r="318" ht="30" customHeight="1">
      <x:c r="C318" s="64"/>
      <x:c r="D318" s="63"/>
      <x:c r="E318" s="63"/>
      <x:c r="F318" s="63"/>
      <x:c r="G318" s="63"/>
      <x:c r="H318" s="63"/>
      <x:c r="I318" s="63"/>
    </x:row>
    <x:row r="319" ht="30" customHeight="1">
      <x:c r="C319" s="64"/>
      <x:c r="D319" s="63"/>
      <x:c r="E319" s="63"/>
      <x:c r="F319" s="63"/>
      <x:c r="G319" s="63"/>
      <x:c r="H319" s="63"/>
      <x:c r="I319" s="63"/>
    </x:row>
    <x:row r="320" ht="30" customHeight="1">
      <x:c r="C320" s="64"/>
      <x:c r="D320" s="63"/>
      <x:c r="E320" s="63"/>
      <x:c r="F320" s="63"/>
      <x:c r="G320" s="63"/>
      <x:c r="H320" s="63"/>
      <x:c r="I320" s="63"/>
    </x:row>
    <x:row r="321" ht="30" customHeight="1">
      <x:c r="C321" s="64"/>
      <x:c r="D321" s="63"/>
      <x:c r="E321" s="63"/>
      <x:c r="F321" s="63"/>
      <x:c r="G321" s="63"/>
      <x:c r="H321" s="63"/>
      <x:c r="I321" s="63"/>
    </x:row>
    <x:row r="322" ht="30" customHeight="1">
      <x:c r="C322" s="64"/>
      <x:c r="D322" s="63"/>
      <x:c r="E322" s="63"/>
      <x:c r="F322" s="63"/>
      <x:c r="G322" s="63"/>
      <x:c r="H322" s="63"/>
      <x:c r="I322" s="63"/>
    </x:row>
    <x:row r="323" ht="30" customHeight="1">
      <x:c r="C323" s="64"/>
      <x:c r="D323" s="63"/>
      <x:c r="E323" s="63"/>
      <x:c r="F323" s="63"/>
      <x:c r="G323" s="63"/>
      <x:c r="H323" s="63"/>
      <x:c r="I323" s="63"/>
    </x:row>
    <x:row r="324" ht="30" customHeight="1">
      <x:c r="C324" s="64"/>
      <x:c r="D324" s="63"/>
      <x:c r="E324" s="63"/>
      <x:c r="F324" s="63"/>
      <x:c r="G324" s="63"/>
      <x:c r="H324" s="63"/>
      <x:c r="I324" s="63"/>
    </x:row>
    <x:row r="325" ht="30" customHeight="1">
      <x:c r="C325" s="64"/>
      <x:c r="D325" s="63"/>
      <x:c r="E325" s="63"/>
      <x:c r="F325" s="63"/>
      <x:c r="G325" s="63"/>
      <x:c r="H325" s="63"/>
      <x:c r="I325" s="63"/>
    </x:row>
    <x:row r="326" ht="30" customHeight="1">
      <x:c r="C326" s="64"/>
      <x:c r="D326" s="63"/>
      <x:c r="E326" s="63"/>
      <x:c r="F326" s="63"/>
      <x:c r="G326" s="63"/>
      <x:c r="H326" s="63"/>
      <x:c r="I326" s="63"/>
    </x:row>
    <x:row r="327" ht="30" customHeight="1">
      <x:c r="C327" s="64"/>
      <x:c r="D327" s="63"/>
      <x:c r="E327" s="63"/>
      <x:c r="F327" s="63"/>
      <x:c r="G327" s="63"/>
      <x:c r="H327" s="63"/>
      <x:c r="I327" s="63"/>
    </x:row>
    <x:row r="328" ht="30" customHeight="1">
      <x:c r="C328" s="64"/>
      <x:c r="D328" s="63"/>
      <x:c r="E328" s="63"/>
      <x:c r="F328" s="63"/>
      <x:c r="G328" s="63"/>
      <x:c r="H328" s="63"/>
      <x:c r="I328" s="63"/>
    </x:row>
    <x:row r="329" ht="30" customHeight="1">
      <x:c r="C329" s="64"/>
      <x:c r="D329" s="63"/>
      <x:c r="E329" s="63"/>
      <x:c r="F329" s="63"/>
      <x:c r="G329" s="63"/>
      <x:c r="H329" s="63"/>
      <x:c r="I329" s="63"/>
    </x:row>
    <x:row r="330" ht="30" customHeight="1">
      <x:c r="C330" s="64"/>
      <x:c r="D330" s="63"/>
      <x:c r="E330" s="63"/>
      <x:c r="F330" s="63"/>
      <x:c r="G330" s="63"/>
      <x:c r="H330" s="63"/>
      <x:c r="I330" s="63"/>
    </x:row>
    <x:row r="331" ht="30" customHeight="1">
      <x:c r="C331" s="64"/>
      <x:c r="D331" s="63"/>
      <x:c r="E331" s="63"/>
      <x:c r="F331" s="63"/>
      <x:c r="G331" s="63"/>
      <x:c r="H331" s="63"/>
      <x:c r="I331" s="63"/>
    </x:row>
    <x:row r="332" ht="30" customHeight="1">
      <x:c r="C332" s="64"/>
      <x:c r="D332" s="63"/>
      <x:c r="E332" s="63"/>
      <x:c r="F332" s="63"/>
      <x:c r="G332" s="63"/>
      <x:c r="H332" s="63"/>
      <x:c r="I332" s="63"/>
    </x:row>
    <x:row r="333" ht="30" customHeight="1">
      <x:c r="C333" s="64"/>
      <x:c r="D333" s="63"/>
      <x:c r="E333" s="63"/>
      <x:c r="F333" s="63"/>
      <x:c r="G333" s="63"/>
      <x:c r="H333" s="63"/>
      <x:c r="I333" s="63"/>
    </x:row>
    <x:row r="334" ht="30" customHeight="1">
      <x:c r="C334" s="64"/>
      <x:c r="D334" s="63"/>
      <x:c r="E334" s="63"/>
      <x:c r="F334" s="63"/>
      <x:c r="G334" s="63"/>
      <x:c r="H334" s="63"/>
      <x:c r="I334" s="63"/>
    </x:row>
    <x:row r="335" ht="30" customHeight="1">
      <x:c r="C335" s="64"/>
      <x:c r="D335" s="63"/>
      <x:c r="E335" s="63"/>
      <x:c r="F335" s="63"/>
      <x:c r="G335" s="63"/>
      <x:c r="H335" s="63"/>
      <x:c r="I335" s="63"/>
    </x:row>
    <x:row r="336" ht="30" customHeight="1">
      <x:c r="C336" s="64"/>
      <x:c r="D336" s="63"/>
      <x:c r="E336" s="63"/>
      <x:c r="F336" s="63"/>
      <x:c r="G336" s="63"/>
      <x:c r="H336" s="63"/>
      <x:c r="I336" s="63"/>
    </x:row>
    <x:row r="337" ht="30" customHeight="1">
      <x:c r="C337" s="64"/>
      <x:c r="D337" s="63"/>
      <x:c r="E337" s="63"/>
      <x:c r="F337" s="63"/>
      <x:c r="G337" s="63"/>
      <x:c r="H337" s="63"/>
      <x:c r="I337" s="63"/>
    </x:row>
    <x:row r="338" ht="30" customHeight="1">
      <x:c r="C338" s="64"/>
      <x:c r="D338" s="63"/>
      <x:c r="E338" s="63"/>
      <x:c r="F338" s="63"/>
      <x:c r="G338" s="63"/>
      <x:c r="H338" s="63"/>
      <x:c r="I338" s="63"/>
    </x:row>
    <x:row r="339" ht="30" customHeight="1">
      <x:c r="C339" s="64"/>
      <x:c r="D339" s="63"/>
      <x:c r="E339" s="63"/>
      <x:c r="F339" s="63"/>
      <x:c r="G339" s="63"/>
      <x:c r="H339" s="63"/>
      <x:c r="I339" s="63"/>
    </x:row>
    <x:row r="340" ht="30" customHeight="1">
      <x:c r="C340" s="64"/>
      <x:c r="D340" s="63"/>
      <x:c r="E340" s="63"/>
      <x:c r="F340" s="63"/>
      <x:c r="G340" s="63"/>
      <x:c r="H340" s="63"/>
      <x:c r="I340" s="63"/>
    </x:row>
    <x:row r="341" ht="30" customHeight="1">
      <x:c r="C341" s="64"/>
      <x:c r="D341" s="63"/>
      <x:c r="E341" s="63"/>
      <x:c r="F341" s="63"/>
      <x:c r="G341" s="63"/>
      <x:c r="H341" s="63"/>
      <x:c r="I341" s="63"/>
    </x:row>
    <x:row r="342" ht="30" customHeight="1">
      <x:c r="C342" s="64"/>
      <x:c r="D342" s="63"/>
      <x:c r="E342" s="63"/>
      <x:c r="F342" s="63"/>
      <x:c r="G342" s="63"/>
      <x:c r="H342" s="63"/>
      <x:c r="I342" s="63"/>
    </x:row>
    <x:row r="343" ht="30" customHeight="1">
      <x:c r="C343" s="64"/>
      <x:c r="D343" s="63"/>
      <x:c r="E343" s="63"/>
      <x:c r="F343" s="63"/>
      <x:c r="G343" s="63"/>
      <x:c r="H343" s="63"/>
      <x:c r="I343" s="63"/>
    </x:row>
    <x:row r="344" ht="30" customHeight="1">
      <x:c r="C344" s="64"/>
      <x:c r="D344" s="63"/>
      <x:c r="E344" s="63"/>
      <x:c r="F344" s="63"/>
      <x:c r="G344" s="63"/>
      <x:c r="H344" s="63"/>
      <x:c r="I344" s="63"/>
    </x:row>
    <x:row r="345" ht="30" customHeight="1">
      <x:c r="C345" s="64"/>
      <x:c r="D345" s="63"/>
      <x:c r="E345" s="63"/>
      <x:c r="F345" s="63"/>
      <x:c r="G345" s="63"/>
      <x:c r="H345" s="63"/>
      <x:c r="I345" s="63"/>
    </x:row>
    <x:row r="346" ht="30" customHeight="1">
      <x:c r="C346" s="64"/>
      <x:c r="D346" s="63"/>
      <x:c r="E346" s="63"/>
      <x:c r="F346" s="63"/>
      <x:c r="G346" s="63"/>
      <x:c r="H346" s="63"/>
      <x:c r="I346" s="63"/>
    </x:row>
    <x:row r="347" ht="30" customHeight="1">
      <x:c r="C347" s="64"/>
      <x:c r="D347" s="63"/>
      <x:c r="E347" s="63"/>
      <x:c r="F347" s="63"/>
      <x:c r="G347" s="63"/>
      <x:c r="H347" s="63"/>
      <x:c r="I347" s="63"/>
    </x:row>
    <x:row r="348" ht="30" customHeight="1">
      <x:c r="C348" s="64"/>
      <x:c r="D348" s="63"/>
      <x:c r="E348" s="63"/>
      <x:c r="F348" s="63"/>
      <x:c r="G348" s="63"/>
      <x:c r="H348" s="63"/>
      <x:c r="I348" s="63"/>
    </x:row>
    <x:row r="349" ht="30" customHeight="1">
      <x:c r="C349" s="64"/>
      <x:c r="D349" s="63"/>
      <x:c r="E349" s="63"/>
      <x:c r="F349" s="63"/>
      <x:c r="G349" s="63"/>
      <x:c r="H349" s="63"/>
      <x:c r="I349" s="63"/>
    </x:row>
    <x:row r="350" ht="30" customHeight="1">
      <x:c r="C350" s="64"/>
      <x:c r="D350" s="63"/>
      <x:c r="E350" s="63"/>
      <x:c r="F350" s="63"/>
      <x:c r="G350" s="63"/>
      <x:c r="H350" s="63"/>
      <x:c r="I350" s="63"/>
    </x:row>
    <x:row r="351" ht="30" customHeight="1">
      <x:c r="C351" s="64"/>
      <x:c r="D351" s="63"/>
      <x:c r="E351" s="63"/>
      <x:c r="F351" s="63"/>
      <x:c r="G351" s="63"/>
      <x:c r="H351" s="63"/>
      <x:c r="I351" s="63"/>
    </x:row>
    <x:row r="352" ht="30" customHeight="1">
      <x:c r="C352" s="64"/>
      <x:c r="D352" s="63"/>
      <x:c r="E352" s="63"/>
      <x:c r="F352" s="63"/>
      <x:c r="G352" s="63"/>
      <x:c r="H352" s="63"/>
      <x:c r="I352" s="63"/>
    </x:row>
    <x:row r="353" ht="30" customHeight="1">
      <x:c r="C353" s="64"/>
      <x:c r="D353" s="63"/>
      <x:c r="E353" s="63"/>
      <x:c r="F353" s="63"/>
      <x:c r="G353" s="63"/>
      <x:c r="H353" s="63"/>
      <x:c r="I353" s="63"/>
    </x:row>
    <x:row r="354" ht="30" customHeight="1">
      <x:c r="C354" s="64"/>
      <x:c r="D354" s="63"/>
      <x:c r="E354" s="63"/>
      <x:c r="F354" s="63"/>
      <x:c r="G354" s="63"/>
      <x:c r="H354" s="63"/>
      <x:c r="I354" s="63"/>
    </x:row>
    <x:row r="355" ht="30" customHeight="1">
      <x:c r="C355" s="64"/>
      <x:c r="D355" s="63"/>
      <x:c r="E355" s="63"/>
      <x:c r="F355" s="63"/>
      <x:c r="G355" s="63"/>
      <x:c r="H355" s="63"/>
      <x:c r="I355" s="63"/>
    </x:row>
    <x:row r="356" ht="30" customHeight="1">
      <x:c r="C356" s="64"/>
      <x:c r="D356" s="63"/>
      <x:c r="E356" s="63"/>
      <x:c r="F356" s="63"/>
      <x:c r="G356" s="63"/>
      <x:c r="H356" s="63"/>
      <x:c r="I356" s="63"/>
    </x:row>
    <x:row r="357" ht="30" customHeight="1">
      <x:c r="C357" s="64"/>
      <x:c r="D357" s="63"/>
      <x:c r="E357" s="63"/>
      <x:c r="F357" s="63"/>
      <x:c r="G357" s="63"/>
      <x:c r="H357" s="63"/>
      <x:c r="I357" s="63"/>
    </x:row>
    <x:row r="358" ht="30" customHeight="1">
      <x:c r="C358" s="64"/>
      <x:c r="D358" s="63"/>
      <x:c r="E358" s="63"/>
      <x:c r="F358" s="63"/>
      <x:c r="G358" s="63"/>
      <x:c r="H358" s="63"/>
      <x:c r="I358" s="63"/>
    </x:row>
    <x:row r="359" ht="30" customHeight="1">
      <x:c r="C359" s="64"/>
      <x:c r="D359" s="63"/>
      <x:c r="E359" s="63"/>
      <x:c r="F359" s="63"/>
      <x:c r="G359" s="63"/>
      <x:c r="H359" s="63"/>
      <x:c r="I359" s="63"/>
    </x:row>
    <x:row r="360" ht="30" customHeight="1">
      <x:c r="C360" s="64"/>
      <x:c r="D360" s="63"/>
      <x:c r="E360" s="63"/>
      <x:c r="F360" s="63"/>
      <x:c r="G360" s="63"/>
      <x:c r="H360" s="63"/>
      <x:c r="I360" s="63"/>
    </x:row>
    <x:row r="361" ht="30" customHeight="1">
      <x:c r="C361" s="64"/>
      <x:c r="D361" s="63"/>
      <x:c r="E361" s="63"/>
      <x:c r="F361" s="63"/>
      <x:c r="G361" s="63"/>
      <x:c r="H361" s="63"/>
      <x:c r="I361" s="63"/>
    </x:row>
    <x:row r="362" ht="30" customHeight="1">
      <x:c r="C362" s="64"/>
      <x:c r="D362" s="63"/>
      <x:c r="E362" s="63"/>
      <x:c r="F362" s="63"/>
      <x:c r="G362" s="63"/>
      <x:c r="H362" s="63"/>
      <x:c r="I362" s="63"/>
    </x:row>
    <x:row r="363" ht="30" customHeight="1">
      <x:c r="C363" s="64"/>
      <x:c r="D363" s="63"/>
      <x:c r="E363" s="63"/>
      <x:c r="F363" s="63"/>
      <x:c r="G363" s="63"/>
      <x:c r="H363" s="63"/>
      <x:c r="I363" s="63"/>
    </x:row>
    <x:row r="364" ht="30" customHeight="1">
      <x:c r="C364" s="64"/>
      <x:c r="D364" s="63"/>
      <x:c r="E364" s="63"/>
      <x:c r="F364" s="63"/>
      <x:c r="G364" s="63"/>
      <x:c r="H364" s="63"/>
      <x:c r="I364" s="63"/>
    </x:row>
    <x:row r="365" ht="30" customHeight="1">
      <x:c r="C365" s="64"/>
      <x:c r="D365" s="63"/>
      <x:c r="E365" s="63"/>
      <x:c r="F365" s="63"/>
      <x:c r="G365" s="63"/>
      <x:c r="H365" s="63"/>
      <x:c r="I365" s="63"/>
    </x:row>
    <x:row r="366" ht="30" customHeight="1">
      <x:c r="C366" s="64"/>
      <x:c r="D366" s="63"/>
      <x:c r="E366" s="63"/>
      <x:c r="F366" s="63"/>
      <x:c r="G366" s="63"/>
      <x:c r="H366" s="63"/>
      <x:c r="I366" s="63"/>
    </x:row>
    <x:row r="367" ht="30" customHeight="1">
      <x:c r="C367" s="64"/>
      <x:c r="D367" s="63"/>
      <x:c r="E367" s="63"/>
      <x:c r="F367" s="63"/>
      <x:c r="G367" s="63"/>
      <x:c r="H367" s="63"/>
      <x:c r="I367" s="63"/>
    </x:row>
    <x:row r="368" ht="30" customHeight="1">
      <x:c r="C368" s="64"/>
      <x:c r="D368" s="63"/>
      <x:c r="E368" s="63"/>
      <x:c r="F368" s="63"/>
      <x:c r="G368" s="63"/>
      <x:c r="H368" s="63"/>
      <x:c r="I368" s="63"/>
    </x:row>
    <x:row r="369" ht="30" customHeight="1">
      <x:c r="C369" s="64"/>
      <x:c r="D369" s="63"/>
      <x:c r="E369" s="63"/>
      <x:c r="F369" s="63"/>
      <x:c r="G369" s="63"/>
      <x:c r="H369" s="63"/>
      <x:c r="I369" s="63"/>
    </x:row>
    <x:row r="370" ht="30" customHeight="1">
      <x:c r="C370" s="64"/>
      <x:c r="D370" s="63"/>
      <x:c r="E370" s="63"/>
      <x:c r="F370" s="63"/>
      <x:c r="G370" s="63"/>
      <x:c r="H370" s="63"/>
      <x:c r="I370" s="63"/>
    </x:row>
    <x:row r="371" ht="30" customHeight="1">
      <x:c r="C371" s="64"/>
      <x:c r="D371" s="63"/>
      <x:c r="E371" s="63"/>
      <x:c r="F371" s="63"/>
      <x:c r="G371" s="63"/>
      <x:c r="H371" s="63"/>
      <x:c r="I371" s="63"/>
    </x:row>
    <x:row r="372" ht="30" customHeight="1">
      <x:c r="C372" s="64"/>
      <x:c r="D372" s="63"/>
      <x:c r="E372" s="63"/>
      <x:c r="F372" s="63"/>
      <x:c r="G372" s="63"/>
      <x:c r="H372" s="63"/>
      <x:c r="I372" s="63"/>
    </x:row>
    <x:row r="373" ht="30" customHeight="1">
      <x:c r="C373" s="64"/>
      <x:c r="D373" s="63"/>
      <x:c r="E373" s="63"/>
      <x:c r="F373" s="63"/>
      <x:c r="G373" s="63"/>
      <x:c r="H373" s="63"/>
      <x:c r="I373" s="63"/>
    </x:row>
    <x:row r="374" ht="30" customHeight="1">
      <x:c r="C374" s="64"/>
      <x:c r="D374" s="63"/>
      <x:c r="E374" s="63"/>
      <x:c r="F374" s="63"/>
      <x:c r="G374" s="63"/>
      <x:c r="H374" s="63"/>
      <x:c r="I374" s="63"/>
    </x:row>
    <x:row r="375" ht="30" customHeight="1">
      <x:c r="C375" s="64"/>
      <x:c r="D375" s="63"/>
      <x:c r="E375" s="63"/>
      <x:c r="F375" s="63"/>
      <x:c r="G375" s="63"/>
      <x:c r="H375" s="63"/>
      <x:c r="I375" s="63"/>
    </x:row>
    <x:row r="376" ht="30" customHeight="1">
      <x:c r="C376" s="64"/>
      <x:c r="D376" s="63"/>
      <x:c r="E376" s="63"/>
      <x:c r="F376" s="63"/>
      <x:c r="G376" s="63"/>
      <x:c r="H376" s="63"/>
      <x:c r="I376" s="63"/>
    </x:row>
    <x:row r="377" ht="30" customHeight="1">
      <x:c r="C377" s="64"/>
      <x:c r="D377" s="63"/>
      <x:c r="E377" s="63"/>
      <x:c r="F377" s="63"/>
      <x:c r="G377" s="63"/>
      <x:c r="H377" s="63"/>
      <x:c r="I377" s="63"/>
    </x:row>
    <x:row r="378" ht="30" customHeight="1">
      <x:c r="C378" s="64"/>
      <x:c r="D378" s="63"/>
      <x:c r="E378" s="63"/>
      <x:c r="F378" s="63"/>
      <x:c r="G378" s="63"/>
      <x:c r="H378" s="63"/>
      <x:c r="I378" s="63"/>
    </x:row>
    <x:row r="379" ht="30" customHeight="1">
      <x:c r="C379" s="64"/>
      <x:c r="D379" s="63"/>
      <x:c r="E379" s="63"/>
      <x:c r="F379" s="63"/>
      <x:c r="G379" s="63"/>
      <x:c r="H379" s="63"/>
      <x:c r="I379" s="63"/>
    </x:row>
    <x:row r="380" ht="30" customHeight="1">
      <x:c r="C380" s="64"/>
      <x:c r="D380" s="63"/>
      <x:c r="E380" s="63"/>
      <x:c r="F380" s="63"/>
      <x:c r="G380" s="63"/>
      <x:c r="H380" s="63"/>
      <x:c r="I380" s="63"/>
    </x:row>
    <x:row r="381" ht="30" customHeight="1">
      <x:c r="C381" s="64"/>
      <x:c r="D381" s="63"/>
      <x:c r="E381" s="63"/>
      <x:c r="F381" s="63"/>
      <x:c r="G381" s="63"/>
      <x:c r="H381" s="63"/>
      <x:c r="I381" s="63"/>
    </x:row>
    <x:row r="382" ht="30" customHeight="1">
      <x:c r="C382" s="64"/>
      <x:c r="D382" s="63"/>
      <x:c r="E382" s="63"/>
      <x:c r="F382" s="63"/>
      <x:c r="G382" s="63"/>
      <x:c r="H382" s="63"/>
      <x:c r="I382" s="63"/>
    </x:row>
    <x:row r="383" ht="30" customHeight="1">
      <x:c r="C383" s="64"/>
      <x:c r="D383" s="63"/>
      <x:c r="E383" s="63"/>
      <x:c r="F383" s="63"/>
      <x:c r="G383" s="63"/>
      <x:c r="H383" s="63"/>
      <x:c r="I383" s="63"/>
    </x:row>
    <x:row r="384" ht="30" customHeight="1">
      <x:c r="C384" s="64"/>
      <x:c r="D384" s="63"/>
      <x:c r="E384" s="63"/>
      <x:c r="F384" s="63"/>
      <x:c r="G384" s="63"/>
      <x:c r="H384" s="63"/>
      <x:c r="I384" s="63"/>
    </x:row>
    <x:row r="385" ht="30" customHeight="1">
      <x:c r="C385" s="64"/>
      <x:c r="D385" s="63"/>
      <x:c r="E385" s="63"/>
      <x:c r="F385" s="63"/>
      <x:c r="G385" s="63"/>
      <x:c r="H385" s="63"/>
      <x:c r="I385" s="63"/>
    </x:row>
    <x:row r="386" ht="30" customHeight="1">
      <x:c r="C386" s="64"/>
      <x:c r="D386" s="63"/>
      <x:c r="E386" s="63"/>
      <x:c r="F386" s="63"/>
      <x:c r="G386" s="63"/>
      <x:c r="H386" s="63"/>
      <x:c r="I386" s="63"/>
    </x:row>
    <x:row r="387" ht="30" customHeight="1">
      <x:c r="C387" s="64"/>
      <x:c r="D387" s="63"/>
      <x:c r="E387" s="63"/>
      <x:c r="F387" s="63"/>
      <x:c r="G387" s="63"/>
      <x:c r="H387" s="63"/>
      <x:c r="I387" s="63"/>
    </x:row>
    <x:row r="388" ht="30" customHeight="1">
      <x:c r="C388" s="64"/>
      <x:c r="D388" s="63"/>
      <x:c r="E388" s="63"/>
      <x:c r="F388" s="63"/>
      <x:c r="G388" s="63"/>
      <x:c r="H388" s="63"/>
      <x:c r="I388" s="63"/>
    </x:row>
    <x:row r="389" ht="30" customHeight="1">
      <x:c r="C389" s="64"/>
      <x:c r="D389" s="63"/>
      <x:c r="E389" s="63"/>
      <x:c r="F389" s="63"/>
      <x:c r="G389" s="63"/>
      <x:c r="H389" s="63"/>
      <x:c r="I389" s="63"/>
    </x:row>
    <x:row r="390" ht="30" customHeight="1">
      <x:c r="C390" s="64"/>
      <x:c r="D390" s="63"/>
      <x:c r="E390" s="63"/>
      <x:c r="F390" s="63"/>
      <x:c r="G390" s="63"/>
      <x:c r="H390" s="63"/>
      <x:c r="I390" s="63"/>
    </x:row>
    <x:row r="391" ht="30" customHeight="1">
      <x:c r="C391" s="64"/>
      <x:c r="D391" s="63"/>
      <x:c r="E391" s="63"/>
      <x:c r="F391" s="63"/>
      <x:c r="G391" s="63"/>
      <x:c r="H391" s="63"/>
      <x:c r="I391" s="63"/>
    </x:row>
    <x:row r="392" ht="30" customHeight="1">
      <x:c r="C392" s="64"/>
      <x:c r="D392" s="63"/>
      <x:c r="E392" s="63"/>
      <x:c r="F392" s="63"/>
      <x:c r="G392" s="63"/>
      <x:c r="H392" s="63"/>
      <x:c r="I392" s="63"/>
    </x:row>
    <x:row r="393" ht="30" customHeight="1">
      <x:c r="C393" s="64"/>
      <x:c r="D393" s="63"/>
      <x:c r="E393" s="63"/>
      <x:c r="F393" s="63"/>
      <x:c r="G393" s="63"/>
      <x:c r="H393" s="63"/>
      <x:c r="I393" s="63"/>
    </x:row>
    <x:row r="394" ht="30" customHeight="1">
      <x:c r="C394" s="64"/>
      <x:c r="D394" s="63"/>
      <x:c r="E394" s="63"/>
      <x:c r="F394" s="63"/>
      <x:c r="G394" s="63"/>
      <x:c r="H394" s="63"/>
      <x:c r="I394" s="63"/>
    </x:row>
    <x:row r="395" ht="30" customHeight="1">
      <x:c r="C395" s="64"/>
      <x:c r="D395" s="63"/>
      <x:c r="E395" s="63"/>
      <x:c r="F395" s="63"/>
      <x:c r="G395" s="63"/>
      <x:c r="H395" s="63"/>
      <x:c r="I395" s="63"/>
    </x:row>
    <x:row r="396" ht="30" customHeight="1">
      <x:c r="C396" s="64"/>
      <x:c r="D396" s="63"/>
      <x:c r="E396" s="63"/>
      <x:c r="F396" s="63"/>
      <x:c r="G396" s="63"/>
      <x:c r="H396" s="63"/>
      <x:c r="I396" s="63"/>
    </x:row>
    <x:row r="397" ht="30" customHeight="1">
      <x:c r="C397" s="64"/>
      <x:c r="D397" s="63"/>
      <x:c r="E397" s="63"/>
      <x:c r="F397" s="63"/>
      <x:c r="G397" s="63"/>
      <x:c r="H397" s="63"/>
      <x:c r="I397" s="63"/>
    </x:row>
    <x:row r="398" ht="25" customHeight="1">
      <x:c r="C398" s="68" t="str">
        <x:v>SCENARIO ASSUMPTIONS</x:v>
      </x:c>
      <x:c r="D398" s="82"/>
      <x:c r="E398" s="82"/>
      <x:c r="F398" s="82"/>
      <x:c r="G398" s="82"/>
      <x:c r="H398" s="82"/>
      <x:c r="I398" s="82"/>
    </x:row>
    <x:row r="399" ht="30" customHeight="1">
      <x:c r="C399" s="64"/>
      <x:c r="D399" s="63"/>
      <x:c r="E399" s="63"/>
      <x:c r="F399" s="63"/>
      <x:c r="G399" s="63"/>
      <x:c r="H399" s="63"/>
      <x:c r="I399" s="63"/>
    </x:row>
    <x:row r="400" ht="30" customHeight="1">
      <x:c r="C400" s="64" t="str">
        <x:v>Occupancy — active</x:v>
      </x:c>
      <x:c r="D400" s="63"/>
      <x:c r="E400" s="83" t="n">
        <x:f>IF(COUNT(CHOOSE('Controls'!$E$5,E401,E402,E403))=1,CHOOSE('Controls'!$E$5,E401,E402,E403),NA())</x:f>
        <x:v>0.7</x:v>
      </x:c>
      <x:c r="F400" s="83" t="n">
        <x:f>IF(COUNT(CHOOSE('Controls'!$E$5,F401,F402,F403))=1,CHOOSE('Controls'!$E$5,F401,F402,F403),NA())</x:f>
        <x:v>0.7</x:v>
      </x:c>
      <x:c r="G400" s="83" t="n">
        <x:f>IF(COUNT(CHOOSE('Controls'!$E$5,G401,G402,G403))=1,CHOOSE('Controls'!$E$5,G401,G402,G403),NA())</x:f>
        <x:v>0.7</x:v>
      </x:c>
      <x:c r="H400" s="83" t="n">
        <x:f>IF(COUNT(CHOOSE('Controls'!$E$5,H401,H402,H403))=1,CHOOSE('Controls'!$E$5,H401,H402,H403),NA())</x:f>
        <x:v>0.7</x:v>
      </x:c>
      <x:c r="I400" s="83" t="n">
        <x:f>IF(COUNT(CHOOSE('Controls'!$E$5,I401,I402,I403))=1,CHOOSE('Controls'!$E$5,I401,I402,I403),NA())</x:f>
        <x:v>0.7</x:v>
      </x:c>
    </x:row>
    <x:row r="401" ht="30" customHeight="1">
      <x:c r="C401" s="64" t="str">
        <x:v>Base</x:v>
      </x:c>
      <x:c r="D401" s="63"/>
      <x:c r="E401" s="85" t="n">
        <x:v>0.7</x:v>
      </x:c>
      <x:c r="F401" s="85" t="n">
        <x:v>0.7</x:v>
      </x:c>
      <x:c r="G401" s="85" t="n">
        <x:v>0.7</x:v>
      </x:c>
      <x:c r="H401" s="85" t="n">
        <x:v>0.7</x:v>
      </x:c>
      <x:c r="I401" s="85" t="n">
        <x:v>0.7</x:v>
      </x:c>
    </x:row>
    <x:row r="402" ht="30" customHeight="1">
      <x:c r="C402" s="64" t="str">
        <x:v>Downside</x:v>
      </x:c>
      <x:c r="D402" s="63"/>
      <x:c r="E402" s="85" t="n">
        <x:v>0.7</x:v>
      </x:c>
      <x:c r="F402" s="85" t="n">
        <x:v>0.7</x:v>
      </x:c>
      <x:c r="G402" s="85" t="n">
        <x:v>0.7</x:v>
      </x:c>
      <x:c r="H402" s="85" t="n">
        <x:v>0.7</x:v>
      </x:c>
      <x:c r="I402" s="85" t="n">
        <x:v>0.7</x:v>
      </x:c>
    </x:row>
    <x:row r="403" ht="30" customHeight="1">
      <x:c r="C403" s="64" t="str">
        <x:v>Upside</x:v>
      </x:c>
      <x:c r="D403" s="63"/>
      <x:c r="E403" s="85" t="n">
        <x:v>0.7</x:v>
      </x:c>
      <x:c r="F403" s="85" t="n">
        <x:v>0.7</x:v>
      </x:c>
      <x:c r="G403" s="85" t="n">
        <x:v>0.7</x:v>
      </x:c>
      <x:c r="H403" s="85" t="n">
        <x:v>0.7</x:v>
      </x:c>
      <x:c r="I403" s="85" t="n">
        <x:v>0.7</x:v>
      </x:c>
    </x:row>
    <x:row r="404" ht="30" customHeight="1">
      <x:c r="C404" s="64"/>
      <x:c r="D404" s="63"/>
      <x:c r="E404" s="63"/>
      <x:c r="F404" s="63"/>
      <x:c r="G404" s="63"/>
      <x:c r="H404" s="63"/>
      <x:c r="I404" s="63"/>
    </x:row>
    <x:row r="405" ht="30" customHeight="1">
      <x:c r="C405" s="64" t="str">
        <x:v>Rooms and food variable cost / revenue — active</x:v>
      </x:c>
      <x:c r="D405" s="63"/>
      <x:c r="E405" s="83" t="n">
        <x:f>IF(COUNT(CHOOSE('Controls'!$E$5,E406,E407,E408))=1,CHOOSE('Controls'!$E$5,E406,E407,E408),NA())</x:f>
        <x:v>0.32</x:v>
      </x:c>
      <x:c r="F405" s="83" t="n">
        <x:f>IF(COUNT(CHOOSE('Controls'!$E$5,F406,F407,F408))=1,CHOOSE('Controls'!$E$5,F406,F407,F408),NA())</x:f>
        <x:v>0.32</x:v>
      </x:c>
      <x:c r="G405" s="83" t="n">
        <x:f>IF(COUNT(CHOOSE('Controls'!$E$5,G406,G407,G408))=1,CHOOSE('Controls'!$E$5,G406,G407,G408),NA())</x:f>
        <x:v>0.32</x:v>
      </x:c>
      <x:c r="H405" s="83" t="n">
        <x:f>IF(COUNT(CHOOSE('Controls'!$E$5,H406,H407,H408))=1,CHOOSE('Controls'!$E$5,H406,H407,H408),NA())</x:f>
        <x:v>0.32</x:v>
      </x:c>
      <x:c r="I405" s="83" t="n">
        <x:f>IF(COUNT(CHOOSE('Controls'!$E$5,I406,I407,I408))=1,CHOOSE('Controls'!$E$5,I406,I407,I408),NA())</x:f>
        <x:v>0.32</x:v>
      </x:c>
    </x:row>
    <x:row r="406" ht="30" customHeight="1">
      <x:c r="C406" s="64" t="str">
        <x:v>Base</x:v>
      </x:c>
      <x:c r="D406" s="63"/>
      <x:c r="E406" s="85" t="n">
        <x:v>0.32</x:v>
      </x:c>
      <x:c r="F406" s="85" t="n">
        <x:v>0.32</x:v>
      </x:c>
      <x:c r="G406" s="85" t="n">
        <x:v>0.32</x:v>
      </x:c>
      <x:c r="H406" s="85" t="n">
        <x:v>0.32</x:v>
      </x:c>
      <x:c r="I406" s="85" t="n">
        <x:v>0.32</x:v>
      </x:c>
    </x:row>
    <x:row r="407" ht="30" customHeight="1">
      <x:c r="C407" s="64" t="str">
        <x:v>Downside</x:v>
      </x:c>
      <x:c r="D407" s="63"/>
      <x:c r="E407" s="85" t="n">
        <x:v>0.32</x:v>
      </x:c>
      <x:c r="F407" s="85" t="n">
        <x:v>0.32</x:v>
      </x:c>
      <x:c r="G407" s="85" t="n">
        <x:v>0.32</x:v>
      </x:c>
      <x:c r="H407" s="85" t="n">
        <x:v>0.32</x:v>
      </x:c>
      <x:c r="I407" s="85" t="n">
        <x:v>0.32</x:v>
      </x:c>
    </x:row>
    <x:row r="408" ht="30" customHeight="1">
      <x:c r="C408" s="64" t="str">
        <x:v>Upside</x:v>
      </x:c>
      <x:c r="D408" s="63"/>
      <x:c r="E408" s="85" t="n">
        <x:v>0.32</x:v>
      </x:c>
      <x:c r="F408" s="85" t="n">
        <x:v>0.32</x:v>
      </x:c>
      <x:c r="G408" s="85" t="n">
        <x:v>0.32</x:v>
      </x:c>
      <x:c r="H408" s="85" t="n">
        <x:v>0.32</x:v>
      </x:c>
      <x:c r="I408" s="85" t="n">
        <x:v>0.32</x:v>
      </x:c>
    </x:row>
    <x:row r="409" ht="30" customHeight="1">
      <x:c r="C409" s="64"/>
      <x:c r="D409" s="63"/>
      <x:c r="E409" s="63"/>
      <x:c r="F409" s="63"/>
      <x:c r="G409" s="63"/>
      <x:c r="H409" s="63"/>
      <x:c r="I409" s="63"/>
    </x:row>
    <x:row r="410" ht="30" customHeight="1">
      <x:c r="C410" s="64" t="str">
        <x:v>Other cash operating costs / revenue — active</x:v>
      </x:c>
      <x:c r="D410" s="63"/>
      <x:c r="E410" s="83" t="n">
        <x:f>IF(COUNT(CHOOSE('Controls'!$E$5,E411,E412,E413))=1,CHOOSE('Controls'!$E$5,E411,E412,E413),NA())</x:f>
        <x:v>0.36</x:v>
      </x:c>
      <x:c r="F410" s="83" t="n">
        <x:f>IF(COUNT(CHOOSE('Controls'!$E$5,F411,F412,F413))=1,CHOOSE('Controls'!$E$5,F411,F412,F413),NA())</x:f>
        <x:v>0.36</x:v>
      </x:c>
      <x:c r="G410" s="83" t="n">
        <x:f>IF(COUNT(CHOOSE('Controls'!$E$5,G411,G412,G413))=1,CHOOSE('Controls'!$E$5,G411,G412,G413),NA())</x:f>
        <x:v>0.36</x:v>
      </x:c>
      <x:c r="H410" s="83" t="n">
        <x:f>IF(COUNT(CHOOSE('Controls'!$E$5,H411,H412,H413))=1,CHOOSE('Controls'!$E$5,H411,H412,H413),NA())</x:f>
        <x:v>0.36</x:v>
      </x:c>
      <x:c r="I410" s="83" t="n">
        <x:f>IF(COUNT(CHOOSE('Controls'!$E$5,I411,I412,I413))=1,CHOOSE('Controls'!$E$5,I411,I412,I413),NA())</x:f>
        <x:v>0.36</x:v>
      </x:c>
    </x:row>
    <x:row r="411" ht="30" customHeight="1">
      <x:c r="C411" s="64" t="str">
        <x:v>Base</x:v>
      </x:c>
      <x:c r="D411" s="63"/>
      <x:c r="E411" s="85" t="n">
        <x:v>0.36</x:v>
      </x:c>
      <x:c r="F411" s="85" t="n">
        <x:v>0.36</x:v>
      </x:c>
      <x:c r="G411" s="85" t="n">
        <x:v>0.36</x:v>
      </x:c>
      <x:c r="H411" s="85" t="n">
        <x:v>0.36</x:v>
      </x:c>
      <x:c r="I411" s="85" t="n">
        <x:v>0.36</x:v>
      </x:c>
    </x:row>
    <x:row r="412" ht="30" customHeight="1">
      <x:c r="C412" s="64" t="str">
        <x:v>Downside</x:v>
      </x:c>
      <x:c r="D412" s="63"/>
      <x:c r="E412" s="85" t="n">
        <x:v>0.36</x:v>
      </x:c>
      <x:c r="F412" s="85" t="n">
        <x:v>0.36</x:v>
      </x:c>
      <x:c r="G412" s="85" t="n">
        <x:v>0.36</x:v>
      </x:c>
      <x:c r="H412" s="85" t="n">
        <x:v>0.36</x:v>
      </x:c>
      <x:c r="I412" s="85" t="n">
        <x:v>0.36</x:v>
      </x:c>
    </x:row>
    <x:row r="413" ht="30" customHeight="1">
      <x:c r="C413" s="64" t="str">
        <x:v>Upside</x:v>
      </x:c>
      <x:c r="D413" s="63"/>
      <x:c r="E413" s="85" t="n">
        <x:v>0.36</x:v>
      </x:c>
      <x:c r="F413" s="85" t="n">
        <x:v>0.36</x:v>
      </x:c>
      <x:c r="G413" s="85" t="n">
        <x:v>0.36</x:v>
      </x:c>
      <x:c r="H413" s="85" t="n">
        <x:v>0.36</x:v>
      </x:c>
      <x:c r="I413" s="85" t="n">
        <x:v>0.36</x:v>
      </x:c>
    </x:row>
    <x:row r="414" ht="30" customHeight="1">
      <x:c r="C414" s="64"/>
      <x:c r="D414" s="63"/>
      <x:c r="E414" s="63"/>
      <x:c r="F414" s="63"/>
      <x:c r="G414" s="63"/>
      <x:c r="H414" s="63"/>
      <x:c r="I414" s="63"/>
    </x:row>
    <x:row r="415" ht="30" customHeight="1">
      <x:c r="C415" s="64" t="str">
        <x:v>Food, beverage and other / room revenue — active</x:v>
      </x:c>
      <x:c r="D415" s="63"/>
      <x:c r="E415" s="83" t="n">
        <x:f>IF(COUNT(CHOOSE('Controls'!$E$5,E416,E417,E418))=1,CHOOSE('Controls'!$E$5,E416,E417,E418),NA())</x:f>
        <x:v>0.45</x:v>
      </x:c>
      <x:c r="F415" s="83" t="n">
        <x:f>IF(COUNT(CHOOSE('Controls'!$E$5,F416,F417,F418))=1,CHOOSE('Controls'!$E$5,F416,F417,F418),NA())</x:f>
        <x:v>0.45</x:v>
      </x:c>
      <x:c r="G415" s="83" t="n">
        <x:f>IF(COUNT(CHOOSE('Controls'!$E$5,G416,G417,G418))=1,CHOOSE('Controls'!$E$5,G416,G417,G418),NA())</x:f>
        <x:v>0.45</x:v>
      </x:c>
      <x:c r="H415" s="83" t="n">
        <x:f>IF(COUNT(CHOOSE('Controls'!$E$5,H416,H417,H418))=1,CHOOSE('Controls'!$E$5,H416,H417,H418),NA())</x:f>
        <x:v>0.45</x:v>
      </x:c>
      <x:c r="I415" s="83" t="n">
        <x:f>IF(COUNT(CHOOSE('Controls'!$E$5,I416,I417,I418))=1,CHOOSE('Controls'!$E$5,I416,I417,I418),NA())</x:f>
        <x:v>0.45</x:v>
      </x:c>
    </x:row>
    <x:row r="416" ht="30" customHeight="1">
      <x:c r="C416" s="64" t="str">
        <x:v>Base</x:v>
      </x:c>
      <x:c r="D416" s="63"/>
      <x:c r="E416" s="85" t="n">
        <x:v>0.45</x:v>
      </x:c>
      <x:c r="F416" s="85" t="n">
        <x:v>0.45</x:v>
      </x:c>
      <x:c r="G416" s="85" t="n">
        <x:v>0.45</x:v>
      </x:c>
      <x:c r="H416" s="85" t="n">
        <x:v>0.45</x:v>
      </x:c>
      <x:c r="I416" s="85" t="n">
        <x:v>0.45</x:v>
      </x:c>
    </x:row>
    <x:row r="417" ht="30" customHeight="1">
      <x:c r="C417" s="64" t="str">
        <x:v>Downside</x:v>
      </x:c>
      <x:c r="D417" s="63"/>
      <x:c r="E417" s="85" t="n">
        <x:v>0.45</x:v>
      </x:c>
      <x:c r="F417" s="85" t="n">
        <x:v>0.45</x:v>
      </x:c>
      <x:c r="G417" s="85" t="n">
        <x:v>0.45</x:v>
      </x:c>
      <x:c r="H417" s="85" t="n">
        <x:v>0.45</x:v>
      </x:c>
      <x:c r="I417" s="85" t="n">
        <x:v>0.45</x:v>
      </x:c>
    </x:row>
    <x:row r="418" ht="30" customHeight="1">
      <x:c r="C418" s="64" t="str">
        <x:v>Upside</x:v>
      </x:c>
      <x:c r="D418" s="63"/>
      <x:c r="E418" s="85" t="n">
        <x:v>0.45</x:v>
      </x:c>
      <x:c r="F418" s="85" t="n">
        <x:v>0.45</x:v>
      </x:c>
      <x:c r="G418" s="85" t="n">
        <x:v>0.45</x:v>
      </x:c>
      <x:c r="H418" s="85" t="n">
        <x:v>0.45</x:v>
      </x:c>
      <x:c r="I418" s="85" t="n">
        <x:v>0.45</x:v>
      </x:c>
    </x:row>
    <x:row r="419" ht="30" customHeight="1">
      <x:c r="C419" s="64"/>
      <x:c r="D419" s="63"/>
      <x:c r="E419" s="63"/>
      <x:c r="F419" s="63"/>
      <x:c r="G419" s="63"/>
      <x:c r="H419" s="63"/>
      <x:c r="I419" s="63"/>
    </x:row>
    <x:row r="420" ht="30" customHeight="1">
      <x:c r="C420" s="64" t="str">
        <x:v>Cash capex / revenue — active</x:v>
      </x:c>
      <x:c r="D420" s="63"/>
      <x:c r="E420" s="83" t="n">
        <x:f>IF(COUNT(CHOOSE('Controls'!$E$5,E421,E422,E423))=1,CHOOSE('Controls'!$E$5,E421,E422,E423),NA())</x:f>
        <x:v>0.09</x:v>
      </x:c>
      <x:c r="F420" s="83" t="n">
        <x:f>IF(COUNT(CHOOSE('Controls'!$E$5,F421,F422,F423))=1,CHOOSE('Controls'!$E$5,F421,F422,F423),NA())</x:f>
        <x:v>0.09</x:v>
      </x:c>
      <x:c r="G420" s="83" t="n">
        <x:f>IF(COUNT(CHOOSE('Controls'!$E$5,G421,G422,G423))=1,CHOOSE('Controls'!$E$5,G421,G422,G423),NA())</x:f>
        <x:v>0.09</x:v>
      </x:c>
      <x:c r="H420" s="83" t="n">
        <x:f>IF(COUNT(CHOOSE('Controls'!$E$5,H421,H422,H423))=1,CHOOSE('Controls'!$E$5,H421,H422,H423),NA())</x:f>
        <x:v>0.09</x:v>
      </x:c>
      <x:c r="I420" s="83" t="n">
        <x:f>IF(COUNT(CHOOSE('Controls'!$E$5,I421,I422,I423))=1,CHOOSE('Controls'!$E$5,I421,I422,I423),NA())</x:f>
        <x:v>0.09</x:v>
      </x:c>
    </x:row>
    <x:row r="421" ht="30" customHeight="1">
      <x:c r="C421" s="64" t="str">
        <x:v>Base</x:v>
      </x:c>
      <x:c r="D421" s="63"/>
      <x:c r="E421" s="85" t="n">
        <x:v>0.09</x:v>
      </x:c>
      <x:c r="F421" s="85" t="n">
        <x:v>0.09</x:v>
      </x:c>
      <x:c r="G421" s="85" t="n">
        <x:v>0.09</x:v>
      </x:c>
      <x:c r="H421" s="85" t="n">
        <x:v>0.09</x:v>
      </x:c>
      <x:c r="I421" s="85" t="n">
        <x:v>0.09</x:v>
      </x:c>
    </x:row>
    <x:row r="422" ht="30" customHeight="1">
      <x:c r="C422" s="64" t="str">
        <x:v>Downside</x:v>
      </x:c>
      <x:c r="D422" s="63"/>
      <x:c r="E422" s="85" t="n">
        <x:v>0.09</x:v>
      </x:c>
      <x:c r="F422" s="85" t="n">
        <x:v>0.09</x:v>
      </x:c>
      <x:c r="G422" s="85" t="n">
        <x:v>0.09</x:v>
      </x:c>
      <x:c r="H422" s="85" t="n">
        <x:v>0.09</x:v>
      </x:c>
      <x:c r="I422" s="85" t="n">
        <x:v>0.09</x:v>
      </x:c>
    </x:row>
    <x:row r="423" ht="30" customHeight="1">
      <x:c r="C423" s="64" t="str">
        <x:v>Upside</x:v>
      </x:c>
      <x:c r="D423" s="63"/>
      <x:c r="E423" s="85" t="n">
        <x:v>0.09</x:v>
      </x:c>
      <x:c r="F423" s="85" t="n">
        <x:v>0.09</x:v>
      </x:c>
      <x:c r="G423" s="85" t="n">
        <x:v>0.09</x:v>
      </x:c>
      <x:c r="H423" s="85" t="n">
        <x:v>0.09</x:v>
      </x:c>
      <x:c r="I423" s="85" t="n">
        <x:v>0.09</x:v>
      </x:c>
    </x:row>
    <x:row r="424" ht="30" customHeight="1">
      <x:c r="C424" s="64"/>
      <x:c r="D424" s="63"/>
      <x:c r="E424" s="63"/>
      <x:c r="F424" s="63"/>
      <x:c r="G424" s="63"/>
      <x:c r="H424" s="63"/>
      <x:c r="I424" s="63"/>
    </x:row>
    <x:row r="425" ht="30" customHeight="1">
      <x:c r="C425" s="64" t="str">
        <x:v>D&amp;A / opening net PP&amp;E — active</x:v>
      </x:c>
      <x:c r="D425" s="63"/>
      <x:c r="E425" s="83" t="n">
        <x:f>IF(COUNT(CHOOSE('Controls'!$E$5,E426,E427,E428))=1,CHOOSE('Controls'!$E$5,E426,E427,E428),NA())</x:f>
        <x:v>0.065</x:v>
      </x:c>
      <x:c r="F425" s="83" t="n">
        <x:f>IF(COUNT(CHOOSE('Controls'!$E$5,F426,F427,F428))=1,CHOOSE('Controls'!$E$5,F426,F427,F428),NA())</x:f>
        <x:v>0.065</x:v>
      </x:c>
      <x:c r="G425" s="83" t="n">
        <x:f>IF(COUNT(CHOOSE('Controls'!$E$5,G426,G427,G428))=1,CHOOSE('Controls'!$E$5,G426,G427,G428),NA())</x:f>
        <x:v>0.065</x:v>
      </x:c>
      <x:c r="H425" s="83" t="n">
        <x:f>IF(COUNT(CHOOSE('Controls'!$E$5,H426,H427,H428))=1,CHOOSE('Controls'!$E$5,H426,H427,H428),NA())</x:f>
        <x:v>0.065</x:v>
      </x:c>
      <x:c r="I425" s="83" t="n">
        <x:f>IF(COUNT(CHOOSE('Controls'!$E$5,I426,I427,I428))=1,CHOOSE('Controls'!$E$5,I426,I427,I428),NA())</x:f>
        <x:v>0.065</x:v>
      </x:c>
    </x:row>
    <x:row r="426" ht="30" customHeight="1">
      <x:c r="C426" s="64" t="str">
        <x:v>Base</x:v>
      </x:c>
      <x:c r="D426" s="63"/>
      <x:c r="E426" s="85" t="n">
        <x:v>0.065</x:v>
      </x:c>
      <x:c r="F426" s="85" t="n">
        <x:v>0.065</x:v>
      </x:c>
      <x:c r="G426" s="85" t="n">
        <x:v>0.065</x:v>
      </x:c>
      <x:c r="H426" s="85" t="n">
        <x:v>0.065</x:v>
      </x:c>
      <x:c r="I426" s="85" t="n">
        <x:v>0.065</x:v>
      </x:c>
    </x:row>
    <x:row r="427" ht="30" customHeight="1">
      <x:c r="C427" s="64" t="str">
        <x:v>Downside</x:v>
      </x:c>
      <x:c r="D427" s="63"/>
      <x:c r="E427" s="85" t="n">
        <x:v>0.065</x:v>
      </x:c>
      <x:c r="F427" s="85" t="n">
        <x:v>0.065</x:v>
      </x:c>
      <x:c r="G427" s="85" t="n">
        <x:v>0.065</x:v>
      </x:c>
      <x:c r="H427" s="85" t="n">
        <x:v>0.065</x:v>
      </x:c>
      <x:c r="I427" s="85" t="n">
        <x:v>0.065</x:v>
      </x:c>
    </x:row>
    <x:row r="428" ht="30" customHeight="1">
      <x:c r="C428" s="64" t="str">
        <x:v>Upside</x:v>
      </x:c>
      <x:c r="D428" s="63"/>
      <x:c r="E428" s="85" t="n">
        <x:v>0.065</x:v>
      </x:c>
      <x:c r="F428" s="85" t="n">
        <x:v>0.065</x:v>
      </x:c>
      <x:c r="G428" s="85" t="n">
        <x:v>0.065</x:v>
      </x:c>
      <x:c r="H428" s="85" t="n">
        <x:v>0.065</x:v>
      </x:c>
      <x:c r="I428" s="85" t="n">
        <x:v>0.065</x:v>
      </x:c>
    </x:row>
    <x:row r="429" ht="30" customHeight="1">
      <x:c r="C429" s="64"/>
      <x:c r="D429" s="63"/>
      <x:c r="E429" s="63"/>
      <x:c r="F429" s="63"/>
      <x:c r="G429" s="63"/>
      <x:c r="H429" s="63"/>
      <x:c r="I429" s="63"/>
    </x:row>
    <x:row r="430" ht="30" customHeight="1">
      <x:c r="C430" s="64" t="str">
        <x:v>Receivable days — active</x:v>
      </x:c>
      <x:c r="D430" s="63"/>
      <x:c r="E430" s="8" t="n">
        <x:f>IF(COUNT(CHOOSE('Controls'!$E$5,E431,E432,E433))=1,CHOOSE('Controls'!$E$5,E431,E432,E433),NA())</x:f>
        <x:v>15</x:v>
      </x:c>
      <x:c r="F430" s="8" t="n">
        <x:f>IF(COUNT(CHOOSE('Controls'!$E$5,F431,F432,F433))=1,CHOOSE('Controls'!$E$5,F431,F432,F433),NA())</x:f>
        <x:v>15</x:v>
      </x:c>
      <x:c r="G430" s="8" t="n">
        <x:f>IF(COUNT(CHOOSE('Controls'!$E$5,G431,G432,G433))=1,CHOOSE('Controls'!$E$5,G431,G432,G433),NA())</x:f>
        <x:v>15</x:v>
      </x:c>
      <x:c r="H430" s="8" t="n">
        <x:f>IF(COUNT(CHOOSE('Controls'!$E$5,H431,H432,H433))=1,CHOOSE('Controls'!$E$5,H431,H432,H433),NA())</x:f>
        <x:v>15</x:v>
      </x:c>
      <x:c r="I430" s="8" t="n">
        <x:f>IF(COUNT(CHOOSE('Controls'!$E$5,I431,I432,I433))=1,CHOOSE('Controls'!$E$5,I431,I432,I433),NA())</x:f>
        <x:v>15</x:v>
      </x:c>
    </x:row>
    <x:row r="431" ht="30" customHeight="1">
      <x:c r="C431" s="64" t="str">
        <x:v>Base</x:v>
      </x:c>
      <x:c r="D431" s="63"/>
      <x:c r="E431" s="74" t="n">
        <x:v>15</x:v>
      </x:c>
      <x:c r="F431" s="74" t="n">
        <x:v>15</x:v>
      </x:c>
      <x:c r="G431" s="74" t="n">
        <x:v>15</x:v>
      </x:c>
      <x:c r="H431" s="74" t="n">
        <x:v>15</x:v>
      </x:c>
      <x:c r="I431" s="74" t="n">
        <x:v>15</x:v>
      </x:c>
    </x:row>
    <x:row r="432" ht="30" customHeight="1">
      <x:c r="C432" s="64" t="str">
        <x:v>Downside</x:v>
      </x:c>
      <x:c r="D432" s="63"/>
      <x:c r="E432" s="74" t="n">
        <x:v>15</x:v>
      </x:c>
      <x:c r="F432" s="74" t="n">
        <x:v>15</x:v>
      </x:c>
      <x:c r="G432" s="74" t="n">
        <x:v>15</x:v>
      </x:c>
      <x:c r="H432" s="74" t="n">
        <x:v>15</x:v>
      </x:c>
      <x:c r="I432" s="74" t="n">
        <x:v>15</x:v>
      </x:c>
    </x:row>
    <x:row r="433" ht="30" customHeight="1">
      <x:c r="C433" s="64" t="str">
        <x:v>Upside</x:v>
      </x:c>
      <x:c r="D433" s="63"/>
      <x:c r="E433" s="74" t="n">
        <x:v>15</x:v>
      </x:c>
      <x:c r="F433" s="74" t="n">
        <x:v>15</x:v>
      </x:c>
      <x:c r="G433" s="74" t="n">
        <x:v>15</x:v>
      </x:c>
      <x:c r="H433" s="74" t="n">
        <x:v>15</x:v>
      </x:c>
      <x:c r="I433" s="74" t="n">
        <x:v>15</x:v>
      </x:c>
    </x:row>
    <x:row r="434" ht="30" customHeight="1">
      <x:c r="C434" s="64"/>
      <x:c r="D434" s="63"/>
      <x:c r="E434" s="63"/>
      <x:c r="F434" s="63"/>
      <x:c r="G434" s="63"/>
      <x:c r="H434" s="63"/>
      <x:c r="I434" s="63"/>
    </x:row>
    <x:row r="435" ht="30" customHeight="1">
      <x:c r="C435" s="64" t="str">
        <x:v>Inventory days — active</x:v>
      </x:c>
      <x:c r="D435" s="63"/>
      <x:c r="E435" s="8" t="n">
        <x:f>IF(COUNT(CHOOSE('Controls'!$E$5,E436,E437,E438))=1,CHOOSE('Controls'!$E$5,E436,E437,E438),NA())</x:f>
        <x:v>12</x:v>
      </x:c>
      <x:c r="F435" s="8" t="n">
        <x:f>IF(COUNT(CHOOSE('Controls'!$E$5,F436,F437,F438))=1,CHOOSE('Controls'!$E$5,F436,F437,F438),NA())</x:f>
        <x:v>12</x:v>
      </x:c>
      <x:c r="G435" s="8" t="n">
        <x:f>IF(COUNT(CHOOSE('Controls'!$E$5,G436,G437,G438))=1,CHOOSE('Controls'!$E$5,G436,G437,G438),NA())</x:f>
        <x:v>12</x:v>
      </x:c>
      <x:c r="H435" s="8" t="n">
        <x:f>IF(COUNT(CHOOSE('Controls'!$E$5,H436,H437,H438))=1,CHOOSE('Controls'!$E$5,H436,H437,H438),NA())</x:f>
        <x:v>12</x:v>
      </x:c>
      <x:c r="I435" s="8" t="n">
        <x:f>IF(COUNT(CHOOSE('Controls'!$E$5,I436,I437,I438))=1,CHOOSE('Controls'!$E$5,I436,I437,I438),NA())</x:f>
        <x:v>12</x:v>
      </x:c>
    </x:row>
    <x:row r="436" ht="30" customHeight="1">
      <x:c r="C436" s="64" t="str">
        <x:v>Base</x:v>
      </x:c>
      <x:c r="D436" s="63"/>
      <x:c r="E436" s="74" t="n">
        <x:v>12</x:v>
      </x:c>
      <x:c r="F436" s="74" t="n">
        <x:v>12</x:v>
      </x:c>
      <x:c r="G436" s="74" t="n">
        <x:v>12</x:v>
      </x:c>
      <x:c r="H436" s="74" t="n">
        <x:v>12</x:v>
      </x:c>
      <x:c r="I436" s="74" t="n">
        <x:v>12</x:v>
      </x:c>
    </x:row>
    <x:row r="437" ht="30" customHeight="1">
      <x:c r="C437" s="64" t="str">
        <x:v>Downside</x:v>
      </x:c>
      <x:c r="D437" s="63"/>
      <x:c r="E437" s="74" t="n">
        <x:v>12</x:v>
      </x:c>
      <x:c r="F437" s="74" t="n">
        <x:v>12</x:v>
      </x:c>
      <x:c r="G437" s="74" t="n">
        <x:v>12</x:v>
      </x:c>
      <x:c r="H437" s="74" t="n">
        <x:v>12</x:v>
      </x:c>
      <x:c r="I437" s="74" t="n">
        <x:v>12</x:v>
      </x:c>
    </x:row>
    <x:row r="438" ht="30" customHeight="1">
      <x:c r="C438" s="64" t="str">
        <x:v>Upside</x:v>
      </x:c>
      <x:c r="D438" s="63"/>
      <x:c r="E438" s="74" t="n">
        <x:v>12</x:v>
      </x:c>
      <x:c r="F438" s="74" t="n">
        <x:v>12</x:v>
      </x:c>
      <x:c r="G438" s="74" t="n">
        <x:v>12</x:v>
      </x:c>
      <x:c r="H438" s="74" t="n">
        <x:v>12</x:v>
      </x:c>
      <x:c r="I438" s="74" t="n">
        <x:v>12</x:v>
      </x:c>
    </x:row>
    <x:row r="439" ht="30" customHeight="1">
      <x:c r="C439" s="64"/>
      <x:c r="D439" s="63"/>
      <x:c r="E439" s="63"/>
      <x:c r="F439" s="63"/>
      <x:c r="G439" s="63"/>
      <x:c r="H439" s="63"/>
      <x:c r="I439" s="63"/>
    </x:row>
    <x:row r="440" ht="30" customHeight="1">
      <x:c r="C440" s="64" t="str">
        <x:v>Payable days — active</x:v>
      </x:c>
      <x:c r="D440" s="63"/>
      <x:c r="E440" s="8" t="n">
        <x:f>IF(COUNT(CHOOSE('Controls'!$E$5,E441,E442,E443))=1,CHOOSE('Controls'!$E$5,E441,E442,E443),NA())</x:f>
        <x:v>35</x:v>
      </x:c>
      <x:c r="F440" s="8" t="n">
        <x:f>IF(COUNT(CHOOSE('Controls'!$E$5,F441,F442,F443))=1,CHOOSE('Controls'!$E$5,F441,F442,F443),NA())</x:f>
        <x:v>35</x:v>
      </x:c>
      <x:c r="G440" s="8" t="n">
        <x:f>IF(COUNT(CHOOSE('Controls'!$E$5,G441,G442,G443))=1,CHOOSE('Controls'!$E$5,G441,G442,G443),NA())</x:f>
        <x:v>35</x:v>
      </x:c>
      <x:c r="H440" s="8" t="n">
        <x:f>IF(COUNT(CHOOSE('Controls'!$E$5,H441,H442,H443))=1,CHOOSE('Controls'!$E$5,H441,H442,H443),NA())</x:f>
        <x:v>35</x:v>
      </x:c>
      <x:c r="I440" s="8" t="n">
        <x:f>IF(COUNT(CHOOSE('Controls'!$E$5,I441,I442,I443))=1,CHOOSE('Controls'!$E$5,I441,I442,I443),NA())</x:f>
        <x:v>35</x:v>
      </x:c>
    </x:row>
    <x:row r="441" ht="30" customHeight="1">
      <x:c r="C441" s="64" t="str">
        <x:v>Base</x:v>
      </x:c>
      <x:c r="D441" s="63"/>
      <x:c r="E441" s="74" t="n">
        <x:v>35</x:v>
      </x:c>
      <x:c r="F441" s="74" t="n">
        <x:v>35</x:v>
      </x:c>
      <x:c r="G441" s="74" t="n">
        <x:v>35</x:v>
      </x:c>
      <x:c r="H441" s="74" t="n">
        <x:v>35</x:v>
      </x:c>
      <x:c r="I441" s="74" t="n">
        <x:v>35</x:v>
      </x:c>
    </x:row>
    <x:row r="442" ht="30" customHeight="1">
      <x:c r="C442" s="64" t="str">
        <x:v>Downside</x:v>
      </x:c>
      <x:c r="D442" s="63"/>
      <x:c r="E442" s="74" t="n">
        <x:v>35</x:v>
      </x:c>
      <x:c r="F442" s="74" t="n">
        <x:v>35</x:v>
      </x:c>
      <x:c r="G442" s="74" t="n">
        <x:v>35</x:v>
      </x:c>
      <x:c r="H442" s="74" t="n">
        <x:v>35</x:v>
      </x:c>
      <x:c r="I442" s="74" t="n">
        <x:v>35</x:v>
      </x:c>
    </x:row>
    <x:row r="443" ht="30" customHeight="1">
      <x:c r="C443" s="64" t="str">
        <x:v>Upside</x:v>
      </x:c>
      <x:c r="D443" s="63"/>
      <x:c r="E443" s="74" t="n">
        <x:v>35</x:v>
      </x:c>
      <x:c r="F443" s="74" t="n">
        <x:v>35</x:v>
      </x:c>
      <x:c r="G443" s="74" t="n">
        <x:v>35</x:v>
      </x:c>
      <x:c r="H443" s="74" t="n">
        <x:v>35</x:v>
      </x:c>
      <x:c r="I443" s="74" t="n">
        <x:v>35</x:v>
      </x:c>
    </x:row>
    <x:row r="444" ht="30" customHeight="1">
      <x:c r="C444" s="64"/>
      <x:c r="D444" s="63"/>
      <x:c r="E444" s="63"/>
      <x:c r="F444" s="63"/>
      <x:c r="G444" s="63"/>
      <x:c r="H444" s="63"/>
      <x:c r="I444" s="63"/>
    </x:row>
    <x:row r="445" ht="30" customHeight="1">
      <x:c r="C445" s="64" t="str">
        <x:v>Effective cash tax rate — active</x:v>
      </x:c>
      <x:c r="D445" s="63"/>
      <x:c r="E445" s="83" t="n">
        <x:f>IF(COUNT(CHOOSE('Controls'!$E$5,E446,E447,E448))=1,CHOOSE('Controls'!$E$5,E446,E447,E448),NA())</x:f>
        <x:v>0.25</x:v>
      </x:c>
      <x:c r="F445" s="83" t="n">
        <x:f>IF(COUNT(CHOOSE('Controls'!$E$5,F446,F447,F448))=1,CHOOSE('Controls'!$E$5,F446,F447,F448),NA())</x:f>
        <x:v>0.25</x:v>
      </x:c>
      <x:c r="G445" s="83" t="n">
        <x:f>IF(COUNT(CHOOSE('Controls'!$E$5,G446,G447,G448))=1,CHOOSE('Controls'!$E$5,G446,G447,G448),NA())</x:f>
        <x:v>0.25</x:v>
      </x:c>
      <x:c r="H445" s="83" t="n">
        <x:f>IF(COUNT(CHOOSE('Controls'!$E$5,H446,H447,H448))=1,CHOOSE('Controls'!$E$5,H446,H447,H448),NA())</x:f>
        <x:v>0.25</x:v>
      </x:c>
      <x:c r="I445" s="83" t="n">
        <x:f>IF(COUNT(CHOOSE('Controls'!$E$5,I446,I447,I448))=1,CHOOSE('Controls'!$E$5,I446,I447,I448),NA())</x:f>
        <x:v>0.25</x:v>
      </x:c>
    </x:row>
    <x:row r="446" ht="30" customHeight="1">
      <x:c r="C446" s="64" t="str">
        <x:v>Base</x:v>
      </x:c>
      <x:c r="D446" s="63"/>
      <x:c r="E446" s="85" t="n">
        <x:v>0.25</x:v>
      </x:c>
      <x:c r="F446" s="85" t="n">
        <x:v>0.25</x:v>
      </x:c>
      <x:c r="G446" s="85" t="n">
        <x:v>0.25</x:v>
      </x:c>
      <x:c r="H446" s="85" t="n">
        <x:v>0.25</x:v>
      </x:c>
      <x:c r="I446" s="85" t="n">
        <x:v>0.25</x:v>
      </x:c>
    </x:row>
    <x:row r="447" ht="30" customHeight="1">
      <x:c r="C447" s="64" t="str">
        <x:v>Downside</x:v>
      </x:c>
      <x:c r="D447" s="63"/>
      <x:c r="E447" s="85" t="n">
        <x:v>0.25</x:v>
      </x:c>
      <x:c r="F447" s="85" t="n">
        <x:v>0.25</x:v>
      </x:c>
      <x:c r="G447" s="85" t="n">
        <x:v>0.25</x:v>
      </x:c>
      <x:c r="H447" s="85" t="n">
        <x:v>0.25</x:v>
      </x:c>
      <x:c r="I447" s="85" t="n">
        <x:v>0.25</x:v>
      </x:c>
    </x:row>
    <x:row r="448" ht="30" customHeight="1">
      <x:c r="C448" s="64" t="str">
        <x:v>Upside</x:v>
      </x:c>
      <x:c r="D448" s="63"/>
      <x:c r="E448" s="85" t="n">
        <x:v>0.25</x:v>
      </x:c>
      <x:c r="F448" s="85" t="n">
        <x:v>0.25</x:v>
      </x:c>
      <x:c r="G448" s="85" t="n">
        <x:v>0.25</x:v>
      </x:c>
      <x:c r="H448" s="85" t="n">
        <x:v>0.25</x:v>
      </x:c>
      <x:c r="I448" s="85" t="n">
        <x:v>0.25</x:v>
      </x:c>
    </x:row>
    <x:row r="449" ht="30" customHeight="1">
      <x:c r="C449" s="64"/>
      <x:c r="D449" s="63"/>
      <x:c r="E449" s="63"/>
      <x:c r="F449" s="63"/>
      <x:c r="G449" s="63"/>
      <x:c r="H449" s="63"/>
      <x:c r="I449" s="63"/>
    </x:row>
    <x:row r="450" ht="30" customHeight="1">
      <x:c r="C450" s="64" t="str">
        <x:v>Interest on opening debt — active</x:v>
      </x:c>
      <x:c r="D450" s="63"/>
      <x:c r="E450" s="83" t="n">
        <x:f>IF(COUNT(CHOOSE('Controls'!$E$5,E451,E452,E453))=1,CHOOSE('Controls'!$E$5,E451,E452,E453),NA())</x:f>
        <x:v>0.085</x:v>
      </x:c>
      <x:c r="F450" s="83" t="n">
        <x:f>IF(COUNT(CHOOSE('Controls'!$E$5,F451,F452,F453))=1,CHOOSE('Controls'!$E$5,F451,F452,F453),NA())</x:f>
        <x:v>0.085</x:v>
      </x:c>
      <x:c r="G450" s="83" t="n">
        <x:f>IF(COUNT(CHOOSE('Controls'!$E$5,G451,G452,G453))=1,CHOOSE('Controls'!$E$5,G451,G452,G453),NA())</x:f>
        <x:v>0.085</x:v>
      </x:c>
      <x:c r="H450" s="83" t="n">
        <x:f>IF(COUNT(CHOOSE('Controls'!$E$5,H451,H452,H453))=1,CHOOSE('Controls'!$E$5,H451,H452,H453),NA())</x:f>
        <x:v>0.085</x:v>
      </x:c>
      <x:c r="I450" s="83" t="n">
        <x:f>IF(COUNT(CHOOSE('Controls'!$E$5,I451,I452,I453))=1,CHOOSE('Controls'!$E$5,I451,I452,I453),NA())</x:f>
        <x:v>0.085</x:v>
      </x:c>
    </x:row>
    <x:row r="451" ht="30" customHeight="1">
      <x:c r="C451" s="64" t="str">
        <x:v>Base</x:v>
      </x:c>
      <x:c r="D451" s="63"/>
      <x:c r="E451" s="85" t="n">
        <x:v>0.085</x:v>
      </x:c>
      <x:c r="F451" s="85" t="n">
        <x:v>0.085</x:v>
      </x:c>
      <x:c r="G451" s="85" t="n">
        <x:v>0.085</x:v>
      </x:c>
      <x:c r="H451" s="85" t="n">
        <x:v>0.085</x:v>
      </x:c>
      <x:c r="I451" s="85" t="n">
        <x:v>0.085</x:v>
      </x:c>
    </x:row>
    <x:row r="452" ht="30" customHeight="1">
      <x:c r="C452" s="64" t="str">
        <x:v>Downside</x:v>
      </x:c>
      <x:c r="D452" s="63"/>
      <x:c r="E452" s="85" t="n">
        <x:v>0.085</x:v>
      </x:c>
      <x:c r="F452" s="85" t="n">
        <x:v>0.085</x:v>
      </x:c>
      <x:c r="G452" s="85" t="n">
        <x:v>0.085</x:v>
      </x:c>
      <x:c r="H452" s="85" t="n">
        <x:v>0.085</x:v>
      </x:c>
      <x:c r="I452" s="85" t="n">
        <x:v>0.085</x:v>
      </x:c>
    </x:row>
    <x:row r="453" ht="30" customHeight="1">
      <x:c r="C453" s="64" t="str">
        <x:v>Upside</x:v>
      </x:c>
      <x:c r="D453" s="63"/>
      <x:c r="E453" s="85" t="n">
        <x:v>0.085</x:v>
      </x:c>
      <x:c r="F453" s="85" t="n">
        <x:v>0.085</x:v>
      </x:c>
      <x:c r="G453" s="85" t="n">
        <x:v>0.085</x:v>
      </x:c>
      <x:c r="H453" s="85" t="n">
        <x:v>0.085</x:v>
      </x:c>
      <x:c r="I453" s="85" t="n">
        <x:v>0.085</x:v>
      </x:c>
    </x:row>
    <x:row r="454" ht="30" customHeight="1">
      <x:c r="C454" s="64"/>
      <x:c r="D454" s="63"/>
      <x:c r="E454" s="63"/>
      <x:c r="F454" s="63"/>
      <x:c r="G454" s="63"/>
      <x:c r="H454" s="63"/>
      <x:c r="I454" s="63"/>
    </x:row>
    <x:row r="455" ht="30" customHeight="1">
      <x:c r="C455" s="64" t="str">
        <x:v>New borrowing — active</x:v>
      </x:c>
      <x:c r="D455" s="63"/>
      <x:c r="E455" s="8" t="n">
        <x:f>IF(COUNT(CHOOSE('Controls'!$E$5,E456,E457,E458))=1,CHOOSE('Controls'!$E$5,E456,E457,E458),NA())</x:f>
        <x:v>0</x:v>
      </x:c>
      <x:c r="F455" s="8" t="n">
        <x:f>IF(COUNT(CHOOSE('Controls'!$E$5,F456,F457,F458))=1,CHOOSE('Controls'!$E$5,F456,F457,F458),NA())</x:f>
        <x:v>0</x:v>
      </x:c>
      <x:c r="G455" s="8" t="n">
        <x:f>IF(COUNT(CHOOSE('Controls'!$E$5,G456,G457,G458))=1,CHOOSE('Controls'!$E$5,G456,G457,G458),NA())</x:f>
        <x:v>0</x:v>
      </x:c>
      <x:c r="H455" s="8" t="n">
        <x:f>IF(COUNT(CHOOSE('Controls'!$E$5,H456,H457,H458))=1,CHOOSE('Controls'!$E$5,H456,H457,H458),NA())</x:f>
        <x:v>0</x:v>
      </x:c>
      <x:c r="I455" s="8" t="n">
        <x:f>IF(COUNT(CHOOSE('Controls'!$E$5,I456,I457,I458))=1,CHOOSE('Controls'!$E$5,I456,I457,I458),NA())</x:f>
        <x:v>0</x:v>
      </x:c>
    </x:row>
    <x:row r="456" ht="30" customHeight="1">
      <x:c r="C456" s="64" t="str">
        <x:v>Base</x:v>
      </x:c>
      <x:c r="D456" s="63"/>
      <x:c r="E456" s="74" t="n">
        <x:v>0</x:v>
      </x:c>
      <x:c r="F456" s="74" t="n">
        <x:v>0</x:v>
      </x:c>
      <x:c r="G456" s="74" t="n">
        <x:v>0</x:v>
      </x:c>
      <x:c r="H456" s="74" t="n">
        <x:v>0</x:v>
      </x:c>
      <x:c r="I456" s="74" t="n">
        <x:v>0</x:v>
      </x:c>
    </x:row>
    <x:row r="457" ht="30" customHeight="1">
      <x:c r="C457" s="64" t="str">
        <x:v>Downside</x:v>
      </x:c>
      <x:c r="D457" s="63"/>
      <x:c r="E457" s="74" t="n">
        <x:v>0</x:v>
      </x:c>
      <x:c r="F457" s="74" t="n">
        <x:v>0</x:v>
      </x:c>
      <x:c r="G457" s="74" t="n">
        <x:v>0</x:v>
      </x:c>
      <x:c r="H457" s="74" t="n">
        <x:v>0</x:v>
      </x:c>
      <x:c r="I457" s="74" t="n">
        <x:v>0</x:v>
      </x:c>
    </x:row>
    <x:row r="458" ht="30" customHeight="1">
      <x:c r="C458" s="64" t="str">
        <x:v>Upside</x:v>
      </x:c>
      <x:c r="D458" s="63"/>
      <x:c r="E458" s="74" t="n">
        <x:v>0</x:v>
      </x:c>
      <x:c r="F458" s="74" t="n">
        <x:v>0</x:v>
      </x:c>
      <x:c r="G458" s="74" t="n">
        <x:v>0</x:v>
      </x:c>
      <x:c r="H458" s="74" t="n">
        <x:v>0</x:v>
      </x:c>
      <x:c r="I458" s="74" t="n">
        <x:v>0</x:v>
      </x:c>
    </x:row>
    <x:row r="459" ht="30" customHeight="1">
      <x:c r="C459" s="64"/>
      <x:c r="D459" s="63"/>
      <x:c r="E459" s="63"/>
      <x:c r="F459" s="63"/>
      <x:c r="G459" s="63"/>
      <x:c r="H459" s="63"/>
      <x:c r="I459" s="63"/>
    </x:row>
    <x:row r="460" ht="30" customHeight="1">
      <x:c r="C460" s="64" t="str">
        <x:v>Scheduled principal repayment — active</x:v>
      </x:c>
      <x:c r="D460" s="63"/>
      <x:c r="E460" s="8" t="n">
        <x:f>IF(COUNT(CHOOSE('Controls'!$E$5,E461,E462,E463))=1,CHOOSE('Controls'!$E$5,E461,E462,E463),NA())</x:f>
        <x:v>65</x:v>
      </x:c>
      <x:c r="F460" s="8" t="n">
        <x:f>IF(COUNT(CHOOSE('Controls'!$E$5,F461,F462,F463))=1,CHOOSE('Controls'!$E$5,F461,F462,F463),NA())</x:f>
        <x:v>65</x:v>
      </x:c>
      <x:c r="G460" s="8" t="n">
        <x:f>IF(COUNT(CHOOSE('Controls'!$E$5,G461,G462,G463))=1,CHOOSE('Controls'!$E$5,G461,G462,G463),NA())</x:f>
        <x:v>65</x:v>
      </x:c>
      <x:c r="H460" s="8" t="n">
        <x:f>IF(COUNT(CHOOSE('Controls'!$E$5,H461,H462,H463))=1,CHOOSE('Controls'!$E$5,H461,H462,H463),NA())</x:f>
        <x:v>65</x:v>
      </x:c>
      <x:c r="I460" s="8" t="n">
        <x:f>IF(COUNT(CHOOSE('Controls'!$E$5,I461,I462,I463))=1,CHOOSE('Controls'!$E$5,I461,I462,I463),NA())</x:f>
        <x:v>65</x:v>
      </x:c>
    </x:row>
    <x:row r="461" ht="30" customHeight="1">
      <x:c r="C461" s="64" t="str">
        <x:v>Base</x:v>
      </x:c>
      <x:c r="D461" s="63"/>
      <x:c r="E461" s="74" t="n">
        <x:v>65</x:v>
      </x:c>
      <x:c r="F461" s="74" t="n">
        <x:v>65</x:v>
      </x:c>
      <x:c r="G461" s="74" t="n">
        <x:v>65</x:v>
      </x:c>
      <x:c r="H461" s="74" t="n">
        <x:v>65</x:v>
      </x:c>
      <x:c r="I461" s="74" t="n">
        <x:v>65</x:v>
      </x:c>
    </x:row>
    <x:row r="462" ht="30" customHeight="1">
      <x:c r="C462" s="64" t="str">
        <x:v>Downside</x:v>
      </x:c>
      <x:c r="D462" s="63"/>
      <x:c r="E462" s="74" t="n">
        <x:v>65</x:v>
      </x:c>
      <x:c r="F462" s="74" t="n">
        <x:v>65</x:v>
      </x:c>
      <x:c r="G462" s="74" t="n">
        <x:v>65</x:v>
      </x:c>
      <x:c r="H462" s="74" t="n">
        <x:v>65</x:v>
      </x:c>
      <x:c r="I462" s="74" t="n">
        <x:v>65</x:v>
      </x:c>
    </x:row>
    <x:row r="463" ht="30" customHeight="1">
      <x:c r="C463" s="64" t="str">
        <x:v>Upside</x:v>
      </x:c>
      <x:c r="D463" s="63"/>
      <x:c r="E463" s="74" t="n">
        <x:v>65</x:v>
      </x:c>
      <x:c r="F463" s="74" t="n">
        <x:v>65</x:v>
      </x:c>
      <x:c r="G463" s="74" t="n">
        <x:v>65</x:v>
      </x:c>
      <x:c r="H463" s="74" t="n">
        <x:v>65</x:v>
      </x:c>
      <x:c r="I463" s="74" t="n">
        <x:v>65</x:v>
      </x:c>
    </x:row>
    <x:row r="464" ht="30" customHeight="1">
      <x:c r="C464" s="64"/>
      <x:c r="D464" s="63"/>
      <x:c r="E464" s="63"/>
      <x:c r="F464" s="63"/>
      <x:c r="G464" s="63"/>
      <x:c r="H464" s="63"/>
      <x:c r="I464" s="63"/>
    </x:row>
    <x:row r="465" ht="30" customHeight="1">
      <x:c r="C465" s="64" t="str">
        <x:v>Dividend payout on positive PAT — active</x:v>
      </x:c>
      <x:c r="D465" s="63"/>
      <x:c r="E465" s="83" t="n">
        <x:f>IF(COUNT(CHOOSE('Controls'!$E$5,E466,E467,E468))=1,CHOOSE('Controls'!$E$5,E466,E467,E468),NA())</x:f>
        <x:v>0.25</x:v>
      </x:c>
      <x:c r="F465" s="83" t="n">
        <x:f>IF(COUNT(CHOOSE('Controls'!$E$5,F466,F467,F468))=1,CHOOSE('Controls'!$E$5,F466,F467,F468),NA())</x:f>
        <x:v>0.25</x:v>
      </x:c>
      <x:c r="G465" s="83" t="n">
        <x:f>IF(COUNT(CHOOSE('Controls'!$E$5,G466,G467,G468))=1,CHOOSE('Controls'!$E$5,G466,G467,G468),NA())</x:f>
        <x:v>0.25</x:v>
      </x:c>
      <x:c r="H465" s="83" t="n">
        <x:f>IF(COUNT(CHOOSE('Controls'!$E$5,H466,H467,H468))=1,CHOOSE('Controls'!$E$5,H466,H467,H468),NA())</x:f>
        <x:v>0.25</x:v>
      </x:c>
      <x:c r="I465" s="83" t="n">
        <x:f>IF(COUNT(CHOOSE('Controls'!$E$5,I466,I467,I468))=1,CHOOSE('Controls'!$E$5,I466,I467,I468),NA())</x:f>
        <x:v>0.25</x:v>
      </x:c>
    </x:row>
    <x:row r="466" ht="30" customHeight="1">
      <x:c r="C466" s="64" t="str">
        <x:v>Base</x:v>
      </x:c>
      <x:c r="D466" s="63"/>
      <x:c r="E466" s="85" t="n">
        <x:v>0.25</x:v>
      </x:c>
      <x:c r="F466" s="85" t="n">
        <x:v>0.25</x:v>
      </x:c>
      <x:c r="G466" s="85" t="n">
        <x:v>0.25</x:v>
      </x:c>
      <x:c r="H466" s="85" t="n">
        <x:v>0.25</x:v>
      </x:c>
      <x:c r="I466" s="85" t="n">
        <x:v>0.25</x:v>
      </x:c>
    </x:row>
    <x:row r="467" ht="30" customHeight="1">
      <x:c r="C467" s="64" t="str">
        <x:v>Downside</x:v>
      </x:c>
      <x:c r="D467" s="63"/>
      <x:c r="E467" s="85" t="n">
        <x:v>0.25</x:v>
      </x:c>
      <x:c r="F467" s="85" t="n">
        <x:v>0.25</x:v>
      </x:c>
      <x:c r="G467" s="85" t="n">
        <x:v>0.25</x:v>
      </x:c>
      <x:c r="H467" s="85" t="n">
        <x:v>0.25</x:v>
      </x:c>
      <x:c r="I467" s="85" t="n">
        <x:v>0.25</x:v>
      </x:c>
    </x:row>
    <x:row r="468" ht="30" customHeight="1">
      <x:c r="C468" s="64" t="str">
        <x:v>Upside</x:v>
      </x:c>
      <x:c r="D468" s="63"/>
      <x:c r="E468" s="85" t="n">
        <x:v>0.25</x:v>
      </x:c>
      <x:c r="F468" s="85" t="n">
        <x:v>0.25</x:v>
      </x:c>
      <x:c r="G468" s="85" t="n">
        <x:v>0.25</x:v>
      </x:c>
      <x:c r="H468" s="85" t="n">
        <x:v>0.25</x:v>
      </x:c>
      <x:c r="I468" s="85" t="n">
        <x:v>0.25</x:v>
      </x:c>
    </x:row>
    <x:row r="469" ht="30" customHeight="1">
      <x:c r="C469" s="64"/>
      <x:c r="D469" s="63"/>
      <x:c r="E469" s="63"/>
      <x:c r="F469" s="63"/>
      <x:c r="G469" s="63"/>
      <x:c r="H469" s="63"/>
      <x:c r="I469" s="63"/>
    </x:row>
    <x:row r="470" ht="30" customHeight="1">
      <x:c r="C470" s="64"/>
      <x:c r="D470" s="63"/>
      <x:c r="E470" s="63"/>
      <x:c r="F470" s="63"/>
      <x:c r="G470" s="63"/>
      <x:c r="H470" s="63"/>
      <x:c r="I470" s="63"/>
    </x:row>
    <x:row r="471" ht="30" customHeight="1">
      <x:c r="C471" s="64"/>
      <x:c r="D471" s="63"/>
      <x:c r="E471" s="63"/>
      <x:c r="F471" s="63"/>
      <x:c r="G471" s="63"/>
      <x:c r="H471" s="63"/>
      <x:c r="I471" s="63"/>
    </x:row>
    <x:row r="472" ht="30" customHeight="1">
      <x:c r="C472" s="64"/>
      <x:c r="D472" s="63"/>
      <x:c r="E472" s="63"/>
      <x:c r="F472" s="63"/>
      <x:c r="G472" s="63"/>
      <x:c r="H472" s="63"/>
      <x:c r="I472" s="63"/>
    </x:row>
    <x:row r="473" ht="30" customHeight="1">
      <x:c r="C473" s="64"/>
      <x:c r="D473" s="63"/>
      <x:c r="E473" s="63"/>
      <x:c r="F473" s="63"/>
      <x:c r="G473" s="63"/>
      <x:c r="H473" s="63"/>
      <x:c r="I473" s="63"/>
    </x:row>
    <x:row r="474" ht="30" customHeight="1">
      <x:c r="C474" s="64"/>
      <x:c r="D474" s="63"/>
      <x:c r="E474" s="63"/>
      <x:c r="F474" s="63"/>
      <x:c r="G474" s="63"/>
      <x:c r="H474" s="63"/>
      <x:c r="I474" s="63"/>
    </x:row>
    <x:row r="475" ht="30" customHeight="1">
      <x:c r="C475" s="64"/>
      <x:c r="D475" s="63"/>
      <x:c r="E475" s="63"/>
      <x:c r="F475" s="63"/>
      <x:c r="G475" s="63"/>
      <x:c r="H475" s="63"/>
      <x:c r="I475" s="63"/>
    </x:row>
    <x:row r="476" ht="30" customHeight="1">
      <x:c r="C476" s="64"/>
      <x:c r="D476" s="63"/>
      <x:c r="E476" s="63"/>
      <x:c r="F476" s="63"/>
      <x:c r="G476" s="63"/>
      <x:c r="H476" s="63"/>
      <x:c r="I476" s="63"/>
    </x:row>
    <x:row r="477" ht="30" customHeight="1">
      <x:c r="C477" s="64"/>
      <x:c r="D477" s="63"/>
      <x:c r="E477" s="63"/>
      <x:c r="F477" s="63"/>
      <x:c r="G477" s="63"/>
      <x:c r="H477" s="63"/>
      <x:c r="I477" s="63"/>
    </x:row>
    <x:row r="478" ht="30" customHeight="1">
      <x:c r="C478" s="64"/>
      <x:c r="D478" s="63"/>
      <x:c r="E478" s="63"/>
      <x:c r="F478" s="63"/>
      <x:c r="G478" s="63"/>
      <x:c r="H478" s="63"/>
      <x:c r="I478" s="63"/>
    </x:row>
    <x:row r="479" ht="30" customHeight="1">
      <x:c r="C479" s="64"/>
      <x:c r="D479" s="63"/>
      <x:c r="E479" s="63"/>
      <x:c r="F479" s="63"/>
      <x:c r="G479" s="63"/>
      <x:c r="H479" s="63"/>
      <x:c r="I479" s="63"/>
    </x:row>
    <x:row r="480" ht="30" customHeight="1">
      <x:c r="C480" s="64"/>
      <x:c r="D480" s="63"/>
      <x:c r="E480" s="63"/>
      <x:c r="F480" s="63"/>
      <x:c r="G480" s="63"/>
      <x:c r="H480" s="63"/>
      <x:c r="I480" s="63"/>
    </x:row>
    <x:row r="481" ht="30" customHeight="1">
      <x:c r="C481" s="64"/>
      <x:c r="D481" s="63"/>
      <x:c r="E481" s="63"/>
      <x:c r="F481" s="63"/>
      <x:c r="G481" s="63"/>
      <x:c r="H481" s="63"/>
      <x:c r="I481" s="63"/>
    </x:row>
    <x:row r="482" ht="30" customHeight="1">
      <x:c r="C482" s="64"/>
      <x:c r="D482" s="63"/>
      <x:c r="E482" s="63"/>
      <x:c r="F482" s="63"/>
      <x:c r="G482" s="63"/>
      <x:c r="H482" s="63"/>
      <x:c r="I482" s="63"/>
    </x:row>
    <x:row r="483" ht="30" customHeight="1">
      <x:c r="C483" s="64"/>
      <x:c r="D483" s="63"/>
      <x:c r="E483" s="63"/>
      <x:c r="F483" s="63"/>
      <x:c r="G483" s="63"/>
      <x:c r="H483" s="63"/>
      <x:c r="I483" s="63"/>
    </x:row>
    <x:row r="484" ht="30" customHeight="1">
      <x:c r="C484" s="64"/>
      <x:c r="D484" s="63"/>
      <x:c r="E484" s="63"/>
      <x:c r="F484" s="63"/>
      <x:c r="G484" s="63"/>
      <x:c r="H484" s="63"/>
      <x:c r="I484" s="63"/>
    </x:row>
    <x:row r="485" ht="30" customHeight="1">
      <x:c r="C485" s="64"/>
      <x:c r="D485" s="63"/>
      <x:c r="E485" s="63"/>
      <x:c r="F485" s="63"/>
      <x:c r="G485" s="63"/>
      <x:c r="H485" s="63"/>
      <x:c r="I485" s="63"/>
    </x:row>
    <x:row r="486" ht="30" customHeight="1">
      <x:c r="C486" s="64"/>
      <x:c r="D486" s="63"/>
      <x:c r="E486" s="63"/>
      <x:c r="F486" s="63"/>
      <x:c r="G486" s="63"/>
      <x:c r="H486" s="63"/>
      <x:c r="I486" s="63"/>
    </x:row>
    <x:row r="487" ht="30" customHeight="1">
      <x:c r="C487" s="64"/>
      <x:c r="D487" s="63"/>
      <x:c r="E487" s="63"/>
      <x:c r="F487" s="63"/>
      <x:c r="G487" s="63"/>
      <x:c r="H487" s="63"/>
      <x:c r="I487" s="63"/>
    </x:row>
    <x:row r="488" ht="30" customHeight="1">
      <x:c r="C488" s="64"/>
      <x:c r="D488" s="63"/>
      <x:c r="E488" s="63"/>
      <x:c r="F488" s="63"/>
      <x:c r="G488" s="63"/>
      <x:c r="H488" s="63"/>
      <x:c r="I488" s="63"/>
    </x:row>
    <x:row r="489" ht="30" customHeight="1">
      <x:c r="C489" s="64"/>
      <x:c r="D489" s="63"/>
      <x:c r="E489" s="63"/>
      <x:c r="F489" s="63"/>
      <x:c r="G489" s="63"/>
      <x:c r="H489" s="63"/>
      <x:c r="I489" s="63"/>
    </x:row>
    <x:row r="490" ht="30" customHeight="1">
      <x:c r="C490" s="64"/>
      <x:c r="D490" s="63"/>
      <x:c r="E490" s="63"/>
      <x:c r="F490" s="63"/>
      <x:c r="G490" s="63"/>
      <x:c r="H490" s="63"/>
      <x:c r="I490" s="63"/>
    </x:row>
    <x:row r="491" ht="30" customHeight="1">
      <x:c r="C491" s="64"/>
      <x:c r="D491" s="63"/>
      <x:c r="E491" s="63"/>
      <x:c r="F491" s="63"/>
      <x:c r="G491" s="63"/>
      <x:c r="H491" s="63"/>
      <x:c r="I491" s="63"/>
    </x:row>
    <x:row r="492" ht="30" customHeight="1">
      <x:c r="C492" s="64"/>
      <x:c r="D492" s="63"/>
      <x:c r="E492" s="63"/>
      <x:c r="F492" s="63"/>
      <x:c r="G492" s="63"/>
      <x:c r="H492" s="63"/>
      <x:c r="I492" s="63"/>
    </x:row>
    <x:row r="493" ht="30" customHeight="1">
      <x:c r="C493" s="64"/>
      <x:c r="D493" s="63"/>
      <x:c r="E493" s="63"/>
      <x:c r="F493" s="63"/>
      <x:c r="G493" s="63"/>
      <x:c r="H493" s="63"/>
      <x:c r="I493" s="63"/>
    </x:row>
    <x:row r="494" ht="30" customHeight="1">
      <x:c r="C494" s="64"/>
      <x:c r="D494" s="63"/>
      <x:c r="E494" s="63"/>
      <x:c r="F494" s="63"/>
      <x:c r="G494" s="63"/>
      <x:c r="H494" s="63"/>
      <x:c r="I494" s="63"/>
    </x:row>
    <x:row r="495" ht="30" customHeight="1">
      <x:c r="C495" s="64"/>
      <x:c r="D495" s="63"/>
      <x:c r="E495" s="63"/>
      <x:c r="F495" s="63"/>
      <x:c r="G495" s="63"/>
      <x:c r="H495" s="63"/>
      <x:c r="I495" s="63"/>
    </x:row>
    <x:row r="496" ht="30" customHeight="1">
      <x:c r="C496" s="64"/>
      <x:c r="D496" s="63"/>
      <x:c r="E496" s="63"/>
      <x:c r="F496" s="63"/>
      <x:c r="G496" s="63"/>
      <x:c r="H496" s="63"/>
      <x:c r="I496" s="63"/>
    </x:row>
    <x:row r="497" ht="30" customHeight="1">
      <x:c r="C497" s="64"/>
      <x:c r="D497" s="63"/>
      <x:c r="E497" s="63"/>
      <x:c r="F497" s="63"/>
      <x:c r="G497" s="63"/>
      <x:c r="H497" s="63"/>
      <x:c r="I497" s="63"/>
    </x:row>
    <x:row r="498" ht="30" customHeight="1">
      <x:c r="C498" s="64"/>
      <x:c r="D498" s="63"/>
      <x:c r="E498" s="63"/>
      <x:c r="F498" s="63"/>
      <x:c r="G498" s="63"/>
      <x:c r="H498" s="63"/>
      <x:c r="I498" s="63"/>
    </x:row>
    <x:row r="499" ht="30" customHeight="1">
      <x:c r="C499" s="64"/>
      <x:c r="D499" s="63"/>
      <x:c r="E499" s="63"/>
      <x:c r="F499" s="63"/>
      <x:c r="G499" s="63"/>
      <x:c r="H499" s="63"/>
      <x:c r="I499" s="63"/>
    </x:row>
    <x:row r="500" ht="30" customHeight="1">
      <x:c r="C500" s="64"/>
      <x:c r="D500" s="63"/>
      <x:c r="E500" s="63"/>
      <x:c r="F500" s="63"/>
      <x:c r="G500" s="63"/>
      <x:c r="H500" s="63"/>
      <x:c r="I500" s="63"/>
    </x:row>
    <x:row r="501" ht="30" customHeight="1">
      <x:c r="C501" s="64"/>
      <x:c r="D501" s="63"/>
      <x:c r="E501" s="63"/>
      <x:c r="F501" s="63"/>
      <x:c r="G501" s="63"/>
      <x:c r="H501" s="63"/>
      <x:c r="I501" s="63"/>
    </x:row>
    <x:row r="502" ht="30" customHeight="1">
      <x:c r="C502" s="64"/>
      <x:c r="D502" s="63"/>
      <x:c r="E502" s="63"/>
      <x:c r="F502" s="63"/>
      <x:c r="G502" s="63"/>
      <x:c r="H502" s="63"/>
      <x:c r="I502" s="63"/>
    </x:row>
    <x:row r="503" ht="30" customHeight="1">
      <x:c r="C503" s="64"/>
      <x:c r="D503" s="63"/>
      <x:c r="E503" s="63"/>
      <x:c r="F503" s="63"/>
      <x:c r="G503" s="63"/>
      <x:c r="H503" s="63"/>
      <x:c r="I503" s="63"/>
    </x:row>
    <x:row r="504" ht="30" customHeight="1">
      <x:c r="C504" s="64"/>
      <x:c r="D504" s="63"/>
      <x:c r="E504" s="63"/>
      <x:c r="F504" s="63"/>
      <x:c r="G504" s="63"/>
      <x:c r="H504" s="63"/>
      <x:c r="I504" s="63"/>
    </x:row>
    <x:row r="505" ht="30" customHeight="1">
      <x:c r="C505" s="64"/>
      <x:c r="D505" s="63"/>
      <x:c r="E505" s="63"/>
      <x:c r="F505" s="63"/>
      <x:c r="G505" s="63"/>
      <x:c r="H505" s="63"/>
      <x:c r="I505" s="63"/>
    </x:row>
    <x:row r="506" ht="30" customHeight="1">
      <x:c r="C506" s="64"/>
      <x:c r="D506" s="63"/>
      <x:c r="E506" s="63"/>
      <x:c r="F506" s="63"/>
      <x:c r="G506" s="63"/>
      <x:c r="H506" s="63"/>
      <x:c r="I506" s="63"/>
    </x:row>
    <x:row r="507" ht="30" customHeight="1">
      <x:c r="C507" s="64"/>
      <x:c r="D507" s="63"/>
      <x:c r="E507" s="63"/>
      <x:c r="F507" s="63"/>
      <x:c r="G507" s="63"/>
      <x:c r="H507" s="63"/>
      <x:c r="I507" s="63"/>
    </x:row>
    <x:row r="508" ht="30" customHeight="1">
      <x:c r="C508" s="64"/>
      <x:c r="D508" s="63"/>
      <x:c r="E508" s="63"/>
      <x:c r="F508" s="63"/>
      <x:c r="G508" s="63"/>
      <x:c r="H508" s="63"/>
      <x:c r="I508" s="63"/>
    </x:row>
    <x:row r="509" ht="30" customHeight="1">
      <x:c r="C509" s="64"/>
      <x:c r="D509" s="63"/>
      <x:c r="E509" s="63"/>
      <x:c r="F509" s="63"/>
      <x:c r="G509" s="63"/>
      <x:c r="H509" s="63"/>
      <x:c r="I509" s="63"/>
    </x:row>
    <x:row r="510" ht="30" customHeight="1">
      <x:c r="C510" s="64"/>
      <x:c r="D510" s="63"/>
      <x:c r="E510" s="63"/>
      <x:c r="F510" s="63"/>
      <x:c r="G510" s="63"/>
      <x:c r="H510" s="63"/>
      <x:c r="I510" s="63"/>
    </x:row>
  </x:sheetData>
  <x:mergeCells>
    <x:mergeCell ref="M2:U2"/>
    <x:mergeCell ref="M9:U9"/>
    <x:mergeCell ref="M10:U10"/>
    <x:mergeCell ref="M30:U30"/>
    <x:mergeCell ref="M43:U44"/>
    <x:mergeCell ref="M48:R48"/>
    <x:mergeCell ref="M58:R58"/>
    <x:mergeCell ref="M68:R68"/>
  </x:mergeCells>
  <x:conditionalFormatting sqref="E101:I101">
    <x:cfRule type="expression" dxfId="45" priority="1">
      <x:formula>ABS(E101)&gt;0.01</x:formula>
    </x:cfRule>
  </x:conditionalFormatting>
  <x:conditionalFormatting sqref="E102:I102">
    <x:cfRule type="expression" dxfId="46" priority="2">
      <x:formula>ABS(E102)&gt;0.01</x:formula>
    </x:cfRule>
  </x:conditionalFormatting>
  <x:conditionalFormatting sqref="E103:I103">
    <x:cfRule type="expression" dxfId="47" priority="3">
      <x:formula>ABS(E103)&gt;0.01</x:formula>
    </x:cfRule>
  </x:conditionalFormatting>
  <x:conditionalFormatting sqref="E104:I104">
    <x:cfRule type="expression" dxfId="48" priority="4">
      <x:formula>ABS(E104)&gt;0.01</x:formula>
    </x:cfRule>
  </x:conditionalFormatting>
  <x:conditionalFormatting sqref="E105:I105">
    <x:cfRule type="expression" dxfId="49" priority="5">
      <x:formula>ABS(E105)&gt;0.01</x:formula>
    </x:cfRule>
  </x:conditionalFormatting>
  <x:conditionalFormatting sqref="E180:I206">
    <x:cfRule type="cellIs" dxfId="85" priority="6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e77b0475d61e4711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88" hidden="0" customWidth="1"/>
    <x:col min="13" max="13" width="3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45" hidden="0" customWidth="1"/>
  </x:cols>
  <x:sheetData>
    <x:row r="1" ht="18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  <x:c r="K1" s="1"/>
    </x:row>
    <x:row r="2" ht="32" customHeight="1">
      <x:c r="A2" s="1"/>
      <x:c r="B2" s="1"/>
      <x:c r="C2" s="3" t="str">
        <x:v>Retail</x:v>
      </x:c>
      <x:c r="D2" s="2"/>
      <x:c r="E2" s="2"/>
      <x:c r="F2" s="2"/>
      <x:c r="G2" s="2"/>
      <x:c r="H2" s="2"/>
      <x:c r="I2" s="2"/>
      <x:c r="J2" s="1"/>
      <x:c r="K2" s="1"/>
      <x:c r="M2" s="86" t="str">
        <x:v>Retail | Client summary</x:v>
      </x:c>
      <x:c r="N2" s="86"/>
      <x:c r="O2" s="86"/>
      <x:c r="P2" s="86"/>
      <x:c r="Q2" s="86"/>
      <x:c r="R2" s="86"/>
      <x:c r="S2" s="86"/>
      <x:c r="T2" s="86"/>
      <x:c r="U2" s="86"/>
      <x:c r="V2" s="63"/>
      <x:c r="X2" t="str">
        <x:v>Forecast year</x:v>
      </x:c>
      <x:c r="Y2" t="str">
        <x:v>Income</x:v>
      </x:c>
      <x:c r="Z2" t="str">
        <x:v>Profit after tax</x:v>
      </x:c>
    </x:row>
    <x:row r="3" ht="18" customHeight="1">
      <x:c r="A3" s="1"/>
      <x:c r="B3" s="1"/>
      <x:c r="C3" s="4"/>
      <x:c r="D3" s="5"/>
      <x:c r="E3" s="5"/>
      <x:c r="F3" s="5"/>
      <x:c r="G3" s="5"/>
      <x:c r="H3" s="5"/>
      <x:c r="I3" s="5"/>
      <x:c r="J3" s="1"/>
      <x:c r="K3" s="1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X3" t="n">
        <x:f>'Controls'!$E$17+0</x:f>
        <x:v>2027</x:v>
      </x:c>
      <x:c r="Y3" t="n">
        <x:f>E47</x:f>
        <x:v>2106.72</x:v>
      </x:c>
      <x:c r="Z3" t="n">
        <x:f>E58</x:f>
        <x:v>70.59270000000001</x:v>
      </x:c>
    </x:row>
    <x:row r="4" ht="18" customHeight="1">
      <x:c r="A4" s="1"/>
      <x:c r="B4" s="1"/>
      <x:c r="C4" s="1" t="str">
        <x:v>Illustrative assumptions. Financial amounts in INR crore.</x:v>
      </x:c>
      <x:c r="D4" s="2"/>
      <x:c r="E4" s="2"/>
      <x:c r="F4" s="2"/>
      <x:c r="G4" s="2"/>
      <x:c r="H4" s="2"/>
      <x:c r="I4" s="2"/>
      <x:c r="J4" s="1"/>
      <x:c r="K4" s="1"/>
      <x:c r="M4" s="63" t="str">
        <x:v>Company / model name</x:v>
      </x:c>
      <x:c r="N4" s="63" t="str">
        <x:v>Illustrative company</x:v>
      </x:c>
      <x:c r="O4" s="63"/>
      <x:c r="P4" s="63"/>
      <x:c r="Q4" s="63"/>
      <x:c r="R4" s="63"/>
      <x:c r="S4" s="63"/>
      <x:c r="T4" s="63"/>
      <x:c r="U4" s="63"/>
      <x:c r="V4" s="63"/>
      <x:c r="X4" t="n">
        <x:f>'Controls'!$E$17+1</x:f>
        <x:v>2028</x:v>
      </x:c>
      <x:c r="Y4" t="n">
        <x:f>F47</x:f>
        <x:v>2465.705088</x:v>
      </x:c>
      <x:c r="Z4" t="n">
        <x:f>F58</x:f>
        <x:v>111.66466607999999</x:v>
      </x:c>
    </x:row>
    <x:row r="5" ht="18" customHeight="1">
      <x:c r="A5" s="1"/>
      <x:c r="B5" s="1"/>
      <x:c r="C5" s="1" t="str">
        <x:v>Selected case</x:v>
      </x:c>
      <x:c r="D5" s="2"/>
      <x:c r="E5" s="10" t="str">
        <x:f>'Controls'!E6</x:f>
        <x:v>Base</x:v>
      </x:c>
      <x:c r="F5" s="2"/>
      <x:c r="G5" s="2"/>
      <x:c r="H5" s="2"/>
      <x:c r="I5" s="2"/>
      <x:c r="J5" s="1"/>
      <x:c r="K5" s="1"/>
      <x:c r="M5" s="63" t="str">
        <x:v>Valuation date</x:v>
      </x:c>
      <x:c r="N5" s="87" t="n">
        <x:f>'Controls'!E18</x:f>
        <x:v>46112</x:v>
      </x:c>
      <x:c r="O5" s="63"/>
      <x:c r="P5" s="63"/>
      <x:c r="Q5" s="63"/>
      <x:c r="R5" s="63"/>
      <x:c r="S5" s="63"/>
      <x:c r="T5" s="63"/>
      <x:c r="U5" s="63"/>
      <x:c r="V5" s="63"/>
      <x:c r="X5" t="n">
        <x:f>'Controls'!$E$17+2</x:f>
        <x:v>2029</x:v>
      </x:c>
      <x:c r="Y5" t="n">
        <x:f>G47</x:f>
        <x:v>2885.8612349952004</x:v>
      </x:c>
      <x:c r="Z5" t="n">
        <x:f>G58</x:f>
        <x:v>155.90363968003197</x:v>
      </x:c>
    </x:row>
    <x:row r="6" ht="18" customHeight="1">
      <x:c r="A6" s="1"/>
      <x:c r="B6" s="1"/>
      <x:c r="C6" s="1"/>
      <x:c r="D6" s="2"/>
      <x:c r="E6" s="2"/>
      <x:c r="F6" s="2"/>
      <x:c r="G6" s="2"/>
      <x:c r="H6" s="2"/>
      <x:c r="I6" s="2"/>
      <x:c r="J6" s="1"/>
      <x:c r="K6" s="1"/>
      <x:c r="M6" s="63" t="str">
        <x:v>Selected case</x:v>
      </x:c>
      <x:c r="N6" s="63" t="str">
        <x:f>'Controls'!E6</x:f>
        <x:v>Base</x:v>
      </x:c>
      <x:c r="O6" s="63"/>
      <x:c r="P6" s="63"/>
      <x:c r="Q6" s="63"/>
      <x:c r="R6" s="63"/>
      <x:c r="S6" s="63"/>
      <x:c r="T6" s="63"/>
      <x:c r="U6" s="63"/>
      <x:c r="V6" s="63"/>
      <x:c r="X6" t="n">
        <x:f>'Controls'!$E$17+3</x:f>
        <x:v>2030</x:v>
      </x:c>
      <x:c r="Y6" t="n">
        <x:f>H47</x:f>
        <x:v>3377.611989438383</x:v>
      </x:c>
      <x:c r="Z6" t="n">
        <x:f>H58</x:f>
        <x:v>204.36699645650964</x:v>
      </x:c>
    </x:row>
    <x:row r="7" ht="18" customHeight="1">
      <x:c r="A7" s="1"/>
      <x:c r="B7" s="1"/>
      <x:c r="C7" s="15" t="str">
        <x:v>Metric</x:v>
      </x:c>
      <x:c r="D7" s="16" t="str">
        <x:v>Opening / seed</x:v>
      </x:c>
      <x:c r="E7" s="65" t="n">
        <x:f>'Controls'!$E$17+0</x:f>
        <x:v>2027</x:v>
      </x:c>
      <x:c r="F7" s="65" t="n">
        <x:f>'Controls'!$E$17+1</x:f>
        <x:v>2028</x:v>
      </x:c>
      <x:c r="G7" s="65" t="n">
        <x:f>'Controls'!$E$17+2</x:f>
        <x:v>2029</x:v>
      </x:c>
      <x:c r="H7" s="65" t="n">
        <x:f>'Controls'!$E$17+3</x:f>
        <x:v>2030</x:v>
      </x:c>
      <x:c r="I7" s="65" t="n">
        <x:f>'Controls'!$E$17+4</x:f>
        <x:v>2031</x:v>
      </x:c>
      <x:c r="J7" s="1"/>
      <x:c r="K7" s="1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X7" t="n">
        <x:f>'Controls'!$E$17+4</x:f>
        <x:v>2031</x:v>
      </x:c>
      <x:c r="Y7" t="n">
        <x:f>I47</x:f>
        <x:v>3953.1570724386834</x:v>
      </x:c>
      <x:c r="Z7" t="n">
        <x:f>I58</x:f>
        <x:v>258.2146312414486</x:v>
      </x:c>
    </x:row>
    <x:row r="8" ht="18" customHeight="1">
      <x:c r="A8" s="1"/>
      <x:c r="B8" s="1"/>
      <x:c r="C8" s="1"/>
      <x:c r="D8" s="2"/>
      <x:c r="E8" s="2"/>
      <x:c r="F8" s="2"/>
      <x:c r="G8" s="2"/>
      <x:c r="H8" s="2"/>
      <x:c r="I8" s="2"/>
      <x:c r="J8" s="1"/>
      <x:c r="K8" s="1"/>
      <x:c r="M8" s="63" t="str">
        <x:v>Equity value (INR crore)</x:v>
      </x:c>
      <x:c r="N8" s="8" t="n">
        <x:f>E94</x:f>
        <x:v>1863.2107147222684</x:v>
      </x:c>
      <x:c r="O8" s="63"/>
      <x:c r="P8" s="63"/>
      <x:c r="Q8" s="63"/>
      <x:c r="R8" s="63"/>
      <x:c r="S8" s="63"/>
      <x:c r="T8" s="63"/>
      <x:c r="U8" s="63"/>
      <x:c r="V8" s="63"/>
    </x:row>
    <x:row r="9" ht="18" customHeight="1">
      <x:c r="A9" s="1"/>
      <x:c r="B9" s="1"/>
      <x:c r="C9" s="19" t="str">
        <x:v>OPERATING ASSUMPTIONS</x:v>
      </x:c>
      <x:c r="D9" s="20"/>
      <x:c r="E9" s="20"/>
      <x:c r="F9" s="20"/>
      <x:c r="G9" s="20"/>
      <x:c r="H9" s="20"/>
      <x:c r="I9" s="20"/>
      <x:c r="J9" s="1"/>
      <x:c r="K9" s="1"/>
      <x:c r="M9" s="63" t="str">
        <x:f>IF(MAX(E100,F100,G100,H100,I100,E101,F101,G101,H101,I101,E102,F102,G102,H102,I102,E103,F103,G103,H103,I103,E104,F104,G104,H104,I104,E180:I205)&gt;0.01,"ATTENTION: model checks contain exceptions",IF(MIN(E100,F100,G100,H100,I100,E101,F101,G101,H101,I101,E102,F102,G102,H102,I102,E103,F103,G103,H103,I103,E104,F104,G104,H104,I104,E180:I205)&lt;-0.01,"ATTENTION: model checks contain exceptions","Model checks clear; review company assumptions"))</x:f>
        <x:v>Model checks clear; review company assumptions</x:v>
      </x:c>
      <x:c r="N9" s="63"/>
      <x:c r="O9" s="63"/>
      <x:c r="P9" s="63"/>
      <x:c r="Q9" s="63"/>
      <x:c r="R9" s="63"/>
      <x:c r="S9" s="63"/>
      <x:c r="T9" s="63"/>
      <x:c r="U9" s="63"/>
      <x:c r="V9" s="63"/>
    </x:row>
    <x:row r="10" ht="18" customHeight="1">
      <x:c r="A10" s="1"/>
      <x:c r="B10" s="1"/>
      <x:c r="C10" s="1" t="str">
        <x:v>Average selling area (sq ft) — seed</x:v>
      </x:c>
      <x:c r="D10" s="7" t="n">
        <x:v>1000000</x:v>
      </x:c>
      <x:c r="E10" s="2"/>
      <x:c r="F10" s="2"/>
      <x:c r="G10" s="2"/>
      <x:c r="H10" s="2"/>
      <x:c r="I10" s="2"/>
      <x:c r="J10" s="1"/>
      <x:c r="K10" s="1" t="str">
        <x:v>Input provenance: all amber cells are constructed examples, not external observations.</x:v>
      </x:c>
      <x:c r="M10" s="63" t="str">
        <x:v>Illustrative inputs; replace with company evidence.</x:v>
      </x:c>
      <x:c r="N10" s="63"/>
      <x:c r="O10" s="63"/>
      <x:c r="P10" s="63"/>
      <x:c r="Q10" s="63"/>
      <x:c r="R10" s="63"/>
      <x:c r="S10" s="63"/>
      <x:c r="T10" s="63"/>
      <x:c r="U10" s="63"/>
      <x:c r="V10" s="63"/>
    </x:row>
    <x:row r="11" ht="18" customHeight="1">
      <x:c r="A11" s="1"/>
      <x:c r="B11" s="1"/>
      <x:c r="C11" s="1" t="str">
        <x:v>Annual sales density (INR per sq ft) — seed</x:v>
      </x:c>
      <x:c r="D11" s="7" t="n">
        <x:v>18000</x:v>
      </x:c>
      <x:c r="E11" s="2"/>
      <x:c r="F11" s="2"/>
      <x:c r="G11" s="2"/>
      <x:c r="H11" s="2"/>
      <x:c r="I11" s="2"/>
      <x:c r="J11" s="1"/>
      <x:c r="K11" s="1" t="str">
        <x:v>Store rent is in operating expenses. Valuation is pre-Ind AS 116; exclude lease liabilities consistently.</x:v>
      </x:c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</x:row>
    <x:row r="12" ht="18" customHeight="1">
      <x:c r="A12" s="1"/>
      <x:c r="B12" s="1"/>
      <x:c r="C12" s="28" t="str">
        <x:v>Operating scale growth — active</x:v>
      </x:c>
      <x:c r="D12" s="29"/>
      <x:c r="E12" s="30" t="n">
        <x:f>IF(COUNT(INDEX(E13:E15,'Controls'!$E$5))=0,NA(),INDEX(E13:E15,'Controls'!$E$5))</x:f>
        <x:v>0.12</x:v>
      </x:c>
      <x:c r="F12" s="30" t="n">
        <x:f>IF(COUNT(INDEX(F13:F15,'Controls'!$E$5))=0,NA(),INDEX(F13:F15,'Controls'!$E$5))</x:f>
        <x:v>0.12</x:v>
      </x:c>
      <x:c r="G12" s="30" t="n">
        <x:f>IF(COUNT(INDEX(G13:G15,'Controls'!$E$5))=0,NA(),INDEX(G13:G15,'Controls'!$E$5))</x:f>
        <x:v>0.12</x:v>
      </x:c>
      <x:c r="H12" s="30" t="n">
        <x:f>IF(COUNT(INDEX(H13:H15,'Controls'!$E$5))=0,NA(),INDEX(H13:H15,'Controls'!$E$5))</x:f>
        <x:v>0.12</x:v>
      </x:c>
      <x:c r="I12" s="30" t="n">
        <x:f>IF(COUNT(INDEX(I13:I15,'Controls'!$E$5))=0,NA(),INDEX(I13:I15,'Controls'!$E$5))</x:f>
        <x:v>0.12</x:v>
      </x:c>
      <x:c r="J12" s="1"/>
      <x:c r="K12" s="1" t="str">
        <x:v>Five-year nominal INR model. Positive costs are subtracted. Discounting is end-of-year.</x:v>
      </x:c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</x:row>
    <x:row r="13" ht="18" customHeight="1">
      <x:c r="A13" s="1"/>
      <x:c r="B13" s="1"/>
      <x:c r="C13" s="23" t="str">
        <x:v>Base</x:v>
      </x:c>
      <x:c r="D13" s="24"/>
      <x:c r="E13" s="26" t="n">
        <x:v>0.12</x:v>
      </x:c>
      <x:c r="F13" s="26" t="n">
        <x:v>0.12</x:v>
      </x:c>
      <x:c r="G13" s="26" t="n">
        <x:v>0.12</x:v>
      </x:c>
      <x:c r="H13" s="26" t="n">
        <x:v>0.12</x:v>
      </x:c>
      <x:c r="I13" s="26" t="n">
        <x:v>0.12</x:v>
      </x:c>
      <x:c r="J13" s="1"/>
      <x:c r="K13" s="1" t="str">
        <x:v>Cash earns no interest; borrowing is explicit. Negative cash is an unfunded shortfall.</x:v>
      </x:c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</x:row>
    <x:row r="14" ht="18" customHeight="1">
      <x:c r="A14" s="1"/>
      <x:c r="B14" s="1"/>
      <x:c r="C14" s="23" t="str">
        <x:v>Downside</x:v>
      </x:c>
      <x:c r="D14" s="24"/>
      <x:c r="E14" s="26" t="n">
        <x:v>0.06999999999999999</x:v>
      </x:c>
      <x:c r="F14" s="26" t="n">
        <x:v>0.06999999999999999</x:v>
      </x:c>
      <x:c r="G14" s="26" t="n">
        <x:v>0.06999999999999999</x:v>
      </x:c>
      <x:c r="H14" s="26" t="n">
        <x:v>0.06999999999999999</x:v>
      </x:c>
      <x:c r="I14" s="26" t="n">
        <x:v>0.06999999999999999</x:v>
      </x:c>
      <x:c r="J14" s="1"/>
      <x:c r="K14" s="1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</x:row>
    <x:row r="15" ht="18" customHeight="1">
      <x:c r="A15" s="1"/>
      <x:c r="B15" s="1"/>
      <x:c r="C15" s="23" t="str">
        <x:v>Upside</x:v>
      </x:c>
      <x:c r="D15" s="24"/>
      <x:c r="E15" s="26" t="n">
        <x:v>0.16</x:v>
      </x:c>
      <x:c r="F15" s="26" t="n">
        <x:v>0.16</x:v>
      </x:c>
      <x:c r="G15" s="26" t="n">
        <x:v>0.16</x:v>
      </x:c>
      <x:c r="H15" s="26" t="n">
        <x:v>0.16</x:v>
      </x:c>
      <x:c r="I15" s="26" t="n">
        <x:v>0.16</x:v>
      </x:c>
      <x:c r="J15" s="1"/>
      <x:c r="K15" s="1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</x:row>
    <x:row r="16" ht="18" customHeight="1">
      <x:c r="A16" s="1"/>
      <x:c r="B16" s="1"/>
      <x:c r="C16" s="28" t="str">
        <x:v>Realization growth — active</x:v>
      </x:c>
      <x:c r="D16" s="29"/>
      <x:c r="E16" s="30" t="n">
        <x:f>IF(COUNT(INDEX(E17:E19,'Controls'!$E$5))=0,NA(),INDEX(E17:E19,'Controls'!$E$5))</x:f>
        <x:v>0.045</x:v>
      </x:c>
      <x:c r="F16" s="30" t="n">
        <x:f>IF(COUNT(INDEX(F17:F19,'Controls'!$E$5))=0,NA(),INDEX(F17:F19,'Controls'!$E$5))</x:f>
        <x:v>0.045</x:v>
      </x:c>
      <x:c r="G16" s="30" t="n">
        <x:f>IF(COUNT(INDEX(G17:G19,'Controls'!$E$5))=0,NA(),INDEX(G17:G19,'Controls'!$E$5))</x:f>
        <x:v>0.045</x:v>
      </x:c>
      <x:c r="H16" s="30" t="n">
        <x:f>IF(COUNT(INDEX(H17:H19,'Controls'!$E$5))=0,NA(),INDEX(H17:H19,'Controls'!$E$5))</x:f>
        <x:v>0.045</x:v>
      </x:c>
      <x:c r="I16" s="30" t="n">
        <x:f>IF(COUNT(INDEX(I17:I19,'Controls'!$E$5))=0,NA(),INDEX(I17:I19,'Controls'!$E$5))</x:f>
        <x:v>0.045</x:v>
      </x:c>
      <x:c r="J16" s="1"/>
      <x:c r="K16" s="1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</x:row>
    <x:row r="17" ht="18" customHeight="1">
      <x:c r="A17" s="1"/>
      <x:c r="B17" s="1"/>
      <x:c r="C17" s="23" t="str">
        <x:v>Base</x:v>
      </x:c>
      <x:c r="D17" s="24"/>
      <x:c r="E17" s="26" t="n">
        <x:v>0.045</x:v>
      </x:c>
      <x:c r="F17" s="26" t="n">
        <x:v>0.045</x:v>
      </x:c>
      <x:c r="G17" s="26" t="n">
        <x:v>0.045</x:v>
      </x:c>
      <x:c r="H17" s="26" t="n">
        <x:v>0.045</x:v>
      </x:c>
      <x:c r="I17" s="26" t="n">
        <x:v>0.045</x:v>
      </x:c>
      <x:c r="J17" s="1"/>
      <x:c r="K17" s="1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</x:row>
    <x:row r="18" ht="18" customHeight="1">
      <x:c r="A18" s="1"/>
      <x:c r="B18" s="1"/>
      <x:c r="C18" s="23" t="str">
        <x:v>Downside</x:v>
      </x:c>
      <x:c r="D18" s="24"/>
      <x:c r="E18" s="26" t="n">
        <x:v>0.019999999999999997</x:v>
      </x:c>
      <x:c r="F18" s="26" t="n">
        <x:v>0.019999999999999997</x:v>
      </x:c>
      <x:c r="G18" s="26" t="n">
        <x:v>0.019999999999999997</x:v>
      </x:c>
      <x:c r="H18" s="26" t="n">
        <x:v>0.019999999999999997</x:v>
      </x:c>
      <x:c r="I18" s="26" t="n">
        <x:v>0.019999999999999997</x:v>
      </x:c>
      <x:c r="J18" s="1"/>
      <x:c r="K18" s="1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</x:row>
    <x:row r="19" ht="18" customHeight="1">
      <x:c r="A19" s="1"/>
      <x:c r="B19" s="1"/>
      <x:c r="C19" s="23" t="str">
        <x:v>Upside</x:v>
      </x:c>
      <x:c r="D19" s="24"/>
      <x:c r="E19" s="26" t="n">
        <x:v>0.065</x:v>
      </x:c>
      <x:c r="F19" s="26" t="n">
        <x:v>0.065</x:v>
      </x:c>
      <x:c r="G19" s="26" t="n">
        <x:v>0.065</x:v>
      </x:c>
      <x:c r="H19" s="26" t="n">
        <x:v>0.065</x:v>
      </x:c>
      <x:c r="I19" s="26" t="n">
        <x:v>0.065</x:v>
      </x:c>
      <x:c r="J19" s="1"/>
      <x:c r="K19" s="1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</x:row>
    <x:row r="20" ht="18" customHeight="1">
      <x:c r="A20" s="1"/>
      <x:c r="B20" s="1"/>
      <x:c r="C20" s="23" t="str">
        <x:v>Capacity utilization</x:v>
      </x:c>
      <x:c r="D20" s="24"/>
      <x:c r="E20" s="26" t="n">
        <x:f>E400</x:f>
        <x:v>1</x:v>
      </x:c>
      <x:c r="F20" s="26" t="n">
        <x:f>F400</x:f>
        <x:v>1</x:v>
      </x:c>
      <x:c r="G20" s="26" t="n">
        <x:f>G400</x:f>
        <x:v>1</x:v>
      </x:c>
      <x:c r="H20" s="26" t="n">
        <x:f>H400</x:f>
        <x:v>1</x:v>
      </x:c>
      <x:c r="I20" s="26" t="n">
        <x:f>I400</x:f>
        <x:v>1</x:v>
      </x:c>
      <x:c r="J20" s="1"/>
      <x:c r="K20" s="1" t="str">
        <x:v>Use 100% when volume already represents actual sales.</x:v>
      </x:c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</x:row>
    <x:row r="21" ht="18" customHeight="1">
      <x:c r="A21" s="1"/>
      <x:c r="B21" s="1"/>
      <x:c r="C21" s="23" t="str">
        <x:v>Merchandise cost / revenue</x:v>
      </x:c>
      <x:c r="D21" s="24"/>
      <x:c r="E21" s="26" t="n">
        <x:f>E405</x:f>
        <x:v>0.62</x:v>
      </x:c>
      <x:c r="F21" s="26" t="n">
        <x:f>F405</x:f>
        <x:v>0.62</x:v>
      </x:c>
      <x:c r="G21" s="26" t="n">
        <x:f>G405</x:f>
        <x:v>0.62</x:v>
      </x:c>
      <x:c r="H21" s="26" t="n">
        <x:f>H405</x:f>
        <x:v>0.62</x:v>
      </x:c>
      <x:c r="I21" s="26" t="n">
        <x:f>I405</x:f>
        <x:v>0.62</x:v>
      </x:c>
      <x:c r="J21" s="1"/>
      <x:c r="K21" s="1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</x:row>
    <x:row r="22" ht="18" customHeight="1">
      <x:c r="A22" s="1"/>
      <x:c r="B22" s="1"/>
      <x:c r="C22" s="23" t="str">
        <x:v>Other cash operating costs / revenue</x:v>
      </x:c>
      <x:c r="D22" s="24"/>
      <x:c r="E22" s="26" t="n">
        <x:f>E410</x:f>
        <x:v>0.25</x:v>
      </x:c>
      <x:c r="F22" s="26" t="n">
        <x:f>F410</x:f>
        <x:v>0.25</x:v>
      </x:c>
      <x:c r="G22" s="26" t="n">
        <x:f>G410</x:f>
        <x:v>0.25</x:v>
      </x:c>
      <x:c r="H22" s="26" t="n">
        <x:f>H410</x:f>
        <x:v>0.25</x:v>
      </x:c>
      <x:c r="I22" s="26" t="n">
        <x:f>I410</x:f>
        <x:v>0.25</x:v>
      </x:c>
      <x:c r="J22" s="1"/>
      <x:c r="K22" s="1" t="str">
        <x:v>Includes rent and store operating expenses.</x:v>
      </x:c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</x:row>
    <x:row r="23" ht="18" customHeight="1">
      <x:c r="A23" s="1"/>
      <x:c r="B23" s="1"/>
      <x:c r="C23" s="23" t="str">
        <x:v>Cash capex / revenue</x:v>
      </x:c>
      <x:c r="D23" s="24"/>
      <x:c r="E23" s="26" t="n">
        <x:f>E415</x:f>
        <x:v>0.055</x:v>
      </x:c>
      <x:c r="F23" s="26" t="n">
        <x:f>F415</x:f>
        <x:v>0.055</x:v>
      </x:c>
      <x:c r="G23" s="26" t="n">
        <x:f>G415</x:f>
        <x:v>0.055</x:v>
      </x:c>
      <x:c r="H23" s="26" t="n">
        <x:f>H415</x:f>
        <x:v>0.055</x:v>
      </x:c>
      <x:c r="I23" s="26" t="n">
        <x:f>I415</x:f>
        <x:v>0.055</x:v>
      </x:c>
      <x:c r="J23" s="1"/>
      <x:c r="K23" s="1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</x:row>
    <x:row r="24" ht="18" customHeight="1">
      <x:c r="A24" s="1"/>
      <x:c r="B24" s="1"/>
      <x:c r="C24" s="23" t="str">
        <x:v>D&amp;A / opening net PP&amp;E</x:v>
      </x:c>
      <x:c r="D24" s="24"/>
      <x:c r="E24" s="26" t="n">
        <x:f>E420</x:f>
        <x:v>0.15</x:v>
      </x:c>
      <x:c r="F24" s="26" t="n">
        <x:f>F420</x:f>
        <x:v>0.15</x:v>
      </x:c>
      <x:c r="G24" s="26" t="n">
        <x:f>G420</x:f>
        <x:v>0.15</x:v>
      </x:c>
      <x:c r="H24" s="26" t="n">
        <x:f>H420</x:f>
        <x:v>0.15</x:v>
      </x:c>
      <x:c r="I24" s="26" t="n">
        <x:f>I420</x:f>
        <x:v>0.15</x:v>
      </x:c>
      <x:c r="J24" s="1"/>
      <x:c r="K24" s="1" t="str">
        <x:v>No disposals or impairments. Current-year capex begins depreciation next year.</x:v>
      </x:c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</x:row>
    <x:row r="25" ht="18" customHeight="1">
      <x:c r="A25" s="1"/>
      <x:c r="B25" s="1"/>
      <x:c r="C25" s="1" t="str">
        <x:v>Receivable days</x:v>
      </x:c>
      <x:c r="D25" s="2"/>
      <x:c r="E25" s="7" t="n">
        <x:f>E425</x:f>
        <x:v>3</x:v>
      </x:c>
      <x:c r="F25" s="7" t="n">
        <x:f>F425</x:f>
        <x:v>3</x:v>
      </x:c>
      <x:c r="G25" s="7" t="n">
        <x:f>G425</x:f>
        <x:v>3</x:v>
      </x:c>
      <x:c r="H25" s="7" t="n">
        <x:f>H425</x:f>
        <x:v>3</x:v>
      </x:c>
      <x:c r="I25" s="7" t="n">
        <x:f>I425</x:f>
        <x:v>3</x:v>
      </x:c>
      <x:c r="J25" s="1"/>
      <x:c r="K25" s="1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</x:row>
    <x:row r="26" ht="18" customHeight="1">
      <x:c r="A26" s="1"/>
      <x:c r="B26" s="1"/>
      <x:c r="C26" s="1" t="str">
        <x:v>Inventory days</x:v>
      </x:c>
      <x:c r="D26" s="2"/>
      <x:c r="E26" s="7" t="n">
        <x:f>E430</x:f>
        <x:v>75</x:v>
      </x:c>
      <x:c r="F26" s="7" t="n">
        <x:f>F430</x:f>
        <x:v>75</x:v>
      </x:c>
      <x:c r="G26" s="7" t="n">
        <x:f>G430</x:f>
        <x:v>75</x:v>
      </x:c>
      <x:c r="H26" s="7" t="n">
        <x:f>H430</x:f>
        <x:v>75</x:v>
      </x:c>
      <x:c r="I26" s="7" t="n">
        <x:f>I430</x:f>
        <x:v>75</x:v>
      </x:c>
      <x:c r="J26" s="1"/>
      <x:c r="K26" s="1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</x:row>
    <x:row r="27" ht="18" customHeight="1">
      <x:c r="A27" s="1"/>
      <x:c r="B27" s="1"/>
      <x:c r="C27" s="1" t="str">
        <x:v>Payable days</x:v>
      </x:c>
      <x:c r="D27" s="2"/>
      <x:c r="E27" s="7" t="n">
        <x:f>E435</x:f>
        <x:v>50</x:v>
      </x:c>
      <x:c r="F27" s="7" t="n">
        <x:f>F435</x:f>
        <x:v>50</x:v>
      </x:c>
      <x:c r="G27" s="7" t="n">
        <x:f>G435</x:f>
        <x:v>50</x:v>
      </x:c>
      <x:c r="H27" s="7" t="n">
        <x:f>H435</x:f>
        <x:v>50</x:v>
      </x:c>
      <x:c r="I27" s="7" t="n">
        <x:f>I435</x:f>
        <x:v>50</x:v>
      </x:c>
      <x:c r="J27" s="1"/>
      <x:c r="K27" s="1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</x:row>
    <x:row r="28" ht="18" customHeight="1">
      <x:c r="A28" s="1"/>
      <x:c r="B28" s="1"/>
      <x:c r="C28" s="23" t="str">
        <x:v>Effective cash tax rate</x:v>
      </x:c>
      <x:c r="D28" s="24"/>
      <x:c r="E28" s="26" t="n">
        <x:f>E440</x:f>
        <x:v>0.25</x:v>
      </x:c>
      <x:c r="F28" s="26" t="n">
        <x:f>F440</x:f>
        <x:v>0.25</x:v>
      </x:c>
      <x:c r="G28" s="26" t="n">
        <x:f>G440</x:f>
        <x:v>0.25</x:v>
      </x:c>
      <x:c r="H28" s="26" t="n">
        <x:f>H440</x:f>
        <x:v>0.25</x:v>
      </x:c>
      <x:c r="I28" s="26" t="n">
        <x:f>I440</x:f>
        <x:v>0.25</x:v>
      </x:c>
      <x:c r="J28" s="1"/>
      <x:c r="K28" s="1" t="str">
        <x:v>Illustrative assumption, not a statutory rate. No loss carryforwards or deferred tax.</x:v>
      </x:c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</x:row>
    <x:row r="29" ht="18" customHeight="1">
      <x:c r="A29" s="1"/>
      <x:c r="B29" s="1"/>
      <x:c r="C29" s="23" t="str">
        <x:v>Interest on opening debt</x:v>
      </x:c>
      <x:c r="D29" s="24"/>
      <x:c r="E29" s="26" t="n">
        <x:f>E445</x:f>
        <x:v>0.085</x:v>
      </x:c>
      <x:c r="F29" s="26" t="n">
        <x:f>F445</x:f>
        <x:v>0.085</x:v>
      </x:c>
      <x:c r="G29" s="26" t="n">
        <x:f>G445</x:f>
        <x:v>0.085</x:v>
      </x:c>
      <x:c r="H29" s="26" t="n">
        <x:f>H445</x:f>
        <x:v>0.085</x:v>
      </x:c>
      <x:c r="I29" s="26" t="n">
        <x:f>I445</x:f>
        <x:v>0.085</x:v>
      </x:c>
      <x:c r="J29" s="1"/>
      <x:c r="K29" s="1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</x:row>
    <x:row r="30" ht="18" customHeight="1">
      <x:c r="A30" s="1"/>
      <x:c r="B30" s="1"/>
      <x:c r="C30" s="1" t="str">
        <x:v>New borrowing</x:v>
      </x:c>
      <x:c r="D30" s="2"/>
      <x:c r="E30" s="7" t="n">
        <x:f>E450</x:f>
        <x:v>0</x:v>
      </x:c>
      <x:c r="F30" s="7" t="n">
        <x:f>F450</x:f>
        <x:v>0</x:v>
      </x:c>
      <x:c r="G30" s="7" t="n">
        <x:f>G450</x:f>
        <x:v>0</x:v>
      </x:c>
      <x:c r="H30" s="7" t="n">
        <x:f>H450</x:f>
        <x:v>0</x:v>
      </x:c>
      <x:c r="I30" s="7" t="n">
        <x:f>I450</x:f>
        <x:v>0</x:v>
      </x:c>
      <x:c r="J30" s="1"/>
      <x:c r="K30" s="1"/>
      <x:c r="M30" s="82" t="str">
        <x:v>Historical actuals and forecast | INR crore</x:v>
      </x:c>
      <x:c r="N30" s="82"/>
      <x:c r="O30" s="82"/>
      <x:c r="P30" s="82"/>
      <x:c r="Q30" s="82"/>
      <x:c r="R30" s="82"/>
      <x:c r="S30" s="82"/>
      <x:c r="T30" s="82"/>
      <x:c r="U30" s="82"/>
      <x:c r="V30" s="63"/>
    </x:row>
    <x:row r="31" ht="18" customHeight="1">
      <x:c r="A31" s="1"/>
      <x:c r="B31" s="1"/>
      <x:c r="C31" s="1" t="str">
        <x:v>Scheduled principal repayment</x:v>
      </x:c>
      <x:c r="D31" s="2"/>
      <x:c r="E31" s="7" t="n">
        <x:f>E455</x:f>
        <x:v>35</x:v>
      </x:c>
      <x:c r="F31" s="7" t="n">
        <x:f>F455</x:f>
        <x:v>35</x:v>
      </x:c>
      <x:c r="G31" s="7" t="n">
        <x:f>G455</x:f>
        <x:v>35</x:v>
      </x:c>
      <x:c r="H31" s="7" t="n">
        <x:f>H455</x:f>
        <x:v>35</x:v>
      </x:c>
      <x:c r="I31" s="7" t="n">
        <x:f>I455</x:f>
        <x:v>35</x:v>
      </x:c>
      <x:c r="J31" s="1"/>
      <x:c r="K31" s="1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</x:row>
    <x:row r="32" ht="18" customHeight="1">
      <x:c r="A32" s="1"/>
      <x:c r="B32" s="1"/>
      <x:c r="C32" s="23" t="str">
        <x:v>Dividend payout on positive PAT</x:v>
      </x:c>
      <x:c r="D32" s="24"/>
      <x:c r="E32" s="26" t="n">
        <x:f>E460</x:f>
        <x:v>0.25</x:v>
      </x:c>
      <x:c r="F32" s="26" t="n">
        <x:f>F460</x:f>
        <x:v>0.25</x:v>
      </x:c>
      <x:c r="G32" s="26" t="n">
        <x:f>G460</x:f>
        <x:v>0.25</x:v>
      </x:c>
      <x:c r="H32" s="26" t="n">
        <x:f>H460</x:f>
        <x:v>0.25</x:v>
      </x:c>
      <x:c r="I32" s="26" t="n">
        <x:f>I460</x:f>
        <x:v>0.25</x:v>
      </x:c>
      <x:c r="J32" s="1"/>
      <x:c r="K32" s="1"/>
      <x:c r="M32" s="63" t="str">
        <x:v>Metric</x:v>
      </x:c>
      <x:c r="N32" s="88" t="n">
        <x:f>'Controls'!$E$17+-3</x:f>
        <x:v>2024</x:v>
      </x:c>
      <x:c r="O32" s="88" t="n">
        <x:f>'Controls'!$E$17+-2</x:f>
        <x:v>2025</x:v>
      </x:c>
      <x:c r="P32" s="88" t="n">
        <x:f>'Controls'!$E$17+-1</x:f>
        <x:v>2026</x:v>
      </x:c>
      <x:c r="Q32" s="89" t="n">
        <x:f>'Controls'!$E$17+0</x:f>
        <x:v>2027</x:v>
      </x:c>
      <x:c r="R32" s="89" t="n">
        <x:f>'Controls'!$E$17+1</x:f>
        <x:v>2028</x:v>
      </x:c>
      <x:c r="S32" s="89" t="n">
        <x:f>'Controls'!$E$17+2</x:f>
        <x:v>2029</x:v>
      </x:c>
      <x:c r="T32" s="89" t="n">
        <x:f>'Controls'!$E$17+3</x:f>
        <x:v>2030</x:v>
      </x:c>
      <x:c r="U32" s="89" t="n">
        <x:f>'Controls'!$E$17+4</x:f>
        <x:v>2031</x:v>
      </x:c>
      <x:c r="V32" s="63" t="str">
        <x:v>Source / reporting date</x:v>
      </x:c>
    </x:row>
    <x:row r="33" ht="18" customHeight="1">
      <x:c r="A33" s="1"/>
      <x:c r="B33" s="1"/>
      <x:c r="C33" s="19" t="str">
        <x:v>OPENING BALANCE SHEET AND VALUATION INPUTS</x:v>
      </x:c>
      <x:c r="D33" s="20"/>
      <x:c r="E33" s="20"/>
      <x:c r="F33" s="20"/>
      <x:c r="G33" s="20"/>
      <x:c r="H33" s="20"/>
      <x:c r="I33" s="20"/>
      <x:c r="J33" s="1"/>
      <x:c r="K33" s="1"/>
      <x:c r="M33" s="63" t="str">
        <x:v>Income</x:v>
      </x:c>
      <x:c r="N33" s="74"/>
      <x:c r="O33" s="74"/>
      <x:c r="P33" s="74"/>
      <x:c r="Q33" s="8" t="n">
        <x:f>E47</x:f>
        <x:v>2106.72</x:v>
      </x:c>
      <x:c r="R33" s="8" t="n">
        <x:f>F47</x:f>
        <x:v>2465.705088</x:v>
      </x:c>
      <x:c r="S33" s="8" t="n">
        <x:f>G47</x:f>
        <x:v>2885.8612349952004</x:v>
      </x:c>
      <x:c r="T33" s="8" t="n">
        <x:f>H47</x:f>
        <x:v>3377.611989438383</x:v>
      </x:c>
      <x:c r="U33" s="8" t="n">
        <x:f>I47</x:f>
        <x:v>3953.1570724386834</x:v>
      </x:c>
      <x:c r="V33" s="63"/>
    </x:row>
    <x:row r="34" ht="18" customHeight="1">
      <x:c r="A34" s="1"/>
      <x:c r="B34" s="1"/>
      <x:c r="C34" s="1" t="str">
        <x:v>Opening net PP&amp;E</x:v>
      </x:c>
      <x:c r="D34" s="7" t="n">
        <x:v>1000</x:v>
      </x:c>
      <x:c r="E34" s="2"/>
      <x:c r="F34" s="2"/>
      <x:c r="G34" s="2"/>
      <x:c r="H34" s="2"/>
      <x:c r="I34" s="2"/>
      <x:c r="J34" s="1"/>
      <x:c r="K34" s="1"/>
      <x:c r="M34" s="63" t="str">
        <x:v>Profit after tax</x:v>
      </x:c>
      <x:c r="N34" s="74"/>
      <x:c r="O34" s="74"/>
      <x:c r="P34" s="74"/>
      <x:c r="Q34" s="8" t="n">
        <x:f>E58</x:f>
        <x:v>70.59270000000001</x:v>
      </x:c>
      <x:c r="R34" s="8" t="n">
        <x:f>F58</x:f>
        <x:v>111.66466607999999</x:v>
      </x:c>
      <x:c r="S34" s="8" t="n">
        <x:f>G58</x:f>
        <x:v>155.90363968003197</x:v>
      </x:c>
      <x:c r="T34" s="8" t="n">
        <x:f>H58</x:f>
        <x:v>204.36699645650964</x:v>
      </x:c>
      <x:c r="U34" s="8" t="n">
        <x:f>I58</x:f>
        <x:v>258.2146312414486</x:v>
      </x:c>
      <x:c r="V34" s="63"/>
    </x:row>
    <x:row r="35" ht="18" customHeight="1">
      <x:c r="A35" s="1"/>
      <x:c r="B35" s="1"/>
      <x:c r="C35" s="1" t="str">
        <x:v>Opening debt</x:v>
      </x:c>
      <x:c r="D35" s="7" t="n">
        <x:v>350</x:v>
      </x:c>
      <x:c r="E35" s="2"/>
      <x:c r="F35" s="2"/>
      <x:c r="G35" s="2"/>
      <x:c r="H35" s="2"/>
      <x:c r="I35" s="2"/>
      <x:c r="J35" s="1"/>
      <x:c r="K35" s="1"/>
      <x:c r="M35" s="63" t="str">
        <x:v>EBITDA</x:v>
      </x:c>
      <x:c r="N35" s="74"/>
      <x:c r="O35" s="74"/>
      <x:c r="P35" s="74"/>
      <x:c r="Q35" s="8" t="n">
        <x:f>E52</x:f>
        <x:v>273.8736</x:v>
      </x:c>
      <x:c r="R35" s="8" t="n">
        <x:f>F52</x:f>
        <x:v>320.54166144</x:v>
      </x:c>
      <x:c r="S35" s="8" t="n">
        <x:f>G52</x:f>
        <x:v>375.161960549376</x:v>
      </x:c>
      <x:c r="T35" s="8" t="n">
        <x:f>H52</x:f>
        <x:v>439.08955862698986</x:v>
      </x:c>
      <x:c r="U35" s="8" t="n">
        <x:f>I52</x:f>
        <x:v>513.9104194170287</x:v>
      </x:c>
      <x:c r="V35" s="63"/>
    </x:row>
    <x:row r="36" ht="18" customHeight="1">
      <x:c r="A36" s="1"/>
      <x:c r="B36" s="1"/>
      <x:c r="C36" s="1" t="str">
        <x:v>Opening cash</x:v>
      </x:c>
      <x:c r="D36" s="7" t="n">
        <x:v>250</x:v>
      </x:c>
      <x:c r="E36" s="2"/>
      <x:c r="F36" s="2"/>
      <x:c r="G36" s="2"/>
      <x:c r="H36" s="2"/>
      <x:c r="I36" s="2"/>
      <x:c r="J36" s="1"/>
      <x:c r="K36" s="1"/>
      <x:c r="M36" s="63" t="str">
        <x:v>Closing debt</x:v>
      </x:c>
      <x:c r="N36" s="74"/>
      <x:c r="O36" s="74"/>
      <x:c r="P36" s="74"/>
      <x:c r="Q36" s="8" t="n">
        <x:f>E67</x:f>
        <x:v>315</x:v>
      </x:c>
      <x:c r="R36" s="8" t="n">
        <x:f>F67</x:f>
        <x:v>280</x:v>
      </x:c>
      <x:c r="S36" s="8" t="n">
        <x:f>G67</x:f>
        <x:v>245</x:v>
      </x:c>
      <x:c r="T36" s="8" t="n">
        <x:f>H67</x:f>
        <x:v>210</x:v>
      </x:c>
      <x:c r="U36" s="8" t="n">
        <x:f>I67</x:f>
        <x:v>175</x:v>
      </x:c>
      <x:c r="V36" s="63"/>
    </x:row>
    <x:row r="37" ht="18" customHeight="1">
      <x:c r="A37" s="1"/>
      <x:c r="B37" s="1"/>
      <x:c r="C37" s="1" t="str">
        <x:v>Opening net working capital</x:v>
      </x:c>
      <x:c r="D37" s="7" t="n">
        <x:v>91.23287671232877</x:v>
      </x:c>
      <x:c r="E37" s="2"/>
      <x:c r="F37" s="2"/>
      <x:c r="G37" s="2"/>
      <x:c r="H37" s="2"/>
      <x:c r="I37" s="2"/>
      <x:c r="J37" s="1"/>
      <x:c r="K37" s="1" t="str">
        <x:v>Illustrative opening net balance. Replace with receivables + inventory − payables.</x:v>
      </x:c>
      <x:c r="M37" s="63" t="str">
        <x:v>Closing cash / (funding gap)</x:v>
      </x:c>
      <x:c r="N37" s="74"/>
      <x:c r="O37" s="74"/>
      <x:c r="P37" s="74"/>
      <x:c r="Q37" s="8" t="n">
        <x:f>E72</x:f>
        <x:v>286.5288428082193</x:v>
      </x:c>
      <x:c r="R37" s="8" t="n">
        <x:f>F72</x:f>
        <x:v>326.3488679309589</x:v>
      </x:c>
      <x:c r="S37" s="8" t="n">
        <x:f>G72</x:f>
        <x:v>371.7490852096133</x:v>
      </x:c>
      <x:c r="T37" s="8" t="n">
        <x:f>H72</x:f>
        <x:v>425.1065498438008</x:v>
      </x:c>
      <x:c r="U37" s="8" t="n">
        <x:f>I72</x:f>
        <x:v>488.9466656082159</x:v>
      </x:c>
      <x:c r="V37" s="63"/>
    </x:row>
    <x:row r="38" ht="18" customHeight="1">
      <x:c r="A38" s="1"/>
      <x:c r="B38" s="1"/>
      <x:c r="C38" s="1" t="str">
        <x:v>Diluted shares (crore)</x:v>
      </x:c>
      <x:c r="D38" s="7" t="n">
        <x:v>100</x:v>
      </x:c>
      <x:c r="E38" s="2"/>
      <x:c r="F38" s="2"/>
      <x:c r="G38" s="2"/>
      <x:c r="H38" s="2"/>
      <x:c r="I38" s="2"/>
      <x:c r="J38" s="1"/>
      <x:c r="K38" s="1"/>
      <x:c r="M38" s="63" t="str">
        <x:v>Closing book equity</x:v>
      </x:c>
      <x:c r="N38" s="74"/>
      <x:c r="O38" s="74"/>
      <x:c r="P38" s="74"/>
      <x:c r="Q38" s="8" t="n">
        <x:f>E73</x:f>
        <x:v>1044.1774017123287</x:v>
      </x:c>
      <x:c r="R38" s="8" t="n">
        <x:f>F73</x:f>
        <x:v>1127.9259012723287</x:v>
      </x:c>
      <x:c r="S38" s="8" t="n">
        <x:f>G73</x:f>
        <x:v>1244.8536310323527</x:v>
      </x:c>
      <x:c r="T38" s="8" t="n">
        <x:f>H73</x:f>
        <x:v>1398.128878374735</x:v>
      </x:c>
      <x:c r="U38" s="8" t="n">
        <x:f>I73</x:f>
        <x:v>1591.7898518058214</x:v>
      </x:c>
      <x:c r="V38" s="63"/>
    </x:row>
    <x:row r="39" ht="18" customHeight="1">
      <x:c r="A39" s="1"/>
      <x:c r="B39" s="1"/>
      <x:c r="C39" s="1" t="str">
        <x:v>WACC</x:v>
      </x:c>
      <x:c r="D39" s="25" t="n">
        <x:v>0.12</x:v>
      </x:c>
      <x:c r="E39" s="2"/>
      <x:c r="F39" s="2"/>
      <x:c r="G39" s="2"/>
      <x:c r="H39" s="2"/>
      <x:c r="I39" s="2"/>
      <x:c r="J39" s="1"/>
      <x:c r="K39" s="1"/>
      <x:c r="M39" s="63" t="str">
        <x:v>Operating cash flow after interest</x:v>
      </x:c>
      <x:c r="N39" s="74"/>
      <x:c r="O39" s="74"/>
      <x:c r="P39" s="74"/>
      <x:c r="Q39" s="8" t="n">
        <x:f>E69</x:f>
        <x:v>205.04661780821925</x:v>
      </x:c>
      <x:c r="R39" s="8" t="n">
        <x:f>F69</x:f>
        <x:v>238.34997148273962</x:v>
      </x:c>
      <x:c r="S39" s="8" t="n">
        <x:f>G69</x:f>
        <x:v>278.0984951233985</x:v>
      </x:c>
      <x:c r="T39" s="8" t="n">
        <x:f>H69</x:f>
        <x:v>325.2178731674259</x:v>
      </x:c>
      <x:c r="U39" s="8" t="n">
        <x:f>I69</x:f>
        <x:v>380.81741255890483</x:v>
      </x:c>
      <x:c r="V39" s="63"/>
    </x:row>
    <x:row r="40" ht="18" customHeight="1">
      <x:c r="A40" s="1"/>
      <x:c r="B40" s="1"/>
      <x:c r="C40" s="1" t="str">
        <x:v>Terminal growth</x:v>
      </x:c>
      <x:c r="D40" s="25" t="n">
        <x:v>0.04</x:v>
      </x:c>
      <x:c r="E40" s="2"/>
      <x:c r="F40" s="2"/>
      <x:c r="G40" s="2"/>
      <x:c r="H40" s="2"/>
      <x:c r="I40" s="2"/>
      <x:c r="J40" s="1"/>
      <x:c r="K40" s="1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</x:row>
    <x:row r="41" ht="18" customHeight="1">
      <x:c r="A41" s="1"/>
      <x:c r="B41" s="1"/>
      <x:c r="C41" s="1" t="str">
        <x:v>Terminal incremental ROIC</x:v>
      </x:c>
      <x:c r="D41" s="25" t="n">
        <x:v>0.15</x:v>
      </x:c>
      <x:c r="E41" s="2"/>
      <x:c r="F41" s="2"/>
      <x:c r="G41" s="2"/>
      <x:c r="H41" s="2"/>
      <x:c r="I41" s="2"/>
      <x:c r="J41" s="1"/>
      <x:c r="K41" s="1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</x:row>
    <x:row r="42" ht="18" customHeight="1">
      <x:c r="A42" s="1"/>
      <x:c r="B42" s="1"/>
      <x:c r="C42" s="1" t="str">
        <x:v>Forward EV / EBITDA</x:v>
      </x:c>
      <x:c r="D42" s="55" t="n">
        <x:v>18</x:v>
      </x:c>
      <x:c r="E42" s="2"/>
      <x:c r="F42" s="2"/>
      <x:c r="G42" s="2"/>
      <x:c r="H42" s="2"/>
      <x:c r="I42" s="2"/>
      <x:c r="J42" s="1"/>
      <x:c r="K42" s="1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</x:row>
    <x:row r="43" ht="18" customHeight="1">
      <x:c r="A43" s="1"/>
      <x:c r="B43" s="1"/>
      <x:c r="C43" s="19" t="str">
        <x:v>OPERATING BUILD</x:v>
      </x:c>
      <x:c r="D43" s="20"/>
      <x:c r="E43" s="20"/>
      <x:c r="F43" s="20"/>
      <x:c r="G43" s="20"/>
      <x:c r="H43" s="20"/>
      <x:c r="I43" s="20"/>
      <x:c r="J43" s="1"/>
      <x:c r="K43" s="1"/>
      <x:c r="M43" s="64" t="str">
        <x:v>Actuals are reference inputs. Calibrate the opening balances and forecast assumptions separately.</x:v>
      </x:c>
      <x:c r="N43" s="64"/>
      <x:c r="O43" s="64"/>
      <x:c r="P43" s="64"/>
      <x:c r="Q43" s="64"/>
      <x:c r="R43" s="64"/>
      <x:c r="S43" s="64"/>
      <x:c r="T43" s="64"/>
      <x:c r="U43" s="64"/>
      <x:c r="V43" s="63"/>
    </x:row>
    <x:row r="44" ht="18" customHeight="1">
      <x:c r="A44" s="1"/>
      <x:c r="B44" s="1"/>
      <x:c r="C44" s="1" t="str">
        <x:v>Average selling area (sq ft)</x:v>
      </x:c>
      <x:c r="D44" s="2"/>
      <x:c r="E44" s="8" t="n">
        <x:f>$D10*(1+E12)</x:f>
        <x:v>1120000</x:v>
      </x:c>
      <x:c r="F44" s="8" t="n">
        <x:f>E44*(1+F12)</x:f>
        <x:v>1254400.0000000002</x:v>
      </x:c>
      <x:c r="G44" s="8" t="n">
        <x:f>F44*(1+G12)</x:f>
        <x:v>1404928.0000000005</x:v>
      </x:c>
      <x:c r="H44" s="8" t="n">
        <x:f>G44*(1+H12)</x:f>
        <x:v>1573519.3600000006</x:v>
      </x:c>
      <x:c r="I44" s="8" t="n">
        <x:f>H44*(1+I12)</x:f>
        <x:v>1762341.6832000008</x:v>
      </x:c>
      <x:c r="J44" s="1"/>
      <x:c r="K44" s="1"/>
      <x:c r="M44" s="64"/>
      <x:c r="N44" s="64"/>
      <x:c r="O44" s="64"/>
      <x:c r="P44" s="64"/>
      <x:c r="Q44" s="64"/>
      <x:c r="R44" s="64"/>
      <x:c r="S44" s="64"/>
      <x:c r="T44" s="64"/>
      <x:c r="U44" s="64"/>
      <x:c r="V44" s="63"/>
    </x:row>
    <x:row r="45" ht="18" customHeight="1">
      <x:c r="A45" s="1"/>
      <x:c r="B45" s="1"/>
      <x:c r="C45" s="1" t="str">
        <x:v>Annual sales density (INR per sq ft)</x:v>
      </x:c>
      <x:c r="D45" s="2"/>
      <x:c r="E45" s="8" t="n">
        <x:f>$D11*(1+E16)</x:f>
        <x:v>18810</x:v>
      </x:c>
      <x:c r="F45" s="8" t="n">
        <x:f>E45*(1+F16)</x:f>
        <x:v>19656.449999999997</x:v>
      </x:c>
      <x:c r="G45" s="8" t="n">
        <x:f>F45*(1+G16)</x:f>
        <x:v>20540.990249999995</x:v>
      </x:c>
      <x:c r="H45" s="8" t="n">
        <x:f>G45*(1+H16)</x:f>
        <x:v>21465.334811249995</x:v>
      </x:c>
      <x:c r="I45" s="8" t="n">
        <x:f>H45*(1+I16)</x:f>
        <x:v>22431.274877756245</x:v>
      </x:c>
      <x:c r="J45" s="1"/>
      <x:c r="K45" s="1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</x:row>
    <x:row r="46" ht="18" customHeight="1">
      <x:c r="A46" s="1"/>
      <x:c r="B46" s="1"/>
      <x:c r="C46" s="1" t="str">
        <x:v>Billable / saleable volume</x:v>
      </x:c>
      <x:c r="D46" s="2"/>
      <x:c r="E46" s="8" t="n">
        <x:f>E44*E20</x:f>
        <x:v>1120000</x:v>
      </x:c>
      <x:c r="F46" s="8" t="n">
        <x:f>F44*F20</x:f>
        <x:v>1254400.0000000002</x:v>
      </x:c>
      <x:c r="G46" s="8" t="n">
        <x:f>G44*G20</x:f>
        <x:v>1404928.0000000005</x:v>
      </x:c>
      <x:c r="H46" s="8" t="n">
        <x:f>H44*H20</x:f>
        <x:v>1573519.3600000006</x:v>
      </x:c>
      <x:c r="I46" s="8" t="n">
        <x:f>I44*I20</x:f>
        <x:v>1762341.6832000008</x:v>
      </x:c>
      <x:c r="J46" s="1"/>
      <x:c r="K46" s="1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</x:row>
    <x:row r="47" ht="18" customHeight="1">
      <x:c r="A47" s="1"/>
      <x:c r="B47" s="1"/>
      <x:c r="C47" s="38" t="str">
        <x:v>Revenue</x:v>
      </x:c>
      <x:c r="D47" s="39"/>
      <x:c r="E47" s="60" t="n">
        <x:f>E46*E45/'Controls'!$E$9</x:f>
        <x:v>2106.72</x:v>
      </x:c>
      <x:c r="F47" s="60" t="n">
        <x:f>F46*F45/'Controls'!$E$9</x:f>
        <x:v>2465.705088</x:v>
      </x:c>
      <x:c r="G47" s="60" t="n">
        <x:f>G46*G45/'Controls'!$E$9</x:f>
        <x:v>2885.8612349952004</x:v>
      </x:c>
      <x:c r="H47" s="60" t="n">
        <x:f>H46*H45/'Controls'!$E$9</x:f>
        <x:v>3377.611989438383</x:v>
      </x:c>
      <x:c r="I47" s="60" t="n">
        <x:f>I46*I45/'Controls'!$E$9</x:f>
        <x:v>3953.1570724386834</x:v>
      </x:c>
      <x:c r="J47" s="1"/>
      <x:c r="K47" s="1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</x:row>
    <x:row r="48" ht="25" customHeight="1">
      <x:c r="A48" s="1"/>
      <x:c r="B48" s="1"/>
      <x:c r="C48" s="19" t="str">
        <x:v>INCOME STATEMENT</x:v>
      </x:c>
      <x:c r="D48" s="20"/>
      <x:c r="E48" s="20"/>
      <x:c r="F48" s="20"/>
      <x:c r="G48" s="20"/>
      <x:c r="H48" s="20"/>
      <x:c r="I48" s="20"/>
      <x:c r="J48" s="1"/>
      <x:c r="K48" s="1"/>
      <x:c r="M48" s="82" t="str">
        <x:v>DCF equity value | rows WACC / columns terminal growth</x:v>
      </x:c>
      <x:c r="N48" s="82"/>
      <x:c r="O48" s="82"/>
      <x:c r="P48" s="82"/>
      <x:c r="Q48" s="82"/>
      <x:c r="R48" s="82"/>
      <x:c r="S48" s="63"/>
      <x:c r="T48" s="63"/>
      <x:c r="U48" s="63"/>
      <x:c r="V48" s="63"/>
    </x:row>
    <x:row r="49" ht="18" customHeight="1">
      <x:c r="A49" s="1"/>
      <x:c r="B49" s="1"/>
      <x:c r="C49" s="1" t="str">
        <x:v>Direct cash costs</x:v>
      </x:c>
      <x:c r="D49" s="2"/>
      <x:c r="E49" s="8" t="n">
        <x:f>E47*E21</x:f>
        <x:v>1306.1663999999998</x:v>
      </x:c>
      <x:c r="F49" s="8" t="n">
        <x:f>F47*F21</x:f>
        <x:v>1528.7371545600001</x:v>
      </x:c>
      <x:c r="G49" s="8" t="n">
        <x:f>G47*G21</x:f>
        <x:v>1789.2339656970244</x:v>
      </x:c>
      <x:c r="H49" s="8" t="n">
        <x:f>H47*H21</x:f>
        <x:v>2094.1194334517972</x:v>
      </x:c>
      <x:c r="I49" s="8" t="n">
        <x:f>I47*I21</x:f>
        <x:v>2450.957384911984</x:v>
      </x:c>
      <x:c r="J49" s="1"/>
      <x:c r="K49" s="1"/>
      <x:c r="M49" s="63"/>
      <x:c r="N49" s="70" t="n">
        <x:f>$D$40+-0.01</x:f>
        <x:v>0.03</x:v>
      </x:c>
      <x:c r="O49" s="70" t="n">
        <x:f>$D$40+-0.005</x:f>
        <x:v>0.035</x:v>
      </x:c>
      <x:c r="P49" s="70" t="n">
        <x:f>$D$40+0</x:f>
        <x:v>0.04</x:v>
      </x:c>
      <x:c r="Q49" s="70" t="n">
        <x:f>$D$40+0.005</x:f>
        <x:v>0.045</x:v>
      </x:c>
      <x:c r="R49" s="70" t="n">
        <x:f>$D$40+0.01</x:f>
        <x:v>0.05</x:v>
      </x:c>
      <x:c r="S49" s="63"/>
      <x:c r="T49" s="63"/>
      <x:c r="U49" s="63"/>
      <x:c r="V49" s="63"/>
    </x:row>
    <x:row r="50" ht="18" customHeight="1">
      <x:c r="A50" s="1"/>
      <x:c r="B50" s="1"/>
      <x:c r="C50" s="1" t="str">
        <x:v>Gross profit</x:v>
      </x:c>
      <x:c r="D50" s="2"/>
      <x:c r="E50" s="8" t="n">
        <x:f>E47-E49</x:f>
        <x:v>800.5536</x:v>
      </x:c>
      <x:c r="F50" s="8" t="n">
        <x:f>F47-F49</x:f>
        <x:v>936.96793344</x:v>
      </x:c>
      <x:c r="G50" s="8" t="n">
        <x:f>G47-G49</x:f>
        <x:v>1096.627269298176</x:v>
      </x:c>
      <x:c r="H50" s="8" t="n">
        <x:f>H47-H49</x:f>
        <x:v>1283.4925559865856</x:v>
      </x:c>
      <x:c r="I50" s="8" t="n">
        <x:f>I47-I49</x:f>
        <x:v>1502.1996875266996</x:v>
      </x:c>
      <x:c r="J50" s="1"/>
      <x:c r="K50" s="1"/>
      <x:c r="M50" s="70" t="n">
        <x:f>$D$39+-0.02</x:f>
        <x:v>0.09999999999999999</x:v>
      </x:c>
      <x:c r="N50" s="8" t="n">
        <x:f>IF($M50&lt;=N$49,"n/a",IF(N$49&gt;$D$41,"n/a",E77/(1+$M50)^1+F77/(1+$M50)^2+G77/(1+$M50)^3+H77/(1+$M50)^4+I77/(1+$M50)^5+I76*(1+N$49)*(1-N$49/D41)/($M50-N$49)/(1+$M50)^5-D35+D36))</x:f>
        <x:v>2406.8124713378284</x:v>
      </x:c>
      <x:c r="O50" s="8" t="n">
        <x:f>IF($M50&lt;=O$49,"n/a",IF(O$49&gt;$D$41,"n/a",E77/(1+$M50)^1+F77/(1+$M50)^2+G77/(1+$M50)^3+H77/(1+$M50)^4+I77/(1+$M50)^5+I76*(1+O$49)*(1-O$49/D41)/($M50-O$49)/(1+$M50)^5-D35+D36))</x:f>
        <x:v>2480.385538597633</x:v>
      </x:c>
      <x:c r="P50" s="8" t="n">
        <x:f>IF($M50&lt;=P$49,"n/a",IF(P$49&gt;$D$41,"n/a",E77/(1+$M50)^1+F77/(1+$M50)^2+G77/(1+$M50)^3+H77/(1+$M50)^4+I77/(1+$M50)^5+I76*(1+P$49)*(1-P$49/D41)/($M50-P$49)/(1+$M50)^5-D35+D36))</x:f>
        <x:v>2565.2838750969827</x:v>
      </x:c>
      <x:c r="Q50" s="8" t="n">
        <x:f>IF($M50&lt;=Q$49,"n/a",IF(Q$49&gt;$D$41,"n/a",E77/(1+$M50)^1+F77/(1+$M50)^2+G77/(1+$M50)^3+H77/(1+$M50)^4+I77/(1+$M50)^5+I76*(1+Q$49)*(1-Q$49/D41)/($M50-Q$49)/(1+$M50)^5-D35+D36))</x:f>
        <x:v>2664.596190628479</x:v>
      </x:c>
      <x:c r="R50" s="8" t="n">
        <x:f>IF($M50&lt;=R$49,"n/a",IF(R$49&gt;$D$41,"n/a",E77/(1+$M50)^1+F77/(1+$M50)^2+G77/(1+$M50)^3+H77/(1+$M50)^4+I77/(1+$M50)^5+I76*(1+R$49)*(1-R$49/D41)/($M50-R$49)/(1+$M50)^5-D35+D36))</x:f>
        <x:v>2782.6466789017677</x:v>
      </x:c>
      <x:c r="S50" s="63"/>
      <x:c r="T50" s="63"/>
      <x:c r="U50" s="63"/>
      <x:c r="V50" s="63"/>
    </x:row>
    <x:row r="51" ht="18" customHeight="1">
      <x:c r="A51" s="1"/>
      <x:c r="B51" s="1"/>
      <x:c r="C51" s="1" t="str">
        <x:v>Other cash operating costs</x:v>
      </x:c>
      <x:c r="D51" s="2"/>
      <x:c r="E51" s="8" t="n">
        <x:f>E47*E22</x:f>
        <x:v>526.68</x:v>
      </x:c>
      <x:c r="F51" s="8" t="n">
        <x:f>F47*F22</x:f>
        <x:v>616.426272</x:v>
      </x:c>
      <x:c r="G51" s="8" t="n">
        <x:f>G47*G22</x:f>
        <x:v>721.4653087488001</x:v>
      </x:c>
      <x:c r="H51" s="8" t="n">
        <x:f>H47*H22</x:f>
        <x:v>844.4029973595957</x:v>
      </x:c>
      <x:c r="I51" s="8" t="n">
        <x:f>I47*I22</x:f>
        <x:v>988.2892681096708</x:v>
      </x:c>
      <x:c r="J51" s="1"/>
      <x:c r="K51" s="1"/>
      <x:c r="M51" s="70" t="n">
        <x:f>$D$39+-0.01</x:f>
        <x:v>0.11</x:v>
      </x:c>
      <x:c r="N51" s="8" t="n">
        <x:f>IF($M51&lt;=N$49,"n/a",IF(N$49&gt;$D$41,"n/a",E77/(1+$M51)^1+F77/(1+$M51)^2+G77/(1+$M51)^3+H77/(1+$M51)^4+I77/(1+$M51)^5+I76*(1+N$49)*(1-N$49/D41)/($M51-N$49)/(1+$M51)^5-D35+D36))</x:f>
        <x:v>2067.701360294094</x:v>
      </x:c>
      <x:c r="O51" s="8" t="n">
        <x:f>IF($M51&lt;=O$49,"n/a",IF(O$49&gt;$D$41,"n/a",E77/(1+$M51)^1+F77/(1+$M51)^2+G77/(1+$M51)^3+H77/(1+$M51)^4+I77/(1+$M51)^5+I76*(1+O$49)*(1-O$49/D41)/($M51-O$49)/(1+$M51)^5-D35+D36))</x:f>
        <x:v>2112.83250103095</x:v>
      </x:c>
      <x:c r="P51" s="8" t="n">
        <x:f>IF($M51&lt;=P$49,"n/a",IF(P$49&gt;$D$41,"n/a",E77/(1+$M51)^1+F77/(1+$M51)^2+G77/(1+$M51)^3+H77/(1+$M51)^4+I77/(1+$M51)^5+I76*(1+P$49)*(1-P$49/D41)/($M51-P$49)/(1+$M51)^5-D35+D36))</x:f>
        <x:v>2163.643411180268</x:v>
      </x:c>
      <x:c r="Q51" s="8" t="n">
        <x:f>IF($M51&lt;=Q$49,"n/a",IF(Q$49&gt;$D$41,"n/a",E77/(1+$M51)^1+F77/(1+$M51)^2+G77/(1+$M51)^3+H77/(1+$M51)^4+I77/(1+$M51)^5+I76*(1+Q$49)*(1-Q$49/D41)/($M51-Q$49)/(1+$M51)^5-D35+D36))</x:f>
        <x:v>2221.444806760307</x:v>
      </x:c>
      <x:c r="R51" s="8" t="n">
        <x:f>IF($M51&lt;=R$49,"n/a",IF(R$49&gt;$D$41,"n/a",E77/(1+$M51)^1+F77/(1+$M51)^2+G77/(1+$M51)^3+H77/(1+$M51)^4+I77/(1+$M51)^5+I76*(1+R$49)*(1-R$49/D41)/($M51-R$49)/(1+$M51)^5-D35+D36))</x:f>
        <x:v>2287.9843091287494</x:v>
      </x:c>
      <x:c r="S51" s="63"/>
      <x:c r="T51" s="63"/>
      <x:c r="U51" s="63"/>
      <x:c r="V51" s="63"/>
    </x:row>
    <x:row r="52" ht="18" customHeight="1">
      <x:c r="A52" s="1"/>
      <x:c r="B52" s="1"/>
      <x:c r="C52" s="38" t="str">
        <x:v>EBITDA</x:v>
      </x:c>
      <x:c r="D52" s="39"/>
      <x:c r="E52" s="41" t="n">
        <x:f>E50-E51</x:f>
        <x:v>273.8736</x:v>
      </x:c>
      <x:c r="F52" s="41" t="n">
        <x:f>F50-F51</x:f>
        <x:v>320.54166144</x:v>
      </x:c>
      <x:c r="G52" s="41" t="n">
        <x:f>G50-G51</x:f>
        <x:v>375.161960549376</x:v>
      </x:c>
      <x:c r="H52" s="41" t="n">
        <x:f>H50-H51</x:f>
        <x:v>439.08955862698986</x:v>
      </x:c>
      <x:c r="I52" s="41" t="n">
        <x:f>I50-I51</x:f>
        <x:v>513.9104194170287</x:v>
      </x:c>
      <x:c r="J52" s="1"/>
      <x:c r="K52" s="1"/>
      <x:c r="M52" s="70" t="n">
        <x:f>$D$39+0</x:f>
        <x:v>0.12</x:v>
      </x:c>
      <x:c r="N52" s="8" t="n">
        <x:f>IF($M52&lt;=N$49,"n/a",IF(N$49&gt;$D$41,"n/a",E77/(1+$M52)^1+F77/(1+$M52)^2+G77/(1+$M52)^3+H77/(1+$M52)^4+I77/(1+$M52)^5+I76*(1+N$49)*(1-N$49/D41)/($M52-N$49)/(1+$M52)^5-D35+D36))</x:f>
        <x:v>1804.9897405728084</x:v>
      </x:c>
      <x:c r="O52" s="8" t="n">
        <x:f>IF($M52&lt;=O$49,"n/a",IF(O$49&gt;$D$41,"n/a",E77/(1+$M52)^1+F77/(1+$M52)^2+G77/(1+$M52)^3+H77/(1+$M52)^4+I77/(1+$M52)^5+I76*(1+O$49)*(1-O$49/D41)/($M52-O$49)/(1+$M52)^5-D35+D36))</x:f>
        <x:v>1832.6900310418418</x:v>
      </x:c>
      <x:c r="P52" s="8" t="n">
        <x:f>IF($M52&lt;=P$49,"n/a",IF(P$49&gt;$D$41,"n/a",E77/(1+$M52)^1+F77/(1+$M52)^2+G77/(1+$M52)^3+H77/(1+$M52)^4+I77/(1+$M52)^5+I76*(1+P$49)*(1-P$49/D41)/($M52-P$49)/(1+$M52)^5-D35+D36))</x:f>
        <x:v>1863.2107147222684</x:v>
      </x:c>
      <x:c r="Q52" s="8" t="n">
        <x:f>IF($M52&lt;=Q$49,"n/a",IF(Q$49&gt;$D$41,"n/a",E77/(1+$M52)^1+F77/(1+$M52)^2+G77/(1+$M52)^3+H77/(1+$M52)^4+I77/(1+$M52)^5+I76*(1+Q$49)*(1-Q$49/D41)/($M52-Q$49)/(1+$M52)^5-D35+D36))</x:f>
        <x:v>1897.115870256365</x:v>
      </x:c>
      <x:c r="R52" s="8" t="n">
        <x:f>IF($M52&lt;=R$49,"n/a",IF(R$49&gt;$D$41,"n/a",E77/(1+$M52)^1+F77/(1+$M52)^2+G77/(1+$M52)^3+H77/(1+$M52)^4+I77/(1+$M52)^5+I76*(1+R$49)*(1-R$49/D41)/($M52-R$49)/(1+$M52)^5-D35+D36))</x:f>
        <x:v>1935.1307416127772</x:v>
      </x:c>
      <x:c r="S52" s="63"/>
      <x:c r="T52" s="63"/>
      <x:c r="U52" s="63"/>
      <x:c r="V52" s="63"/>
    </x:row>
    <x:row r="53" ht="18" customHeight="1">
      <x:c r="A53" s="1"/>
      <x:c r="B53" s="1"/>
      <x:c r="C53" s="1" t="str">
        <x:v>Depreciation and amortization</x:v>
      </x:c>
      <x:c r="D53" s="2"/>
      <x:c r="E53" s="8" t="n">
        <x:f>E134</x:f>
        <x:v>150</x:v>
      </x:c>
      <x:c r="F53" s="8" t="n">
        <x:f>F134</x:f>
        <x:v>144.88044</x:v>
      </x:c>
      <x:c r="G53" s="8" t="n">
        <x:f>G134</x:f>
        <x:v>143.490440976</x:v>
      </x:c>
      <x:c r="H53" s="8" t="n">
        <x:f>H134</x:f>
        <x:v>145.7752300183104</x:v>
      </x:c>
      <x:c r="I53" s="8" t="n">
        <x:f>I134</x:f>
        <x:v>151.7742444284305</x:v>
      </x:c>
      <x:c r="J53" s="1"/>
      <x:c r="K53" s="1"/>
      <x:c r="M53" s="70" t="n">
        <x:f>$D$39+0.01</x:f>
        <x:v>0.13</x:v>
      </x:c>
      <x:c r="N53" s="8" t="n">
        <x:f>IF($M53&lt;=N$49,"n/a",IF(N$49&gt;$D$41,"n/a",E77/(1+$M53)^1+F77/(1+$M53)^2+G77/(1+$M53)^3+H77/(1+$M53)^4+I77/(1+$M53)^5+I76*(1+N$49)*(1-N$49/D41)/($M53-N$49)/(1+$M53)^5-D35+D36))</x:f>
        <x:v>1595.705415111965</x:v>
      </x:c>
      <x:c r="O53" s="8" t="n">
        <x:f>IF($M53&lt;=O$49,"n/a",IF(O$49&gt;$D$41,"n/a",E77/(1+$M53)^1+F77/(1+$M53)^2+G77/(1+$M53)^3+H77/(1+$M53)^4+I77/(1+$M53)^5+I76*(1+O$49)*(1-O$49/D41)/($M53-O$49)/(1+$M53)^5-D35+D36))</x:f>
        <x:v>1612.3089717694193</x:v>
      </x:c>
      <x:c r="P53" s="8" t="n">
        <x:f>IF($M53&lt;=P$49,"n/a",IF(P$49&gt;$D$41,"n/a",E77/(1+$M53)^1+F77/(1+$M53)^2+G77/(1+$M53)^3+H77/(1+$M53)^4+I77/(1+$M53)^5+I76*(1+P$49)*(1-P$49/D41)/($M53-P$49)/(1+$M53)^5-D35+D36))</x:f>
        <x:v>1630.2113874800357</x:v>
      </x:c>
      <x:c r="Q53" s="8" t="n">
        <x:f>IF($M53&lt;=Q$49,"n/a",IF(Q$49&gt;$D$41,"n/a",E77/(1+$M53)^1+F77/(1+$M53)^2+G77/(1+$M53)^3+H77/(1+$M53)^4+I77/(1+$M53)^5+I76*(1+Q$49)*(1-Q$49/D41)/($M53-Q$49)/(1+$M53)^5-D35+D36))</x:f>
        <x:v>1649.64187266496</x:v>
      </x:c>
      <x:c r="R53" s="8" t="n">
        <x:f>IF($M53&lt;=R$49,"n/a",IF(R$49&gt;$D$41,"n/a",E77/(1+$M53)^1+F77/(1+$M53)^2+G77/(1+$M53)^3+H77/(1+$M53)^4+I77/(1+$M53)^5+I76*(1+R$49)*(1-R$49/D41)/($M53-R$49)/(1+$M53)^5-D35+D36))</x:f>
        <x:v>1670.8869403506255</x:v>
      </x:c>
      <x:c r="S53" s="63"/>
      <x:c r="T53" s="63"/>
      <x:c r="U53" s="63"/>
      <x:c r="V53" s="63"/>
    </x:row>
    <x:row r="54" ht="18" customHeight="1">
      <x:c r="A54" s="1"/>
      <x:c r="B54" s="1"/>
      <x:c r="C54" s="1" t="str">
        <x:v>EBIT</x:v>
      </x:c>
      <x:c r="D54" s="2"/>
      <x:c r="E54" s="8" t="n">
        <x:f>E52-E53</x:f>
        <x:v>123.87360000000001</x:v>
      </x:c>
      <x:c r="F54" s="8" t="n">
        <x:f>F52-F53</x:f>
        <x:v>175.66122144</x:v>
      </x:c>
      <x:c r="G54" s="8" t="n">
        <x:f>G52-G53</x:f>
        <x:v>231.67151957337597</x:v>
      </x:c>
      <x:c r="H54" s="8" t="n">
        <x:f>H52-H53</x:f>
        <x:v>293.3143286086795</x:v>
      </x:c>
      <x:c r="I54" s="8" t="n">
        <x:f>I52-I53</x:f>
        <x:v>362.1361749885982</x:v>
      </x:c>
      <x:c r="J54" s="1"/>
      <x:c r="K54" s="1"/>
      <x:c r="M54" s="70" t="n">
        <x:f>$D$39+0.02</x:f>
        <x:v>0.13999999999999999</x:v>
      </x:c>
      <x:c r="N54" s="8" t="n">
        <x:f>IF($M54&lt;=N$49,"n/a",IF(N$49&gt;$D$41,"n/a",E77/(1+$M54)^1+F77/(1+$M54)^2+G77/(1+$M54)^3+H77/(1+$M54)^4+I77/(1+$M54)^5+I76*(1+N$49)*(1-N$49/D41)/($M54-N$49)/(1+$M54)^5-D35+D36))</x:f>
        <x:v>1425.2328125189417</x:v>
      </x:c>
      <x:c r="O54" s="8" t="n">
        <x:f>IF($M54&lt;=O$49,"n/a",IF(O$49&gt;$D$41,"n/a",E77/(1+$M54)^1+F77/(1+$M54)^2+G77/(1+$M54)^3+H77/(1+$M54)^4+I77/(1+$M54)^5+I76*(1+O$49)*(1-O$49/D41)/($M54-O$49)/(1+$M54)^5-D35+D36))</x:f>
        <x:v>1434.575855951601</x:v>
      </x:c>
      <x:c r="P54" s="8" t="n">
        <x:f>IF($M54&lt;=P$49,"n/a",IF(P$49&gt;$D$41,"n/a",E77/(1+$M54)^1+F77/(1+$M54)^2+G77/(1+$M54)^3+H77/(1+$M54)^4+I77/(1+$M54)^5+I76*(1+P$49)*(1-P$49/D41)/($M54-P$49)/(1+$M54)^5-D35+D36))</x:f>
        <x:v>1444.3829982737257</x:v>
      </x:c>
      <x:c r="Q54" s="8" t="n">
        <x:f>IF($M54&lt;=Q$49,"n/a",IF(Q$49&gt;$D$41,"n/a",E77/(1+$M54)^1+F77/(1+$M54)^2+G77/(1+$M54)^3+H77/(1+$M54)^4+I77/(1+$M54)^5+I76*(1+Q$49)*(1-Q$49/D41)/($M54-Q$49)/(1+$M54)^5-D35+D36))</x:f>
        <x:v>1454.7275182573364</x:v>
      </x:c>
      <x:c r="R54" s="8" t="n">
        <x:f>IF($M54&lt;=R$49,"n/a",IF(R$49&gt;$D$41,"n/a",E77/(1+$M54)^1+F77/(1+$M54)^2+G77/(1+$M54)^3+H77/(1+$M54)^4+I77/(1+$M54)^5+I76*(1+R$49)*(1-R$49/D41)/($M54-R$49)/(1+$M54)^5-D35+D36))</x:f>
        <x:v>1465.698978846015</x:v>
      </x:c>
      <x:c r="S54" s="63"/>
      <x:c r="T54" s="63"/>
      <x:c r="U54" s="63"/>
      <x:c r="V54" s="63"/>
    </x:row>
    <x:row r="55" ht="18" customHeight="1">
      <x:c r="A55" s="1"/>
      <x:c r="B55" s="1"/>
      <x:c r="C55" s="1" t="str">
        <x:v>Interest expense</x:v>
      </x:c>
      <x:c r="D55" s="2"/>
      <x:c r="E55" s="8" t="n">
        <x:f>E125</x:f>
        <x:v>29.750000000000004</x:v>
      </x:c>
      <x:c r="F55" s="8" t="n">
        <x:f>F125</x:f>
        <x:v>26.775000000000002</x:v>
      </x:c>
      <x:c r="G55" s="8" t="n">
        <x:f>G125</x:f>
        <x:v>23.8</x:v>
      </x:c>
      <x:c r="H55" s="8" t="n">
        <x:f>H125</x:f>
        <x:v>20.825000000000003</x:v>
      </x:c>
      <x:c r="I55" s="8" t="n">
        <x:f>I125</x:f>
        <x:v>17.85</x:v>
      </x:c>
      <x:c r="J55" s="1"/>
      <x:c r="K55" s="1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</x:row>
    <x:row r="56" ht="18" customHeight="1">
      <x:c r="A56" s="1"/>
      <x:c r="B56" s="1"/>
      <x:c r="C56" s="1" t="str">
        <x:v>Profit before tax</x:v>
      </x:c>
      <x:c r="D56" s="2"/>
      <x:c r="E56" s="8" t="n">
        <x:f>E54-E55</x:f>
        <x:v>94.12360000000001</x:v>
      </x:c>
      <x:c r="F56" s="8" t="n">
        <x:f>F54-F55</x:f>
        <x:v>148.88622143999999</x:v>
      </x:c>
      <x:c r="G56" s="8" t="n">
        <x:f>G54-G55</x:f>
        <x:v>207.87151957337596</x:v>
      </x:c>
      <x:c r="H56" s="8" t="n">
        <x:f>H54-H55</x:f>
        <x:v>272.4893286086795</x:v>
      </x:c>
      <x:c r="I56" s="8" t="n">
        <x:f>I54-I55</x:f>
        <x:v>344.2861749885982</x:v>
      </x:c>
      <x:c r="J56" s="1"/>
      <x:c r="K56" s="1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</x:row>
    <x:row r="57" ht="18" customHeight="1">
      <x:c r="A57" s="1"/>
      <x:c r="B57" s="1"/>
      <x:c r="C57" s="1" t="str">
        <x:v>Cash income tax</x:v>
      </x:c>
      <x:c r="D57" s="2"/>
      <x:c r="E57" s="8" t="n">
        <x:f>E144</x:f>
        <x:v>23.530900000000003</x:v>
      </x:c>
      <x:c r="F57" s="8" t="n">
        <x:f>F144</x:f>
        <x:v>37.221555359999996</x:v>
      </x:c>
      <x:c r="G57" s="8" t="n">
        <x:f>G144</x:f>
        <x:v>51.96787989334399</x:v>
      </x:c>
      <x:c r="H57" s="8" t="n">
        <x:f>H144</x:f>
        <x:v>68.12233215216988</x:v>
      </x:c>
      <x:c r="I57" s="8" t="n">
        <x:f>I144</x:f>
        <x:v>86.07154374714955</x:v>
      </x:c>
      <x:c r="J57" s="1"/>
      <x:c r="K57" s="1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</x:row>
    <x:row r="58" ht="25" customHeight="1">
      <x:c r="A58" s="1"/>
      <x:c r="B58" s="1"/>
      <x:c r="C58" s="38" t="str">
        <x:v>Profit after tax</x:v>
      </x:c>
      <x:c r="D58" s="39"/>
      <x:c r="E58" s="41" t="n">
        <x:f>E56-E57</x:f>
        <x:v>70.59270000000001</x:v>
      </x:c>
      <x:c r="F58" s="41" t="n">
        <x:f>F56-F57</x:f>
        <x:v>111.66466607999999</x:v>
      </x:c>
      <x:c r="G58" s="41" t="n">
        <x:f>G56-G57</x:f>
        <x:v>155.90363968003197</x:v>
      </x:c>
      <x:c r="H58" s="41" t="n">
        <x:f>H56-H57</x:f>
        <x:v>204.36699645650964</x:v>
      </x:c>
      <x:c r="I58" s="41" t="n">
        <x:f>I56-I57</x:f>
        <x:v>258.2146312414486</x:v>
      </x:c>
      <x:c r="J58" s="1"/>
      <x:c r="K58" s="1"/>
      <x:c r="M58" s="82" t="str">
        <x:v>Forward equity value | rows EBITDA / columns EV/EBITDA</x:v>
      </x:c>
      <x:c r="N58" s="82"/>
      <x:c r="O58" s="82"/>
      <x:c r="P58" s="82"/>
      <x:c r="Q58" s="82"/>
      <x:c r="R58" s="82"/>
      <x:c r="S58" s="63"/>
      <x:c r="T58" s="63"/>
      <x:c r="U58" s="63"/>
      <x:c r="V58" s="63"/>
    </x:row>
    <x:row r="59" ht="18" customHeight="1">
      <x:c r="A59" s="1"/>
      <x:c r="B59" s="1"/>
      <x:c r="C59" s="19" t="str">
        <x:v>WORKING CAPITAL AND ASSET SCHEDULES</x:v>
      </x:c>
      <x:c r="D59" s="20"/>
      <x:c r="E59" s="20"/>
      <x:c r="F59" s="20"/>
      <x:c r="G59" s="20"/>
      <x:c r="H59" s="20"/>
      <x:c r="I59" s="20"/>
      <x:c r="J59" s="1"/>
      <x:c r="K59" s="1"/>
      <x:c r="M59" s="63"/>
      <x:c r="N59" s="78" t="n">
        <x:f>MAX(0,D42+-2)</x:f>
        <x:v>16</x:v>
      </x:c>
      <x:c r="O59" s="78" t="n">
        <x:f>MAX(0,D42+-1)</x:f>
        <x:v>17</x:v>
      </x:c>
      <x:c r="P59" s="78" t="n">
        <x:f>MAX(0,D42+0)</x:f>
        <x:v>18</x:v>
      </x:c>
      <x:c r="Q59" s="78" t="n">
        <x:f>MAX(0,D42+1)</x:f>
        <x:v>19</x:v>
      </x:c>
      <x:c r="R59" s="78" t="n">
        <x:f>MAX(0,D42+2)</x:f>
        <x:v>20</x:v>
      </x:c>
      <x:c r="S59" s="63"/>
      <x:c r="T59" s="63"/>
      <x:c r="U59" s="63"/>
      <x:c r="V59" s="63"/>
    </x:row>
    <x:row r="60" ht="18" customHeight="1">
      <x:c r="A60" s="1"/>
      <x:c r="B60" s="1"/>
      <x:c r="C60" s="1" t="str">
        <x:v>Trade receivables</x:v>
      </x:c>
      <x:c r="D60" s="2"/>
      <x:c r="E60" s="10" t="n">
        <x:f>E47*E25/'Controls'!$E$11</x:f>
        <x:v>17.315506849315067</x:v>
      </x:c>
      <x:c r="F60" s="10" t="n">
        <x:f>F47*F25/'Controls'!$E$11</x:f>
        <x:v>20.266069216438357</x:v>
      </x:c>
      <x:c r="G60" s="10" t="n">
        <x:f>G47*G25/'Controls'!$E$11</x:f>
        <x:v>23.719407410919455</x:v>
      </x:c>
      <x:c r="H60" s="10" t="n">
        <x:f>H47*H25/'Controls'!$E$11</x:f>
        <x:v>27.761194433740133</x:v>
      </x:c>
      <x:c r="I60" s="10" t="n">
        <x:f>I47*I25/'Controls'!$E$11</x:f>
        <x:v>32.491701965249455</x:v>
      </x:c>
      <x:c r="J60" s="1"/>
      <x:c r="K60" s="1"/>
      <x:c r="M60" s="8" t="n">
        <x:f>E52*0.8</x:f>
        <x:v>219.09888</x:v>
      </x:c>
      <x:c r="N60" s="8" t="n">
        <x:f>$M60*N$59-D35+D36</x:f>
        <x:v>3405.58208</x:v>
      </x:c>
      <x:c r="O60" s="8" t="n">
        <x:f>$M60*O$59-D35+D36</x:f>
        <x:v>3624.68096</x:v>
      </x:c>
      <x:c r="P60" s="8" t="n">
        <x:f>$M60*P$59-D35+D36</x:f>
        <x:v>3843.77984</x:v>
      </x:c>
      <x:c r="Q60" s="8" t="n">
        <x:f>$M60*Q$59-D35+D36</x:f>
        <x:v>4062.8787200000006</x:v>
      </x:c>
      <x:c r="R60" s="8" t="n">
        <x:f>$M60*R$59-D35+D36</x:f>
        <x:v>4281.9776</x:v>
      </x:c>
      <x:c r="S60" s="63"/>
      <x:c r="T60" s="63"/>
      <x:c r="U60" s="63"/>
      <x:c r="V60" s="63"/>
    </x:row>
    <x:row r="61" ht="18" customHeight="1">
      <x:c r="A61" s="1"/>
      <x:c r="B61" s="1"/>
      <x:c r="C61" s="1" t="str">
        <x:v>Inventory</x:v>
      </x:c>
      <x:c r="D61" s="2"/>
      <x:c r="E61" s="10" t="n">
        <x:f>E49*E26/'Controls'!$E$11</x:f>
        <x:v>268.3903561643835</x:v>
      </x:c>
      <x:c r="F61" s="10" t="n">
        <x:f>F49*F26/'Controls'!$E$11</x:f>
        <x:v>314.1240728547945</x:v>
      </x:c>
      <x:c r="G61" s="10" t="n">
        <x:f>G49*G26/'Controls'!$E$11</x:f>
        <x:v>367.6508148692516</x:v>
      </x:c>
      <x:c r="H61" s="10" t="n">
        <x:f>H49*H26/'Controls'!$E$11</x:f>
        <x:v>430.2985137229721</x:v>
      </x:c>
      <x:c r="I61" s="10" t="n">
        <x:f>I49*I26/'Controls'!$E$11</x:f>
        <x:v>503.6213804613666</x:v>
      </x:c>
      <x:c r="J61" s="1"/>
      <x:c r="K61" s="1"/>
      <x:c r="M61" s="8" t="n">
        <x:f>E52*0.9</x:f>
        <x:v>246.48624</x:v>
      </x:c>
      <x:c r="N61" s="8" t="n">
        <x:f>$M61*N$59-D35+D36</x:f>
        <x:v>3843.77984</x:v>
      </x:c>
      <x:c r="O61" s="8" t="n">
        <x:f>$M61*O$59-D35+D36</x:f>
        <x:v>4090.2660800000003</x:v>
      </x:c>
      <x:c r="P61" s="8" t="n">
        <x:f>$M61*P$59-D35+D36</x:f>
        <x:v>4336.7523200000005</x:v>
      </x:c>
      <x:c r="Q61" s="8" t="n">
        <x:f>$M61*Q$59-D35+D36</x:f>
        <x:v>4583.23856</x:v>
      </x:c>
      <x:c r="R61" s="8" t="n">
        <x:f>$M61*R$59-D35+D36</x:f>
        <x:v>4829.7248</x:v>
      </x:c>
      <x:c r="S61" s="63"/>
      <x:c r="T61" s="63"/>
      <x:c r="U61" s="63"/>
      <x:c r="V61" s="63"/>
    </x:row>
    <x:row r="62" ht="18" customHeight="1">
      <x:c r="A62" s="1"/>
      <x:c r="B62" s="1"/>
      <x:c r="C62" s="1" t="str">
        <x:v>Trade payables</x:v>
      </x:c>
      <x:c r="D62" s="2"/>
      <x:c r="E62" s="10" t="n">
        <x:f>E49*E27/'Controls'!$E$11</x:f>
        <x:v>178.92690410958903</x:v>
      </x:c>
      <x:c r="F62" s="10" t="n">
        <x:f>F49*F27/'Controls'!$E$11</x:f>
        <x:v>209.41604856986302</x:v>
      </x:c>
      <x:c r="G62" s="10" t="n">
        <x:f>G49*G27/'Controls'!$E$11</x:f>
        <x:v>245.10054324616772</x:v>
      </x:c>
      <x:c r="H62" s="10" t="n">
        <x:f>H49*H27/'Controls'!$E$11</x:f>
        <x:v>286.8656758153147</x:v>
      </x:c>
      <x:c r="I62" s="10" t="n">
        <x:f>I49*I27/'Controls'!$E$11</x:f>
        <x:v>335.7475869742443</x:v>
      </x:c>
      <x:c r="J62" s="1"/>
      <x:c r="K62" s="1"/>
      <x:c r="M62" s="8" t="n">
        <x:f>E52*1</x:f>
        <x:v>273.8736</x:v>
      </x:c>
      <x:c r="N62" s="8" t="n">
        <x:f>$M62*N$59-D35+D36</x:f>
        <x:v>4281.9776</x:v>
      </x:c>
      <x:c r="O62" s="8" t="n">
        <x:f>$M62*O$59-D35+D36</x:f>
        <x:v>4555.8512</x:v>
      </x:c>
      <x:c r="P62" s="8" t="n">
        <x:f>$M62*P$59-D35+D36</x:f>
        <x:v>4829.7248</x:v>
      </x:c>
      <x:c r="Q62" s="8" t="n">
        <x:f>$M62*Q$59-D35+D36</x:f>
        <x:v>5103.5984</x:v>
      </x:c>
      <x:c r="R62" s="8" t="n">
        <x:f>$M62*R$59-D35+D36</x:f>
        <x:v>5377.472</x:v>
      </x:c>
      <x:c r="S62" s="63"/>
      <x:c r="T62" s="63"/>
      <x:c r="U62" s="63"/>
      <x:c r="V62" s="63"/>
    </x:row>
    <x:row r="63" ht="18" customHeight="1">
      <x:c r="A63" s="1"/>
      <x:c r="B63" s="1"/>
      <x:c r="C63" s="1" t="str">
        <x:v>Net working capital</x:v>
      </x:c>
      <x:c r="D63" s="2"/>
      <x:c r="E63" s="8" t="n">
        <x:f>E60+E61-E62</x:f>
        <x:v>106.77895890410952</x:v>
      </x:c>
      <x:c r="F63" s="8" t="n">
        <x:f>F60+F61-F62</x:f>
        <x:v>124.97409350136988</x:v>
      </x:c>
      <x:c r="G63" s="8" t="n">
        <x:f>G60+G61-G62</x:f>
        <x:v>146.26967903400333</x:v>
      </x:c>
      <x:c r="H63" s="8" t="n">
        <x:f>H60+H61-H62</x:f>
        <x:v>171.19403234139747</x:v>
      </x:c>
      <x:c r="I63" s="8" t="n">
        <x:f>I60+I61-I62</x:f>
        <x:v>200.36549545237176</x:v>
      </x:c>
      <x:c r="J63" s="1"/>
      <x:c r="K63" s="1"/>
      <x:c r="M63" s="8" t="n">
        <x:f>E52*1.1</x:f>
        <x:v>301.26096</x:v>
      </x:c>
      <x:c r="N63" s="8" t="n">
        <x:f>$M63*N$59-D35+D36</x:f>
        <x:v>4720.17536</x:v>
      </x:c>
      <x:c r="O63" s="8" t="n">
        <x:f>$M63*O$59-D35+D36</x:f>
        <x:v>5021.43632</x:v>
      </x:c>
      <x:c r="P63" s="8" t="n">
        <x:f>$M63*P$59-D35+D36</x:f>
        <x:v>5322.69728</x:v>
      </x:c>
      <x:c r="Q63" s="8" t="n">
        <x:f>$M63*Q$59-D35+D36</x:f>
        <x:v>5623.95824</x:v>
      </x:c>
      <x:c r="R63" s="8" t="n">
        <x:f>$M63*R$59-D35+D36</x:f>
        <x:v>5925.2192000000005</x:v>
      </x:c>
      <x:c r="S63" s="63"/>
      <x:c r="T63" s="63"/>
      <x:c r="U63" s="63"/>
      <x:c r="V63" s="63"/>
    </x:row>
    <x:row r="64" ht="18" customHeight="1">
      <x:c r="A64" s="1"/>
      <x:c r="B64" s="1"/>
      <x:c r="C64" s="1" t="str">
        <x:v>Increase in net working capital</x:v>
      </x:c>
      <x:c r="D64" s="2"/>
      <x:c r="E64" s="8" t="n">
        <x:f>E63-$D37</x:f>
        <x:v>15.54608219178074</x:v>
      </x:c>
      <x:c r="F64" s="8" t="n">
        <x:f>F63-E63</x:f>
        <x:v>18.195134597260363</x:v>
      </x:c>
      <x:c r="G64" s="8" t="n">
        <x:f>G63-F63</x:f>
        <x:v>21.295585532633453</x:v>
      </x:c>
      <x:c r="H64" s="8" t="n">
        <x:f>H63-G63</x:f>
        <x:v>24.924353307394142</x:v>
      </x:c>
      <x:c r="I64" s="8" t="n">
        <x:f>I63-H63</x:f>
        <x:v>29.171463110974287</x:v>
      </x:c>
      <x:c r="J64" s="1"/>
      <x:c r="K64" s="1"/>
      <x:c r="M64" s="8" t="n">
        <x:f>E52*1.2</x:f>
        <x:v>328.64832</x:v>
      </x:c>
      <x:c r="N64" s="8" t="n">
        <x:f>$M64*N$59-D35+D36</x:f>
        <x:v>5158.37312</x:v>
      </x:c>
      <x:c r="O64" s="8" t="n">
        <x:f>$M64*O$59-D35+D36</x:f>
        <x:v>5487.02144</x:v>
      </x:c>
      <x:c r="P64" s="8" t="n">
        <x:f>$M64*P$59-D35+D36</x:f>
        <x:v>5815.669760000001</x:v>
      </x:c>
      <x:c r="Q64" s="8" t="n">
        <x:f>$M64*Q$59-D35+D36</x:f>
        <x:v>6144.31808</x:v>
      </x:c>
      <x:c r="R64" s="8" t="n">
        <x:f>$M64*R$59-D35+D36</x:f>
        <x:v>6472.9664</x:v>
      </x:c>
      <x:c r="S64" s="63"/>
      <x:c r="T64" s="63"/>
      <x:c r="U64" s="63"/>
      <x:c r="V64" s="63"/>
    </x:row>
    <x:row r="65" ht="18" customHeight="1">
      <x:c r="A65" s="1"/>
      <x:c r="B65" s="1"/>
      <x:c r="C65" s="1" t="str">
        <x:v>Capital expenditure</x:v>
      </x:c>
      <x:c r="D65" s="2"/>
      <x:c r="E65" s="8" t="n">
        <x:f>E47*E23</x:f>
        <x:v>115.86959999999999</x:v>
      </x:c>
      <x:c r="F65" s="8" t="n">
        <x:f>F47*F23</x:f>
        <x:v>135.61377984</x:v>
      </x:c>
      <x:c r="G65" s="8" t="n">
        <x:f>G47*G23</x:f>
        <x:v>158.72236792473603</x:v>
      </x:c>
      <x:c r="H65" s="8" t="n">
        <x:f>H47*H23</x:f>
        <x:v>185.76865941911106</x:v>
      </x:c>
      <x:c r="I65" s="8" t="n">
        <x:f>I47*I23</x:f>
        <x:v>217.4236389841276</x:v>
      </x:c>
      <x:c r="J65" s="1"/>
      <x:c r="K65" s="1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</x:row>
    <x:row r="66" ht="18" customHeight="1">
      <x:c r="A66" s="1"/>
      <x:c r="B66" s="1"/>
      <x:c r="C66" s="1" t="str">
        <x:v>Closing net PP&amp;E</x:v>
      </x:c>
      <x:c r="D66" s="2"/>
      <x:c r="E66" s="8" t="n">
        <x:f>E135</x:f>
        <x:v>965.8696</x:v>
      </x:c>
      <x:c r="F66" s="8" t="n">
        <x:f>F135</x:f>
        <x:v>956.60293984</x:v>
      </x:c>
      <x:c r="G66" s="8" t="n">
        <x:f>G135</x:f>
        <x:v>971.834866788736</x:v>
      </x:c>
      <x:c r="H66" s="8" t="n">
        <x:f>H135</x:f>
        <x:v>1011.8282961895368</x:v>
      </x:c>
      <x:c r="I66" s="8" t="n">
        <x:f>I135</x:f>
        <x:v>1077.4776907452338</x:v>
      </x:c>
      <x:c r="J66" s="1"/>
      <x:c r="K66" s="1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</x:row>
    <x:row r="67" ht="18" customHeight="1">
      <x:c r="A67" s="1"/>
      <x:c r="B67" s="1"/>
      <x:c r="C67" s="1" t="str">
        <x:v>Closing debt</x:v>
      </x:c>
      <x:c r="D67" s="2"/>
      <x:c r="E67" s="8" t="n">
        <x:f>E123</x:f>
        <x:v>315</x:v>
      </x:c>
      <x:c r="F67" s="8" t="n">
        <x:f>F123</x:f>
        <x:v>280</x:v>
      </x:c>
      <x:c r="G67" s="8" t="n">
        <x:f>G123</x:f>
        <x:v>245</x:v>
      </x:c>
      <x:c r="H67" s="8" t="n">
        <x:f>H123</x:f>
        <x:v>210</x:v>
      </x:c>
      <x:c r="I67" s="8" t="n">
        <x:f>I123</x:f>
        <x:v>175</x:v>
      </x:c>
      <x:c r="J67" s="1"/>
      <x:c r="K67" s="1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</x:row>
    <x:row r="68" ht="25" customHeight="1">
      <x:c r="A68" s="1"/>
      <x:c r="B68" s="1"/>
      <x:c r="C68" s="19" t="str">
        <x:v>CASH FLOW AND BALANCE SHEET</x:v>
      </x:c>
      <x:c r="D68" s="20"/>
      <x:c r="E68" s="20"/>
      <x:c r="F68" s="20"/>
      <x:c r="G68" s="20"/>
      <x:c r="H68" s="20"/>
      <x:c r="I68" s="20"/>
      <x:c r="J68" s="1"/>
      <x:c r="K68" s="1"/>
      <x:c r="M68" s="82" t="str">
        <x:v>First-year EBITDA | rows revenue / columns EBITDA margin</x:v>
      </x:c>
      <x:c r="N68" s="82"/>
      <x:c r="O68" s="82"/>
      <x:c r="P68" s="82"/>
      <x:c r="Q68" s="82"/>
      <x:c r="R68" s="82"/>
      <x:c r="S68" s="63"/>
      <x:c r="T68" s="63"/>
      <x:c r="U68" s="63"/>
      <x:c r="V68" s="63"/>
    </x:row>
    <x:row r="69" ht="18" customHeight="1">
      <x:c r="A69" s="1"/>
      <x:c r="B69" s="1"/>
      <x:c r="C69" s="1" t="str">
        <x:v>Operating cash flow after interest</x:v>
      </x:c>
      <x:c r="D69" s="2"/>
      <x:c r="E69" s="8" t="n">
        <x:f>E58+E53-E64</x:f>
        <x:v>205.04661780821925</x:v>
      </x:c>
      <x:c r="F69" s="8" t="n">
        <x:f>F58+F53-F64</x:f>
        <x:v>238.34997148273962</x:v>
      </x:c>
      <x:c r="G69" s="8" t="n">
        <x:f>G58+G53-G64</x:f>
        <x:v>278.0984951233985</x:v>
      </x:c>
      <x:c r="H69" s="8" t="n">
        <x:f>H58+H53-H64</x:f>
        <x:v>325.2178731674259</x:v>
      </x:c>
      <x:c r="I69" s="8" t="n">
        <x:f>I58+I53-I64</x:f>
        <x:v>380.81741255890483</x:v>
      </x:c>
      <x:c r="J69" s="1"/>
      <x:c r="K69" s="1"/>
      <x:c r="M69" s="63"/>
      <x:c r="N69" s="70" t="n">
        <x:f>E52/E47+-0.04</x:f>
        <x:v>0.09</x:v>
      </x:c>
      <x:c r="O69" s="70" t="n">
        <x:f>E52/E47+-0.02</x:f>
        <x:v>0.11</x:v>
      </x:c>
      <x:c r="P69" s="70" t="n">
        <x:f>E52/E47+0</x:f>
        <x:v>0.13</x:v>
      </x:c>
      <x:c r="Q69" s="70" t="n">
        <x:f>E52/E47+0.02</x:f>
        <x:v>0.15</x:v>
      </x:c>
      <x:c r="R69" s="70" t="n">
        <x:f>E52/E47+0.04</x:f>
        <x:v>0.17</x:v>
      </x:c>
      <x:c r="S69" s="63"/>
      <x:c r="T69" s="63"/>
      <x:c r="U69" s="63"/>
      <x:c r="V69" s="63"/>
    </x:row>
    <x:row r="70" ht="18" customHeight="1">
      <x:c r="A70" s="1"/>
      <x:c r="B70" s="1"/>
      <x:c r="C70" s="1" t="str">
        <x:v>Dividends</x:v>
      </x:c>
      <x:c r="D70" s="2"/>
      <x:c r="E70" s="8" t="n">
        <x:f>MAX(0,E58)*E32</x:f>
        <x:v>17.648175000000002</x:v>
      </x:c>
      <x:c r="F70" s="8" t="n">
        <x:f>MAX(0,F58)*F32</x:f>
        <x:v>27.916166519999997</x:v>
      </x:c>
      <x:c r="G70" s="8" t="n">
        <x:f>MAX(0,G58)*G32</x:f>
        <x:v>38.97590992000799</x:v>
      </x:c>
      <x:c r="H70" s="8" t="n">
        <x:f>MAX(0,H58)*H32</x:f>
        <x:v>51.09174911412741</x:v>
      </x:c>
      <x:c r="I70" s="8" t="n">
        <x:f>MAX(0,I58)*I32</x:f>
        <x:v>64.55365781036215</x:v>
      </x:c>
      <x:c r="J70" s="1"/>
      <x:c r="K70" s="1"/>
      <x:c r="M70" s="8" t="n">
        <x:f>E47*0.8</x:f>
        <x:v>1685.376</x:v>
      </x:c>
      <x:c r="N70" s="8" t="n">
        <x:f>$M70*N$69</x:f>
        <x:v>151.68384</x:v>
      </x:c>
      <x:c r="O70" s="8" t="n">
        <x:f>$M70*O$69</x:f>
        <x:v>185.39136</x:v>
      </x:c>
      <x:c r="P70" s="8" t="n">
        <x:f>$M70*P$69</x:f>
        <x:v>219.09888</x:v>
      </x:c>
      <x:c r="Q70" s="8" t="n">
        <x:f>$M70*Q$69</x:f>
        <x:v>252.8064</x:v>
      </x:c>
      <x:c r="R70" s="8" t="n">
        <x:f>$M70*R$69</x:f>
        <x:v>286.51392000000004</x:v>
      </x:c>
      <x:c r="S70" s="63"/>
      <x:c r="T70" s="63"/>
      <x:c r="U70" s="63"/>
      <x:c r="V70" s="63"/>
    </x:row>
    <x:row r="71" ht="18" customHeight="1">
      <x:c r="A71" s="1"/>
      <x:c r="B71" s="1"/>
      <x:c r="C71" s="1" t="str">
        <x:v>Change in cash</x:v>
      </x:c>
      <x:c r="D71" s="2"/>
      <x:c r="E71" s="8" t="n">
        <x:f>E69-E65+E30-E31-E70</x:f>
        <x:v>36.52884280821926</x:v>
      </x:c>
      <x:c r="F71" s="8" t="n">
        <x:f>F69-F65+F30-F31-F70</x:f>
        <x:v>39.820025122739615</x:v>
      </x:c>
      <x:c r="G71" s="8" t="n">
        <x:f>G69-G65+G30-G31-G70</x:f>
        <x:v>45.400217278654466</x:v>
      </x:c>
      <x:c r="H71" s="8" t="n">
        <x:f>H69-H65+H30-H31-H70</x:f>
        <x:v>53.35746463418745</x:v>
      </x:c>
      <x:c r="I71" s="8" t="n">
        <x:f>I69-I65+I30-I31-I70</x:f>
        <x:v>63.84011576441509</x:v>
      </x:c>
      <x:c r="J71" s="1"/>
      <x:c r="K71" s="1"/>
      <x:c r="M71" s="8" t="n">
        <x:f>E47*0.9</x:f>
        <x:v>1896.0479999999998</x:v>
      </x:c>
      <x:c r="N71" s="8" t="n">
        <x:f>$M71*N$69</x:f>
        <x:v>170.64431999999996</x:v>
      </x:c>
      <x:c r="O71" s="8" t="n">
        <x:f>$M71*O$69</x:f>
        <x:v>208.56527999999997</x:v>
      </x:c>
      <x:c r="P71" s="8" t="n">
        <x:f>$M71*P$69</x:f>
        <x:v>246.48623999999998</x:v>
      </x:c>
      <x:c r="Q71" s="8" t="n">
        <x:f>$M71*Q$69</x:f>
        <x:v>284.40719999999993</x:v>
      </x:c>
      <x:c r="R71" s="8" t="n">
        <x:f>$M71*R$69</x:f>
        <x:v>322.32815999999997</x:v>
      </x:c>
      <x:c r="S71" s="63"/>
      <x:c r="T71" s="63"/>
      <x:c r="U71" s="63"/>
      <x:c r="V71" s="63"/>
    </x:row>
    <x:row r="72" ht="18" customHeight="1">
      <x:c r="A72" s="1"/>
      <x:c r="B72" s="1"/>
      <x:c r="C72" s="1" t="str">
        <x:v>Closing cash / (funding gap)</x:v>
      </x:c>
      <x:c r="D72" s="2"/>
      <x:c r="E72" s="8" t="n">
        <x:f>$D36+E71</x:f>
        <x:v>286.5288428082193</x:v>
      </x:c>
      <x:c r="F72" s="8" t="n">
        <x:f>E72+F71</x:f>
        <x:v>326.3488679309589</x:v>
      </x:c>
      <x:c r="G72" s="8" t="n">
        <x:f>F72+G71</x:f>
        <x:v>371.7490852096133</x:v>
      </x:c>
      <x:c r="H72" s="8" t="n">
        <x:f>G72+H71</x:f>
        <x:v>425.1065498438008</x:v>
      </x:c>
      <x:c r="I72" s="8" t="n">
        <x:f>H72+I71</x:f>
        <x:v>488.9466656082159</x:v>
      </x:c>
      <x:c r="J72" s="1"/>
      <x:c r="K72" s="1"/>
      <x:c r="M72" s="8" t="n">
        <x:f>E47*1</x:f>
        <x:v>2106.72</x:v>
      </x:c>
      <x:c r="N72" s="8" t="n">
        <x:f>$M72*N$69</x:f>
        <x:v>189.60479999999998</x:v>
      </x:c>
      <x:c r="O72" s="8" t="n">
        <x:f>$M72*O$69</x:f>
        <x:v>231.73919999999998</x:v>
      </x:c>
      <x:c r="P72" s="8" t="n">
        <x:f>$M72*P$69</x:f>
        <x:v>273.8736</x:v>
      </x:c>
      <x:c r="Q72" s="8" t="n">
        <x:f>$M72*Q$69</x:f>
        <x:v>316.008</x:v>
      </x:c>
      <x:c r="R72" s="8" t="n">
        <x:f>$M72*R$69</x:f>
        <x:v>358.1424</x:v>
      </x:c>
      <x:c r="S72" s="63"/>
      <x:c r="T72" s="63"/>
      <x:c r="U72" s="63"/>
      <x:c r="V72" s="63"/>
    </x:row>
    <x:row r="73" ht="18" customHeight="1">
      <x:c r="A73" s="1"/>
      <x:c r="B73" s="1"/>
      <x:c r="C73" s="38" t="str">
        <x:v>Closing book equity</x:v>
      </x:c>
      <x:c r="D73" s="39"/>
      <x:c r="E73" s="41" t="n">
        <x:f>$D34+$D37+$D36-$D35+E58-E70</x:f>
        <x:v>1044.1774017123287</x:v>
      </x:c>
      <x:c r="F73" s="41" t="n">
        <x:f>E73+F58-F70</x:f>
        <x:v>1127.9259012723287</x:v>
      </x:c>
      <x:c r="G73" s="41" t="n">
        <x:f>F73+G58-G70</x:f>
        <x:v>1244.8536310323527</x:v>
      </x:c>
      <x:c r="H73" s="41" t="n">
        <x:f>G73+H58-H70</x:f>
        <x:v>1398.128878374735</x:v>
      </x:c>
      <x:c r="I73" s="41" t="n">
        <x:f>H73+I58-I70</x:f>
        <x:v>1591.7898518058214</x:v>
      </x:c>
      <x:c r="J73" s="1"/>
      <x:c r="K73" s="1"/>
      <x:c r="M73" s="8" t="n">
        <x:f>E47*1.1</x:f>
        <x:v>2317.392</x:v>
      </x:c>
      <x:c r="N73" s="8" t="n">
        <x:f>$M73*N$69</x:f>
        <x:v>208.56527999999997</x:v>
      </x:c>
      <x:c r="O73" s="8" t="n">
        <x:f>$M73*O$69</x:f>
        <x:v>254.91312</x:v>
      </x:c>
      <x:c r="P73" s="8" t="n">
        <x:f>$M73*P$69</x:f>
        <x:v>301.26096</x:v>
      </x:c>
      <x:c r="Q73" s="8" t="n">
        <x:f>$M73*Q$69</x:f>
        <x:v>347.6088</x:v>
      </x:c>
      <x:c r="R73" s="8" t="n">
        <x:f>$M73*R$69</x:f>
        <x:v>393.95664</x:v>
      </x:c>
      <x:c r="S73" s="63"/>
      <x:c r="T73" s="63"/>
      <x:c r="U73" s="63"/>
      <x:c r="V73" s="63"/>
    </x:row>
    <x:row r="74" ht="18" customHeight="1">
      <x:c r="A74" s="1"/>
      <x:c r="B74" s="1"/>
      <x:c r="C74" s="1" t="str">
        <x:v>Total assets</x:v>
      </x:c>
      <x:c r="D74" s="2"/>
      <x:c r="E74" s="8" t="n">
        <x:f>E72+E60+E61+E66</x:f>
        <x:v>1538.104305821918</x:v>
      </x:c>
      <x:c r="F74" s="8" t="n">
        <x:f>F72+F60+F61+F66</x:f>
        <x:v>1617.3419498421918</x:v>
      </x:c>
      <x:c r="G74" s="8" t="n">
        <x:f>G72+G60+G61+G66</x:f>
        <x:v>1734.9541742785204</x:v>
      </x:c>
      <x:c r="H74" s="8" t="n">
        <x:f>H72+H60+H61+H66</x:f>
        <x:v>1894.9945541900497</x:v>
      </x:c>
      <x:c r="I74" s="8" t="n">
        <x:f>I72+I60+I61+I66</x:f>
        <x:v>2102.5374387800657</x:v>
      </x:c>
      <x:c r="J74" s="1"/>
      <x:c r="K74" s="1"/>
      <x:c r="M74" s="8" t="n">
        <x:f>E47*1.2</x:f>
        <x:v>2528.064</x:v>
      </x:c>
      <x:c r="N74" s="8" t="n">
        <x:f>$M74*N$69</x:f>
        <x:v>227.52576</x:v>
      </x:c>
      <x:c r="O74" s="8" t="n">
        <x:f>$M74*O$69</x:f>
        <x:v>278.08704</x:v>
      </x:c>
      <x:c r="P74" s="8" t="n">
        <x:f>$M74*P$69</x:f>
        <x:v>328.64832</x:v>
      </x:c>
      <x:c r="Q74" s="8" t="n">
        <x:f>$M74*Q$69</x:f>
        <x:v>379.20959999999997</x:v>
      </x:c>
      <x:c r="R74" s="8" t="n">
        <x:f>$M74*R$69</x:f>
        <x:v>429.77088000000003</x:v>
      </x:c>
      <x:c r="S74" s="63"/>
      <x:c r="T74" s="63"/>
      <x:c r="U74" s="63"/>
      <x:c r="V74" s="63"/>
    </x:row>
    <x:row r="75" ht="18" customHeight="1">
      <x:c r="A75" s="1"/>
      <x:c r="B75" s="1"/>
      <x:c r="C75" s="1" t="str">
        <x:v>Liabilities and equity</x:v>
      </x:c>
      <x:c r="D75" s="2"/>
      <x:c r="E75" s="8" t="n">
        <x:f>E62+E67+E73</x:f>
        <x:v>1538.1043058219177</x:v>
      </x:c>
      <x:c r="F75" s="8" t="n">
        <x:f>F62+F67+F73</x:f>
        <x:v>1617.3419498421918</x:v>
      </x:c>
      <x:c r="G75" s="8" t="n">
        <x:f>G62+G67+G73</x:f>
        <x:v>1734.9541742785204</x:v>
      </x:c>
      <x:c r="H75" s="8" t="n">
        <x:f>H62+H67+H73</x:f>
        <x:v>1894.9945541900497</x:v>
      </x:c>
      <x:c r="I75" s="8" t="n">
        <x:f>I62+I67+I73</x:f>
        <x:v>2102.5374387800657</x:v>
      </x:c>
      <x:c r="J75" s="1"/>
      <x:c r="K75" s="1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</x:row>
    <x:row r="76" ht="18" customHeight="1">
      <x:c r="A76" s="1"/>
      <x:c r="B76" s="1"/>
      <x:c r="C76" s="1" t="str">
        <x:v>Unlevered operating profit after tax</x:v>
      </x:c>
      <x:c r="D76" s="2"/>
      <x:c r="E76" s="8" t="n">
        <x:f>E54-MAX(0,E54)*E28</x:f>
        <x:v>92.90520000000001</x:v>
      </x:c>
      <x:c r="F76" s="8" t="n">
        <x:f>F54-MAX(0,F54)*F28</x:f>
        <x:v>131.74591608</x:v>
      </x:c>
      <x:c r="G76" s="8" t="n">
        <x:f>G54-MAX(0,G54)*G28</x:f>
        <x:v>173.753639680032</x:v>
      </x:c>
      <x:c r="H76" s="8" t="n">
        <x:f>H54-MAX(0,H54)*H28</x:f>
        <x:v>219.98574645650962</x:v>
      </x:c>
      <x:c r="I76" s="8" t="n">
        <x:f>I54-MAX(0,I54)*I28</x:f>
        <x:v>271.60213124144866</x:v>
      </x:c>
      <x:c r="J76" s="1"/>
      <x:c r="K76" s="1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</x:row>
    <x:row r="77" ht="18" customHeight="1">
      <x:c r="A77" s="1"/>
      <x:c r="B77" s="1"/>
      <x:c r="C77" s="38" t="str">
        <x:v>Free cash flow to firm</x:v>
      </x:c>
      <x:c r="D77" s="39"/>
      <x:c r="E77" s="41" t="n">
        <x:f>E76+E53-E65-E64</x:f>
        <x:v>111.48951780821928</x:v>
      </x:c>
      <x:c r="F77" s="41" t="n">
        <x:f>F76+F53-F65-F64</x:f>
        <x:v>122.81744164273962</x:v>
      </x:c>
      <x:c r="G77" s="41" t="n">
        <x:f>G76+G53-G65-G64</x:f>
        <x:v>137.2261271986625</x:v>
      </x:c>
      <x:c r="H77" s="41" t="n">
        <x:f>H76+H53-H65-H64</x:f>
        <x:v>155.06796374831484</x:v>
      </x:c>
      <x:c r="I77" s="41" t="n">
        <x:f>I76+I53-I65-I64</x:f>
        <x:v>176.7812735747773</x:v>
      </x:c>
      <x:c r="J77" s="1"/>
      <x:c r="K77" s="1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</x:row>
    <x:row r="78" ht="18" customHeight="1">
      <x:c r="A78" s="1"/>
      <x:c r="B78" s="1"/>
      <x:c r="C78" s="19" t="str">
        <x:v>SECTOR KPIs AND RETURN METRICS</x:v>
      </x:c>
      <x:c r="D78" s="20"/>
      <x:c r="E78" s="20"/>
      <x:c r="F78" s="20"/>
      <x:c r="G78" s="20"/>
      <x:c r="H78" s="20"/>
      <x:c r="I78" s="20"/>
      <x:c r="J78" s="1"/>
      <x:c r="K78" s="1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</x:row>
    <x:row r="79" ht="18" customHeight="1">
      <x:c r="A79" s="1"/>
      <x:c r="B79" s="1"/>
      <x:c r="C79" s="23" t="str">
        <x:v>Gross margin</x:v>
      </x:c>
      <x:c r="D79" s="24"/>
      <x:c r="E79" s="35" t="n">
        <x:f>E50/E47</x:f>
        <x:v>0.38</x:v>
      </x:c>
      <x:c r="F79" s="35" t="n">
        <x:f>F50/F47</x:f>
        <x:v>0.38</x:v>
      </x:c>
      <x:c r="G79" s="35" t="n">
        <x:f>G50/G47</x:f>
        <x:v>0.37999999999999995</x:v>
      </x:c>
      <x:c r="H79" s="35" t="n">
        <x:f>H50/H47</x:f>
        <x:v>0.38</x:v>
      </x:c>
      <x:c r="I79" s="35" t="n">
        <x:f>I50/I47</x:f>
        <x:v>0.37999999999999995</x:v>
      </x:c>
      <x:c r="J79" s="1"/>
      <x:c r="K79" s="1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</x:row>
    <x:row r="80" ht="18" customHeight="1">
      <x:c r="A80" s="1"/>
      <x:c r="B80" s="1"/>
      <x:c r="C80" s="23" t="str">
        <x:v>EBITDA margin</x:v>
      </x:c>
      <x:c r="D80" s="24"/>
      <x:c r="E80" s="35" t="n">
        <x:f>E52/E47</x:f>
        <x:v>0.13</x:v>
      </x:c>
      <x:c r="F80" s="35" t="n">
        <x:f>F52/F47</x:f>
        <x:v>0.12999999999999998</x:v>
      </x:c>
      <x:c r="G80" s="35" t="n">
        <x:f>G52/G47</x:f>
        <x:v>0.12999999999999998</x:v>
      </x:c>
      <x:c r="H80" s="35" t="n">
        <x:f>H52/H47</x:f>
        <x:v>0.13000000000000003</x:v>
      </x:c>
      <x:c r="I80" s="35" t="n">
        <x:f>I52/I47</x:f>
        <x:v>0.12999999999999998</x:v>
      </x:c>
      <x:c r="J80" s="1"/>
      <x:c r="K80" s="1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</x:row>
    <x:row r="81" ht="18" customHeight="1">
      <x:c r="A81" s="1"/>
      <x:c r="B81" s="1"/>
      <x:c r="C81" s="23" t="str">
        <x:v>Net margin</x:v>
      </x:c>
      <x:c r="D81" s="24"/>
      <x:c r="E81" s="35" t="n">
        <x:f>E58/E47</x:f>
        <x:v>0.033508344725449994</x:v>
      </x:c>
      <x:c r="F81" s="35" t="n">
        <x:f>F58/F47</x:f>
        <x:v>0.04528711346034258</x:v>
      </x:c>
      <x:c r="G81" s="35" t="n">
        <x:f>G58/G47</x:f>
        <x:v>0.054023262722918575</x:v>
      </x:c>
      <x:c r="H81" s="35" t="n">
        <x:f>H58/H47</x:f>
        <x:v>0.06050635688633112</x:v>
      </x:c>
      <x:c r="I81" s="35" t="n">
        <x:f>I58/I47</x:f>
        <x:v>0.06531858626152623</x:v>
      </x:c>
      <x:c r="J81" s="1"/>
      <x:c r="K81" s="1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</x:row>
    <x:row r="82" ht="18" customHeight="1">
      <x:c r="A82" s="1"/>
      <x:c r="B82" s="1"/>
      <x:c r="C82" s="23" t="str">
        <x:v>Operating cash conversion</x:v>
      </x:c>
      <x:c r="D82" s="24"/>
      <x:c r="E82" s="35" t="n">
        <x:f>IF(E52=0,"n.a.",E69/E52)</x:f>
        <x:v>0.7486907018720287</x:v>
      </x:c>
      <x:c r="F82" s="35" t="n">
        <x:f>IF(F52=0,"n.a.",F69/F52)</x:f>
        <x:v>0.7435850005018918</x:v>
      </x:c>
      <x:c r="G82" s="35" t="n">
        <x:f>IF(G52=0,"n.a.",G69/G52)</x:f>
        <x:v>0.7412758338189708</x:v>
      </x:c>
      <x:c r="H82" s="35" t="n">
        <x:f>IF(H52=0,"n.a.",H69/H52)</x:f>
        <x:v>0.7406641009282143</x:v>
      </x:c>
      <x:c r="I82" s="35" t="n">
        <x:f>IF(I52=0,"n.a.",I69/I52)</x:f>
        <x:v>0.7410190534585729</x:v>
      </x:c>
      <x:c r="J82" s="1"/>
      <x:c r="K82" s="1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</x:row>
    <x:row r="83" ht="18" customHeight="1">
      <x:c r="A83" s="1"/>
      <x:c r="B83" s="1"/>
      <x:c r="C83" s="1" t="str">
        <x:v>Cash conversion cycle (days)</x:v>
      </x:c>
      <x:c r="D83" s="2"/>
      <x:c r="E83" s="8" t="n">
        <x:f>E25+E26-E27</x:f>
        <x:v>28</x:v>
      </x:c>
      <x:c r="F83" s="8" t="n">
        <x:f>F25+F26-F27</x:f>
        <x:v>28</x:v>
      </x:c>
      <x:c r="G83" s="8" t="n">
        <x:f>G25+G26-G27</x:f>
        <x:v>28</x:v>
      </x:c>
      <x:c r="H83" s="8" t="n">
        <x:f>H25+H26-H27</x:f>
        <x:v>28</x:v>
      </x:c>
      <x:c r="I83" s="8" t="n">
        <x:f>I25+I26-I27</x:f>
        <x:v>28</x:v>
      </x:c>
      <x:c r="J83" s="1"/>
      <x:c r="K83" s="1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</x:row>
    <x:row r="84" ht="18" customHeight="1">
      <x:c r="A84" s="1"/>
      <x:c r="B84" s="1"/>
      <x:c r="C84" s="23" t="str">
        <x:v>Net debt / EBITDA</x:v>
      </x:c>
      <x:c r="D84" s="32"/>
      <x:c r="E84" s="61" t="n">
        <x:f>IF(E52&lt;=0,"n.a.",(E67-E72)/E52)</x:f>
        <x:v>0.10395728975622594</x:v>
      </x:c>
      <x:c r="F84" s="61" t="n">
        <x:f>IF(F52&lt;=0,"n.a.",(F67-F72)/F52)</x:f>
        <x:v>-0.1445954567114347</x:v>
      </x:c>
      <x:c r="G84" s="61" t="n">
        <x:f>IF(G52&lt;=0,"n.a.",(G67-G72)/G52)</x:f>
        <x:v>-0.3378516441912334</x:v>
      </x:c>
      <x:c r="H84" s="61" t="n">
        <x:f>IF(H52&lt;=0,"n.a.",(H67-H72)/H52)</x:f>
        <x:v>-0.48989219993394456</x:v>
      </x:c>
      <x:c r="I84" s="61" t="n">
        <x:f>IF(I52&lt;=0,"n.a.",(I67-I72)/I52)</x:f>
        <x:v>-0.610897646255843</x:v>
      </x:c>
      <x:c r="J84" s="1"/>
      <x:c r="K84" s="1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</x:row>
    <x:row r="85" ht="18" customHeight="1">
      <x:c r="A85" s="1"/>
      <x:c r="B85" s="1"/>
      <x:c r="C85" s="23" t="str">
        <x:v>EBIT / interest</x:v>
      </x:c>
      <x:c r="D85" s="32"/>
      <x:c r="E85" s="61" t="n">
        <x:f>IF(E55=0,"n.a.",E54/E55)</x:f>
        <x:v>4.163818487394958</x:v>
      </x:c>
      <x:c r="F85" s="61" t="n">
        <x:f>IF(F55=0,"n.a.",F54/F55)</x:f>
        <x:v>6.560643191036414</x:v>
      </x:c>
      <x:c r="G85" s="61" t="n">
        <x:f>IF(G55=0,"n.a.",G54/G55)</x:f>
        <x:v>9.734097461066217</x:v>
      </x:c>
      <x:c r="H85" s="61" t="n">
        <x:f>IF(H55=0,"n.a.",H54/H55)</x:f>
        <x:v>14.084721661881366</x:v>
      </x:c>
      <x:c r="I85" s="61" t="n">
        <x:f>IF(I55=0,"n.a.",I54/I55)</x:f>
        <x:v>20.287740895719786</x:v>
      </x:c>
      <x:c r="J85" s="1"/>
      <x:c r="K85" s="1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</x:row>
    <x:row r="86" ht="18" customHeight="1">
      <x:c r="A86" s="1"/>
      <x:c r="B86" s="1"/>
      <x:c r="C86" s="23" t="str">
        <x:v>ROIC on average invested capital</x:v>
      </x:c>
      <x:c r="D86" s="24"/>
      <x:c r="E86" s="35" t="n">
        <x:f>E76/(($D34+$D37+E66+E63)/2)</x:f>
        <x:v>0.0858690300409491</x:v>
      </x:c>
      <x:c r="F86" s="35" t="n">
        <x:f>F76/((E66+E63+F66+F63)/2)</x:f>
        <x:v>0.12231394572067383</x:v>
      </x:c>
      <x:c r="G86" s="35" t="n">
        <x:f>G76/((F66+F63+G66+G63)/2)</x:f>
        <x:v>0.15798071986951795</x:v>
      </x:c>
      <x:c r="H86" s="35" t="n">
        <x:f>H76/((G66+G63+H66+H63)/2)</x:f>
        <x:v>0.19119827672978518</x:v>
      </x:c>
      <x:c r="I86" s="35" t="n">
        <x:f>I76/((H66+H63+I66+I63)/2)</x:f>
        <x:v>0.22073707776055312</x:v>
      </x:c>
      <x:c r="J86" s="1"/>
      <x:c r="K86" s="1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</x:row>
    <x:row r="87" ht="18" customHeight="1">
      <x:c r="A87" s="1"/>
      <x:c r="B87" s="1"/>
      <x:c r="C87" s="23" t="str">
        <x:v>Merchandise inventory turns</x:v>
      </x:c>
      <x:c r="D87" s="32"/>
      <x:c r="E87" s="61" t="n">
        <x:f>IF(E61=0,"n.a.",E49/E61)</x:f>
        <x:v>4.866666666666667</x:v>
      </x:c>
      <x:c r="F87" s="61" t="n">
        <x:f>IF(F61=0,"n.a.",F49/F61)</x:f>
        <x:v>4.866666666666667</x:v>
      </x:c>
      <x:c r="G87" s="61" t="n">
        <x:f>IF(G61=0,"n.a.",G49/G61)</x:f>
        <x:v>4.866666666666667</x:v>
      </x:c>
      <x:c r="H87" s="61" t="n">
        <x:f>IF(H61=0,"n.a.",H49/H61)</x:f>
        <x:v>4.866666666666666</x:v>
      </x:c>
      <x:c r="I87" s="61" t="n">
        <x:f>IF(I61=0,"n.a.",I49/I61)</x:f>
        <x:v>4.866666666666666</x:v>
      </x:c>
      <x:c r="J87" s="1"/>
      <x:c r="K87" s="1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</x:row>
    <x:row r="88" ht="18" customHeight="1">
      <x:c r="A88" s="1"/>
      <x:c r="B88" s="1"/>
      <x:c r="C88" s="1" t="str">
        <x:v>EBITDA per sq ft (INR)</x:v>
      </x:c>
      <x:c r="D88" s="2"/>
      <x:c r="E88" s="10" t="n">
        <x:f>E52*'Controls'!$E$9/E44</x:f>
        <x:v>2445.3</x:v>
      </x:c>
      <x:c r="F88" s="10" t="n">
        <x:f>F52*'Controls'!$E$9/F44</x:f>
        <x:v>2555.3384999999994</x:v>
      </x:c>
      <x:c r="G88" s="10" t="n">
        <x:f>G52*'Controls'!$E$9/G44</x:f>
        <x:v>2670.3287324999988</x:v>
      </x:c>
      <x:c r="H88" s="10" t="n">
        <x:f>H52*'Controls'!$E$9/H44</x:f>
        <x:v>2790.4935254625</x:v>
      </x:c>
      <x:c r="I88" s="10" t="n">
        <x:f>I52*'Controls'!$E$9/I44</x:f>
        <x:v>2916.065734108311</x:v>
      </x:c>
      <x:c r="J88" s="1"/>
      <x:c r="K88" s="1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</x:row>
    <x:row r="89" ht="18" customHeight="1">
      <x:c r="A89" s="1"/>
      <x:c r="B89" s="1"/>
      <x:c r="C89" s="19" t="str">
        <x:v>VALUATION AT 31 MARCH 2026</x:v>
      </x:c>
      <x:c r="D89" s="20"/>
      <x:c r="E89" s="20"/>
      <x:c r="F89" s="20"/>
      <x:c r="G89" s="20"/>
      <x:c r="H89" s="20"/>
      <x:c r="I89" s="20"/>
      <x:c r="J89" s="1"/>
      <x:c r="K89" s="1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</x:row>
    <x:row r="90" ht="18" customHeight="1">
      <x:c r="A90" s="1"/>
      <x:c r="B90" s="1"/>
      <x:c r="C90" s="1" t="str">
        <x:v>PV of annual FCFF</x:v>
      </x:c>
      <x:c r="D90" s="2"/>
      <x:c r="E90" s="8" t="n">
        <x:f>E77/(1+$D39)^1</x:f>
        <x:v>99.5442123287672</x:v>
      </x:c>
      <x:c r="F90" s="8" t="n">
        <x:f>F77/(1+$D39)^2</x:f>
        <x:v>97.90931253407176</x:v>
      </x:c>
      <x:c r="G90" s="8" t="n">
        <x:f>G77/(1+$D39)^3</x:f>
        <x:v>97.67484682393865</x:v>
      </x:c>
      <x:c r="H90" s="8" t="n">
        <x:f>H77/(1+$D39)^4</x:f>
        <x:v>98.54849434347905</x:v>
      </x:c>
      <x:c r="I90" s="8" t="n">
        <x:f>I77/(1+$D39)^5</x:f>
        <x:v>100.31044221446535</x:v>
      </x:c>
      <x:c r="J90" s="1"/>
      <x:c r="K90" s="1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</x:row>
    <x:row r="91" ht="18" customHeight="1">
      <x:c r="A91" s="1"/>
      <x:c r="B91" s="1"/>
      <x:c r="C91" s="1" t="str">
        <x:v>Normalized terminal FCFF</x:v>
      </x:c>
      <x:c r="D91" s="2"/>
      <x:c r="E91" s="8" t="n">
        <x:f>I76*(1+$D40)*(1-$D40/$D41)</x:f>
        <x:v>207.1418920934782</x:v>
      </x:c>
      <x:c r="F91" s="2"/>
      <x:c r="G91" s="2"/>
      <x:c r="H91" s="2"/>
      <x:c r="I91" s="2"/>
      <x:c r="J91" s="1"/>
      <x:c r="K91" s="1" t="str">
        <x:v>Terminal reinvestment = terminal NOPAT × growth / incremental ROIC.</x:v>
      </x:c>
    </x:row>
    <x:row r="92" ht="18" customHeight="1">
      <x:c r="A92" s="1"/>
      <x:c r="B92" s="1"/>
      <x:c r="C92" s="1" t="str">
        <x:v>Terminal enterprise value</x:v>
      </x:c>
      <x:c r="D92" s="2"/>
      <x:c r="E92" s="8" t="n">
        <x:f>IF($D39&lt;=$D40,NA(),E91/($D39-$D40))</x:f>
        <x:v>2589.273651168478</x:v>
      </x:c>
      <x:c r="F92" s="2"/>
      <x:c r="G92" s="2"/>
      <x:c r="H92" s="2"/>
      <x:c r="I92" s="2"/>
      <x:c r="J92" s="1"/>
      <x:c r="K92" s="1"/>
    </x:row>
    <x:row r="93" ht="18" customHeight="1">
      <x:c r="A93" s="1"/>
      <x:c r="B93" s="1"/>
      <x:c r="C93" s="1" t="str">
        <x:v>DCF enterprise value</x:v>
      </x:c>
      <x:c r="D93" s="2"/>
      <x:c r="E93" s="8" t="n">
        <x:f>SUM(E90:I90)+E92/(1+$D39)^5</x:f>
        <x:v>1963.2107147222684</x:v>
      </x:c>
      <x:c r="F93" s="2"/>
      <x:c r="G93" s="2"/>
      <x:c r="H93" s="2"/>
      <x:c r="I93" s="2"/>
      <x:c r="J93" s="1"/>
      <x:c r="K93" s="1"/>
    </x:row>
    <x:row r="94" ht="18" customHeight="1">
      <x:c r="A94" s="1"/>
      <x:c r="B94" s="1"/>
      <x:c r="C94" s="38" t="str">
        <x:v>DCF equity value</x:v>
      </x:c>
      <x:c r="D94" s="39"/>
      <x:c r="E94" s="41" t="n">
        <x:f>E93-$D35+$D36</x:f>
        <x:v>1863.2107147222684</x:v>
      </x:c>
      <x:c r="F94" s="39"/>
      <x:c r="G94" s="39"/>
      <x:c r="H94" s="39"/>
      <x:c r="I94" s="39"/>
      <x:c r="J94" s="1"/>
      <x:c r="K94" s="1"/>
    </x:row>
    <x:row r="95" ht="18" customHeight="1">
      <x:c r="A95" s="1"/>
      <x:c r="B95" s="1"/>
      <x:c r="C95" s="1" t="str">
        <x:v>DCF value per share (INR)</x:v>
      </x:c>
      <x:c r="D95" s="33"/>
      <x:c r="E95" s="34" t="n">
        <x:f>E94/$D38</x:f>
        <x:v>18.632107147222683</x:v>
      </x:c>
      <x:c r="F95" s="33"/>
      <x:c r="G95" s="33"/>
      <x:c r="H95" s="33"/>
      <x:c r="I95" s="33"/>
      <x:c r="J95" s="1"/>
      <x:c r="K95" s="1"/>
    </x:row>
    <x:row r="96" ht="18" customHeight="1">
      <x:c r="A96" s="1"/>
      <x:c r="B96" s="1"/>
      <x:c r="C96" s="1" t="str">
        <x:v>Forward multiple enterprise value</x:v>
      </x:c>
      <x:c r="D96" s="2"/>
      <x:c r="E96" s="8" t="n">
        <x:f>E52*$D42</x:f>
        <x:v>4929.7248</x:v>
      </x:c>
      <x:c r="F96" s="2"/>
      <x:c r="G96" s="2"/>
      <x:c r="H96" s="2"/>
      <x:c r="I96" s="2"/>
      <x:c r="J96" s="1"/>
      <x:c r="K96" s="1"/>
    </x:row>
    <x:row r="97" ht="18" customHeight="1">
      <x:c r="A97" s="1"/>
      <x:c r="B97" s="1"/>
      <x:c r="C97" s="1" t="str">
        <x:v>Forward multiple equity value</x:v>
      </x:c>
      <x:c r="D97" s="2"/>
      <x:c r="E97" s="8" t="n">
        <x:f>E96-$D35+$D36</x:f>
        <x:v>4829.7248</x:v>
      </x:c>
      <x:c r="F97" s="2"/>
      <x:c r="G97" s="2"/>
      <x:c r="H97" s="2"/>
      <x:c r="I97" s="2"/>
      <x:c r="J97" s="1"/>
      <x:c r="K97" s="1"/>
    </x:row>
    <x:row r="98" ht="18" customHeight="1">
      <x:c r="A98" s="1"/>
      <x:c r="B98" s="1"/>
      <x:c r="C98" s="23" t="str">
        <x:v>Terminal value / DCF enterprise value</x:v>
      </x:c>
      <x:c r="D98" s="24"/>
      <x:c r="E98" s="35" t="n">
        <x:f>(E92/(1+$D39)^5)/E93</x:f>
        <x:v>0.7483778462799366</x:v>
      </x:c>
      <x:c r="F98" s="24"/>
      <x:c r="G98" s="24"/>
      <x:c r="H98" s="24"/>
      <x:c r="I98" s="24"/>
      <x:c r="J98" s="1"/>
      <x:c r="K98" s="1"/>
    </x:row>
    <x:row r="99" ht="18" customHeight="1">
      <x:c r="A99" s="1"/>
      <x:c r="B99" s="1"/>
      <x:c r="C99" s="19" t="str">
        <x:v>MODEL CHECKS</x:v>
      </x:c>
      <x:c r="D99" s="20"/>
      <x:c r="E99" s="20"/>
      <x:c r="F99" s="20"/>
      <x:c r="G99" s="20"/>
      <x:c r="H99" s="20"/>
      <x:c r="I99" s="20"/>
      <x:c r="J99" s="1"/>
      <x:c r="K99" s="1"/>
    </x:row>
    <x:row r="100" ht="18" customHeight="1">
      <x:c r="A100" s="1"/>
      <x:c r="B100" s="1"/>
      <x:c r="C100" s="1" t="str">
        <x:v>Assets less liabilities and equity</x:v>
      </x:c>
      <x:c r="D100" s="33"/>
      <x:c r="E100" s="34" t="n">
        <x:f>E74-E75</x:f>
        <x:v>2.2737367544323206e-13</x:v>
      </x:c>
      <x:c r="F100" s="34" t="n">
        <x:f>F74-F75</x:f>
        <x:v>0</x:v>
      </x:c>
      <x:c r="G100" s="34" t="n">
        <x:f>G74-G75</x:f>
        <x:v>0</x:v>
      </x:c>
      <x:c r="H100" s="34" t="n">
        <x:f>H74-H75</x:f>
        <x:v>0</x:v>
      </x:c>
      <x:c r="I100" s="34" t="n">
        <x:f>I74-I75</x:f>
        <x:v>0</x:v>
      </x:c>
      <x:c r="J100" s="1"/>
      <x:c r="K100" s="1"/>
    </x:row>
    <x:row r="101" ht="18" customHeight="1">
      <x:c r="A101" s="1"/>
      <x:c r="B101" s="1"/>
      <x:c r="C101" s="1" t="str">
        <x:v>Cash funding shortfall</x:v>
      </x:c>
      <x:c r="D101" s="33"/>
      <x:c r="E101" s="34" t="n">
        <x:f>MAX(0,-E72)</x:f>
        <x:v>0</x:v>
      </x:c>
      <x:c r="F101" s="34" t="n">
        <x:f>MAX(0,-F72)</x:f>
        <x:v>0</x:v>
      </x:c>
      <x:c r="G101" s="34" t="n">
        <x:f>MAX(0,-G72)</x:f>
        <x:v>0</x:v>
      </x:c>
      <x:c r="H101" s="34" t="n">
        <x:f>MAX(0,-H72)</x:f>
        <x:v>0</x:v>
      </x:c>
      <x:c r="I101" s="34" t="n">
        <x:f>MAX(0,-I72)</x:f>
        <x:v>0</x:v>
      </x:c>
      <x:c r="J101" s="1"/>
      <x:c r="K101" s="1"/>
    </x:row>
    <x:row r="102" ht="18" customHeight="1">
      <x:c r="A102" s="1"/>
      <x:c r="B102" s="1"/>
      <x:c r="C102" s="1" t="str">
        <x:v>Debt below zero</x:v>
      </x:c>
      <x:c r="D102" s="33"/>
      <x:c r="E102" s="34" t="n">
        <x:f>MAX(0,-E67)</x:f>
        <x:v>0</x:v>
      </x:c>
      <x:c r="F102" s="34" t="n">
        <x:f>MAX(0,-F67)</x:f>
        <x:v>0</x:v>
      </x:c>
      <x:c r="G102" s="34" t="n">
        <x:f>MAX(0,-G67)</x:f>
        <x:v>0</x:v>
      </x:c>
      <x:c r="H102" s="34" t="n">
        <x:f>MAX(0,-H67)</x:f>
        <x:v>0</x:v>
      </x:c>
      <x:c r="I102" s="34" t="n">
        <x:f>MAX(0,-I67)</x:f>
        <x:v>0</x:v>
      </x:c>
      <x:c r="J102" s="1"/>
      <x:c r="K102" s="1"/>
    </x:row>
    <x:row r="103" ht="18" customHeight="1">
      <x:c r="A103" s="1"/>
      <x:c r="B103" s="1"/>
      <x:c r="C103" s="1" t="str">
        <x:v>Utilization above 100%</x:v>
      </x:c>
      <x:c r="D103" s="33"/>
      <x:c r="E103" s="34" t="n">
        <x:f>MAX(0,E20-1)</x:f>
        <x:v>0</x:v>
      </x:c>
      <x:c r="F103" s="34" t="n">
        <x:f>MAX(0,F20-1)</x:f>
        <x:v>0</x:v>
      </x:c>
      <x:c r="G103" s="34" t="n">
        <x:f>MAX(0,G20-1)</x:f>
        <x:v>0</x:v>
      </x:c>
      <x:c r="H103" s="34" t="n">
        <x:f>MAX(0,H20-1)</x:f>
        <x:v>0</x:v>
      </x:c>
      <x:c r="I103" s="34" t="n">
        <x:f>MAX(0,I20-1)</x:f>
        <x:v>0</x:v>
      </x:c>
      <x:c r="J103" s="1"/>
      <x:c r="K103" s="1"/>
    </x:row>
    <x:row r="104" ht="18" customHeight="1">
      <x:c r="A104" s="1"/>
      <x:c r="B104" s="1"/>
      <x:c r="C104" s="1" t="str">
        <x:v>Net PP&amp;E below zero</x:v>
      </x:c>
      <x:c r="D104" s="33"/>
      <x:c r="E104" s="34" t="n">
        <x:f>MAX(0,-E66)</x:f>
        <x:v>0</x:v>
      </x:c>
      <x:c r="F104" s="34" t="n">
        <x:f>MAX(0,-F66)</x:f>
        <x:v>0</x:v>
      </x:c>
      <x:c r="G104" s="34" t="n">
        <x:f>MAX(0,-G66)</x:f>
        <x:v>0</x:v>
      </x:c>
      <x:c r="H104" s="34" t="n">
        <x:f>MAX(0,-H66)</x:f>
        <x:v>0</x:v>
      </x:c>
      <x:c r="I104" s="34" t="n">
        <x:f>MAX(0,-I66)</x:f>
        <x:v>0</x:v>
      </x:c>
      <x:c r="J104" s="1"/>
      <x:c r="K104" s="1"/>
    </x:row>
    <x:row r="105" ht="18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1"/>
      <x:c r="K105" s="1"/>
    </x:row>
    <x:row r="106" ht="18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1"/>
      <x:c r="K106" s="1"/>
    </x:row>
    <x:row r="107" ht="18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1"/>
      <x:c r="K107" s="1"/>
    </x:row>
    <x:row r="108" ht="18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1"/>
      <x:c r="K108" s="1"/>
    </x:row>
    <x:row r="109" ht="18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1"/>
      <x:c r="K109" s="1"/>
    </x:row>
    <x:row r="110" ht="25" customHeight="1">
      <x:c r="A110" s="1"/>
      <x:c r="B110" s="1"/>
      <x:c r="C110" s="68" t="str">
        <x:v>SUPPORTING SCHEDULE ASSUMPTIONS</x:v>
      </x:c>
      <x:c r="D110" s="69"/>
      <x:c r="E110" s="69"/>
      <x:c r="F110" s="69"/>
      <x:c r="G110" s="69"/>
      <x:c r="H110" s="69"/>
      <x:c r="I110" s="69"/>
      <x:c r="J110" s="1"/>
      <x:c r="K110" s="1"/>
    </x:row>
    <x:row r="111" ht="30" customHeight="1">
      <x:c r="A111" s="1"/>
      <x:c r="B111" s="1"/>
      <x:c r="C111" s="64"/>
      <x:c r="D111" s="8"/>
      <x:c r="E111" s="8"/>
      <x:c r="F111" s="8"/>
      <x:c r="G111" s="8"/>
      <x:c r="H111" s="8"/>
      <x:c r="I111" s="8"/>
      <x:c r="J111" s="1"/>
      <x:c r="K111" s="1"/>
    </x:row>
    <x:row r="112" ht="30" customHeight="1">
      <x:c r="A112" s="1"/>
      <x:c r="B112" s="1"/>
      <x:c r="C112" s="64"/>
      <x:c r="D112" s="8"/>
      <x:c r="E112" s="8"/>
      <x:c r="F112" s="8"/>
      <x:c r="G112" s="8"/>
      <x:c r="H112" s="8"/>
      <x:c r="I112" s="8"/>
      <x:c r="J112" s="1"/>
      <x:c r="K112" s="1"/>
    </x:row>
    <x:row r="113" ht="30" customHeight="1">
      <x:c r="A113" s="1"/>
      <x:c r="B113" s="1"/>
      <x:c r="C113" s="64"/>
      <x:c r="D113" s="8"/>
      <x:c r="E113" s="8"/>
      <x:c r="F113" s="8"/>
      <x:c r="G113" s="8"/>
      <x:c r="H113" s="8"/>
      <x:c r="I113" s="8"/>
      <x:c r="J113" s="1"/>
      <x:c r="K113" s="1"/>
    </x:row>
    <x:row r="114" ht="30" customHeight="1">
      <x:c r="A114" s="1"/>
      <x:c r="B114" s="1"/>
      <x:c r="C114" s="64" t="str">
        <x:v>Current-year capex depreciation fraction</x:v>
      </x:c>
      <x:c r="D114" s="72" t="n">
        <x:v>0</x:v>
      </x:c>
      <x:c r="E114" s="8"/>
      <x:c r="F114" s="8"/>
      <x:c r="G114" s="8"/>
      <x:c r="H114" s="8"/>
      <x:c r="I114" s="8"/>
      <x:c r="J114" s="1"/>
      <x:c r="K114" s="1"/>
    </x:row>
    <x:row r="115" ht="30" customHeight="1">
      <x:c r="A115" s="1"/>
      <x:c r="B115" s="1"/>
      <x:c r="C115" s="64" t="str">
        <x:v>Debt movement interest weighting</x:v>
      </x:c>
      <x:c r="D115" s="72" t="n">
        <x:v>0</x:v>
      </x:c>
      <x:c r="E115" s="8"/>
      <x:c r="F115" s="8"/>
      <x:c r="G115" s="8"/>
      <x:c r="H115" s="8"/>
      <x:c r="I115" s="8"/>
      <x:c r="J115" s="1"/>
      <x:c r="K115" s="1" t="str">
        <x:v>0 = opening debt interest; 0.5 = mid-year movements; 1 = full-year movements.</x:v>
      </x:c>
    </x:row>
    <x:row r="116" ht="30" customHeight="1">
      <x:c r="A116" s="1"/>
      <x:c r="B116" s="1"/>
      <x:c r="C116" s="64" t="str">
        <x:v>Opening tax losses available for use</x:v>
      </x:c>
      <x:c r="D116" s="74" t="n">
        <x:v>0</x:v>
      </x:c>
      <x:c r="E116" s="8"/>
      <x:c r="F116" s="8"/>
      <x:c r="G116" s="8"/>
      <x:c r="H116" s="8"/>
      <x:c r="I116" s="8"/>
      <x:c r="J116" s="1"/>
      <x:c r="K116" s="1"/>
    </x:row>
    <x:row r="117" ht="30" customHeight="1">
      <x:c r="A117" s="1"/>
      <x:c r="B117" s="1"/>
      <x:c r="C117" s="64" t="str">
        <x:v>Tax loss utilization share of positive PBT</x:v>
      </x:c>
      <x:c r="D117" s="72" t="n">
        <x:v>1</x:v>
      </x:c>
      <x:c r="E117" s="8"/>
      <x:c r="F117" s="8"/>
      <x:c r="G117" s="8"/>
      <x:c r="H117" s="8"/>
      <x:c r="I117" s="8"/>
      <x:c r="J117" s="1"/>
      <x:c r="K117" s="1" t="str">
        <x:v>Simplified cash tax schedule. Check company-specific eligibility, expiry, MAT and deferred tax separately.</x:v>
      </x:c>
    </x:row>
    <x:row r="118" ht="30" customHeight="1">
      <x:c r="A118" s="1"/>
      <x:c r="B118" s="1"/>
      <x:c r="C118" s="64"/>
      <x:c r="D118" s="8"/>
      <x:c r="E118" s="8"/>
      <x:c r="F118" s="8"/>
      <x:c r="G118" s="8"/>
      <x:c r="H118" s="8"/>
      <x:c r="I118" s="8"/>
      <x:c r="J118" s="1"/>
      <x:c r="K118" s="1"/>
    </x:row>
    <x:row r="119" ht="25" customHeight="1">
      <x:c r="A119" s="1"/>
      <x:c r="B119" s="1"/>
      <x:c r="C119" s="68" t="str">
        <x:v>DEBT AND INTEREST SCHEDULE</x:v>
      </x:c>
      <x:c r="D119" s="69"/>
      <x:c r="E119" s="69"/>
      <x:c r="F119" s="69"/>
      <x:c r="G119" s="69"/>
      <x:c r="H119" s="69"/>
      <x:c r="I119" s="69"/>
      <x:c r="J119" s="1"/>
      <x:c r="K119" s="1"/>
    </x:row>
    <x:row r="120" ht="30" customHeight="1">
      <x:c r="A120" s="1"/>
      <x:c r="B120" s="1"/>
      <x:c r="C120" s="64" t="str">
        <x:v>Opening debt balance</x:v>
      </x:c>
      <x:c r="D120" s="8"/>
      <x:c r="E120" s="8" t="n">
        <x:f>D35</x:f>
        <x:v>350</x:v>
      </x:c>
      <x:c r="F120" s="8" t="n">
        <x:f>E123</x:f>
        <x:v>315</x:v>
      </x:c>
      <x:c r="G120" s="8" t="n">
        <x:f>F123</x:f>
        <x:v>280</x:v>
      </x:c>
      <x:c r="H120" s="8" t="n">
        <x:f>G123</x:f>
        <x:v>245</x:v>
      </x:c>
      <x:c r="I120" s="8" t="n">
        <x:f>H123</x:f>
        <x:v>210</x:v>
      </x:c>
      <x:c r="J120" s="1"/>
      <x:c r="K120" s="1"/>
    </x:row>
    <x:row r="121" ht="30" customHeight="1">
      <x:c r="A121" s="1"/>
      <x:c r="B121" s="1"/>
      <x:c r="C121" s="64" t="str">
        <x:v>Debt drawn</x:v>
      </x:c>
      <x:c r="D121" s="8"/>
      <x:c r="E121" s="8" t="n">
        <x:f>E30</x:f>
        <x:v>0</x:v>
      </x:c>
      <x:c r="F121" s="8" t="n">
        <x:f>F30</x:f>
        <x:v>0</x:v>
      </x:c>
      <x:c r="G121" s="8" t="n">
        <x:f>G30</x:f>
        <x:v>0</x:v>
      </x:c>
      <x:c r="H121" s="8" t="n">
        <x:f>H30</x:f>
        <x:v>0</x:v>
      </x:c>
      <x:c r="I121" s="8" t="n">
        <x:f>I30</x:f>
        <x:v>0</x:v>
      </x:c>
      <x:c r="J121" s="1"/>
      <x:c r="K121" s="1"/>
    </x:row>
    <x:row r="122" ht="30" customHeight="1">
      <x:c r="A122" s="1"/>
      <x:c r="B122" s="1"/>
      <x:c r="C122" s="64" t="str">
        <x:v>Debt principal repaid</x:v>
      </x:c>
      <x:c r="D122" s="8"/>
      <x:c r="E122" s="8" t="n">
        <x:f>E31</x:f>
        <x:v>35</x:v>
      </x:c>
      <x:c r="F122" s="8" t="n">
        <x:f>F31</x:f>
        <x:v>35</x:v>
      </x:c>
      <x:c r="G122" s="8" t="n">
        <x:f>G31</x:f>
        <x:v>35</x:v>
      </x:c>
      <x:c r="H122" s="8" t="n">
        <x:f>H31</x:f>
        <x:v>35</x:v>
      </x:c>
      <x:c r="I122" s="8" t="n">
        <x:f>I31</x:f>
        <x:v>35</x:v>
      </x:c>
      <x:c r="J122" s="1"/>
      <x:c r="K122" s="1"/>
    </x:row>
    <x:row r="123" ht="30" customHeight="1">
      <x:c r="A123" s="1"/>
      <x:c r="B123" s="1"/>
      <x:c r="C123" s="64" t="str">
        <x:v>Closing debt balance</x:v>
      </x:c>
      <x:c r="D123" s="8"/>
      <x:c r="E123" s="8" t="n">
        <x:f>E120+E121-E122</x:f>
        <x:v>315</x:v>
      </x:c>
      <x:c r="F123" s="8" t="n">
        <x:f>F120+F121-F122</x:f>
        <x:v>280</x:v>
      </x:c>
      <x:c r="G123" s="8" t="n">
        <x:f>G120+G121-G122</x:f>
        <x:v>245</x:v>
      </x:c>
      <x:c r="H123" s="8" t="n">
        <x:f>H120+H121-H122</x:f>
        <x:v>210</x:v>
      </x:c>
      <x:c r="I123" s="8" t="n">
        <x:f>I120+I121-I122</x:f>
        <x:v>175</x:v>
      </x:c>
      <x:c r="J123" s="1"/>
      <x:c r="K123" s="1"/>
    </x:row>
    <x:row r="124" ht="30" customHeight="1">
      <x:c r="A124" s="1"/>
      <x:c r="B124" s="1"/>
      <x:c r="C124" s="64" t="str">
        <x:v>Interest-bearing debt base</x:v>
      </x:c>
      <x:c r="D124" s="8"/>
      <x:c r="E124" s="8" t="n">
        <x:f>E120+(E121-E122)*$D$115</x:f>
        <x:v>350</x:v>
      </x:c>
      <x:c r="F124" s="8" t="n">
        <x:f>F120+(F121-F122)*$D$115</x:f>
        <x:v>315</x:v>
      </x:c>
      <x:c r="G124" s="8" t="n">
        <x:f>G120+(G121-G122)*$D$115</x:f>
        <x:v>280</x:v>
      </x:c>
      <x:c r="H124" s="8" t="n">
        <x:f>H120+(H121-H122)*$D$115</x:f>
        <x:v>245</x:v>
      </x:c>
      <x:c r="I124" s="8" t="n">
        <x:f>I120+(I121-I122)*$D$115</x:f>
        <x:v>210</x:v>
      </x:c>
      <x:c r="J124" s="1"/>
      <x:c r="K124" s="1"/>
    </x:row>
    <x:row r="125" ht="30" customHeight="1">
      <x:c r="A125" s="1"/>
      <x:c r="B125" s="1"/>
      <x:c r="C125" s="64" t="str">
        <x:v>Scheduled interest expense</x:v>
      </x:c>
      <x:c r="D125" s="8"/>
      <x:c r="E125" s="8" t="n">
        <x:f>E124*E29</x:f>
        <x:v>29.750000000000004</x:v>
      </x:c>
      <x:c r="F125" s="8" t="n">
        <x:f>F124*F29</x:f>
        <x:v>26.775000000000002</x:v>
      </x:c>
      <x:c r="G125" s="8" t="n">
        <x:f>G124*G29</x:f>
        <x:v>23.8</x:v>
      </x:c>
      <x:c r="H125" s="8" t="n">
        <x:f>H124*H29</x:f>
        <x:v>20.825000000000003</x:v>
      </x:c>
      <x:c r="I125" s="8" t="n">
        <x:f>I124*I29</x:f>
        <x:v>17.85</x:v>
      </x:c>
      <x:c r="J125" s="1"/>
      <x:c r="K125" s="1"/>
    </x:row>
    <x:row r="126" ht="30" customHeight="1">
      <x:c r="A126" s="1"/>
      <x:c r="B126" s="1"/>
      <x:c r="C126" s="64"/>
      <x:c r="D126" s="8"/>
      <x:c r="E126" s="8"/>
      <x:c r="F126" s="8"/>
      <x:c r="G126" s="8"/>
      <x:c r="H126" s="8"/>
      <x:c r="I126" s="8"/>
      <x:c r="J126" s="1"/>
      <x:c r="K126" s="1"/>
    </x:row>
    <x:row r="127" ht="30" customHeight="1">
      <x:c r="A127" s="1"/>
      <x:c r="B127" s="1"/>
      <x:c r="C127" s="64"/>
      <x:c r="D127" s="8"/>
      <x:c r="E127" s="8"/>
      <x:c r="F127" s="8"/>
      <x:c r="G127" s="8"/>
      <x:c r="H127" s="8"/>
      <x:c r="I127" s="8"/>
      <x:c r="J127" s="1"/>
      <x:c r="K127" s="1"/>
    </x:row>
    <x:row r="128" ht="30" customHeight="1">
      <x:c r="A128" s="1"/>
      <x:c r="B128" s="1"/>
      <x:c r="C128" s="64"/>
      <x:c r="D128" s="8"/>
      <x:c r="E128" s="8"/>
      <x:c r="F128" s="8"/>
      <x:c r="G128" s="8"/>
      <x:c r="H128" s="8"/>
      <x:c r="I128" s="8"/>
      <x:c r="J128" s="1"/>
      <x:c r="K128" s="1"/>
    </x:row>
    <x:row r="129" ht="25" customHeight="1">
      <x:c r="A129" s="1"/>
      <x:c r="B129" s="1"/>
      <x:c r="C129" s="68" t="str">
        <x:v>CAPEX AND DEPRECIATION SCHEDULE</x:v>
      </x:c>
      <x:c r="D129" s="69"/>
      <x:c r="E129" s="69"/>
      <x:c r="F129" s="69"/>
      <x:c r="G129" s="69"/>
      <x:c r="H129" s="69"/>
      <x:c r="I129" s="69"/>
      <x:c r="J129" s="1"/>
      <x:c r="K129" s="1"/>
    </x:row>
    <x:row r="130" ht="30" customHeight="1">
      <x:c r="A130" s="1"/>
      <x:c r="B130" s="1"/>
      <x:c r="C130" s="64" t="str">
        <x:v>Opening net property plant and equipment</x:v>
      </x:c>
      <x:c r="D130" s="8"/>
      <x:c r="E130" s="8" t="n">
        <x:f>D34</x:f>
        <x:v>1000</x:v>
      </x:c>
      <x:c r="F130" s="8" t="n">
        <x:f>E135</x:f>
        <x:v>965.8696</x:v>
      </x:c>
      <x:c r="G130" s="8" t="n">
        <x:f>F135</x:f>
        <x:v>956.60293984</x:v>
      </x:c>
      <x:c r="H130" s="8" t="n">
        <x:f>G135</x:f>
        <x:v>971.834866788736</x:v>
      </x:c>
      <x:c r="I130" s="8" t="n">
        <x:f>H135</x:f>
        <x:v>1011.8282961895368</x:v>
      </x:c>
      <x:c r="J130" s="1"/>
      <x:c r="K130" s="1"/>
    </x:row>
    <x:row r="131" ht="30" customHeight="1">
      <x:c r="A131" s="1"/>
      <x:c r="B131" s="1"/>
      <x:c r="C131" s="64" t="str">
        <x:v>Capital expenditure added</x:v>
      </x:c>
      <x:c r="D131" s="8"/>
      <x:c r="E131" s="8" t="n">
        <x:f>E65</x:f>
        <x:v>115.86959999999999</x:v>
      </x:c>
      <x:c r="F131" s="8" t="n">
        <x:f>F65</x:f>
        <x:v>135.61377984</x:v>
      </x:c>
      <x:c r="G131" s="8" t="n">
        <x:f>G65</x:f>
        <x:v>158.72236792473603</x:v>
      </x:c>
      <x:c r="H131" s="8" t="n">
        <x:f>H65</x:f>
        <x:v>185.76865941911106</x:v>
      </x:c>
      <x:c r="I131" s="8" t="n">
        <x:f>I65</x:f>
        <x:v>217.4236389841276</x:v>
      </x:c>
      <x:c r="J131" s="1"/>
      <x:c r="K131" s="1"/>
    </x:row>
    <x:row r="132" ht="30" customHeight="1">
      <x:c r="A132" s="1"/>
      <x:c r="B132" s="1"/>
      <x:c r="C132" s="64" t="str">
        <x:v>Depreciation on opening assets</x:v>
      </x:c>
      <x:c r="D132" s="8"/>
      <x:c r="E132" s="8" t="n">
        <x:f>E130*E24</x:f>
        <x:v>150</x:v>
      </x:c>
      <x:c r="F132" s="8" t="n">
        <x:f>F130*F24</x:f>
        <x:v>144.88044</x:v>
      </x:c>
      <x:c r="G132" s="8" t="n">
        <x:f>G130*G24</x:f>
        <x:v>143.490440976</x:v>
      </x:c>
      <x:c r="H132" s="8" t="n">
        <x:f>H130*H24</x:f>
        <x:v>145.7752300183104</x:v>
      </x:c>
      <x:c r="I132" s="8" t="n">
        <x:f>I130*I24</x:f>
        <x:v>151.7742444284305</x:v>
      </x:c>
      <x:c r="J132" s="1"/>
      <x:c r="K132" s="1"/>
    </x:row>
    <x:row r="133" ht="30" customHeight="1">
      <x:c r="A133" s="1"/>
      <x:c r="B133" s="1"/>
      <x:c r="C133" s="64" t="str">
        <x:v>Depreciation on current-year additions</x:v>
      </x:c>
      <x:c r="D133" s="8"/>
      <x:c r="E133" s="8" t="n">
        <x:f>E131*E24*$D$114</x:f>
        <x:v>0</x:v>
      </x:c>
      <x:c r="F133" s="8" t="n">
        <x:f>F131*F24*$D$114</x:f>
        <x:v>0</x:v>
      </x:c>
      <x:c r="G133" s="8" t="n">
        <x:f>G131*G24*$D$114</x:f>
        <x:v>0</x:v>
      </x:c>
      <x:c r="H133" s="8" t="n">
        <x:f>H131*H24*$D$114</x:f>
        <x:v>0</x:v>
      </x:c>
      <x:c r="I133" s="8" t="n">
        <x:f>I131*I24*$D$114</x:f>
        <x:v>0</x:v>
      </x:c>
      <x:c r="J133" s="1"/>
      <x:c r="K133" s="1"/>
    </x:row>
    <x:row r="134" ht="30" customHeight="1">
      <x:c r="A134" s="1"/>
      <x:c r="B134" s="1"/>
      <x:c r="C134" s="64" t="str">
        <x:v>Total depreciation charge</x:v>
      </x:c>
      <x:c r="D134" s="8"/>
      <x:c r="E134" s="8" t="n">
        <x:f>E132+E133</x:f>
        <x:v>150</x:v>
      </x:c>
      <x:c r="F134" s="8" t="n">
        <x:f>F132+F133</x:f>
        <x:v>144.88044</x:v>
      </x:c>
      <x:c r="G134" s="8" t="n">
        <x:f>G132+G133</x:f>
        <x:v>143.490440976</x:v>
      </x:c>
      <x:c r="H134" s="8" t="n">
        <x:f>H132+H133</x:f>
        <x:v>145.7752300183104</x:v>
      </x:c>
      <x:c r="I134" s="8" t="n">
        <x:f>I132+I133</x:f>
        <x:v>151.7742444284305</x:v>
      </x:c>
      <x:c r="J134" s="1"/>
      <x:c r="K134" s="1"/>
    </x:row>
    <x:row r="135" ht="30" customHeight="1">
      <x:c r="A135" s="1"/>
      <x:c r="B135" s="1"/>
      <x:c r="C135" s="64" t="str">
        <x:v>Closing net property plant and equipment</x:v>
      </x:c>
      <x:c r="D135" s="8"/>
      <x:c r="E135" s="8" t="n">
        <x:f>E130+E131-E134</x:f>
        <x:v>965.8696</x:v>
      </x:c>
      <x:c r="F135" s="8" t="n">
        <x:f>F130+F131-F134</x:f>
        <x:v>956.60293984</x:v>
      </x:c>
      <x:c r="G135" s="8" t="n">
        <x:f>G130+G131-G134</x:f>
        <x:v>971.834866788736</x:v>
      </x:c>
      <x:c r="H135" s="8" t="n">
        <x:f>H130+H131-H134</x:f>
        <x:v>1011.8282961895368</x:v>
      </x:c>
      <x:c r="I135" s="8" t="n">
        <x:f>I130+I131-I134</x:f>
        <x:v>1077.4776907452338</x:v>
      </x:c>
      <x:c r="J135" s="1"/>
      <x:c r="K135" s="1"/>
    </x:row>
    <x:row r="136" ht="30" customHeight="1">
      <x:c r="A136" s="1"/>
      <x:c r="B136" s="1"/>
      <x:c r="C136" s="64"/>
      <x:c r="D136" s="8"/>
      <x:c r="E136" s="8"/>
      <x:c r="F136" s="8"/>
      <x:c r="G136" s="8"/>
      <x:c r="H136" s="8"/>
      <x:c r="I136" s="8"/>
      <x:c r="J136" s="1"/>
      <x:c r="K136" s="1"/>
    </x:row>
    <x:row r="137" ht="30" customHeight="1">
      <x:c r="A137" s="1"/>
      <x:c r="B137" s="1"/>
      <x:c r="C137" s="64"/>
      <x:c r="D137" s="8"/>
      <x:c r="E137" s="8"/>
      <x:c r="F137" s="8"/>
      <x:c r="G137" s="8"/>
      <x:c r="H137" s="8"/>
      <x:c r="I137" s="8"/>
      <x:c r="J137" s="1"/>
      <x:c r="K137" s="1"/>
    </x:row>
    <x:row r="138" ht="30" customHeight="1">
      <x:c r="A138" s="1"/>
      <x:c r="B138" s="1"/>
      <x:c r="C138" s="64"/>
      <x:c r="D138" s="8"/>
      <x:c r="E138" s="8"/>
      <x:c r="F138" s="8"/>
      <x:c r="G138" s="8"/>
      <x:c r="H138" s="8"/>
      <x:c r="I138" s="8"/>
      <x:c r="J138" s="1"/>
      <x:c r="K138" s="1"/>
    </x:row>
    <x:row r="139" ht="25" customHeight="1">
      <x:c r="A139" s="1"/>
      <x:c r="B139" s="1"/>
      <x:c r="C139" s="68" t="str">
        <x:v>CASH TAX SCHEDULE</x:v>
      </x:c>
      <x:c r="D139" s="69"/>
      <x:c r="E139" s="69"/>
      <x:c r="F139" s="69"/>
      <x:c r="G139" s="69"/>
      <x:c r="H139" s="69"/>
      <x:c r="I139" s="69"/>
      <x:c r="J139" s="1"/>
      <x:c r="K139" s="1"/>
    </x:row>
    <x:row r="140" ht="30" customHeight="1">
      <x:c r="A140" s="1"/>
      <x:c r="B140" s="1"/>
      <x:c r="C140" s="64" t="str">
        <x:v>Opening usable tax losses</x:v>
      </x:c>
      <x:c r="D140" s="8"/>
      <x:c r="E140" s="8" t="n">
        <x:f>$D$116</x:f>
        <x:v>0</x:v>
      </x:c>
      <x:c r="F140" s="8" t="n">
        <x:f>E145</x:f>
        <x:v>0</x:v>
      </x:c>
      <x:c r="G140" s="8" t="n">
        <x:f>F145</x:f>
        <x:v>0</x:v>
      </x:c>
      <x:c r="H140" s="8" t="n">
        <x:f>G145</x:f>
        <x:v>0</x:v>
      </x:c>
      <x:c r="I140" s="8" t="n">
        <x:f>H145</x:f>
        <x:v>0</x:v>
      </x:c>
      <x:c r="J140" s="1"/>
      <x:c r="K140" s="1"/>
    </x:row>
    <x:row r="141" ht="30" customHeight="1">
      <x:c r="A141" s="1"/>
      <x:c r="B141" s="1"/>
      <x:c r="C141" s="64" t="str">
        <x:v>Profit before tax for loss utilization</x:v>
      </x:c>
      <x:c r="D141" s="8"/>
      <x:c r="E141" s="8" t="n">
        <x:f>E56</x:f>
        <x:v>94.12360000000001</x:v>
      </x:c>
      <x:c r="F141" s="8" t="n">
        <x:f>F56</x:f>
        <x:v>148.88622143999999</x:v>
      </x:c>
      <x:c r="G141" s="8" t="n">
        <x:f>G56</x:f>
        <x:v>207.87151957337596</x:v>
      </x:c>
      <x:c r="H141" s="8" t="n">
        <x:f>H56</x:f>
        <x:v>272.4893286086795</x:v>
      </x:c>
      <x:c r="I141" s="8" t="n">
        <x:f>I56</x:f>
        <x:v>344.2861749885982</x:v>
      </x:c>
      <x:c r="J141" s="1"/>
      <x:c r="K141" s="1"/>
    </x:row>
    <x:row r="142" ht="30" customHeight="1">
      <x:c r="A142" s="1"/>
      <x:c r="B142" s="1"/>
      <x:c r="C142" s="64" t="str">
        <x:v>Tax losses utilized</x:v>
      </x:c>
      <x:c r="D142" s="8"/>
      <x:c r="E142" s="8" t="n">
        <x:f>MIN(E140,MAX(0,E141)*$D$117)</x:f>
        <x:v>0</x:v>
      </x:c>
      <x:c r="F142" s="8" t="n">
        <x:f>MIN(F140,MAX(0,F141)*$D$117)</x:f>
        <x:v>0</x:v>
      </x:c>
      <x:c r="G142" s="8" t="n">
        <x:f>MIN(G140,MAX(0,G141)*$D$117)</x:f>
        <x:v>0</x:v>
      </x:c>
      <x:c r="H142" s="8" t="n">
        <x:f>MIN(H140,MAX(0,H141)*$D$117)</x:f>
        <x:v>0</x:v>
      </x:c>
      <x:c r="I142" s="8" t="n">
        <x:f>MIN(I140,MAX(0,I141)*$D$117)</x:f>
        <x:v>0</x:v>
      </x:c>
      <x:c r="J142" s="1"/>
      <x:c r="K142" s="1"/>
    </x:row>
    <x:row r="143" ht="30" customHeight="1">
      <x:c r="A143" s="1"/>
      <x:c r="B143" s="1"/>
      <x:c r="C143" s="64" t="str">
        <x:v>Taxable profit after loss utilization</x:v>
      </x:c>
      <x:c r="D143" s="8"/>
      <x:c r="E143" s="8" t="n">
        <x:f>MAX(0,E141-E142)</x:f>
        <x:v>94.12360000000001</x:v>
      </x:c>
      <x:c r="F143" s="8" t="n">
        <x:f>MAX(0,F141-F142)</x:f>
        <x:v>148.88622143999999</x:v>
      </x:c>
      <x:c r="G143" s="8" t="n">
        <x:f>MAX(0,G141-G142)</x:f>
        <x:v>207.87151957337596</x:v>
      </x:c>
      <x:c r="H143" s="8" t="n">
        <x:f>MAX(0,H141-H142)</x:f>
        <x:v>272.4893286086795</x:v>
      </x:c>
      <x:c r="I143" s="8" t="n">
        <x:f>MAX(0,I141-I142)</x:f>
        <x:v>344.2861749885982</x:v>
      </x:c>
      <x:c r="J143" s="1"/>
      <x:c r="K143" s="1"/>
    </x:row>
    <x:row r="144" ht="30" customHeight="1">
      <x:c r="A144" s="1"/>
      <x:c r="B144" s="1"/>
      <x:c r="C144" s="64" t="str">
        <x:v>Cash income tax after loss utilization</x:v>
      </x:c>
      <x:c r="D144" s="8"/>
      <x:c r="E144" s="8" t="n">
        <x:f>E143*E28</x:f>
        <x:v>23.530900000000003</x:v>
      </x:c>
      <x:c r="F144" s="8" t="n">
        <x:f>F143*F28</x:f>
        <x:v>37.221555359999996</x:v>
      </x:c>
      <x:c r="G144" s="8" t="n">
        <x:f>G143*G28</x:f>
        <x:v>51.96787989334399</x:v>
      </x:c>
      <x:c r="H144" s="8" t="n">
        <x:f>H143*H28</x:f>
        <x:v>68.12233215216988</x:v>
      </x:c>
      <x:c r="I144" s="8" t="n">
        <x:f>I143*I28</x:f>
        <x:v>86.07154374714955</x:v>
      </x:c>
      <x:c r="J144" s="1"/>
      <x:c r="K144" s="1"/>
    </x:row>
    <x:row r="145" ht="30" customHeight="1">
      <x:c r="A145" s="1"/>
      <x:c r="B145" s="1"/>
      <x:c r="C145" s="64" t="str">
        <x:v>Closing usable tax losses</x:v>
      </x:c>
      <x:c r="D145" s="8"/>
      <x:c r="E145" s="8" t="n">
        <x:f>E140-E142+MAX(0,-E141)</x:f>
        <x:v>0</x:v>
      </x:c>
      <x:c r="F145" s="8" t="n">
        <x:f>F140-F142+MAX(0,-F141)</x:f>
        <x:v>0</x:v>
      </x:c>
      <x:c r="G145" s="8" t="n">
        <x:f>G140-G142+MAX(0,-G141)</x:f>
        <x:v>0</x:v>
      </x:c>
      <x:c r="H145" s="8" t="n">
        <x:f>H140-H142+MAX(0,-H141)</x:f>
        <x:v>0</x:v>
      </x:c>
      <x:c r="I145" s="8" t="n">
        <x:f>I140-I142+MAX(0,-I141)</x:f>
        <x:v>0</x:v>
      </x:c>
      <x:c r="J145" s="1"/>
      <x:c r="K145" s="1"/>
    </x:row>
    <x:row r="146" ht="30" customHeight="1">
      <x:c r="A146" s="1"/>
      <x:c r="B146" s="1"/>
      <x:c r="C146" s="64"/>
      <x:c r="D146" s="8"/>
      <x:c r="E146" s="8"/>
      <x:c r="F146" s="8"/>
      <x:c r="G146" s="8"/>
      <x:c r="H146" s="8"/>
      <x:c r="I146" s="8"/>
      <x:c r="J146" s="1"/>
      <x:c r="K146" s="1"/>
    </x:row>
    <x:row r="147" ht="30" customHeight="1">
      <x:c r="A147" s="1"/>
      <x:c r="B147" s="1"/>
      <x:c r="C147" s="64"/>
      <x:c r="D147" s="8"/>
      <x:c r="E147" s="8"/>
      <x:c r="F147" s="8"/>
      <x:c r="G147" s="8"/>
      <x:c r="H147" s="8"/>
      <x:c r="I147" s="8"/>
      <x:c r="J147" s="1"/>
      <x:c r="K147" s="1"/>
    </x:row>
    <x:row r="148" ht="30" customHeight="1">
      <x:c r="A148" s="1"/>
      <x:c r="B148" s="1"/>
      <x:c r="C148" s="64"/>
      <x:c r="D148" s="8"/>
      <x:c r="E148" s="8"/>
      <x:c r="F148" s="8"/>
      <x:c r="G148" s="8"/>
      <x:c r="H148" s="8"/>
      <x:c r="I148" s="8"/>
      <x:c r="J148" s="1"/>
      <x:c r="K148" s="1"/>
    </x:row>
    <x:row r="149" ht="30" customHeight="1">
      <x:c r="A149" s="1"/>
      <x:c r="B149" s="1"/>
      <x:c r="C149" s="64"/>
      <x:c r="D149" s="8"/>
      <x:c r="E149" s="8"/>
      <x:c r="F149" s="8"/>
      <x:c r="G149" s="8"/>
      <x:c r="H149" s="8"/>
      <x:c r="I149" s="8"/>
      <x:c r="J149" s="1"/>
      <x:c r="K149" s="1"/>
    </x:row>
    <x:row r="150" ht="30" customHeight="1">
      <x:c r="A150" s="1"/>
      <x:c r="B150" s="1"/>
      <x:c r="C150" s="64"/>
      <x:c r="D150" s="8"/>
      <x:c r="E150" s="8"/>
      <x:c r="F150" s="8"/>
      <x:c r="G150" s="8"/>
      <x:c r="H150" s="8"/>
      <x:c r="I150" s="8"/>
      <x:c r="J150" s="1"/>
      <x:c r="K150" s="1"/>
    </x:row>
    <x:row r="151" ht="30" customHeight="1">
      <x:c r="A151" s="1"/>
      <x:c r="B151" s="1"/>
      <x:c r="C151" s="64"/>
      <x:c r="D151" s="8"/>
      <x:c r="E151" s="8"/>
      <x:c r="F151" s="8"/>
      <x:c r="G151" s="8"/>
      <x:c r="H151" s="8"/>
      <x:c r="I151" s="8"/>
      <x:c r="J151" s="1"/>
      <x:c r="K151" s="1"/>
    </x:row>
    <x:row r="152" ht="30" customHeight="1">
      <x:c r="A152" s="1"/>
      <x:c r="B152" s="1"/>
      <x:c r="C152" s="64"/>
      <x:c r="D152" s="8"/>
      <x:c r="E152" s="8"/>
      <x:c r="F152" s="8"/>
      <x:c r="G152" s="8"/>
      <x:c r="H152" s="8"/>
      <x:c r="I152" s="8"/>
      <x:c r="J152" s="1"/>
      <x:c r="K152" s="1"/>
    </x:row>
    <x:row r="153" ht="30" customHeight="1">
      <x:c r="A153" s="1"/>
      <x:c r="B153" s="1"/>
      <x:c r="C153" s="64"/>
      <x:c r="D153" s="8"/>
      <x:c r="E153" s="8"/>
      <x:c r="F153" s="8"/>
      <x:c r="G153" s="8"/>
      <x:c r="H153" s="8"/>
      <x:c r="I153" s="8"/>
      <x:c r="J153" s="1"/>
      <x:c r="K153" s="1"/>
    </x:row>
    <x:row r="154" ht="30" customHeight="1">
      <x:c r="A154" s="1"/>
      <x:c r="B154" s="1"/>
      <x:c r="C154" s="64"/>
      <x:c r="D154" s="8"/>
      <x:c r="E154" s="8"/>
      <x:c r="F154" s="8"/>
      <x:c r="G154" s="8"/>
      <x:c r="H154" s="8"/>
      <x:c r="I154" s="8"/>
      <x:c r="J154" s="1"/>
      <x:c r="K154" s="1"/>
    </x:row>
    <x:row r="155" ht="30" customHeight="1">
      <x:c r="A155" s="1"/>
      <x:c r="B155" s="1"/>
      <x:c r="C155" s="64"/>
      <x:c r="D155" s="8"/>
      <x:c r="E155" s="8"/>
      <x:c r="F155" s="8"/>
      <x:c r="G155" s="8"/>
      <x:c r="H155" s="8"/>
      <x:c r="I155" s="8"/>
      <x:c r="J155" s="1"/>
      <x:c r="K155" s="1"/>
    </x:row>
    <x:row r="156" ht="30" customHeight="1">
      <x:c r="A156" s="1"/>
      <x:c r="B156" s="1"/>
      <x:c r="C156" s="64"/>
      <x:c r="D156" s="8"/>
      <x:c r="E156" s="8"/>
      <x:c r="F156" s="8"/>
      <x:c r="G156" s="8"/>
      <x:c r="H156" s="8"/>
      <x:c r="I156" s="8"/>
      <x:c r="J156" s="1"/>
      <x:c r="K156" s="1"/>
    </x:row>
    <x:row r="157" ht="30" customHeight="1">
      <x:c r="A157" s="1"/>
      <x:c r="B157" s="1"/>
      <x:c r="C157" s="64"/>
      <x:c r="D157" s="8"/>
      <x:c r="E157" s="8"/>
      <x:c r="F157" s="8"/>
      <x:c r="G157" s="8"/>
      <x:c r="H157" s="8"/>
      <x:c r="I157" s="8"/>
      <x:c r="J157" s="1"/>
      <x:c r="K157" s="1"/>
    </x:row>
    <x:row r="158" ht="30" customHeight="1">
      <x:c r="A158" s="1"/>
      <x:c r="B158" s="1"/>
      <x:c r="C158" s="64"/>
      <x:c r="D158" s="8"/>
      <x:c r="E158" s="8"/>
      <x:c r="F158" s="8"/>
      <x:c r="G158" s="8"/>
      <x:c r="H158" s="8"/>
      <x:c r="I158" s="8"/>
      <x:c r="J158" s="1"/>
      <x:c r="K158" s="1"/>
    </x:row>
    <x:row r="159" ht="30" customHeight="1">
      <x:c r="A159" s="1"/>
      <x:c r="B159" s="1"/>
      <x:c r="C159" s="64"/>
      <x:c r="D159" s="8"/>
      <x:c r="E159" s="8"/>
      <x:c r="F159" s="8"/>
      <x:c r="G159" s="8"/>
      <x:c r="H159" s="8"/>
      <x:c r="I159" s="8"/>
      <x:c r="J159" s="1"/>
      <x:c r="K159" s="1"/>
    </x:row>
    <x:row r="160" ht="30" customHeight="1">
      <x:c r="A160" s="1"/>
      <x:c r="B160" s="1"/>
      <x:c r="C160" s="64"/>
      <x:c r="D160" s="8"/>
      <x:c r="E160" s="8"/>
      <x:c r="F160" s="8"/>
      <x:c r="G160" s="8"/>
      <x:c r="H160" s="8"/>
      <x:c r="I160" s="8"/>
      <x:c r="J160" s="1"/>
      <x:c r="K160" s="1"/>
    </x:row>
    <x:row r="161" ht="30" customHeight="1">
      <x:c r="A161" s="1"/>
      <x:c r="B161" s="1"/>
      <x:c r="C161" s="64"/>
      <x:c r="D161" s="8"/>
      <x:c r="E161" s="8"/>
      <x:c r="F161" s="8"/>
      <x:c r="G161" s="8"/>
      <x:c r="H161" s="8"/>
      <x:c r="I161" s="8"/>
      <x:c r="J161" s="1"/>
      <x:c r="K161" s="1"/>
    </x:row>
    <x:row r="162" ht="30" customHeight="1">
      <x:c r="A162" s="1"/>
      <x:c r="B162" s="1"/>
      <x:c r="C162" s="64"/>
      <x:c r="D162" s="8"/>
      <x:c r="E162" s="8"/>
      <x:c r="F162" s="8"/>
      <x:c r="G162" s="8"/>
      <x:c r="H162" s="8"/>
      <x:c r="I162" s="8"/>
      <x:c r="J162" s="1"/>
      <x:c r="K162" s="1"/>
    </x:row>
    <x:row r="163" ht="30" customHeight="1">
      <x:c r="A163" s="1"/>
      <x:c r="B163" s="1"/>
      <x:c r="C163" s="64"/>
      <x:c r="D163" s="8"/>
      <x:c r="E163" s="8"/>
      <x:c r="F163" s="8"/>
      <x:c r="G163" s="8"/>
      <x:c r="H163" s="8"/>
      <x:c r="I163" s="8"/>
      <x:c r="J163" s="1"/>
      <x:c r="K163" s="1"/>
    </x:row>
    <x:row r="164" ht="30" customHeight="1">
      <x:c r="A164" s="1"/>
      <x:c r="B164" s="1"/>
      <x:c r="C164" s="64"/>
      <x:c r="D164" s="8"/>
      <x:c r="E164" s="8"/>
      <x:c r="F164" s="8"/>
      <x:c r="G164" s="8"/>
      <x:c r="H164" s="8"/>
      <x:c r="I164" s="8"/>
      <x:c r="J164" s="1"/>
      <x:c r="K164" s="1"/>
    </x:row>
    <x:row r="165" ht="30" customHeight="1">
      <x:c r="A165" s="1"/>
      <x:c r="B165" s="1"/>
      <x:c r="C165" s="64"/>
      <x:c r="D165" s="8"/>
      <x:c r="E165" s="8"/>
      <x:c r="F165" s="8"/>
      <x:c r="G165" s="8"/>
      <x:c r="H165" s="8"/>
      <x:c r="I165" s="8"/>
      <x:c r="J165" s="1"/>
      <x:c r="K165" s="1"/>
    </x:row>
    <x:row r="166" ht="30" customHeight="1">
      <x:c r="A166" s="1"/>
      <x:c r="B166" s="1"/>
      <x:c r="C166" s="64"/>
      <x:c r="D166" s="8"/>
      <x:c r="E166" s="8"/>
      <x:c r="F166" s="8"/>
      <x:c r="G166" s="8"/>
      <x:c r="H166" s="8"/>
      <x:c r="I166" s="8"/>
      <x:c r="J166" s="1"/>
      <x:c r="K166" s="1"/>
    </x:row>
    <x:row r="167" ht="30" customHeight="1">
      <x:c r="A167" s="1"/>
      <x:c r="B167" s="1"/>
      <x:c r="C167" s="64"/>
      <x:c r="D167" s="8"/>
      <x:c r="E167" s="8"/>
      <x:c r="F167" s="8"/>
      <x:c r="G167" s="8"/>
      <x:c r="H167" s="8"/>
      <x:c r="I167" s="8"/>
      <x:c r="J167" s="1"/>
      <x:c r="K167" s="1"/>
    </x:row>
    <x:row r="168" ht="30" customHeight="1">
      <x:c r="A168" s="1"/>
      <x:c r="B168" s="1"/>
      <x:c r="C168" s="64"/>
      <x:c r="D168" s="8"/>
      <x:c r="E168" s="8"/>
      <x:c r="F168" s="8"/>
      <x:c r="G168" s="8"/>
      <x:c r="H168" s="8"/>
      <x:c r="I168" s="8"/>
      <x:c r="J168" s="1"/>
      <x:c r="K168" s="1"/>
    </x:row>
    <x:row r="169" ht="30" customHeight="1">
      <x:c r="A169" s="1"/>
      <x:c r="B169" s="1"/>
      <x:c r="C169" s="64"/>
      <x:c r="D169" s="8"/>
      <x:c r="E169" s="8"/>
      <x:c r="F169" s="8"/>
      <x:c r="G169" s="8"/>
      <x:c r="H169" s="8"/>
      <x:c r="I169" s="8"/>
      <x:c r="J169" s="1"/>
      <x:c r="K169" s="1"/>
    </x:row>
    <x:row r="170" ht="30" customHeight="1">
      <x:c r="A170" s="1"/>
      <x:c r="B170" s="1"/>
      <x:c r="C170" s="64"/>
      <x:c r="D170" s="8"/>
      <x:c r="E170" s="8"/>
      <x:c r="F170" s="8"/>
      <x:c r="G170" s="8"/>
      <x:c r="H170" s="8"/>
      <x:c r="I170" s="8"/>
      <x:c r="J170" s="1"/>
      <x:c r="K170" s="1"/>
    </x:row>
    <x:row r="171" ht="30" customHeight="1">
      <x:c r="A171" s="1"/>
      <x:c r="B171" s="1"/>
      <x:c r="C171" s="64"/>
      <x:c r="D171" s="8"/>
      <x:c r="E171" s="8"/>
      <x:c r="F171" s="8"/>
      <x:c r="G171" s="8"/>
      <x:c r="H171" s="8"/>
      <x:c r="I171" s="8"/>
      <x:c r="J171" s="1"/>
      <x:c r="K171" s="1"/>
    </x:row>
    <x:row r="172" ht="30" customHeight="1">
      <x:c r="A172" s="1"/>
      <x:c r="B172" s="1"/>
      <x:c r="C172" s="64"/>
      <x:c r="D172" s="8"/>
      <x:c r="E172" s="8"/>
      <x:c r="F172" s="8"/>
      <x:c r="G172" s="8"/>
      <x:c r="H172" s="8"/>
      <x:c r="I172" s="8"/>
      <x:c r="J172" s="1"/>
      <x:c r="K172" s="1"/>
    </x:row>
    <x:row r="173" ht="30" customHeight="1">
      <x:c r="A173" s="1"/>
      <x:c r="B173" s="1"/>
      <x:c r="C173" s="64"/>
      <x:c r="D173" s="8"/>
      <x:c r="E173" s="8"/>
      <x:c r="F173" s="8"/>
      <x:c r="G173" s="8"/>
      <x:c r="H173" s="8"/>
      <x:c r="I173" s="8"/>
      <x:c r="J173" s="1"/>
      <x:c r="K173" s="1"/>
    </x:row>
    <x:row r="174" ht="30" customHeight="1">
      <x:c r="A174" s="1"/>
      <x:c r="B174" s="1"/>
      <x:c r="C174" s="64"/>
      <x:c r="D174" s="8"/>
      <x:c r="E174" s="8"/>
      <x:c r="F174" s="8"/>
      <x:c r="G174" s="8"/>
      <x:c r="H174" s="8"/>
      <x:c r="I174" s="8"/>
      <x:c r="J174" s="1"/>
      <x:c r="K174" s="1"/>
    </x:row>
    <x:row r="175" ht="30" customHeight="1">
      <x:c r="A175" s="1"/>
      <x:c r="B175" s="1"/>
      <x:c r="C175" s="64"/>
      <x:c r="D175" s="8"/>
      <x:c r="E175" s="8"/>
      <x:c r="F175" s="8"/>
      <x:c r="G175" s="8"/>
      <x:c r="H175" s="8"/>
      <x:c r="I175" s="8"/>
      <x:c r="J175" s="1"/>
      <x:c r="K175" s="1"/>
    </x:row>
    <x:row r="176" ht="30" customHeight="1">
      <x:c r="A176" s="1"/>
      <x:c r="B176" s="1"/>
      <x:c r="C176" s="64"/>
      <x:c r="D176" s="8"/>
      <x:c r="E176" s="8"/>
      <x:c r="F176" s="8"/>
      <x:c r="G176" s="8"/>
      <x:c r="H176" s="8"/>
      <x:c r="I176" s="8"/>
      <x:c r="J176" s="1"/>
      <x:c r="K176" s="1"/>
    </x:row>
    <x:row r="177" ht="30" customHeight="1">
      <x:c r="A177" s="1"/>
      <x:c r="B177" s="1"/>
      <x:c r="C177" s="64"/>
      <x:c r="D177" s="8"/>
      <x:c r="E177" s="8"/>
      <x:c r="F177" s="8"/>
      <x:c r="G177" s="8"/>
      <x:c r="H177" s="8"/>
      <x:c r="I177" s="8"/>
      <x:c r="J177" s="1"/>
      <x:c r="K177" s="1"/>
    </x:row>
    <x:row r="178" ht="30" customHeight="1">
      <x:c r="A178" s="1"/>
      <x:c r="B178" s="1"/>
      <x:c r="C178" s="64"/>
      <x:c r="D178" s="8"/>
      <x:c r="E178" s="8"/>
      <x:c r="F178" s="8"/>
      <x:c r="G178" s="8"/>
      <x:c r="H178" s="8"/>
      <x:c r="I178" s="8"/>
      <x:c r="J178" s="1"/>
      <x:c r="K178" s="1"/>
    </x:row>
    <x:row r="179" ht="25" customHeight="1">
      <x:c r="A179" s="1"/>
      <x:c r="B179" s="1"/>
      <x:c r="C179" s="68" t="str">
        <x:v>MODEL CHECKS</x:v>
      </x:c>
      <x:c r="D179" s="69"/>
      <x:c r="E179" s="69"/>
      <x:c r="F179" s="69"/>
      <x:c r="G179" s="69"/>
      <x:c r="H179" s="69"/>
      <x:c r="I179" s="69"/>
      <x:c r="J179" s="1"/>
      <x:c r="K179" s="1"/>
    </x:row>
    <x:row r="180" ht="30" customHeight="1">
      <x:c r="A180" s="1"/>
      <x:c r="B180" s="1"/>
      <x:c r="C180" s="64" t="str">
        <x:v>Average selling area (sq ft) — seed input outside bounds</x:v>
      </x:c>
      <x:c r="D180" s="8"/>
      <x:c r="E180" s="75" t="n">
        <x:f>IF(COUNT(D10)=0,1,IF(D10&lt;0,1,0))</x:f>
        <x:v>0</x:v>
      </x:c>
      <x:c r="F180" s="75" t="n">
        <x:f>IF(COUNT(D10)=0,1,IF(D10&lt;0,1,0))</x:f>
        <x:v>0</x:v>
      </x:c>
      <x:c r="G180" s="75" t="n">
        <x:f>IF(COUNT(D10)=0,1,IF(D10&lt;0,1,0))</x:f>
        <x:v>0</x:v>
      </x:c>
      <x:c r="H180" s="75" t="n">
        <x:f>IF(COUNT(D10)=0,1,IF(D10&lt;0,1,0))</x:f>
        <x:v>0</x:v>
      </x:c>
      <x:c r="I180" s="75" t="n">
        <x:f>IF(COUNT(D10)=0,1,IF(D10&lt;0,1,0))</x:f>
        <x:v>0</x:v>
      </x:c>
      <x:c r="J180" s="1"/>
      <x:c r="K180" s="1"/>
    </x:row>
    <x:row r="181" ht="30" customHeight="1">
      <x:c r="A181" s="1"/>
      <x:c r="B181" s="1"/>
      <x:c r="C181" s="64" t="str">
        <x:v>Annual sales density (INR per sq ft) — seed input outside bounds</x:v>
      </x:c>
      <x:c r="D181" s="8"/>
      <x:c r="E181" s="75" t="n">
        <x:f>IF(COUNT(D11)=0,1,IF(D11&lt;0,1,0))</x:f>
        <x:v>0</x:v>
      </x:c>
      <x:c r="F181" s="75" t="n">
        <x:f>IF(COUNT(D11)=0,1,IF(D11&lt;0,1,0))</x:f>
        <x:v>0</x:v>
      </x:c>
      <x:c r="G181" s="75" t="n">
        <x:f>IF(COUNT(D11)=0,1,IF(D11&lt;0,1,0))</x:f>
        <x:v>0</x:v>
      </x:c>
      <x:c r="H181" s="75" t="n">
        <x:f>IF(COUNT(D11)=0,1,IF(D11&lt;0,1,0))</x:f>
        <x:v>0</x:v>
      </x:c>
      <x:c r="I181" s="75" t="n">
        <x:f>IF(COUNT(D11)=0,1,IF(D11&lt;0,1,0))</x:f>
        <x:v>0</x:v>
      </x:c>
      <x:c r="J181" s="1"/>
      <x:c r="K181" s="1"/>
    </x:row>
    <x:row r="182" ht="30" customHeight="1">
      <x:c r="A182" s="1"/>
      <x:c r="B182" s="1"/>
      <x:c r="C182" s="64" t="str">
        <x:v>Operating scale growth input outside bounds</x:v>
      </x:c>
      <x:c r="D182" s="8"/>
      <x:c r="E182" s="75" t="n">
        <x:f>IF(COUNT(E12)=0,1,IF(E12&lt;-1,1,0))</x:f>
        <x:v>0</x:v>
      </x:c>
      <x:c r="F182" s="75" t="n">
        <x:f>IF(COUNT(F12)=0,1,IF(F12&lt;-1,1,0))</x:f>
        <x:v>0</x:v>
      </x:c>
      <x:c r="G182" s="75" t="n">
        <x:f>IF(COUNT(G12)=0,1,IF(G12&lt;-1,1,0))</x:f>
        <x:v>0</x:v>
      </x:c>
      <x:c r="H182" s="75" t="n">
        <x:f>IF(COUNT(H12)=0,1,IF(H12&lt;-1,1,0))</x:f>
        <x:v>0</x:v>
      </x:c>
      <x:c r="I182" s="75" t="n">
        <x:f>IF(COUNT(I12)=0,1,IF(I12&lt;-1,1,0))</x:f>
        <x:v>0</x:v>
      </x:c>
      <x:c r="J182" s="1"/>
      <x:c r="K182" s="1"/>
    </x:row>
    <x:row r="183" ht="30" customHeight="1">
      <x:c r="A183" s="1"/>
      <x:c r="B183" s="1"/>
      <x:c r="C183" s="64" t="str">
        <x:v>Realization growth input outside bounds</x:v>
      </x:c>
      <x:c r="D183" s="8"/>
      <x:c r="E183" s="75" t="n">
        <x:f>IF(COUNT(E16)=0,1,IF(E16&lt;-1,1,0))</x:f>
        <x:v>0</x:v>
      </x:c>
      <x:c r="F183" s="75" t="n">
        <x:f>IF(COUNT(F16)=0,1,IF(F16&lt;-1,1,0))</x:f>
        <x:v>0</x:v>
      </x:c>
      <x:c r="G183" s="75" t="n">
        <x:f>IF(COUNT(G16)=0,1,IF(G16&lt;-1,1,0))</x:f>
        <x:v>0</x:v>
      </x:c>
      <x:c r="H183" s="75" t="n">
        <x:f>IF(COUNT(H16)=0,1,IF(H16&lt;-1,1,0))</x:f>
        <x:v>0</x:v>
      </x:c>
      <x:c r="I183" s="75" t="n">
        <x:f>IF(COUNT(I16)=0,1,IF(I16&lt;-1,1,0))</x:f>
        <x:v>0</x:v>
      </x:c>
      <x:c r="J183" s="1"/>
      <x:c r="K183" s="1"/>
    </x:row>
    <x:row r="184" ht="30" customHeight="1">
      <x:c r="A184" s="1"/>
      <x:c r="B184" s="1"/>
      <x:c r="C184" s="64" t="str">
        <x:v>Capacity utilization input outside bounds</x:v>
      </x:c>
      <x:c r="D184" s="8"/>
      <x:c r="E184" s="75" t="n">
        <x:f>IF(COUNT(E20)=0,1,IF(E20&lt;0,1,IF(E20&gt;1,1,0)))</x:f>
        <x:v>0</x:v>
      </x:c>
      <x:c r="F184" s="75" t="n">
        <x:f>IF(COUNT(F20)=0,1,IF(F20&lt;0,1,IF(F20&gt;1,1,0)))</x:f>
        <x:v>0</x:v>
      </x:c>
      <x:c r="G184" s="75" t="n">
        <x:f>IF(COUNT(G20)=0,1,IF(G20&lt;0,1,IF(G20&gt;1,1,0)))</x:f>
        <x:v>0</x:v>
      </x:c>
      <x:c r="H184" s="75" t="n">
        <x:f>IF(COUNT(H20)=0,1,IF(H20&lt;0,1,IF(H20&gt;1,1,0)))</x:f>
        <x:v>0</x:v>
      </x:c>
      <x:c r="I184" s="75" t="n">
        <x:f>IF(COUNT(I20)=0,1,IF(I20&lt;0,1,IF(I20&gt;1,1,0)))</x:f>
        <x:v>0</x:v>
      </x:c>
      <x:c r="J184" s="1"/>
      <x:c r="K184" s="1"/>
    </x:row>
    <x:row r="185" ht="30" customHeight="1">
      <x:c r="A185" s="1"/>
      <x:c r="B185" s="1"/>
      <x:c r="C185" s="64" t="str">
        <x:v>Merchandise cost / revenue input outside bounds</x:v>
      </x:c>
      <x:c r="D185" s="8"/>
      <x:c r="E185" s="75" t="n">
        <x:f>IF(COUNT(E21)=0,1,IF(E21&lt;0,1,0))</x:f>
        <x:v>0</x:v>
      </x:c>
      <x:c r="F185" s="75" t="n">
        <x:f>IF(COUNT(F21)=0,1,IF(F21&lt;0,1,0))</x:f>
        <x:v>0</x:v>
      </x:c>
      <x:c r="G185" s="75" t="n">
        <x:f>IF(COUNT(G21)=0,1,IF(G21&lt;0,1,0))</x:f>
        <x:v>0</x:v>
      </x:c>
      <x:c r="H185" s="75" t="n">
        <x:f>IF(COUNT(H21)=0,1,IF(H21&lt;0,1,0))</x:f>
        <x:v>0</x:v>
      </x:c>
      <x:c r="I185" s="75" t="n">
        <x:f>IF(COUNT(I21)=0,1,IF(I21&lt;0,1,0))</x:f>
        <x:v>0</x:v>
      </x:c>
      <x:c r="J185" s="1"/>
      <x:c r="K185" s="1"/>
    </x:row>
    <x:row r="186" ht="30" customHeight="1">
      <x:c r="A186" s="1"/>
      <x:c r="B186" s="1"/>
      <x:c r="C186" s="64" t="str">
        <x:v>Other cash operating costs / revenue input outside bounds</x:v>
      </x:c>
      <x:c r="D186" s="8"/>
      <x:c r="E186" s="75" t="n">
        <x:f>IF(COUNT(E22)=0,1,IF(E22&lt;0,1,0))</x:f>
        <x:v>0</x:v>
      </x:c>
      <x:c r="F186" s="75" t="n">
        <x:f>IF(COUNT(F22)=0,1,IF(F22&lt;0,1,0))</x:f>
        <x:v>0</x:v>
      </x:c>
      <x:c r="G186" s="75" t="n">
        <x:f>IF(COUNT(G22)=0,1,IF(G22&lt;0,1,0))</x:f>
        <x:v>0</x:v>
      </x:c>
      <x:c r="H186" s="75" t="n">
        <x:f>IF(COUNT(H22)=0,1,IF(H22&lt;0,1,0))</x:f>
        <x:v>0</x:v>
      </x:c>
      <x:c r="I186" s="75" t="n">
        <x:f>IF(COUNT(I22)=0,1,IF(I22&lt;0,1,0))</x:f>
        <x:v>0</x:v>
      </x:c>
      <x:c r="J186" s="1"/>
      <x:c r="K186" s="1"/>
    </x:row>
    <x:row r="187" ht="30" customHeight="1">
      <x:c r="A187" s="1"/>
      <x:c r="B187" s="1"/>
      <x:c r="C187" s="64" t="str">
        <x:v>Cash capex / revenue input outside bounds</x:v>
      </x:c>
      <x:c r="D187" s="8"/>
      <x:c r="E187" s="75" t="n">
        <x:f>IF(COUNT(E23)=0,1,IF(E23&lt;0,1,0))</x:f>
        <x:v>0</x:v>
      </x:c>
      <x:c r="F187" s="75" t="n">
        <x:f>IF(COUNT(F23)=0,1,IF(F23&lt;0,1,0))</x:f>
        <x:v>0</x:v>
      </x:c>
      <x:c r="G187" s="75" t="n">
        <x:f>IF(COUNT(G23)=0,1,IF(G23&lt;0,1,0))</x:f>
        <x:v>0</x:v>
      </x:c>
      <x:c r="H187" s="75" t="n">
        <x:f>IF(COUNT(H23)=0,1,IF(H23&lt;0,1,0))</x:f>
        <x:v>0</x:v>
      </x:c>
      <x:c r="I187" s="75" t="n">
        <x:f>IF(COUNT(I23)=0,1,IF(I23&lt;0,1,0))</x:f>
        <x:v>0</x:v>
      </x:c>
      <x:c r="J187" s="1"/>
      <x:c r="K187" s="1"/>
    </x:row>
    <x:row r="188" ht="30" customHeight="1">
      <x:c r="A188" s="1"/>
      <x:c r="B188" s="1"/>
      <x:c r="C188" s="64" t="str">
        <x:v>D&amp;A / opening net PP&amp;E input outside bounds</x:v>
      </x:c>
      <x:c r="D188" s="8"/>
      <x:c r="E188" s="75" t="n">
        <x:f>IF(COUNT(E24)=0,1,IF(E24&lt;0,1,IF(E24&gt;1,1,0)))</x:f>
        <x:v>0</x:v>
      </x:c>
      <x:c r="F188" s="75" t="n">
        <x:f>IF(COUNT(F24)=0,1,IF(F24&lt;0,1,IF(F24&gt;1,1,0)))</x:f>
        <x:v>0</x:v>
      </x:c>
      <x:c r="G188" s="75" t="n">
        <x:f>IF(COUNT(G24)=0,1,IF(G24&lt;0,1,IF(G24&gt;1,1,0)))</x:f>
        <x:v>0</x:v>
      </x:c>
      <x:c r="H188" s="75" t="n">
        <x:f>IF(COUNT(H24)=0,1,IF(H24&lt;0,1,IF(H24&gt;1,1,0)))</x:f>
        <x:v>0</x:v>
      </x:c>
      <x:c r="I188" s="75" t="n">
        <x:f>IF(COUNT(I24)=0,1,IF(I24&lt;0,1,IF(I24&gt;1,1,0)))</x:f>
        <x:v>0</x:v>
      </x:c>
      <x:c r="J188" s="1"/>
      <x:c r="K188" s="1"/>
    </x:row>
    <x:row r="189" ht="30" customHeight="1">
      <x:c r="A189" s="1"/>
      <x:c r="B189" s="1"/>
      <x:c r="C189" s="64" t="str">
        <x:v>Receivable days input outside bounds</x:v>
      </x:c>
      <x:c r="D189" s="8"/>
      <x:c r="E189" s="75" t="n">
        <x:f>IF(COUNT(E25)=0,1,IF(E25&lt;0,1,0))</x:f>
        <x:v>0</x:v>
      </x:c>
      <x:c r="F189" s="75" t="n">
        <x:f>IF(COUNT(F25)=0,1,IF(F25&lt;0,1,0))</x:f>
        <x:v>0</x:v>
      </x:c>
      <x:c r="G189" s="75" t="n">
        <x:f>IF(COUNT(G25)=0,1,IF(G25&lt;0,1,0))</x:f>
        <x:v>0</x:v>
      </x:c>
      <x:c r="H189" s="75" t="n">
        <x:f>IF(COUNT(H25)=0,1,IF(H25&lt;0,1,0))</x:f>
        <x:v>0</x:v>
      </x:c>
      <x:c r="I189" s="75" t="n">
        <x:f>IF(COUNT(I25)=0,1,IF(I25&lt;0,1,0))</x:f>
        <x:v>0</x:v>
      </x:c>
      <x:c r="J189" s="1"/>
      <x:c r="K189" s="1"/>
    </x:row>
    <x:row r="190" ht="30" customHeight="1">
      <x:c r="A190" s="1"/>
      <x:c r="B190" s="1"/>
      <x:c r="C190" s="64" t="str">
        <x:v>Inventory days input outside bounds</x:v>
      </x:c>
      <x:c r="D190" s="8"/>
      <x:c r="E190" s="75" t="n">
        <x:f>IF(COUNT(E26)=0,1,IF(E26&lt;0,1,0))</x:f>
        <x:v>0</x:v>
      </x:c>
      <x:c r="F190" s="75" t="n">
        <x:f>IF(COUNT(F26)=0,1,IF(F26&lt;0,1,0))</x:f>
        <x:v>0</x:v>
      </x:c>
      <x:c r="G190" s="75" t="n">
        <x:f>IF(COUNT(G26)=0,1,IF(G26&lt;0,1,0))</x:f>
        <x:v>0</x:v>
      </x:c>
      <x:c r="H190" s="75" t="n">
        <x:f>IF(COUNT(H26)=0,1,IF(H26&lt;0,1,0))</x:f>
        <x:v>0</x:v>
      </x:c>
      <x:c r="I190" s="75" t="n">
        <x:f>IF(COUNT(I26)=0,1,IF(I26&lt;0,1,0))</x:f>
        <x:v>0</x:v>
      </x:c>
      <x:c r="J190" s="1"/>
      <x:c r="K190" s="1"/>
    </x:row>
    <x:row r="191" ht="30" customHeight="1">
      <x:c r="A191" s="1"/>
      <x:c r="B191" s="1"/>
      <x:c r="C191" s="64" t="str">
        <x:v>Payable days input outside bounds</x:v>
      </x:c>
      <x:c r="D191" s="8"/>
      <x:c r="E191" s="75" t="n">
        <x:f>IF(COUNT(E27)=0,1,IF(E27&lt;0,1,0))</x:f>
        <x:v>0</x:v>
      </x:c>
      <x:c r="F191" s="75" t="n">
        <x:f>IF(COUNT(F27)=0,1,IF(F27&lt;0,1,0))</x:f>
        <x:v>0</x:v>
      </x:c>
      <x:c r="G191" s="75" t="n">
        <x:f>IF(COUNT(G27)=0,1,IF(G27&lt;0,1,0))</x:f>
        <x:v>0</x:v>
      </x:c>
      <x:c r="H191" s="75" t="n">
        <x:f>IF(COUNT(H27)=0,1,IF(H27&lt;0,1,0))</x:f>
        <x:v>0</x:v>
      </x:c>
      <x:c r="I191" s="75" t="n">
        <x:f>IF(COUNT(I27)=0,1,IF(I27&lt;0,1,0))</x:f>
        <x:v>0</x:v>
      </x:c>
      <x:c r="J191" s="1"/>
      <x:c r="K191" s="1"/>
    </x:row>
    <x:row r="192" ht="30" customHeight="1">
      <x:c r="A192" s="1"/>
      <x:c r="B192" s="1"/>
      <x:c r="C192" s="64" t="str">
        <x:v>Effective cash tax rate input outside bounds</x:v>
      </x:c>
      <x:c r="D192" s="8"/>
      <x:c r="E192" s="75" t="n">
        <x:f>IF(COUNT(E28)=0,1,IF(E28&lt;0,1,IF(E28&gt;1,1,0)))</x:f>
        <x:v>0</x:v>
      </x:c>
      <x:c r="F192" s="75" t="n">
        <x:f>IF(COUNT(F28)=0,1,IF(F28&lt;0,1,IF(F28&gt;1,1,0)))</x:f>
        <x:v>0</x:v>
      </x:c>
      <x:c r="G192" s="75" t="n">
        <x:f>IF(COUNT(G28)=0,1,IF(G28&lt;0,1,IF(G28&gt;1,1,0)))</x:f>
        <x:v>0</x:v>
      </x:c>
      <x:c r="H192" s="75" t="n">
        <x:f>IF(COUNT(H28)=0,1,IF(H28&lt;0,1,IF(H28&gt;1,1,0)))</x:f>
        <x:v>0</x:v>
      </x:c>
      <x:c r="I192" s="75" t="n">
        <x:f>IF(COUNT(I28)=0,1,IF(I28&lt;0,1,IF(I28&gt;1,1,0)))</x:f>
        <x:v>0</x:v>
      </x:c>
      <x:c r="J192" s="1"/>
      <x:c r="K192" s="1"/>
    </x:row>
    <x:row r="193" ht="30" customHeight="1">
      <x:c r="A193" s="1"/>
      <x:c r="B193" s="1"/>
      <x:c r="C193" s="64" t="str">
        <x:v>Interest on opening debt input outside bounds</x:v>
      </x:c>
      <x:c r="D193" s="8"/>
      <x:c r="E193" s="75" t="n">
        <x:f>IF(COUNT(E29)=0,1,IF(E29&lt;0,1,0))</x:f>
        <x:v>0</x:v>
      </x:c>
      <x:c r="F193" s="75" t="n">
        <x:f>IF(COUNT(F29)=0,1,IF(F29&lt;0,1,0))</x:f>
        <x:v>0</x:v>
      </x:c>
      <x:c r="G193" s="75" t="n">
        <x:f>IF(COUNT(G29)=0,1,IF(G29&lt;0,1,0))</x:f>
        <x:v>0</x:v>
      </x:c>
      <x:c r="H193" s="75" t="n">
        <x:f>IF(COUNT(H29)=0,1,IF(H29&lt;0,1,0))</x:f>
        <x:v>0</x:v>
      </x:c>
      <x:c r="I193" s="75" t="n">
        <x:f>IF(COUNT(I29)=0,1,IF(I29&lt;0,1,0))</x:f>
        <x:v>0</x:v>
      </x:c>
      <x:c r="J193" s="1"/>
      <x:c r="K193" s="1"/>
    </x:row>
    <x:row r="194" ht="30" customHeight="1">
      <x:c r="A194" s="1"/>
      <x:c r="B194" s="1"/>
      <x:c r="C194" s="64" t="str">
        <x:v>New borrowing input outside bounds</x:v>
      </x:c>
      <x:c r="D194" s="8"/>
      <x:c r="E194" s="75" t="n">
        <x:f>IF(COUNT(E30)=0,1,IF(E30&lt;0,1,0))</x:f>
        <x:v>0</x:v>
      </x:c>
      <x:c r="F194" s="75" t="n">
        <x:f>IF(COUNT(F30)=0,1,IF(F30&lt;0,1,0))</x:f>
        <x:v>0</x:v>
      </x:c>
      <x:c r="G194" s="75" t="n">
        <x:f>IF(COUNT(G30)=0,1,IF(G30&lt;0,1,0))</x:f>
        <x:v>0</x:v>
      </x:c>
      <x:c r="H194" s="75" t="n">
        <x:f>IF(COUNT(H30)=0,1,IF(H30&lt;0,1,0))</x:f>
        <x:v>0</x:v>
      </x:c>
      <x:c r="I194" s="75" t="n">
        <x:f>IF(COUNT(I30)=0,1,IF(I30&lt;0,1,0))</x:f>
        <x:v>0</x:v>
      </x:c>
      <x:c r="J194" s="1"/>
      <x:c r="K194" s="1"/>
    </x:row>
    <x:row r="195" ht="30" customHeight="1">
      <x:c r="A195" s="1"/>
      <x:c r="B195" s="1"/>
      <x:c r="C195" s="64" t="str">
        <x:v>Scheduled principal repayment input outside bounds</x:v>
      </x:c>
      <x:c r="D195" s="8"/>
      <x:c r="E195" s="75" t="n">
        <x:f>IF(COUNT(E31)=0,1,IF(E31&lt;0,1,0))</x:f>
        <x:v>0</x:v>
      </x:c>
      <x:c r="F195" s="75" t="n">
        <x:f>IF(COUNT(F31)=0,1,IF(F31&lt;0,1,0))</x:f>
        <x:v>0</x:v>
      </x:c>
      <x:c r="G195" s="75" t="n">
        <x:f>IF(COUNT(G31)=0,1,IF(G31&lt;0,1,0))</x:f>
        <x:v>0</x:v>
      </x:c>
      <x:c r="H195" s="75" t="n">
        <x:f>IF(COUNT(H31)=0,1,IF(H31&lt;0,1,0))</x:f>
        <x:v>0</x:v>
      </x:c>
      <x:c r="I195" s="75" t="n">
        <x:f>IF(COUNT(I31)=0,1,IF(I31&lt;0,1,0))</x:f>
        <x:v>0</x:v>
      </x:c>
      <x:c r="J195" s="1"/>
      <x:c r="K195" s="1"/>
    </x:row>
    <x:row r="196" ht="30" customHeight="1">
      <x:c r="A196" s="1"/>
      <x:c r="B196" s="1"/>
      <x:c r="C196" s="64" t="str">
        <x:v>Dividend payout on positive PAT input outside bounds</x:v>
      </x:c>
      <x:c r="D196" s="8"/>
      <x:c r="E196" s="75" t="n">
        <x:f>IF(COUNT(E32)=0,1,IF(E32&lt;0,1,IF(E32&gt;1,1,0)))</x:f>
        <x:v>0</x:v>
      </x:c>
      <x:c r="F196" s="75" t="n">
        <x:f>IF(COUNT(F32)=0,1,IF(F32&lt;0,1,IF(F32&gt;1,1,0)))</x:f>
        <x:v>0</x:v>
      </x:c>
      <x:c r="G196" s="75" t="n">
        <x:f>IF(COUNT(G32)=0,1,IF(G32&lt;0,1,IF(G32&gt;1,1,0)))</x:f>
        <x:v>0</x:v>
      </x:c>
      <x:c r="H196" s="75" t="n">
        <x:f>IF(COUNT(H32)=0,1,IF(H32&lt;0,1,IF(H32&gt;1,1,0)))</x:f>
        <x:v>0</x:v>
      </x:c>
      <x:c r="I196" s="75" t="n">
        <x:f>IF(COUNT(I32)=0,1,IF(I32&lt;0,1,IF(I32&gt;1,1,0)))</x:f>
        <x:v>0</x:v>
      </x:c>
      <x:c r="J196" s="1"/>
      <x:c r="K196" s="1"/>
    </x:row>
    <x:row r="197" ht="30" customHeight="1">
      <x:c r="A197" s="1"/>
      <x:c r="B197" s="1"/>
      <x:c r="C197" s="64" t="str">
        <x:v>Opening net PP&amp;E input outside bounds</x:v>
      </x:c>
      <x:c r="D197" s="8"/>
      <x:c r="E197" s="75" t="n">
        <x:f>IF(COUNT(D34)=0,1,IF(D34&lt;0,1,0))</x:f>
        <x:v>0</x:v>
      </x:c>
      <x:c r="F197" s="75" t="n">
        <x:f>IF(COUNT(D34)=0,1,IF(D34&lt;0,1,0))</x:f>
        <x:v>0</x:v>
      </x:c>
      <x:c r="G197" s="75" t="n">
        <x:f>IF(COUNT(D34)=0,1,IF(D34&lt;0,1,0))</x:f>
        <x:v>0</x:v>
      </x:c>
      <x:c r="H197" s="75" t="n">
        <x:f>IF(COUNT(D34)=0,1,IF(D34&lt;0,1,0))</x:f>
        <x:v>0</x:v>
      </x:c>
      <x:c r="I197" s="75" t="n">
        <x:f>IF(COUNT(D34)=0,1,IF(D34&lt;0,1,0))</x:f>
        <x:v>0</x:v>
      </x:c>
      <x:c r="J197" s="1"/>
      <x:c r="K197" s="1"/>
    </x:row>
    <x:row r="198" ht="30" customHeight="1">
      <x:c r="A198" s="1"/>
      <x:c r="B198" s="1"/>
      <x:c r="C198" s="64" t="str">
        <x:v>Opening debt input outside bounds</x:v>
      </x:c>
      <x:c r="D198" s="8"/>
      <x:c r="E198" s="75" t="n">
        <x:f>IF(COUNT(D35)=0,1,IF(D35&lt;0,1,0))</x:f>
        <x:v>0</x:v>
      </x:c>
      <x:c r="F198" s="75" t="n">
        <x:f>IF(COUNT(D35)=0,1,IF(D35&lt;0,1,0))</x:f>
        <x:v>0</x:v>
      </x:c>
      <x:c r="G198" s="75" t="n">
        <x:f>IF(COUNT(D35)=0,1,IF(D35&lt;0,1,0))</x:f>
        <x:v>0</x:v>
      </x:c>
      <x:c r="H198" s="75" t="n">
        <x:f>IF(COUNT(D35)=0,1,IF(D35&lt;0,1,0))</x:f>
        <x:v>0</x:v>
      </x:c>
      <x:c r="I198" s="75" t="n">
        <x:f>IF(COUNT(D35)=0,1,IF(D35&lt;0,1,0))</x:f>
        <x:v>0</x:v>
      </x:c>
      <x:c r="J198" s="1"/>
      <x:c r="K198" s="1"/>
    </x:row>
    <x:row r="199" ht="30" customHeight="1">
      <x:c r="A199" s="1"/>
      <x:c r="B199" s="1"/>
      <x:c r="C199" s="64" t="str">
        <x:v>Opening cash input outside bounds</x:v>
      </x:c>
      <x:c r="D199" s="8"/>
      <x:c r="E199" s="75" t="n">
        <x:f>IF(COUNT(D36)=0,1,IF(D36&lt;0,1,0))</x:f>
        <x:v>0</x:v>
      </x:c>
      <x:c r="F199" s="75" t="n">
        <x:f>IF(COUNT(D36)=0,1,IF(D36&lt;0,1,0))</x:f>
        <x:v>0</x:v>
      </x:c>
      <x:c r="G199" s="75" t="n">
        <x:f>IF(COUNT(D36)=0,1,IF(D36&lt;0,1,0))</x:f>
        <x:v>0</x:v>
      </x:c>
      <x:c r="H199" s="75" t="n">
        <x:f>IF(COUNT(D36)=0,1,IF(D36&lt;0,1,0))</x:f>
        <x:v>0</x:v>
      </x:c>
      <x:c r="I199" s="75" t="n">
        <x:f>IF(COUNT(D36)=0,1,IF(D36&lt;0,1,0))</x:f>
        <x:v>0</x:v>
      </x:c>
      <x:c r="J199" s="1"/>
      <x:c r="K199" s="1"/>
    </x:row>
    <x:row r="200" ht="30" customHeight="1">
      <x:c r="A200" s="1"/>
      <x:c r="B200" s="1"/>
      <x:c r="C200" s="64" t="str">
        <x:v>Diluted shares (crore) input outside bounds</x:v>
      </x:c>
      <x:c r="D200" s="8"/>
      <x:c r="E200" s="75" t="n">
        <x:f>IF(COUNT(D38)=0,1,IF(D38&lt;0,1,0))</x:f>
        <x:v>0</x:v>
      </x:c>
      <x:c r="F200" s="75" t="n">
        <x:f>IF(COUNT(D38)=0,1,IF(D38&lt;0,1,0))</x:f>
        <x:v>0</x:v>
      </x:c>
      <x:c r="G200" s="75" t="n">
        <x:f>IF(COUNT(D38)=0,1,IF(D38&lt;0,1,0))</x:f>
        <x:v>0</x:v>
      </x:c>
      <x:c r="H200" s="75" t="n">
        <x:f>IF(COUNT(D38)=0,1,IF(D38&lt;0,1,0))</x:f>
        <x:v>0</x:v>
      </x:c>
      <x:c r="I200" s="75" t="n">
        <x:f>IF(COUNT(D38)=0,1,IF(D38&lt;0,1,0))</x:f>
        <x:v>0</x:v>
      </x:c>
      <x:c r="J200" s="1"/>
      <x:c r="K200" s="1"/>
    </x:row>
    <x:row r="201" ht="30" customHeight="1">
      <x:c r="A201" s="1"/>
      <x:c r="B201" s="1"/>
      <x:c r="C201" s="64" t="str">
        <x:v>WACC input outside bounds</x:v>
      </x:c>
      <x:c r="D201" s="8"/>
      <x:c r="E201" s="75" t="n">
        <x:f>IF(COUNT(D39)=0,1,IF(D39&lt;0,1,0))</x:f>
        <x:v>0</x:v>
      </x:c>
      <x:c r="F201" s="75" t="n">
        <x:f>IF(COUNT(D39)=0,1,IF(D39&lt;0,1,0))</x:f>
        <x:v>0</x:v>
      </x:c>
      <x:c r="G201" s="75" t="n">
        <x:f>IF(COUNT(D39)=0,1,IF(D39&lt;0,1,0))</x:f>
        <x:v>0</x:v>
      </x:c>
      <x:c r="H201" s="75" t="n">
        <x:f>IF(COUNT(D39)=0,1,IF(D39&lt;0,1,0))</x:f>
        <x:v>0</x:v>
      </x:c>
      <x:c r="I201" s="75" t="n">
        <x:f>IF(COUNT(D39)=0,1,IF(D39&lt;0,1,0))</x:f>
        <x:v>0</x:v>
      </x:c>
      <x:c r="J201" s="1"/>
      <x:c r="K201" s="1"/>
    </x:row>
    <x:row r="202" ht="30" customHeight="1">
      <x:c r="A202" s="1"/>
      <x:c r="B202" s="1"/>
      <x:c r="C202" s="64" t="str">
        <x:v>Terminal growth input outside bounds</x:v>
      </x:c>
      <x:c r="D202" s="8"/>
      <x:c r="E202" s="75" t="n">
        <x:f>IF(COUNT(D40)=0,1,IF(D40&lt;-1,1,0))</x:f>
        <x:v>0</x:v>
      </x:c>
      <x:c r="F202" s="75" t="n">
        <x:f>IF(COUNT(D40)=0,1,IF(D40&lt;-1,1,0))</x:f>
        <x:v>0</x:v>
      </x:c>
      <x:c r="G202" s="75" t="n">
        <x:f>IF(COUNT(D40)=0,1,IF(D40&lt;-1,1,0))</x:f>
        <x:v>0</x:v>
      </x:c>
      <x:c r="H202" s="75" t="n">
        <x:f>IF(COUNT(D40)=0,1,IF(D40&lt;-1,1,0))</x:f>
        <x:v>0</x:v>
      </x:c>
      <x:c r="I202" s="75" t="n">
        <x:f>IF(COUNT(D40)=0,1,IF(D40&lt;-1,1,0))</x:f>
        <x:v>0</x:v>
      </x:c>
      <x:c r="J202" s="1"/>
      <x:c r="K202" s="1"/>
    </x:row>
    <x:row r="203" ht="30" customHeight="1">
      <x:c r="A203" s="1"/>
      <x:c r="B203" s="1"/>
      <x:c r="C203" s="64" t="str">
        <x:v>Terminal incremental ROIC input outside bounds</x:v>
      </x:c>
      <x:c r="D203" s="8"/>
      <x:c r="E203" s="75" t="n">
        <x:f>IF(COUNT(D41)=0,1,IF(D41&lt;0,1,0))</x:f>
        <x:v>0</x:v>
      </x:c>
      <x:c r="F203" s="75" t="n">
        <x:f>IF(COUNT(D41)=0,1,IF(D41&lt;0,1,0))</x:f>
        <x:v>0</x:v>
      </x:c>
      <x:c r="G203" s="75" t="n">
        <x:f>IF(COUNT(D41)=0,1,IF(D41&lt;0,1,0))</x:f>
        <x:v>0</x:v>
      </x:c>
      <x:c r="H203" s="75" t="n">
        <x:f>IF(COUNT(D41)=0,1,IF(D41&lt;0,1,0))</x:f>
        <x:v>0</x:v>
      </x:c>
      <x:c r="I203" s="75" t="n">
        <x:f>IF(COUNT(D41)=0,1,IF(D41&lt;0,1,0))</x:f>
        <x:v>0</x:v>
      </x:c>
      <x:c r="J203" s="1"/>
      <x:c r="K203" s="1"/>
    </x:row>
    <x:row r="204" ht="30" customHeight="1">
      <x:c r="A204" s="1"/>
      <x:c r="B204" s="1"/>
      <x:c r="C204" s="64" t="str">
        <x:v>Forward EV / EBITDA input outside bounds</x:v>
      </x:c>
      <x:c r="D204" s="8"/>
      <x:c r="E204" s="75" t="n">
        <x:f>IF(COUNT(D42)=0,1,IF(D42&lt;0,1,0))</x:f>
        <x:v>0</x:v>
      </x:c>
      <x:c r="F204" s="75" t="n">
        <x:f>IF(COUNT(D42)=0,1,IF(D42&lt;0,1,0))</x:f>
        <x:v>0</x:v>
      </x:c>
      <x:c r="G204" s="75" t="n">
        <x:f>IF(COUNT(D42)=0,1,IF(D42&lt;0,1,0))</x:f>
        <x:v>0</x:v>
      </x:c>
      <x:c r="H204" s="75" t="n">
        <x:f>IF(COUNT(D42)=0,1,IF(D42&lt;0,1,0))</x:f>
        <x:v>0</x:v>
      </x:c>
      <x:c r="I204" s="75" t="n">
        <x:f>IF(COUNT(D42)=0,1,IF(D42&lt;0,1,0))</x:f>
        <x:v>0</x:v>
      </x:c>
      <x:c r="J204" s="1"/>
      <x:c r="K204" s="1"/>
    </x:row>
    <x:row r="205" ht="30" customHeight="1">
      <x:c r="A205" s="1"/>
      <x:c r="B205" s="1"/>
      <x:c r="C205" s="64" t="str">
        <x:v>Terminal valuation assumptions invalid</x:v>
      </x:c>
      <x:c r="D205" s="8"/>
      <x:c r="E205" s="75" t="n">
        <x:f>IF(D39&lt;=D40,1,IF(D41&lt;=0,1,IF(D40&gt;D41,1,0)))</x:f>
        <x:v>0</x:v>
      </x:c>
      <x:c r="F205" s="75" t="n">
        <x:f>IF(D39&lt;=D40,1,IF(D41&lt;=0,1,IF(D40&gt;D41,1,0)))</x:f>
        <x:v>0</x:v>
      </x:c>
      <x:c r="G205" s="75" t="n">
        <x:f>IF(D39&lt;=D40,1,IF(D41&lt;=0,1,IF(D40&gt;D41,1,0)))</x:f>
        <x:v>0</x:v>
      </x:c>
      <x:c r="H205" s="75" t="n">
        <x:f>IF(D39&lt;=D40,1,IF(D41&lt;=0,1,IF(D40&gt;D41,1,0)))</x:f>
        <x:v>0</x:v>
      </x:c>
      <x:c r="I205" s="75" t="n">
        <x:f>IF(D39&lt;=D40,1,IF(D41&lt;=0,1,IF(D40&gt;D41,1,0)))</x:f>
        <x:v>0</x:v>
      </x:c>
      <x:c r="J205" s="1"/>
      <x:c r="K205" s="1"/>
    </x:row>
    <x:row r="206" ht="30" customHeight="1">
      <x:c r="A206" s="1"/>
      <x:c r="B206" s="1"/>
      <x:c r="C206" s="64"/>
      <x:c r="D206" s="8"/>
      <x:c r="E206" s="8"/>
      <x:c r="F206" s="8"/>
      <x:c r="G206" s="8"/>
      <x:c r="H206" s="8"/>
      <x:c r="I206" s="8"/>
      <x:c r="J206" s="1"/>
      <x:c r="K206" s="1"/>
    </x:row>
    <x:row r="207" ht="30" customHeight="1">
      <x:c r="A207" s="1"/>
      <x:c r="B207" s="1"/>
      <x:c r="C207" s="64"/>
      <x:c r="D207" s="8"/>
      <x:c r="E207" s="8"/>
      <x:c r="F207" s="8"/>
      <x:c r="G207" s="8"/>
      <x:c r="H207" s="8"/>
      <x:c r="I207" s="8"/>
      <x:c r="J207" s="1"/>
      <x:c r="K207" s="1"/>
    </x:row>
    <x:row r="208" ht="30" customHeight="1">
      <x:c r="A208" s="1"/>
      <x:c r="B208" s="1"/>
      <x:c r="C208" s="64"/>
      <x:c r="D208" s="8"/>
      <x:c r="E208" s="8"/>
      <x:c r="F208" s="8"/>
      <x:c r="G208" s="8"/>
      <x:c r="H208" s="8"/>
      <x:c r="I208" s="8"/>
      <x:c r="J208" s="1"/>
      <x:c r="K208" s="1"/>
    </x:row>
    <x:row r="209" ht="30" customHeight="1">
      <x:c r="A209" s="1"/>
      <x:c r="B209" s="1"/>
      <x:c r="C209" s="64"/>
      <x:c r="D209" s="8"/>
      <x:c r="E209" s="8"/>
      <x:c r="F209" s="8"/>
      <x:c r="G209" s="8"/>
      <x:c r="H209" s="8"/>
      <x:c r="I209" s="8"/>
      <x:c r="J209" s="1"/>
      <x:c r="K209" s="1"/>
    </x:row>
    <x:row r="210" ht="30" customHeight="1">
      <x:c r="A210" s="1"/>
      <x:c r="B210" s="1"/>
      <x:c r="C210" s="64"/>
      <x:c r="D210" s="8"/>
      <x:c r="E210" s="8"/>
      <x:c r="F210" s="8"/>
      <x:c r="G210" s="8"/>
      <x:c r="H210" s="8"/>
      <x:c r="I210" s="8"/>
      <x:c r="J210" s="1"/>
      <x:c r="K210" s="1"/>
    </x:row>
    <x:row r="211" ht="30" customHeight="1">
      <x:c r="C211" s="64"/>
      <x:c r="D211" s="63"/>
      <x:c r="E211" s="63"/>
      <x:c r="F211" s="63"/>
      <x:c r="G211" s="63"/>
      <x:c r="H211" s="63"/>
      <x:c r="I211" s="63"/>
    </x:row>
    <x:row r="212" ht="30" customHeight="1">
      <x:c r="C212" s="64"/>
      <x:c r="D212" s="63"/>
      <x:c r="E212" s="63"/>
      <x:c r="F212" s="63"/>
      <x:c r="G212" s="63"/>
      <x:c r="H212" s="63"/>
      <x:c r="I212" s="63"/>
    </x:row>
    <x:row r="213" ht="30" customHeight="1">
      <x:c r="C213" s="64"/>
      <x:c r="D213" s="63"/>
      <x:c r="E213" s="63"/>
      <x:c r="F213" s="63"/>
      <x:c r="G213" s="63"/>
      <x:c r="H213" s="63"/>
      <x:c r="I213" s="63"/>
    </x:row>
    <x:row r="214" ht="30" customHeight="1">
      <x:c r="C214" s="64"/>
      <x:c r="D214" s="63"/>
      <x:c r="E214" s="63"/>
      <x:c r="F214" s="63"/>
      <x:c r="G214" s="63"/>
      <x:c r="H214" s="63"/>
      <x:c r="I214" s="63"/>
    </x:row>
    <x:row r="215" ht="30" customHeight="1">
      <x:c r="C215" s="64"/>
      <x:c r="D215" s="63"/>
      <x:c r="E215" s="63"/>
      <x:c r="F215" s="63"/>
      <x:c r="G215" s="63"/>
      <x:c r="H215" s="63"/>
      <x:c r="I215" s="63"/>
    </x:row>
    <x:row r="216" ht="30" customHeight="1">
      <x:c r="C216" s="64"/>
      <x:c r="D216" s="63"/>
      <x:c r="E216" s="63"/>
      <x:c r="F216" s="63"/>
      <x:c r="G216" s="63"/>
      <x:c r="H216" s="63"/>
      <x:c r="I216" s="63"/>
    </x:row>
    <x:row r="217" ht="30" customHeight="1">
      <x:c r="C217" s="64"/>
      <x:c r="D217" s="63"/>
      <x:c r="E217" s="63"/>
      <x:c r="F217" s="63"/>
      <x:c r="G217" s="63"/>
      <x:c r="H217" s="63"/>
      <x:c r="I217" s="63"/>
    </x:row>
    <x:row r="218" ht="30" customHeight="1">
      <x:c r="C218" s="64"/>
      <x:c r="D218" s="63"/>
      <x:c r="E218" s="63"/>
      <x:c r="F218" s="63"/>
      <x:c r="G218" s="63"/>
      <x:c r="H218" s="63"/>
      <x:c r="I218" s="63"/>
    </x:row>
    <x:row r="219" ht="30" customHeight="1">
      <x:c r="C219" s="64"/>
      <x:c r="D219" s="63"/>
      <x:c r="E219" s="63"/>
      <x:c r="F219" s="63"/>
      <x:c r="G219" s="63"/>
      <x:c r="H219" s="63"/>
      <x:c r="I219" s="63"/>
    </x:row>
    <x:row r="220" ht="30" customHeight="1">
      <x:c r="C220" s="64"/>
      <x:c r="D220" s="63"/>
      <x:c r="E220" s="63"/>
      <x:c r="F220" s="63"/>
      <x:c r="G220" s="63"/>
      <x:c r="H220" s="63"/>
      <x:c r="I220" s="63"/>
    </x:row>
    <x:row r="221" ht="30" customHeight="1">
      <x:c r="C221" s="64"/>
      <x:c r="D221" s="63"/>
      <x:c r="E221" s="63"/>
      <x:c r="F221" s="63"/>
      <x:c r="G221" s="63"/>
      <x:c r="H221" s="63"/>
      <x:c r="I221" s="63"/>
    </x:row>
    <x:row r="222" ht="30" customHeight="1">
      <x:c r="C222" s="64"/>
      <x:c r="D222" s="63"/>
      <x:c r="E222" s="63"/>
      <x:c r="F222" s="63"/>
      <x:c r="G222" s="63"/>
      <x:c r="H222" s="63"/>
      <x:c r="I222" s="63"/>
    </x:row>
    <x:row r="223" ht="30" customHeight="1">
      <x:c r="C223" s="64"/>
      <x:c r="D223" s="63"/>
      <x:c r="E223" s="63"/>
      <x:c r="F223" s="63"/>
      <x:c r="G223" s="63"/>
      <x:c r="H223" s="63"/>
      <x:c r="I223" s="63"/>
    </x:row>
    <x:row r="224" ht="30" customHeight="1">
      <x:c r="C224" s="64"/>
      <x:c r="D224" s="63"/>
      <x:c r="E224" s="63"/>
      <x:c r="F224" s="63"/>
      <x:c r="G224" s="63"/>
      <x:c r="H224" s="63"/>
      <x:c r="I224" s="63"/>
    </x:row>
    <x:row r="225" ht="30" customHeight="1">
      <x:c r="C225" s="64"/>
      <x:c r="D225" s="63"/>
      <x:c r="E225" s="63"/>
      <x:c r="F225" s="63"/>
      <x:c r="G225" s="63"/>
      <x:c r="H225" s="63"/>
      <x:c r="I225" s="63"/>
    </x:row>
    <x:row r="226" ht="30" customHeight="1">
      <x:c r="C226" s="64"/>
      <x:c r="D226" s="63"/>
      <x:c r="E226" s="63"/>
      <x:c r="F226" s="63"/>
      <x:c r="G226" s="63"/>
      <x:c r="H226" s="63"/>
      <x:c r="I226" s="63"/>
    </x:row>
    <x:row r="227" ht="30" customHeight="1">
      <x:c r="C227" s="64"/>
      <x:c r="D227" s="63"/>
      <x:c r="E227" s="63"/>
      <x:c r="F227" s="63"/>
      <x:c r="G227" s="63"/>
      <x:c r="H227" s="63"/>
      <x:c r="I227" s="63"/>
    </x:row>
    <x:row r="228" ht="30" customHeight="1">
      <x:c r="C228" s="64"/>
      <x:c r="D228" s="63"/>
      <x:c r="E228" s="63"/>
      <x:c r="F228" s="63"/>
      <x:c r="G228" s="63"/>
      <x:c r="H228" s="63"/>
      <x:c r="I228" s="63"/>
    </x:row>
    <x:row r="229" ht="30" customHeight="1">
      <x:c r="C229" s="64"/>
      <x:c r="D229" s="63"/>
      <x:c r="E229" s="63"/>
      <x:c r="F229" s="63"/>
      <x:c r="G229" s="63"/>
      <x:c r="H229" s="63"/>
      <x:c r="I229" s="63"/>
    </x:row>
    <x:row r="230" ht="30" customHeight="1">
      <x:c r="C230" s="64"/>
      <x:c r="D230" s="63"/>
      <x:c r="E230" s="63"/>
      <x:c r="F230" s="63"/>
      <x:c r="G230" s="63"/>
      <x:c r="H230" s="63"/>
      <x:c r="I230" s="63"/>
    </x:row>
    <x:row r="231" ht="30" customHeight="1">
      <x:c r="C231" s="64"/>
      <x:c r="D231" s="63"/>
      <x:c r="E231" s="63"/>
      <x:c r="F231" s="63"/>
      <x:c r="G231" s="63"/>
      <x:c r="H231" s="63"/>
      <x:c r="I231" s="63"/>
    </x:row>
    <x:row r="232" ht="30" customHeight="1">
      <x:c r="C232" s="64"/>
      <x:c r="D232" s="63"/>
      <x:c r="E232" s="63"/>
      <x:c r="F232" s="63"/>
      <x:c r="G232" s="63"/>
      <x:c r="H232" s="63"/>
      <x:c r="I232" s="63"/>
    </x:row>
    <x:row r="233" ht="30" customHeight="1">
      <x:c r="C233" s="64"/>
      <x:c r="D233" s="63"/>
      <x:c r="E233" s="63"/>
      <x:c r="F233" s="63"/>
      <x:c r="G233" s="63"/>
      <x:c r="H233" s="63"/>
      <x:c r="I233" s="63"/>
    </x:row>
    <x:row r="234" ht="30" customHeight="1">
      <x:c r="C234" s="64"/>
      <x:c r="D234" s="63"/>
      <x:c r="E234" s="63"/>
      <x:c r="F234" s="63"/>
      <x:c r="G234" s="63"/>
      <x:c r="H234" s="63"/>
      <x:c r="I234" s="63"/>
    </x:row>
    <x:row r="235" ht="30" customHeight="1">
      <x:c r="C235" s="64"/>
      <x:c r="D235" s="63"/>
      <x:c r="E235" s="63"/>
      <x:c r="F235" s="63"/>
      <x:c r="G235" s="63"/>
      <x:c r="H235" s="63"/>
      <x:c r="I235" s="63"/>
    </x:row>
    <x:row r="236" ht="30" customHeight="1">
      <x:c r="C236" s="64"/>
      <x:c r="D236" s="63"/>
      <x:c r="E236" s="63"/>
      <x:c r="F236" s="63"/>
      <x:c r="G236" s="63"/>
      <x:c r="H236" s="63"/>
      <x:c r="I236" s="63"/>
    </x:row>
    <x:row r="237" ht="30" customHeight="1">
      <x:c r="C237" s="64"/>
      <x:c r="D237" s="63"/>
      <x:c r="E237" s="63"/>
      <x:c r="F237" s="63"/>
      <x:c r="G237" s="63"/>
      <x:c r="H237" s="63"/>
      <x:c r="I237" s="63"/>
    </x:row>
    <x:row r="238" ht="30" customHeight="1">
      <x:c r="C238" s="64"/>
      <x:c r="D238" s="63"/>
      <x:c r="E238" s="63"/>
      <x:c r="F238" s="63"/>
      <x:c r="G238" s="63"/>
      <x:c r="H238" s="63"/>
      <x:c r="I238" s="63"/>
    </x:row>
    <x:row r="239" ht="30" customHeight="1">
      <x:c r="C239" s="64"/>
      <x:c r="D239" s="63"/>
      <x:c r="E239" s="63"/>
      <x:c r="F239" s="63"/>
      <x:c r="G239" s="63"/>
      <x:c r="H239" s="63"/>
      <x:c r="I239" s="63"/>
    </x:row>
    <x:row r="240" ht="30" customHeight="1">
      <x:c r="C240" s="64"/>
      <x:c r="D240" s="63"/>
      <x:c r="E240" s="63"/>
      <x:c r="F240" s="63"/>
      <x:c r="G240" s="63"/>
      <x:c r="H240" s="63"/>
      <x:c r="I240" s="63"/>
    </x:row>
    <x:row r="241" ht="30" customHeight="1">
      <x:c r="C241" s="64"/>
      <x:c r="D241" s="63"/>
      <x:c r="E241" s="63"/>
      <x:c r="F241" s="63"/>
      <x:c r="G241" s="63"/>
      <x:c r="H241" s="63"/>
      <x:c r="I241" s="63"/>
    </x:row>
    <x:row r="242" ht="30" customHeight="1">
      <x:c r="C242" s="64"/>
      <x:c r="D242" s="63"/>
      <x:c r="E242" s="63"/>
      <x:c r="F242" s="63"/>
      <x:c r="G242" s="63"/>
      <x:c r="H242" s="63"/>
      <x:c r="I242" s="63"/>
    </x:row>
    <x:row r="243" ht="30" customHeight="1">
      <x:c r="C243" s="64"/>
      <x:c r="D243" s="63"/>
      <x:c r="E243" s="63"/>
      <x:c r="F243" s="63"/>
      <x:c r="G243" s="63"/>
      <x:c r="H243" s="63"/>
      <x:c r="I243" s="63"/>
    </x:row>
    <x:row r="244" ht="30" customHeight="1">
      <x:c r="C244" s="64"/>
      <x:c r="D244" s="63"/>
      <x:c r="E244" s="63"/>
      <x:c r="F244" s="63"/>
      <x:c r="G244" s="63"/>
      <x:c r="H244" s="63"/>
      <x:c r="I244" s="63"/>
    </x:row>
    <x:row r="245" ht="30" customHeight="1">
      <x:c r="C245" s="64"/>
      <x:c r="D245" s="63"/>
      <x:c r="E245" s="63"/>
      <x:c r="F245" s="63"/>
      <x:c r="G245" s="63"/>
      <x:c r="H245" s="63"/>
      <x:c r="I245" s="63"/>
    </x:row>
    <x:row r="246" ht="30" customHeight="1">
      <x:c r="C246" s="64"/>
      <x:c r="D246" s="63"/>
      <x:c r="E246" s="63"/>
      <x:c r="F246" s="63"/>
      <x:c r="G246" s="63"/>
      <x:c r="H246" s="63"/>
      <x:c r="I246" s="63"/>
    </x:row>
    <x:row r="247" ht="30" customHeight="1">
      <x:c r="C247" s="64"/>
      <x:c r="D247" s="63"/>
      <x:c r="E247" s="63"/>
      <x:c r="F247" s="63"/>
      <x:c r="G247" s="63"/>
      <x:c r="H247" s="63"/>
      <x:c r="I247" s="63"/>
    </x:row>
    <x:row r="248" ht="30" customHeight="1">
      <x:c r="C248" s="64"/>
      <x:c r="D248" s="63"/>
      <x:c r="E248" s="63"/>
      <x:c r="F248" s="63"/>
      <x:c r="G248" s="63"/>
      <x:c r="H248" s="63"/>
      <x:c r="I248" s="63"/>
    </x:row>
    <x:row r="249" ht="30" customHeight="1">
      <x:c r="C249" s="64"/>
      <x:c r="D249" s="63"/>
      <x:c r="E249" s="63"/>
      <x:c r="F249" s="63"/>
      <x:c r="G249" s="63"/>
      <x:c r="H249" s="63"/>
      <x:c r="I249" s="63"/>
    </x:row>
    <x:row r="250" ht="30" customHeight="1">
      <x:c r="C250" s="64"/>
      <x:c r="D250" s="63"/>
      <x:c r="E250" s="63"/>
      <x:c r="F250" s="63"/>
      <x:c r="G250" s="63"/>
      <x:c r="H250" s="63"/>
      <x:c r="I250" s="63"/>
    </x:row>
    <x:row r="251" ht="30" customHeight="1">
      <x:c r="C251" s="64"/>
      <x:c r="D251" s="63"/>
      <x:c r="E251" s="63"/>
      <x:c r="F251" s="63"/>
      <x:c r="G251" s="63"/>
      <x:c r="H251" s="63"/>
      <x:c r="I251" s="63"/>
    </x:row>
    <x:row r="252" ht="30" customHeight="1">
      <x:c r="C252" s="64"/>
      <x:c r="D252" s="63"/>
      <x:c r="E252" s="63"/>
      <x:c r="F252" s="63"/>
      <x:c r="G252" s="63"/>
      <x:c r="H252" s="63"/>
      <x:c r="I252" s="63"/>
    </x:row>
    <x:row r="253" ht="30" customHeight="1">
      <x:c r="C253" s="64"/>
      <x:c r="D253" s="63"/>
      <x:c r="E253" s="63"/>
      <x:c r="F253" s="63"/>
      <x:c r="G253" s="63"/>
      <x:c r="H253" s="63"/>
      <x:c r="I253" s="63"/>
    </x:row>
    <x:row r="254" ht="30" customHeight="1">
      <x:c r="C254" s="64"/>
      <x:c r="D254" s="63"/>
      <x:c r="E254" s="63"/>
      <x:c r="F254" s="63"/>
      <x:c r="G254" s="63"/>
      <x:c r="H254" s="63"/>
      <x:c r="I254" s="63"/>
    </x:row>
    <x:row r="255" ht="30" customHeight="1">
      <x:c r="C255" s="64"/>
      <x:c r="D255" s="63"/>
      <x:c r="E255" s="63"/>
      <x:c r="F255" s="63"/>
      <x:c r="G255" s="63"/>
      <x:c r="H255" s="63"/>
      <x:c r="I255" s="63"/>
    </x:row>
    <x:row r="256" ht="30" customHeight="1">
      <x:c r="C256" s="64"/>
      <x:c r="D256" s="63"/>
      <x:c r="E256" s="63"/>
      <x:c r="F256" s="63"/>
      <x:c r="G256" s="63"/>
      <x:c r="H256" s="63"/>
      <x:c r="I256" s="63"/>
    </x:row>
    <x:row r="257" ht="30" customHeight="1">
      <x:c r="C257" s="64"/>
      <x:c r="D257" s="63"/>
      <x:c r="E257" s="63"/>
      <x:c r="F257" s="63"/>
      <x:c r="G257" s="63"/>
      <x:c r="H257" s="63"/>
      <x:c r="I257" s="63"/>
    </x:row>
    <x:row r="258" ht="30" customHeight="1">
      <x:c r="C258" s="64"/>
      <x:c r="D258" s="63"/>
      <x:c r="E258" s="63"/>
      <x:c r="F258" s="63"/>
      <x:c r="G258" s="63"/>
      <x:c r="H258" s="63"/>
      <x:c r="I258" s="63"/>
    </x:row>
    <x:row r="259" ht="30" customHeight="1">
      <x:c r="C259" s="64"/>
      <x:c r="D259" s="63"/>
      <x:c r="E259" s="63"/>
      <x:c r="F259" s="63"/>
      <x:c r="G259" s="63"/>
      <x:c r="H259" s="63"/>
      <x:c r="I259" s="63"/>
    </x:row>
    <x:row r="260" ht="30" customHeight="1">
      <x:c r="C260" s="64"/>
      <x:c r="D260" s="63"/>
      <x:c r="E260" s="63"/>
      <x:c r="F260" s="63"/>
      <x:c r="G260" s="63"/>
      <x:c r="H260" s="63"/>
      <x:c r="I260" s="63"/>
    </x:row>
    <x:row r="261" ht="30" customHeight="1">
      <x:c r="C261" s="64"/>
      <x:c r="D261" s="63"/>
      <x:c r="E261" s="63"/>
      <x:c r="F261" s="63"/>
      <x:c r="G261" s="63"/>
      <x:c r="H261" s="63"/>
      <x:c r="I261" s="63"/>
    </x:row>
    <x:row r="262" ht="30" customHeight="1">
      <x:c r="C262" s="64"/>
      <x:c r="D262" s="63"/>
      <x:c r="E262" s="63"/>
      <x:c r="F262" s="63"/>
      <x:c r="G262" s="63"/>
      <x:c r="H262" s="63"/>
      <x:c r="I262" s="63"/>
    </x:row>
    <x:row r="263" ht="30" customHeight="1">
      <x:c r="C263" s="64"/>
      <x:c r="D263" s="63"/>
      <x:c r="E263" s="63"/>
      <x:c r="F263" s="63"/>
      <x:c r="G263" s="63"/>
      <x:c r="H263" s="63"/>
      <x:c r="I263" s="63"/>
    </x:row>
    <x:row r="264" ht="30" customHeight="1">
      <x:c r="C264" s="64"/>
      <x:c r="D264" s="63"/>
      <x:c r="E264" s="63"/>
      <x:c r="F264" s="63"/>
      <x:c r="G264" s="63"/>
      <x:c r="H264" s="63"/>
      <x:c r="I264" s="63"/>
    </x:row>
    <x:row r="265" ht="30" customHeight="1">
      <x:c r="C265" s="64"/>
      <x:c r="D265" s="63"/>
      <x:c r="E265" s="63"/>
      <x:c r="F265" s="63"/>
      <x:c r="G265" s="63"/>
      <x:c r="H265" s="63"/>
      <x:c r="I265" s="63"/>
    </x:row>
    <x:row r="266" ht="30" customHeight="1">
      <x:c r="C266" s="64"/>
      <x:c r="D266" s="63"/>
      <x:c r="E266" s="63"/>
      <x:c r="F266" s="63"/>
      <x:c r="G266" s="63"/>
      <x:c r="H266" s="63"/>
      <x:c r="I266" s="63"/>
    </x:row>
    <x:row r="267" ht="30" customHeight="1">
      <x:c r="C267" s="64"/>
      <x:c r="D267" s="63"/>
      <x:c r="E267" s="63"/>
      <x:c r="F267" s="63"/>
      <x:c r="G267" s="63"/>
      <x:c r="H267" s="63"/>
      <x:c r="I267" s="63"/>
    </x:row>
    <x:row r="268" ht="30" customHeight="1">
      <x:c r="C268" s="64"/>
      <x:c r="D268" s="63"/>
      <x:c r="E268" s="63"/>
      <x:c r="F268" s="63"/>
      <x:c r="G268" s="63"/>
      <x:c r="H268" s="63"/>
      <x:c r="I268" s="63"/>
    </x:row>
    <x:row r="269" ht="30" customHeight="1">
      <x:c r="C269" s="64"/>
      <x:c r="D269" s="63"/>
      <x:c r="E269" s="63"/>
      <x:c r="F269" s="63"/>
      <x:c r="G269" s="63"/>
      <x:c r="H269" s="63"/>
      <x:c r="I269" s="63"/>
    </x:row>
    <x:row r="270" ht="30" customHeight="1">
      <x:c r="C270" s="64"/>
      <x:c r="D270" s="63"/>
      <x:c r="E270" s="63"/>
      <x:c r="F270" s="63"/>
      <x:c r="G270" s="63"/>
      <x:c r="H270" s="63"/>
      <x:c r="I270" s="63"/>
    </x:row>
    <x:row r="271" ht="30" customHeight="1">
      <x:c r="C271" s="64"/>
      <x:c r="D271" s="63"/>
      <x:c r="E271" s="63"/>
      <x:c r="F271" s="63"/>
      <x:c r="G271" s="63"/>
      <x:c r="H271" s="63"/>
      <x:c r="I271" s="63"/>
    </x:row>
    <x:row r="272" ht="30" customHeight="1">
      <x:c r="C272" s="64"/>
      <x:c r="D272" s="63"/>
      <x:c r="E272" s="63"/>
      <x:c r="F272" s="63"/>
      <x:c r="G272" s="63"/>
      <x:c r="H272" s="63"/>
      <x:c r="I272" s="63"/>
    </x:row>
    <x:row r="273" ht="30" customHeight="1">
      <x:c r="C273" s="64"/>
      <x:c r="D273" s="63"/>
      <x:c r="E273" s="63"/>
      <x:c r="F273" s="63"/>
      <x:c r="G273" s="63"/>
      <x:c r="H273" s="63"/>
      <x:c r="I273" s="63"/>
    </x:row>
    <x:row r="274" ht="30" customHeight="1">
      <x:c r="C274" s="64"/>
      <x:c r="D274" s="63"/>
      <x:c r="E274" s="63"/>
      <x:c r="F274" s="63"/>
      <x:c r="G274" s="63"/>
      <x:c r="H274" s="63"/>
      <x:c r="I274" s="63"/>
    </x:row>
    <x:row r="275" ht="30" customHeight="1">
      <x:c r="C275" s="64"/>
      <x:c r="D275" s="63"/>
      <x:c r="E275" s="63"/>
      <x:c r="F275" s="63"/>
      <x:c r="G275" s="63"/>
      <x:c r="H275" s="63"/>
      <x:c r="I275" s="63"/>
    </x:row>
    <x:row r="276" ht="30" customHeight="1">
      <x:c r="C276" s="64"/>
      <x:c r="D276" s="63"/>
      <x:c r="E276" s="63"/>
      <x:c r="F276" s="63"/>
      <x:c r="G276" s="63"/>
      <x:c r="H276" s="63"/>
      <x:c r="I276" s="63"/>
    </x:row>
    <x:row r="277" ht="30" customHeight="1">
      <x:c r="C277" s="64"/>
      <x:c r="D277" s="63"/>
      <x:c r="E277" s="63"/>
      <x:c r="F277" s="63"/>
      <x:c r="G277" s="63"/>
      <x:c r="H277" s="63"/>
      <x:c r="I277" s="63"/>
    </x:row>
    <x:row r="278" ht="30" customHeight="1">
      <x:c r="C278" s="64"/>
      <x:c r="D278" s="63"/>
      <x:c r="E278" s="63"/>
      <x:c r="F278" s="63"/>
      <x:c r="G278" s="63"/>
      <x:c r="H278" s="63"/>
      <x:c r="I278" s="63"/>
    </x:row>
    <x:row r="279" ht="30" customHeight="1">
      <x:c r="C279" s="64"/>
      <x:c r="D279" s="63"/>
      <x:c r="E279" s="63"/>
      <x:c r="F279" s="63"/>
      <x:c r="G279" s="63"/>
      <x:c r="H279" s="63"/>
      <x:c r="I279" s="63"/>
    </x:row>
    <x:row r="280" ht="30" customHeight="1">
      <x:c r="C280" s="64"/>
      <x:c r="D280" s="63"/>
      <x:c r="E280" s="63"/>
      <x:c r="F280" s="63"/>
      <x:c r="G280" s="63"/>
      <x:c r="H280" s="63"/>
      <x:c r="I280" s="63"/>
    </x:row>
    <x:row r="281" ht="30" customHeight="1">
      <x:c r="C281" s="64"/>
      <x:c r="D281" s="63"/>
      <x:c r="E281" s="63"/>
      <x:c r="F281" s="63"/>
      <x:c r="G281" s="63"/>
      <x:c r="H281" s="63"/>
      <x:c r="I281" s="63"/>
    </x:row>
    <x:row r="282" ht="30" customHeight="1">
      <x:c r="C282" s="64"/>
      <x:c r="D282" s="63"/>
      <x:c r="E282" s="63"/>
      <x:c r="F282" s="63"/>
      <x:c r="G282" s="63"/>
      <x:c r="H282" s="63"/>
      <x:c r="I282" s="63"/>
    </x:row>
    <x:row r="283" ht="30" customHeight="1">
      <x:c r="C283" s="64"/>
      <x:c r="D283" s="63"/>
      <x:c r="E283" s="63"/>
      <x:c r="F283" s="63"/>
      <x:c r="G283" s="63"/>
      <x:c r="H283" s="63"/>
      <x:c r="I283" s="63"/>
    </x:row>
    <x:row r="284" ht="30" customHeight="1">
      <x:c r="C284" s="64"/>
      <x:c r="D284" s="63"/>
      <x:c r="E284" s="63"/>
      <x:c r="F284" s="63"/>
      <x:c r="G284" s="63"/>
      <x:c r="H284" s="63"/>
      <x:c r="I284" s="63"/>
    </x:row>
    <x:row r="285" ht="30" customHeight="1">
      <x:c r="C285" s="64"/>
      <x:c r="D285" s="63"/>
      <x:c r="E285" s="63"/>
      <x:c r="F285" s="63"/>
      <x:c r="G285" s="63"/>
      <x:c r="H285" s="63"/>
      <x:c r="I285" s="63"/>
    </x:row>
    <x:row r="286" ht="30" customHeight="1">
      <x:c r="C286" s="64"/>
      <x:c r="D286" s="63"/>
      <x:c r="E286" s="63"/>
      <x:c r="F286" s="63"/>
      <x:c r="G286" s="63"/>
      <x:c r="H286" s="63"/>
      <x:c r="I286" s="63"/>
    </x:row>
    <x:row r="287" ht="30" customHeight="1">
      <x:c r="C287" s="64"/>
      <x:c r="D287" s="63"/>
      <x:c r="E287" s="63"/>
      <x:c r="F287" s="63"/>
      <x:c r="G287" s="63"/>
      <x:c r="H287" s="63"/>
      <x:c r="I287" s="63"/>
    </x:row>
    <x:row r="288" ht="30" customHeight="1">
      <x:c r="C288" s="64"/>
      <x:c r="D288" s="63"/>
      <x:c r="E288" s="63"/>
      <x:c r="F288" s="63"/>
      <x:c r="G288" s="63"/>
      <x:c r="H288" s="63"/>
      <x:c r="I288" s="63"/>
    </x:row>
    <x:row r="289" ht="30" customHeight="1">
      <x:c r="C289" s="64"/>
      <x:c r="D289" s="63"/>
      <x:c r="E289" s="63"/>
      <x:c r="F289" s="63"/>
      <x:c r="G289" s="63"/>
      <x:c r="H289" s="63"/>
      <x:c r="I289" s="63"/>
    </x:row>
    <x:row r="290" ht="30" customHeight="1">
      <x:c r="C290" s="64"/>
      <x:c r="D290" s="63"/>
      <x:c r="E290" s="63"/>
      <x:c r="F290" s="63"/>
      <x:c r="G290" s="63"/>
      <x:c r="H290" s="63"/>
      <x:c r="I290" s="63"/>
    </x:row>
    <x:row r="291" ht="30" customHeight="1">
      <x:c r="C291" s="64"/>
      <x:c r="D291" s="63"/>
      <x:c r="E291" s="63"/>
      <x:c r="F291" s="63"/>
      <x:c r="G291" s="63"/>
      <x:c r="H291" s="63"/>
      <x:c r="I291" s="63"/>
    </x:row>
    <x:row r="292" ht="30" customHeight="1">
      <x:c r="C292" s="64"/>
      <x:c r="D292" s="63"/>
      <x:c r="E292" s="63"/>
      <x:c r="F292" s="63"/>
      <x:c r="G292" s="63"/>
      <x:c r="H292" s="63"/>
      <x:c r="I292" s="63"/>
    </x:row>
    <x:row r="293" ht="30" customHeight="1">
      <x:c r="C293" s="64"/>
      <x:c r="D293" s="63"/>
      <x:c r="E293" s="63"/>
      <x:c r="F293" s="63"/>
      <x:c r="G293" s="63"/>
      <x:c r="H293" s="63"/>
      <x:c r="I293" s="63"/>
    </x:row>
    <x:row r="294" ht="30" customHeight="1">
      <x:c r="C294" s="64"/>
      <x:c r="D294" s="63"/>
      <x:c r="E294" s="63"/>
      <x:c r="F294" s="63"/>
      <x:c r="G294" s="63"/>
      <x:c r="H294" s="63"/>
      <x:c r="I294" s="63"/>
    </x:row>
    <x:row r="295" ht="30" customHeight="1">
      <x:c r="C295" s="64"/>
      <x:c r="D295" s="63"/>
      <x:c r="E295" s="63"/>
      <x:c r="F295" s="63"/>
      <x:c r="G295" s="63"/>
      <x:c r="H295" s="63"/>
      <x:c r="I295" s="63"/>
    </x:row>
    <x:row r="296" ht="30" customHeight="1">
      <x:c r="C296" s="64"/>
      <x:c r="D296" s="63"/>
      <x:c r="E296" s="63"/>
      <x:c r="F296" s="63"/>
      <x:c r="G296" s="63"/>
      <x:c r="H296" s="63"/>
      <x:c r="I296" s="63"/>
    </x:row>
    <x:row r="297" ht="30" customHeight="1">
      <x:c r="C297" s="64"/>
      <x:c r="D297" s="63"/>
      <x:c r="E297" s="63"/>
      <x:c r="F297" s="63"/>
      <x:c r="G297" s="63"/>
      <x:c r="H297" s="63"/>
      <x:c r="I297" s="63"/>
    </x:row>
    <x:row r="298" ht="30" customHeight="1">
      <x:c r="C298" s="64"/>
      <x:c r="D298" s="63"/>
      <x:c r="E298" s="63"/>
      <x:c r="F298" s="63"/>
      <x:c r="G298" s="63"/>
      <x:c r="H298" s="63"/>
      <x:c r="I298" s="63"/>
    </x:row>
    <x:row r="299" ht="30" customHeight="1">
      <x:c r="C299" s="64"/>
      <x:c r="D299" s="63"/>
      <x:c r="E299" s="63"/>
      <x:c r="F299" s="63"/>
      <x:c r="G299" s="63"/>
      <x:c r="H299" s="63"/>
      <x:c r="I299" s="63"/>
    </x:row>
    <x:row r="300" ht="30" customHeight="1">
      <x:c r="C300" s="64"/>
      <x:c r="D300" s="63"/>
      <x:c r="E300" s="63"/>
      <x:c r="F300" s="63"/>
      <x:c r="G300" s="63"/>
      <x:c r="H300" s="63"/>
      <x:c r="I300" s="63"/>
    </x:row>
    <x:row r="301" ht="30" customHeight="1">
      <x:c r="C301" s="64"/>
      <x:c r="D301" s="63"/>
      <x:c r="E301" s="63"/>
      <x:c r="F301" s="63"/>
      <x:c r="G301" s="63"/>
      <x:c r="H301" s="63"/>
      <x:c r="I301" s="63"/>
    </x:row>
    <x:row r="302" ht="30" customHeight="1">
      <x:c r="C302" s="64"/>
      <x:c r="D302" s="63"/>
      <x:c r="E302" s="63"/>
      <x:c r="F302" s="63"/>
      <x:c r="G302" s="63"/>
      <x:c r="H302" s="63"/>
      <x:c r="I302" s="63"/>
    </x:row>
    <x:row r="303" ht="30" customHeight="1">
      <x:c r="C303" s="64"/>
      <x:c r="D303" s="63"/>
      <x:c r="E303" s="63"/>
      <x:c r="F303" s="63"/>
      <x:c r="G303" s="63"/>
      <x:c r="H303" s="63"/>
      <x:c r="I303" s="63"/>
    </x:row>
    <x:row r="304" ht="30" customHeight="1">
      <x:c r="C304" s="64"/>
      <x:c r="D304" s="63"/>
      <x:c r="E304" s="63"/>
      <x:c r="F304" s="63"/>
      <x:c r="G304" s="63"/>
      <x:c r="H304" s="63"/>
      <x:c r="I304" s="63"/>
    </x:row>
    <x:row r="305" ht="30" customHeight="1">
      <x:c r="C305" s="64"/>
      <x:c r="D305" s="63"/>
      <x:c r="E305" s="63"/>
      <x:c r="F305" s="63"/>
      <x:c r="G305" s="63"/>
      <x:c r="H305" s="63"/>
      <x:c r="I305" s="63"/>
    </x:row>
    <x:row r="306" ht="30" customHeight="1">
      <x:c r="C306" s="64"/>
      <x:c r="D306" s="63"/>
      <x:c r="E306" s="63"/>
      <x:c r="F306" s="63"/>
      <x:c r="G306" s="63"/>
      <x:c r="H306" s="63"/>
      <x:c r="I306" s="63"/>
    </x:row>
    <x:row r="307" ht="30" customHeight="1">
      <x:c r="C307" s="64"/>
      <x:c r="D307" s="63"/>
      <x:c r="E307" s="63"/>
      <x:c r="F307" s="63"/>
      <x:c r="G307" s="63"/>
      <x:c r="H307" s="63"/>
      <x:c r="I307" s="63"/>
    </x:row>
    <x:row r="308" ht="30" customHeight="1">
      <x:c r="C308" s="64"/>
      <x:c r="D308" s="63"/>
      <x:c r="E308" s="63"/>
      <x:c r="F308" s="63"/>
      <x:c r="G308" s="63"/>
      <x:c r="H308" s="63"/>
      <x:c r="I308" s="63"/>
    </x:row>
    <x:row r="309" ht="30" customHeight="1">
      <x:c r="C309" s="64"/>
      <x:c r="D309" s="63"/>
      <x:c r="E309" s="63"/>
      <x:c r="F309" s="63"/>
      <x:c r="G309" s="63"/>
      <x:c r="H309" s="63"/>
      <x:c r="I309" s="63"/>
    </x:row>
    <x:row r="310" ht="30" customHeight="1">
      <x:c r="C310" s="64"/>
      <x:c r="D310" s="63"/>
      <x:c r="E310" s="63"/>
      <x:c r="F310" s="63"/>
      <x:c r="G310" s="63"/>
      <x:c r="H310" s="63"/>
      <x:c r="I310" s="63"/>
    </x:row>
    <x:row r="311" ht="30" customHeight="1">
      <x:c r="C311" s="64"/>
      <x:c r="D311" s="63"/>
      <x:c r="E311" s="63"/>
      <x:c r="F311" s="63"/>
      <x:c r="G311" s="63"/>
      <x:c r="H311" s="63"/>
      <x:c r="I311" s="63"/>
    </x:row>
    <x:row r="312" ht="30" customHeight="1">
      <x:c r="C312" s="64"/>
      <x:c r="D312" s="63"/>
      <x:c r="E312" s="63"/>
      <x:c r="F312" s="63"/>
      <x:c r="G312" s="63"/>
      <x:c r="H312" s="63"/>
      <x:c r="I312" s="63"/>
    </x:row>
    <x:row r="313" ht="30" customHeight="1">
      <x:c r="C313" s="64"/>
      <x:c r="D313" s="63"/>
      <x:c r="E313" s="63"/>
      <x:c r="F313" s="63"/>
      <x:c r="G313" s="63"/>
      <x:c r="H313" s="63"/>
      <x:c r="I313" s="63"/>
    </x:row>
    <x:row r="314" ht="30" customHeight="1">
      <x:c r="C314" s="64"/>
      <x:c r="D314" s="63"/>
      <x:c r="E314" s="63"/>
      <x:c r="F314" s="63"/>
      <x:c r="G314" s="63"/>
      <x:c r="H314" s="63"/>
      <x:c r="I314" s="63"/>
    </x:row>
    <x:row r="315" ht="30" customHeight="1">
      <x:c r="C315" s="64"/>
      <x:c r="D315" s="63"/>
      <x:c r="E315" s="63"/>
      <x:c r="F315" s="63"/>
      <x:c r="G315" s="63"/>
      <x:c r="H315" s="63"/>
      <x:c r="I315" s="63"/>
    </x:row>
    <x:row r="316" ht="30" customHeight="1">
      <x:c r="C316" s="64"/>
      <x:c r="D316" s="63"/>
      <x:c r="E316" s="63"/>
      <x:c r="F316" s="63"/>
      <x:c r="G316" s="63"/>
      <x:c r="H316" s="63"/>
      <x:c r="I316" s="63"/>
    </x:row>
    <x:row r="317" ht="30" customHeight="1">
      <x:c r="C317" s="64"/>
      <x:c r="D317" s="63"/>
      <x:c r="E317" s="63"/>
      <x:c r="F317" s="63"/>
      <x:c r="G317" s="63"/>
      <x:c r="H317" s="63"/>
      <x:c r="I317" s="63"/>
    </x:row>
    <x:row r="318" ht="30" customHeight="1">
      <x:c r="C318" s="64"/>
      <x:c r="D318" s="63"/>
      <x:c r="E318" s="63"/>
      <x:c r="F318" s="63"/>
      <x:c r="G318" s="63"/>
      <x:c r="H318" s="63"/>
      <x:c r="I318" s="63"/>
    </x:row>
    <x:row r="319" ht="30" customHeight="1">
      <x:c r="C319" s="64"/>
      <x:c r="D319" s="63"/>
      <x:c r="E319" s="63"/>
      <x:c r="F319" s="63"/>
      <x:c r="G319" s="63"/>
      <x:c r="H319" s="63"/>
      <x:c r="I319" s="63"/>
    </x:row>
    <x:row r="320" ht="30" customHeight="1">
      <x:c r="C320" s="64"/>
      <x:c r="D320" s="63"/>
      <x:c r="E320" s="63"/>
      <x:c r="F320" s="63"/>
      <x:c r="G320" s="63"/>
      <x:c r="H320" s="63"/>
      <x:c r="I320" s="63"/>
    </x:row>
    <x:row r="321" ht="30" customHeight="1">
      <x:c r="C321" s="64"/>
      <x:c r="D321" s="63"/>
      <x:c r="E321" s="63"/>
      <x:c r="F321" s="63"/>
      <x:c r="G321" s="63"/>
      <x:c r="H321" s="63"/>
      <x:c r="I321" s="63"/>
    </x:row>
    <x:row r="322" ht="30" customHeight="1">
      <x:c r="C322" s="64"/>
      <x:c r="D322" s="63"/>
      <x:c r="E322" s="63"/>
      <x:c r="F322" s="63"/>
      <x:c r="G322" s="63"/>
      <x:c r="H322" s="63"/>
      <x:c r="I322" s="63"/>
    </x:row>
    <x:row r="323" ht="30" customHeight="1">
      <x:c r="C323" s="64"/>
      <x:c r="D323" s="63"/>
      <x:c r="E323" s="63"/>
      <x:c r="F323" s="63"/>
      <x:c r="G323" s="63"/>
      <x:c r="H323" s="63"/>
      <x:c r="I323" s="63"/>
    </x:row>
    <x:row r="324" ht="30" customHeight="1">
      <x:c r="C324" s="64"/>
      <x:c r="D324" s="63"/>
      <x:c r="E324" s="63"/>
      <x:c r="F324" s="63"/>
      <x:c r="G324" s="63"/>
      <x:c r="H324" s="63"/>
      <x:c r="I324" s="63"/>
    </x:row>
    <x:row r="325" ht="30" customHeight="1">
      <x:c r="C325" s="64"/>
      <x:c r="D325" s="63"/>
      <x:c r="E325" s="63"/>
      <x:c r="F325" s="63"/>
      <x:c r="G325" s="63"/>
      <x:c r="H325" s="63"/>
      <x:c r="I325" s="63"/>
    </x:row>
    <x:row r="326" ht="30" customHeight="1">
      <x:c r="C326" s="64"/>
      <x:c r="D326" s="63"/>
      <x:c r="E326" s="63"/>
      <x:c r="F326" s="63"/>
      <x:c r="G326" s="63"/>
      <x:c r="H326" s="63"/>
      <x:c r="I326" s="63"/>
    </x:row>
    <x:row r="327" ht="30" customHeight="1">
      <x:c r="C327" s="64"/>
      <x:c r="D327" s="63"/>
      <x:c r="E327" s="63"/>
      <x:c r="F327" s="63"/>
      <x:c r="G327" s="63"/>
      <x:c r="H327" s="63"/>
      <x:c r="I327" s="63"/>
    </x:row>
    <x:row r="328" ht="30" customHeight="1">
      <x:c r="C328" s="64"/>
      <x:c r="D328" s="63"/>
      <x:c r="E328" s="63"/>
      <x:c r="F328" s="63"/>
      <x:c r="G328" s="63"/>
      <x:c r="H328" s="63"/>
      <x:c r="I328" s="63"/>
    </x:row>
    <x:row r="329" ht="30" customHeight="1">
      <x:c r="C329" s="64"/>
      <x:c r="D329" s="63"/>
      <x:c r="E329" s="63"/>
      <x:c r="F329" s="63"/>
      <x:c r="G329" s="63"/>
      <x:c r="H329" s="63"/>
      <x:c r="I329" s="63"/>
    </x:row>
    <x:row r="330" ht="30" customHeight="1">
      <x:c r="C330" s="64"/>
      <x:c r="D330" s="63"/>
      <x:c r="E330" s="63"/>
      <x:c r="F330" s="63"/>
      <x:c r="G330" s="63"/>
      <x:c r="H330" s="63"/>
      <x:c r="I330" s="63"/>
    </x:row>
    <x:row r="331" ht="30" customHeight="1">
      <x:c r="C331" s="64"/>
      <x:c r="D331" s="63"/>
      <x:c r="E331" s="63"/>
      <x:c r="F331" s="63"/>
      <x:c r="G331" s="63"/>
      <x:c r="H331" s="63"/>
      <x:c r="I331" s="63"/>
    </x:row>
    <x:row r="332" ht="30" customHeight="1">
      <x:c r="C332" s="64"/>
      <x:c r="D332" s="63"/>
      <x:c r="E332" s="63"/>
      <x:c r="F332" s="63"/>
      <x:c r="G332" s="63"/>
      <x:c r="H332" s="63"/>
      <x:c r="I332" s="63"/>
    </x:row>
    <x:row r="333" ht="30" customHeight="1">
      <x:c r="C333" s="64"/>
      <x:c r="D333" s="63"/>
      <x:c r="E333" s="63"/>
      <x:c r="F333" s="63"/>
      <x:c r="G333" s="63"/>
      <x:c r="H333" s="63"/>
      <x:c r="I333" s="63"/>
    </x:row>
    <x:row r="334" ht="30" customHeight="1">
      <x:c r="C334" s="64"/>
      <x:c r="D334" s="63"/>
      <x:c r="E334" s="63"/>
      <x:c r="F334" s="63"/>
      <x:c r="G334" s="63"/>
      <x:c r="H334" s="63"/>
      <x:c r="I334" s="63"/>
    </x:row>
    <x:row r="335" ht="30" customHeight="1">
      <x:c r="C335" s="64"/>
      <x:c r="D335" s="63"/>
      <x:c r="E335" s="63"/>
      <x:c r="F335" s="63"/>
      <x:c r="G335" s="63"/>
      <x:c r="H335" s="63"/>
      <x:c r="I335" s="63"/>
    </x:row>
    <x:row r="336" ht="30" customHeight="1">
      <x:c r="C336" s="64"/>
      <x:c r="D336" s="63"/>
      <x:c r="E336" s="63"/>
      <x:c r="F336" s="63"/>
      <x:c r="G336" s="63"/>
      <x:c r="H336" s="63"/>
      <x:c r="I336" s="63"/>
    </x:row>
    <x:row r="337" ht="30" customHeight="1">
      <x:c r="C337" s="64"/>
      <x:c r="D337" s="63"/>
      <x:c r="E337" s="63"/>
      <x:c r="F337" s="63"/>
      <x:c r="G337" s="63"/>
      <x:c r="H337" s="63"/>
      <x:c r="I337" s="63"/>
    </x:row>
    <x:row r="338" ht="30" customHeight="1">
      <x:c r="C338" s="64"/>
      <x:c r="D338" s="63"/>
      <x:c r="E338" s="63"/>
      <x:c r="F338" s="63"/>
      <x:c r="G338" s="63"/>
      <x:c r="H338" s="63"/>
      <x:c r="I338" s="63"/>
    </x:row>
    <x:row r="339" ht="30" customHeight="1">
      <x:c r="C339" s="64"/>
      <x:c r="D339" s="63"/>
      <x:c r="E339" s="63"/>
      <x:c r="F339" s="63"/>
      <x:c r="G339" s="63"/>
      <x:c r="H339" s="63"/>
      <x:c r="I339" s="63"/>
    </x:row>
    <x:row r="340" ht="30" customHeight="1">
      <x:c r="C340" s="64"/>
      <x:c r="D340" s="63"/>
      <x:c r="E340" s="63"/>
      <x:c r="F340" s="63"/>
      <x:c r="G340" s="63"/>
      <x:c r="H340" s="63"/>
      <x:c r="I340" s="63"/>
    </x:row>
    <x:row r="341" ht="30" customHeight="1">
      <x:c r="C341" s="64"/>
      <x:c r="D341" s="63"/>
      <x:c r="E341" s="63"/>
      <x:c r="F341" s="63"/>
      <x:c r="G341" s="63"/>
      <x:c r="H341" s="63"/>
      <x:c r="I341" s="63"/>
    </x:row>
    <x:row r="342" ht="30" customHeight="1">
      <x:c r="C342" s="64"/>
      <x:c r="D342" s="63"/>
      <x:c r="E342" s="63"/>
      <x:c r="F342" s="63"/>
      <x:c r="G342" s="63"/>
      <x:c r="H342" s="63"/>
      <x:c r="I342" s="63"/>
    </x:row>
    <x:row r="343" ht="30" customHeight="1">
      <x:c r="C343" s="64"/>
      <x:c r="D343" s="63"/>
      <x:c r="E343" s="63"/>
      <x:c r="F343" s="63"/>
      <x:c r="G343" s="63"/>
      <x:c r="H343" s="63"/>
      <x:c r="I343" s="63"/>
    </x:row>
    <x:row r="344" ht="30" customHeight="1">
      <x:c r="C344" s="64"/>
      <x:c r="D344" s="63"/>
      <x:c r="E344" s="63"/>
      <x:c r="F344" s="63"/>
      <x:c r="G344" s="63"/>
      <x:c r="H344" s="63"/>
      <x:c r="I344" s="63"/>
    </x:row>
    <x:row r="345" ht="30" customHeight="1">
      <x:c r="C345" s="64"/>
      <x:c r="D345" s="63"/>
      <x:c r="E345" s="63"/>
      <x:c r="F345" s="63"/>
      <x:c r="G345" s="63"/>
      <x:c r="H345" s="63"/>
      <x:c r="I345" s="63"/>
    </x:row>
    <x:row r="346" ht="30" customHeight="1">
      <x:c r="C346" s="64"/>
      <x:c r="D346" s="63"/>
      <x:c r="E346" s="63"/>
      <x:c r="F346" s="63"/>
      <x:c r="G346" s="63"/>
      <x:c r="H346" s="63"/>
      <x:c r="I346" s="63"/>
    </x:row>
    <x:row r="347" ht="30" customHeight="1">
      <x:c r="C347" s="64"/>
      <x:c r="D347" s="63"/>
      <x:c r="E347" s="63"/>
      <x:c r="F347" s="63"/>
      <x:c r="G347" s="63"/>
      <x:c r="H347" s="63"/>
      <x:c r="I347" s="63"/>
    </x:row>
    <x:row r="348" ht="30" customHeight="1">
      <x:c r="C348" s="64"/>
      <x:c r="D348" s="63"/>
      <x:c r="E348" s="63"/>
      <x:c r="F348" s="63"/>
      <x:c r="G348" s="63"/>
      <x:c r="H348" s="63"/>
      <x:c r="I348" s="63"/>
    </x:row>
    <x:row r="349" ht="30" customHeight="1">
      <x:c r="C349" s="64"/>
      <x:c r="D349" s="63"/>
      <x:c r="E349" s="63"/>
      <x:c r="F349" s="63"/>
      <x:c r="G349" s="63"/>
      <x:c r="H349" s="63"/>
      <x:c r="I349" s="63"/>
    </x:row>
    <x:row r="350" ht="30" customHeight="1">
      <x:c r="C350" s="64"/>
      <x:c r="D350" s="63"/>
      <x:c r="E350" s="63"/>
      <x:c r="F350" s="63"/>
      <x:c r="G350" s="63"/>
      <x:c r="H350" s="63"/>
      <x:c r="I350" s="63"/>
    </x:row>
    <x:row r="351" ht="30" customHeight="1">
      <x:c r="C351" s="64"/>
      <x:c r="D351" s="63"/>
      <x:c r="E351" s="63"/>
      <x:c r="F351" s="63"/>
      <x:c r="G351" s="63"/>
      <x:c r="H351" s="63"/>
      <x:c r="I351" s="63"/>
    </x:row>
    <x:row r="352" ht="30" customHeight="1">
      <x:c r="C352" s="64"/>
      <x:c r="D352" s="63"/>
      <x:c r="E352" s="63"/>
      <x:c r="F352" s="63"/>
      <x:c r="G352" s="63"/>
      <x:c r="H352" s="63"/>
      <x:c r="I352" s="63"/>
    </x:row>
    <x:row r="353" ht="30" customHeight="1">
      <x:c r="C353" s="64"/>
      <x:c r="D353" s="63"/>
      <x:c r="E353" s="63"/>
      <x:c r="F353" s="63"/>
      <x:c r="G353" s="63"/>
      <x:c r="H353" s="63"/>
      <x:c r="I353" s="63"/>
    </x:row>
    <x:row r="354" ht="30" customHeight="1">
      <x:c r="C354" s="64"/>
      <x:c r="D354" s="63"/>
      <x:c r="E354" s="63"/>
      <x:c r="F354" s="63"/>
      <x:c r="G354" s="63"/>
      <x:c r="H354" s="63"/>
      <x:c r="I354" s="63"/>
    </x:row>
    <x:row r="355" ht="30" customHeight="1">
      <x:c r="C355" s="64"/>
      <x:c r="D355" s="63"/>
      <x:c r="E355" s="63"/>
      <x:c r="F355" s="63"/>
      <x:c r="G355" s="63"/>
      <x:c r="H355" s="63"/>
      <x:c r="I355" s="63"/>
    </x:row>
    <x:row r="356" ht="30" customHeight="1">
      <x:c r="C356" s="64"/>
      <x:c r="D356" s="63"/>
      <x:c r="E356" s="63"/>
      <x:c r="F356" s="63"/>
      <x:c r="G356" s="63"/>
      <x:c r="H356" s="63"/>
      <x:c r="I356" s="63"/>
    </x:row>
    <x:row r="357" ht="30" customHeight="1">
      <x:c r="C357" s="64"/>
      <x:c r="D357" s="63"/>
      <x:c r="E357" s="63"/>
      <x:c r="F357" s="63"/>
      <x:c r="G357" s="63"/>
      <x:c r="H357" s="63"/>
      <x:c r="I357" s="63"/>
    </x:row>
    <x:row r="358" ht="30" customHeight="1">
      <x:c r="C358" s="64"/>
      <x:c r="D358" s="63"/>
      <x:c r="E358" s="63"/>
      <x:c r="F358" s="63"/>
      <x:c r="G358" s="63"/>
      <x:c r="H358" s="63"/>
      <x:c r="I358" s="63"/>
    </x:row>
    <x:row r="359" ht="30" customHeight="1">
      <x:c r="C359" s="64"/>
      <x:c r="D359" s="63"/>
      <x:c r="E359" s="63"/>
      <x:c r="F359" s="63"/>
      <x:c r="G359" s="63"/>
      <x:c r="H359" s="63"/>
      <x:c r="I359" s="63"/>
    </x:row>
    <x:row r="360" ht="30" customHeight="1">
      <x:c r="C360" s="64"/>
      <x:c r="D360" s="63"/>
      <x:c r="E360" s="63"/>
      <x:c r="F360" s="63"/>
      <x:c r="G360" s="63"/>
      <x:c r="H360" s="63"/>
      <x:c r="I360" s="63"/>
    </x:row>
    <x:row r="361" ht="30" customHeight="1">
      <x:c r="C361" s="64"/>
      <x:c r="D361" s="63"/>
      <x:c r="E361" s="63"/>
      <x:c r="F361" s="63"/>
      <x:c r="G361" s="63"/>
      <x:c r="H361" s="63"/>
      <x:c r="I361" s="63"/>
    </x:row>
    <x:row r="362" ht="30" customHeight="1">
      <x:c r="C362" s="64"/>
      <x:c r="D362" s="63"/>
      <x:c r="E362" s="63"/>
      <x:c r="F362" s="63"/>
      <x:c r="G362" s="63"/>
      <x:c r="H362" s="63"/>
      <x:c r="I362" s="63"/>
    </x:row>
    <x:row r="363" ht="30" customHeight="1">
      <x:c r="C363" s="64"/>
      <x:c r="D363" s="63"/>
      <x:c r="E363" s="63"/>
      <x:c r="F363" s="63"/>
      <x:c r="G363" s="63"/>
      <x:c r="H363" s="63"/>
      <x:c r="I363" s="63"/>
    </x:row>
    <x:row r="364" ht="30" customHeight="1">
      <x:c r="C364" s="64"/>
      <x:c r="D364" s="63"/>
      <x:c r="E364" s="63"/>
      <x:c r="F364" s="63"/>
      <x:c r="G364" s="63"/>
      <x:c r="H364" s="63"/>
      <x:c r="I364" s="63"/>
    </x:row>
    <x:row r="365" ht="30" customHeight="1">
      <x:c r="C365" s="64"/>
      <x:c r="D365" s="63"/>
      <x:c r="E365" s="63"/>
      <x:c r="F365" s="63"/>
      <x:c r="G365" s="63"/>
      <x:c r="H365" s="63"/>
      <x:c r="I365" s="63"/>
    </x:row>
    <x:row r="366" ht="30" customHeight="1">
      <x:c r="C366" s="64"/>
      <x:c r="D366" s="63"/>
      <x:c r="E366" s="63"/>
      <x:c r="F366" s="63"/>
      <x:c r="G366" s="63"/>
      <x:c r="H366" s="63"/>
      <x:c r="I366" s="63"/>
    </x:row>
    <x:row r="367" ht="30" customHeight="1">
      <x:c r="C367" s="64"/>
      <x:c r="D367" s="63"/>
      <x:c r="E367" s="63"/>
      <x:c r="F367" s="63"/>
      <x:c r="G367" s="63"/>
      <x:c r="H367" s="63"/>
      <x:c r="I367" s="63"/>
    </x:row>
    <x:row r="368" ht="30" customHeight="1">
      <x:c r="C368" s="64"/>
      <x:c r="D368" s="63"/>
      <x:c r="E368" s="63"/>
      <x:c r="F368" s="63"/>
      <x:c r="G368" s="63"/>
      <x:c r="H368" s="63"/>
      <x:c r="I368" s="63"/>
    </x:row>
    <x:row r="369" ht="30" customHeight="1">
      <x:c r="C369" s="64"/>
      <x:c r="D369" s="63"/>
      <x:c r="E369" s="63"/>
      <x:c r="F369" s="63"/>
      <x:c r="G369" s="63"/>
      <x:c r="H369" s="63"/>
      <x:c r="I369" s="63"/>
    </x:row>
    <x:row r="370" ht="30" customHeight="1">
      <x:c r="C370" s="64"/>
      <x:c r="D370" s="63"/>
      <x:c r="E370" s="63"/>
      <x:c r="F370" s="63"/>
      <x:c r="G370" s="63"/>
      <x:c r="H370" s="63"/>
      <x:c r="I370" s="63"/>
    </x:row>
    <x:row r="371" ht="30" customHeight="1">
      <x:c r="C371" s="64"/>
      <x:c r="D371" s="63"/>
      <x:c r="E371" s="63"/>
      <x:c r="F371" s="63"/>
      <x:c r="G371" s="63"/>
      <x:c r="H371" s="63"/>
      <x:c r="I371" s="63"/>
    </x:row>
    <x:row r="372" ht="30" customHeight="1">
      <x:c r="C372" s="64"/>
      <x:c r="D372" s="63"/>
      <x:c r="E372" s="63"/>
      <x:c r="F372" s="63"/>
      <x:c r="G372" s="63"/>
      <x:c r="H372" s="63"/>
      <x:c r="I372" s="63"/>
    </x:row>
    <x:row r="373" ht="30" customHeight="1">
      <x:c r="C373" s="64"/>
      <x:c r="D373" s="63"/>
      <x:c r="E373" s="63"/>
      <x:c r="F373" s="63"/>
      <x:c r="G373" s="63"/>
      <x:c r="H373" s="63"/>
      <x:c r="I373" s="63"/>
    </x:row>
    <x:row r="374" ht="30" customHeight="1">
      <x:c r="C374" s="64"/>
      <x:c r="D374" s="63"/>
      <x:c r="E374" s="63"/>
      <x:c r="F374" s="63"/>
      <x:c r="G374" s="63"/>
      <x:c r="H374" s="63"/>
      <x:c r="I374" s="63"/>
    </x:row>
    <x:row r="375" ht="30" customHeight="1">
      <x:c r="C375" s="64"/>
      <x:c r="D375" s="63"/>
      <x:c r="E375" s="63"/>
      <x:c r="F375" s="63"/>
      <x:c r="G375" s="63"/>
      <x:c r="H375" s="63"/>
      <x:c r="I375" s="63"/>
    </x:row>
    <x:row r="376" ht="30" customHeight="1">
      <x:c r="C376" s="64"/>
      <x:c r="D376" s="63"/>
      <x:c r="E376" s="63"/>
      <x:c r="F376" s="63"/>
      <x:c r="G376" s="63"/>
      <x:c r="H376" s="63"/>
      <x:c r="I376" s="63"/>
    </x:row>
    <x:row r="377" ht="30" customHeight="1">
      <x:c r="C377" s="64"/>
      <x:c r="D377" s="63"/>
      <x:c r="E377" s="63"/>
      <x:c r="F377" s="63"/>
      <x:c r="G377" s="63"/>
      <x:c r="H377" s="63"/>
      <x:c r="I377" s="63"/>
    </x:row>
    <x:row r="378" ht="30" customHeight="1">
      <x:c r="C378" s="64"/>
      <x:c r="D378" s="63"/>
      <x:c r="E378" s="63"/>
      <x:c r="F378" s="63"/>
      <x:c r="G378" s="63"/>
      <x:c r="H378" s="63"/>
      <x:c r="I378" s="63"/>
    </x:row>
    <x:row r="379" ht="30" customHeight="1">
      <x:c r="C379" s="64"/>
      <x:c r="D379" s="63"/>
      <x:c r="E379" s="63"/>
      <x:c r="F379" s="63"/>
      <x:c r="G379" s="63"/>
      <x:c r="H379" s="63"/>
      <x:c r="I379" s="63"/>
    </x:row>
    <x:row r="380" ht="30" customHeight="1">
      <x:c r="C380" s="64"/>
      <x:c r="D380" s="63"/>
      <x:c r="E380" s="63"/>
      <x:c r="F380" s="63"/>
      <x:c r="G380" s="63"/>
      <x:c r="H380" s="63"/>
      <x:c r="I380" s="63"/>
    </x:row>
    <x:row r="381" ht="30" customHeight="1">
      <x:c r="C381" s="64"/>
      <x:c r="D381" s="63"/>
      <x:c r="E381" s="63"/>
      <x:c r="F381" s="63"/>
      <x:c r="G381" s="63"/>
      <x:c r="H381" s="63"/>
      <x:c r="I381" s="63"/>
    </x:row>
    <x:row r="382" ht="30" customHeight="1">
      <x:c r="C382" s="64"/>
      <x:c r="D382" s="63"/>
      <x:c r="E382" s="63"/>
      <x:c r="F382" s="63"/>
      <x:c r="G382" s="63"/>
      <x:c r="H382" s="63"/>
      <x:c r="I382" s="63"/>
    </x:row>
    <x:row r="383" ht="30" customHeight="1">
      <x:c r="C383" s="64"/>
      <x:c r="D383" s="63"/>
      <x:c r="E383" s="63"/>
      <x:c r="F383" s="63"/>
      <x:c r="G383" s="63"/>
      <x:c r="H383" s="63"/>
      <x:c r="I383" s="63"/>
    </x:row>
    <x:row r="384" ht="30" customHeight="1">
      <x:c r="C384" s="64"/>
      <x:c r="D384" s="63"/>
      <x:c r="E384" s="63"/>
      <x:c r="F384" s="63"/>
      <x:c r="G384" s="63"/>
      <x:c r="H384" s="63"/>
      <x:c r="I384" s="63"/>
    </x:row>
    <x:row r="385" ht="30" customHeight="1">
      <x:c r="C385" s="64"/>
      <x:c r="D385" s="63"/>
      <x:c r="E385" s="63"/>
      <x:c r="F385" s="63"/>
      <x:c r="G385" s="63"/>
      <x:c r="H385" s="63"/>
      <x:c r="I385" s="63"/>
    </x:row>
    <x:row r="386" ht="30" customHeight="1">
      <x:c r="C386" s="64"/>
      <x:c r="D386" s="63"/>
      <x:c r="E386" s="63"/>
      <x:c r="F386" s="63"/>
      <x:c r="G386" s="63"/>
      <x:c r="H386" s="63"/>
      <x:c r="I386" s="63"/>
    </x:row>
    <x:row r="387" ht="30" customHeight="1">
      <x:c r="C387" s="64"/>
      <x:c r="D387" s="63"/>
      <x:c r="E387" s="63"/>
      <x:c r="F387" s="63"/>
      <x:c r="G387" s="63"/>
      <x:c r="H387" s="63"/>
      <x:c r="I387" s="63"/>
    </x:row>
    <x:row r="388" ht="30" customHeight="1">
      <x:c r="C388" s="64"/>
      <x:c r="D388" s="63"/>
      <x:c r="E388" s="63"/>
      <x:c r="F388" s="63"/>
      <x:c r="G388" s="63"/>
      <x:c r="H388" s="63"/>
      <x:c r="I388" s="63"/>
    </x:row>
    <x:row r="389" ht="30" customHeight="1">
      <x:c r="C389" s="64"/>
      <x:c r="D389" s="63"/>
      <x:c r="E389" s="63"/>
      <x:c r="F389" s="63"/>
      <x:c r="G389" s="63"/>
      <x:c r="H389" s="63"/>
      <x:c r="I389" s="63"/>
    </x:row>
    <x:row r="390" ht="30" customHeight="1">
      <x:c r="C390" s="64"/>
      <x:c r="D390" s="63"/>
      <x:c r="E390" s="63"/>
      <x:c r="F390" s="63"/>
      <x:c r="G390" s="63"/>
      <x:c r="H390" s="63"/>
      <x:c r="I390" s="63"/>
    </x:row>
    <x:row r="391" ht="30" customHeight="1">
      <x:c r="C391" s="64"/>
      <x:c r="D391" s="63"/>
      <x:c r="E391" s="63"/>
      <x:c r="F391" s="63"/>
      <x:c r="G391" s="63"/>
      <x:c r="H391" s="63"/>
      <x:c r="I391" s="63"/>
    </x:row>
    <x:row r="392" ht="30" customHeight="1">
      <x:c r="C392" s="64"/>
      <x:c r="D392" s="63"/>
      <x:c r="E392" s="63"/>
      <x:c r="F392" s="63"/>
      <x:c r="G392" s="63"/>
      <x:c r="H392" s="63"/>
      <x:c r="I392" s="63"/>
    </x:row>
    <x:row r="393" ht="30" customHeight="1">
      <x:c r="C393" s="64"/>
      <x:c r="D393" s="63"/>
      <x:c r="E393" s="63"/>
      <x:c r="F393" s="63"/>
      <x:c r="G393" s="63"/>
      <x:c r="H393" s="63"/>
      <x:c r="I393" s="63"/>
    </x:row>
    <x:row r="394" ht="30" customHeight="1">
      <x:c r="C394" s="64"/>
      <x:c r="D394" s="63"/>
      <x:c r="E394" s="63"/>
      <x:c r="F394" s="63"/>
      <x:c r="G394" s="63"/>
      <x:c r="H394" s="63"/>
      <x:c r="I394" s="63"/>
    </x:row>
    <x:row r="395" ht="30" customHeight="1">
      <x:c r="C395" s="64"/>
      <x:c r="D395" s="63"/>
      <x:c r="E395" s="63"/>
      <x:c r="F395" s="63"/>
      <x:c r="G395" s="63"/>
      <x:c r="H395" s="63"/>
      <x:c r="I395" s="63"/>
    </x:row>
    <x:row r="396" ht="30" customHeight="1">
      <x:c r="C396" s="64"/>
      <x:c r="D396" s="63"/>
      <x:c r="E396" s="63"/>
      <x:c r="F396" s="63"/>
      <x:c r="G396" s="63"/>
      <x:c r="H396" s="63"/>
      <x:c r="I396" s="63"/>
    </x:row>
    <x:row r="397" ht="30" customHeight="1">
      <x:c r="C397" s="64"/>
      <x:c r="D397" s="63"/>
      <x:c r="E397" s="63"/>
      <x:c r="F397" s="63"/>
      <x:c r="G397" s="63"/>
      <x:c r="H397" s="63"/>
      <x:c r="I397" s="63"/>
    </x:row>
    <x:row r="398" ht="25" customHeight="1">
      <x:c r="C398" s="68" t="str">
        <x:v>SCENARIO ASSUMPTIONS</x:v>
      </x:c>
      <x:c r="D398" s="82"/>
      <x:c r="E398" s="82"/>
      <x:c r="F398" s="82"/>
      <x:c r="G398" s="82"/>
      <x:c r="H398" s="82"/>
      <x:c r="I398" s="82"/>
    </x:row>
    <x:row r="399" ht="30" customHeight="1">
      <x:c r="C399" s="64"/>
      <x:c r="D399" s="63"/>
      <x:c r="E399" s="63"/>
      <x:c r="F399" s="63"/>
      <x:c r="G399" s="63"/>
      <x:c r="H399" s="63"/>
      <x:c r="I399" s="63"/>
    </x:row>
    <x:row r="400" ht="30" customHeight="1">
      <x:c r="C400" s="64" t="str">
        <x:v>Capacity utilization — active</x:v>
      </x:c>
      <x:c r="D400" s="63"/>
      <x:c r="E400" s="83" t="n">
        <x:f>IF(COUNT(CHOOSE('Controls'!$E$5,E401,E402,E403))=1,CHOOSE('Controls'!$E$5,E401,E402,E403),NA())</x:f>
        <x:v>1</x:v>
      </x:c>
      <x:c r="F400" s="83" t="n">
        <x:f>IF(COUNT(CHOOSE('Controls'!$E$5,F401,F402,F403))=1,CHOOSE('Controls'!$E$5,F401,F402,F403),NA())</x:f>
        <x:v>1</x:v>
      </x:c>
      <x:c r="G400" s="83" t="n">
        <x:f>IF(COUNT(CHOOSE('Controls'!$E$5,G401,G402,G403))=1,CHOOSE('Controls'!$E$5,G401,G402,G403),NA())</x:f>
        <x:v>1</x:v>
      </x:c>
      <x:c r="H400" s="83" t="n">
        <x:f>IF(COUNT(CHOOSE('Controls'!$E$5,H401,H402,H403))=1,CHOOSE('Controls'!$E$5,H401,H402,H403),NA())</x:f>
        <x:v>1</x:v>
      </x:c>
      <x:c r="I400" s="83" t="n">
        <x:f>IF(COUNT(CHOOSE('Controls'!$E$5,I401,I402,I403))=1,CHOOSE('Controls'!$E$5,I401,I402,I403),NA())</x:f>
        <x:v>1</x:v>
      </x:c>
    </x:row>
    <x:row r="401" ht="30" customHeight="1">
      <x:c r="C401" s="64" t="str">
        <x:v>Base</x:v>
      </x:c>
      <x:c r="D401" s="63"/>
      <x:c r="E401" s="85" t="n">
        <x:v>1</x:v>
      </x:c>
      <x:c r="F401" s="85" t="n">
        <x:v>1</x:v>
      </x:c>
      <x:c r="G401" s="85" t="n">
        <x:v>1</x:v>
      </x:c>
      <x:c r="H401" s="85" t="n">
        <x:v>1</x:v>
      </x:c>
      <x:c r="I401" s="85" t="n">
        <x:v>1</x:v>
      </x:c>
    </x:row>
    <x:row r="402" ht="30" customHeight="1">
      <x:c r="C402" s="64" t="str">
        <x:v>Downside</x:v>
      </x:c>
      <x:c r="D402" s="63"/>
      <x:c r="E402" s="85" t="n">
        <x:v>1</x:v>
      </x:c>
      <x:c r="F402" s="85" t="n">
        <x:v>1</x:v>
      </x:c>
      <x:c r="G402" s="85" t="n">
        <x:v>1</x:v>
      </x:c>
      <x:c r="H402" s="85" t="n">
        <x:v>1</x:v>
      </x:c>
      <x:c r="I402" s="85" t="n">
        <x:v>1</x:v>
      </x:c>
    </x:row>
    <x:row r="403" ht="30" customHeight="1">
      <x:c r="C403" s="64" t="str">
        <x:v>Upside</x:v>
      </x:c>
      <x:c r="D403" s="63"/>
      <x:c r="E403" s="85" t="n">
        <x:v>1</x:v>
      </x:c>
      <x:c r="F403" s="85" t="n">
        <x:v>1</x:v>
      </x:c>
      <x:c r="G403" s="85" t="n">
        <x:v>1</x:v>
      </x:c>
      <x:c r="H403" s="85" t="n">
        <x:v>1</x:v>
      </x:c>
      <x:c r="I403" s="85" t="n">
        <x:v>1</x:v>
      </x:c>
    </x:row>
    <x:row r="404" ht="30" customHeight="1">
      <x:c r="C404" s="64"/>
      <x:c r="D404" s="63"/>
      <x:c r="E404" s="63"/>
      <x:c r="F404" s="63"/>
      <x:c r="G404" s="63"/>
      <x:c r="H404" s="63"/>
      <x:c r="I404" s="63"/>
    </x:row>
    <x:row r="405" ht="30" customHeight="1">
      <x:c r="C405" s="64" t="str">
        <x:v>Merchandise cost / revenue — active</x:v>
      </x:c>
      <x:c r="D405" s="63"/>
      <x:c r="E405" s="83" t="n">
        <x:f>IF(COUNT(CHOOSE('Controls'!$E$5,E406,E407,E408))=1,CHOOSE('Controls'!$E$5,E406,E407,E408),NA())</x:f>
        <x:v>0.62</x:v>
      </x:c>
      <x:c r="F405" s="83" t="n">
        <x:f>IF(COUNT(CHOOSE('Controls'!$E$5,F406,F407,F408))=1,CHOOSE('Controls'!$E$5,F406,F407,F408),NA())</x:f>
        <x:v>0.62</x:v>
      </x:c>
      <x:c r="G405" s="83" t="n">
        <x:f>IF(COUNT(CHOOSE('Controls'!$E$5,G406,G407,G408))=1,CHOOSE('Controls'!$E$5,G406,G407,G408),NA())</x:f>
        <x:v>0.62</x:v>
      </x:c>
      <x:c r="H405" s="83" t="n">
        <x:f>IF(COUNT(CHOOSE('Controls'!$E$5,H406,H407,H408))=1,CHOOSE('Controls'!$E$5,H406,H407,H408),NA())</x:f>
        <x:v>0.62</x:v>
      </x:c>
      <x:c r="I405" s="83" t="n">
        <x:f>IF(COUNT(CHOOSE('Controls'!$E$5,I406,I407,I408))=1,CHOOSE('Controls'!$E$5,I406,I407,I408),NA())</x:f>
        <x:v>0.62</x:v>
      </x:c>
    </x:row>
    <x:row r="406" ht="30" customHeight="1">
      <x:c r="C406" s="64" t="str">
        <x:v>Base</x:v>
      </x:c>
      <x:c r="D406" s="63"/>
      <x:c r="E406" s="85" t="n">
        <x:v>0.62</x:v>
      </x:c>
      <x:c r="F406" s="85" t="n">
        <x:v>0.62</x:v>
      </x:c>
      <x:c r="G406" s="85" t="n">
        <x:v>0.62</x:v>
      </x:c>
      <x:c r="H406" s="85" t="n">
        <x:v>0.62</x:v>
      </x:c>
      <x:c r="I406" s="85" t="n">
        <x:v>0.62</x:v>
      </x:c>
    </x:row>
    <x:row r="407" ht="30" customHeight="1">
      <x:c r="C407" s="64" t="str">
        <x:v>Downside</x:v>
      </x:c>
      <x:c r="D407" s="63"/>
      <x:c r="E407" s="85" t="n">
        <x:v>0.62</x:v>
      </x:c>
      <x:c r="F407" s="85" t="n">
        <x:v>0.62</x:v>
      </x:c>
      <x:c r="G407" s="85" t="n">
        <x:v>0.62</x:v>
      </x:c>
      <x:c r="H407" s="85" t="n">
        <x:v>0.62</x:v>
      </x:c>
      <x:c r="I407" s="85" t="n">
        <x:v>0.62</x:v>
      </x:c>
    </x:row>
    <x:row r="408" ht="30" customHeight="1">
      <x:c r="C408" s="64" t="str">
        <x:v>Upside</x:v>
      </x:c>
      <x:c r="D408" s="63"/>
      <x:c r="E408" s="85" t="n">
        <x:v>0.62</x:v>
      </x:c>
      <x:c r="F408" s="85" t="n">
        <x:v>0.62</x:v>
      </x:c>
      <x:c r="G408" s="85" t="n">
        <x:v>0.62</x:v>
      </x:c>
      <x:c r="H408" s="85" t="n">
        <x:v>0.62</x:v>
      </x:c>
      <x:c r="I408" s="85" t="n">
        <x:v>0.62</x:v>
      </x:c>
    </x:row>
    <x:row r="409" ht="30" customHeight="1">
      <x:c r="C409" s="64"/>
      <x:c r="D409" s="63"/>
      <x:c r="E409" s="63"/>
      <x:c r="F409" s="63"/>
      <x:c r="G409" s="63"/>
      <x:c r="H409" s="63"/>
      <x:c r="I409" s="63"/>
    </x:row>
    <x:row r="410" ht="30" customHeight="1">
      <x:c r="C410" s="64" t="str">
        <x:v>Other cash operating costs / revenue — active</x:v>
      </x:c>
      <x:c r="D410" s="63"/>
      <x:c r="E410" s="83" t="n">
        <x:f>IF(COUNT(CHOOSE('Controls'!$E$5,E411,E412,E413))=1,CHOOSE('Controls'!$E$5,E411,E412,E413),NA())</x:f>
        <x:v>0.25</x:v>
      </x:c>
      <x:c r="F410" s="83" t="n">
        <x:f>IF(COUNT(CHOOSE('Controls'!$E$5,F411,F412,F413))=1,CHOOSE('Controls'!$E$5,F411,F412,F413),NA())</x:f>
        <x:v>0.25</x:v>
      </x:c>
      <x:c r="G410" s="83" t="n">
        <x:f>IF(COUNT(CHOOSE('Controls'!$E$5,G411,G412,G413))=1,CHOOSE('Controls'!$E$5,G411,G412,G413),NA())</x:f>
        <x:v>0.25</x:v>
      </x:c>
      <x:c r="H410" s="83" t="n">
        <x:f>IF(COUNT(CHOOSE('Controls'!$E$5,H411,H412,H413))=1,CHOOSE('Controls'!$E$5,H411,H412,H413),NA())</x:f>
        <x:v>0.25</x:v>
      </x:c>
      <x:c r="I410" s="83" t="n">
        <x:f>IF(COUNT(CHOOSE('Controls'!$E$5,I411,I412,I413))=1,CHOOSE('Controls'!$E$5,I411,I412,I413),NA())</x:f>
        <x:v>0.25</x:v>
      </x:c>
    </x:row>
    <x:row r="411" ht="30" customHeight="1">
      <x:c r="C411" s="64" t="str">
        <x:v>Base</x:v>
      </x:c>
      <x:c r="D411" s="63"/>
      <x:c r="E411" s="85" t="n">
        <x:v>0.25</x:v>
      </x:c>
      <x:c r="F411" s="85" t="n">
        <x:v>0.25</x:v>
      </x:c>
      <x:c r="G411" s="85" t="n">
        <x:v>0.25</x:v>
      </x:c>
      <x:c r="H411" s="85" t="n">
        <x:v>0.25</x:v>
      </x:c>
      <x:c r="I411" s="85" t="n">
        <x:v>0.25</x:v>
      </x:c>
    </x:row>
    <x:row r="412" ht="30" customHeight="1">
      <x:c r="C412" s="64" t="str">
        <x:v>Downside</x:v>
      </x:c>
      <x:c r="D412" s="63"/>
      <x:c r="E412" s="85" t="n">
        <x:v>0.25</x:v>
      </x:c>
      <x:c r="F412" s="85" t="n">
        <x:v>0.25</x:v>
      </x:c>
      <x:c r="G412" s="85" t="n">
        <x:v>0.25</x:v>
      </x:c>
      <x:c r="H412" s="85" t="n">
        <x:v>0.25</x:v>
      </x:c>
      <x:c r="I412" s="85" t="n">
        <x:v>0.25</x:v>
      </x:c>
    </x:row>
    <x:row r="413" ht="30" customHeight="1">
      <x:c r="C413" s="64" t="str">
        <x:v>Upside</x:v>
      </x:c>
      <x:c r="D413" s="63"/>
      <x:c r="E413" s="85" t="n">
        <x:v>0.25</x:v>
      </x:c>
      <x:c r="F413" s="85" t="n">
        <x:v>0.25</x:v>
      </x:c>
      <x:c r="G413" s="85" t="n">
        <x:v>0.25</x:v>
      </x:c>
      <x:c r="H413" s="85" t="n">
        <x:v>0.25</x:v>
      </x:c>
      <x:c r="I413" s="85" t="n">
        <x:v>0.25</x:v>
      </x:c>
    </x:row>
    <x:row r="414" ht="30" customHeight="1">
      <x:c r="C414" s="64"/>
      <x:c r="D414" s="63"/>
      <x:c r="E414" s="63"/>
      <x:c r="F414" s="63"/>
      <x:c r="G414" s="63"/>
      <x:c r="H414" s="63"/>
      <x:c r="I414" s="63"/>
    </x:row>
    <x:row r="415" ht="30" customHeight="1">
      <x:c r="C415" s="64" t="str">
        <x:v>Cash capex / revenue — active</x:v>
      </x:c>
      <x:c r="D415" s="63"/>
      <x:c r="E415" s="83" t="n">
        <x:f>IF(COUNT(CHOOSE('Controls'!$E$5,E416,E417,E418))=1,CHOOSE('Controls'!$E$5,E416,E417,E418),NA())</x:f>
        <x:v>0.055</x:v>
      </x:c>
      <x:c r="F415" s="83" t="n">
        <x:f>IF(COUNT(CHOOSE('Controls'!$E$5,F416,F417,F418))=1,CHOOSE('Controls'!$E$5,F416,F417,F418),NA())</x:f>
        <x:v>0.055</x:v>
      </x:c>
      <x:c r="G415" s="83" t="n">
        <x:f>IF(COUNT(CHOOSE('Controls'!$E$5,G416,G417,G418))=1,CHOOSE('Controls'!$E$5,G416,G417,G418),NA())</x:f>
        <x:v>0.055</x:v>
      </x:c>
      <x:c r="H415" s="83" t="n">
        <x:f>IF(COUNT(CHOOSE('Controls'!$E$5,H416,H417,H418))=1,CHOOSE('Controls'!$E$5,H416,H417,H418),NA())</x:f>
        <x:v>0.055</x:v>
      </x:c>
      <x:c r="I415" s="83" t="n">
        <x:f>IF(COUNT(CHOOSE('Controls'!$E$5,I416,I417,I418))=1,CHOOSE('Controls'!$E$5,I416,I417,I418),NA())</x:f>
        <x:v>0.055</x:v>
      </x:c>
    </x:row>
    <x:row r="416" ht="30" customHeight="1">
      <x:c r="C416" s="64" t="str">
        <x:v>Base</x:v>
      </x:c>
      <x:c r="D416" s="63"/>
      <x:c r="E416" s="85" t="n">
        <x:v>0.055</x:v>
      </x:c>
      <x:c r="F416" s="85" t="n">
        <x:v>0.055</x:v>
      </x:c>
      <x:c r="G416" s="85" t="n">
        <x:v>0.055</x:v>
      </x:c>
      <x:c r="H416" s="85" t="n">
        <x:v>0.055</x:v>
      </x:c>
      <x:c r="I416" s="85" t="n">
        <x:v>0.055</x:v>
      </x:c>
    </x:row>
    <x:row r="417" ht="30" customHeight="1">
      <x:c r="C417" s="64" t="str">
        <x:v>Downside</x:v>
      </x:c>
      <x:c r="D417" s="63"/>
      <x:c r="E417" s="85" t="n">
        <x:v>0.055</x:v>
      </x:c>
      <x:c r="F417" s="85" t="n">
        <x:v>0.055</x:v>
      </x:c>
      <x:c r="G417" s="85" t="n">
        <x:v>0.055</x:v>
      </x:c>
      <x:c r="H417" s="85" t="n">
        <x:v>0.055</x:v>
      </x:c>
      <x:c r="I417" s="85" t="n">
        <x:v>0.055</x:v>
      </x:c>
    </x:row>
    <x:row r="418" ht="30" customHeight="1">
      <x:c r="C418" s="64" t="str">
        <x:v>Upside</x:v>
      </x:c>
      <x:c r="D418" s="63"/>
      <x:c r="E418" s="85" t="n">
        <x:v>0.055</x:v>
      </x:c>
      <x:c r="F418" s="85" t="n">
        <x:v>0.055</x:v>
      </x:c>
      <x:c r="G418" s="85" t="n">
        <x:v>0.055</x:v>
      </x:c>
      <x:c r="H418" s="85" t="n">
        <x:v>0.055</x:v>
      </x:c>
      <x:c r="I418" s="85" t="n">
        <x:v>0.055</x:v>
      </x:c>
    </x:row>
    <x:row r="419" ht="30" customHeight="1">
      <x:c r="C419" s="64"/>
      <x:c r="D419" s="63"/>
      <x:c r="E419" s="63"/>
      <x:c r="F419" s="63"/>
      <x:c r="G419" s="63"/>
      <x:c r="H419" s="63"/>
      <x:c r="I419" s="63"/>
    </x:row>
    <x:row r="420" ht="30" customHeight="1">
      <x:c r="C420" s="64" t="str">
        <x:v>D&amp;A / opening net PP&amp;E — active</x:v>
      </x:c>
      <x:c r="D420" s="63"/>
      <x:c r="E420" s="83" t="n">
        <x:f>IF(COUNT(CHOOSE('Controls'!$E$5,E421,E422,E423))=1,CHOOSE('Controls'!$E$5,E421,E422,E423),NA())</x:f>
        <x:v>0.15</x:v>
      </x:c>
      <x:c r="F420" s="83" t="n">
        <x:f>IF(COUNT(CHOOSE('Controls'!$E$5,F421,F422,F423))=1,CHOOSE('Controls'!$E$5,F421,F422,F423),NA())</x:f>
        <x:v>0.15</x:v>
      </x:c>
      <x:c r="G420" s="83" t="n">
        <x:f>IF(COUNT(CHOOSE('Controls'!$E$5,G421,G422,G423))=1,CHOOSE('Controls'!$E$5,G421,G422,G423),NA())</x:f>
        <x:v>0.15</x:v>
      </x:c>
      <x:c r="H420" s="83" t="n">
        <x:f>IF(COUNT(CHOOSE('Controls'!$E$5,H421,H422,H423))=1,CHOOSE('Controls'!$E$5,H421,H422,H423),NA())</x:f>
        <x:v>0.15</x:v>
      </x:c>
      <x:c r="I420" s="83" t="n">
        <x:f>IF(COUNT(CHOOSE('Controls'!$E$5,I421,I422,I423))=1,CHOOSE('Controls'!$E$5,I421,I422,I423),NA())</x:f>
        <x:v>0.15</x:v>
      </x:c>
    </x:row>
    <x:row r="421" ht="30" customHeight="1">
      <x:c r="C421" s="64" t="str">
        <x:v>Base</x:v>
      </x:c>
      <x:c r="D421" s="63"/>
      <x:c r="E421" s="85" t="n">
        <x:v>0.15</x:v>
      </x:c>
      <x:c r="F421" s="85" t="n">
        <x:v>0.15</x:v>
      </x:c>
      <x:c r="G421" s="85" t="n">
        <x:v>0.15</x:v>
      </x:c>
      <x:c r="H421" s="85" t="n">
        <x:v>0.15</x:v>
      </x:c>
      <x:c r="I421" s="85" t="n">
        <x:v>0.15</x:v>
      </x:c>
    </x:row>
    <x:row r="422" ht="30" customHeight="1">
      <x:c r="C422" s="64" t="str">
        <x:v>Downside</x:v>
      </x:c>
      <x:c r="D422" s="63"/>
      <x:c r="E422" s="85" t="n">
        <x:v>0.15</x:v>
      </x:c>
      <x:c r="F422" s="85" t="n">
        <x:v>0.15</x:v>
      </x:c>
      <x:c r="G422" s="85" t="n">
        <x:v>0.15</x:v>
      </x:c>
      <x:c r="H422" s="85" t="n">
        <x:v>0.15</x:v>
      </x:c>
      <x:c r="I422" s="85" t="n">
        <x:v>0.15</x:v>
      </x:c>
    </x:row>
    <x:row r="423" ht="30" customHeight="1">
      <x:c r="C423" s="64" t="str">
        <x:v>Upside</x:v>
      </x:c>
      <x:c r="D423" s="63"/>
      <x:c r="E423" s="85" t="n">
        <x:v>0.15</x:v>
      </x:c>
      <x:c r="F423" s="85" t="n">
        <x:v>0.15</x:v>
      </x:c>
      <x:c r="G423" s="85" t="n">
        <x:v>0.15</x:v>
      </x:c>
      <x:c r="H423" s="85" t="n">
        <x:v>0.15</x:v>
      </x:c>
      <x:c r="I423" s="85" t="n">
        <x:v>0.15</x:v>
      </x:c>
    </x:row>
    <x:row r="424" ht="30" customHeight="1">
      <x:c r="C424" s="64"/>
      <x:c r="D424" s="63"/>
      <x:c r="E424" s="63"/>
      <x:c r="F424" s="63"/>
      <x:c r="G424" s="63"/>
      <x:c r="H424" s="63"/>
      <x:c r="I424" s="63"/>
    </x:row>
    <x:row r="425" ht="30" customHeight="1">
      <x:c r="C425" s="64" t="str">
        <x:v>Receivable days — active</x:v>
      </x:c>
      <x:c r="D425" s="63"/>
      <x:c r="E425" s="8" t="n">
        <x:f>IF(COUNT(CHOOSE('Controls'!$E$5,E426,E427,E428))=1,CHOOSE('Controls'!$E$5,E426,E427,E428),NA())</x:f>
        <x:v>3</x:v>
      </x:c>
      <x:c r="F425" s="8" t="n">
        <x:f>IF(COUNT(CHOOSE('Controls'!$E$5,F426,F427,F428))=1,CHOOSE('Controls'!$E$5,F426,F427,F428),NA())</x:f>
        <x:v>3</x:v>
      </x:c>
      <x:c r="G425" s="8" t="n">
        <x:f>IF(COUNT(CHOOSE('Controls'!$E$5,G426,G427,G428))=1,CHOOSE('Controls'!$E$5,G426,G427,G428),NA())</x:f>
        <x:v>3</x:v>
      </x:c>
      <x:c r="H425" s="8" t="n">
        <x:f>IF(COUNT(CHOOSE('Controls'!$E$5,H426,H427,H428))=1,CHOOSE('Controls'!$E$5,H426,H427,H428),NA())</x:f>
        <x:v>3</x:v>
      </x:c>
      <x:c r="I425" s="8" t="n">
        <x:f>IF(COUNT(CHOOSE('Controls'!$E$5,I426,I427,I428))=1,CHOOSE('Controls'!$E$5,I426,I427,I428),NA())</x:f>
        <x:v>3</x:v>
      </x:c>
    </x:row>
    <x:row r="426" ht="30" customHeight="1">
      <x:c r="C426" s="64" t="str">
        <x:v>Base</x:v>
      </x:c>
      <x:c r="D426" s="63"/>
      <x:c r="E426" s="74" t="n">
        <x:v>3</x:v>
      </x:c>
      <x:c r="F426" s="74" t="n">
        <x:v>3</x:v>
      </x:c>
      <x:c r="G426" s="74" t="n">
        <x:v>3</x:v>
      </x:c>
      <x:c r="H426" s="74" t="n">
        <x:v>3</x:v>
      </x:c>
      <x:c r="I426" s="74" t="n">
        <x:v>3</x:v>
      </x:c>
    </x:row>
    <x:row r="427" ht="30" customHeight="1">
      <x:c r="C427" s="64" t="str">
        <x:v>Downside</x:v>
      </x:c>
      <x:c r="D427" s="63"/>
      <x:c r="E427" s="74" t="n">
        <x:v>3</x:v>
      </x:c>
      <x:c r="F427" s="74" t="n">
        <x:v>3</x:v>
      </x:c>
      <x:c r="G427" s="74" t="n">
        <x:v>3</x:v>
      </x:c>
      <x:c r="H427" s="74" t="n">
        <x:v>3</x:v>
      </x:c>
      <x:c r="I427" s="74" t="n">
        <x:v>3</x:v>
      </x:c>
    </x:row>
    <x:row r="428" ht="30" customHeight="1">
      <x:c r="C428" s="64" t="str">
        <x:v>Upside</x:v>
      </x:c>
      <x:c r="D428" s="63"/>
      <x:c r="E428" s="74" t="n">
        <x:v>3</x:v>
      </x:c>
      <x:c r="F428" s="74" t="n">
        <x:v>3</x:v>
      </x:c>
      <x:c r="G428" s="74" t="n">
        <x:v>3</x:v>
      </x:c>
      <x:c r="H428" s="74" t="n">
        <x:v>3</x:v>
      </x:c>
      <x:c r="I428" s="74" t="n">
        <x:v>3</x:v>
      </x:c>
    </x:row>
    <x:row r="429" ht="30" customHeight="1">
      <x:c r="C429" s="64"/>
      <x:c r="D429" s="63"/>
      <x:c r="E429" s="63"/>
      <x:c r="F429" s="63"/>
      <x:c r="G429" s="63"/>
      <x:c r="H429" s="63"/>
      <x:c r="I429" s="63"/>
    </x:row>
    <x:row r="430" ht="30" customHeight="1">
      <x:c r="C430" s="64" t="str">
        <x:v>Inventory days — active</x:v>
      </x:c>
      <x:c r="D430" s="63"/>
      <x:c r="E430" s="8" t="n">
        <x:f>IF(COUNT(CHOOSE('Controls'!$E$5,E431,E432,E433))=1,CHOOSE('Controls'!$E$5,E431,E432,E433),NA())</x:f>
        <x:v>75</x:v>
      </x:c>
      <x:c r="F430" s="8" t="n">
        <x:f>IF(COUNT(CHOOSE('Controls'!$E$5,F431,F432,F433))=1,CHOOSE('Controls'!$E$5,F431,F432,F433),NA())</x:f>
        <x:v>75</x:v>
      </x:c>
      <x:c r="G430" s="8" t="n">
        <x:f>IF(COUNT(CHOOSE('Controls'!$E$5,G431,G432,G433))=1,CHOOSE('Controls'!$E$5,G431,G432,G433),NA())</x:f>
        <x:v>75</x:v>
      </x:c>
      <x:c r="H430" s="8" t="n">
        <x:f>IF(COUNT(CHOOSE('Controls'!$E$5,H431,H432,H433))=1,CHOOSE('Controls'!$E$5,H431,H432,H433),NA())</x:f>
        <x:v>75</x:v>
      </x:c>
      <x:c r="I430" s="8" t="n">
        <x:f>IF(COUNT(CHOOSE('Controls'!$E$5,I431,I432,I433))=1,CHOOSE('Controls'!$E$5,I431,I432,I433),NA())</x:f>
        <x:v>75</x:v>
      </x:c>
    </x:row>
    <x:row r="431" ht="30" customHeight="1">
      <x:c r="C431" s="64" t="str">
        <x:v>Base</x:v>
      </x:c>
      <x:c r="D431" s="63"/>
      <x:c r="E431" s="74" t="n">
        <x:v>75</x:v>
      </x:c>
      <x:c r="F431" s="74" t="n">
        <x:v>75</x:v>
      </x:c>
      <x:c r="G431" s="74" t="n">
        <x:v>75</x:v>
      </x:c>
      <x:c r="H431" s="74" t="n">
        <x:v>75</x:v>
      </x:c>
      <x:c r="I431" s="74" t="n">
        <x:v>75</x:v>
      </x:c>
    </x:row>
    <x:row r="432" ht="30" customHeight="1">
      <x:c r="C432" s="64" t="str">
        <x:v>Downside</x:v>
      </x:c>
      <x:c r="D432" s="63"/>
      <x:c r="E432" s="74" t="n">
        <x:v>75</x:v>
      </x:c>
      <x:c r="F432" s="74" t="n">
        <x:v>75</x:v>
      </x:c>
      <x:c r="G432" s="74" t="n">
        <x:v>75</x:v>
      </x:c>
      <x:c r="H432" s="74" t="n">
        <x:v>75</x:v>
      </x:c>
      <x:c r="I432" s="74" t="n">
        <x:v>75</x:v>
      </x:c>
    </x:row>
    <x:row r="433" ht="30" customHeight="1">
      <x:c r="C433" s="64" t="str">
        <x:v>Upside</x:v>
      </x:c>
      <x:c r="D433" s="63"/>
      <x:c r="E433" s="74" t="n">
        <x:v>75</x:v>
      </x:c>
      <x:c r="F433" s="74" t="n">
        <x:v>75</x:v>
      </x:c>
      <x:c r="G433" s="74" t="n">
        <x:v>75</x:v>
      </x:c>
      <x:c r="H433" s="74" t="n">
        <x:v>75</x:v>
      </x:c>
      <x:c r="I433" s="74" t="n">
        <x:v>75</x:v>
      </x:c>
    </x:row>
    <x:row r="434" ht="30" customHeight="1">
      <x:c r="C434" s="64"/>
      <x:c r="D434" s="63"/>
      <x:c r="E434" s="63"/>
      <x:c r="F434" s="63"/>
      <x:c r="G434" s="63"/>
      <x:c r="H434" s="63"/>
      <x:c r="I434" s="63"/>
    </x:row>
    <x:row r="435" ht="30" customHeight="1">
      <x:c r="C435" s="64" t="str">
        <x:v>Payable days — active</x:v>
      </x:c>
      <x:c r="D435" s="63"/>
      <x:c r="E435" s="8" t="n">
        <x:f>IF(COUNT(CHOOSE('Controls'!$E$5,E436,E437,E438))=1,CHOOSE('Controls'!$E$5,E436,E437,E438),NA())</x:f>
        <x:v>50</x:v>
      </x:c>
      <x:c r="F435" s="8" t="n">
        <x:f>IF(COUNT(CHOOSE('Controls'!$E$5,F436,F437,F438))=1,CHOOSE('Controls'!$E$5,F436,F437,F438),NA())</x:f>
        <x:v>50</x:v>
      </x:c>
      <x:c r="G435" s="8" t="n">
        <x:f>IF(COUNT(CHOOSE('Controls'!$E$5,G436,G437,G438))=1,CHOOSE('Controls'!$E$5,G436,G437,G438),NA())</x:f>
        <x:v>50</x:v>
      </x:c>
      <x:c r="H435" s="8" t="n">
        <x:f>IF(COUNT(CHOOSE('Controls'!$E$5,H436,H437,H438))=1,CHOOSE('Controls'!$E$5,H436,H437,H438),NA())</x:f>
        <x:v>50</x:v>
      </x:c>
      <x:c r="I435" s="8" t="n">
        <x:f>IF(COUNT(CHOOSE('Controls'!$E$5,I436,I437,I438))=1,CHOOSE('Controls'!$E$5,I436,I437,I438),NA())</x:f>
        <x:v>50</x:v>
      </x:c>
    </x:row>
    <x:row r="436" ht="30" customHeight="1">
      <x:c r="C436" s="64" t="str">
        <x:v>Base</x:v>
      </x:c>
      <x:c r="D436" s="63"/>
      <x:c r="E436" s="74" t="n">
        <x:v>50</x:v>
      </x:c>
      <x:c r="F436" s="74" t="n">
        <x:v>50</x:v>
      </x:c>
      <x:c r="G436" s="74" t="n">
        <x:v>50</x:v>
      </x:c>
      <x:c r="H436" s="74" t="n">
        <x:v>50</x:v>
      </x:c>
      <x:c r="I436" s="74" t="n">
        <x:v>50</x:v>
      </x:c>
    </x:row>
    <x:row r="437" ht="30" customHeight="1">
      <x:c r="C437" s="64" t="str">
        <x:v>Downside</x:v>
      </x:c>
      <x:c r="D437" s="63"/>
      <x:c r="E437" s="74" t="n">
        <x:v>50</x:v>
      </x:c>
      <x:c r="F437" s="74" t="n">
        <x:v>50</x:v>
      </x:c>
      <x:c r="G437" s="74" t="n">
        <x:v>50</x:v>
      </x:c>
      <x:c r="H437" s="74" t="n">
        <x:v>50</x:v>
      </x:c>
      <x:c r="I437" s="74" t="n">
        <x:v>50</x:v>
      </x:c>
    </x:row>
    <x:row r="438" ht="30" customHeight="1">
      <x:c r="C438" s="64" t="str">
        <x:v>Upside</x:v>
      </x:c>
      <x:c r="D438" s="63"/>
      <x:c r="E438" s="74" t="n">
        <x:v>50</x:v>
      </x:c>
      <x:c r="F438" s="74" t="n">
        <x:v>50</x:v>
      </x:c>
      <x:c r="G438" s="74" t="n">
        <x:v>50</x:v>
      </x:c>
      <x:c r="H438" s="74" t="n">
        <x:v>50</x:v>
      </x:c>
      <x:c r="I438" s="74" t="n">
        <x:v>50</x:v>
      </x:c>
    </x:row>
    <x:row r="439" ht="30" customHeight="1">
      <x:c r="C439" s="64"/>
      <x:c r="D439" s="63"/>
      <x:c r="E439" s="63"/>
      <x:c r="F439" s="63"/>
      <x:c r="G439" s="63"/>
      <x:c r="H439" s="63"/>
      <x:c r="I439" s="63"/>
    </x:row>
    <x:row r="440" ht="30" customHeight="1">
      <x:c r="C440" s="64" t="str">
        <x:v>Effective cash tax rate — active</x:v>
      </x:c>
      <x:c r="D440" s="63"/>
      <x:c r="E440" s="83" t="n">
        <x:f>IF(COUNT(CHOOSE('Controls'!$E$5,E441,E442,E443))=1,CHOOSE('Controls'!$E$5,E441,E442,E443),NA())</x:f>
        <x:v>0.25</x:v>
      </x:c>
      <x:c r="F440" s="83" t="n">
        <x:f>IF(COUNT(CHOOSE('Controls'!$E$5,F441,F442,F443))=1,CHOOSE('Controls'!$E$5,F441,F442,F443),NA())</x:f>
        <x:v>0.25</x:v>
      </x:c>
      <x:c r="G440" s="83" t="n">
        <x:f>IF(COUNT(CHOOSE('Controls'!$E$5,G441,G442,G443))=1,CHOOSE('Controls'!$E$5,G441,G442,G443),NA())</x:f>
        <x:v>0.25</x:v>
      </x:c>
      <x:c r="H440" s="83" t="n">
        <x:f>IF(COUNT(CHOOSE('Controls'!$E$5,H441,H442,H443))=1,CHOOSE('Controls'!$E$5,H441,H442,H443),NA())</x:f>
        <x:v>0.25</x:v>
      </x:c>
      <x:c r="I440" s="83" t="n">
        <x:f>IF(COUNT(CHOOSE('Controls'!$E$5,I441,I442,I443))=1,CHOOSE('Controls'!$E$5,I441,I442,I443),NA())</x:f>
        <x:v>0.25</x:v>
      </x:c>
    </x:row>
    <x:row r="441" ht="30" customHeight="1">
      <x:c r="C441" s="64" t="str">
        <x:v>Base</x:v>
      </x:c>
      <x:c r="D441" s="63"/>
      <x:c r="E441" s="85" t="n">
        <x:v>0.25</x:v>
      </x:c>
      <x:c r="F441" s="85" t="n">
        <x:v>0.25</x:v>
      </x:c>
      <x:c r="G441" s="85" t="n">
        <x:v>0.25</x:v>
      </x:c>
      <x:c r="H441" s="85" t="n">
        <x:v>0.25</x:v>
      </x:c>
      <x:c r="I441" s="85" t="n">
        <x:v>0.25</x:v>
      </x:c>
    </x:row>
    <x:row r="442" ht="30" customHeight="1">
      <x:c r="C442" s="64" t="str">
        <x:v>Downside</x:v>
      </x:c>
      <x:c r="D442" s="63"/>
      <x:c r="E442" s="85" t="n">
        <x:v>0.25</x:v>
      </x:c>
      <x:c r="F442" s="85" t="n">
        <x:v>0.25</x:v>
      </x:c>
      <x:c r="G442" s="85" t="n">
        <x:v>0.25</x:v>
      </x:c>
      <x:c r="H442" s="85" t="n">
        <x:v>0.25</x:v>
      </x:c>
      <x:c r="I442" s="85" t="n">
        <x:v>0.25</x:v>
      </x:c>
    </x:row>
    <x:row r="443" ht="30" customHeight="1">
      <x:c r="C443" s="64" t="str">
        <x:v>Upside</x:v>
      </x:c>
      <x:c r="D443" s="63"/>
      <x:c r="E443" s="85" t="n">
        <x:v>0.25</x:v>
      </x:c>
      <x:c r="F443" s="85" t="n">
        <x:v>0.25</x:v>
      </x:c>
      <x:c r="G443" s="85" t="n">
        <x:v>0.25</x:v>
      </x:c>
      <x:c r="H443" s="85" t="n">
        <x:v>0.25</x:v>
      </x:c>
      <x:c r="I443" s="85" t="n">
        <x:v>0.25</x:v>
      </x:c>
    </x:row>
    <x:row r="444" ht="30" customHeight="1">
      <x:c r="C444" s="64"/>
      <x:c r="D444" s="63"/>
      <x:c r="E444" s="63"/>
      <x:c r="F444" s="63"/>
      <x:c r="G444" s="63"/>
      <x:c r="H444" s="63"/>
      <x:c r="I444" s="63"/>
    </x:row>
    <x:row r="445" ht="30" customHeight="1">
      <x:c r="C445" s="64" t="str">
        <x:v>Interest on opening debt — active</x:v>
      </x:c>
      <x:c r="D445" s="63"/>
      <x:c r="E445" s="83" t="n">
        <x:f>IF(COUNT(CHOOSE('Controls'!$E$5,E446,E447,E448))=1,CHOOSE('Controls'!$E$5,E446,E447,E448),NA())</x:f>
        <x:v>0.085</x:v>
      </x:c>
      <x:c r="F445" s="83" t="n">
        <x:f>IF(COUNT(CHOOSE('Controls'!$E$5,F446,F447,F448))=1,CHOOSE('Controls'!$E$5,F446,F447,F448),NA())</x:f>
        <x:v>0.085</x:v>
      </x:c>
      <x:c r="G445" s="83" t="n">
        <x:f>IF(COUNT(CHOOSE('Controls'!$E$5,G446,G447,G448))=1,CHOOSE('Controls'!$E$5,G446,G447,G448),NA())</x:f>
        <x:v>0.085</x:v>
      </x:c>
      <x:c r="H445" s="83" t="n">
        <x:f>IF(COUNT(CHOOSE('Controls'!$E$5,H446,H447,H448))=1,CHOOSE('Controls'!$E$5,H446,H447,H448),NA())</x:f>
        <x:v>0.085</x:v>
      </x:c>
      <x:c r="I445" s="83" t="n">
        <x:f>IF(COUNT(CHOOSE('Controls'!$E$5,I446,I447,I448))=1,CHOOSE('Controls'!$E$5,I446,I447,I448),NA())</x:f>
        <x:v>0.085</x:v>
      </x:c>
    </x:row>
    <x:row r="446" ht="30" customHeight="1">
      <x:c r="C446" s="64" t="str">
        <x:v>Base</x:v>
      </x:c>
      <x:c r="D446" s="63"/>
      <x:c r="E446" s="85" t="n">
        <x:v>0.085</x:v>
      </x:c>
      <x:c r="F446" s="85" t="n">
        <x:v>0.085</x:v>
      </x:c>
      <x:c r="G446" s="85" t="n">
        <x:v>0.085</x:v>
      </x:c>
      <x:c r="H446" s="85" t="n">
        <x:v>0.085</x:v>
      </x:c>
      <x:c r="I446" s="85" t="n">
        <x:v>0.085</x:v>
      </x:c>
    </x:row>
    <x:row r="447" ht="30" customHeight="1">
      <x:c r="C447" s="64" t="str">
        <x:v>Downside</x:v>
      </x:c>
      <x:c r="D447" s="63"/>
      <x:c r="E447" s="85" t="n">
        <x:v>0.085</x:v>
      </x:c>
      <x:c r="F447" s="85" t="n">
        <x:v>0.085</x:v>
      </x:c>
      <x:c r="G447" s="85" t="n">
        <x:v>0.085</x:v>
      </x:c>
      <x:c r="H447" s="85" t="n">
        <x:v>0.085</x:v>
      </x:c>
      <x:c r="I447" s="85" t="n">
        <x:v>0.085</x:v>
      </x:c>
    </x:row>
    <x:row r="448" ht="30" customHeight="1">
      <x:c r="C448" s="64" t="str">
        <x:v>Upside</x:v>
      </x:c>
      <x:c r="D448" s="63"/>
      <x:c r="E448" s="85" t="n">
        <x:v>0.085</x:v>
      </x:c>
      <x:c r="F448" s="85" t="n">
        <x:v>0.085</x:v>
      </x:c>
      <x:c r="G448" s="85" t="n">
        <x:v>0.085</x:v>
      </x:c>
      <x:c r="H448" s="85" t="n">
        <x:v>0.085</x:v>
      </x:c>
      <x:c r="I448" s="85" t="n">
        <x:v>0.085</x:v>
      </x:c>
    </x:row>
    <x:row r="449" ht="30" customHeight="1">
      <x:c r="C449" s="64"/>
      <x:c r="D449" s="63"/>
      <x:c r="E449" s="63"/>
      <x:c r="F449" s="63"/>
      <x:c r="G449" s="63"/>
      <x:c r="H449" s="63"/>
      <x:c r="I449" s="63"/>
    </x:row>
    <x:row r="450" ht="30" customHeight="1">
      <x:c r="C450" s="64" t="str">
        <x:v>New borrowing — active</x:v>
      </x:c>
      <x:c r="D450" s="63"/>
      <x:c r="E450" s="8" t="n">
        <x:f>IF(COUNT(CHOOSE('Controls'!$E$5,E451,E452,E453))=1,CHOOSE('Controls'!$E$5,E451,E452,E453),NA())</x:f>
        <x:v>0</x:v>
      </x:c>
      <x:c r="F450" s="8" t="n">
        <x:f>IF(COUNT(CHOOSE('Controls'!$E$5,F451,F452,F453))=1,CHOOSE('Controls'!$E$5,F451,F452,F453),NA())</x:f>
        <x:v>0</x:v>
      </x:c>
      <x:c r="G450" s="8" t="n">
        <x:f>IF(COUNT(CHOOSE('Controls'!$E$5,G451,G452,G453))=1,CHOOSE('Controls'!$E$5,G451,G452,G453),NA())</x:f>
        <x:v>0</x:v>
      </x:c>
      <x:c r="H450" s="8" t="n">
        <x:f>IF(COUNT(CHOOSE('Controls'!$E$5,H451,H452,H453))=1,CHOOSE('Controls'!$E$5,H451,H452,H453),NA())</x:f>
        <x:v>0</x:v>
      </x:c>
      <x:c r="I450" s="8" t="n">
        <x:f>IF(COUNT(CHOOSE('Controls'!$E$5,I451,I452,I453))=1,CHOOSE('Controls'!$E$5,I451,I452,I453),NA())</x:f>
        <x:v>0</x:v>
      </x:c>
    </x:row>
    <x:row r="451" ht="30" customHeight="1">
      <x:c r="C451" s="64" t="str">
        <x:v>Base</x:v>
      </x:c>
      <x:c r="D451" s="63"/>
      <x:c r="E451" s="74" t="n">
        <x:v>0</x:v>
      </x:c>
      <x:c r="F451" s="74" t="n">
        <x:v>0</x:v>
      </x:c>
      <x:c r="G451" s="74" t="n">
        <x:v>0</x:v>
      </x:c>
      <x:c r="H451" s="74" t="n">
        <x:v>0</x:v>
      </x:c>
      <x:c r="I451" s="74" t="n">
        <x:v>0</x:v>
      </x:c>
    </x:row>
    <x:row r="452" ht="30" customHeight="1">
      <x:c r="C452" s="64" t="str">
        <x:v>Downside</x:v>
      </x:c>
      <x:c r="D452" s="63"/>
      <x:c r="E452" s="74" t="n">
        <x:v>0</x:v>
      </x:c>
      <x:c r="F452" s="74" t="n">
        <x:v>0</x:v>
      </x:c>
      <x:c r="G452" s="74" t="n">
        <x:v>0</x:v>
      </x:c>
      <x:c r="H452" s="74" t="n">
        <x:v>0</x:v>
      </x:c>
      <x:c r="I452" s="74" t="n">
        <x:v>0</x:v>
      </x:c>
    </x:row>
    <x:row r="453" ht="30" customHeight="1">
      <x:c r="C453" s="64" t="str">
        <x:v>Upside</x:v>
      </x:c>
      <x:c r="D453" s="63"/>
      <x:c r="E453" s="74" t="n">
        <x:v>0</x:v>
      </x:c>
      <x:c r="F453" s="74" t="n">
        <x:v>0</x:v>
      </x:c>
      <x:c r="G453" s="74" t="n">
        <x:v>0</x:v>
      </x:c>
      <x:c r="H453" s="74" t="n">
        <x:v>0</x:v>
      </x:c>
      <x:c r="I453" s="74" t="n">
        <x:v>0</x:v>
      </x:c>
    </x:row>
    <x:row r="454" ht="30" customHeight="1">
      <x:c r="C454" s="64"/>
      <x:c r="D454" s="63"/>
      <x:c r="E454" s="63"/>
      <x:c r="F454" s="63"/>
      <x:c r="G454" s="63"/>
      <x:c r="H454" s="63"/>
      <x:c r="I454" s="63"/>
    </x:row>
    <x:row r="455" ht="30" customHeight="1">
      <x:c r="C455" s="64" t="str">
        <x:v>Scheduled principal repayment — active</x:v>
      </x:c>
      <x:c r="D455" s="63"/>
      <x:c r="E455" s="8" t="n">
        <x:f>IF(COUNT(CHOOSE('Controls'!$E$5,E456,E457,E458))=1,CHOOSE('Controls'!$E$5,E456,E457,E458),NA())</x:f>
        <x:v>35</x:v>
      </x:c>
      <x:c r="F455" s="8" t="n">
        <x:f>IF(COUNT(CHOOSE('Controls'!$E$5,F456,F457,F458))=1,CHOOSE('Controls'!$E$5,F456,F457,F458),NA())</x:f>
        <x:v>35</x:v>
      </x:c>
      <x:c r="G455" s="8" t="n">
        <x:f>IF(COUNT(CHOOSE('Controls'!$E$5,G456,G457,G458))=1,CHOOSE('Controls'!$E$5,G456,G457,G458),NA())</x:f>
        <x:v>35</x:v>
      </x:c>
      <x:c r="H455" s="8" t="n">
        <x:f>IF(COUNT(CHOOSE('Controls'!$E$5,H456,H457,H458))=1,CHOOSE('Controls'!$E$5,H456,H457,H458),NA())</x:f>
        <x:v>35</x:v>
      </x:c>
      <x:c r="I455" s="8" t="n">
        <x:f>IF(COUNT(CHOOSE('Controls'!$E$5,I456,I457,I458))=1,CHOOSE('Controls'!$E$5,I456,I457,I458),NA())</x:f>
        <x:v>35</x:v>
      </x:c>
    </x:row>
    <x:row r="456" ht="30" customHeight="1">
      <x:c r="C456" s="64" t="str">
        <x:v>Base</x:v>
      </x:c>
      <x:c r="D456" s="63"/>
      <x:c r="E456" s="74" t="n">
        <x:v>35</x:v>
      </x:c>
      <x:c r="F456" s="74" t="n">
        <x:v>35</x:v>
      </x:c>
      <x:c r="G456" s="74" t="n">
        <x:v>35</x:v>
      </x:c>
      <x:c r="H456" s="74" t="n">
        <x:v>35</x:v>
      </x:c>
      <x:c r="I456" s="74" t="n">
        <x:v>35</x:v>
      </x:c>
    </x:row>
    <x:row r="457" ht="30" customHeight="1">
      <x:c r="C457" s="64" t="str">
        <x:v>Downside</x:v>
      </x:c>
      <x:c r="D457" s="63"/>
      <x:c r="E457" s="74" t="n">
        <x:v>35</x:v>
      </x:c>
      <x:c r="F457" s="74" t="n">
        <x:v>35</x:v>
      </x:c>
      <x:c r="G457" s="74" t="n">
        <x:v>35</x:v>
      </x:c>
      <x:c r="H457" s="74" t="n">
        <x:v>35</x:v>
      </x:c>
      <x:c r="I457" s="74" t="n">
        <x:v>35</x:v>
      </x:c>
    </x:row>
    <x:row r="458" ht="30" customHeight="1">
      <x:c r="C458" s="64" t="str">
        <x:v>Upside</x:v>
      </x:c>
      <x:c r="D458" s="63"/>
      <x:c r="E458" s="74" t="n">
        <x:v>35</x:v>
      </x:c>
      <x:c r="F458" s="74" t="n">
        <x:v>35</x:v>
      </x:c>
      <x:c r="G458" s="74" t="n">
        <x:v>35</x:v>
      </x:c>
      <x:c r="H458" s="74" t="n">
        <x:v>35</x:v>
      </x:c>
      <x:c r="I458" s="74" t="n">
        <x:v>35</x:v>
      </x:c>
    </x:row>
    <x:row r="459" ht="30" customHeight="1">
      <x:c r="C459" s="64"/>
      <x:c r="D459" s="63"/>
      <x:c r="E459" s="63"/>
      <x:c r="F459" s="63"/>
      <x:c r="G459" s="63"/>
      <x:c r="H459" s="63"/>
      <x:c r="I459" s="63"/>
    </x:row>
    <x:row r="460" ht="30" customHeight="1">
      <x:c r="C460" s="64" t="str">
        <x:v>Dividend payout on positive PAT — active</x:v>
      </x:c>
      <x:c r="D460" s="63"/>
      <x:c r="E460" s="83" t="n">
        <x:f>IF(COUNT(CHOOSE('Controls'!$E$5,E461,E462,E463))=1,CHOOSE('Controls'!$E$5,E461,E462,E463),NA())</x:f>
        <x:v>0.25</x:v>
      </x:c>
      <x:c r="F460" s="83" t="n">
        <x:f>IF(COUNT(CHOOSE('Controls'!$E$5,F461,F462,F463))=1,CHOOSE('Controls'!$E$5,F461,F462,F463),NA())</x:f>
        <x:v>0.25</x:v>
      </x:c>
      <x:c r="G460" s="83" t="n">
        <x:f>IF(COUNT(CHOOSE('Controls'!$E$5,G461,G462,G463))=1,CHOOSE('Controls'!$E$5,G461,G462,G463),NA())</x:f>
        <x:v>0.25</x:v>
      </x:c>
      <x:c r="H460" s="83" t="n">
        <x:f>IF(COUNT(CHOOSE('Controls'!$E$5,H461,H462,H463))=1,CHOOSE('Controls'!$E$5,H461,H462,H463),NA())</x:f>
        <x:v>0.25</x:v>
      </x:c>
      <x:c r="I460" s="83" t="n">
        <x:f>IF(COUNT(CHOOSE('Controls'!$E$5,I461,I462,I463))=1,CHOOSE('Controls'!$E$5,I461,I462,I463),NA())</x:f>
        <x:v>0.25</x:v>
      </x:c>
    </x:row>
    <x:row r="461" ht="30" customHeight="1">
      <x:c r="C461" s="64" t="str">
        <x:v>Base</x:v>
      </x:c>
      <x:c r="D461" s="63"/>
      <x:c r="E461" s="85" t="n">
        <x:v>0.25</x:v>
      </x:c>
      <x:c r="F461" s="85" t="n">
        <x:v>0.25</x:v>
      </x:c>
      <x:c r="G461" s="85" t="n">
        <x:v>0.25</x:v>
      </x:c>
      <x:c r="H461" s="85" t="n">
        <x:v>0.25</x:v>
      </x:c>
      <x:c r="I461" s="85" t="n">
        <x:v>0.25</x:v>
      </x:c>
    </x:row>
    <x:row r="462" ht="30" customHeight="1">
      <x:c r="C462" s="64" t="str">
        <x:v>Downside</x:v>
      </x:c>
      <x:c r="D462" s="63"/>
      <x:c r="E462" s="85" t="n">
        <x:v>0.25</x:v>
      </x:c>
      <x:c r="F462" s="85" t="n">
        <x:v>0.25</x:v>
      </x:c>
      <x:c r="G462" s="85" t="n">
        <x:v>0.25</x:v>
      </x:c>
      <x:c r="H462" s="85" t="n">
        <x:v>0.25</x:v>
      </x:c>
      <x:c r="I462" s="85" t="n">
        <x:v>0.25</x:v>
      </x:c>
    </x:row>
    <x:row r="463" ht="30" customHeight="1">
      <x:c r="C463" s="64" t="str">
        <x:v>Upside</x:v>
      </x:c>
      <x:c r="D463" s="63"/>
      <x:c r="E463" s="85" t="n">
        <x:v>0.25</x:v>
      </x:c>
      <x:c r="F463" s="85" t="n">
        <x:v>0.25</x:v>
      </x:c>
      <x:c r="G463" s="85" t="n">
        <x:v>0.25</x:v>
      </x:c>
      <x:c r="H463" s="85" t="n">
        <x:v>0.25</x:v>
      </x:c>
      <x:c r="I463" s="85" t="n">
        <x:v>0.25</x:v>
      </x:c>
    </x:row>
    <x:row r="464" ht="30" customHeight="1">
      <x:c r="C464" s="64"/>
      <x:c r="D464" s="63"/>
      <x:c r="E464" s="63"/>
      <x:c r="F464" s="63"/>
      <x:c r="G464" s="63"/>
      <x:c r="H464" s="63"/>
      <x:c r="I464" s="63"/>
    </x:row>
    <x:row r="465" ht="30" customHeight="1">
      <x:c r="C465" s="64"/>
      <x:c r="D465" s="63"/>
      <x:c r="E465" s="63"/>
      <x:c r="F465" s="63"/>
      <x:c r="G465" s="63"/>
      <x:c r="H465" s="63"/>
      <x:c r="I465" s="63"/>
    </x:row>
    <x:row r="466" ht="30" customHeight="1">
      <x:c r="C466" s="64"/>
      <x:c r="D466" s="63"/>
      <x:c r="E466" s="63"/>
      <x:c r="F466" s="63"/>
      <x:c r="G466" s="63"/>
      <x:c r="H466" s="63"/>
      <x:c r="I466" s="63"/>
    </x:row>
    <x:row r="467" ht="30" customHeight="1">
      <x:c r="C467" s="64"/>
      <x:c r="D467" s="63"/>
      <x:c r="E467" s="63"/>
      <x:c r="F467" s="63"/>
      <x:c r="G467" s="63"/>
      <x:c r="H467" s="63"/>
      <x:c r="I467" s="63"/>
    </x:row>
    <x:row r="468" ht="30" customHeight="1">
      <x:c r="C468" s="64"/>
      <x:c r="D468" s="63"/>
      <x:c r="E468" s="63"/>
      <x:c r="F468" s="63"/>
      <x:c r="G468" s="63"/>
      <x:c r="H468" s="63"/>
      <x:c r="I468" s="63"/>
    </x:row>
    <x:row r="469" ht="30" customHeight="1">
      <x:c r="C469" s="64"/>
      <x:c r="D469" s="63"/>
      <x:c r="E469" s="63"/>
      <x:c r="F469" s="63"/>
      <x:c r="G469" s="63"/>
      <x:c r="H469" s="63"/>
      <x:c r="I469" s="63"/>
    </x:row>
    <x:row r="470" ht="30" customHeight="1">
      <x:c r="C470" s="64"/>
      <x:c r="D470" s="63"/>
      <x:c r="E470" s="63"/>
      <x:c r="F470" s="63"/>
      <x:c r="G470" s="63"/>
      <x:c r="H470" s="63"/>
      <x:c r="I470" s="63"/>
    </x:row>
    <x:row r="471" ht="30" customHeight="1">
      <x:c r="C471" s="64"/>
      <x:c r="D471" s="63"/>
      <x:c r="E471" s="63"/>
      <x:c r="F471" s="63"/>
      <x:c r="G471" s="63"/>
      <x:c r="H471" s="63"/>
      <x:c r="I471" s="63"/>
    </x:row>
    <x:row r="472" ht="30" customHeight="1">
      <x:c r="C472" s="64"/>
      <x:c r="D472" s="63"/>
      <x:c r="E472" s="63"/>
      <x:c r="F472" s="63"/>
      <x:c r="G472" s="63"/>
      <x:c r="H472" s="63"/>
      <x:c r="I472" s="63"/>
    </x:row>
    <x:row r="473" ht="30" customHeight="1">
      <x:c r="C473" s="64"/>
      <x:c r="D473" s="63"/>
      <x:c r="E473" s="63"/>
      <x:c r="F473" s="63"/>
      <x:c r="G473" s="63"/>
      <x:c r="H473" s="63"/>
      <x:c r="I473" s="63"/>
    </x:row>
    <x:row r="474" ht="30" customHeight="1">
      <x:c r="C474" s="64"/>
      <x:c r="D474" s="63"/>
      <x:c r="E474" s="63"/>
      <x:c r="F474" s="63"/>
      <x:c r="G474" s="63"/>
      <x:c r="H474" s="63"/>
      <x:c r="I474" s="63"/>
    </x:row>
    <x:row r="475" ht="30" customHeight="1">
      <x:c r="C475" s="64"/>
      <x:c r="D475" s="63"/>
      <x:c r="E475" s="63"/>
      <x:c r="F475" s="63"/>
      <x:c r="G475" s="63"/>
      <x:c r="H475" s="63"/>
      <x:c r="I475" s="63"/>
    </x:row>
    <x:row r="476" ht="30" customHeight="1">
      <x:c r="C476" s="64"/>
      <x:c r="D476" s="63"/>
      <x:c r="E476" s="63"/>
      <x:c r="F476" s="63"/>
      <x:c r="G476" s="63"/>
      <x:c r="H476" s="63"/>
      <x:c r="I476" s="63"/>
    </x:row>
    <x:row r="477" ht="30" customHeight="1">
      <x:c r="C477" s="64"/>
      <x:c r="D477" s="63"/>
      <x:c r="E477" s="63"/>
      <x:c r="F477" s="63"/>
      <x:c r="G477" s="63"/>
      <x:c r="H477" s="63"/>
      <x:c r="I477" s="63"/>
    </x:row>
    <x:row r="478" ht="30" customHeight="1">
      <x:c r="C478" s="64"/>
      <x:c r="D478" s="63"/>
      <x:c r="E478" s="63"/>
      <x:c r="F478" s="63"/>
      <x:c r="G478" s="63"/>
      <x:c r="H478" s="63"/>
      <x:c r="I478" s="63"/>
    </x:row>
    <x:row r="479" ht="30" customHeight="1">
      <x:c r="C479" s="64"/>
      <x:c r="D479" s="63"/>
      <x:c r="E479" s="63"/>
      <x:c r="F479" s="63"/>
      <x:c r="G479" s="63"/>
      <x:c r="H479" s="63"/>
      <x:c r="I479" s="63"/>
    </x:row>
    <x:row r="480" ht="30" customHeight="1">
      <x:c r="C480" s="64"/>
      <x:c r="D480" s="63"/>
      <x:c r="E480" s="63"/>
      <x:c r="F480" s="63"/>
      <x:c r="G480" s="63"/>
      <x:c r="H480" s="63"/>
      <x:c r="I480" s="63"/>
    </x:row>
    <x:row r="481" ht="30" customHeight="1">
      <x:c r="C481" s="64"/>
      <x:c r="D481" s="63"/>
      <x:c r="E481" s="63"/>
      <x:c r="F481" s="63"/>
      <x:c r="G481" s="63"/>
      <x:c r="H481" s="63"/>
      <x:c r="I481" s="63"/>
    </x:row>
    <x:row r="482" ht="30" customHeight="1">
      <x:c r="C482" s="64"/>
      <x:c r="D482" s="63"/>
      <x:c r="E482" s="63"/>
      <x:c r="F482" s="63"/>
      <x:c r="G482" s="63"/>
      <x:c r="H482" s="63"/>
      <x:c r="I482" s="63"/>
    </x:row>
    <x:row r="483" ht="30" customHeight="1">
      <x:c r="C483" s="64"/>
      <x:c r="D483" s="63"/>
      <x:c r="E483" s="63"/>
      <x:c r="F483" s="63"/>
      <x:c r="G483" s="63"/>
      <x:c r="H483" s="63"/>
      <x:c r="I483" s="63"/>
    </x:row>
    <x:row r="484" ht="30" customHeight="1">
      <x:c r="C484" s="64"/>
      <x:c r="D484" s="63"/>
      <x:c r="E484" s="63"/>
      <x:c r="F484" s="63"/>
      <x:c r="G484" s="63"/>
      <x:c r="H484" s="63"/>
      <x:c r="I484" s="63"/>
    </x:row>
    <x:row r="485" ht="30" customHeight="1">
      <x:c r="C485" s="64"/>
      <x:c r="D485" s="63"/>
      <x:c r="E485" s="63"/>
      <x:c r="F485" s="63"/>
      <x:c r="G485" s="63"/>
      <x:c r="H485" s="63"/>
      <x:c r="I485" s="63"/>
    </x:row>
    <x:row r="486" ht="30" customHeight="1">
      <x:c r="C486" s="64"/>
      <x:c r="D486" s="63"/>
      <x:c r="E486" s="63"/>
      <x:c r="F486" s="63"/>
      <x:c r="G486" s="63"/>
      <x:c r="H486" s="63"/>
      <x:c r="I486" s="63"/>
    </x:row>
    <x:row r="487" ht="30" customHeight="1">
      <x:c r="C487" s="64"/>
      <x:c r="D487" s="63"/>
      <x:c r="E487" s="63"/>
      <x:c r="F487" s="63"/>
      <x:c r="G487" s="63"/>
      <x:c r="H487" s="63"/>
      <x:c r="I487" s="63"/>
    </x:row>
    <x:row r="488" ht="30" customHeight="1">
      <x:c r="C488" s="64"/>
      <x:c r="D488" s="63"/>
      <x:c r="E488" s="63"/>
      <x:c r="F488" s="63"/>
      <x:c r="G488" s="63"/>
      <x:c r="H488" s="63"/>
      <x:c r="I488" s="63"/>
    </x:row>
    <x:row r="489" ht="30" customHeight="1">
      <x:c r="C489" s="64"/>
      <x:c r="D489" s="63"/>
      <x:c r="E489" s="63"/>
      <x:c r="F489" s="63"/>
      <x:c r="G489" s="63"/>
      <x:c r="H489" s="63"/>
      <x:c r="I489" s="63"/>
    </x:row>
    <x:row r="490" ht="30" customHeight="1">
      <x:c r="C490" s="64"/>
      <x:c r="D490" s="63"/>
      <x:c r="E490" s="63"/>
      <x:c r="F490" s="63"/>
      <x:c r="G490" s="63"/>
      <x:c r="H490" s="63"/>
      <x:c r="I490" s="63"/>
    </x:row>
    <x:row r="491" ht="30" customHeight="1">
      <x:c r="C491" s="64"/>
      <x:c r="D491" s="63"/>
      <x:c r="E491" s="63"/>
      <x:c r="F491" s="63"/>
      <x:c r="G491" s="63"/>
      <x:c r="H491" s="63"/>
      <x:c r="I491" s="63"/>
    </x:row>
    <x:row r="492" ht="30" customHeight="1">
      <x:c r="C492" s="64"/>
      <x:c r="D492" s="63"/>
      <x:c r="E492" s="63"/>
      <x:c r="F492" s="63"/>
      <x:c r="G492" s="63"/>
      <x:c r="H492" s="63"/>
      <x:c r="I492" s="63"/>
    </x:row>
    <x:row r="493" ht="30" customHeight="1">
      <x:c r="C493" s="64"/>
      <x:c r="D493" s="63"/>
      <x:c r="E493" s="63"/>
      <x:c r="F493" s="63"/>
      <x:c r="G493" s="63"/>
      <x:c r="H493" s="63"/>
      <x:c r="I493" s="63"/>
    </x:row>
    <x:row r="494" ht="30" customHeight="1">
      <x:c r="C494" s="64"/>
      <x:c r="D494" s="63"/>
      <x:c r="E494" s="63"/>
      <x:c r="F494" s="63"/>
      <x:c r="G494" s="63"/>
      <x:c r="H494" s="63"/>
      <x:c r="I494" s="63"/>
    </x:row>
    <x:row r="495" ht="30" customHeight="1">
      <x:c r="C495" s="64"/>
      <x:c r="D495" s="63"/>
      <x:c r="E495" s="63"/>
      <x:c r="F495" s="63"/>
      <x:c r="G495" s="63"/>
      <x:c r="H495" s="63"/>
      <x:c r="I495" s="63"/>
    </x:row>
    <x:row r="496" ht="30" customHeight="1">
      <x:c r="C496" s="64"/>
      <x:c r="D496" s="63"/>
      <x:c r="E496" s="63"/>
      <x:c r="F496" s="63"/>
      <x:c r="G496" s="63"/>
      <x:c r="H496" s="63"/>
      <x:c r="I496" s="63"/>
    </x:row>
    <x:row r="497" ht="30" customHeight="1">
      <x:c r="C497" s="64"/>
      <x:c r="D497" s="63"/>
      <x:c r="E497" s="63"/>
      <x:c r="F497" s="63"/>
      <x:c r="G497" s="63"/>
      <x:c r="H497" s="63"/>
      <x:c r="I497" s="63"/>
    </x:row>
    <x:row r="498" ht="30" customHeight="1">
      <x:c r="C498" s="64"/>
      <x:c r="D498" s="63"/>
      <x:c r="E498" s="63"/>
      <x:c r="F498" s="63"/>
      <x:c r="G498" s="63"/>
      <x:c r="H498" s="63"/>
      <x:c r="I498" s="63"/>
    </x:row>
    <x:row r="499" ht="30" customHeight="1">
      <x:c r="C499" s="64"/>
      <x:c r="D499" s="63"/>
      <x:c r="E499" s="63"/>
      <x:c r="F499" s="63"/>
      <x:c r="G499" s="63"/>
      <x:c r="H499" s="63"/>
      <x:c r="I499" s="63"/>
    </x:row>
    <x:row r="500" ht="30" customHeight="1">
      <x:c r="C500" s="64"/>
      <x:c r="D500" s="63"/>
      <x:c r="E500" s="63"/>
      <x:c r="F500" s="63"/>
      <x:c r="G500" s="63"/>
      <x:c r="H500" s="63"/>
      <x:c r="I500" s="63"/>
    </x:row>
    <x:row r="501" ht="30" customHeight="1">
      <x:c r="C501" s="64"/>
      <x:c r="D501" s="63"/>
      <x:c r="E501" s="63"/>
      <x:c r="F501" s="63"/>
      <x:c r="G501" s="63"/>
      <x:c r="H501" s="63"/>
      <x:c r="I501" s="63"/>
    </x:row>
    <x:row r="502" ht="30" customHeight="1">
      <x:c r="C502" s="64"/>
      <x:c r="D502" s="63"/>
      <x:c r="E502" s="63"/>
      <x:c r="F502" s="63"/>
      <x:c r="G502" s="63"/>
      <x:c r="H502" s="63"/>
      <x:c r="I502" s="63"/>
    </x:row>
    <x:row r="503" ht="30" customHeight="1">
      <x:c r="C503" s="64"/>
      <x:c r="D503" s="63"/>
      <x:c r="E503" s="63"/>
      <x:c r="F503" s="63"/>
      <x:c r="G503" s="63"/>
      <x:c r="H503" s="63"/>
      <x:c r="I503" s="63"/>
    </x:row>
    <x:row r="504" ht="30" customHeight="1">
      <x:c r="C504" s="64"/>
      <x:c r="D504" s="63"/>
      <x:c r="E504" s="63"/>
      <x:c r="F504" s="63"/>
      <x:c r="G504" s="63"/>
      <x:c r="H504" s="63"/>
      <x:c r="I504" s="63"/>
    </x:row>
    <x:row r="505" ht="30" customHeight="1">
      <x:c r="C505" s="64"/>
      <x:c r="D505" s="63"/>
      <x:c r="E505" s="63"/>
      <x:c r="F505" s="63"/>
      <x:c r="G505" s="63"/>
      <x:c r="H505" s="63"/>
      <x:c r="I505" s="63"/>
    </x:row>
    <x:row r="506" ht="30" customHeight="1">
      <x:c r="C506" s="64"/>
      <x:c r="D506" s="63"/>
      <x:c r="E506" s="63"/>
      <x:c r="F506" s="63"/>
      <x:c r="G506" s="63"/>
      <x:c r="H506" s="63"/>
      <x:c r="I506" s="63"/>
    </x:row>
    <x:row r="507" ht="30" customHeight="1">
      <x:c r="C507" s="64"/>
      <x:c r="D507" s="63"/>
      <x:c r="E507" s="63"/>
      <x:c r="F507" s="63"/>
      <x:c r="G507" s="63"/>
      <x:c r="H507" s="63"/>
      <x:c r="I507" s="63"/>
    </x:row>
    <x:row r="508" ht="30" customHeight="1">
      <x:c r="C508" s="64"/>
      <x:c r="D508" s="63"/>
      <x:c r="E508" s="63"/>
      <x:c r="F508" s="63"/>
      <x:c r="G508" s="63"/>
      <x:c r="H508" s="63"/>
      <x:c r="I508" s="63"/>
    </x:row>
    <x:row r="509" ht="30" customHeight="1">
      <x:c r="C509" s="64"/>
      <x:c r="D509" s="63"/>
      <x:c r="E509" s="63"/>
      <x:c r="F509" s="63"/>
      <x:c r="G509" s="63"/>
      <x:c r="H509" s="63"/>
      <x:c r="I509" s="63"/>
    </x:row>
    <x:row r="510" ht="30" customHeight="1">
      <x:c r="C510" s="64"/>
      <x:c r="D510" s="63"/>
      <x:c r="E510" s="63"/>
      <x:c r="F510" s="63"/>
      <x:c r="G510" s="63"/>
      <x:c r="H510" s="63"/>
      <x:c r="I510" s="63"/>
    </x:row>
  </x:sheetData>
  <x:mergeCells>
    <x:mergeCell ref="M2:U2"/>
    <x:mergeCell ref="M9:U9"/>
    <x:mergeCell ref="M10:U10"/>
    <x:mergeCell ref="M30:U30"/>
    <x:mergeCell ref="M43:U44"/>
    <x:mergeCell ref="M48:R48"/>
    <x:mergeCell ref="M58:R58"/>
    <x:mergeCell ref="M68:R68"/>
  </x:mergeCells>
  <x:conditionalFormatting sqref="E100:I100">
    <x:cfRule type="expression" dxfId="50" priority="1">
      <x:formula>ABS(E100)&gt;0.01</x:formula>
    </x:cfRule>
  </x:conditionalFormatting>
  <x:conditionalFormatting sqref="E101:I101">
    <x:cfRule type="expression" dxfId="51" priority="2">
      <x:formula>ABS(E101)&gt;0.01</x:formula>
    </x:cfRule>
  </x:conditionalFormatting>
  <x:conditionalFormatting sqref="E102:I102">
    <x:cfRule type="expression" dxfId="52" priority="3">
      <x:formula>ABS(E102)&gt;0.01</x:formula>
    </x:cfRule>
  </x:conditionalFormatting>
  <x:conditionalFormatting sqref="E103:I103">
    <x:cfRule type="expression" dxfId="53" priority="4">
      <x:formula>ABS(E103)&gt;0.01</x:formula>
    </x:cfRule>
  </x:conditionalFormatting>
  <x:conditionalFormatting sqref="E104:I104">
    <x:cfRule type="expression" dxfId="54" priority="5">
      <x:formula>ABS(E104)&gt;0.01</x:formula>
    </x:cfRule>
  </x:conditionalFormatting>
  <x:conditionalFormatting sqref="E180:I205">
    <x:cfRule type="cellIs" dxfId="86" priority="6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367f02d5484e4592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88" hidden="0" customWidth="1"/>
    <x:col min="13" max="13" width="3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45" hidden="0" customWidth="1"/>
  </x:cols>
  <x:sheetData>
    <x:row r="1" ht="18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  <x:c r="K1" s="1"/>
    </x:row>
    <x:row r="2" ht="32" customHeight="1">
      <x:c r="A2" s="1"/>
      <x:c r="B2" s="1"/>
      <x:c r="C2" s="3" t="str">
        <x:v>EPC</x:v>
      </x:c>
      <x:c r="D2" s="2"/>
      <x:c r="E2" s="2"/>
      <x:c r="F2" s="2"/>
      <x:c r="G2" s="2"/>
      <x:c r="H2" s="2"/>
      <x:c r="I2" s="2"/>
      <x:c r="J2" s="1"/>
      <x:c r="K2" s="1"/>
      <x:c r="M2" s="86" t="str">
        <x:v>EPC | Client summary</x:v>
      </x:c>
      <x:c r="N2" s="86"/>
      <x:c r="O2" s="86"/>
      <x:c r="P2" s="86"/>
      <x:c r="Q2" s="86"/>
      <x:c r="R2" s="86"/>
      <x:c r="S2" s="86"/>
      <x:c r="T2" s="86"/>
      <x:c r="U2" s="86"/>
      <x:c r="V2" s="63"/>
      <x:c r="X2" t="str">
        <x:v>Forecast year</x:v>
      </x:c>
      <x:c r="Y2" t="str">
        <x:v>Income</x:v>
      </x:c>
      <x:c r="Z2" t="str">
        <x:v>Profit after tax</x:v>
      </x:c>
    </x:row>
    <x:row r="3" ht="18" customHeight="1">
      <x:c r="A3" s="1"/>
      <x:c r="B3" s="1"/>
      <x:c r="C3" s="4"/>
      <x:c r="D3" s="5"/>
      <x:c r="E3" s="5"/>
      <x:c r="F3" s="5"/>
      <x:c r="G3" s="5"/>
      <x:c r="H3" s="5"/>
      <x:c r="I3" s="5"/>
      <x:c r="J3" s="1"/>
      <x:c r="K3" s="1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X3" t="n">
        <x:f>'Controls'!$E$17+0</x:f>
        <x:v>2027</x:v>
      </x:c>
      <x:c r="Y3" t="n">
        <x:f>E49</x:f>
        <x:v>3600</x:v>
      </x:c>
      <x:c r="Z3" t="n">
        <x:f>E61</x:f>
        <x:v>182.625</x:v>
      </x:c>
    </x:row>
    <x:row r="4" ht="18" customHeight="1">
      <x:c r="A4" s="1"/>
      <x:c r="B4" s="1"/>
      <x:c r="C4" s="1" t="str">
        <x:v>Illustrative assumptions. Financial amounts in INR crore.</x:v>
      </x:c>
      <x:c r="D4" s="2"/>
      <x:c r="E4" s="2"/>
      <x:c r="F4" s="2"/>
      <x:c r="G4" s="2"/>
      <x:c r="H4" s="2"/>
      <x:c r="I4" s="2"/>
      <x:c r="J4" s="1"/>
      <x:c r="K4" s="1"/>
      <x:c r="M4" s="63" t="str">
        <x:v>Company / model name</x:v>
      </x:c>
      <x:c r="N4" s="63" t="str">
        <x:v>Illustrative company</x:v>
      </x:c>
      <x:c r="O4" s="63"/>
      <x:c r="P4" s="63"/>
      <x:c r="Q4" s="63"/>
      <x:c r="R4" s="63"/>
      <x:c r="S4" s="63"/>
      <x:c r="T4" s="63"/>
      <x:c r="U4" s="63"/>
      <x:c r="V4" s="63"/>
      <x:c r="X4" t="n">
        <x:f>'Controls'!$E$17+1</x:f>
        <x:v>2028</x:v>
      </x:c>
      <x:c r="Y4" t="n">
        <x:f>F49</x:f>
        <x:v>4200</x:v>
      </x:c>
      <x:c r="Z4" t="n">
        <x:f>F61</x:f>
        <x:v>245.00249999999997</x:v>
      </x:c>
    </x:row>
    <x:row r="5" ht="18" customHeight="1">
      <x:c r="A5" s="1"/>
      <x:c r="B5" s="1"/>
      <x:c r="C5" s="1" t="str">
        <x:v>Selected case</x:v>
      </x:c>
      <x:c r="D5" s="2"/>
      <x:c r="E5" s="10" t="str">
        <x:f>'Controls'!E6</x:f>
        <x:v>Base</x:v>
      </x:c>
      <x:c r="F5" s="2"/>
      <x:c r="G5" s="2"/>
      <x:c r="H5" s="2"/>
      <x:c r="I5" s="2"/>
      <x:c r="J5" s="1"/>
      <x:c r="K5" s="1"/>
      <x:c r="M5" s="63" t="str">
        <x:v>Valuation date</x:v>
      </x:c>
      <x:c r="N5" s="87" t="n">
        <x:f>'Controls'!E18</x:f>
        <x:v>46112</x:v>
      </x:c>
      <x:c r="O5" s="63"/>
      <x:c r="P5" s="63"/>
      <x:c r="Q5" s="63"/>
      <x:c r="R5" s="63"/>
      <x:c r="S5" s="63"/>
      <x:c r="T5" s="63"/>
      <x:c r="U5" s="63"/>
      <x:c r="V5" s="63"/>
      <x:c r="X5" t="n">
        <x:f>'Controls'!$E$17+2</x:f>
        <x:v>2029</x:v>
      </x:c>
      <x:c r="Y5" t="n">
        <x:f>G49</x:f>
        <x:v>4821.599999999999</x:v>
      </x:c>
      <x:c r="Z5" t="n">
        <x:f>G61</x:f>
        <x:v>307.10159999999996</x:v>
      </x:c>
    </x:row>
    <x:row r="6" ht="18" customHeight="1">
      <x:c r="A6" s="1"/>
      <x:c r="B6" s="1"/>
      <x:c r="C6" s="1"/>
      <x:c r="D6" s="2"/>
      <x:c r="E6" s="2"/>
      <x:c r="F6" s="2"/>
      <x:c r="G6" s="2"/>
      <x:c r="H6" s="2"/>
      <x:c r="I6" s="2"/>
      <x:c r="J6" s="1"/>
      <x:c r="K6" s="1"/>
      <x:c r="M6" s="63" t="str">
        <x:v>Selected case</x:v>
      </x:c>
      <x:c r="N6" s="63" t="str">
        <x:f>'Controls'!E6</x:f>
        <x:v>Base</x:v>
      </x:c>
      <x:c r="O6" s="63"/>
      <x:c r="P6" s="63"/>
      <x:c r="Q6" s="63"/>
      <x:c r="R6" s="63"/>
      <x:c r="S6" s="63"/>
      <x:c r="T6" s="63"/>
      <x:c r="U6" s="63"/>
      <x:c r="V6" s="63"/>
      <x:c r="X6" t="n">
        <x:f>'Controls'!$E$17+3</x:f>
        <x:v>2030</x:v>
      </x:c>
      <x:c r="Y6" t="n">
        <x:f>H49</x:f>
        <x:v>5482.5120000000015</x:v>
      </x:c>
      <x:c r="Z6" t="n">
        <x:f>H61</x:f>
        <x:v>370.807164</x:v>
      </x:c>
    </x:row>
    <x:row r="7" ht="18" customHeight="1">
      <x:c r="A7" s="1"/>
      <x:c r="B7" s="1"/>
      <x:c r="C7" s="15" t="str">
        <x:v>Metric</x:v>
      </x:c>
      <x:c r="D7" s="16" t="str">
        <x:v>Opening / seed</x:v>
      </x:c>
      <x:c r="E7" s="65" t="n">
        <x:f>'Controls'!$E$17+0</x:f>
        <x:v>2027</x:v>
      </x:c>
      <x:c r="F7" s="65" t="n">
        <x:f>'Controls'!$E$17+1</x:f>
        <x:v>2028</x:v>
      </x:c>
      <x:c r="G7" s="65" t="n">
        <x:f>'Controls'!$E$17+2</x:f>
        <x:v>2029</x:v>
      </x:c>
      <x:c r="H7" s="65" t="n">
        <x:f>'Controls'!$E$17+3</x:f>
        <x:v>2030</x:v>
      </x:c>
      <x:c r="I7" s="65" t="n">
        <x:f>'Controls'!$E$17+4</x:f>
        <x:v>2031</x:v>
      </x:c>
      <x:c r="J7" s="1"/>
      <x:c r="K7" s="1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X7" t="n">
        <x:f>'Controls'!$E$17+4</x:f>
        <x:v>2031</x:v>
      </x:c>
      <x:c r="Y7" t="n">
        <x:f>I49</x:f>
        <x:v>6198.037440000001</x:v>
      </x:c>
      <x:c r="Z7" t="n">
        <x:f>I61</x:f>
        <x:v>437.68744415999976</x:v>
      </x:c>
    </x:row>
    <x:row r="8" ht="18" customHeight="1">
      <x:c r="A8" s="1"/>
      <x:c r="B8" s="1"/>
      <x:c r="C8" s="1"/>
      <x:c r="D8" s="2"/>
      <x:c r="E8" s="2"/>
      <x:c r="F8" s="2"/>
      <x:c r="G8" s="2"/>
      <x:c r="H8" s="2"/>
      <x:c r="I8" s="2"/>
      <x:c r="J8" s="1"/>
      <x:c r="K8" s="1"/>
      <x:c r="M8" s="63" t="str">
        <x:v>Equity value (INR crore)</x:v>
      </x:c>
      <x:c r="N8" s="8" t="n">
        <x:f>E97</x:f>
        <x:v>2895.1081274393564</x:v>
      </x:c>
      <x:c r="O8" s="63"/>
      <x:c r="P8" s="63"/>
      <x:c r="Q8" s="63"/>
      <x:c r="R8" s="63"/>
      <x:c r="S8" s="63"/>
      <x:c r="T8" s="63"/>
      <x:c r="U8" s="63"/>
      <x:c r="V8" s="63"/>
    </x:row>
    <x:row r="9" ht="18" customHeight="1">
      <x:c r="A9" s="1"/>
      <x:c r="B9" s="1"/>
      <x:c r="C9" s="19" t="str">
        <x:v>OPERATING ASSUMPTIONS</x:v>
      </x:c>
      <x:c r="D9" s="20"/>
      <x:c r="E9" s="20"/>
      <x:c r="F9" s="20"/>
      <x:c r="G9" s="20"/>
      <x:c r="H9" s="20"/>
      <x:c r="I9" s="20"/>
      <x:c r="J9" s="1"/>
      <x:c r="K9" s="1"/>
      <x:c r="M9" s="63" t="str">
        <x:f>IF(MAX(E103,F103,G103,H103,I103,E104,F104,G104,H104,I104,E105,F105,G105,H105,I105,E106,F106,G106,H106,I106,E107,F107,G107,H107,I107,E180:I206)&gt;0.01,"ATTENTION: model checks contain exceptions",IF(MIN(E103,F103,G103,H103,I103,E104,F104,G104,H104,I104,E105,F105,G105,H105,I105,E106,F106,G106,H106,I106,E107,F107,G107,H107,I107,E180:I206)&lt;-0.01,"ATTENTION: model checks contain exceptions","Model checks clear; review company assumptions"))</x:f>
        <x:v>Model checks clear; review company assumptions</x:v>
      </x:c>
      <x:c r="N9" s="63"/>
      <x:c r="O9" s="63"/>
      <x:c r="P9" s="63"/>
      <x:c r="Q9" s="63"/>
      <x:c r="R9" s="63"/>
      <x:c r="S9" s="63"/>
      <x:c r="T9" s="63"/>
      <x:c r="U9" s="63"/>
      <x:c r="V9" s="63"/>
    </x:row>
    <x:row r="10" ht="30" customHeight="1">
      <x:c r="A10" s="1"/>
      <x:c r="B10" s="1"/>
      <x:c r="C10" s="56" t="str">
        <x:v>Opening executable order book (INR crore) — seed</x:v>
      </x:c>
      <x:c r="D10" s="7" t="n">
        <x:v>12000</x:v>
      </x:c>
      <x:c r="E10" s="2"/>
      <x:c r="F10" s="2"/>
      <x:c r="G10" s="2"/>
      <x:c r="H10" s="2"/>
      <x:c r="I10" s="2"/>
      <x:c r="J10" s="1"/>
      <x:c r="K10" s="1" t="str">
        <x:v>Input provenance: all amber cells are constructed examples, not external observations.</x:v>
      </x:c>
      <x:c r="M10" s="63" t="str">
        <x:v>Illustrative inputs; replace with company evidence.</x:v>
      </x:c>
      <x:c r="N10" s="63"/>
      <x:c r="O10" s="63"/>
      <x:c r="P10" s="63"/>
      <x:c r="Q10" s="63"/>
      <x:c r="R10" s="63"/>
      <x:c r="S10" s="63"/>
      <x:c r="T10" s="63"/>
      <x:c r="U10" s="63"/>
      <x:c r="V10" s="63"/>
    </x:row>
    <x:row r="11" ht="18" customHeight="1">
      <x:c r="A11" s="1"/>
      <x:c r="B11" s="1"/>
      <x:c r="C11" s="1" t="str">
        <x:v>Annual order-book execution rate — seed</x:v>
      </x:c>
      <x:c r="D11" s="25" t="n">
        <x:v>0.3</x:v>
      </x:c>
      <x:c r="E11" s="2"/>
      <x:c r="F11" s="2"/>
      <x:c r="G11" s="2"/>
      <x:c r="H11" s="2"/>
      <x:c r="I11" s="2"/>
      <x:c r="J11" s="1"/>
      <x:c r="K11" s="1" t="str">
        <x:v>Simplified order-book conversion. Receivables include retention; add contract assets, mobilization advances and guarantees.</x:v>
      </x:c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</x:row>
    <x:row r="12" ht="18" customHeight="1">
      <x:c r="A12" s="1"/>
      <x:c r="B12" s="1"/>
      <x:c r="C12" s="28" t="str">
        <x:v>New-order growth — active</x:v>
      </x:c>
      <x:c r="D12" s="29"/>
      <x:c r="E12" s="30" t="n">
        <x:f>IF(COUNT(INDEX(E13:E15,'Controls'!$E$5))=0,NA(),INDEX(E13:E15,'Controls'!$E$5))</x:f>
        <x:v>0.12</x:v>
      </x:c>
      <x:c r="F12" s="30" t="n">
        <x:f>IF(COUNT(INDEX(F13:F15,'Controls'!$E$5))=0,NA(),INDEX(F13:F15,'Controls'!$E$5))</x:f>
        <x:v>0.12</x:v>
      </x:c>
      <x:c r="G12" s="30" t="n">
        <x:f>IF(COUNT(INDEX(G13:G15,'Controls'!$E$5))=0,NA(),INDEX(G13:G15,'Controls'!$E$5))</x:f>
        <x:v>0.12</x:v>
      </x:c>
      <x:c r="H12" s="30" t="n">
        <x:f>IF(COUNT(INDEX(H13:H15,'Controls'!$E$5))=0,NA(),INDEX(H13:H15,'Controls'!$E$5))</x:f>
        <x:v>0.12</x:v>
      </x:c>
      <x:c r="I12" s="30" t="n">
        <x:f>IF(COUNT(INDEX(I13:I15,'Controls'!$E$5))=0,NA(),INDEX(I13:I15,'Controls'!$E$5))</x:f>
        <x:v>0.12</x:v>
      </x:c>
      <x:c r="J12" s="1"/>
      <x:c r="K12" s="1" t="str">
        <x:v>Five-year nominal INR model. Positive costs are subtracted. Discounting is end-of-year.</x:v>
      </x:c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</x:row>
    <x:row r="13" ht="18" customHeight="1">
      <x:c r="A13" s="1"/>
      <x:c r="B13" s="1"/>
      <x:c r="C13" s="23" t="str">
        <x:v>Base</x:v>
      </x:c>
      <x:c r="D13" s="24"/>
      <x:c r="E13" s="26" t="n">
        <x:v>0.12</x:v>
      </x:c>
      <x:c r="F13" s="26" t="n">
        <x:v>0.12</x:v>
      </x:c>
      <x:c r="G13" s="26" t="n">
        <x:v>0.12</x:v>
      </x:c>
      <x:c r="H13" s="26" t="n">
        <x:v>0.12</x:v>
      </x:c>
      <x:c r="I13" s="26" t="n">
        <x:v>0.12</x:v>
      </x:c>
      <x:c r="J13" s="1"/>
      <x:c r="K13" s="1" t="str">
        <x:v>Cash earns no interest; borrowing is explicit. Negative cash is an unfunded shortfall.</x:v>
      </x:c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</x:row>
    <x:row r="14" ht="18" customHeight="1">
      <x:c r="A14" s="1"/>
      <x:c r="B14" s="1"/>
      <x:c r="C14" s="23" t="str">
        <x:v>Downside</x:v>
      </x:c>
      <x:c r="D14" s="24"/>
      <x:c r="E14" s="26" t="n">
        <x:v>0.06999999999999999</x:v>
      </x:c>
      <x:c r="F14" s="26" t="n">
        <x:v>0.06999999999999999</x:v>
      </x:c>
      <x:c r="G14" s="26" t="n">
        <x:v>0.06999999999999999</x:v>
      </x:c>
      <x:c r="H14" s="26" t="n">
        <x:v>0.06999999999999999</x:v>
      </x:c>
      <x:c r="I14" s="26" t="n">
        <x:v>0.06999999999999999</x:v>
      </x:c>
      <x:c r="J14" s="1"/>
      <x:c r="K14" s="1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</x:row>
    <x:row r="15" ht="18" customHeight="1">
      <x:c r="A15" s="1"/>
      <x:c r="B15" s="1"/>
      <x:c r="C15" s="23" t="str">
        <x:v>Upside</x:v>
      </x:c>
      <x:c r="D15" s="24"/>
      <x:c r="E15" s="26" t="n">
        <x:v>0.16</x:v>
      </x:c>
      <x:c r="F15" s="26" t="n">
        <x:v>0.16</x:v>
      </x:c>
      <x:c r="G15" s="26" t="n">
        <x:v>0.16</x:v>
      </x:c>
      <x:c r="H15" s="26" t="n">
        <x:v>0.16</x:v>
      </x:c>
      <x:c r="I15" s="26" t="n">
        <x:v>0.16</x:v>
      </x:c>
      <x:c r="J15" s="1"/>
      <x:c r="K15" s="1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</x:row>
    <x:row r="16" ht="18" customHeight="1">
      <x:c r="A16" s="1"/>
      <x:c r="B16" s="1"/>
      <x:c r="C16" s="28" t="str">
        <x:v>Execution rate change (pp) — active</x:v>
      </x:c>
      <x:c r="D16" s="29"/>
      <x:c r="E16" s="30" t="n">
        <x:f>IF(COUNT(INDEX(E17:E19,'Controls'!$E$5))=0,NA(),INDEX(E17:E19,'Controls'!$E$5))</x:f>
        <x:v>0</x:v>
      </x:c>
      <x:c r="F16" s="30" t="n">
        <x:f>IF(COUNT(INDEX(F17:F19,'Controls'!$E$5))=0,NA(),INDEX(F17:F19,'Controls'!$E$5))</x:f>
        <x:v>0</x:v>
      </x:c>
      <x:c r="G16" s="30" t="n">
        <x:f>IF(COUNT(INDEX(G17:G19,'Controls'!$E$5))=0,NA(),INDEX(G17:G19,'Controls'!$E$5))</x:f>
        <x:v>0</x:v>
      </x:c>
      <x:c r="H16" s="30" t="n">
        <x:f>IF(COUNT(INDEX(H17:H19,'Controls'!$E$5))=0,NA(),INDEX(H17:H19,'Controls'!$E$5))</x:f>
        <x:v>0</x:v>
      </x:c>
      <x:c r="I16" s="30" t="n">
        <x:f>IF(COUNT(INDEX(I17:I19,'Controls'!$E$5))=0,NA(),INDEX(I17:I19,'Controls'!$E$5))</x:f>
        <x:v>0</x:v>
      </x:c>
      <x:c r="J16" s="1"/>
      <x:c r="K16" s="1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</x:row>
    <x:row r="17" ht="18" customHeight="1">
      <x:c r="A17" s="1"/>
      <x:c r="B17" s="1"/>
      <x:c r="C17" s="23" t="str">
        <x:v>Base</x:v>
      </x:c>
      <x:c r="D17" s="24"/>
      <x:c r="E17" s="26" t="n">
        <x:v>0</x:v>
      </x:c>
      <x:c r="F17" s="26" t="n">
        <x:v>0</x:v>
      </x:c>
      <x:c r="G17" s="26" t="n">
        <x:v>0</x:v>
      </x:c>
      <x:c r="H17" s="26" t="n">
        <x:v>0</x:v>
      </x:c>
      <x:c r="I17" s="26" t="n">
        <x:v>0</x:v>
      </x:c>
      <x:c r="J17" s="1"/>
      <x:c r="K17" s="1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</x:row>
    <x:row r="18" ht="18" customHeight="1">
      <x:c r="A18" s="1"/>
      <x:c r="B18" s="1"/>
      <x:c r="C18" s="23" t="str">
        <x:v>Downside</x:v>
      </x:c>
      <x:c r="D18" s="24"/>
      <x:c r="E18" s="26" t="n">
        <x:v>-0.025</x:v>
      </x:c>
      <x:c r="F18" s="26" t="n">
        <x:v>-0.025</x:v>
      </x:c>
      <x:c r="G18" s="26" t="n">
        <x:v>-0.025</x:v>
      </x:c>
      <x:c r="H18" s="26" t="n">
        <x:v>-0.025</x:v>
      </x:c>
      <x:c r="I18" s="26" t="n">
        <x:v>-0.025</x:v>
      </x:c>
      <x:c r="J18" s="1"/>
      <x:c r="K18" s="1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</x:row>
    <x:row r="19" ht="18" customHeight="1">
      <x:c r="A19" s="1"/>
      <x:c r="B19" s="1"/>
      <x:c r="C19" s="23" t="str">
        <x:v>Upside</x:v>
      </x:c>
      <x:c r="D19" s="24"/>
      <x:c r="E19" s="26" t="n">
        <x:v>0.02</x:v>
      </x:c>
      <x:c r="F19" s="26" t="n">
        <x:v>0.02</x:v>
      </x:c>
      <x:c r="G19" s="26" t="n">
        <x:v>0.02</x:v>
      </x:c>
      <x:c r="H19" s="26" t="n">
        <x:v>0.02</x:v>
      </x:c>
      <x:c r="I19" s="26" t="n">
        <x:v>0.02</x:v>
      </x:c>
      <x:c r="J19" s="1"/>
      <x:c r="K19" s="1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</x:row>
    <x:row r="20" ht="18" customHeight="1">
      <x:c r="A20" s="1"/>
      <x:c r="B20" s="1"/>
      <x:c r="C20" s="23" t="str">
        <x:v>Capacity utilization</x:v>
      </x:c>
      <x:c r="D20" s="24"/>
      <x:c r="E20" s="26" t="n">
        <x:f>E400</x:f>
        <x:v>1</x:v>
      </x:c>
      <x:c r="F20" s="26" t="n">
        <x:f>F400</x:f>
        <x:v>1</x:v>
      </x:c>
      <x:c r="G20" s="26" t="n">
        <x:f>G400</x:f>
        <x:v>1</x:v>
      </x:c>
      <x:c r="H20" s="26" t="n">
        <x:f>H400</x:f>
        <x:v>1</x:v>
      </x:c>
      <x:c r="I20" s="26" t="n">
        <x:f>I400</x:f>
        <x:v>1</x:v>
      </x:c>
      <x:c r="J20" s="1"/>
      <x:c r="K20" s="1" t="str">
        <x:v>Use 100% when volume already represents actual sales.</x:v>
      </x:c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</x:row>
    <x:row r="21" ht="30" customHeight="1">
      <x:c r="A21" s="1"/>
      <x:c r="B21" s="1"/>
      <x:c r="C21" s="57" t="str">
        <x:v>Subcontracting and project materials / revenue</x:v>
      </x:c>
      <x:c r="D21" s="24"/>
      <x:c r="E21" s="26" t="n">
        <x:f>E405</x:f>
        <x:v>0.78</x:v>
      </x:c>
      <x:c r="F21" s="26" t="n">
        <x:f>F405</x:f>
        <x:v>0.78</x:v>
      </x:c>
      <x:c r="G21" s="26" t="n">
        <x:f>G405</x:f>
        <x:v>0.78</x:v>
      </x:c>
      <x:c r="H21" s="26" t="n">
        <x:f>H405</x:f>
        <x:v>0.78</x:v>
      </x:c>
      <x:c r="I21" s="26" t="n">
        <x:f>I405</x:f>
        <x:v>0.78</x:v>
      </x:c>
      <x:c r="J21" s="1"/>
      <x:c r="K21" s="1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</x:row>
    <x:row r="22" ht="18" customHeight="1">
      <x:c r="A22" s="1"/>
      <x:c r="B22" s="1"/>
      <x:c r="C22" s="23" t="str">
        <x:v>Other cash operating costs / revenue</x:v>
      </x:c>
      <x:c r="D22" s="24"/>
      <x:c r="E22" s="26" t="n">
        <x:f>E410</x:f>
        <x:v>0.1</x:v>
      </x:c>
      <x:c r="F22" s="26" t="n">
        <x:f>F410</x:f>
        <x:v>0.1</x:v>
      </x:c>
      <x:c r="G22" s="26" t="n">
        <x:f>G410</x:f>
        <x:v>0.1</x:v>
      </x:c>
      <x:c r="H22" s="26" t="n">
        <x:f>H410</x:f>
        <x:v>0.1</x:v>
      </x:c>
      <x:c r="I22" s="26" t="n">
        <x:f>I410</x:f>
        <x:v>0.1</x:v>
      </x:c>
      <x:c r="J22" s="1"/>
      <x:c r="K22" s="1" t="str">
        <x:v>Includes fixed and selling costs, modeled as revenue share.</x:v>
      </x:c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</x:row>
    <x:row r="23" ht="18" customHeight="1">
      <x:c r="A23" s="1"/>
      <x:c r="B23" s="1"/>
      <x:c r="C23" s="1" t="str">
        <x:v>Annual new-order intake — seed</x:v>
      </x:c>
      <x:c r="D23" s="7" t="n">
        <x:v>5000</x:v>
      </x:c>
      <x:c r="E23" s="2"/>
      <x:c r="F23" s="2"/>
      <x:c r="G23" s="2"/>
      <x:c r="H23" s="2"/>
      <x:c r="I23" s="2"/>
      <x:c r="J23" s="1"/>
      <x:c r="K23" s="1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</x:row>
    <x:row r="24" ht="18" customHeight="1">
      <x:c r="A24" s="1"/>
      <x:c r="B24" s="1"/>
      <x:c r="C24" s="23" t="str">
        <x:v>Cash capex / revenue</x:v>
      </x:c>
      <x:c r="D24" s="24"/>
      <x:c r="E24" s="26" t="n">
        <x:f>E415</x:f>
        <x:v>0.025</x:v>
      </x:c>
      <x:c r="F24" s="26" t="n">
        <x:f>F415</x:f>
        <x:v>0.025</x:v>
      </x:c>
      <x:c r="G24" s="26" t="n">
        <x:f>G415</x:f>
        <x:v>0.025</x:v>
      </x:c>
      <x:c r="H24" s="26" t="n">
        <x:f>H415</x:f>
        <x:v>0.025</x:v>
      </x:c>
      <x:c r="I24" s="26" t="n">
        <x:f>I415</x:f>
        <x:v>0.025</x:v>
      </x:c>
      <x:c r="J24" s="1"/>
      <x:c r="K24" s="1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</x:row>
    <x:row r="25" ht="18" customHeight="1">
      <x:c r="A25" s="1"/>
      <x:c r="B25" s="1"/>
      <x:c r="C25" s="23" t="str">
        <x:v>D&amp;A / opening net PP&amp;E</x:v>
      </x:c>
      <x:c r="D25" s="24"/>
      <x:c r="E25" s="26" t="n">
        <x:f>E420</x:f>
        <x:v>0.16</x:v>
      </x:c>
      <x:c r="F25" s="26" t="n">
        <x:f>F420</x:f>
        <x:v>0.16</x:v>
      </x:c>
      <x:c r="G25" s="26" t="n">
        <x:f>G420</x:f>
        <x:v>0.16</x:v>
      </x:c>
      <x:c r="H25" s="26" t="n">
        <x:f>H420</x:f>
        <x:v>0.16</x:v>
      </x:c>
      <x:c r="I25" s="26" t="n">
        <x:f>I420</x:f>
        <x:v>0.16</x:v>
      </x:c>
      <x:c r="J25" s="1"/>
      <x:c r="K25" s="1" t="str">
        <x:v>No disposals or impairments. Current-year capex begins depreciation next year.</x:v>
      </x:c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</x:row>
    <x:row r="26" ht="18" customHeight="1">
      <x:c r="A26" s="1"/>
      <x:c r="B26" s="1"/>
      <x:c r="C26" s="1" t="str">
        <x:v>Receivable days</x:v>
      </x:c>
      <x:c r="D26" s="2"/>
      <x:c r="E26" s="7" t="n">
        <x:f>E425</x:f>
        <x:v>120</x:v>
      </x:c>
      <x:c r="F26" s="7" t="n">
        <x:f>F425</x:f>
        <x:v>120</x:v>
      </x:c>
      <x:c r="G26" s="7" t="n">
        <x:f>G425</x:f>
        <x:v>120</x:v>
      </x:c>
      <x:c r="H26" s="7" t="n">
        <x:f>H425</x:f>
        <x:v>120</x:v>
      </x:c>
      <x:c r="I26" s="7" t="n">
        <x:f>I425</x:f>
        <x:v>120</x:v>
      </x:c>
      <x:c r="J26" s="1"/>
      <x:c r="K26" s="1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</x:row>
    <x:row r="27" ht="18" customHeight="1">
      <x:c r="A27" s="1"/>
      <x:c r="B27" s="1"/>
      <x:c r="C27" s="1" t="str">
        <x:v>Inventory days</x:v>
      </x:c>
      <x:c r="D27" s="2"/>
      <x:c r="E27" s="7" t="n">
        <x:f>E430</x:f>
        <x:v>20</x:v>
      </x:c>
      <x:c r="F27" s="7" t="n">
        <x:f>F430</x:f>
        <x:v>20</x:v>
      </x:c>
      <x:c r="G27" s="7" t="n">
        <x:f>G430</x:f>
        <x:v>20</x:v>
      </x:c>
      <x:c r="H27" s="7" t="n">
        <x:f>H430</x:f>
        <x:v>20</x:v>
      </x:c>
      <x:c r="I27" s="7" t="n">
        <x:f>I430</x:f>
        <x:v>20</x:v>
      </x:c>
      <x:c r="J27" s="1"/>
      <x:c r="K27" s="1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</x:row>
    <x:row r="28" ht="18" customHeight="1">
      <x:c r="A28" s="1"/>
      <x:c r="B28" s="1"/>
      <x:c r="C28" s="1" t="str">
        <x:v>Payable days</x:v>
      </x:c>
      <x:c r="D28" s="2"/>
      <x:c r="E28" s="7" t="n">
        <x:f>E435</x:f>
        <x:v>90</x:v>
      </x:c>
      <x:c r="F28" s="7" t="n">
        <x:f>F435</x:f>
        <x:v>90</x:v>
      </x:c>
      <x:c r="G28" s="7" t="n">
        <x:f>G435</x:f>
        <x:v>90</x:v>
      </x:c>
      <x:c r="H28" s="7" t="n">
        <x:f>H435</x:f>
        <x:v>90</x:v>
      </x:c>
      <x:c r="I28" s="7" t="n">
        <x:f>I435</x:f>
        <x:v>90</x:v>
      </x:c>
      <x:c r="J28" s="1"/>
      <x:c r="K28" s="1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</x:row>
    <x:row r="29" ht="18" customHeight="1">
      <x:c r="A29" s="1"/>
      <x:c r="B29" s="1"/>
      <x:c r="C29" s="23" t="str">
        <x:v>Effective cash tax rate</x:v>
      </x:c>
      <x:c r="D29" s="24"/>
      <x:c r="E29" s="26" t="n">
        <x:f>E440</x:f>
        <x:v>0.25</x:v>
      </x:c>
      <x:c r="F29" s="26" t="n">
        <x:f>F440</x:f>
        <x:v>0.25</x:v>
      </x:c>
      <x:c r="G29" s="26" t="n">
        <x:f>G440</x:f>
        <x:v>0.25</x:v>
      </x:c>
      <x:c r="H29" s="26" t="n">
        <x:f>H440</x:f>
        <x:v>0.25</x:v>
      </x:c>
      <x:c r="I29" s="26" t="n">
        <x:f>I440</x:f>
        <x:v>0.25</x:v>
      </x:c>
      <x:c r="J29" s="1"/>
      <x:c r="K29" s="1" t="str">
        <x:v>Illustrative assumption, not a statutory rate. No loss carryforwards or deferred tax.</x:v>
      </x:c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</x:row>
    <x:row r="30" ht="18" customHeight="1">
      <x:c r="A30" s="1"/>
      <x:c r="B30" s="1"/>
      <x:c r="C30" s="23" t="str">
        <x:v>Interest on opening debt</x:v>
      </x:c>
      <x:c r="D30" s="24"/>
      <x:c r="E30" s="26" t="n">
        <x:f>E445</x:f>
        <x:v>0.085</x:v>
      </x:c>
      <x:c r="F30" s="26" t="n">
        <x:f>F445</x:f>
        <x:v>0.085</x:v>
      </x:c>
      <x:c r="G30" s="26" t="n">
        <x:f>G445</x:f>
        <x:v>0.085</x:v>
      </x:c>
      <x:c r="H30" s="26" t="n">
        <x:f>H445</x:f>
        <x:v>0.085</x:v>
      </x:c>
      <x:c r="I30" s="26" t="n">
        <x:f>I445</x:f>
        <x:v>0.085</x:v>
      </x:c>
      <x:c r="J30" s="1"/>
      <x:c r="K30" s="1"/>
      <x:c r="M30" s="82" t="str">
        <x:v>Historical actuals and forecast | INR crore</x:v>
      </x:c>
      <x:c r="N30" s="82"/>
      <x:c r="O30" s="82"/>
      <x:c r="P30" s="82"/>
      <x:c r="Q30" s="82"/>
      <x:c r="R30" s="82"/>
      <x:c r="S30" s="82"/>
      <x:c r="T30" s="82"/>
      <x:c r="U30" s="82"/>
      <x:c r="V30" s="63"/>
    </x:row>
    <x:row r="31" ht="18" customHeight="1">
      <x:c r="A31" s="1"/>
      <x:c r="B31" s="1"/>
      <x:c r="C31" s="1" t="str">
        <x:v>New borrowing</x:v>
      </x:c>
      <x:c r="D31" s="2"/>
      <x:c r="E31" s="7" t="n">
        <x:f>E450</x:f>
        <x:v>0</x:v>
      </x:c>
      <x:c r="F31" s="7" t="n">
        <x:f>F450</x:f>
        <x:v>0</x:v>
      </x:c>
      <x:c r="G31" s="7" t="n">
        <x:f>G450</x:f>
        <x:v>0</x:v>
      </x:c>
      <x:c r="H31" s="7" t="n">
        <x:f>H450</x:f>
        <x:v>0</x:v>
      </x:c>
      <x:c r="I31" s="7" t="n">
        <x:f>I450</x:f>
        <x:v>0</x:v>
      </x:c>
      <x:c r="J31" s="1"/>
      <x:c r="K31" s="1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</x:row>
    <x:row r="32" ht="18" customHeight="1">
      <x:c r="A32" s="1"/>
      <x:c r="B32" s="1"/>
      <x:c r="C32" s="1" t="str">
        <x:v>Scheduled principal repayment</x:v>
      </x:c>
      <x:c r="D32" s="2"/>
      <x:c r="E32" s="7" t="n">
        <x:f>E455</x:f>
        <x:v>90</x:v>
      </x:c>
      <x:c r="F32" s="7" t="n">
        <x:f>F455</x:f>
        <x:v>90</x:v>
      </x:c>
      <x:c r="G32" s="7" t="n">
        <x:f>G455</x:f>
        <x:v>90</x:v>
      </x:c>
      <x:c r="H32" s="7" t="n">
        <x:f>H455</x:f>
        <x:v>90</x:v>
      </x:c>
      <x:c r="I32" s="7" t="n">
        <x:f>I455</x:f>
        <x:v>90</x:v>
      </x:c>
      <x:c r="J32" s="1"/>
      <x:c r="K32" s="1"/>
      <x:c r="M32" s="63" t="str">
        <x:v>Metric</x:v>
      </x:c>
      <x:c r="N32" s="88" t="n">
        <x:f>'Controls'!$E$17+-3</x:f>
        <x:v>2024</x:v>
      </x:c>
      <x:c r="O32" s="88" t="n">
        <x:f>'Controls'!$E$17+-2</x:f>
        <x:v>2025</x:v>
      </x:c>
      <x:c r="P32" s="88" t="n">
        <x:f>'Controls'!$E$17+-1</x:f>
        <x:v>2026</x:v>
      </x:c>
      <x:c r="Q32" s="89" t="n">
        <x:f>'Controls'!$E$17+0</x:f>
        <x:v>2027</x:v>
      </x:c>
      <x:c r="R32" s="89" t="n">
        <x:f>'Controls'!$E$17+1</x:f>
        <x:v>2028</x:v>
      </x:c>
      <x:c r="S32" s="89" t="n">
        <x:f>'Controls'!$E$17+2</x:f>
        <x:v>2029</x:v>
      </x:c>
      <x:c r="T32" s="89" t="n">
        <x:f>'Controls'!$E$17+3</x:f>
        <x:v>2030</x:v>
      </x:c>
      <x:c r="U32" s="89" t="n">
        <x:f>'Controls'!$E$17+4</x:f>
        <x:v>2031</x:v>
      </x:c>
      <x:c r="V32" s="63" t="str">
        <x:v>Source / reporting date</x:v>
      </x:c>
    </x:row>
    <x:row r="33" ht="18" customHeight="1">
      <x:c r="A33" s="1"/>
      <x:c r="B33" s="1"/>
      <x:c r="C33" s="23" t="str">
        <x:v>Dividend payout on positive PAT</x:v>
      </x:c>
      <x:c r="D33" s="24"/>
      <x:c r="E33" s="26" t="n">
        <x:f>E460</x:f>
        <x:v>0.25</x:v>
      </x:c>
      <x:c r="F33" s="26" t="n">
        <x:f>F460</x:f>
        <x:v>0.25</x:v>
      </x:c>
      <x:c r="G33" s="26" t="n">
        <x:f>G460</x:f>
        <x:v>0.25</x:v>
      </x:c>
      <x:c r="H33" s="26" t="n">
        <x:f>H460</x:f>
        <x:v>0.25</x:v>
      </x:c>
      <x:c r="I33" s="26" t="n">
        <x:f>I460</x:f>
        <x:v>0.25</x:v>
      </x:c>
      <x:c r="J33" s="1"/>
      <x:c r="K33" s="1"/>
      <x:c r="M33" s="63" t="str">
        <x:v>Income</x:v>
      </x:c>
      <x:c r="N33" s="74"/>
      <x:c r="O33" s="74"/>
      <x:c r="P33" s="74"/>
      <x:c r="Q33" s="8" t="n">
        <x:f>E49</x:f>
        <x:v>3600</x:v>
      </x:c>
      <x:c r="R33" s="8" t="n">
        <x:f>F49</x:f>
        <x:v>4200</x:v>
      </x:c>
      <x:c r="S33" s="8" t="n">
        <x:f>G49</x:f>
        <x:v>4821.599999999999</x:v>
      </x:c>
      <x:c r="T33" s="8" t="n">
        <x:f>H49</x:f>
        <x:v>5482.5120000000015</x:v>
      </x:c>
      <x:c r="U33" s="8" t="n">
        <x:f>I49</x:f>
        <x:v>6198.037440000001</x:v>
      </x:c>
      <x:c r="V33" s="63"/>
    </x:row>
    <x:row r="34" ht="18" customHeight="1">
      <x:c r="A34" s="1"/>
      <x:c r="B34" s="1"/>
      <x:c r="C34" s="19" t="str">
        <x:v>OPENING BALANCE SHEET AND VALUATION INPUTS</x:v>
      </x:c>
      <x:c r="D34" s="20"/>
      <x:c r="E34" s="20"/>
      <x:c r="F34" s="20"/>
      <x:c r="G34" s="20"/>
      <x:c r="H34" s="20"/>
      <x:c r="I34" s="20"/>
      <x:c r="J34" s="1"/>
      <x:c r="K34" s="1"/>
      <x:c r="M34" s="63" t="str">
        <x:v>Profit after tax</x:v>
      </x:c>
      <x:c r="N34" s="74"/>
      <x:c r="O34" s="74"/>
      <x:c r="P34" s="74"/>
      <x:c r="Q34" s="8" t="n">
        <x:f>E61</x:f>
        <x:v>182.625</x:v>
      </x:c>
      <x:c r="R34" s="8" t="n">
        <x:f>F61</x:f>
        <x:v>245.00249999999997</x:v>
      </x:c>
      <x:c r="S34" s="8" t="n">
        <x:f>G61</x:f>
        <x:v>307.10159999999996</x:v>
      </x:c>
      <x:c r="T34" s="8" t="n">
        <x:f>H61</x:f>
        <x:v>370.807164</x:v>
      </x:c>
      <x:c r="U34" s="8" t="n">
        <x:f>I61</x:f>
        <x:v>437.68744415999976</x:v>
      </x:c>
      <x:c r="V34" s="63"/>
    </x:row>
    <x:row r="35" ht="18" customHeight="1">
      <x:c r="A35" s="1"/>
      <x:c r="B35" s="1"/>
      <x:c r="C35" s="1" t="str">
        <x:v>Opening net PP&amp;E</x:v>
      </x:c>
      <x:c r="D35" s="7" t="n">
        <x:v>700</x:v>
      </x:c>
      <x:c r="E35" s="2"/>
      <x:c r="F35" s="2"/>
      <x:c r="G35" s="2"/>
      <x:c r="H35" s="2"/>
      <x:c r="I35" s="2"/>
      <x:c r="J35" s="1"/>
      <x:c r="K35" s="1"/>
      <x:c r="M35" s="63" t="str">
        <x:v>EBITDA</x:v>
      </x:c>
      <x:c r="N35" s="74"/>
      <x:c r="O35" s="74"/>
      <x:c r="P35" s="74"/>
      <x:c r="Q35" s="8" t="n">
        <x:f>E55</x:f>
        <x:v>432</x:v>
      </x:c>
      <x:c r="R35" s="8" t="n">
        <x:f>F55</x:f>
        <x:v>504</x:v>
      </x:c>
      <x:c r="S35" s="8" t="n">
        <x:f>G55</x:f>
        <x:v>578.592</x:v>
      </x:c>
      <x:c r="T35" s="8" t="n">
        <x:f>H55</x:f>
        <x:v>657.9014400000001</x:v>
      </x:c>
      <x:c r="U35" s="8" t="n">
        <x:f>I55</x:f>
        <x:v>743.7644927999996</x:v>
      </x:c>
      <x:c r="V35" s="63"/>
    </x:row>
    <x:row r="36" ht="18" customHeight="1">
      <x:c r="A36" s="1"/>
      <x:c r="B36" s="1"/>
      <x:c r="C36" s="1" t="str">
        <x:v>Opening debt</x:v>
      </x:c>
      <x:c r="D36" s="7" t="n">
        <x:v>900</x:v>
      </x:c>
      <x:c r="E36" s="2"/>
      <x:c r="F36" s="2"/>
      <x:c r="G36" s="2"/>
      <x:c r="H36" s="2"/>
      <x:c r="I36" s="2"/>
      <x:c r="J36" s="1"/>
      <x:c r="K36" s="1"/>
      <x:c r="M36" s="63" t="str">
        <x:v>Closing debt</x:v>
      </x:c>
      <x:c r="N36" s="74"/>
      <x:c r="O36" s="74"/>
      <x:c r="P36" s="74"/>
      <x:c r="Q36" s="8" t="n">
        <x:f>E70</x:f>
        <x:v>810</x:v>
      </x:c>
      <x:c r="R36" s="8" t="n">
        <x:f>F70</x:f>
        <x:v>720</x:v>
      </x:c>
      <x:c r="S36" s="8" t="n">
        <x:f>G70</x:f>
        <x:v>630</x:v>
      </x:c>
      <x:c r="T36" s="8" t="n">
        <x:f>H70</x:f>
        <x:v>540</x:v>
      </x:c>
      <x:c r="U36" s="8" t="n">
        <x:f>I70</x:f>
        <x:v>450</x:v>
      </x:c>
      <x:c r="V36" s="63"/>
    </x:row>
    <x:row r="37" ht="18" customHeight="1">
      <x:c r="A37" s="1"/>
      <x:c r="B37" s="1"/>
      <x:c r="C37" s="1" t="str">
        <x:v>Opening cash</x:v>
      </x:c>
      <x:c r="D37" s="7" t="n">
        <x:v>350</x:v>
      </x:c>
      <x:c r="E37" s="2"/>
      <x:c r="F37" s="2"/>
      <x:c r="G37" s="2"/>
      <x:c r="H37" s="2"/>
      <x:c r="I37" s="2"/>
      <x:c r="J37" s="1"/>
      <x:c r="K37" s="1"/>
      <x:c r="M37" s="63" t="str">
        <x:v>Closing cash / (funding gap)</x:v>
      </x:c>
      <x:c r="N37" s="74"/>
      <x:c r="O37" s="74"/>
      <x:c r="P37" s="74"/>
      <x:c r="Q37" s="8" t="n">
        <x:f>E75</x:f>
        <x:v>418.96875</x:v>
      </x:c>
      <x:c r="R37" s="8" t="n">
        <x:f>F75</x:f>
        <x:v>408.6937756849312</x:v>
      </x:c>
      <x:c r="S37" s="8" t="n">
        <x:f>G75</x:f>
        <x:v>425.0260797945207</x:v>
      </x:c>
      <x:c r="T37" s="8" t="n">
        <x:f>H75</x:f>
        <x:v>467.58959613698613</x:v>
      </x:c>
      <x:c r="U37" s="8" t="n">
        <x:f>I75</x:f>
        <x:v>536.9790010783557</x:v>
      </x:c>
      <x:c r="V37" s="63"/>
    </x:row>
    <x:row r="38" ht="18" customHeight="1">
      <x:c r="A38" s="1"/>
      <x:c r="B38" s="1"/>
      <x:c r="C38" s="1" t="str">
        <x:v>Opening net working capital</x:v>
      </x:c>
      <x:c r="D38" s="7" t="n">
        <x:v>645.0410958904109</x:v>
      </x:c>
      <x:c r="E38" s="2"/>
      <x:c r="F38" s="2"/>
      <x:c r="G38" s="2"/>
      <x:c r="H38" s="2"/>
      <x:c r="I38" s="2"/>
      <x:c r="J38" s="1"/>
      <x:c r="K38" s="1" t="str">
        <x:v>Illustrative opening net balance. Replace with receivables + inventory − payables.</x:v>
      </x:c>
      <x:c r="M38" s="63" t="str">
        <x:v>Closing book equity</x:v>
      </x:c>
      <x:c r="N38" s="74"/>
      <x:c r="O38" s="74"/>
      <x:c r="P38" s="74"/>
      <x:c r="Q38" s="8" t="n">
        <x:f>E76</x:f>
        <x:v>932.0098458904108</x:v>
      </x:c>
      <x:c r="R38" s="8" t="n">
        <x:f>F76</x:f>
        <x:v>1115.761720890411</x:v>
      </x:c>
      <x:c r="S38" s="8" t="n">
        <x:f>G76</x:f>
        <x:v>1346.087920890411</x:v>
      </x:c>
      <x:c r="T38" s="8" t="n">
        <x:f>H76</x:f>
        <x:v>1624.193293890411</x:v>
      </x:c>
      <x:c r="U38" s="8" t="n">
        <x:f>I76</x:f>
        <x:v>1952.458877010411</x:v>
      </x:c>
      <x:c r="V38" s="63"/>
    </x:row>
    <x:row r="39" ht="18" customHeight="1">
      <x:c r="A39" s="1"/>
      <x:c r="B39" s="1"/>
      <x:c r="C39" s="1" t="str">
        <x:v>Diluted shares (crore)</x:v>
      </x:c>
      <x:c r="D39" s="7" t="n">
        <x:v>100</x:v>
      </x:c>
      <x:c r="E39" s="2"/>
      <x:c r="F39" s="2"/>
      <x:c r="G39" s="2"/>
      <x:c r="H39" s="2"/>
      <x:c r="I39" s="2"/>
      <x:c r="J39" s="1"/>
      <x:c r="K39" s="1"/>
      <x:c r="M39" s="63" t="str">
        <x:v>Operating cash flow after interest</x:v>
      </x:c>
      <x:c r="N39" s="74"/>
      <x:c r="O39" s="74"/>
      <x:c r="P39" s="74"/>
      <x:c r="Q39" s="8" t="n">
        <x:f>E72</x:f>
        <x:v>294.625</x:v>
      </x:c>
      <x:c r="R39" s="8" t="n">
        <x:f>F72</x:f>
        <x:v>245.97565068493122</x:v>
      </x:c>
      <x:c r="S39" s="8" t="n">
        <x:f>G72</x:f>
        <x:v>303.6477041095895</x:v>
      </x:c>
      <x:c r="T39" s="8" t="n">
        <x:f>H72</x:f>
        <x:v>362.3281073424655</x:v>
      </x:c>
      <x:c r="U39" s="8" t="n">
        <x:f>I72</x:f>
        <x:v>423.76220198136957</x:v>
      </x:c>
      <x:c r="V39" s="63"/>
    </x:row>
    <x:row r="40" ht="18" customHeight="1">
      <x:c r="A40" s="1"/>
      <x:c r="B40" s="1"/>
      <x:c r="C40" s="1" t="str">
        <x:v>WACC</x:v>
      </x:c>
      <x:c r="D40" s="25" t="n">
        <x:v>0.12</x:v>
      </x:c>
      <x:c r="E40" s="2"/>
      <x:c r="F40" s="2"/>
      <x:c r="G40" s="2"/>
      <x:c r="H40" s="2"/>
      <x:c r="I40" s="2"/>
      <x:c r="J40" s="1"/>
      <x:c r="K40" s="1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</x:row>
    <x:row r="41" ht="18" customHeight="1">
      <x:c r="A41" s="1"/>
      <x:c r="B41" s="1"/>
      <x:c r="C41" s="1" t="str">
        <x:v>Terminal growth</x:v>
      </x:c>
      <x:c r="D41" s="25" t="n">
        <x:v>0.04</x:v>
      </x:c>
      <x:c r="E41" s="2"/>
      <x:c r="F41" s="2"/>
      <x:c r="G41" s="2"/>
      <x:c r="H41" s="2"/>
      <x:c r="I41" s="2"/>
      <x:c r="J41" s="1"/>
      <x:c r="K41" s="1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</x:row>
    <x:row r="42" ht="18" customHeight="1">
      <x:c r="A42" s="1"/>
      <x:c r="B42" s="1"/>
      <x:c r="C42" s="1" t="str">
        <x:v>Terminal incremental ROIC</x:v>
      </x:c>
      <x:c r="D42" s="25" t="n">
        <x:v>0.15</x:v>
      </x:c>
      <x:c r="E42" s="2"/>
      <x:c r="F42" s="2"/>
      <x:c r="G42" s="2"/>
      <x:c r="H42" s="2"/>
      <x:c r="I42" s="2"/>
      <x:c r="J42" s="1"/>
      <x:c r="K42" s="1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</x:row>
    <x:row r="43" ht="18" customHeight="1">
      <x:c r="A43" s="1"/>
      <x:c r="B43" s="1"/>
      <x:c r="C43" s="1" t="str">
        <x:v>Forward EV / EBITDA</x:v>
      </x:c>
      <x:c r="D43" s="55" t="n">
        <x:v>11</x:v>
      </x:c>
      <x:c r="E43" s="2"/>
      <x:c r="F43" s="2"/>
      <x:c r="G43" s="2"/>
      <x:c r="H43" s="2"/>
      <x:c r="I43" s="2"/>
      <x:c r="J43" s="1"/>
      <x:c r="K43" s="1"/>
      <x:c r="M43" s="64" t="str">
        <x:v>Actuals are reference inputs. Calibrate the opening balances and forecast assumptions separately.</x:v>
      </x:c>
      <x:c r="N43" s="64"/>
      <x:c r="O43" s="64"/>
      <x:c r="P43" s="64"/>
      <x:c r="Q43" s="64"/>
      <x:c r="R43" s="64"/>
      <x:c r="S43" s="64"/>
      <x:c r="T43" s="64"/>
      <x:c r="U43" s="64"/>
      <x:c r="V43" s="63"/>
    </x:row>
    <x:row r="44" ht="18" customHeight="1">
      <x:c r="A44" s="1"/>
      <x:c r="B44" s="1"/>
      <x:c r="C44" s="19" t="str">
        <x:v>OPERATING BUILD</x:v>
      </x:c>
      <x:c r="D44" s="20"/>
      <x:c r="E44" s="20"/>
      <x:c r="F44" s="20"/>
      <x:c r="G44" s="20"/>
      <x:c r="H44" s="20"/>
      <x:c r="I44" s="20"/>
      <x:c r="J44" s="1"/>
      <x:c r="K44" s="1"/>
      <x:c r="M44" s="64"/>
      <x:c r="N44" s="64"/>
      <x:c r="O44" s="64"/>
      <x:c r="P44" s="64"/>
      <x:c r="Q44" s="64"/>
      <x:c r="R44" s="64"/>
      <x:c r="S44" s="64"/>
      <x:c r="T44" s="64"/>
      <x:c r="U44" s="64"/>
      <x:c r="V44" s="63"/>
    </x:row>
    <x:row r="45" ht="18" customHeight="1">
      <x:c r="A45" s="1"/>
      <x:c r="B45" s="1"/>
      <x:c r="C45" s="1" t="str">
        <x:v>Opening executable order book (INR crore)</x:v>
      </x:c>
      <x:c r="D45" s="2"/>
      <x:c r="E45" s="8" t="n">
        <x:f>$D10</x:f>
        <x:v>12000</x:v>
      </x:c>
      <x:c r="F45" s="8" t="n">
        <x:f>E50</x:f>
        <x:v>14000</x:v>
      </x:c>
      <x:c r="G45" s="8" t="n">
        <x:f>F50</x:f>
        <x:v>16072</x:v>
      </x:c>
      <x:c r="H45" s="8" t="n">
        <x:f>G50</x:f>
        <x:v>18275.040000000005</x:v>
      </x:c>
      <x:c r="I45" s="8" t="n">
        <x:f>H50</x:f>
        <x:v>20660.124800000005</x:v>
      </x:c>
      <x:c r="J45" s="1"/>
      <x:c r="K45" s="1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</x:row>
    <x:row r="46" ht="18" customHeight="1">
      <x:c r="A46" s="1"/>
      <x:c r="B46" s="1"/>
      <x:c r="C46" s="23" t="str">
        <x:v>Annual order-book execution rate</x:v>
      </x:c>
      <x:c r="D46" s="24"/>
      <x:c r="E46" s="35" t="n">
        <x:f>$D11+E16</x:f>
        <x:v>0.3</x:v>
      </x:c>
      <x:c r="F46" s="35" t="n">
        <x:f>E46+F16</x:f>
        <x:v>0.3</x:v>
      </x:c>
      <x:c r="G46" s="35" t="n">
        <x:f>F46+G16</x:f>
        <x:v>0.3</x:v>
      </x:c>
      <x:c r="H46" s="35" t="n">
        <x:f>G46+H16</x:f>
        <x:v>0.3</x:v>
      </x:c>
      <x:c r="I46" s="35" t="n">
        <x:f>H46+I16</x:f>
        <x:v>0.3</x:v>
      </x:c>
      <x:c r="J46" s="1"/>
      <x:c r="K46" s="1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</x:row>
    <x:row r="47" ht="18" customHeight="1">
      <x:c r="A47" s="1"/>
      <x:c r="B47" s="1"/>
      <x:c r="C47" s="1" t="str">
        <x:v>New orders won</x:v>
      </x:c>
      <x:c r="D47" s="2"/>
      <x:c r="E47" s="8" t="n">
        <x:f>$D23*(1+E12)</x:f>
        <x:v>5600.000000000001</x:v>
      </x:c>
      <x:c r="F47" s="8" t="n">
        <x:f>E47*(1+F12)</x:f>
        <x:v>6272.000000000002</x:v>
      </x:c>
      <x:c r="G47" s="8" t="n">
        <x:f>F47*(1+G12)</x:f>
        <x:v>7024.640000000003</x:v>
      </x:c>
      <x:c r="H47" s="8" t="n">
        <x:f>G47*(1+H12)</x:f>
        <x:v>7867.596800000004</x:v>
      </x:c>
      <x:c r="I47" s="8" t="n">
        <x:f>H47*(1+I12)</x:f>
        <x:v>8811.708416000005</x:v>
      </x:c>
      <x:c r="J47" s="1"/>
      <x:c r="K47" s="1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</x:row>
    <x:row r="48" ht="25" customHeight="1">
      <x:c r="A48" s="1"/>
      <x:c r="B48" s="1"/>
      <x:c r="C48" s="1" t="str">
        <x:v>Executed order value</x:v>
      </x:c>
      <x:c r="D48" s="2"/>
      <x:c r="E48" s="8" t="n">
        <x:f>E45*E46</x:f>
        <x:v>3600</x:v>
      </x:c>
      <x:c r="F48" s="8" t="n">
        <x:f>F45*F46</x:f>
        <x:v>4200</x:v>
      </x:c>
      <x:c r="G48" s="8" t="n">
        <x:f>G45*G46</x:f>
        <x:v>4821.599999999999</x:v>
      </x:c>
      <x:c r="H48" s="8" t="n">
        <x:f>H45*H46</x:f>
        <x:v>5482.5120000000015</x:v>
      </x:c>
      <x:c r="I48" s="8" t="n">
        <x:f>I45*I46</x:f>
        <x:v>6198.037440000001</x:v>
      </x:c>
      <x:c r="J48" s="1"/>
      <x:c r="K48" s="1"/>
      <x:c r="M48" s="82" t="str">
        <x:v>DCF equity value | rows WACC / columns terminal growth</x:v>
      </x:c>
      <x:c r="N48" s="82"/>
      <x:c r="O48" s="82"/>
      <x:c r="P48" s="82"/>
      <x:c r="Q48" s="82"/>
      <x:c r="R48" s="82"/>
      <x:c r="S48" s="63"/>
      <x:c r="T48" s="63"/>
      <x:c r="U48" s="63"/>
      <x:c r="V48" s="63"/>
    </x:row>
    <x:row r="49" ht="18" customHeight="1">
      <x:c r="A49" s="1"/>
      <x:c r="B49" s="1"/>
      <x:c r="C49" s="38" t="str">
        <x:v>Revenue</x:v>
      </x:c>
      <x:c r="D49" s="39"/>
      <x:c r="E49" s="41" t="n">
        <x:f>E48</x:f>
        <x:v>3600</x:v>
      </x:c>
      <x:c r="F49" s="41" t="n">
        <x:f>F48</x:f>
        <x:v>4200</x:v>
      </x:c>
      <x:c r="G49" s="41" t="n">
        <x:f>G48</x:f>
        <x:v>4821.599999999999</x:v>
      </x:c>
      <x:c r="H49" s="41" t="n">
        <x:f>H48</x:f>
        <x:v>5482.5120000000015</x:v>
      </x:c>
      <x:c r="I49" s="41" t="n">
        <x:f>I48</x:f>
        <x:v>6198.037440000001</x:v>
      </x:c>
      <x:c r="J49" s="1"/>
      <x:c r="K49" s="1"/>
      <x:c r="M49" s="63"/>
      <x:c r="N49" s="70" t="n">
        <x:f>$D$41+-0.01</x:f>
        <x:v>0.03</x:v>
      </x:c>
      <x:c r="O49" s="70" t="n">
        <x:f>$D$41+-0.005</x:f>
        <x:v>0.035</x:v>
      </x:c>
      <x:c r="P49" s="70" t="n">
        <x:f>$D$41+0</x:f>
        <x:v>0.04</x:v>
      </x:c>
      <x:c r="Q49" s="70" t="n">
        <x:f>$D$41+0.005</x:f>
        <x:v>0.045</x:v>
      </x:c>
      <x:c r="R49" s="70" t="n">
        <x:f>$D$41+0.01</x:f>
        <x:v>0.05</x:v>
      </x:c>
      <x:c r="S49" s="63"/>
      <x:c r="T49" s="63"/>
      <x:c r="U49" s="63"/>
      <x:c r="V49" s="63"/>
    </x:row>
    <x:row r="50" ht="18" customHeight="1">
      <x:c r="A50" s="1"/>
      <x:c r="B50" s="1"/>
      <x:c r="C50" s="1" t="str">
        <x:v>Closing order book</x:v>
      </x:c>
      <x:c r="D50" s="2"/>
      <x:c r="E50" s="8" t="n">
        <x:f>E45+E47-E49</x:f>
        <x:v>14000</x:v>
      </x:c>
      <x:c r="F50" s="8" t="n">
        <x:f>F45+F47-F49</x:f>
        <x:v>16072</x:v>
      </x:c>
      <x:c r="G50" s="8" t="n">
        <x:f>G45+G47-G49</x:f>
        <x:v>18275.040000000005</x:v>
      </x:c>
      <x:c r="H50" s="8" t="n">
        <x:f>H45+H47-H49</x:f>
        <x:v>20660.124800000005</x:v>
      </x:c>
      <x:c r="I50" s="8" t="n">
        <x:f>I45+I47-I49</x:f>
        <x:v>23273.79577600001</x:v>
      </x:c>
      <x:c r="J50" s="1"/>
      <x:c r="K50" s="1"/>
      <x:c r="M50" s="70" t="n">
        <x:f>$D$40+-0.02</x:f>
        <x:v>0.09999999999999999</x:v>
      </x:c>
      <x:c r="N50" s="8" t="n">
        <x:f>IF($M50&lt;=N$49,"n/a",IF(N$49&gt;$D$42,"n/a",E80/(1+$M50)^1+F80/(1+$M50)^2+G80/(1+$M50)^3+H80/(1+$M50)^4+I80/(1+$M50)^5+I79*(1+N$49)*(1-N$49/D42)/($M50-N$49)/(1+$M50)^5-D36+D37))</x:f>
        <x:v>3839.7314476186584</x:v>
      </x:c>
      <x:c r="O50" s="8" t="n">
        <x:f>IF($M50&lt;=O$49,"n/a",IF(O$49&gt;$D$42,"n/a",E80/(1+$M50)^1+F80/(1+$M50)^2+G80/(1+$M50)^3+H80/(1+$M50)^4+I80/(1+$M50)^5+I79*(1+O$49)*(1-O$49/D42)/($M50-O$49)/(1+$M50)^5-D36+D37))</x:f>
        <x:v>3967.6198424909935</x:v>
      </x:c>
      <x:c r="P50" s="8" t="n">
        <x:f>IF($M50&lt;=P$49,"n/a",IF(P$49&gt;$D$42,"n/a",E80/(1+$M50)^1+F80/(1+$M50)^2+G80/(1+$M50)^3+H80/(1+$M50)^4+I80/(1+$M50)^5+I79*(1+P$49)*(1-P$49/D42)/($M50-P$49)/(1+$M50)^5-D36+D37))</x:f>
        <x:v>4115.194388267272</x:v>
      </x:c>
      <x:c r="Q50" s="8" t="n">
        <x:f>IF($M50&lt;=Q$49,"n/a",IF(Q$49&gt;$D$42,"n/a",E80/(1+$M50)^1+F80/(1+$M50)^2+G80/(1+$M50)^3+H80/(1+$M50)^4+I80/(1+$M50)^5+I79*(1+Q$49)*(1-Q$49/D42)/($M50-Q$49)/(1+$M50)^5-D36+D37))</x:f>
        <x:v>4287.824035194021</x:v>
      </x:c>
      <x:c r="R50" s="8" t="n">
        <x:f>IF($M50&lt;=R$49,"n/a",IF(R$49&gt;$D$42,"n/a",E80/(1+$M50)^1+F80/(1+$M50)^2+G80/(1+$M50)^3+H80/(1+$M50)^4+I80/(1+$M50)^5+I79*(1+R$49)*(1-R$49/D42)/($M50-R$49)/(1+$M50)^5-D36+D37))</x:f>
        <x:v>4493.025313616385</x:v>
      </x:c>
      <x:c r="S50" s="63"/>
      <x:c r="T50" s="63"/>
      <x:c r="U50" s="63"/>
      <x:c r="V50" s="63"/>
    </x:row>
    <x:row r="51" ht="18" customHeight="1">
      <x:c r="A51" s="1"/>
      <x:c r="B51" s="1"/>
      <x:c r="C51" s="19" t="str">
        <x:v>INCOME STATEMENT</x:v>
      </x:c>
      <x:c r="D51" s="20"/>
      <x:c r="E51" s="20"/>
      <x:c r="F51" s="20"/>
      <x:c r="G51" s="20"/>
      <x:c r="H51" s="20"/>
      <x:c r="I51" s="20"/>
      <x:c r="J51" s="1"/>
      <x:c r="K51" s="1"/>
      <x:c r="M51" s="70" t="n">
        <x:f>$D$40+-0.01</x:f>
        <x:v>0.11</x:v>
      </x:c>
      <x:c r="N51" s="8" t="n">
        <x:f>IF($M51&lt;=N$49,"n/a",IF(N$49&gt;$D$42,"n/a",E80/(1+$M51)^1+F80/(1+$M51)^2+G80/(1+$M51)^3+H80/(1+$M51)^4+I80/(1+$M51)^5+I79*(1+N$49)*(1-N$49/D42)/($M51-N$49)/(1+$M51)^5-D36+D37))</x:f>
        <x:v>3250.4254293153863</x:v>
      </x:c>
      <x:c r="O51" s="8" t="n">
        <x:f>IF($M51&lt;=O$49,"n/a",IF(O$49&gt;$D$42,"n/a",E80/(1+$M51)^1+F80/(1+$M51)^2+G80/(1+$M51)^3+H80/(1+$M51)^4+I80/(1+$M51)^5+I79*(1+O$49)*(1-O$49/D42)/($M51-O$49)/(1+$M51)^5-D36+D37))</x:f>
        <x:v>3328.8746412697083</x:v>
      </x:c>
      <x:c r="P51" s="8" t="n">
        <x:f>IF($M51&lt;=P$49,"n/a",IF(P$49&gt;$D$42,"n/a",E80/(1+$M51)^1+F80/(1+$M51)^2+G80/(1+$M51)^3+H80/(1+$M51)^4+I80/(1+$M51)^5+I79*(1+P$49)*(1-P$49/D42)/($M51-P$49)/(1+$M51)^5-D36+D37))</x:f>
        <x:v>3417.196713231888</x:v>
      </x:c>
      <x:c r="Q51" s="8" t="n">
        <x:f>IF($M51&lt;=Q$49,"n/a",IF(Q$49&gt;$D$42,"n/a",E80/(1+$M51)^1+F80/(1+$M51)^2+G80/(1+$M51)^3+H80/(1+$M51)^4+I80/(1+$M51)^5+I79*(1+Q$49)*(1-Q$49/D42)/($M51-Q$49)/(1+$M51)^5-D36+D37))</x:f>
        <x:v>3517.6699975114298</x:v>
      </x:c>
      <x:c r="R51" s="8" t="n">
        <x:f>IF($M51&lt;=R$49,"n/a",IF(R$49&gt;$D$42,"n/a",E80/(1+$M51)^1+F80/(1+$M51)^2+G80/(1+$M51)^3+H80/(1+$M51)^4+I80/(1+$M51)^5+I79*(1+R$49)*(1-R$49/D42)/($M51-R$49)/(1+$M51)^5-D36+D37))</x:f>
        <x:v>3633.332297187675</x:v>
      </x:c>
      <x:c r="S51" s="63"/>
      <x:c r="T51" s="63"/>
      <x:c r="U51" s="63"/>
      <x:c r="V51" s="63"/>
    </x:row>
    <x:row r="52" ht="18" customHeight="1">
      <x:c r="A52" s="1"/>
      <x:c r="B52" s="1"/>
      <x:c r="C52" s="1" t="str">
        <x:v>Direct cash costs</x:v>
      </x:c>
      <x:c r="D52" s="2"/>
      <x:c r="E52" s="8" t="n">
        <x:f>E49*E21</x:f>
        <x:v>2808</x:v>
      </x:c>
      <x:c r="F52" s="8" t="n">
        <x:f>F49*F21</x:f>
        <x:v>3276</x:v>
      </x:c>
      <x:c r="G52" s="8" t="n">
        <x:f>G49*G21</x:f>
        <x:v>3760.8479999999995</x:v>
      </x:c>
      <x:c r="H52" s="8" t="n">
        <x:f>H49*H21</x:f>
        <x:v>4276.359360000001</x:v>
      </x:c>
      <x:c r="I52" s="8" t="n">
        <x:f>I49*I21</x:f>
        <x:v>4834.469203200001</x:v>
      </x:c>
      <x:c r="J52" s="1"/>
      <x:c r="K52" s="1"/>
      <x:c r="M52" s="70" t="n">
        <x:f>$D$40+0</x:f>
        <x:v>0.12</x:v>
      </x:c>
      <x:c r="N52" s="8" t="n">
        <x:f>IF($M52&lt;=N$49,"n/a",IF(N$49&gt;$D$42,"n/a",E80/(1+$M52)^1+F80/(1+$M52)^2+G80/(1+$M52)^3+H80/(1+$M52)^4+I80/(1+$M52)^5+I79*(1+N$49)*(1-N$49/D42)/($M52-N$49)/(1+$M52)^5-D36+D37))</x:f>
        <x:v>2793.905510650454</x:v>
      </x:c>
      <x:c r="O52" s="8" t="n">
        <x:f>IF($M52&lt;=O$49,"n/a",IF(O$49&gt;$D$42,"n/a",E80/(1+$M52)^1+F80/(1+$M52)^2+G80/(1+$M52)^3+H80/(1+$M52)^4+I80/(1+$M52)^5+I79*(1+O$49)*(1-O$49/D42)/($M52-O$49)/(1+$M52)^5-D36+D37))</x:f>
        <x:v>2842.05554458981</x:v>
      </x:c>
      <x:c r="P52" s="8" t="n">
        <x:f>IF($M52&lt;=P$49,"n/a",IF(P$49&gt;$D$42,"n/a",E80/(1+$M52)^1+F80/(1+$M52)^2+G80/(1+$M52)^3+H80/(1+$M52)^4+I80/(1+$M52)^5+I79*(1+P$49)*(1-P$49/D42)/($M52-P$49)/(1+$M52)^5-D36+D37))</x:f>
        <x:v>2895.1081274393564</x:v>
      </x:c>
      <x:c r="Q52" s="8" t="n">
        <x:f>IF($M52&lt;=Q$49,"n/a",IF(Q$49&gt;$D$42,"n/a",E80/(1+$M52)^1+F80/(1+$M52)^2+G80/(1+$M52)^3+H80/(1+$M52)^4+I80/(1+$M52)^5+I79*(1+Q$49)*(1-Q$49/D42)/($M52-Q$49)/(1+$M52)^5-D36+D37))</x:f>
        <x:v>2954.043768981129</x:v>
      </x:c>
      <x:c r="R52" s="8" t="n">
        <x:f>IF($M52&lt;=R$49,"n/a",IF(R$49&gt;$D$42,"n/a",E80/(1+$M52)^1+F80/(1+$M52)^2+G80/(1+$M52)^3+H80/(1+$M52)^4+I80/(1+$M52)^5+I79*(1+R$49)*(1-R$49/D42)/($M52-R$49)/(1+$M52)^5-D36+D37))</x:f>
        <x:v>3020.1231246491775</x:v>
      </x:c>
      <x:c r="S52" s="63"/>
      <x:c r="T52" s="63"/>
      <x:c r="U52" s="63"/>
      <x:c r="V52" s="63"/>
    </x:row>
    <x:row r="53" ht="18" customHeight="1">
      <x:c r="A53" s="1"/>
      <x:c r="B53" s="1"/>
      <x:c r="C53" s="1" t="str">
        <x:v>Gross profit</x:v>
      </x:c>
      <x:c r="D53" s="2"/>
      <x:c r="E53" s="8" t="n">
        <x:f>E49-E52</x:f>
        <x:v>792</x:v>
      </x:c>
      <x:c r="F53" s="8" t="n">
        <x:f>F49-F52</x:f>
        <x:v>924</x:v>
      </x:c>
      <x:c r="G53" s="8" t="n">
        <x:f>G49-G52</x:f>
        <x:v>1060.752</x:v>
      </x:c>
      <x:c r="H53" s="8" t="n">
        <x:f>H49-H52</x:f>
        <x:v>1206.1526400000002</x:v>
      </x:c>
      <x:c r="I53" s="8" t="n">
        <x:f>I49-I52</x:f>
        <x:v>1363.5682367999998</x:v>
      </x:c>
      <x:c r="J53" s="1"/>
      <x:c r="K53" s="1"/>
      <x:c r="M53" s="70" t="n">
        <x:f>$D$40+0.01</x:f>
        <x:v>0.13</x:v>
      </x:c>
      <x:c r="N53" s="8" t="n">
        <x:f>IF($M53&lt;=N$49,"n/a",IF(N$49&gt;$D$42,"n/a",E80/(1+$M53)^1+F80/(1+$M53)^2+G80/(1+$M53)^3+H80/(1+$M53)^4+I80/(1+$M53)^5+I79*(1+N$49)*(1-N$49/D42)/($M53-N$49)/(1+$M53)^5-D36+D37))</x:f>
        <x:v>2430.241177724524</x:v>
      </x:c>
      <x:c r="O53" s="8" t="n">
        <x:f>IF($M53&lt;=O$49,"n/a",IF(O$49&gt;$D$42,"n/a",E80/(1+$M53)^1+F80/(1+$M53)^2+G80/(1+$M53)^3+H80/(1+$M53)^4+I80/(1+$M53)^5+I79*(1+O$49)*(1-O$49/D42)/($M53-O$49)/(1+$M53)^5-D36+D37))</x:f>
        <x:v>2459.1023125008605</x:v>
      </x:c>
      <x:c r="P53" s="8" t="n">
        <x:f>IF($M53&lt;=P$49,"n/a",IF(P$49&gt;$D$42,"n/a",E80/(1+$M53)^1+F80/(1+$M53)^2+G80/(1+$M53)^3+H80/(1+$M53)^4+I80/(1+$M53)^5+I79*(1+P$49)*(1-P$49/D42)/($M53-P$49)/(1+$M53)^5-D36+D37))</x:f>
        <x:v>2490.2211892153955</x:v>
      </x:c>
      <x:c r="Q53" s="8" t="n">
        <x:f>IF($M53&lt;=Q$49,"n/a",IF(Q$49&gt;$D$42,"n/a",E80/(1+$M53)^1+F80/(1+$M53)^2+G80/(1+$M53)^3+H80/(1+$M53)^4+I80/(1+$M53)^5+I79*(1+Q$49)*(1-Q$49/D42)/($M53-Q$49)/(1+$M53)^5-D36+D37))</x:f>
        <x:v>2523.996232916044</x:v>
      </x:c>
      <x:c r="R53" s="8" t="n">
        <x:f>IF($M53&lt;=R$49,"n/a",IF(R$49&gt;$D$42,"n/a",E80/(1+$M53)^1+F80/(1+$M53)^2+G80/(1+$M53)^3+H80/(1+$M53)^4+I80/(1+$M53)^5+I79*(1+R$49)*(1-R$49/D42)/($M53-R$49)/(1+$M53)^5-D36+D37))</x:f>
        <x:v>2560.925474912704</x:v>
      </x:c>
      <x:c r="S53" s="63"/>
      <x:c r="T53" s="63"/>
      <x:c r="U53" s="63"/>
      <x:c r="V53" s="63"/>
    </x:row>
    <x:row r="54" ht="18" customHeight="1">
      <x:c r="A54" s="1"/>
      <x:c r="B54" s="1"/>
      <x:c r="C54" s="1" t="str">
        <x:v>Other cash operating costs</x:v>
      </x:c>
      <x:c r="D54" s="2"/>
      <x:c r="E54" s="8" t="n">
        <x:f>E49*E22</x:f>
        <x:v>360</x:v>
      </x:c>
      <x:c r="F54" s="8" t="n">
        <x:f>F49*F22</x:f>
        <x:v>420</x:v>
      </x:c>
      <x:c r="G54" s="8" t="n">
        <x:f>G49*G22</x:f>
        <x:v>482.15999999999997</x:v>
      </x:c>
      <x:c r="H54" s="8" t="n">
        <x:f>H49*H22</x:f>
        <x:v>548.2512000000002</x:v>
      </x:c>
      <x:c r="I54" s="8" t="n">
        <x:f>I49*I22</x:f>
        <x:v>619.8037440000002</x:v>
      </x:c>
      <x:c r="J54" s="1"/>
      <x:c r="K54" s="1"/>
      <x:c r="M54" s="70" t="n">
        <x:f>$D$40+0.02</x:f>
        <x:v>0.13999999999999999</x:v>
      </x:c>
      <x:c r="N54" s="8" t="n">
        <x:f>IF($M54&lt;=N$49,"n/a",IF(N$49&gt;$D$42,"n/a",E80/(1+$M54)^1+F80/(1+$M54)^2+G80/(1+$M54)^3+H80/(1+$M54)^4+I80/(1+$M54)^5+I79*(1+N$49)*(1-N$49/D42)/($M54-N$49)/(1+$M54)^5-D36+D37))</x:f>
        <x:v>2134.027764918425</x:v>
      </x:c>
      <x:c r="O54" s="8" t="n">
        <x:f>IF($M54&lt;=O$49,"n/a",IF(O$49&gt;$D$42,"n/a",E80/(1+$M54)^1+F80/(1+$M54)^2+G80/(1+$M54)^3+H80/(1+$M54)^4+I80/(1+$M54)^5+I79*(1+O$49)*(1-O$49/D42)/($M54-O$49)/(1+$M54)^5-D36+D37))</x:f>
        <x:v>2150.268311525051</x:v>
      </x:c>
      <x:c r="P54" s="8" t="n">
        <x:f>IF($M54&lt;=P$49,"n/a",IF(P$49&gt;$D$42,"n/a",E80/(1+$M54)^1+F80/(1+$M54)^2+G80/(1+$M54)^3+H80/(1+$M54)^4+I80/(1+$M54)^5+I79*(1+P$49)*(1-P$49/D42)/($M54-P$49)/(1+$M54)^5-D36+D37))</x:f>
        <x:v>2167.3155780938373</x:v>
      </x:c>
      <x:c r="Q54" s="8" t="n">
        <x:f>IF($M54&lt;=Q$49,"n/a",IF(Q$49&gt;$D$42,"n/a",E80/(1+$M54)^1+F80/(1+$M54)^2+G80/(1+$M54)^3+H80/(1+$M54)^4+I80/(1+$M54)^5+I79*(1+Q$49)*(1-Q$49/D42)/($M54-Q$49)/(1+$M54)^5-D36+D37))</x:f>
        <x:v>2185.296941460912</x:v>
      </x:c>
      <x:c r="R54" s="8" t="n">
        <x:f>IF($M54&lt;=R$49,"n/a",IF(R$49&gt;$D$42,"n/a",E80/(1+$M54)^1+F80/(1+$M54)^2+G80/(1+$M54)^3+H80/(1+$M54)^4+I80/(1+$M54)^5+I79*(1+R$49)*(1-R$49/D42)/($M54-R$49)/(1+$M54)^5-D36+D37))</x:f>
        <x:v>2204.368084425992</x:v>
      </x:c>
      <x:c r="S54" s="63"/>
      <x:c r="T54" s="63"/>
      <x:c r="U54" s="63"/>
      <x:c r="V54" s="63"/>
    </x:row>
    <x:row r="55" ht="18" customHeight="1">
      <x:c r="A55" s="1"/>
      <x:c r="B55" s="1"/>
      <x:c r="C55" s="38" t="str">
        <x:v>EBITDA</x:v>
      </x:c>
      <x:c r="D55" s="39"/>
      <x:c r="E55" s="41" t="n">
        <x:f>E53-E54</x:f>
        <x:v>432</x:v>
      </x:c>
      <x:c r="F55" s="41" t="n">
        <x:f>F53-F54</x:f>
        <x:v>504</x:v>
      </x:c>
      <x:c r="G55" s="41" t="n">
        <x:f>G53-G54</x:f>
        <x:v>578.592</x:v>
      </x:c>
      <x:c r="H55" s="41" t="n">
        <x:f>H53-H54</x:f>
        <x:v>657.9014400000001</x:v>
      </x:c>
      <x:c r="I55" s="41" t="n">
        <x:f>I53-I54</x:f>
        <x:v>743.7644927999996</x:v>
      </x:c>
      <x:c r="J55" s="1"/>
      <x:c r="K55" s="1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</x:row>
    <x:row r="56" ht="18" customHeight="1">
      <x:c r="A56" s="1"/>
      <x:c r="B56" s="1"/>
      <x:c r="C56" s="1" t="str">
        <x:v>Depreciation and amortization</x:v>
      </x:c>
      <x:c r="D56" s="2"/>
      <x:c r="E56" s="8" t="n">
        <x:f>E134</x:f>
        <x:v>112</x:v>
      </x:c>
      <x:c r="F56" s="8" t="n">
        <x:f>F134</x:f>
        <x:v>108.48</x:v>
      </x:c>
      <x:c r="G56" s="8" t="n">
        <x:f>G134</x:f>
        <x:v>107.9232</x:v>
      </x:c>
      <x:c r="H56" s="8" t="n">
        <x:f>H134</x:f>
        <x:v>109.941888</x:v>
      </x:c>
      <x:c r="I56" s="8" t="n">
        <x:f>I134</x:f>
        <x:v>114.28123392000002</x:v>
      </x:c>
      <x:c r="J56" s="1"/>
      <x:c r="K56" s="1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</x:row>
    <x:row r="57" ht="18" customHeight="1">
      <x:c r="A57" s="1"/>
      <x:c r="B57" s="1"/>
      <x:c r="C57" s="1" t="str">
        <x:v>EBIT</x:v>
      </x:c>
      <x:c r="D57" s="2"/>
      <x:c r="E57" s="8" t="n">
        <x:f>E55-E56</x:f>
        <x:v>320</x:v>
      </x:c>
      <x:c r="F57" s="8" t="n">
        <x:f>F55-F56</x:f>
        <x:v>395.52</x:v>
      </x:c>
      <x:c r="G57" s="8" t="n">
        <x:f>G55-G56</x:f>
        <x:v>470.6688</x:v>
      </x:c>
      <x:c r="H57" s="8" t="n">
        <x:f>H55-H56</x:f>
        <x:v>547.959552</x:v>
      </x:c>
      <x:c r="I57" s="8" t="n">
        <x:f>I55-I56</x:f>
        <x:v>629.4832588799997</x:v>
      </x:c>
      <x:c r="J57" s="1"/>
      <x:c r="K57" s="1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</x:row>
    <x:row r="58" ht="25" customHeight="1">
      <x:c r="A58" s="1"/>
      <x:c r="B58" s="1"/>
      <x:c r="C58" s="1" t="str">
        <x:v>Interest expense</x:v>
      </x:c>
      <x:c r="D58" s="2"/>
      <x:c r="E58" s="8" t="n">
        <x:f>E125</x:f>
        <x:v>76.5</x:v>
      </x:c>
      <x:c r="F58" s="8" t="n">
        <x:f>F125</x:f>
        <x:v>68.85000000000001</x:v>
      </x:c>
      <x:c r="G58" s="8" t="n">
        <x:f>G125</x:f>
        <x:v>61.2</x:v>
      </x:c>
      <x:c r="H58" s="8" t="n">
        <x:f>H125</x:f>
        <x:v>53.550000000000004</x:v>
      </x:c>
      <x:c r="I58" s="8" t="n">
        <x:f>I125</x:f>
        <x:v>45.900000000000006</x:v>
      </x:c>
      <x:c r="J58" s="1"/>
      <x:c r="K58" s="1"/>
      <x:c r="M58" s="82" t="str">
        <x:v>Forward equity value | rows EBITDA / columns EV/EBITDA</x:v>
      </x:c>
      <x:c r="N58" s="82"/>
      <x:c r="O58" s="82"/>
      <x:c r="P58" s="82"/>
      <x:c r="Q58" s="82"/>
      <x:c r="R58" s="82"/>
      <x:c r="S58" s="63"/>
      <x:c r="T58" s="63"/>
      <x:c r="U58" s="63"/>
      <x:c r="V58" s="63"/>
    </x:row>
    <x:row r="59" ht="18" customHeight="1">
      <x:c r="A59" s="1"/>
      <x:c r="B59" s="1"/>
      <x:c r="C59" s="1" t="str">
        <x:v>Profit before tax</x:v>
      </x:c>
      <x:c r="D59" s="2"/>
      <x:c r="E59" s="8" t="n">
        <x:f>E57-E58</x:f>
        <x:v>243.5</x:v>
      </x:c>
      <x:c r="F59" s="8" t="n">
        <x:f>F57-F58</x:f>
        <x:v>326.66999999999996</x:v>
      </x:c>
      <x:c r="G59" s="8" t="n">
        <x:f>G57-G58</x:f>
        <x:v>409.4688</x:v>
      </x:c>
      <x:c r="H59" s="8" t="n">
        <x:f>H57-H58</x:f>
        <x:v>494.409552</x:v>
      </x:c>
      <x:c r="I59" s="8" t="n">
        <x:f>I57-I58</x:f>
        <x:v>583.5832588799997</x:v>
      </x:c>
      <x:c r="J59" s="1"/>
      <x:c r="K59" s="1"/>
      <x:c r="M59" s="63"/>
      <x:c r="N59" s="78" t="n">
        <x:f>MAX(0,D43+-2)</x:f>
        <x:v>9</x:v>
      </x:c>
      <x:c r="O59" s="78" t="n">
        <x:f>MAX(0,D43+-1)</x:f>
        <x:v>10</x:v>
      </x:c>
      <x:c r="P59" s="78" t="n">
        <x:f>MAX(0,D43+0)</x:f>
        <x:v>11</x:v>
      </x:c>
      <x:c r="Q59" s="78" t="n">
        <x:f>MAX(0,D43+1)</x:f>
        <x:v>12</x:v>
      </x:c>
      <x:c r="R59" s="78" t="n">
        <x:f>MAX(0,D43+2)</x:f>
        <x:v>13</x:v>
      </x:c>
      <x:c r="S59" s="63"/>
      <x:c r="T59" s="63"/>
      <x:c r="U59" s="63"/>
      <x:c r="V59" s="63"/>
    </x:row>
    <x:row r="60" ht="18" customHeight="1">
      <x:c r="A60" s="1"/>
      <x:c r="B60" s="1"/>
      <x:c r="C60" s="1" t="str">
        <x:v>Cash income tax</x:v>
      </x:c>
      <x:c r="D60" s="2"/>
      <x:c r="E60" s="8" t="n">
        <x:f>E144</x:f>
        <x:v>60.875</x:v>
      </x:c>
      <x:c r="F60" s="8" t="n">
        <x:f>F144</x:f>
        <x:v>81.66749999999999</x:v>
      </x:c>
      <x:c r="G60" s="8" t="n">
        <x:f>G144</x:f>
        <x:v>102.3672</x:v>
      </x:c>
      <x:c r="H60" s="8" t="n">
        <x:f>H144</x:f>
        <x:v>123.602388</x:v>
      </x:c>
      <x:c r="I60" s="8" t="n">
        <x:f>I144</x:f>
        <x:v>145.89581471999992</x:v>
      </x:c>
      <x:c r="J60" s="1"/>
      <x:c r="K60" s="1"/>
      <x:c r="M60" s="8" t="n">
        <x:f>E55*0.8</x:f>
        <x:v>345.6</x:v>
      </x:c>
      <x:c r="N60" s="8" t="n">
        <x:f>$M60*N$59-D36+D37</x:f>
        <x:v>2560.4</x:v>
      </x:c>
      <x:c r="O60" s="8" t="n">
        <x:f>$M60*O$59-D36+D37</x:f>
        <x:v>2906</x:v>
      </x:c>
      <x:c r="P60" s="8" t="n">
        <x:f>$M60*P$59-D36+D37</x:f>
        <x:v>3251.6000000000004</x:v>
      </x:c>
      <x:c r="Q60" s="8" t="n">
        <x:f>$M60*Q$59-D36+D37</x:f>
        <x:v>3597.2000000000007</x:v>
      </x:c>
      <x:c r="R60" s="8" t="n">
        <x:f>$M60*R$59-D36+D37</x:f>
        <x:v>3942.8</x:v>
      </x:c>
      <x:c r="S60" s="63"/>
      <x:c r="T60" s="63"/>
      <x:c r="U60" s="63"/>
      <x:c r="V60" s="63"/>
    </x:row>
    <x:row r="61" ht="18" customHeight="1">
      <x:c r="A61" s="1"/>
      <x:c r="B61" s="1"/>
      <x:c r="C61" s="38" t="str">
        <x:v>Profit after tax</x:v>
      </x:c>
      <x:c r="D61" s="39"/>
      <x:c r="E61" s="41" t="n">
        <x:f>E59-E60</x:f>
        <x:v>182.625</x:v>
      </x:c>
      <x:c r="F61" s="41" t="n">
        <x:f>F59-F60</x:f>
        <x:v>245.00249999999997</x:v>
      </x:c>
      <x:c r="G61" s="41" t="n">
        <x:f>G59-G60</x:f>
        <x:v>307.10159999999996</x:v>
      </x:c>
      <x:c r="H61" s="41" t="n">
        <x:f>H59-H60</x:f>
        <x:v>370.807164</x:v>
      </x:c>
      <x:c r="I61" s="41" t="n">
        <x:f>I59-I60</x:f>
        <x:v>437.68744415999976</x:v>
      </x:c>
      <x:c r="J61" s="1"/>
      <x:c r="K61" s="1"/>
      <x:c r="M61" s="8" t="n">
        <x:f>E55*0.9</x:f>
        <x:v>388.8</x:v>
      </x:c>
      <x:c r="N61" s="8" t="n">
        <x:f>$M61*N$59-D36+D37</x:f>
        <x:v>2949.2000000000003</x:v>
      </x:c>
      <x:c r="O61" s="8" t="n">
        <x:f>$M61*O$59-D36+D37</x:f>
        <x:v>3338</x:v>
      </x:c>
      <x:c r="P61" s="8" t="n">
        <x:f>$M61*P$59-D36+D37</x:f>
        <x:v>3726.8</x:v>
      </x:c>
      <x:c r="Q61" s="8" t="n">
        <x:f>$M61*Q$59-D36+D37</x:f>
        <x:v>4115.6</x:v>
      </x:c>
      <x:c r="R61" s="8" t="n">
        <x:f>$M61*R$59-D36+D37</x:f>
        <x:v>4504.400000000001</x:v>
      </x:c>
      <x:c r="S61" s="63"/>
      <x:c r="T61" s="63"/>
      <x:c r="U61" s="63"/>
      <x:c r="V61" s="63"/>
    </x:row>
    <x:row r="62" ht="18" customHeight="1">
      <x:c r="A62" s="1"/>
      <x:c r="B62" s="1"/>
      <x:c r="C62" s="19" t="str">
        <x:v>WORKING CAPITAL AND ASSET SCHEDULES</x:v>
      </x:c>
      <x:c r="D62" s="20"/>
      <x:c r="E62" s="20"/>
      <x:c r="F62" s="20"/>
      <x:c r="G62" s="20"/>
      <x:c r="H62" s="20"/>
      <x:c r="I62" s="20"/>
      <x:c r="J62" s="1"/>
      <x:c r="K62" s="1"/>
      <x:c r="M62" s="8" t="n">
        <x:f>E55*1</x:f>
        <x:v>432</x:v>
      </x:c>
      <x:c r="N62" s="8" t="n">
        <x:f>$M62*N$59-D36+D37</x:f>
        <x:v>3338</x:v>
      </x:c>
      <x:c r="O62" s="8" t="n">
        <x:f>$M62*O$59-D36+D37</x:f>
        <x:v>3770</x:v>
      </x:c>
      <x:c r="P62" s="8" t="n">
        <x:f>$M62*P$59-D36+D37</x:f>
        <x:v>4202</x:v>
      </x:c>
      <x:c r="Q62" s="8" t="n">
        <x:f>$M62*Q$59-D36+D37</x:f>
        <x:v>4634</x:v>
      </x:c>
      <x:c r="R62" s="8" t="n">
        <x:f>$M62*R$59-D36+D37</x:f>
        <x:v>5066</x:v>
      </x:c>
      <x:c r="S62" s="63"/>
      <x:c r="T62" s="63"/>
      <x:c r="U62" s="63"/>
      <x:c r="V62" s="63"/>
    </x:row>
    <x:row r="63" ht="18" customHeight="1">
      <x:c r="A63" s="1"/>
      <x:c r="B63" s="1"/>
      <x:c r="C63" s="1" t="str">
        <x:v>Trade receivables</x:v>
      </x:c>
      <x:c r="D63" s="2"/>
      <x:c r="E63" s="10" t="n">
        <x:f>E49*E26/'Controls'!$E$11</x:f>
        <x:v>1183.5616438356165</x:v>
      </x:c>
      <x:c r="F63" s="10" t="n">
        <x:f>F49*F26/'Controls'!$E$11</x:f>
        <x:v>1380.8219178082193</x:v>
      </x:c>
      <x:c r="G63" s="10" t="n">
        <x:f>G49*G26/'Controls'!$E$11</x:f>
        <x:v>1585.1835616438352</x:v>
      </x:c>
      <x:c r="H63" s="10" t="n">
        <x:f>H49*H26/'Controls'!$E$11</x:f>
        <x:v>1802.4696986301374</x:v>
      </x:c>
      <x:c r="I63" s="10" t="n">
        <x:f>I49*I26/'Controls'!$E$11</x:f>
        <x:v>2037.7109391780825</x:v>
      </x:c>
      <x:c r="J63" s="1"/>
      <x:c r="K63" s="1"/>
      <x:c r="M63" s="8" t="n">
        <x:f>E55*1.1</x:f>
        <x:v>475.20000000000005</x:v>
      </x:c>
      <x:c r="N63" s="8" t="n">
        <x:f>$M63*N$59-D36+D37</x:f>
        <x:v>3726.8</x:v>
      </x:c>
      <x:c r="O63" s="8" t="n">
        <x:f>$M63*O$59-D36+D37</x:f>
        <x:v>4202</x:v>
      </x:c>
      <x:c r="P63" s="8" t="n">
        <x:f>$M63*P$59-D36+D37</x:f>
        <x:v>4677.200000000001</x:v>
      </x:c>
      <x:c r="Q63" s="8" t="n">
        <x:f>$M63*Q$59-D36+D37</x:f>
        <x:v>5152.400000000001</x:v>
      </x:c>
      <x:c r="R63" s="8" t="n">
        <x:f>$M63*R$59-D36+D37</x:f>
        <x:v>5627.6</x:v>
      </x:c>
      <x:c r="S63" s="63"/>
      <x:c r="T63" s="63"/>
      <x:c r="U63" s="63"/>
      <x:c r="V63" s="63"/>
    </x:row>
    <x:row r="64" ht="18" customHeight="1">
      <x:c r="A64" s="1"/>
      <x:c r="B64" s="1"/>
      <x:c r="C64" s="1" t="str">
        <x:v>Inventory</x:v>
      </x:c>
      <x:c r="D64" s="2"/>
      <x:c r="E64" s="10" t="n">
        <x:f>E52*E27/'Controls'!$E$11</x:f>
        <x:v>153.86301369863014</x:v>
      </x:c>
      <x:c r="F64" s="10" t="n">
        <x:f>F52*F27/'Controls'!$E$11</x:f>
        <x:v>179.5068493150685</x:v>
      </x:c>
      <x:c r="G64" s="10" t="n">
        <x:f>G52*G27/'Controls'!$E$11</x:f>
        <x:v>206.0738630136986</x:v>
      </x:c>
      <x:c r="H64" s="10" t="n">
        <x:f>H52*H27/'Controls'!$E$11</x:f>
        <x:v>234.32106082191788</x:v>
      </x:c>
      <x:c r="I64" s="10" t="n">
        <x:f>I52*I27/'Controls'!$E$11</x:f>
        <x:v>264.90242209315073</x:v>
      </x:c>
      <x:c r="J64" s="1"/>
      <x:c r="K64" s="1"/>
      <x:c r="M64" s="8" t="n">
        <x:f>E55*1.2</x:f>
        <x:v>518.4</x:v>
      </x:c>
      <x:c r="N64" s="8" t="n">
        <x:f>$M64*N$59-D36+D37</x:f>
        <x:v>4115.599999999999</x:v>
      </x:c>
      <x:c r="O64" s="8" t="n">
        <x:f>$M64*O$59-D36+D37</x:f>
        <x:v>4634</x:v>
      </x:c>
      <x:c r="P64" s="8" t="n">
        <x:f>$M64*P$59-D36+D37</x:f>
        <x:v>5152.4</x:v>
      </x:c>
      <x:c r="Q64" s="8" t="n">
        <x:f>$M64*Q$59-D36+D37</x:f>
        <x:v>5670.799999999999</x:v>
      </x:c>
      <x:c r="R64" s="8" t="n">
        <x:f>$M64*R$59-D36+D37</x:f>
        <x:v>6189.2</x:v>
      </x:c>
      <x:c r="S64" s="63"/>
      <x:c r="T64" s="63"/>
      <x:c r="U64" s="63"/>
      <x:c r="V64" s="63"/>
    </x:row>
    <x:row r="65" ht="18" customHeight="1">
      <x:c r="A65" s="1"/>
      <x:c r="B65" s="1"/>
      <x:c r="C65" s="1" t="str">
        <x:v>Trade payables</x:v>
      </x:c>
      <x:c r="D65" s="2"/>
      <x:c r="E65" s="10" t="n">
        <x:f>E52*E28/'Controls'!$E$11</x:f>
        <x:v>692.3835616438356</x:v>
      </x:c>
      <x:c r="F65" s="10" t="n">
        <x:f>F52*F28/'Controls'!$E$11</x:f>
        <x:v>807.7808219178082</x:v>
      </x:c>
      <x:c r="G65" s="10" t="n">
        <x:f>G52*G28/'Controls'!$E$11</x:f>
        <x:v>927.3323835616437</x:v>
      </x:c>
      <x:c r="H65" s="10" t="n">
        <x:f>H52*H28/'Controls'!$E$11</x:f>
        <x:v>1054.4447736986306</x:v>
      </x:c>
      <x:c r="I65" s="10" t="n">
        <x:f>I52*I28/'Controls'!$E$11</x:f>
        <x:v>1192.0608994191784</x:v>
      </x:c>
      <x:c r="J65" s="1"/>
      <x:c r="K65" s="1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</x:row>
    <x:row r="66" ht="18" customHeight="1">
      <x:c r="A66" s="1"/>
      <x:c r="B66" s="1"/>
      <x:c r="C66" s="1" t="str">
        <x:v>Net working capital</x:v>
      </x:c>
      <x:c r="D66" s="2"/>
      <x:c r="E66" s="8" t="n">
        <x:f>E63+E64-E65</x:f>
        <x:v>645.0410958904109</x:v>
      </x:c>
      <x:c r="F66" s="8" t="n">
        <x:f>F63+F64-F65</x:f>
        <x:v>752.5479452054797</x:v>
      </x:c>
      <x:c r="G66" s="8" t="n">
        <x:f>G63+G64-G65</x:f>
        <x:v>863.9250410958902</x:v>
      </x:c>
      <x:c r="H66" s="8" t="n">
        <x:f>H63+H64-H65</x:f>
        <x:v>982.3459857534247</x:v>
      </x:c>
      <x:c r="I66" s="8" t="n">
        <x:f>I63+I64-I65</x:f>
        <x:v>1110.5524618520549</x:v>
      </x:c>
      <x:c r="J66" s="1"/>
      <x:c r="K66" s="1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</x:row>
    <x:row r="67" ht="18" customHeight="1">
      <x:c r="A67" s="1"/>
      <x:c r="B67" s="1"/>
      <x:c r="C67" s="1" t="str">
        <x:v>Increase in net working capital</x:v>
      </x:c>
      <x:c r="D67" s="2"/>
      <x:c r="E67" s="8" t="n">
        <x:f>E66-$D38</x:f>
        <x:v>0</x:v>
      </x:c>
      <x:c r="F67" s="8" t="n">
        <x:f>F66-E66</x:f>
        <x:v>107.50684931506873</x:v>
      </x:c>
      <x:c r="G67" s="8" t="n">
        <x:f>G66-F66</x:f>
        <x:v>111.37709589041049</x:v>
      </x:c>
      <x:c r="H67" s="8" t="n">
        <x:f>H66-G66</x:f>
        <x:v>118.4209446575345</x:v>
      </x:c>
      <x:c r="I67" s="8" t="n">
        <x:f>I66-H66</x:f>
        <x:v>128.20647609863022</x:v>
      </x:c>
      <x:c r="J67" s="1"/>
      <x:c r="K67" s="1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</x:row>
    <x:row r="68" ht="25" customHeight="1">
      <x:c r="A68" s="1"/>
      <x:c r="B68" s="1"/>
      <x:c r="C68" s="1" t="str">
        <x:v>Capital expenditure</x:v>
      </x:c>
      <x:c r="D68" s="2"/>
      <x:c r="E68" s="8" t="n">
        <x:f>E49*E24</x:f>
        <x:v>90</x:v>
      </x:c>
      <x:c r="F68" s="8" t="n">
        <x:f>F49*F24</x:f>
        <x:v>105</x:v>
      </x:c>
      <x:c r="G68" s="8" t="n">
        <x:f>G49*G24</x:f>
        <x:v>120.53999999999999</x:v>
      </x:c>
      <x:c r="H68" s="8" t="n">
        <x:f>H49*H24</x:f>
        <x:v>137.06280000000004</x:v>
      </x:c>
      <x:c r="I68" s="8" t="n">
        <x:f>I49*I24</x:f>
        <x:v>154.95093600000004</x:v>
      </x:c>
      <x:c r="J68" s="1"/>
      <x:c r="K68" s="1"/>
      <x:c r="M68" s="82" t="str">
        <x:v>First-year EBITDA | rows revenue / columns EBITDA margin</x:v>
      </x:c>
      <x:c r="N68" s="82"/>
      <x:c r="O68" s="82"/>
      <x:c r="P68" s="82"/>
      <x:c r="Q68" s="82"/>
      <x:c r="R68" s="82"/>
      <x:c r="S68" s="63"/>
      <x:c r="T68" s="63"/>
      <x:c r="U68" s="63"/>
      <x:c r="V68" s="63"/>
    </x:row>
    <x:row r="69" ht="18" customHeight="1">
      <x:c r="A69" s="1"/>
      <x:c r="B69" s="1"/>
      <x:c r="C69" s="1" t="str">
        <x:v>Closing net PP&amp;E</x:v>
      </x:c>
      <x:c r="D69" s="2"/>
      <x:c r="E69" s="8" t="n">
        <x:f>E135</x:f>
        <x:v>678</x:v>
      </x:c>
      <x:c r="F69" s="8" t="n">
        <x:f>F135</x:f>
        <x:v>674.52</x:v>
      </x:c>
      <x:c r="G69" s="8" t="n">
        <x:f>G135</x:f>
        <x:v>687.1368</x:v>
      </x:c>
      <x:c r="H69" s="8" t="n">
        <x:f>H135</x:f>
        <x:v>714.2577120000001</x:v>
      </x:c>
      <x:c r="I69" s="8" t="n">
        <x:f>I135</x:f>
        <x:v>754.9274140800002</x:v>
      </x:c>
      <x:c r="J69" s="1"/>
      <x:c r="K69" s="1"/>
      <x:c r="M69" s="63"/>
      <x:c r="N69" s="70" t="n">
        <x:f>E55/E49+-0.04</x:f>
        <x:v>0.07999999999999999</x:v>
      </x:c>
      <x:c r="O69" s="70" t="n">
        <x:f>E55/E49+-0.02</x:f>
        <x:v>0.09999999999999999</x:v>
      </x:c>
      <x:c r="P69" s="70" t="n">
        <x:f>E55/E49+0</x:f>
        <x:v>0.12</x:v>
      </x:c>
      <x:c r="Q69" s="70" t="n">
        <x:f>E55/E49+0.02</x:f>
        <x:v>0.13999999999999999</x:v>
      </x:c>
      <x:c r="R69" s="70" t="n">
        <x:f>E55/E49+0.04</x:f>
        <x:v>0.16</x:v>
      </x:c>
      <x:c r="S69" s="63"/>
      <x:c r="T69" s="63"/>
      <x:c r="U69" s="63"/>
      <x:c r="V69" s="63"/>
    </x:row>
    <x:row r="70" ht="18" customHeight="1">
      <x:c r="A70" s="1"/>
      <x:c r="B70" s="1"/>
      <x:c r="C70" s="1" t="str">
        <x:v>Closing debt</x:v>
      </x:c>
      <x:c r="D70" s="2"/>
      <x:c r="E70" s="8" t="n">
        <x:f>E123</x:f>
        <x:v>810</x:v>
      </x:c>
      <x:c r="F70" s="8" t="n">
        <x:f>F123</x:f>
        <x:v>720</x:v>
      </x:c>
      <x:c r="G70" s="8" t="n">
        <x:f>G123</x:f>
        <x:v>630</x:v>
      </x:c>
      <x:c r="H70" s="8" t="n">
        <x:f>H123</x:f>
        <x:v>540</x:v>
      </x:c>
      <x:c r="I70" s="8" t="n">
        <x:f>I123</x:f>
        <x:v>450</x:v>
      </x:c>
      <x:c r="J70" s="1"/>
      <x:c r="K70" s="1"/>
      <x:c r="M70" s="8" t="n">
        <x:f>E49*0.8</x:f>
        <x:v>2880</x:v>
      </x:c>
      <x:c r="N70" s="8" t="n">
        <x:f>$M70*N$69</x:f>
        <x:v>230.39999999999998</x:v>
      </x:c>
      <x:c r="O70" s="8" t="n">
        <x:f>$M70*O$69</x:f>
        <x:v>288</x:v>
      </x:c>
      <x:c r="P70" s="8" t="n">
        <x:f>$M70*P$69</x:f>
        <x:v>345.59999999999997</x:v>
      </x:c>
      <x:c r="Q70" s="8" t="n">
        <x:f>$M70*Q$69</x:f>
        <x:v>403.19999999999993</x:v>
      </x:c>
      <x:c r="R70" s="8" t="n">
        <x:f>$M70*R$69</x:f>
        <x:v>460.8</x:v>
      </x:c>
      <x:c r="S70" s="63"/>
      <x:c r="T70" s="63"/>
      <x:c r="U70" s="63"/>
      <x:c r="V70" s="63"/>
    </x:row>
    <x:row r="71" ht="18" customHeight="1">
      <x:c r="A71" s="1"/>
      <x:c r="B71" s="1"/>
      <x:c r="C71" s="19" t="str">
        <x:v>CASH FLOW AND BALANCE SHEET</x:v>
      </x:c>
      <x:c r="D71" s="20"/>
      <x:c r="E71" s="20"/>
      <x:c r="F71" s="20"/>
      <x:c r="G71" s="20"/>
      <x:c r="H71" s="20"/>
      <x:c r="I71" s="20"/>
      <x:c r="J71" s="1"/>
      <x:c r="K71" s="1"/>
      <x:c r="M71" s="8" t="n">
        <x:f>E49*0.9</x:f>
        <x:v>3240</x:v>
      </x:c>
      <x:c r="N71" s="8" t="n">
        <x:f>$M71*N$69</x:f>
        <x:v>259.2</x:v>
      </x:c>
      <x:c r="O71" s="8" t="n">
        <x:f>$M71*O$69</x:f>
        <x:v>324</x:v>
      </x:c>
      <x:c r="P71" s="8" t="n">
        <x:f>$M71*P$69</x:f>
        <x:v>388.8</x:v>
      </x:c>
      <x:c r="Q71" s="8" t="n">
        <x:f>$M71*Q$69</x:f>
        <x:v>453.59999999999997</x:v>
      </x:c>
      <x:c r="R71" s="8" t="n">
        <x:f>$M71*R$69</x:f>
        <x:v>518.4</x:v>
      </x:c>
      <x:c r="S71" s="63"/>
      <x:c r="T71" s="63"/>
      <x:c r="U71" s="63"/>
      <x:c r="V71" s="63"/>
    </x:row>
    <x:row r="72" ht="18" customHeight="1">
      <x:c r="A72" s="1"/>
      <x:c r="B72" s="1"/>
      <x:c r="C72" s="1" t="str">
        <x:v>Operating cash flow after interest</x:v>
      </x:c>
      <x:c r="D72" s="2"/>
      <x:c r="E72" s="8" t="n">
        <x:f>E61+E56-E67</x:f>
        <x:v>294.625</x:v>
      </x:c>
      <x:c r="F72" s="8" t="n">
        <x:f>F61+F56-F67</x:f>
        <x:v>245.97565068493122</x:v>
      </x:c>
      <x:c r="G72" s="8" t="n">
        <x:f>G61+G56-G67</x:f>
        <x:v>303.6477041095895</x:v>
      </x:c>
      <x:c r="H72" s="8" t="n">
        <x:f>H61+H56-H67</x:f>
        <x:v>362.3281073424655</x:v>
      </x:c>
      <x:c r="I72" s="8" t="n">
        <x:f>I61+I56-I67</x:f>
        <x:v>423.76220198136957</x:v>
      </x:c>
      <x:c r="J72" s="1"/>
      <x:c r="K72" s="1"/>
      <x:c r="M72" s="8" t="n">
        <x:f>E49*1</x:f>
        <x:v>3600</x:v>
      </x:c>
      <x:c r="N72" s="8" t="n">
        <x:f>$M72*N$69</x:f>
        <x:v>287.99999999999994</x:v>
      </x:c>
      <x:c r="O72" s="8" t="n">
        <x:f>$M72*O$69</x:f>
        <x:v>359.99999999999994</x:v>
      </x:c>
      <x:c r="P72" s="8" t="n">
        <x:f>$M72*P$69</x:f>
        <x:v>432</x:v>
      </x:c>
      <x:c r="Q72" s="8" t="n">
        <x:f>$M72*Q$69</x:f>
        <x:v>503.99999999999994</x:v>
      </x:c>
      <x:c r="R72" s="8" t="n">
        <x:f>$M72*R$69</x:f>
        <x:v>576</x:v>
      </x:c>
      <x:c r="S72" s="63"/>
      <x:c r="T72" s="63"/>
      <x:c r="U72" s="63"/>
      <x:c r="V72" s="63"/>
    </x:row>
    <x:row r="73" ht="18" customHeight="1">
      <x:c r="A73" s="1"/>
      <x:c r="B73" s="1"/>
      <x:c r="C73" s="1" t="str">
        <x:v>Dividends</x:v>
      </x:c>
      <x:c r="D73" s="2"/>
      <x:c r="E73" s="8" t="n">
        <x:f>MAX(0,E61)*E33</x:f>
        <x:v>45.65625</x:v>
      </x:c>
      <x:c r="F73" s="8" t="n">
        <x:f>MAX(0,F61)*F33</x:f>
        <x:v>61.25062499999999</x:v>
      </x:c>
      <x:c r="G73" s="8" t="n">
        <x:f>MAX(0,G61)*G33</x:f>
        <x:v>76.77539999999999</x:v>
      </x:c>
      <x:c r="H73" s="8" t="n">
        <x:f>MAX(0,H61)*H33</x:f>
        <x:v>92.701791</x:v>
      </x:c>
      <x:c r="I73" s="8" t="n">
        <x:f>MAX(0,I61)*I33</x:f>
        <x:v>109.42186103999994</x:v>
      </x:c>
      <x:c r="J73" s="1"/>
      <x:c r="K73" s="1"/>
      <x:c r="M73" s="8" t="n">
        <x:f>E49*1.1</x:f>
        <x:v>3960.0000000000005</x:v>
      </x:c>
      <x:c r="N73" s="8" t="n">
        <x:f>$M73*N$69</x:f>
        <x:v>316.8</x:v>
      </x:c>
      <x:c r="O73" s="8" t="n">
        <x:f>$M73*O$69</x:f>
        <x:v>396</x:v>
      </x:c>
      <x:c r="P73" s="8" t="n">
        <x:f>$M73*P$69</x:f>
        <x:v>475.20000000000005</x:v>
      </x:c>
      <x:c r="Q73" s="8" t="n">
        <x:f>$M73*Q$69</x:f>
        <x:v>554.4</x:v>
      </x:c>
      <x:c r="R73" s="8" t="n">
        <x:f>$M73*R$69</x:f>
        <x:v>633.6000000000001</x:v>
      </x:c>
      <x:c r="S73" s="63"/>
      <x:c r="T73" s="63"/>
      <x:c r="U73" s="63"/>
      <x:c r="V73" s="63"/>
    </x:row>
    <x:row r="74" ht="18" customHeight="1">
      <x:c r="A74" s="1"/>
      <x:c r="B74" s="1"/>
      <x:c r="C74" s="1" t="str">
        <x:v>Change in cash</x:v>
      </x:c>
      <x:c r="D74" s="2"/>
      <x:c r="E74" s="8" t="n">
        <x:f>E72-E68+E31-E32-E73</x:f>
        <x:v>68.96875</x:v>
      </x:c>
      <x:c r="F74" s="8" t="n">
        <x:f>F72-F68+F31-F32-F73</x:f>
        <x:v>-10.274974315068768</x:v>
      </x:c>
      <x:c r="G74" s="8" t="n">
        <x:f>G72-G68+G31-G32-G73</x:f>
        <x:v>16.3323041095895</x:v>
      </x:c>
      <x:c r="H74" s="8" t="n">
        <x:f>H72-H68+H31-H32-H73</x:f>
        <x:v>42.56351634246546</x:v>
      </x:c>
      <x:c r="I74" s="8" t="n">
        <x:f>I72-I68+I31-I32-I73</x:f>
        <x:v>69.38940494136956</x:v>
      </x:c>
      <x:c r="J74" s="1"/>
      <x:c r="K74" s="1"/>
      <x:c r="M74" s="8" t="n">
        <x:f>E49*1.2</x:f>
        <x:v>4320</x:v>
      </x:c>
      <x:c r="N74" s="8" t="n">
        <x:f>$M74*N$69</x:f>
        <x:v>345.59999999999997</x:v>
      </x:c>
      <x:c r="O74" s="8" t="n">
        <x:f>$M74*O$69</x:f>
        <x:v>431.99999999999994</x:v>
      </x:c>
      <x:c r="P74" s="8" t="n">
        <x:f>$M74*P$69</x:f>
        <x:v>518.4</x:v>
      </x:c>
      <x:c r="Q74" s="8" t="n">
        <x:f>$M74*Q$69</x:f>
        <x:v>604.8</x:v>
      </x:c>
      <x:c r="R74" s="8" t="n">
        <x:f>$M74*R$69</x:f>
        <x:v>691.2</x:v>
      </x:c>
      <x:c r="S74" s="63"/>
      <x:c r="T74" s="63"/>
      <x:c r="U74" s="63"/>
      <x:c r="V74" s="63"/>
    </x:row>
    <x:row r="75" ht="18" customHeight="1">
      <x:c r="A75" s="1"/>
      <x:c r="B75" s="1"/>
      <x:c r="C75" s="1" t="str">
        <x:v>Closing cash / (funding gap)</x:v>
      </x:c>
      <x:c r="D75" s="2"/>
      <x:c r="E75" s="8" t="n">
        <x:f>$D37+E74</x:f>
        <x:v>418.96875</x:v>
      </x:c>
      <x:c r="F75" s="8" t="n">
        <x:f>E75+F74</x:f>
        <x:v>408.6937756849312</x:v>
      </x:c>
      <x:c r="G75" s="8" t="n">
        <x:f>F75+G74</x:f>
        <x:v>425.0260797945207</x:v>
      </x:c>
      <x:c r="H75" s="8" t="n">
        <x:f>G75+H74</x:f>
        <x:v>467.58959613698613</x:v>
      </x:c>
      <x:c r="I75" s="8" t="n">
        <x:f>H75+I74</x:f>
        <x:v>536.9790010783557</x:v>
      </x:c>
      <x:c r="J75" s="1"/>
      <x:c r="K75" s="1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</x:row>
    <x:row r="76" ht="18" customHeight="1">
      <x:c r="A76" s="1"/>
      <x:c r="B76" s="1"/>
      <x:c r="C76" s="38" t="str">
        <x:v>Closing book equity</x:v>
      </x:c>
      <x:c r="D76" s="39"/>
      <x:c r="E76" s="41" t="n">
        <x:f>$D35+$D38+$D37-$D36+E61-E73</x:f>
        <x:v>932.0098458904108</x:v>
      </x:c>
      <x:c r="F76" s="41" t="n">
        <x:f>E76+F61-F73</x:f>
        <x:v>1115.761720890411</x:v>
      </x:c>
      <x:c r="G76" s="41" t="n">
        <x:f>F76+G61-G73</x:f>
        <x:v>1346.087920890411</x:v>
      </x:c>
      <x:c r="H76" s="41" t="n">
        <x:f>G76+H61-H73</x:f>
        <x:v>1624.193293890411</x:v>
      </x:c>
      <x:c r="I76" s="41" t="n">
        <x:f>H76+I61-I73</x:f>
        <x:v>1952.458877010411</x:v>
      </x:c>
      <x:c r="J76" s="1"/>
      <x:c r="K76" s="1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</x:row>
    <x:row r="77" ht="18" customHeight="1">
      <x:c r="A77" s="1"/>
      <x:c r="B77" s="1"/>
      <x:c r="C77" s="1" t="str">
        <x:v>Total assets</x:v>
      </x:c>
      <x:c r="D77" s="2"/>
      <x:c r="E77" s="8" t="n">
        <x:f>E75+E63+E64+E69</x:f>
        <x:v>2434.3934075342468</x:v>
      </x:c>
      <x:c r="F77" s="8" t="n">
        <x:f>F75+F63+F64+F69</x:f>
        <x:v>2643.542542808219</x:v>
      </x:c>
      <x:c r="G77" s="8" t="n">
        <x:f>G75+G63+G64+G69</x:f>
        <x:v>2903.4203044520546</x:v>
      </x:c>
      <x:c r="H77" s="8" t="n">
        <x:f>H75+H63+H64+H69</x:f>
        <x:v>3218.6380675890414</x:v>
      </x:c>
      <x:c r="I77" s="8" t="n">
        <x:f>I75+I63+I64+I69</x:f>
        <x:v>3594.519776429589</x:v>
      </x:c>
      <x:c r="J77" s="1"/>
      <x:c r="K77" s="1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</x:row>
    <x:row r="78" ht="18" customHeight="1">
      <x:c r="A78" s="1"/>
      <x:c r="B78" s="1"/>
      <x:c r="C78" s="1" t="str">
        <x:v>Liabilities and equity</x:v>
      </x:c>
      <x:c r="D78" s="2"/>
      <x:c r="E78" s="8" t="n">
        <x:f>E65+E70+E76</x:f>
        <x:v>2434.3934075342463</x:v>
      </x:c>
      <x:c r="F78" s="8" t="n">
        <x:f>F65+F70+F76</x:f>
        <x:v>2643.542542808219</x:v>
      </x:c>
      <x:c r="G78" s="8" t="n">
        <x:f>G65+G70+G76</x:f>
        <x:v>2903.4203044520546</x:v>
      </x:c>
      <x:c r="H78" s="8" t="n">
        <x:f>H65+H70+H76</x:f>
        <x:v>3218.6380675890414</x:v>
      </x:c>
      <x:c r="I78" s="8" t="n">
        <x:f>I65+I70+I76</x:f>
        <x:v>3594.5197764295895</x:v>
      </x:c>
      <x:c r="J78" s="1"/>
      <x:c r="K78" s="1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</x:row>
    <x:row r="79" ht="18" customHeight="1">
      <x:c r="A79" s="1"/>
      <x:c r="B79" s="1"/>
      <x:c r="C79" s="1" t="str">
        <x:v>Unlevered operating profit after tax</x:v>
      </x:c>
      <x:c r="D79" s="2"/>
      <x:c r="E79" s="8" t="n">
        <x:f>E57-MAX(0,E57)*E29</x:f>
        <x:v>240</x:v>
      </x:c>
      <x:c r="F79" s="8" t="n">
        <x:f>F57-MAX(0,F57)*F29</x:f>
        <x:v>296.64</x:v>
      </x:c>
      <x:c r="G79" s="8" t="n">
        <x:f>G57-MAX(0,G57)*G29</x:f>
        <x:v>353.0016</x:v>
      </x:c>
      <x:c r="H79" s="8" t="n">
        <x:f>H57-MAX(0,H57)*H29</x:f>
        <x:v>410.969664</x:v>
      </x:c>
      <x:c r="I79" s="8" t="n">
        <x:f>I57-MAX(0,I57)*I29</x:f>
        <x:v>472.11244415999977</x:v>
      </x:c>
      <x:c r="J79" s="1"/>
      <x:c r="K79" s="1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</x:row>
    <x:row r="80" ht="18" customHeight="1">
      <x:c r="A80" s="1"/>
      <x:c r="B80" s="1"/>
      <x:c r="C80" s="38" t="str">
        <x:v>Free cash flow to firm</x:v>
      </x:c>
      <x:c r="D80" s="39"/>
      <x:c r="E80" s="41" t="n">
        <x:f>E79+E56-E68-E67</x:f>
        <x:v>262</x:v>
      </x:c>
      <x:c r="F80" s="41" t="n">
        <x:f>F79+F56-F68-F67</x:f>
        <x:v>192.61315068493127</x:v>
      </x:c>
      <x:c r="G80" s="41" t="n">
        <x:f>G79+G56-G68-G67</x:f>
        <x:v>229.00770410958955</x:v>
      </x:c>
      <x:c r="H80" s="41" t="n">
        <x:f>H79+H56-H68-H67</x:f>
        <x:v>265.4278073424655</x:v>
      </x:c>
      <x:c r="I80" s="41" t="n">
        <x:f>I79+I56-I68-I67</x:f>
        <x:v>303.23626598136946</x:v>
      </x:c>
      <x:c r="J80" s="1"/>
      <x:c r="K80" s="1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</x:row>
    <x:row r="81" ht="18" customHeight="1">
      <x:c r="A81" s="1"/>
      <x:c r="B81" s="1"/>
      <x:c r="C81" s="19" t="str">
        <x:v>SECTOR KPIs AND RETURN METRICS</x:v>
      </x:c>
      <x:c r="D81" s="20"/>
      <x:c r="E81" s="20"/>
      <x:c r="F81" s="20"/>
      <x:c r="G81" s="20"/>
      <x:c r="H81" s="20"/>
      <x:c r="I81" s="20"/>
      <x:c r="J81" s="1"/>
      <x:c r="K81" s="1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</x:row>
    <x:row r="82" ht="18" customHeight="1">
      <x:c r="A82" s="1"/>
      <x:c r="B82" s="1"/>
      <x:c r="C82" s="23" t="str">
        <x:v>Gross margin</x:v>
      </x:c>
      <x:c r="D82" s="24"/>
      <x:c r="E82" s="35" t="n">
        <x:f>E53/E49</x:f>
        <x:v>0.22</x:v>
      </x:c>
      <x:c r="F82" s="35" t="n">
        <x:f>F53/F49</x:f>
        <x:v>0.22</x:v>
      </x:c>
      <x:c r="G82" s="35" t="n">
        <x:f>G53/G49</x:f>
        <x:v>0.22000000000000003</x:v>
      </x:c>
      <x:c r="H82" s="35" t="n">
        <x:f>H53/H49</x:f>
        <x:v>0.21999999999999997</x:v>
      </x:c>
      <x:c r="I82" s="35" t="n">
        <x:f>I53/I49</x:f>
        <x:v>0.21999999999999995</x:v>
      </x:c>
      <x:c r="J82" s="1"/>
      <x:c r="K82" s="1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</x:row>
    <x:row r="83" ht="18" customHeight="1">
      <x:c r="A83" s="1"/>
      <x:c r="B83" s="1"/>
      <x:c r="C83" s="23" t="str">
        <x:v>EBITDA margin</x:v>
      </x:c>
      <x:c r="D83" s="24"/>
      <x:c r="E83" s="35" t="n">
        <x:f>E55/E49</x:f>
        <x:v>0.12</x:v>
      </x:c>
      <x:c r="F83" s="35" t="n">
        <x:f>F55/F49</x:f>
        <x:v>0.12</x:v>
      </x:c>
      <x:c r="G83" s="35" t="n">
        <x:f>G55/G49</x:f>
        <x:v>0.12000000000000001</x:v>
      </x:c>
      <x:c r="H83" s="35" t="n">
        <x:f>H55/H49</x:f>
        <x:v>0.11999999999999998</x:v>
      </x:c>
      <x:c r="I83" s="35" t="n">
        <x:f>I55/I49</x:f>
        <x:v>0.11999999999999993</x:v>
      </x:c>
      <x:c r="J83" s="1"/>
      <x:c r="K83" s="1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</x:row>
    <x:row r="84" ht="18" customHeight="1">
      <x:c r="A84" s="1"/>
      <x:c r="B84" s="1"/>
      <x:c r="C84" s="23" t="str">
        <x:v>Net margin</x:v>
      </x:c>
      <x:c r="D84" s="24"/>
      <x:c r="E84" s="35" t="n">
        <x:f>E61/E49</x:f>
        <x:v>0.050729166666666665</x:v>
      </x:c>
      <x:c r="F84" s="35" t="n">
        <x:f>F61/F49</x:f>
        <x:v>0.058333928571428564</x:v>
      </x:c>
      <x:c r="G84" s="35" t="n">
        <x:f>G61/G49</x:f>
        <x:v>0.06369288203086113</x:v>
      </x:c>
      <x:c r="H84" s="35" t="n">
        <x:f>H61/H49</x:f>
        <x:v>0.06763453759882329</x:v>
      </x:c>
      <x:c r="I84" s="35" t="n">
        <x:f>I61/I49</x:f>
        <x:v>0.070617102332315</x:v>
      </x:c>
      <x:c r="J84" s="1"/>
      <x:c r="K84" s="1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</x:row>
    <x:row r="85" ht="18" customHeight="1">
      <x:c r="A85" s="1"/>
      <x:c r="B85" s="1"/>
      <x:c r="C85" s="23" t="str">
        <x:v>Operating cash conversion</x:v>
      </x:c>
      <x:c r="D85" s="24"/>
      <x:c r="E85" s="35" t="n">
        <x:f>IF(E55=0,"n.a.",E72/E55)</x:f>
        <x:v>0.6820023148148148</x:v>
      </x:c>
      <x:c r="F85" s="35" t="n">
        <x:f>IF(F55=0,"n.a.",F72/F55)</x:f>
        <x:v>0.48804692596216515</x:v>
      </x:c>
      <x:c r="G85" s="35" t="n">
        <x:f>IF(G55=0,"n.a.",G72/G55)</x:f>
        <x:v>0.5248045325714658</x:v>
      </x:c>
      <x:c r="H85" s="35" t="n">
        <x:f>IF(H55=0,"n.a.",H72/H55)</x:f>
        <x:v>0.5507331118510175</x:v>
      </x:c>
      <x:c r="I85" s="35" t="n">
        <x:f>IF(I55=0,"n.a.",I72/I55)</x:f>
        <x:v>0.5697532029070934</x:v>
      </x:c>
      <x:c r="J85" s="1"/>
      <x:c r="K85" s="1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</x:row>
    <x:row r="86" ht="18" customHeight="1">
      <x:c r="A86" s="1"/>
      <x:c r="B86" s="1"/>
      <x:c r="C86" s="1" t="str">
        <x:v>Cash conversion cycle (days)</x:v>
      </x:c>
      <x:c r="D86" s="2"/>
      <x:c r="E86" s="8" t="n">
        <x:f>E26+E27-E28</x:f>
        <x:v>50</x:v>
      </x:c>
      <x:c r="F86" s="8" t="n">
        <x:f>F26+F27-F28</x:f>
        <x:v>50</x:v>
      </x:c>
      <x:c r="G86" s="8" t="n">
        <x:f>G26+G27-G28</x:f>
        <x:v>50</x:v>
      </x:c>
      <x:c r="H86" s="8" t="n">
        <x:f>H26+H27-H28</x:f>
        <x:v>50</x:v>
      </x:c>
      <x:c r="I86" s="8" t="n">
        <x:f>I26+I27-I28</x:f>
        <x:v>50</x:v>
      </x:c>
      <x:c r="J86" s="1"/>
      <x:c r="K86" s="1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</x:row>
    <x:row r="87" ht="18" customHeight="1">
      <x:c r="A87" s="1"/>
      <x:c r="B87" s="1"/>
      <x:c r="C87" s="23" t="str">
        <x:v>Net debt / EBITDA</x:v>
      </x:c>
      <x:c r="D87" s="32"/>
      <x:c r="E87" s="61" t="n">
        <x:f>IF(E55&lt;=0,"n.a.",(E70-E75)/E55)</x:f>
        <x:v>0.9051649305555556</x:v>
      </x:c>
      <x:c r="F87" s="61" t="n">
        <x:f>IF(F55&lt;=0,"n.a.",(F70-F75)/F55)</x:f>
        <x:v>0.6176710799902159</x:v>
      </x:c>
      <x:c r="G87" s="61" t="n">
        <x:f>IF(G55&lt;=0,"n.a.",(G70-G75)/G55)</x:f>
        <x:v>0.35426331543726725</x:v>
      </x:c>
      <x:c r="H87" s="61" t="n">
        <x:f>IF(H55&lt;=0,"n.a.",(H70-H75)/H55)</x:f>
        <x:v>0.11006269246502008</x:v>
      </x:c>
      <x:c r="I87" s="61" t="n">
        <x:f>IF(I55&lt;=0,"n.a.",(I70-I75)/I55)</x:f>
        <x:v>-0.1169442772817936</x:v>
      </x:c>
      <x:c r="J87" s="1"/>
      <x:c r="K87" s="1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</x:row>
    <x:row r="88" ht="18" customHeight="1">
      <x:c r="A88" s="1"/>
      <x:c r="B88" s="1"/>
      <x:c r="C88" s="23" t="str">
        <x:v>EBIT / interest</x:v>
      </x:c>
      <x:c r="D88" s="32"/>
      <x:c r="E88" s="61" t="n">
        <x:f>IF(E58=0,"n.a.",E57/E58)</x:f>
        <x:v>4.183006535947713</x:v>
      </x:c>
      <x:c r="F88" s="61" t="n">
        <x:f>IF(F58=0,"n.a.",F57/F58)</x:f>
        <x:v>5.7446623093681906</x:v>
      </x:c>
      <x:c r="G88" s="61" t="n">
        <x:f>IF(G58=0,"n.a.",G57/G58)</x:f>
        <x:v>7.690666666666666</x:v>
      </x:c>
      <x:c r="H88" s="61" t="n">
        <x:f>IF(H58=0,"n.a.",H57/H58)</x:f>
        <x:v>10.232671372549019</x:v>
      </x:c>
      <x:c r="I88" s="61" t="n">
        <x:f>IF(I58=0,"n.a.",I57/I58)</x:f>
        <x:v>13.714232219607833</x:v>
      </x:c>
      <x:c r="J88" s="1"/>
      <x:c r="K88" s="1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</x:row>
    <x:row r="89" ht="18" customHeight="1">
      <x:c r="A89" s="1"/>
      <x:c r="B89" s="1"/>
      <x:c r="C89" s="23" t="str">
        <x:v>ROIC on average invested capital</x:v>
      </x:c>
      <x:c r="D89" s="24"/>
      <x:c r="E89" s="35" t="n">
        <x:f>E79/(($D35+$D38+E69+E66)/2)</x:f>
        <x:v>0.17990450274682962</x:v>
      </x:c>
      <x:c r="F89" s="35" t="n">
        <x:f>F79/((E69+E66+F69+F66)/2)</x:f>
        <x:v>0.21572962785635</x:v>
      </x:c>
      <x:c r="G89" s="35" t="n">
        <x:f>G79/((F69+F66+G69+G66)/2)</x:f>
        <x:v>0.23706260326444903</x:v>
      </x:c>
      <x:c r="H89" s="35" t="n">
        <x:f>H79/((G69+G66+H69+H66)/2)</x:f>
        <x:v>0.2530861993538973</x:v>
      </x:c>
      <x:c r="I89" s="35" t="n">
        <x:f>I79/((H69+H66+I69+I66)/2)</x:f>
        <x:v>0.26507656790968137</x:v>
      </x:c>
      <x:c r="J89" s="1"/>
      <x:c r="K89" s="1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</x:row>
    <x:row r="90" ht="18" customHeight="1">
      <x:c r="A90" s="1"/>
      <x:c r="B90" s="1"/>
      <x:c r="C90" s="23" t="str">
        <x:v>Closing order book / revenue</x:v>
      </x:c>
      <x:c r="D90" s="32"/>
      <x:c r="E90" s="61" t="n">
        <x:f>E50/E49</x:f>
        <x:v>3.888888888888889</x:v>
      </x:c>
      <x:c r="F90" s="61" t="n">
        <x:f>F50/F49</x:f>
        <x:v>3.8266666666666667</x:v>
      </x:c>
      <x:c r="G90" s="61" t="n">
        <x:f>G50/G49</x:f>
        <x:v>3.7902439024390255</x:v>
      </x:c>
      <x:c r="H90" s="61" t="n">
        <x:f>H50/H49</x:f>
        <x:v>3.7683683683683684</x:v>
      </x:c>
      <x:c r="I90" s="61" t="n">
        <x:f>I50/I49</x:f>
        <x:v>3.7550266517912494</x:v>
      </x:c>
      <x:c r="J90" s="1"/>
      <x:c r="K90" s="1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</x:row>
    <x:row r="91" ht="18" customHeight="1">
      <x:c r="A91" s="1"/>
      <x:c r="B91" s="1"/>
      <x:c r="C91" s="23" t="str">
        <x:v>Book-to-bill ratio</x:v>
      </x:c>
      <x:c r="D91" s="32"/>
      <x:c r="E91" s="61" t="n">
        <x:f>E47/E49</x:f>
        <x:v>1.5555555555555558</x:v>
      </x:c>
      <x:c r="F91" s="61" t="n">
        <x:f>F47/F49</x:f>
        <x:v>1.4933333333333338</x:v>
      </x:c>
      <x:c r="G91" s="61" t="n">
        <x:f>G47/G49</x:f>
        <x:v>1.4569105691056918</x:v>
      </x:c>
      <x:c r="H91" s="61" t="n">
        <x:f>H47/H49</x:f>
        <x:v>1.4350350350350354</x:v>
      </x:c>
      <x:c r="I91" s="61" t="n">
        <x:f>I47/I49</x:f>
        <x:v>1.4216933184579155</x:v>
      </x:c>
      <x:c r="J91" s="1"/>
      <x:c r="K91" s="1"/>
    </x:row>
    <x:row r="92" ht="18" customHeight="1">
      <x:c r="A92" s="1"/>
      <x:c r="B92" s="1"/>
      <x:c r="C92" s="19" t="str">
        <x:v>VALUATION AT 31 MARCH 2026</x:v>
      </x:c>
      <x:c r="D92" s="20"/>
      <x:c r="E92" s="20"/>
      <x:c r="F92" s="20"/>
      <x:c r="G92" s="20"/>
      <x:c r="H92" s="20"/>
      <x:c r="I92" s="20"/>
      <x:c r="J92" s="1"/>
      <x:c r="K92" s="1"/>
    </x:row>
    <x:row r="93" ht="18" customHeight="1">
      <x:c r="A93" s="1"/>
      <x:c r="B93" s="1"/>
      <x:c r="C93" s="1" t="str">
        <x:v>PV of annual FCFF</x:v>
      </x:c>
      <x:c r="D93" s="2"/>
      <x:c r="E93" s="8" t="n">
        <x:f>E80/(1+$D40)^1</x:f>
        <x:v>233.92857142857142</x:v>
      </x:c>
      <x:c r="F93" s="8" t="n">
        <x:f>F80/(1+$D40)^2</x:f>
        <x:v>153.5500244618393</x:v>
      </x:c>
      <x:c r="G93" s="8" t="n">
        <x:f>G80/(1+$D40)^3</x:f>
        <x:v>163.00316038230392</x:v>
      </x:c>
      <x:c r="H93" s="8" t="n">
        <x:f>H80/(1+$D40)^4</x:f>
        <x:v>168.6841700774914</x:v>
      </x:c>
      <x:c r="I93" s="8" t="n">
        <x:f>I80/(1+$D40)^5</x:f>
        <x:v>172.0644009456573</x:v>
      </x:c>
      <x:c r="J93" s="1"/>
      <x:c r="K93" s="1"/>
    </x:row>
    <x:row r="94" ht="18" customHeight="1">
      <x:c r="A94" s="1"/>
      <x:c r="B94" s="1"/>
      <x:c r="C94" s="1" t="str">
        <x:v>Normalized terminal FCFF</x:v>
      </x:c>
      <x:c r="D94" s="2"/>
      <x:c r="E94" s="8" t="n">
        <x:f>I79*(1+$D41)*(1-$D41/$D42)</x:f>
        <x:v>360.06442407935987</x:v>
      </x:c>
      <x:c r="F94" s="2"/>
      <x:c r="G94" s="2"/>
      <x:c r="H94" s="2"/>
      <x:c r="I94" s="2"/>
      <x:c r="J94" s="1"/>
      <x:c r="K94" s="1" t="str">
        <x:v>Terminal reinvestment = terminal NOPAT × growth / incremental ROIC.</x:v>
      </x:c>
    </x:row>
    <x:row r="95" ht="18" customHeight="1">
      <x:c r="A95" s="1"/>
      <x:c r="B95" s="1"/>
      <x:c r="C95" s="1" t="str">
        <x:v>Terminal enterprise value</x:v>
      </x:c>
      <x:c r="D95" s="2"/>
      <x:c r="E95" s="8" t="n">
        <x:f>IF($D40&lt;=$D41,NA(),E94/($D40-$D41))</x:f>
        <x:v>4500.805300991999</x:v>
      </x:c>
      <x:c r="F95" s="2"/>
      <x:c r="G95" s="2"/>
      <x:c r="H95" s="2"/>
      <x:c r="I95" s="2"/>
      <x:c r="J95" s="1"/>
      <x:c r="K95" s="1"/>
    </x:row>
    <x:row r="96" ht="18" customHeight="1">
      <x:c r="A96" s="1"/>
      <x:c r="B96" s="1"/>
      <x:c r="C96" s="1" t="str">
        <x:v>DCF enterprise value</x:v>
      </x:c>
      <x:c r="D96" s="2"/>
      <x:c r="E96" s="8" t="n">
        <x:f>SUM(E93:I93)+E95/(1+$D40)^5</x:f>
        <x:v>3445.1081274393564</x:v>
      </x:c>
      <x:c r="F96" s="2"/>
      <x:c r="G96" s="2"/>
      <x:c r="H96" s="2"/>
      <x:c r="I96" s="2"/>
      <x:c r="J96" s="1"/>
      <x:c r="K96" s="1"/>
    </x:row>
    <x:row r="97" ht="18" customHeight="1">
      <x:c r="A97" s="1"/>
      <x:c r="B97" s="1"/>
      <x:c r="C97" s="38" t="str">
        <x:v>DCF equity value</x:v>
      </x:c>
      <x:c r="D97" s="39"/>
      <x:c r="E97" s="41" t="n">
        <x:f>E96-$D36+$D37</x:f>
        <x:v>2895.1081274393564</x:v>
      </x:c>
      <x:c r="F97" s="39"/>
      <x:c r="G97" s="39"/>
      <x:c r="H97" s="39"/>
      <x:c r="I97" s="39"/>
      <x:c r="J97" s="1"/>
      <x:c r="K97" s="1"/>
    </x:row>
    <x:row r="98" ht="18" customHeight="1">
      <x:c r="A98" s="1"/>
      <x:c r="B98" s="1"/>
      <x:c r="C98" s="1" t="str">
        <x:v>DCF value per share (INR)</x:v>
      </x:c>
      <x:c r="D98" s="33"/>
      <x:c r="E98" s="34" t="n">
        <x:f>E97/$D39</x:f>
        <x:v>28.951081274393562</x:v>
      </x:c>
      <x:c r="F98" s="33"/>
      <x:c r="G98" s="33"/>
      <x:c r="H98" s="33"/>
      <x:c r="I98" s="33"/>
      <x:c r="J98" s="1"/>
      <x:c r="K98" s="1"/>
    </x:row>
    <x:row r="99" ht="18" customHeight="1">
      <x:c r="A99" s="1"/>
      <x:c r="B99" s="1"/>
      <x:c r="C99" s="1" t="str">
        <x:v>Forward multiple enterprise value</x:v>
      </x:c>
      <x:c r="D99" s="2"/>
      <x:c r="E99" s="8" t="n">
        <x:f>E55*$D43</x:f>
        <x:v>4752</x:v>
      </x:c>
      <x:c r="F99" s="2"/>
      <x:c r="G99" s="2"/>
      <x:c r="H99" s="2"/>
      <x:c r="I99" s="2"/>
      <x:c r="J99" s="1"/>
      <x:c r="K99" s="1"/>
    </x:row>
    <x:row r="100" ht="18" customHeight="1">
      <x:c r="A100" s="1"/>
      <x:c r="B100" s="1"/>
      <x:c r="C100" s="1" t="str">
        <x:v>Forward multiple equity value</x:v>
      </x:c>
      <x:c r="D100" s="2"/>
      <x:c r="E100" s="8" t="n">
        <x:f>E99-$D36+$D37</x:f>
        <x:v>4202</x:v>
      </x:c>
      <x:c r="F100" s="2"/>
      <x:c r="G100" s="2"/>
      <x:c r="H100" s="2"/>
      <x:c r="I100" s="2"/>
      <x:c r="J100" s="1"/>
      <x:c r="K100" s="1"/>
    </x:row>
    <x:row r="101" ht="18" customHeight="1">
      <x:c r="A101" s="1"/>
      <x:c r="B101" s="1"/>
      <x:c r="C101" s="23" t="str">
        <x:v>Terminal value / DCF enterprise value</x:v>
      </x:c>
      <x:c r="D101" s="24"/>
      <x:c r="E101" s="35" t="n">
        <x:f>(E95/(1+$D40)^5)/E96</x:f>
        <x:v>0.741305557234197</x:v>
      </x:c>
      <x:c r="F101" s="24"/>
      <x:c r="G101" s="24"/>
      <x:c r="H101" s="24"/>
      <x:c r="I101" s="24"/>
      <x:c r="J101" s="1"/>
      <x:c r="K101" s="1"/>
    </x:row>
    <x:row r="102" ht="18" customHeight="1">
      <x:c r="A102" s="1"/>
      <x:c r="B102" s="1"/>
      <x:c r="C102" s="19" t="str">
        <x:v>MODEL CHECKS</x:v>
      </x:c>
      <x:c r="D102" s="20"/>
      <x:c r="E102" s="20"/>
      <x:c r="F102" s="20"/>
      <x:c r="G102" s="20"/>
      <x:c r="H102" s="20"/>
      <x:c r="I102" s="20"/>
      <x:c r="J102" s="1"/>
      <x:c r="K102" s="1"/>
    </x:row>
    <x:row r="103" ht="18" customHeight="1">
      <x:c r="A103" s="1"/>
      <x:c r="B103" s="1"/>
      <x:c r="C103" s="1" t="str">
        <x:v>Assets less liabilities and equity</x:v>
      </x:c>
      <x:c r="D103" s="33"/>
      <x:c r="E103" s="34" t="n">
        <x:f>E77-E78</x:f>
        <x:v>4.547473508864641e-13</x:v>
      </x:c>
      <x:c r="F103" s="34" t="n">
        <x:f>F77-F78</x:f>
        <x:v>0</x:v>
      </x:c>
      <x:c r="G103" s="34" t="n">
        <x:f>G77-G78</x:f>
        <x:v>0</x:v>
      </x:c>
      <x:c r="H103" s="34" t="n">
        <x:f>H77-H78</x:f>
        <x:v>0</x:v>
      </x:c>
      <x:c r="I103" s="34" t="n">
        <x:f>I77-I78</x:f>
        <x:v>-4.547473508864641e-13</x:v>
      </x:c>
      <x:c r="J103" s="1"/>
      <x:c r="K103" s="1"/>
    </x:row>
    <x:row r="104" ht="18" customHeight="1">
      <x:c r="A104" s="1"/>
      <x:c r="B104" s="1"/>
      <x:c r="C104" s="1" t="str">
        <x:v>Cash funding shortfall</x:v>
      </x:c>
      <x:c r="D104" s="33"/>
      <x:c r="E104" s="34" t="n">
        <x:f>MAX(0,-E75)</x:f>
        <x:v>0</x:v>
      </x:c>
      <x:c r="F104" s="34" t="n">
        <x:f>MAX(0,-F75)</x:f>
        <x:v>0</x:v>
      </x:c>
      <x:c r="G104" s="34" t="n">
        <x:f>MAX(0,-G75)</x:f>
        <x:v>0</x:v>
      </x:c>
      <x:c r="H104" s="34" t="n">
        <x:f>MAX(0,-H75)</x:f>
        <x:v>0</x:v>
      </x:c>
      <x:c r="I104" s="34" t="n">
        <x:f>MAX(0,-I75)</x:f>
        <x:v>0</x:v>
      </x:c>
      <x:c r="J104" s="1"/>
      <x:c r="K104" s="1"/>
    </x:row>
    <x:row r="105" ht="18" customHeight="1">
      <x:c r="A105" s="1"/>
      <x:c r="B105" s="1"/>
      <x:c r="C105" s="1" t="str">
        <x:v>Debt below zero</x:v>
      </x:c>
      <x:c r="D105" s="33"/>
      <x:c r="E105" s="34" t="n">
        <x:f>MAX(0,-E70)</x:f>
        <x:v>0</x:v>
      </x:c>
      <x:c r="F105" s="34" t="n">
        <x:f>MAX(0,-F70)</x:f>
        <x:v>0</x:v>
      </x:c>
      <x:c r="G105" s="34" t="n">
        <x:f>MAX(0,-G70)</x:f>
        <x:v>0</x:v>
      </x:c>
      <x:c r="H105" s="34" t="n">
        <x:f>MAX(0,-H70)</x:f>
        <x:v>0</x:v>
      </x:c>
      <x:c r="I105" s="34" t="n">
        <x:f>MAX(0,-I70)</x:f>
        <x:v>0</x:v>
      </x:c>
      <x:c r="J105" s="1"/>
      <x:c r="K105" s="1"/>
    </x:row>
    <x:row r="106" ht="18" customHeight="1">
      <x:c r="A106" s="1"/>
      <x:c r="B106" s="1"/>
      <x:c r="C106" s="1" t="str">
        <x:v>Utilization above 100%</x:v>
      </x:c>
      <x:c r="D106" s="33"/>
      <x:c r="E106" s="34" t="n">
        <x:f>MAX(0,E20-1)</x:f>
        <x:v>0</x:v>
      </x:c>
      <x:c r="F106" s="34" t="n">
        <x:f>MAX(0,F20-1)</x:f>
        <x:v>0</x:v>
      </x:c>
      <x:c r="G106" s="34" t="n">
        <x:f>MAX(0,G20-1)</x:f>
        <x:v>0</x:v>
      </x:c>
      <x:c r="H106" s="34" t="n">
        <x:f>MAX(0,H20-1)</x:f>
        <x:v>0</x:v>
      </x:c>
      <x:c r="I106" s="34" t="n">
        <x:f>MAX(0,I20-1)</x:f>
        <x:v>0</x:v>
      </x:c>
      <x:c r="J106" s="1"/>
      <x:c r="K106" s="1"/>
    </x:row>
    <x:row r="107" ht="18" customHeight="1">
      <x:c r="A107" s="1"/>
      <x:c r="B107" s="1"/>
      <x:c r="C107" s="1" t="str">
        <x:v>Net PP&amp;E below zero</x:v>
      </x:c>
      <x:c r="D107" s="33"/>
      <x:c r="E107" s="34" t="n">
        <x:f>MAX(0,-E69)</x:f>
        <x:v>0</x:v>
      </x:c>
      <x:c r="F107" s="34" t="n">
        <x:f>MAX(0,-F69)</x:f>
        <x:v>0</x:v>
      </x:c>
      <x:c r="G107" s="34" t="n">
        <x:f>MAX(0,-G69)</x:f>
        <x:v>0</x:v>
      </x:c>
      <x:c r="H107" s="34" t="n">
        <x:f>MAX(0,-H69)</x:f>
        <x:v>0</x:v>
      </x:c>
      <x:c r="I107" s="34" t="n">
        <x:f>MAX(0,-I69)</x:f>
        <x:v>0</x:v>
      </x:c>
      <x:c r="J107" s="1"/>
      <x:c r="K107" s="1"/>
    </x:row>
    <x:row r="108" ht="18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1"/>
      <x:c r="K108" s="1"/>
    </x:row>
    <x:row r="109" ht="18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1"/>
      <x:c r="K109" s="1"/>
    </x:row>
    <x:row r="110" ht="25" customHeight="1">
      <x:c r="A110" s="1"/>
      <x:c r="B110" s="1"/>
      <x:c r="C110" s="68" t="str">
        <x:v>SUPPORTING SCHEDULE ASSUMPTIONS</x:v>
      </x:c>
      <x:c r="D110" s="69"/>
      <x:c r="E110" s="69"/>
      <x:c r="F110" s="69"/>
      <x:c r="G110" s="69"/>
      <x:c r="H110" s="69"/>
      <x:c r="I110" s="69"/>
      <x:c r="J110" s="1"/>
      <x:c r="K110" s="1"/>
    </x:row>
    <x:row r="111" ht="30" customHeight="1">
      <x:c r="A111" s="1"/>
      <x:c r="B111" s="1"/>
      <x:c r="C111" s="64"/>
      <x:c r="D111" s="8"/>
      <x:c r="E111" s="8"/>
      <x:c r="F111" s="8"/>
      <x:c r="G111" s="8"/>
      <x:c r="H111" s="8"/>
      <x:c r="I111" s="8"/>
      <x:c r="J111" s="1"/>
      <x:c r="K111" s="1"/>
    </x:row>
    <x:row r="112" ht="30" customHeight="1">
      <x:c r="A112" s="1"/>
      <x:c r="B112" s="1"/>
      <x:c r="C112" s="64"/>
      <x:c r="D112" s="8"/>
      <x:c r="E112" s="8"/>
      <x:c r="F112" s="8"/>
      <x:c r="G112" s="8"/>
      <x:c r="H112" s="8"/>
      <x:c r="I112" s="8"/>
      <x:c r="J112" s="1"/>
      <x:c r="K112" s="1"/>
    </x:row>
    <x:row r="113" ht="30" customHeight="1">
      <x:c r="A113" s="1"/>
      <x:c r="B113" s="1"/>
      <x:c r="C113" s="64"/>
      <x:c r="D113" s="8"/>
      <x:c r="E113" s="8"/>
      <x:c r="F113" s="8"/>
      <x:c r="G113" s="8"/>
      <x:c r="H113" s="8"/>
      <x:c r="I113" s="8"/>
      <x:c r="J113" s="1"/>
      <x:c r="K113" s="1"/>
    </x:row>
    <x:row r="114" ht="30" customHeight="1">
      <x:c r="A114" s="1"/>
      <x:c r="B114" s="1"/>
      <x:c r="C114" s="64" t="str">
        <x:v>Current-year capex depreciation fraction</x:v>
      </x:c>
      <x:c r="D114" s="72" t="n">
        <x:v>0</x:v>
      </x:c>
      <x:c r="E114" s="8"/>
      <x:c r="F114" s="8"/>
      <x:c r="G114" s="8"/>
      <x:c r="H114" s="8"/>
      <x:c r="I114" s="8"/>
      <x:c r="J114" s="1"/>
      <x:c r="K114" s="1"/>
    </x:row>
    <x:row r="115" ht="30" customHeight="1">
      <x:c r="A115" s="1"/>
      <x:c r="B115" s="1"/>
      <x:c r="C115" s="64" t="str">
        <x:v>Debt movement interest weighting</x:v>
      </x:c>
      <x:c r="D115" s="72" t="n">
        <x:v>0</x:v>
      </x:c>
      <x:c r="E115" s="8"/>
      <x:c r="F115" s="8"/>
      <x:c r="G115" s="8"/>
      <x:c r="H115" s="8"/>
      <x:c r="I115" s="8"/>
      <x:c r="J115" s="1"/>
      <x:c r="K115" s="1" t="str">
        <x:v>0 = opening debt interest; 0.5 = mid-year movements; 1 = full-year movements.</x:v>
      </x:c>
    </x:row>
    <x:row r="116" ht="30" customHeight="1">
      <x:c r="A116" s="1"/>
      <x:c r="B116" s="1"/>
      <x:c r="C116" s="64" t="str">
        <x:v>Opening tax losses available for use</x:v>
      </x:c>
      <x:c r="D116" s="74" t="n">
        <x:v>0</x:v>
      </x:c>
      <x:c r="E116" s="8"/>
      <x:c r="F116" s="8"/>
      <x:c r="G116" s="8"/>
      <x:c r="H116" s="8"/>
      <x:c r="I116" s="8"/>
      <x:c r="J116" s="1"/>
      <x:c r="K116" s="1"/>
    </x:row>
    <x:row r="117" ht="30" customHeight="1">
      <x:c r="A117" s="1"/>
      <x:c r="B117" s="1"/>
      <x:c r="C117" s="64" t="str">
        <x:v>Tax loss utilization share of positive PBT</x:v>
      </x:c>
      <x:c r="D117" s="72" t="n">
        <x:v>1</x:v>
      </x:c>
      <x:c r="E117" s="8"/>
      <x:c r="F117" s="8"/>
      <x:c r="G117" s="8"/>
      <x:c r="H117" s="8"/>
      <x:c r="I117" s="8"/>
      <x:c r="J117" s="1"/>
      <x:c r="K117" s="1" t="str">
        <x:v>Simplified cash tax schedule. Check company-specific eligibility, expiry, MAT and deferred tax separately.</x:v>
      </x:c>
    </x:row>
    <x:row r="118" ht="30" customHeight="1">
      <x:c r="A118" s="1"/>
      <x:c r="B118" s="1"/>
      <x:c r="C118" s="64"/>
      <x:c r="D118" s="8"/>
      <x:c r="E118" s="8"/>
      <x:c r="F118" s="8"/>
      <x:c r="G118" s="8"/>
      <x:c r="H118" s="8"/>
      <x:c r="I118" s="8"/>
      <x:c r="J118" s="1"/>
      <x:c r="K118" s="1"/>
    </x:row>
    <x:row r="119" ht="25" customHeight="1">
      <x:c r="A119" s="1"/>
      <x:c r="B119" s="1"/>
      <x:c r="C119" s="68" t="str">
        <x:v>DEBT AND INTEREST SCHEDULE</x:v>
      </x:c>
      <x:c r="D119" s="69"/>
      <x:c r="E119" s="69"/>
      <x:c r="F119" s="69"/>
      <x:c r="G119" s="69"/>
      <x:c r="H119" s="69"/>
      <x:c r="I119" s="69"/>
      <x:c r="J119" s="1"/>
      <x:c r="K119" s="1"/>
    </x:row>
    <x:row r="120" ht="30" customHeight="1">
      <x:c r="A120" s="1"/>
      <x:c r="B120" s="1"/>
      <x:c r="C120" s="64" t="str">
        <x:v>Opening debt balance</x:v>
      </x:c>
      <x:c r="D120" s="8"/>
      <x:c r="E120" s="8" t="n">
        <x:f>D36</x:f>
        <x:v>900</x:v>
      </x:c>
      <x:c r="F120" s="8" t="n">
        <x:f>E123</x:f>
        <x:v>810</x:v>
      </x:c>
      <x:c r="G120" s="8" t="n">
        <x:f>F123</x:f>
        <x:v>720</x:v>
      </x:c>
      <x:c r="H120" s="8" t="n">
        <x:f>G123</x:f>
        <x:v>630</x:v>
      </x:c>
      <x:c r="I120" s="8" t="n">
        <x:f>H123</x:f>
        <x:v>540</x:v>
      </x:c>
      <x:c r="J120" s="1"/>
      <x:c r="K120" s="1"/>
    </x:row>
    <x:row r="121" ht="30" customHeight="1">
      <x:c r="A121" s="1"/>
      <x:c r="B121" s="1"/>
      <x:c r="C121" s="64" t="str">
        <x:v>Debt drawn</x:v>
      </x:c>
      <x:c r="D121" s="8"/>
      <x:c r="E121" s="8" t="n">
        <x:f>E31</x:f>
        <x:v>0</x:v>
      </x:c>
      <x:c r="F121" s="8" t="n">
        <x:f>F31</x:f>
        <x:v>0</x:v>
      </x:c>
      <x:c r="G121" s="8" t="n">
        <x:f>G31</x:f>
        <x:v>0</x:v>
      </x:c>
      <x:c r="H121" s="8" t="n">
        <x:f>H31</x:f>
        <x:v>0</x:v>
      </x:c>
      <x:c r="I121" s="8" t="n">
        <x:f>I31</x:f>
        <x:v>0</x:v>
      </x:c>
      <x:c r="J121" s="1"/>
      <x:c r="K121" s="1"/>
    </x:row>
    <x:row r="122" ht="30" customHeight="1">
      <x:c r="A122" s="1"/>
      <x:c r="B122" s="1"/>
      <x:c r="C122" s="64" t="str">
        <x:v>Debt principal repaid</x:v>
      </x:c>
      <x:c r="D122" s="8"/>
      <x:c r="E122" s="8" t="n">
        <x:f>E32</x:f>
        <x:v>90</x:v>
      </x:c>
      <x:c r="F122" s="8" t="n">
        <x:f>F32</x:f>
        <x:v>90</x:v>
      </x:c>
      <x:c r="G122" s="8" t="n">
        <x:f>G32</x:f>
        <x:v>90</x:v>
      </x:c>
      <x:c r="H122" s="8" t="n">
        <x:f>H32</x:f>
        <x:v>90</x:v>
      </x:c>
      <x:c r="I122" s="8" t="n">
        <x:f>I32</x:f>
        <x:v>90</x:v>
      </x:c>
      <x:c r="J122" s="1"/>
      <x:c r="K122" s="1"/>
    </x:row>
    <x:row r="123" ht="30" customHeight="1">
      <x:c r="A123" s="1"/>
      <x:c r="B123" s="1"/>
      <x:c r="C123" s="64" t="str">
        <x:v>Closing debt balance</x:v>
      </x:c>
      <x:c r="D123" s="8"/>
      <x:c r="E123" s="8" t="n">
        <x:f>E120+E121-E122</x:f>
        <x:v>810</x:v>
      </x:c>
      <x:c r="F123" s="8" t="n">
        <x:f>F120+F121-F122</x:f>
        <x:v>720</x:v>
      </x:c>
      <x:c r="G123" s="8" t="n">
        <x:f>G120+G121-G122</x:f>
        <x:v>630</x:v>
      </x:c>
      <x:c r="H123" s="8" t="n">
        <x:f>H120+H121-H122</x:f>
        <x:v>540</x:v>
      </x:c>
      <x:c r="I123" s="8" t="n">
        <x:f>I120+I121-I122</x:f>
        <x:v>450</x:v>
      </x:c>
      <x:c r="J123" s="1"/>
      <x:c r="K123" s="1"/>
    </x:row>
    <x:row r="124" ht="30" customHeight="1">
      <x:c r="A124" s="1"/>
      <x:c r="B124" s="1"/>
      <x:c r="C124" s="64" t="str">
        <x:v>Interest-bearing debt base</x:v>
      </x:c>
      <x:c r="D124" s="8"/>
      <x:c r="E124" s="8" t="n">
        <x:f>E120+(E121-E122)*$D$115</x:f>
        <x:v>900</x:v>
      </x:c>
      <x:c r="F124" s="8" t="n">
        <x:f>F120+(F121-F122)*$D$115</x:f>
        <x:v>810</x:v>
      </x:c>
      <x:c r="G124" s="8" t="n">
        <x:f>G120+(G121-G122)*$D$115</x:f>
        <x:v>720</x:v>
      </x:c>
      <x:c r="H124" s="8" t="n">
        <x:f>H120+(H121-H122)*$D$115</x:f>
        <x:v>630</x:v>
      </x:c>
      <x:c r="I124" s="8" t="n">
        <x:f>I120+(I121-I122)*$D$115</x:f>
        <x:v>540</x:v>
      </x:c>
      <x:c r="J124" s="1"/>
      <x:c r="K124" s="1"/>
    </x:row>
    <x:row r="125" ht="30" customHeight="1">
      <x:c r="A125" s="1"/>
      <x:c r="B125" s="1"/>
      <x:c r="C125" s="64" t="str">
        <x:v>Scheduled interest expense</x:v>
      </x:c>
      <x:c r="D125" s="8"/>
      <x:c r="E125" s="8" t="n">
        <x:f>E124*E30</x:f>
        <x:v>76.5</x:v>
      </x:c>
      <x:c r="F125" s="8" t="n">
        <x:f>F124*F30</x:f>
        <x:v>68.85000000000001</x:v>
      </x:c>
      <x:c r="G125" s="8" t="n">
        <x:f>G124*G30</x:f>
        <x:v>61.2</x:v>
      </x:c>
      <x:c r="H125" s="8" t="n">
        <x:f>H124*H30</x:f>
        <x:v>53.550000000000004</x:v>
      </x:c>
      <x:c r="I125" s="8" t="n">
        <x:f>I124*I30</x:f>
        <x:v>45.900000000000006</x:v>
      </x:c>
      <x:c r="J125" s="1"/>
      <x:c r="K125" s="1"/>
    </x:row>
    <x:row r="126" ht="30" customHeight="1">
      <x:c r="A126" s="1"/>
      <x:c r="B126" s="1"/>
      <x:c r="C126" s="64"/>
      <x:c r="D126" s="8"/>
      <x:c r="E126" s="8"/>
      <x:c r="F126" s="8"/>
      <x:c r="G126" s="8"/>
      <x:c r="H126" s="8"/>
      <x:c r="I126" s="8"/>
      <x:c r="J126" s="1"/>
      <x:c r="K126" s="1"/>
    </x:row>
    <x:row r="127" ht="30" customHeight="1">
      <x:c r="A127" s="1"/>
      <x:c r="B127" s="1"/>
      <x:c r="C127" s="64"/>
      <x:c r="D127" s="8"/>
      <x:c r="E127" s="8"/>
      <x:c r="F127" s="8"/>
      <x:c r="G127" s="8"/>
      <x:c r="H127" s="8"/>
      <x:c r="I127" s="8"/>
      <x:c r="J127" s="1"/>
      <x:c r="K127" s="1"/>
    </x:row>
    <x:row r="128" ht="30" customHeight="1">
      <x:c r="A128" s="1"/>
      <x:c r="B128" s="1"/>
      <x:c r="C128" s="64"/>
      <x:c r="D128" s="8"/>
      <x:c r="E128" s="8"/>
      <x:c r="F128" s="8"/>
      <x:c r="G128" s="8"/>
      <x:c r="H128" s="8"/>
      <x:c r="I128" s="8"/>
      <x:c r="J128" s="1"/>
      <x:c r="K128" s="1"/>
    </x:row>
    <x:row r="129" ht="25" customHeight="1">
      <x:c r="A129" s="1"/>
      <x:c r="B129" s="1"/>
      <x:c r="C129" s="68" t="str">
        <x:v>CAPEX AND DEPRECIATION SCHEDULE</x:v>
      </x:c>
      <x:c r="D129" s="69"/>
      <x:c r="E129" s="69"/>
      <x:c r="F129" s="69"/>
      <x:c r="G129" s="69"/>
      <x:c r="H129" s="69"/>
      <x:c r="I129" s="69"/>
      <x:c r="J129" s="1"/>
      <x:c r="K129" s="1"/>
    </x:row>
    <x:row r="130" ht="30" customHeight="1">
      <x:c r="A130" s="1"/>
      <x:c r="B130" s="1"/>
      <x:c r="C130" s="64" t="str">
        <x:v>Opening net property plant and equipment</x:v>
      </x:c>
      <x:c r="D130" s="8"/>
      <x:c r="E130" s="8" t="n">
        <x:f>D35</x:f>
        <x:v>700</x:v>
      </x:c>
      <x:c r="F130" s="8" t="n">
        <x:f>E135</x:f>
        <x:v>678</x:v>
      </x:c>
      <x:c r="G130" s="8" t="n">
        <x:f>F135</x:f>
        <x:v>674.52</x:v>
      </x:c>
      <x:c r="H130" s="8" t="n">
        <x:f>G135</x:f>
        <x:v>687.1368</x:v>
      </x:c>
      <x:c r="I130" s="8" t="n">
        <x:f>H135</x:f>
        <x:v>714.2577120000001</x:v>
      </x:c>
      <x:c r="J130" s="1"/>
      <x:c r="K130" s="1"/>
    </x:row>
    <x:row r="131" ht="30" customHeight="1">
      <x:c r="A131" s="1"/>
      <x:c r="B131" s="1"/>
      <x:c r="C131" s="64" t="str">
        <x:v>Capital expenditure added</x:v>
      </x:c>
      <x:c r="D131" s="8"/>
      <x:c r="E131" s="8" t="n">
        <x:f>E68</x:f>
        <x:v>90</x:v>
      </x:c>
      <x:c r="F131" s="8" t="n">
        <x:f>F68</x:f>
        <x:v>105</x:v>
      </x:c>
      <x:c r="G131" s="8" t="n">
        <x:f>G68</x:f>
        <x:v>120.53999999999999</x:v>
      </x:c>
      <x:c r="H131" s="8" t="n">
        <x:f>H68</x:f>
        <x:v>137.06280000000004</x:v>
      </x:c>
      <x:c r="I131" s="8" t="n">
        <x:f>I68</x:f>
        <x:v>154.95093600000004</x:v>
      </x:c>
      <x:c r="J131" s="1"/>
      <x:c r="K131" s="1"/>
    </x:row>
    <x:row r="132" ht="30" customHeight="1">
      <x:c r="A132" s="1"/>
      <x:c r="B132" s="1"/>
      <x:c r="C132" s="64" t="str">
        <x:v>Depreciation on opening assets</x:v>
      </x:c>
      <x:c r="D132" s="8"/>
      <x:c r="E132" s="8" t="n">
        <x:f>E130*E25</x:f>
        <x:v>112</x:v>
      </x:c>
      <x:c r="F132" s="8" t="n">
        <x:f>F130*F25</x:f>
        <x:v>108.48</x:v>
      </x:c>
      <x:c r="G132" s="8" t="n">
        <x:f>G130*G25</x:f>
        <x:v>107.9232</x:v>
      </x:c>
      <x:c r="H132" s="8" t="n">
        <x:f>H130*H25</x:f>
        <x:v>109.941888</x:v>
      </x:c>
      <x:c r="I132" s="8" t="n">
        <x:f>I130*I25</x:f>
        <x:v>114.28123392000002</x:v>
      </x:c>
      <x:c r="J132" s="1"/>
      <x:c r="K132" s="1"/>
    </x:row>
    <x:row r="133" ht="30" customHeight="1">
      <x:c r="A133" s="1"/>
      <x:c r="B133" s="1"/>
      <x:c r="C133" s="64" t="str">
        <x:v>Depreciation on current-year additions</x:v>
      </x:c>
      <x:c r="D133" s="8"/>
      <x:c r="E133" s="8" t="n">
        <x:f>E131*E25*$D$114</x:f>
        <x:v>0</x:v>
      </x:c>
      <x:c r="F133" s="8" t="n">
        <x:f>F131*F25*$D$114</x:f>
        <x:v>0</x:v>
      </x:c>
      <x:c r="G133" s="8" t="n">
        <x:f>G131*G25*$D$114</x:f>
        <x:v>0</x:v>
      </x:c>
      <x:c r="H133" s="8" t="n">
        <x:f>H131*H25*$D$114</x:f>
        <x:v>0</x:v>
      </x:c>
      <x:c r="I133" s="8" t="n">
        <x:f>I131*I25*$D$114</x:f>
        <x:v>0</x:v>
      </x:c>
      <x:c r="J133" s="1"/>
      <x:c r="K133" s="1"/>
    </x:row>
    <x:row r="134" ht="30" customHeight="1">
      <x:c r="A134" s="1"/>
      <x:c r="B134" s="1"/>
      <x:c r="C134" s="64" t="str">
        <x:v>Total depreciation charge</x:v>
      </x:c>
      <x:c r="D134" s="8"/>
      <x:c r="E134" s="8" t="n">
        <x:f>E132+E133</x:f>
        <x:v>112</x:v>
      </x:c>
      <x:c r="F134" s="8" t="n">
        <x:f>F132+F133</x:f>
        <x:v>108.48</x:v>
      </x:c>
      <x:c r="G134" s="8" t="n">
        <x:f>G132+G133</x:f>
        <x:v>107.9232</x:v>
      </x:c>
      <x:c r="H134" s="8" t="n">
        <x:f>H132+H133</x:f>
        <x:v>109.941888</x:v>
      </x:c>
      <x:c r="I134" s="8" t="n">
        <x:f>I132+I133</x:f>
        <x:v>114.28123392000002</x:v>
      </x:c>
      <x:c r="J134" s="1"/>
      <x:c r="K134" s="1"/>
    </x:row>
    <x:row r="135" ht="30" customHeight="1">
      <x:c r="A135" s="1"/>
      <x:c r="B135" s="1"/>
      <x:c r="C135" s="64" t="str">
        <x:v>Closing net property plant and equipment</x:v>
      </x:c>
      <x:c r="D135" s="8"/>
      <x:c r="E135" s="8" t="n">
        <x:f>E130+E131-E134</x:f>
        <x:v>678</x:v>
      </x:c>
      <x:c r="F135" s="8" t="n">
        <x:f>F130+F131-F134</x:f>
        <x:v>674.52</x:v>
      </x:c>
      <x:c r="G135" s="8" t="n">
        <x:f>G130+G131-G134</x:f>
        <x:v>687.1368</x:v>
      </x:c>
      <x:c r="H135" s="8" t="n">
        <x:f>H130+H131-H134</x:f>
        <x:v>714.2577120000001</x:v>
      </x:c>
      <x:c r="I135" s="8" t="n">
        <x:f>I130+I131-I134</x:f>
        <x:v>754.9274140800002</x:v>
      </x:c>
      <x:c r="J135" s="1"/>
      <x:c r="K135" s="1"/>
    </x:row>
    <x:row r="136" ht="30" customHeight="1">
      <x:c r="A136" s="1"/>
      <x:c r="B136" s="1"/>
      <x:c r="C136" s="64"/>
      <x:c r="D136" s="8"/>
      <x:c r="E136" s="8"/>
      <x:c r="F136" s="8"/>
      <x:c r="G136" s="8"/>
      <x:c r="H136" s="8"/>
      <x:c r="I136" s="8"/>
      <x:c r="J136" s="1"/>
      <x:c r="K136" s="1"/>
    </x:row>
    <x:row r="137" ht="30" customHeight="1">
      <x:c r="A137" s="1"/>
      <x:c r="B137" s="1"/>
      <x:c r="C137" s="64"/>
      <x:c r="D137" s="8"/>
      <x:c r="E137" s="8"/>
      <x:c r="F137" s="8"/>
      <x:c r="G137" s="8"/>
      <x:c r="H137" s="8"/>
      <x:c r="I137" s="8"/>
      <x:c r="J137" s="1"/>
      <x:c r="K137" s="1"/>
    </x:row>
    <x:row r="138" ht="30" customHeight="1">
      <x:c r="A138" s="1"/>
      <x:c r="B138" s="1"/>
      <x:c r="C138" s="64"/>
      <x:c r="D138" s="8"/>
      <x:c r="E138" s="8"/>
      <x:c r="F138" s="8"/>
      <x:c r="G138" s="8"/>
      <x:c r="H138" s="8"/>
      <x:c r="I138" s="8"/>
      <x:c r="J138" s="1"/>
      <x:c r="K138" s="1"/>
    </x:row>
    <x:row r="139" ht="25" customHeight="1">
      <x:c r="A139" s="1"/>
      <x:c r="B139" s="1"/>
      <x:c r="C139" s="68" t="str">
        <x:v>CASH TAX SCHEDULE</x:v>
      </x:c>
      <x:c r="D139" s="69"/>
      <x:c r="E139" s="69"/>
      <x:c r="F139" s="69"/>
      <x:c r="G139" s="69"/>
      <x:c r="H139" s="69"/>
      <x:c r="I139" s="69"/>
      <x:c r="J139" s="1"/>
      <x:c r="K139" s="1"/>
    </x:row>
    <x:row r="140" ht="30" customHeight="1">
      <x:c r="A140" s="1"/>
      <x:c r="B140" s="1"/>
      <x:c r="C140" s="64" t="str">
        <x:v>Opening usable tax losses</x:v>
      </x:c>
      <x:c r="D140" s="8"/>
      <x:c r="E140" s="8" t="n">
        <x:f>$D$116</x:f>
        <x:v>0</x:v>
      </x:c>
      <x:c r="F140" s="8" t="n">
        <x:f>E145</x:f>
        <x:v>0</x:v>
      </x:c>
      <x:c r="G140" s="8" t="n">
        <x:f>F145</x:f>
        <x:v>0</x:v>
      </x:c>
      <x:c r="H140" s="8" t="n">
        <x:f>G145</x:f>
        <x:v>0</x:v>
      </x:c>
      <x:c r="I140" s="8" t="n">
        <x:f>H145</x:f>
        <x:v>0</x:v>
      </x:c>
      <x:c r="J140" s="1"/>
      <x:c r="K140" s="1"/>
    </x:row>
    <x:row r="141" ht="30" customHeight="1">
      <x:c r="A141" s="1"/>
      <x:c r="B141" s="1"/>
      <x:c r="C141" s="64" t="str">
        <x:v>Profit before tax for loss utilization</x:v>
      </x:c>
      <x:c r="D141" s="8"/>
      <x:c r="E141" s="8" t="n">
        <x:f>E59</x:f>
        <x:v>243.5</x:v>
      </x:c>
      <x:c r="F141" s="8" t="n">
        <x:f>F59</x:f>
        <x:v>326.66999999999996</x:v>
      </x:c>
      <x:c r="G141" s="8" t="n">
        <x:f>G59</x:f>
        <x:v>409.4688</x:v>
      </x:c>
      <x:c r="H141" s="8" t="n">
        <x:f>H59</x:f>
        <x:v>494.409552</x:v>
      </x:c>
      <x:c r="I141" s="8" t="n">
        <x:f>I59</x:f>
        <x:v>583.5832588799997</x:v>
      </x:c>
      <x:c r="J141" s="1"/>
      <x:c r="K141" s="1"/>
    </x:row>
    <x:row r="142" ht="30" customHeight="1">
      <x:c r="A142" s="1"/>
      <x:c r="B142" s="1"/>
      <x:c r="C142" s="64" t="str">
        <x:v>Tax losses utilized</x:v>
      </x:c>
      <x:c r="D142" s="8"/>
      <x:c r="E142" s="8" t="n">
        <x:f>MIN(E140,MAX(0,E141)*$D$117)</x:f>
        <x:v>0</x:v>
      </x:c>
      <x:c r="F142" s="8" t="n">
        <x:f>MIN(F140,MAX(0,F141)*$D$117)</x:f>
        <x:v>0</x:v>
      </x:c>
      <x:c r="G142" s="8" t="n">
        <x:f>MIN(G140,MAX(0,G141)*$D$117)</x:f>
        <x:v>0</x:v>
      </x:c>
      <x:c r="H142" s="8" t="n">
        <x:f>MIN(H140,MAX(0,H141)*$D$117)</x:f>
        <x:v>0</x:v>
      </x:c>
      <x:c r="I142" s="8" t="n">
        <x:f>MIN(I140,MAX(0,I141)*$D$117)</x:f>
        <x:v>0</x:v>
      </x:c>
      <x:c r="J142" s="1"/>
      <x:c r="K142" s="1"/>
    </x:row>
    <x:row r="143" ht="30" customHeight="1">
      <x:c r="A143" s="1"/>
      <x:c r="B143" s="1"/>
      <x:c r="C143" s="64" t="str">
        <x:v>Taxable profit after loss utilization</x:v>
      </x:c>
      <x:c r="D143" s="8"/>
      <x:c r="E143" s="8" t="n">
        <x:f>MAX(0,E141-E142)</x:f>
        <x:v>243.5</x:v>
      </x:c>
      <x:c r="F143" s="8" t="n">
        <x:f>MAX(0,F141-F142)</x:f>
        <x:v>326.66999999999996</x:v>
      </x:c>
      <x:c r="G143" s="8" t="n">
        <x:f>MAX(0,G141-G142)</x:f>
        <x:v>409.4688</x:v>
      </x:c>
      <x:c r="H143" s="8" t="n">
        <x:f>MAX(0,H141-H142)</x:f>
        <x:v>494.409552</x:v>
      </x:c>
      <x:c r="I143" s="8" t="n">
        <x:f>MAX(0,I141-I142)</x:f>
        <x:v>583.5832588799997</x:v>
      </x:c>
      <x:c r="J143" s="1"/>
      <x:c r="K143" s="1"/>
    </x:row>
    <x:row r="144" ht="30" customHeight="1">
      <x:c r="A144" s="1"/>
      <x:c r="B144" s="1"/>
      <x:c r="C144" s="64" t="str">
        <x:v>Cash income tax after loss utilization</x:v>
      </x:c>
      <x:c r="D144" s="8"/>
      <x:c r="E144" s="8" t="n">
        <x:f>E143*E29</x:f>
        <x:v>60.875</x:v>
      </x:c>
      <x:c r="F144" s="8" t="n">
        <x:f>F143*F29</x:f>
        <x:v>81.66749999999999</x:v>
      </x:c>
      <x:c r="G144" s="8" t="n">
        <x:f>G143*G29</x:f>
        <x:v>102.3672</x:v>
      </x:c>
      <x:c r="H144" s="8" t="n">
        <x:f>H143*H29</x:f>
        <x:v>123.602388</x:v>
      </x:c>
      <x:c r="I144" s="8" t="n">
        <x:f>I143*I29</x:f>
        <x:v>145.89581471999992</x:v>
      </x:c>
      <x:c r="J144" s="1"/>
      <x:c r="K144" s="1"/>
    </x:row>
    <x:row r="145" ht="30" customHeight="1">
      <x:c r="A145" s="1"/>
      <x:c r="B145" s="1"/>
      <x:c r="C145" s="64" t="str">
        <x:v>Closing usable tax losses</x:v>
      </x:c>
      <x:c r="D145" s="8"/>
      <x:c r="E145" s="8" t="n">
        <x:f>E140-E142+MAX(0,-E141)</x:f>
        <x:v>0</x:v>
      </x:c>
      <x:c r="F145" s="8" t="n">
        <x:f>F140-F142+MAX(0,-F141)</x:f>
        <x:v>0</x:v>
      </x:c>
      <x:c r="G145" s="8" t="n">
        <x:f>G140-G142+MAX(0,-G141)</x:f>
        <x:v>0</x:v>
      </x:c>
      <x:c r="H145" s="8" t="n">
        <x:f>H140-H142+MAX(0,-H141)</x:f>
        <x:v>0</x:v>
      </x:c>
      <x:c r="I145" s="8" t="n">
        <x:f>I140-I142+MAX(0,-I141)</x:f>
        <x:v>0</x:v>
      </x:c>
      <x:c r="J145" s="1"/>
      <x:c r="K145" s="1"/>
    </x:row>
    <x:row r="146" ht="30" customHeight="1">
      <x:c r="A146" s="1"/>
      <x:c r="B146" s="1"/>
      <x:c r="C146" s="64"/>
      <x:c r="D146" s="8"/>
      <x:c r="E146" s="8"/>
      <x:c r="F146" s="8"/>
      <x:c r="G146" s="8"/>
      <x:c r="H146" s="8"/>
      <x:c r="I146" s="8"/>
      <x:c r="J146" s="1"/>
      <x:c r="K146" s="1"/>
    </x:row>
    <x:row r="147" ht="30" customHeight="1">
      <x:c r="A147" s="1"/>
      <x:c r="B147" s="1"/>
      <x:c r="C147" s="64"/>
      <x:c r="D147" s="8"/>
      <x:c r="E147" s="8"/>
      <x:c r="F147" s="8"/>
      <x:c r="G147" s="8"/>
      <x:c r="H147" s="8"/>
      <x:c r="I147" s="8"/>
      <x:c r="J147" s="1"/>
      <x:c r="K147" s="1"/>
    </x:row>
    <x:row r="148" ht="30" customHeight="1">
      <x:c r="A148" s="1"/>
      <x:c r="B148" s="1"/>
      <x:c r="C148" s="64"/>
      <x:c r="D148" s="8"/>
      <x:c r="E148" s="8"/>
      <x:c r="F148" s="8"/>
      <x:c r="G148" s="8"/>
      <x:c r="H148" s="8"/>
      <x:c r="I148" s="8"/>
      <x:c r="J148" s="1"/>
      <x:c r="K148" s="1"/>
    </x:row>
    <x:row r="149" ht="30" customHeight="1">
      <x:c r="A149" s="1"/>
      <x:c r="B149" s="1"/>
      <x:c r="C149" s="64"/>
      <x:c r="D149" s="8"/>
      <x:c r="E149" s="8"/>
      <x:c r="F149" s="8"/>
      <x:c r="G149" s="8"/>
      <x:c r="H149" s="8"/>
      <x:c r="I149" s="8"/>
      <x:c r="J149" s="1"/>
      <x:c r="K149" s="1"/>
    </x:row>
    <x:row r="150" ht="30" customHeight="1">
      <x:c r="A150" s="1"/>
      <x:c r="B150" s="1"/>
      <x:c r="C150" s="64"/>
      <x:c r="D150" s="8"/>
      <x:c r="E150" s="8"/>
      <x:c r="F150" s="8"/>
      <x:c r="G150" s="8"/>
      <x:c r="H150" s="8"/>
      <x:c r="I150" s="8"/>
      <x:c r="J150" s="1"/>
      <x:c r="K150" s="1"/>
    </x:row>
    <x:row r="151" ht="30" customHeight="1">
      <x:c r="A151" s="1"/>
      <x:c r="B151" s="1"/>
      <x:c r="C151" s="64"/>
      <x:c r="D151" s="8"/>
      <x:c r="E151" s="8"/>
      <x:c r="F151" s="8"/>
      <x:c r="G151" s="8"/>
      <x:c r="H151" s="8"/>
      <x:c r="I151" s="8"/>
      <x:c r="J151" s="1"/>
      <x:c r="K151" s="1"/>
    </x:row>
    <x:row r="152" ht="30" customHeight="1">
      <x:c r="A152" s="1"/>
      <x:c r="B152" s="1"/>
      <x:c r="C152" s="64"/>
      <x:c r="D152" s="8"/>
      <x:c r="E152" s="8"/>
      <x:c r="F152" s="8"/>
      <x:c r="G152" s="8"/>
      <x:c r="H152" s="8"/>
      <x:c r="I152" s="8"/>
      <x:c r="J152" s="1"/>
      <x:c r="K152" s="1"/>
    </x:row>
    <x:row r="153" ht="30" customHeight="1">
      <x:c r="A153" s="1"/>
      <x:c r="B153" s="1"/>
      <x:c r="C153" s="64"/>
      <x:c r="D153" s="8"/>
      <x:c r="E153" s="8"/>
      <x:c r="F153" s="8"/>
      <x:c r="G153" s="8"/>
      <x:c r="H153" s="8"/>
      <x:c r="I153" s="8"/>
      <x:c r="J153" s="1"/>
      <x:c r="K153" s="1"/>
    </x:row>
    <x:row r="154" ht="30" customHeight="1">
      <x:c r="A154" s="1"/>
      <x:c r="B154" s="1"/>
      <x:c r="C154" s="64"/>
      <x:c r="D154" s="8"/>
      <x:c r="E154" s="8"/>
      <x:c r="F154" s="8"/>
      <x:c r="G154" s="8"/>
      <x:c r="H154" s="8"/>
      <x:c r="I154" s="8"/>
      <x:c r="J154" s="1"/>
      <x:c r="K154" s="1"/>
    </x:row>
    <x:row r="155" ht="30" customHeight="1">
      <x:c r="A155" s="1"/>
      <x:c r="B155" s="1"/>
      <x:c r="C155" s="64"/>
      <x:c r="D155" s="8"/>
      <x:c r="E155" s="8"/>
      <x:c r="F155" s="8"/>
      <x:c r="G155" s="8"/>
      <x:c r="H155" s="8"/>
      <x:c r="I155" s="8"/>
      <x:c r="J155" s="1"/>
      <x:c r="K155" s="1"/>
    </x:row>
    <x:row r="156" ht="30" customHeight="1">
      <x:c r="A156" s="1"/>
      <x:c r="B156" s="1"/>
      <x:c r="C156" s="64"/>
      <x:c r="D156" s="8"/>
      <x:c r="E156" s="8"/>
      <x:c r="F156" s="8"/>
      <x:c r="G156" s="8"/>
      <x:c r="H156" s="8"/>
      <x:c r="I156" s="8"/>
      <x:c r="J156" s="1"/>
      <x:c r="K156" s="1"/>
    </x:row>
    <x:row r="157" ht="30" customHeight="1">
      <x:c r="A157" s="1"/>
      <x:c r="B157" s="1"/>
      <x:c r="C157" s="64"/>
      <x:c r="D157" s="8"/>
      <x:c r="E157" s="8"/>
      <x:c r="F157" s="8"/>
      <x:c r="G157" s="8"/>
      <x:c r="H157" s="8"/>
      <x:c r="I157" s="8"/>
      <x:c r="J157" s="1"/>
      <x:c r="K157" s="1"/>
    </x:row>
    <x:row r="158" ht="30" customHeight="1">
      <x:c r="A158" s="1"/>
      <x:c r="B158" s="1"/>
      <x:c r="C158" s="64"/>
      <x:c r="D158" s="8"/>
      <x:c r="E158" s="8"/>
      <x:c r="F158" s="8"/>
      <x:c r="G158" s="8"/>
      <x:c r="H158" s="8"/>
      <x:c r="I158" s="8"/>
      <x:c r="J158" s="1"/>
      <x:c r="K158" s="1"/>
    </x:row>
    <x:row r="159" ht="30" customHeight="1">
      <x:c r="A159" s="1"/>
      <x:c r="B159" s="1"/>
      <x:c r="C159" s="64"/>
      <x:c r="D159" s="8"/>
      <x:c r="E159" s="8"/>
      <x:c r="F159" s="8"/>
      <x:c r="G159" s="8"/>
      <x:c r="H159" s="8"/>
      <x:c r="I159" s="8"/>
      <x:c r="J159" s="1"/>
      <x:c r="K159" s="1"/>
    </x:row>
    <x:row r="160" ht="30" customHeight="1">
      <x:c r="A160" s="1"/>
      <x:c r="B160" s="1"/>
      <x:c r="C160" s="64"/>
      <x:c r="D160" s="8"/>
      <x:c r="E160" s="8"/>
      <x:c r="F160" s="8"/>
      <x:c r="G160" s="8"/>
      <x:c r="H160" s="8"/>
      <x:c r="I160" s="8"/>
      <x:c r="J160" s="1"/>
      <x:c r="K160" s="1"/>
    </x:row>
    <x:row r="161" ht="30" customHeight="1">
      <x:c r="A161" s="1"/>
      <x:c r="B161" s="1"/>
      <x:c r="C161" s="64"/>
      <x:c r="D161" s="8"/>
      <x:c r="E161" s="8"/>
      <x:c r="F161" s="8"/>
      <x:c r="G161" s="8"/>
      <x:c r="H161" s="8"/>
      <x:c r="I161" s="8"/>
      <x:c r="J161" s="1"/>
      <x:c r="K161" s="1"/>
    </x:row>
    <x:row r="162" ht="30" customHeight="1">
      <x:c r="A162" s="1"/>
      <x:c r="B162" s="1"/>
      <x:c r="C162" s="64"/>
      <x:c r="D162" s="8"/>
      <x:c r="E162" s="8"/>
      <x:c r="F162" s="8"/>
      <x:c r="G162" s="8"/>
      <x:c r="H162" s="8"/>
      <x:c r="I162" s="8"/>
      <x:c r="J162" s="1"/>
      <x:c r="K162" s="1"/>
    </x:row>
    <x:row r="163" ht="30" customHeight="1">
      <x:c r="A163" s="1"/>
      <x:c r="B163" s="1"/>
      <x:c r="C163" s="64"/>
      <x:c r="D163" s="8"/>
      <x:c r="E163" s="8"/>
      <x:c r="F163" s="8"/>
      <x:c r="G163" s="8"/>
      <x:c r="H163" s="8"/>
      <x:c r="I163" s="8"/>
      <x:c r="J163" s="1"/>
      <x:c r="K163" s="1"/>
    </x:row>
    <x:row r="164" ht="30" customHeight="1">
      <x:c r="A164" s="1"/>
      <x:c r="B164" s="1"/>
      <x:c r="C164" s="64"/>
      <x:c r="D164" s="8"/>
      <x:c r="E164" s="8"/>
      <x:c r="F164" s="8"/>
      <x:c r="G164" s="8"/>
      <x:c r="H164" s="8"/>
      <x:c r="I164" s="8"/>
      <x:c r="J164" s="1"/>
      <x:c r="K164" s="1"/>
    </x:row>
    <x:row r="165" ht="30" customHeight="1">
      <x:c r="A165" s="1"/>
      <x:c r="B165" s="1"/>
      <x:c r="C165" s="64"/>
      <x:c r="D165" s="8"/>
      <x:c r="E165" s="8"/>
      <x:c r="F165" s="8"/>
      <x:c r="G165" s="8"/>
      <x:c r="H165" s="8"/>
      <x:c r="I165" s="8"/>
      <x:c r="J165" s="1"/>
      <x:c r="K165" s="1"/>
    </x:row>
    <x:row r="166" ht="30" customHeight="1">
      <x:c r="A166" s="1"/>
      <x:c r="B166" s="1"/>
      <x:c r="C166" s="64"/>
      <x:c r="D166" s="8"/>
      <x:c r="E166" s="8"/>
      <x:c r="F166" s="8"/>
      <x:c r="G166" s="8"/>
      <x:c r="H166" s="8"/>
      <x:c r="I166" s="8"/>
      <x:c r="J166" s="1"/>
      <x:c r="K166" s="1"/>
    </x:row>
    <x:row r="167" ht="30" customHeight="1">
      <x:c r="A167" s="1"/>
      <x:c r="B167" s="1"/>
      <x:c r="C167" s="64"/>
      <x:c r="D167" s="8"/>
      <x:c r="E167" s="8"/>
      <x:c r="F167" s="8"/>
      <x:c r="G167" s="8"/>
      <x:c r="H167" s="8"/>
      <x:c r="I167" s="8"/>
      <x:c r="J167" s="1"/>
      <x:c r="K167" s="1"/>
    </x:row>
    <x:row r="168" ht="30" customHeight="1">
      <x:c r="A168" s="1"/>
      <x:c r="B168" s="1"/>
      <x:c r="C168" s="64"/>
      <x:c r="D168" s="8"/>
      <x:c r="E168" s="8"/>
      <x:c r="F168" s="8"/>
      <x:c r="G168" s="8"/>
      <x:c r="H168" s="8"/>
      <x:c r="I168" s="8"/>
      <x:c r="J168" s="1"/>
      <x:c r="K168" s="1"/>
    </x:row>
    <x:row r="169" ht="30" customHeight="1">
      <x:c r="A169" s="1"/>
      <x:c r="B169" s="1"/>
      <x:c r="C169" s="64"/>
      <x:c r="D169" s="8"/>
      <x:c r="E169" s="8"/>
      <x:c r="F169" s="8"/>
      <x:c r="G169" s="8"/>
      <x:c r="H169" s="8"/>
      <x:c r="I169" s="8"/>
      <x:c r="J169" s="1"/>
      <x:c r="K169" s="1"/>
    </x:row>
    <x:row r="170" ht="30" customHeight="1">
      <x:c r="A170" s="1"/>
      <x:c r="B170" s="1"/>
      <x:c r="C170" s="64"/>
      <x:c r="D170" s="8"/>
      <x:c r="E170" s="8"/>
      <x:c r="F170" s="8"/>
      <x:c r="G170" s="8"/>
      <x:c r="H170" s="8"/>
      <x:c r="I170" s="8"/>
      <x:c r="J170" s="1"/>
      <x:c r="K170" s="1"/>
    </x:row>
    <x:row r="171" ht="30" customHeight="1">
      <x:c r="A171" s="1"/>
      <x:c r="B171" s="1"/>
      <x:c r="C171" s="64"/>
      <x:c r="D171" s="8"/>
      <x:c r="E171" s="8"/>
      <x:c r="F171" s="8"/>
      <x:c r="G171" s="8"/>
      <x:c r="H171" s="8"/>
      <x:c r="I171" s="8"/>
      <x:c r="J171" s="1"/>
      <x:c r="K171" s="1"/>
    </x:row>
    <x:row r="172" ht="30" customHeight="1">
      <x:c r="A172" s="1"/>
      <x:c r="B172" s="1"/>
      <x:c r="C172" s="64"/>
      <x:c r="D172" s="8"/>
      <x:c r="E172" s="8"/>
      <x:c r="F172" s="8"/>
      <x:c r="G172" s="8"/>
      <x:c r="H172" s="8"/>
      <x:c r="I172" s="8"/>
      <x:c r="J172" s="1"/>
      <x:c r="K172" s="1"/>
    </x:row>
    <x:row r="173" ht="30" customHeight="1">
      <x:c r="A173" s="1"/>
      <x:c r="B173" s="1"/>
      <x:c r="C173" s="64"/>
      <x:c r="D173" s="8"/>
      <x:c r="E173" s="8"/>
      <x:c r="F173" s="8"/>
      <x:c r="G173" s="8"/>
      <x:c r="H173" s="8"/>
      <x:c r="I173" s="8"/>
      <x:c r="J173" s="1"/>
      <x:c r="K173" s="1"/>
    </x:row>
    <x:row r="174" ht="30" customHeight="1">
      <x:c r="A174" s="1"/>
      <x:c r="B174" s="1"/>
      <x:c r="C174" s="64"/>
      <x:c r="D174" s="8"/>
      <x:c r="E174" s="8"/>
      <x:c r="F174" s="8"/>
      <x:c r="G174" s="8"/>
      <x:c r="H174" s="8"/>
      <x:c r="I174" s="8"/>
      <x:c r="J174" s="1"/>
      <x:c r="K174" s="1"/>
    </x:row>
    <x:row r="175" ht="30" customHeight="1">
      <x:c r="A175" s="1"/>
      <x:c r="B175" s="1"/>
      <x:c r="C175" s="64"/>
      <x:c r="D175" s="8"/>
      <x:c r="E175" s="8"/>
      <x:c r="F175" s="8"/>
      <x:c r="G175" s="8"/>
      <x:c r="H175" s="8"/>
      <x:c r="I175" s="8"/>
      <x:c r="J175" s="1"/>
      <x:c r="K175" s="1"/>
    </x:row>
    <x:row r="176" ht="30" customHeight="1">
      <x:c r="A176" s="1"/>
      <x:c r="B176" s="1"/>
      <x:c r="C176" s="64"/>
      <x:c r="D176" s="8"/>
      <x:c r="E176" s="8"/>
      <x:c r="F176" s="8"/>
      <x:c r="G176" s="8"/>
      <x:c r="H176" s="8"/>
      <x:c r="I176" s="8"/>
      <x:c r="J176" s="1"/>
      <x:c r="K176" s="1"/>
    </x:row>
    <x:row r="177" ht="30" customHeight="1">
      <x:c r="A177" s="1"/>
      <x:c r="B177" s="1"/>
      <x:c r="C177" s="64"/>
      <x:c r="D177" s="8"/>
      <x:c r="E177" s="8"/>
      <x:c r="F177" s="8"/>
      <x:c r="G177" s="8"/>
      <x:c r="H177" s="8"/>
      <x:c r="I177" s="8"/>
      <x:c r="J177" s="1"/>
      <x:c r="K177" s="1"/>
    </x:row>
    <x:row r="178" ht="30" customHeight="1">
      <x:c r="A178" s="1"/>
      <x:c r="B178" s="1"/>
      <x:c r="C178" s="64"/>
      <x:c r="D178" s="8"/>
      <x:c r="E178" s="8"/>
      <x:c r="F178" s="8"/>
      <x:c r="G178" s="8"/>
      <x:c r="H178" s="8"/>
      <x:c r="I178" s="8"/>
      <x:c r="J178" s="1"/>
      <x:c r="K178" s="1"/>
    </x:row>
    <x:row r="179" ht="25" customHeight="1">
      <x:c r="A179" s="1"/>
      <x:c r="B179" s="1"/>
      <x:c r="C179" s="68" t="str">
        <x:v>MODEL CHECKS</x:v>
      </x:c>
      <x:c r="D179" s="69"/>
      <x:c r="E179" s="69"/>
      <x:c r="F179" s="69"/>
      <x:c r="G179" s="69"/>
      <x:c r="H179" s="69"/>
      <x:c r="I179" s="69"/>
      <x:c r="J179" s="1"/>
      <x:c r="K179" s="1"/>
    </x:row>
    <x:row r="180" ht="30" customHeight="1">
      <x:c r="A180" s="1"/>
      <x:c r="B180" s="1"/>
      <x:c r="C180" s="64" t="str">
        <x:v>Opening executable order book (INR crore) — seed input outside bounds</x:v>
      </x:c>
      <x:c r="D180" s="8"/>
      <x:c r="E180" s="75" t="n">
        <x:f>IF(COUNT(D10)=0,1,IF(D10&lt;0,1,0))</x:f>
        <x:v>0</x:v>
      </x:c>
      <x:c r="F180" s="75" t="n">
        <x:f>IF(COUNT(D10)=0,1,IF(D10&lt;0,1,0))</x:f>
        <x:v>0</x:v>
      </x:c>
      <x:c r="G180" s="75" t="n">
        <x:f>IF(COUNT(D10)=0,1,IF(D10&lt;0,1,0))</x:f>
        <x:v>0</x:v>
      </x:c>
      <x:c r="H180" s="75" t="n">
        <x:f>IF(COUNT(D10)=0,1,IF(D10&lt;0,1,0))</x:f>
        <x:v>0</x:v>
      </x:c>
      <x:c r="I180" s="75" t="n">
        <x:f>IF(COUNT(D10)=0,1,IF(D10&lt;0,1,0))</x:f>
        <x:v>0</x:v>
      </x:c>
      <x:c r="J180" s="1"/>
      <x:c r="K180" s="1"/>
    </x:row>
    <x:row r="181" ht="30" customHeight="1">
      <x:c r="A181" s="1"/>
      <x:c r="B181" s="1"/>
      <x:c r="C181" s="64" t="str">
        <x:v>Annual order-book execution rate — seed input outside bounds</x:v>
      </x:c>
      <x:c r="D181" s="8"/>
      <x:c r="E181" s="75" t="n">
        <x:f>IF(COUNT(D11)=0,1,IF(D11&lt;0,1,0))</x:f>
        <x:v>0</x:v>
      </x:c>
      <x:c r="F181" s="75" t="n">
        <x:f>IF(COUNT(D11)=0,1,IF(D11&lt;0,1,0))</x:f>
        <x:v>0</x:v>
      </x:c>
      <x:c r="G181" s="75" t="n">
        <x:f>IF(COUNT(D11)=0,1,IF(D11&lt;0,1,0))</x:f>
        <x:v>0</x:v>
      </x:c>
      <x:c r="H181" s="75" t="n">
        <x:f>IF(COUNT(D11)=0,1,IF(D11&lt;0,1,0))</x:f>
        <x:v>0</x:v>
      </x:c>
      <x:c r="I181" s="75" t="n">
        <x:f>IF(COUNT(D11)=0,1,IF(D11&lt;0,1,0))</x:f>
        <x:v>0</x:v>
      </x:c>
      <x:c r="J181" s="1"/>
      <x:c r="K181" s="1"/>
    </x:row>
    <x:row r="182" ht="30" customHeight="1">
      <x:c r="A182" s="1"/>
      <x:c r="B182" s="1"/>
      <x:c r="C182" s="64" t="str">
        <x:v>New-order growth input outside bounds</x:v>
      </x:c>
      <x:c r="D182" s="8"/>
      <x:c r="E182" s="75" t="n">
        <x:f>IF(COUNT(E12)=0,1,IF(E12&lt;-1,1,0))</x:f>
        <x:v>0</x:v>
      </x:c>
      <x:c r="F182" s="75" t="n">
        <x:f>IF(COUNT(F12)=0,1,IF(F12&lt;-1,1,0))</x:f>
        <x:v>0</x:v>
      </x:c>
      <x:c r="G182" s="75" t="n">
        <x:f>IF(COUNT(G12)=0,1,IF(G12&lt;-1,1,0))</x:f>
        <x:v>0</x:v>
      </x:c>
      <x:c r="H182" s="75" t="n">
        <x:f>IF(COUNT(H12)=0,1,IF(H12&lt;-1,1,0))</x:f>
        <x:v>0</x:v>
      </x:c>
      <x:c r="I182" s="75" t="n">
        <x:f>IF(COUNT(I12)=0,1,IF(I12&lt;-1,1,0))</x:f>
        <x:v>0</x:v>
      </x:c>
      <x:c r="J182" s="1"/>
      <x:c r="K182" s="1"/>
    </x:row>
    <x:row r="183" ht="30" customHeight="1">
      <x:c r="A183" s="1"/>
      <x:c r="B183" s="1"/>
      <x:c r="C183" s="64" t="str">
        <x:v>Execution rate change (pp) input outside bounds</x:v>
      </x:c>
      <x:c r="D183" s="8"/>
      <x:c r="E183" s="75" t="n">
        <x:f>IF(COUNT(E16)=0,1,IF(E16&lt;-1,1,IF(E16&gt;1,1,0)))</x:f>
        <x:v>0</x:v>
      </x:c>
      <x:c r="F183" s="75" t="n">
        <x:f>IF(COUNT(F16)=0,1,IF(F16&lt;-1,1,IF(F16&gt;1,1,0)))</x:f>
        <x:v>0</x:v>
      </x:c>
      <x:c r="G183" s="75" t="n">
        <x:f>IF(COUNT(G16)=0,1,IF(G16&lt;-1,1,IF(G16&gt;1,1,0)))</x:f>
        <x:v>0</x:v>
      </x:c>
      <x:c r="H183" s="75" t="n">
        <x:f>IF(COUNT(H16)=0,1,IF(H16&lt;-1,1,IF(H16&gt;1,1,0)))</x:f>
        <x:v>0</x:v>
      </x:c>
      <x:c r="I183" s="75" t="n">
        <x:f>IF(COUNT(I16)=0,1,IF(I16&lt;-1,1,IF(I16&gt;1,1,0)))</x:f>
        <x:v>0</x:v>
      </x:c>
      <x:c r="J183" s="1"/>
      <x:c r="K183" s="1"/>
    </x:row>
    <x:row r="184" ht="30" customHeight="1">
      <x:c r="A184" s="1"/>
      <x:c r="B184" s="1"/>
      <x:c r="C184" s="64" t="str">
        <x:v>Capacity utilization input outside bounds</x:v>
      </x:c>
      <x:c r="D184" s="8"/>
      <x:c r="E184" s="75" t="n">
        <x:f>IF(COUNT(E20)=0,1,IF(E20&lt;0,1,IF(E20&gt;1,1,0)))</x:f>
        <x:v>0</x:v>
      </x:c>
      <x:c r="F184" s="75" t="n">
        <x:f>IF(COUNT(F20)=0,1,IF(F20&lt;0,1,IF(F20&gt;1,1,0)))</x:f>
        <x:v>0</x:v>
      </x:c>
      <x:c r="G184" s="75" t="n">
        <x:f>IF(COUNT(G20)=0,1,IF(G20&lt;0,1,IF(G20&gt;1,1,0)))</x:f>
        <x:v>0</x:v>
      </x:c>
      <x:c r="H184" s="75" t="n">
        <x:f>IF(COUNT(H20)=0,1,IF(H20&lt;0,1,IF(H20&gt;1,1,0)))</x:f>
        <x:v>0</x:v>
      </x:c>
      <x:c r="I184" s="75" t="n">
        <x:f>IF(COUNT(I20)=0,1,IF(I20&lt;0,1,IF(I20&gt;1,1,0)))</x:f>
        <x:v>0</x:v>
      </x:c>
      <x:c r="J184" s="1"/>
      <x:c r="K184" s="1"/>
    </x:row>
    <x:row r="185" ht="30" customHeight="1">
      <x:c r="A185" s="1"/>
      <x:c r="B185" s="1"/>
      <x:c r="C185" s="64" t="str">
        <x:v>Subcontracting and project materials / revenue input outside bounds</x:v>
      </x:c>
      <x:c r="D185" s="8"/>
      <x:c r="E185" s="75" t="n">
        <x:f>IF(COUNT(E21)=0,1,IF(E21&lt;0,1,0))</x:f>
        <x:v>0</x:v>
      </x:c>
      <x:c r="F185" s="75" t="n">
        <x:f>IF(COUNT(F21)=0,1,IF(F21&lt;0,1,0))</x:f>
        <x:v>0</x:v>
      </x:c>
      <x:c r="G185" s="75" t="n">
        <x:f>IF(COUNT(G21)=0,1,IF(G21&lt;0,1,0))</x:f>
        <x:v>0</x:v>
      </x:c>
      <x:c r="H185" s="75" t="n">
        <x:f>IF(COUNT(H21)=0,1,IF(H21&lt;0,1,0))</x:f>
        <x:v>0</x:v>
      </x:c>
      <x:c r="I185" s="75" t="n">
        <x:f>IF(COUNT(I21)=0,1,IF(I21&lt;0,1,0))</x:f>
        <x:v>0</x:v>
      </x:c>
      <x:c r="J185" s="1"/>
      <x:c r="K185" s="1"/>
    </x:row>
    <x:row r="186" ht="30" customHeight="1">
      <x:c r="A186" s="1"/>
      <x:c r="B186" s="1"/>
      <x:c r="C186" s="64" t="str">
        <x:v>Other cash operating costs / revenue input outside bounds</x:v>
      </x:c>
      <x:c r="D186" s="8"/>
      <x:c r="E186" s="75" t="n">
        <x:f>IF(COUNT(E22)=0,1,IF(E22&lt;0,1,0))</x:f>
        <x:v>0</x:v>
      </x:c>
      <x:c r="F186" s="75" t="n">
        <x:f>IF(COUNT(F22)=0,1,IF(F22&lt;0,1,0))</x:f>
        <x:v>0</x:v>
      </x:c>
      <x:c r="G186" s="75" t="n">
        <x:f>IF(COUNT(G22)=0,1,IF(G22&lt;0,1,0))</x:f>
        <x:v>0</x:v>
      </x:c>
      <x:c r="H186" s="75" t="n">
        <x:f>IF(COUNT(H22)=0,1,IF(H22&lt;0,1,0))</x:f>
        <x:v>0</x:v>
      </x:c>
      <x:c r="I186" s="75" t="n">
        <x:f>IF(COUNT(I22)=0,1,IF(I22&lt;0,1,0))</x:f>
        <x:v>0</x:v>
      </x:c>
      <x:c r="J186" s="1"/>
      <x:c r="K186" s="1"/>
    </x:row>
    <x:row r="187" ht="30" customHeight="1">
      <x:c r="A187" s="1"/>
      <x:c r="B187" s="1"/>
      <x:c r="C187" s="64" t="str">
        <x:v>Annual new-order intake — seed input outside bounds</x:v>
      </x:c>
      <x:c r="D187" s="8"/>
      <x:c r="E187" s="75" t="n">
        <x:f>IF(COUNT(D23)=0,1,IF(D23&lt;0,1,0))</x:f>
        <x:v>0</x:v>
      </x:c>
      <x:c r="F187" s="75" t="n">
        <x:f>IF(COUNT(D23)=0,1,IF(D23&lt;0,1,0))</x:f>
        <x:v>0</x:v>
      </x:c>
      <x:c r="G187" s="75" t="n">
        <x:f>IF(COUNT(D23)=0,1,IF(D23&lt;0,1,0))</x:f>
        <x:v>0</x:v>
      </x:c>
      <x:c r="H187" s="75" t="n">
        <x:f>IF(COUNT(D23)=0,1,IF(D23&lt;0,1,0))</x:f>
        <x:v>0</x:v>
      </x:c>
      <x:c r="I187" s="75" t="n">
        <x:f>IF(COUNT(D23)=0,1,IF(D23&lt;0,1,0))</x:f>
        <x:v>0</x:v>
      </x:c>
      <x:c r="J187" s="1"/>
      <x:c r="K187" s="1"/>
    </x:row>
    <x:row r="188" ht="30" customHeight="1">
      <x:c r="A188" s="1"/>
      <x:c r="B188" s="1"/>
      <x:c r="C188" s="64" t="str">
        <x:v>Cash capex / revenue input outside bounds</x:v>
      </x:c>
      <x:c r="D188" s="8"/>
      <x:c r="E188" s="75" t="n">
        <x:f>IF(COUNT(E24)=0,1,IF(E24&lt;0,1,0))</x:f>
        <x:v>0</x:v>
      </x:c>
      <x:c r="F188" s="75" t="n">
        <x:f>IF(COUNT(F24)=0,1,IF(F24&lt;0,1,0))</x:f>
        <x:v>0</x:v>
      </x:c>
      <x:c r="G188" s="75" t="n">
        <x:f>IF(COUNT(G24)=0,1,IF(G24&lt;0,1,0))</x:f>
        <x:v>0</x:v>
      </x:c>
      <x:c r="H188" s="75" t="n">
        <x:f>IF(COUNT(H24)=0,1,IF(H24&lt;0,1,0))</x:f>
        <x:v>0</x:v>
      </x:c>
      <x:c r="I188" s="75" t="n">
        <x:f>IF(COUNT(I24)=0,1,IF(I24&lt;0,1,0))</x:f>
        <x:v>0</x:v>
      </x:c>
      <x:c r="J188" s="1"/>
      <x:c r="K188" s="1"/>
    </x:row>
    <x:row r="189" ht="30" customHeight="1">
      <x:c r="A189" s="1"/>
      <x:c r="B189" s="1"/>
      <x:c r="C189" s="64" t="str">
        <x:v>D&amp;A / opening net PP&amp;E input outside bounds</x:v>
      </x:c>
      <x:c r="D189" s="8"/>
      <x:c r="E189" s="75" t="n">
        <x:f>IF(COUNT(E25)=0,1,IF(E25&lt;0,1,IF(E25&gt;1,1,0)))</x:f>
        <x:v>0</x:v>
      </x:c>
      <x:c r="F189" s="75" t="n">
        <x:f>IF(COUNT(F25)=0,1,IF(F25&lt;0,1,IF(F25&gt;1,1,0)))</x:f>
        <x:v>0</x:v>
      </x:c>
      <x:c r="G189" s="75" t="n">
        <x:f>IF(COUNT(G25)=0,1,IF(G25&lt;0,1,IF(G25&gt;1,1,0)))</x:f>
        <x:v>0</x:v>
      </x:c>
      <x:c r="H189" s="75" t="n">
        <x:f>IF(COUNT(H25)=0,1,IF(H25&lt;0,1,IF(H25&gt;1,1,0)))</x:f>
        <x:v>0</x:v>
      </x:c>
      <x:c r="I189" s="75" t="n">
        <x:f>IF(COUNT(I25)=0,1,IF(I25&lt;0,1,IF(I25&gt;1,1,0)))</x:f>
        <x:v>0</x:v>
      </x:c>
      <x:c r="J189" s="1"/>
      <x:c r="K189" s="1"/>
    </x:row>
    <x:row r="190" ht="30" customHeight="1">
      <x:c r="A190" s="1"/>
      <x:c r="B190" s="1"/>
      <x:c r="C190" s="64" t="str">
        <x:v>Receivable days input outside bounds</x:v>
      </x:c>
      <x:c r="D190" s="8"/>
      <x:c r="E190" s="75" t="n">
        <x:f>IF(COUNT(E26)=0,1,IF(E26&lt;0,1,0))</x:f>
        <x:v>0</x:v>
      </x:c>
      <x:c r="F190" s="75" t="n">
        <x:f>IF(COUNT(F26)=0,1,IF(F26&lt;0,1,0))</x:f>
        <x:v>0</x:v>
      </x:c>
      <x:c r="G190" s="75" t="n">
        <x:f>IF(COUNT(G26)=0,1,IF(G26&lt;0,1,0))</x:f>
        <x:v>0</x:v>
      </x:c>
      <x:c r="H190" s="75" t="n">
        <x:f>IF(COUNT(H26)=0,1,IF(H26&lt;0,1,0))</x:f>
        <x:v>0</x:v>
      </x:c>
      <x:c r="I190" s="75" t="n">
        <x:f>IF(COUNT(I26)=0,1,IF(I26&lt;0,1,0))</x:f>
        <x:v>0</x:v>
      </x:c>
      <x:c r="J190" s="1"/>
      <x:c r="K190" s="1"/>
    </x:row>
    <x:row r="191" ht="30" customHeight="1">
      <x:c r="A191" s="1"/>
      <x:c r="B191" s="1"/>
      <x:c r="C191" s="64" t="str">
        <x:v>Inventory days input outside bounds</x:v>
      </x:c>
      <x:c r="D191" s="8"/>
      <x:c r="E191" s="75" t="n">
        <x:f>IF(COUNT(E27)=0,1,IF(E27&lt;0,1,0))</x:f>
        <x:v>0</x:v>
      </x:c>
      <x:c r="F191" s="75" t="n">
        <x:f>IF(COUNT(F27)=0,1,IF(F27&lt;0,1,0))</x:f>
        <x:v>0</x:v>
      </x:c>
      <x:c r="G191" s="75" t="n">
        <x:f>IF(COUNT(G27)=0,1,IF(G27&lt;0,1,0))</x:f>
        <x:v>0</x:v>
      </x:c>
      <x:c r="H191" s="75" t="n">
        <x:f>IF(COUNT(H27)=0,1,IF(H27&lt;0,1,0))</x:f>
        <x:v>0</x:v>
      </x:c>
      <x:c r="I191" s="75" t="n">
        <x:f>IF(COUNT(I27)=0,1,IF(I27&lt;0,1,0))</x:f>
        <x:v>0</x:v>
      </x:c>
      <x:c r="J191" s="1"/>
      <x:c r="K191" s="1"/>
    </x:row>
    <x:row r="192" ht="30" customHeight="1">
      <x:c r="A192" s="1"/>
      <x:c r="B192" s="1"/>
      <x:c r="C192" s="64" t="str">
        <x:v>Payable days input outside bounds</x:v>
      </x:c>
      <x:c r="D192" s="8"/>
      <x:c r="E192" s="75" t="n">
        <x:f>IF(COUNT(E28)=0,1,IF(E28&lt;0,1,0))</x:f>
        <x:v>0</x:v>
      </x:c>
      <x:c r="F192" s="75" t="n">
        <x:f>IF(COUNT(F28)=0,1,IF(F28&lt;0,1,0))</x:f>
        <x:v>0</x:v>
      </x:c>
      <x:c r="G192" s="75" t="n">
        <x:f>IF(COUNT(G28)=0,1,IF(G28&lt;0,1,0))</x:f>
        <x:v>0</x:v>
      </x:c>
      <x:c r="H192" s="75" t="n">
        <x:f>IF(COUNT(H28)=0,1,IF(H28&lt;0,1,0))</x:f>
        <x:v>0</x:v>
      </x:c>
      <x:c r="I192" s="75" t="n">
        <x:f>IF(COUNT(I28)=0,1,IF(I28&lt;0,1,0))</x:f>
        <x:v>0</x:v>
      </x:c>
      <x:c r="J192" s="1"/>
      <x:c r="K192" s="1"/>
    </x:row>
    <x:row r="193" ht="30" customHeight="1">
      <x:c r="A193" s="1"/>
      <x:c r="B193" s="1"/>
      <x:c r="C193" s="64" t="str">
        <x:v>Effective cash tax rate input outside bounds</x:v>
      </x:c>
      <x:c r="D193" s="8"/>
      <x:c r="E193" s="75" t="n">
        <x:f>IF(COUNT(E29)=0,1,IF(E29&lt;0,1,IF(E29&gt;1,1,0)))</x:f>
        <x:v>0</x:v>
      </x:c>
      <x:c r="F193" s="75" t="n">
        <x:f>IF(COUNT(F29)=0,1,IF(F29&lt;0,1,IF(F29&gt;1,1,0)))</x:f>
        <x:v>0</x:v>
      </x:c>
      <x:c r="G193" s="75" t="n">
        <x:f>IF(COUNT(G29)=0,1,IF(G29&lt;0,1,IF(G29&gt;1,1,0)))</x:f>
        <x:v>0</x:v>
      </x:c>
      <x:c r="H193" s="75" t="n">
        <x:f>IF(COUNT(H29)=0,1,IF(H29&lt;0,1,IF(H29&gt;1,1,0)))</x:f>
        <x:v>0</x:v>
      </x:c>
      <x:c r="I193" s="75" t="n">
        <x:f>IF(COUNT(I29)=0,1,IF(I29&lt;0,1,IF(I29&gt;1,1,0)))</x:f>
        <x:v>0</x:v>
      </x:c>
      <x:c r="J193" s="1"/>
      <x:c r="K193" s="1"/>
    </x:row>
    <x:row r="194" ht="30" customHeight="1">
      <x:c r="A194" s="1"/>
      <x:c r="B194" s="1"/>
      <x:c r="C194" s="64" t="str">
        <x:v>Interest on opening debt input outside bounds</x:v>
      </x:c>
      <x:c r="D194" s="8"/>
      <x:c r="E194" s="75" t="n">
        <x:f>IF(COUNT(E30)=0,1,IF(E30&lt;0,1,0))</x:f>
        <x:v>0</x:v>
      </x:c>
      <x:c r="F194" s="75" t="n">
        <x:f>IF(COUNT(F30)=0,1,IF(F30&lt;0,1,0))</x:f>
        <x:v>0</x:v>
      </x:c>
      <x:c r="G194" s="75" t="n">
        <x:f>IF(COUNT(G30)=0,1,IF(G30&lt;0,1,0))</x:f>
        <x:v>0</x:v>
      </x:c>
      <x:c r="H194" s="75" t="n">
        <x:f>IF(COUNT(H30)=0,1,IF(H30&lt;0,1,0))</x:f>
        <x:v>0</x:v>
      </x:c>
      <x:c r="I194" s="75" t="n">
        <x:f>IF(COUNT(I30)=0,1,IF(I30&lt;0,1,0))</x:f>
        <x:v>0</x:v>
      </x:c>
      <x:c r="J194" s="1"/>
      <x:c r="K194" s="1"/>
    </x:row>
    <x:row r="195" ht="30" customHeight="1">
      <x:c r="A195" s="1"/>
      <x:c r="B195" s="1"/>
      <x:c r="C195" s="64" t="str">
        <x:v>New borrowing input outside bounds</x:v>
      </x:c>
      <x:c r="D195" s="8"/>
      <x:c r="E195" s="75" t="n">
        <x:f>IF(COUNT(E31)=0,1,IF(E31&lt;0,1,0))</x:f>
        <x:v>0</x:v>
      </x:c>
      <x:c r="F195" s="75" t="n">
        <x:f>IF(COUNT(F31)=0,1,IF(F31&lt;0,1,0))</x:f>
        <x:v>0</x:v>
      </x:c>
      <x:c r="G195" s="75" t="n">
        <x:f>IF(COUNT(G31)=0,1,IF(G31&lt;0,1,0))</x:f>
        <x:v>0</x:v>
      </x:c>
      <x:c r="H195" s="75" t="n">
        <x:f>IF(COUNT(H31)=0,1,IF(H31&lt;0,1,0))</x:f>
        <x:v>0</x:v>
      </x:c>
      <x:c r="I195" s="75" t="n">
        <x:f>IF(COUNT(I31)=0,1,IF(I31&lt;0,1,0))</x:f>
        <x:v>0</x:v>
      </x:c>
      <x:c r="J195" s="1"/>
      <x:c r="K195" s="1"/>
    </x:row>
    <x:row r="196" ht="30" customHeight="1">
      <x:c r="A196" s="1"/>
      <x:c r="B196" s="1"/>
      <x:c r="C196" s="64" t="str">
        <x:v>Scheduled principal repayment input outside bounds</x:v>
      </x:c>
      <x:c r="D196" s="8"/>
      <x:c r="E196" s="75" t="n">
        <x:f>IF(COUNT(E32)=0,1,IF(E32&lt;0,1,0))</x:f>
        <x:v>0</x:v>
      </x:c>
      <x:c r="F196" s="75" t="n">
        <x:f>IF(COUNT(F32)=0,1,IF(F32&lt;0,1,0))</x:f>
        <x:v>0</x:v>
      </x:c>
      <x:c r="G196" s="75" t="n">
        <x:f>IF(COUNT(G32)=0,1,IF(G32&lt;0,1,0))</x:f>
        <x:v>0</x:v>
      </x:c>
      <x:c r="H196" s="75" t="n">
        <x:f>IF(COUNT(H32)=0,1,IF(H32&lt;0,1,0))</x:f>
        <x:v>0</x:v>
      </x:c>
      <x:c r="I196" s="75" t="n">
        <x:f>IF(COUNT(I32)=0,1,IF(I32&lt;0,1,0))</x:f>
        <x:v>0</x:v>
      </x:c>
      <x:c r="J196" s="1"/>
      <x:c r="K196" s="1"/>
    </x:row>
    <x:row r="197" ht="30" customHeight="1">
      <x:c r="A197" s="1"/>
      <x:c r="B197" s="1"/>
      <x:c r="C197" s="64" t="str">
        <x:v>Dividend payout on positive PAT input outside bounds</x:v>
      </x:c>
      <x:c r="D197" s="8"/>
      <x:c r="E197" s="75" t="n">
        <x:f>IF(COUNT(E33)=0,1,IF(E33&lt;0,1,IF(E33&gt;1,1,0)))</x:f>
        <x:v>0</x:v>
      </x:c>
      <x:c r="F197" s="75" t="n">
        <x:f>IF(COUNT(F33)=0,1,IF(F33&lt;0,1,IF(F33&gt;1,1,0)))</x:f>
        <x:v>0</x:v>
      </x:c>
      <x:c r="G197" s="75" t="n">
        <x:f>IF(COUNT(G33)=0,1,IF(G33&lt;0,1,IF(G33&gt;1,1,0)))</x:f>
        <x:v>0</x:v>
      </x:c>
      <x:c r="H197" s="75" t="n">
        <x:f>IF(COUNT(H33)=0,1,IF(H33&lt;0,1,IF(H33&gt;1,1,0)))</x:f>
        <x:v>0</x:v>
      </x:c>
      <x:c r="I197" s="75" t="n">
        <x:f>IF(COUNT(I33)=0,1,IF(I33&lt;0,1,IF(I33&gt;1,1,0)))</x:f>
        <x:v>0</x:v>
      </x:c>
      <x:c r="J197" s="1"/>
      <x:c r="K197" s="1"/>
    </x:row>
    <x:row r="198" ht="30" customHeight="1">
      <x:c r="A198" s="1"/>
      <x:c r="B198" s="1"/>
      <x:c r="C198" s="64" t="str">
        <x:v>Opening net PP&amp;E input outside bounds</x:v>
      </x:c>
      <x:c r="D198" s="8"/>
      <x:c r="E198" s="75" t="n">
        <x:f>IF(COUNT(D35)=0,1,IF(D35&lt;0,1,0))</x:f>
        <x:v>0</x:v>
      </x:c>
      <x:c r="F198" s="75" t="n">
        <x:f>IF(COUNT(D35)=0,1,IF(D35&lt;0,1,0))</x:f>
        <x:v>0</x:v>
      </x:c>
      <x:c r="G198" s="75" t="n">
        <x:f>IF(COUNT(D35)=0,1,IF(D35&lt;0,1,0))</x:f>
        <x:v>0</x:v>
      </x:c>
      <x:c r="H198" s="75" t="n">
        <x:f>IF(COUNT(D35)=0,1,IF(D35&lt;0,1,0))</x:f>
        <x:v>0</x:v>
      </x:c>
      <x:c r="I198" s="75" t="n">
        <x:f>IF(COUNT(D35)=0,1,IF(D35&lt;0,1,0))</x:f>
        <x:v>0</x:v>
      </x:c>
      <x:c r="J198" s="1"/>
      <x:c r="K198" s="1"/>
    </x:row>
    <x:row r="199" ht="30" customHeight="1">
      <x:c r="A199" s="1"/>
      <x:c r="B199" s="1"/>
      <x:c r="C199" s="64" t="str">
        <x:v>Opening debt input outside bounds</x:v>
      </x:c>
      <x:c r="D199" s="8"/>
      <x:c r="E199" s="75" t="n">
        <x:f>IF(COUNT(D36)=0,1,IF(D36&lt;0,1,0))</x:f>
        <x:v>0</x:v>
      </x:c>
      <x:c r="F199" s="75" t="n">
        <x:f>IF(COUNT(D36)=0,1,IF(D36&lt;0,1,0))</x:f>
        <x:v>0</x:v>
      </x:c>
      <x:c r="G199" s="75" t="n">
        <x:f>IF(COUNT(D36)=0,1,IF(D36&lt;0,1,0))</x:f>
        <x:v>0</x:v>
      </x:c>
      <x:c r="H199" s="75" t="n">
        <x:f>IF(COUNT(D36)=0,1,IF(D36&lt;0,1,0))</x:f>
        <x:v>0</x:v>
      </x:c>
      <x:c r="I199" s="75" t="n">
        <x:f>IF(COUNT(D36)=0,1,IF(D36&lt;0,1,0))</x:f>
        <x:v>0</x:v>
      </x:c>
      <x:c r="J199" s="1"/>
      <x:c r="K199" s="1"/>
    </x:row>
    <x:row r="200" ht="30" customHeight="1">
      <x:c r="A200" s="1"/>
      <x:c r="B200" s="1"/>
      <x:c r="C200" s="64" t="str">
        <x:v>Opening cash input outside bounds</x:v>
      </x:c>
      <x:c r="D200" s="8"/>
      <x:c r="E200" s="75" t="n">
        <x:f>IF(COUNT(D37)=0,1,IF(D37&lt;0,1,0))</x:f>
        <x:v>0</x:v>
      </x:c>
      <x:c r="F200" s="75" t="n">
        <x:f>IF(COUNT(D37)=0,1,IF(D37&lt;0,1,0))</x:f>
        <x:v>0</x:v>
      </x:c>
      <x:c r="G200" s="75" t="n">
        <x:f>IF(COUNT(D37)=0,1,IF(D37&lt;0,1,0))</x:f>
        <x:v>0</x:v>
      </x:c>
      <x:c r="H200" s="75" t="n">
        <x:f>IF(COUNT(D37)=0,1,IF(D37&lt;0,1,0))</x:f>
        <x:v>0</x:v>
      </x:c>
      <x:c r="I200" s="75" t="n">
        <x:f>IF(COUNT(D37)=0,1,IF(D37&lt;0,1,0))</x:f>
        <x:v>0</x:v>
      </x:c>
      <x:c r="J200" s="1"/>
      <x:c r="K200" s="1"/>
    </x:row>
    <x:row r="201" ht="30" customHeight="1">
      <x:c r="A201" s="1"/>
      <x:c r="B201" s="1"/>
      <x:c r="C201" s="64" t="str">
        <x:v>Diluted shares (crore) input outside bounds</x:v>
      </x:c>
      <x:c r="D201" s="8"/>
      <x:c r="E201" s="75" t="n">
        <x:f>IF(COUNT(D39)=0,1,IF(D39&lt;0,1,0))</x:f>
        <x:v>0</x:v>
      </x:c>
      <x:c r="F201" s="75" t="n">
        <x:f>IF(COUNT(D39)=0,1,IF(D39&lt;0,1,0))</x:f>
        <x:v>0</x:v>
      </x:c>
      <x:c r="G201" s="75" t="n">
        <x:f>IF(COUNT(D39)=0,1,IF(D39&lt;0,1,0))</x:f>
        <x:v>0</x:v>
      </x:c>
      <x:c r="H201" s="75" t="n">
        <x:f>IF(COUNT(D39)=0,1,IF(D39&lt;0,1,0))</x:f>
        <x:v>0</x:v>
      </x:c>
      <x:c r="I201" s="75" t="n">
        <x:f>IF(COUNT(D39)=0,1,IF(D39&lt;0,1,0))</x:f>
        <x:v>0</x:v>
      </x:c>
      <x:c r="J201" s="1"/>
      <x:c r="K201" s="1"/>
    </x:row>
    <x:row r="202" ht="30" customHeight="1">
      <x:c r="A202" s="1"/>
      <x:c r="B202" s="1"/>
      <x:c r="C202" s="64" t="str">
        <x:v>WACC input outside bounds</x:v>
      </x:c>
      <x:c r="D202" s="8"/>
      <x:c r="E202" s="75" t="n">
        <x:f>IF(COUNT(D40)=0,1,IF(D40&lt;0,1,0))</x:f>
        <x:v>0</x:v>
      </x:c>
      <x:c r="F202" s="75" t="n">
        <x:f>IF(COUNT(D40)=0,1,IF(D40&lt;0,1,0))</x:f>
        <x:v>0</x:v>
      </x:c>
      <x:c r="G202" s="75" t="n">
        <x:f>IF(COUNT(D40)=0,1,IF(D40&lt;0,1,0))</x:f>
        <x:v>0</x:v>
      </x:c>
      <x:c r="H202" s="75" t="n">
        <x:f>IF(COUNT(D40)=0,1,IF(D40&lt;0,1,0))</x:f>
        <x:v>0</x:v>
      </x:c>
      <x:c r="I202" s="75" t="n">
        <x:f>IF(COUNT(D40)=0,1,IF(D40&lt;0,1,0))</x:f>
        <x:v>0</x:v>
      </x:c>
      <x:c r="J202" s="1"/>
      <x:c r="K202" s="1"/>
    </x:row>
    <x:row r="203" ht="30" customHeight="1">
      <x:c r="A203" s="1"/>
      <x:c r="B203" s="1"/>
      <x:c r="C203" s="64" t="str">
        <x:v>Terminal growth input outside bounds</x:v>
      </x:c>
      <x:c r="D203" s="8"/>
      <x:c r="E203" s="75" t="n">
        <x:f>IF(COUNT(D41)=0,1,IF(D41&lt;-1,1,0))</x:f>
        <x:v>0</x:v>
      </x:c>
      <x:c r="F203" s="75" t="n">
        <x:f>IF(COUNT(D41)=0,1,IF(D41&lt;-1,1,0))</x:f>
        <x:v>0</x:v>
      </x:c>
      <x:c r="G203" s="75" t="n">
        <x:f>IF(COUNT(D41)=0,1,IF(D41&lt;-1,1,0))</x:f>
        <x:v>0</x:v>
      </x:c>
      <x:c r="H203" s="75" t="n">
        <x:f>IF(COUNT(D41)=0,1,IF(D41&lt;-1,1,0))</x:f>
        <x:v>0</x:v>
      </x:c>
      <x:c r="I203" s="75" t="n">
        <x:f>IF(COUNT(D41)=0,1,IF(D41&lt;-1,1,0))</x:f>
        <x:v>0</x:v>
      </x:c>
      <x:c r="J203" s="1"/>
      <x:c r="K203" s="1"/>
    </x:row>
    <x:row r="204" ht="30" customHeight="1">
      <x:c r="A204" s="1"/>
      <x:c r="B204" s="1"/>
      <x:c r="C204" s="64" t="str">
        <x:v>Terminal incremental ROIC input outside bounds</x:v>
      </x:c>
      <x:c r="D204" s="8"/>
      <x:c r="E204" s="75" t="n">
        <x:f>IF(COUNT(D42)=0,1,IF(D42&lt;0,1,0))</x:f>
        <x:v>0</x:v>
      </x:c>
      <x:c r="F204" s="75" t="n">
        <x:f>IF(COUNT(D42)=0,1,IF(D42&lt;0,1,0))</x:f>
        <x:v>0</x:v>
      </x:c>
      <x:c r="G204" s="75" t="n">
        <x:f>IF(COUNT(D42)=0,1,IF(D42&lt;0,1,0))</x:f>
        <x:v>0</x:v>
      </x:c>
      <x:c r="H204" s="75" t="n">
        <x:f>IF(COUNT(D42)=0,1,IF(D42&lt;0,1,0))</x:f>
        <x:v>0</x:v>
      </x:c>
      <x:c r="I204" s="75" t="n">
        <x:f>IF(COUNT(D42)=0,1,IF(D42&lt;0,1,0))</x:f>
        <x:v>0</x:v>
      </x:c>
      <x:c r="J204" s="1"/>
      <x:c r="K204" s="1"/>
    </x:row>
    <x:row r="205" ht="30" customHeight="1">
      <x:c r="A205" s="1"/>
      <x:c r="B205" s="1"/>
      <x:c r="C205" s="64" t="str">
        <x:v>Forward EV / EBITDA input outside bounds</x:v>
      </x:c>
      <x:c r="D205" s="8"/>
      <x:c r="E205" s="75" t="n">
        <x:f>IF(COUNT(D43)=0,1,IF(D43&lt;0,1,0))</x:f>
        <x:v>0</x:v>
      </x:c>
      <x:c r="F205" s="75" t="n">
        <x:f>IF(COUNT(D43)=0,1,IF(D43&lt;0,1,0))</x:f>
        <x:v>0</x:v>
      </x:c>
      <x:c r="G205" s="75" t="n">
        <x:f>IF(COUNT(D43)=0,1,IF(D43&lt;0,1,0))</x:f>
        <x:v>0</x:v>
      </x:c>
      <x:c r="H205" s="75" t="n">
        <x:f>IF(COUNT(D43)=0,1,IF(D43&lt;0,1,0))</x:f>
        <x:v>0</x:v>
      </x:c>
      <x:c r="I205" s="75" t="n">
        <x:f>IF(COUNT(D43)=0,1,IF(D43&lt;0,1,0))</x:f>
        <x:v>0</x:v>
      </x:c>
      <x:c r="J205" s="1"/>
      <x:c r="K205" s="1"/>
    </x:row>
    <x:row r="206" ht="30" customHeight="1">
      <x:c r="A206" s="1"/>
      <x:c r="B206" s="1"/>
      <x:c r="C206" s="64" t="str">
        <x:v>Terminal valuation assumptions invalid</x:v>
      </x:c>
      <x:c r="D206" s="8"/>
      <x:c r="E206" s="75" t="n">
        <x:f>IF(D40&lt;=D41,1,IF(D42&lt;=0,1,IF(D41&gt;D42,1,0)))</x:f>
        <x:v>0</x:v>
      </x:c>
      <x:c r="F206" s="75" t="n">
        <x:f>IF(D40&lt;=D41,1,IF(D42&lt;=0,1,IF(D41&gt;D42,1,0)))</x:f>
        <x:v>0</x:v>
      </x:c>
      <x:c r="G206" s="75" t="n">
        <x:f>IF(D40&lt;=D41,1,IF(D42&lt;=0,1,IF(D41&gt;D42,1,0)))</x:f>
        <x:v>0</x:v>
      </x:c>
      <x:c r="H206" s="75" t="n">
        <x:f>IF(D40&lt;=D41,1,IF(D42&lt;=0,1,IF(D41&gt;D42,1,0)))</x:f>
        <x:v>0</x:v>
      </x:c>
      <x:c r="I206" s="75" t="n">
        <x:f>IF(D40&lt;=D41,1,IF(D42&lt;=0,1,IF(D41&gt;D42,1,0)))</x:f>
        <x:v>0</x:v>
      </x:c>
      <x:c r="J206" s="1"/>
      <x:c r="K206" s="1"/>
    </x:row>
    <x:row r="207" ht="30" customHeight="1">
      <x:c r="A207" s="1"/>
      <x:c r="B207" s="1"/>
      <x:c r="C207" s="64"/>
      <x:c r="D207" s="8"/>
      <x:c r="E207" s="8"/>
      <x:c r="F207" s="8"/>
      <x:c r="G207" s="8"/>
      <x:c r="H207" s="8"/>
      <x:c r="I207" s="8"/>
      <x:c r="J207" s="1"/>
      <x:c r="K207" s="1"/>
    </x:row>
    <x:row r="208" ht="30" customHeight="1">
      <x:c r="A208" s="1"/>
      <x:c r="B208" s="1"/>
      <x:c r="C208" s="64"/>
      <x:c r="D208" s="8"/>
      <x:c r="E208" s="8"/>
      <x:c r="F208" s="8"/>
      <x:c r="G208" s="8"/>
      <x:c r="H208" s="8"/>
      <x:c r="I208" s="8"/>
      <x:c r="J208" s="1"/>
      <x:c r="K208" s="1"/>
    </x:row>
    <x:row r="209" ht="30" customHeight="1">
      <x:c r="A209" s="1"/>
      <x:c r="B209" s="1"/>
      <x:c r="C209" s="64"/>
      <x:c r="D209" s="8"/>
      <x:c r="E209" s="8"/>
      <x:c r="F209" s="8"/>
      <x:c r="G209" s="8"/>
      <x:c r="H209" s="8"/>
      <x:c r="I209" s="8"/>
      <x:c r="J209" s="1"/>
      <x:c r="K209" s="1"/>
    </x:row>
    <x:row r="210" ht="30" customHeight="1">
      <x:c r="A210" s="1"/>
      <x:c r="B210" s="1"/>
      <x:c r="C210" s="64"/>
      <x:c r="D210" s="8"/>
      <x:c r="E210" s="8"/>
      <x:c r="F210" s="8"/>
      <x:c r="G210" s="8"/>
      <x:c r="H210" s="8"/>
      <x:c r="I210" s="8"/>
      <x:c r="J210" s="1"/>
      <x:c r="K210" s="1"/>
    </x:row>
    <x:row r="211" ht="30" customHeight="1">
      <x:c r="C211" s="64"/>
      <x:c r="D211" s="63"/>
      <x:c r="E211" s="63"/>
      <x:c r="F211" s="63"/>
      <x:c r="G211" s="63"/>
      <x:c r="H211" s="63"/>
      <x:c r="I211" s="63"/>
    </x:row>
    <x:row r="212" ht="30" customHeight="1">
      <x:c r="C212" s="64"/>
      <x:c r="D212" s="63"/>
      <x:c r="E212" s="63"/>
      <x:c r="F212" s="63"/>
      <x:c r="G212" s="63"/>
      <x:c r="H212" s="63"/>
      <x:c r="I212" s="63"/>
    </x:row>
    <x:row r="213" ht="30" customHeight="1">
      <x:c r="C213" s="64"/>
      <x:c r="D213" s="63"/>
      <x:c r="E213" s="63"/>
      <x:c r="F213" s="63"/>
      <x:c r="G213" s="63"/>
      <x:c r="H213" s="63"/>
      <x:c r="I213" s="63"/>
    </x:row>
    <x:row r="214" ht="30" customHeight="1">
      <x:c r="C214" s="64"/>
      <x:c r="D214" s="63"/>
      <x:c r="E214" s="63"/>
      <x:c r="F214" s="63"/>
      <x:c r="G214" s="63"/>
      <x:c r="H214" s="63"/>
      <x:c r="I214" s="63"/>
    </x:row>
    <x:row r="215" ht="30" customHeight="1">
      <x:c r="C215" s="64"/>
      <x:c r="D215" s="63"/>
      <x:c r="E215" s="63"/>
      <x:c r="F215" s="63"/>
      <x:c r="G215" s="63"/>
      <x:c r="H215" s="63"/>
      <x:c r="I215" s="63"/>
    </x:row>
    <x:row r="216" ht="30" customHeight="1">
      <x:c r="C216" s="64"/>
      <x:c r="D216" s="63"/>
      <x:c r="E216" s="63"/>
      <x:c r="F216" s="63"/>
      <x:c r="G216" s="63"/>
      <x:c r="H216" s="63"/>
      <x:c r="I216" s="63"/>
    </x:row>
    <x:row r="217" ht="30" customHeight="1">
      <x:c r="C217" s="64"/>
      <x:c r="D217" s="63"/>
      <x:c r="E217" s="63"/>
      <x:c r="F217" s="63"/>
      <x:c r="G217" s="63"/>
      <x:c r="H217" s="63"/>
      <x:c r="I217" s="63"/>
    </x:row>
    <x:row r="218" ht="30" customHeight="1">
      <x:c r="C218" s="64"/>
      <x:c r="D218" s="63"/>
      <x:c r="E218" s="63"/>
      <x:c r="F218" s="63"/>
      <x:c r="G218" s="63"/>
      <x:c r="H218" s="63"/>
      <x:c r="I218" s="63"/>
    </x:row>
    <x:row r="219" ht="30" customHeight="1">
      <x:c r="C219" s="64"/>
      <x:c r="D219" s="63"/>
      <x:c r="E219" s="63"/>
      <x:c r="F219" s="63"/>
      <x:c r="G219" s="63"/>
      <x:c r="H219" s="63"/>
      <x:c r="I219" s="63"/>
    </x:row>
    <x:row r="220" ht="30" customHeight="1">
      <x:c r="C220" s="64"/>
      <x:c r="D220" s="63"/>
      <x:c r="E220" s="63"/>
      <x:c r="F220" s="63"/>
      <x:c r="G220" s="63"/>
      <x:c r="H220" s="63"/>
      <x:c r="I220" s="63"/>
    </x:row>
    <x:row r="221" ht="30" customHeight="1">
      <x:c r="C221" s="64"/>
      <x:c r="D221" s="63"/>
      <x:c r="E221" s="63"/>
      <x:c r="F221" s="63"/>
      <x:c r="G221" s="63"/>
      <x:c r="H221" s="63"/>
      <x:c r="I221" s="63"/>
    </x:row>
    <x:row r="222" ht="30" customHeight="1">
      <x:c r="C222" s="64"/>
      <x:c r="D222" s="63"/>
      <x:c r="E222" s="63"/>
      <x:c r="F222" s="63"/>
      <x:c r="G222" s="63"/>
      <x:c r="H222" s="63"/>
      <x:c r="I222" s="63"/>
    </x:row>
    <x:row r="223" ht="30" customHeight="1">
      <x:c r="C223" s="64"/>
      <x:c r="D223" s="63"/>
      <x:c r="E223" s="63"/>
      <x:c r="F223" s="63"/>
      <x:c r="G223" s="63"/>
      <x:c r="H223" s="63"/>
      <x:c r="I223" s="63"/>
    </x:row>
    <x:row r="224" ht="30" customHeight="1">
      <x:c r="C224" s="64"/>
      <x:c r="D224" s="63"/>
      <x:c r="E224" s="63"/>
      <x:c r="F224" s="63"/>
      <x:c r="G224" s="63"/>
      <x:c r="H224" s="63"/>
      <x:c r="I224" s="63"/>
    </x:row>
    <x:row r="225" ht="30" customHeight="1">
      <x:c r="C225" s="64"/>
      <x:c r="D225" s="63"/>
      <x:c r="E225" s="63"/>
      <x:c r="F225" s="63"/>
      <x:c r="G225" s="63"/>
      <x:c r="H225" s="63"/>
      <x:c r="I225" s="63"/>
    </x:row>
    <x:row r="226" ht="30" customHeight="1">
      <x:c r="C226" s="64"/>
      <x:c r="D226" s="63"/>
      <x:c r="E226" s="63"/>
      <x:c r="F226" s="63"/>
      <x:c r="G226" s="63"/>
      <x:c r="H226" s="63"/>
      <x:c r="I226" s="63"/>
    </x:row>
    <x:row r="227" ht="30" customHeight="1">
      <x:c r="C227" s="64"/>
      <x:c r="D227" s="63"/>
      <x:c r="E227" s="63"/>
      <x:c r="F227" s="63"/>
      <x:c r="G227" s="63"/>
      <x:c r="H227" s="63"/>
      <x:c r="I227" s="63"/>
    </x:row>
    <x:row r="228" ht="30" customHeight="1">
      <x:c r="C228" s="64"/>
      <x:c r="D228" s="63"/>
      <x:c r="E228" s="63"/>
      <x:c r="F228" s="63"/>
      <x:c r="G228" s="63"/>
      <x:c r="H228" s="63"/>
      <x:c r="I228" s="63"/>
    </x:row>
    <x:row r="229" ht="30" customHeight="1">
      <x:c r="C229" s="64"/>
      <x:c r="D229" s="63"/>
      <x:c r="E229" s="63"/>
      <x:c r="F229" s="63"/>
      <x:c r="G229" s="63"/>
      <x:c r="H229" s="63"/>
      <x:c r="I229" s="63"/>
    </x:row>
    <x:row r="230" ht="30" customHeight="1">
      <x:c r="C230" s="64"/>
      <x:c r="D230" s="63"/>
      <x:c r="E230" s="63"/>
      <x:c r="F230" s="63"/>
      <x:c r="G230" s="63"/>
      <x:c r="H230" s="63"/>
      <x:c r="I230" s="63"/>
    </x:row>
    <x:row r="231" ht="30" customHeight="1">
      <x:c r="C231" s="64"/>
      <x:c r="D231" s="63"/>
      <x:c r="E231" s="63"/>
      <x:c r="F231" s="63"/>
      <x:c r="G231" s="63"/>
      <x:c r="H231" s="63"/>
      <x:c r="I231" s="63"/>
    </x:row>
    <x:row r="232" ht="30" customHeight="1">
      <x:c r="C232" s="64"/>
      <x:c r="D232" s="63"/>
      <x:c r="E232" s="63"/>
      <x:c r="F232" s="63"/>
      <x:c r="G232" s="63"/>
      <x:c r="H232" s="63"/>
      <x:c r="I232" s="63"/>
    </x:row>
    <x:row r="233" ht="30" customHeight="1">
      <x:c r="C233" s="64"/>
      <x:c r="D233" s="63"/>
      <x:c r="E233" s="63"/>
      <x:c r="F233" s="63"/>
      <x:c r="G233" s="63"/>
      <x:c r="H233" s="63"/>
      <x:c r="I233" s="63"/>
    </x:row>
    <x:row r="234" ht="30" customHeight="1">
      <x:c r="C234" s="64"/>
      <x:c r="D234" s="63"/>
      <x:c r="E234" s="63"/>
      <x:c r="F234" s="63"/>
      <x:c r="G234" s="63"/>
      <x:c r="H234" s="63"/>
      <x:c r="I234" s="63"/>
    </x:row>
    <x:row r="235" ht="30" customHeight="1">
      <x:c r="C235" s="64"/>
      <x:c r="D235" s="63"/>
      <x:c r="E235" s="63"/>
      <x:c r="F235" s="63"/>
      <x:c r="G235" s="63"/>
      <x:c r="H235" s="63"/>
      <x:c r="I235" s="63"/>
    </x:row>
    <x:row r="236" ht="30" customHeight="1">
      <x:c r="C236" s="64"/>
      <x:c r="D236" s="63"/>
      <x:c r="E236" s="63"/>
      <x:c r="F236" s="63"/>
      <x:c r="G236" s="63"/>
      <x:c r="H236" s="63"/>
      <x:c r="I236" s="63"/>
    </x:row>
    <x:row r="237" ht="30" customHeight="1">
      <x:c r="C237" s="64"/>
      <x:c r="D237" s="63"/>
      <x:c r="E237" s="63"/>
      <x:c r="F237" s="63"/>
      <x:c r="G237" s="63"/>
      <x:c r="H237" s="63"/>
      <x:c r="I237" s="63"/>
    </x:row>
    <x:row r="238" ht="30" customHeight="1">
      <x:c r="C238" s="64"/>
      <x:c r="D238" s="63"/>
      <x:c r="E238" s="63"/>
      <x:c r="F238" s="63"/>
      <x:c r="G238" s="63"/>
      <x:c r="H238" s="63"/>
      <x:c r="I238" s="63"/>
    </x:row>
    <x:row r="239" ht="30" customHeight="1">
      <x:c r="C239" s="64"/>
      <x:c r="D239" s="63"/>
      <x:c r="E239" s="63"/>
      <x:c r="F239" s="63"/>
      <x:c r="G239" s="63"/>
      <x:c r="H239" s="63"/>
      <x:c r="I239" s="63"/>
    </x:row>
    <x:row r="240" ht="30" customHeight="1">
      <x:c r="C240" s="64"/>
      <x:c r="D240" s="63"/>
      <x:c r="E240" s="63"/>
      <x:c r="F240" s="63"/>
      <x:c r="G240" s="63"/>
      <x:c r="H240" s="63"/>
      <x:c r="I240" s="63"/>
    </x:row>
    <x:row r="241" ht="30" customHeight="1">
      <x:c r="C241" s="64"/>
      <x:c r="D241" s="63"/>
      <x:c r="E241" s="63"/>
      <x:c r="F241" s="63"/>
      <x:c r="G241" s="63"/>
      <x:c r="H241" s="63"/>
      <x:c r="I241" s="63"/>
    </x:row>
    <x:row r="242" ht="30" customHeight="1">
      <x:c r="C242" s="64"/>
      <x:c r="D242" s="63"/>
      <x:c r="E242" s="63"/>
      <x:c r="F242" s="63"/>
      <x:c r="G242" s="63"/>
      <x:c r="H242" s="63"/>
      <x:c r="I242" s="63"/>
    </x:row>
    <x:row r="243" ht="30" customHeight="1">
      <x:c r="C243" s="64"/>
      <x:c r="D243" s="63"/>
      <x:c r="E243" s="63"/>
      <x:c r="F243" s="63"/>
      <x:c r="G243" s="63"/>
      <x:c r="H243" s="63"/>
      <x:c r="I243" s="63"/>
    </x:row>
    <x:row r="244" ht="30" customHeight="1">
      <x:c r="C244" s="64"/>
      <x:c r="D244" s="63"/>
      <x:c r="E244" s="63"/>
      <x:c r="F244" s="63"/>
      <x:c r="G244" s="63"/>
      <x:c r="H244" s="63"/>
      <x:c r="I244" s="63"/>
    </x:row>
    <x:row r="245" ht="30" customHeight="1">
      <x:c r="C245" s="64"/>
      <x:c r="D245" s="63"/>
      <x:c r="E245" s="63"/>
      <x:c r="F245" s="63"/>
      <x:c r="G245" s="63"/>
      <x:c r="H245" s="63"/>
      <x:c r="I245" s="63"/>
    </x:row>
    <x:row r="246" ht="30" customHeight="1">
      <x:c r="C246" s="64"/>
      <x:c r="D246" s="63"/>
      <x:c r="E246" s="63"/>
      <x:c r="F246" s="63"/>
      <x:c r="G246" s="63"/>
      <x:c r="H246" s="63"/>
      <x:c r="I246" s="63"/>
    </x:row>
    <x:row r="247" ht="30" customHeight="1">
      <x:c r="C247" s="64"/>
      <x:c r="D247" s="63"/>
      <x:c r="E247" s="63"/>
      <x:c r="F247" s="63"/>
      <x:c r="G247" s="63"/>
      <x:c r="H247" s="63"/>
      <x:c r="I247" s="63"/>
    </x:row>
    <x:row r="248" ht="30" customHeight="1">
      <x:c r="C248" s="64"/>
      <x:c r="D248" s="63"/>
      <x:c r="E248" s="63"/>
      <x:c r="F248" s="63"/>
      <x:c r="G248" s="63"/>
      <x:c r="H248" s="63"/>
      <x:c r="I248" s="63"/>
    </x:row>
    <x:row r="249" ht="30" customHeight="1">
      <x:c r="C249" s="64"/>
      <x:c r="D249" s="63"/>
      <x:c r="E249" s="63"/>
      <x:c r="F249" s="63"/>
      <x:c r="G249" s="63"/>
      <x:c r="H249" s="63"/>
      <x:c r="I249" s="63"/>
    </x:row>
    <x:row r="250" ht="30" customHeight="1">
      <x:c r="C250" s="64"/>
      <x:c r="D250" s="63"/>
      <x:c r="E250" s="63"/>
      <x:c r="F250" s="63"/>
      <x:c r="G250" s="63"/>
      <x:c r="H250" s="63"/>
      <x:c r="I250" s="63"/>
    </x:row>
    <x:row r="251" ht="30" customHeight="1">
      <x:c r="C251" s="64"/>
      <x:c r="D251" s="63"/>
      <x:c r="E251" s="63"/>
      <x:c r="F251" s="63"/>
      <x:c r="G251" s="63"/>
      <x:c r="H251" s="63"/>
      <x:c r="I251" s="63"/>
    </x:row>
    <x:row r="252" ht="30" customHeight="1">
      <x:c r="C252" s="64"/>
      <x:c r="D252" s="63"/>
      <x:c r="E252" s="63"/>
      <x:c r="F252" s="63"/>
      <x:c r="G252" s="63"/>
      <x:c r="H252" s="63"/>
      <x:c r="I252" s="63"/>
    </x:row>
    <x:row r="253" ht="30" customHeight="1">
      <x:c r="C253" s="64"/>
      <x:c r="D253" s="63"/>
      <x:c r="E253" s="63"/>
      <x:c r="F253" s="63"/>
      <x:c r="G253" s="63"/>
      <x:c r="H253" s="63"/>
      <x:c r="I253" s="63"/>
    </x:row>
    <x:row r="254" ht="30" customHeight="1">
      <x:c r="C254" s="64"/>
      <x:c r="D254" s="63"/>
      <x:c r="E254" s="63"/>
      <x:c r="F254" s="63"/>
      <x:c r="G254" s="63"/>
      <x:c r="H254" s="63"/>
      <x:c r="I254" s="63"/>
    </x:row>
    <x:row r="255" ht="30" customHeight="1">
      <x:c r="C255" s="64"/>
      <x:c r="D255" s="63"/>
      <x:c r="E255" s="63"/>
      <x:c r="F255" s="63"/>
      <x:c r="G255" s="63"/>
      <x:c r="H255" s="63"/>
      <x:c r="I255" s="63"/>
    </x:row>
    <x:row r="256" ht="30" customHeight="1">
      <x:c r="C256" s="64"/>
      <x:c r="D256" s="63"/>
      <x:c r="E256" s="63"/>
      <x:c r="F256" s="63"/>
      <x:c r="G256" s="63"/>
      <x:c r="H256" s="63"/>
      <x:c r="I256" s="63"/>
    </x:row>
    <x:row r="257" ht="30" customHeight="1">
      <x:c r="C257" s="64"/>
      <x:c r="D257" s="63"/>
      <x:c r="E257" s="63"/>
      <x:c r="F257" s="63"/>
      <x:c r="G257" s="63"/>
      <x:c r="H257" s="63"/>
      <x:c r="I257" s="63"/>
    </x:row>
    <x:row r="258" ht="30" customHeight="1">
      <x:c r="C258" s="64"/>
      <x:c r="D258" s="63"/>
      <x:c r="E258" s="63"/>
      <x:c r="F258" s="63"/>
      <x:c r="G258" s="63"/>
      <x:c r="H258" s="63"/>
      <x:c r="I258" s="63"/>
    </x:row>
    <x:row r="259" ht="30" customHeight="1">
      <x:c r="C259" s="64"/>
      <x:c r="D259" s="63"/>
      <x:c r="E259" s="63"/>
      <x:c r="F259" s="63"/>
      <x:c r="G259" s="63"/>
      <x:c r="H259" s="63"/>
      <x:c r="I259" s="63"/>
    </x:row>
    <x:row r="260" ht="30" customHeight="1">
      <x:c r="C260" s="64"/>
      <x:c r="D260" s="63"/>
      <x:c r="E260" s="63"/>
      <x:c r="F260" s="63"/>
      <x:c r="G260" s="63"/>
      <x:c r="H260" s="63"/>
      <x:c r="I260" s="63"/>
    </x:row>
    <x:row r="261" ht="30" customHeight="1">
      <x:c r="C261" s="64"/>
      <x:c r="D261" s="63"/>
      <x:c r="E261" s="63"/>
      <x:c r="F261" s="63"/>
      <x:c r="G261" s="63"/>
      <x:c r="H261" s="63"/>
      <x:c r="I261" s="63"/>
    </x:row>
    <x:row r="262" ht="30" customHeight="1">
      <x:c r="C262" s="64"/>
      <x:c r="D262" s="63"/>
      <x:c r="E262" s="63"/>
      <x:c r="F262" s="63"/>
      <x:c r="G262" s="63"/>
      <x:c r="H262" s="63"/>
      <x:c r="I262" s="63"/>
    </x:row>
    <x:row r="263" ht="30" customHeight="1">
      <x:c r="C263" s="64"/>
      <x:c r="D263" s="63"/>
      <x:c r="E263" s="63"/>
      <x:c r="F263" s="63"/>
      <x:c r="G263" s="63"/>
      <x:c r="H263" s="63"/>
      <x:c r="I263" s="63"/>
    </x:row>
    <x:row r="264" ht="30" customHeight="1">
      <x:c r="C264" s="64"/>
      <x:c r="D264" s="63"/>
      <x:c r="E264" s="63"/>
      <x:c r="F264" s="63"/>
      <x:c r="G264" s="63"/>
      <x:c r="H264" s="63"/>
      <x:c r="I264" s="63"/>
    </x:row>
    <x:row r="265" ht="30" customHeight="1">
      <x:c r="C265" s="64"/>
      <x:c r="D265" s="63"/>
      <x:c r="E265" s="63"/>
      <x:c r="F265" s="63"/>
      <x:c r="G265" s="63"/>
      <x:c r="H265" s="63"/>
      <x:c r="I265" s="63"/>
    </x:row>
    <x:row r="266" ht="30" customHeight="1">
      <x:c r="C266" s="64"/>
      <x:c r="D266" s="63"/>
      <x:c r="E266" s="63"/>
      <x:c r="F266" s="63"/>
      <x:c r="G266" s="63"/>
      <x:c r="H266" s="63"/>
      <x:c r="I266" s="63"/>
    </x:row>
    <x:row r="267" ht="30" customHeight="1">
      <x:c r="C267" s="64"/>
      <x:c r="D267" s="63"/>
      <x:c r="E267" s="63"/>
      <x:c r="F267" s="63"/>
      <x:c r="G267" s="63"/>
      <x:c r="H267" s="63"/>
      <x:c r="I267" s="63"/>
    </x:row>
    <x:row r="268" ht="30" customHeight="1">
      <x:c r="C268" s="64"/>
      <x:c r="D268" s="63"/>
      <x:c r="E268" s="63"/>
      <x:c r="F268" s="63"/>
      <x:c r="G268" s="63"/>
      <x:c r="H268" s="63"/>
      <x:c r="I268" s="63"/>
    </x:row>
    <x:row r="269" ht="30" customHeight="1">
      <x:c r="C269" s="64"/>
      <x:c r="D269" s="63"/>
      <x:c r="E269" s="63"/>
      <x:c r="F269" s="63"/>
      <x:c r="G269" s="63"/>
      <x:c r="H269" s="63"/>
      <x:c r="I269" s="63"/>
    </x:row>
    <x:row r="270" ht="30" customHeight="1">
      <x:c r="C270" s="64"/>
      <x:c r="D270" s="63"/>
      <x:c r="E270" s="63"/>
      <x:c r="F270" s="63"/>
      <x:c r="G270" s="63"/>
      <x:c r="H270" s="63"/>
      <x:c r="I270" s="63"/>
    </x:row>
    <x:row r="271" ht="30" customHeight="1">
      <x:c r="C271" s="64"/>
      <x:c r="D271" s="63"/>
      <x:c r="E271" s="63"/>
      <x:c r="F271" s="63"/>
      <x:c r="G271" s="63"/>
      <x:c r="H271" s="63"/>
      <x:c r="I271" s="63"/>
    </x:row>
    <x:row r="272" ht="30" customHeight="1">
      <x:c r="C272" s="64"/>
      <x:c r="D272" s="63"/>
      <x:c r="E272" s="63"/>
      <x:c r="F272" s="63"/>
      <x:c r="G272" s="63"/>
      <x:c r="H272" s="63"/>
      <x:c r="I272" s="63"/>
    </x:row>
    <x:row r="273" ht="30" customHeight="1">
      <x:c r="C273" s="64"/>
      <x:c r="D273" s="63"/>
      <x:c r="E273" s="63"/>
      <x:c r="F273" s="63"/>
      <x:c r="G273" s="63"/>
      <x:c r="H273" s="63"/>
      <x:c r="I273" s="63"/>
    </x:row>
    <x:row r="274" ht="30" customHeight="1">
      <x:c r="C274" s="64"/>
      <x:c r="D274" s="63"/>
      <x:c r="E274" s="63"/>
      <x:c r="F274" s="63"/>
      <x:c r="G274" s="63"/>
      <x:c r="H274" s="63"/>
      <x:c r="I274" s="63"/>
    </x:row>
    <x:row r="275" ht="30" customHeight="1">
      <x:c r="C275" s="64"/>
      <x:c r="D275" s="63"/>
      <x:c r="E275" s="63"/>
      <x:c r="F275" s="63"/>
      <x:c r="G275" s="63"/>
      <x:c r="H275" s="63"/>
      <x:c r="I275" s="63"/>
    </x:row>
    <x:row r="276" ht="30" customHeight="1">
      <x:c r="C276" s="64"/>
      <x:c r="D276" s="63"/>
      <x:c r="E276" s="63"/>
      <x:c r="F276" s="63"/>
      <x:c r="G276" s="63"/>
      <x:c r="H276" s="63"/>
      <x:c r="I276" s="63"/>
    </x:row>
    <x:row r="277" ht="30" customHeight="1">
      <x:c r="C277" s="64"/>
      <x:c r="D277" s="63"/>
      <x:c r="E277" s="63"/>
      <x:c r="F277" s="63"/>
      <x:c r="G277" s="63"/>
      <x:c r="H277" s="63"/>
      <x:c r="I277" s="63"/>
    </x:row>
    <x:row r="278" ht="30" customHeight="1">
      <x:c r="C278" s="64"/>
      <x:c r="D278" s="63"/>
      <x:c r="E278" s="63"/>
      <x:c r="F278" s="63"/>
      <x:c r="G278" s="63"/>
      <x:c r="H278" s="63"/>
      <x:c r="I278" s="63"/>
    </x:row>
    <x:row r="279" ht="30" customHeight="1">
      <x:c r="C279" s="64"/>
      <x:c r="D279" s="63"/>
      <x:c r="E279" s="63"/>
      <x:c r="F279" s="63"/>
      <x:c r="G279" s="63"/>
      <x:c r="H279" s="63"/>
      <x:c r="I279" s="63"/>
    </x:row>
    <x:row r="280" ht="30" customHeight="1">
      <x:c r="C280" s="64"/>
      <x:c r="D280" s="63"/>
      <x:c r="E280" s="63"/>
      <x:c r="F280" s="63"/>
      <x:c r="G280" s="63"/>
      <x:c r="H280" s="63"/>
      <x:c r="I280" s="63"/>
    </x:row>
    <x:row r="281" ht="30" customHeight="1">
      <x:c r="C281" s="64"/>
      <x:c r="D281" s="63"/>
      <x:c r="E281" s="63"/>
      <x:c r="F281" s="63"/>
      <x:c r="G281" s="63"/>
      <x:c r="H281" s="63"/>
      <x:c r="I281" s="63"/>
    </x:row>
    <x:row r="282" ht="30" customHeight="1">
      <x:c r="C282" s="64"/>
      <x:c r="D282" s="63"/>
      <x:c r="E282" s="63"/>
      <x:c r="F282" s="63"/>
      <x:c r="G282" s="63"/>
      <x:c r="H282" s="63"/>
      <x:c r="I282" s="63"/>
    </x:row>
    <x:row r="283" ht="30" customHeight="1">
      <x:c r="C283" s="64"/>
      <x:c r="D283" s="63"/>
      <x:c r="E283" s="63"/>
      <x:c r="F283" s="63"/>
      <x:c r="G283" s="63"/>
      <x:c r="H283" s="63"/>
      <x:c r="I283" s="63"/>
    </x:row>
    <x:row r="284" ht="30" customHeight="1">
      <x:c r="C284" s="64"/>
      <x:c r="D284" s="63"/>
      <x:c r="E284" s="63"/>
      <x:c r="F284" s="63"/>
      <x:c r="G284" s="63"/>
      <x:c r="H284" s="63"/>
      <x:c r="I284" s="63"/>
    </x:row>
    <x:row r="285" ht="30" customHeight="1">
      <x:c r="C285" s="64"/>
      <x:c r="D285" s="63"/>
      <x:c r="E285" s="63"/>
      <x:c r="F285" s="63"/>
      <x:c r="G285" s="63"/>
      <x:c r="H285" s="63"/>
      <x:c r="I285" s="63"/>
    </x:row>
    <x:row r="286" ht="30" customHeight="1">
      <x:c r="C286" s="64"/>
      <x:c r="D286" s="63"/>
      <x:c r="E286" s="63"/>
      <x:c r="F286" s="63"/>
      <x:c r="G286" s="63"/>
      <x:c r="H286" s="63"/>
      <x:c r="I286" s="63"/>
    </x:row>
    <x:row r="287" ht="30" customHeight="1">
      <x:c r="C287" s="64"/>
      <x:c r="D287" s="63"/>
      <x:c r="E287" s="63"/>
      <x:c r="F287" s="63"/>
      <x:c r="G287" s="63"/>
      <x:c r="H287" s="63"/>
      <x:c r="I287" s="63"/>
    </x:row>
    <x:row r="288" ht="30" customHeight="1">
      <x:c r="C288" s="64"/>
      <x:c r="D288" s="63"/>
      <x:c r="E288" s="63"/>
      <x:c r="F288" s="63"/>
      <x:c r="G288" s="63"/>
      <x:c r="H288" s="63"/>
      <x:c r="I288" s="63"/>
    </x:row>
    <x:row r="289" ht="30" customHeight="1">
      <x:c r="C289" s="64"/>
      <x:c r="D289" s="63"/>
      <x:c r="E289" s="63"/>
      <x:c r="F289" s="63"/>
      <x:c r="G289" s="63"/>
      <x:c r="H289" s="63"/>
      <x:c r="I289" s="63"/>
    </x:row>
    <x:row r="290" ht="30" customHeight="1">
      <x:c r="C290" s="64"/>
      <x:c r="D290" s="63"/>
      <x:c r="E290" s="63"/>
      <x:c r="F290" s="63"/>
      <x:c r="G290" s="63"/>
      <x:c r="H290" s="63"/>
      <x:c r="I290" s="63"/>
    </x:row>
    <x:row r="291" ht="30" customHeight="1">
      <x:c r="C291" s="64"/>
      <x:c r="D291" s="63"/>
      <x:c r="E291" s="63"/>
      <x:c r="F291" s="63"/>
      <x:c r="G291" s="63"/>
      <x:c r="H291" s="63"/>
      <x:c r="I291" s="63"/>
    </x:row>
    <x:row r="292" ht="30" customHeight="1">
      <x:c r="C292" s="64"/>
      <x:c r="D292" s="63"/>
      <x:c r="E292" s="63"/>
      <x:c r="F292" s="63"/>
      <x:c r="G292" s="63"/>
      <x:c r="H292" s="63"/>
      <x:c r="I292" s="63"/>
    </x:row>
    <x:row r="293" ht="30" customHeight="1">
      <x:c r="C293" s="64"/>
      <x:c r="D293" s="63"/>
      <x:c r="E293" s="63"/>
      <x:c r="F293" s="63"/>
      <x:c r="G293" s="63"/>
      <x:c r="H293" s="63"/>
      <x:c r="I293" s="63"/>
    </x:row>
    <x:row r="294" ht="30" customHeight="1">
      <x:c r="C294" s="64"/>
      <x:c r="D294" s="63"/>
      <x:c r="E294" s="63"/>
      <x:c r="F294" s="63"/>
      <x:c r="G294" s="63"/>
      <x:c r="H294" s="63"/>
      <x:c r="I294" s="63"/>
    </x:row>
    <x:row r="295" ht="30" customHeight="1">
      <x:c r="C295" s="64"/>
      <x:c r="D295" s="63"/>
      <x:c r="E295" s="63"/>
      <x:c r="F295" s="63"/>
      <x:c r="G295" s="63"/>
      <x:c r="H295" s="63"/>
      <x:c r="I295" s="63"/>
    </x:row>
    <x:row r="296" ht="30" customHeight="1">
      <x:c r="C296" s="64"/>
      <x:c r="D296" s="63"/>
      <x:c r="E296" s="63"/>
      <x:c r="F296" s="63"/>
      <x:c r="G296" s="63"/>
      <x:c r="H296" s="63"/>
      <x:c r="I296" s="63"/>
    </x:row>
    <x:row r="297" ht="30" customHeight="1">
      <x:c r="C297" s="64"/>
      <x:c r="D297" s="63"/>
      <x:c r="E297" s="63"/>
      <x:c r="F297" s="63"/>
      <x:c r="G297" s="63"/>
      <x:c r="H297" s="63"/>
      <x:c r="I297" s="63"/>
    </x:row>
    <x:row r="298" ht="30" customHeight="1">
      <x:c r="C298" s="64"/>
      <x:c r="D298" s="63"/>
      <x:c r="E298" s="63"/>
      <x:c r="F298" s="63"/>
      <x:c r="G298" s="63"/>
      <x:c r="H298" s="63"/>
      <x:c r="I298" s="63"/>
    </x:row>
    <x:row r="299" ht="30" customHeight="1">
      <x:c r="C299" s="64"/>
      <x:c r="D299" s="63"/>
      <x:c r="E299" s="63"/>
      <x:c r="F299" s="63"/>
      <x:c r="G299" s="63"/>
      <x:c r="H299" s="63"/>
      <x:c r="I299" s="63"/>
    </x:row>
    <x:row r="300" ht="30" customHeight="1">
      <x:c r="C300" s="64"/>
      <x:c r="D300" s="63"/>
      <x:c r="E300" s="63"/>
      <x:c r="F300" s="63"/>
      <x:c r="G300" s="63"/>
      <x:c r="H300" s="63"/>
      <x:c r="I300" s="63"/>
    </x:row>
    <x:row r="301" ht="30" customHeight="1">
      <x:c r="C301" s="64"/>
      <x:c r="D301" s="63"/>
      <x:c r="E301" s="63"/>
      <x:c r="F301" s="63"/>
      <x:c r="G301" s="63"/>
      <x:c r="H301" s="63"/>
      <x:c r="I301" s="63"/>
    </x:row>
    <x:row r="302" ht="30" customHeight="1">
      <x:c r="C302" s="64"/>
      <x:c r="D302" s="63"/>
      <x:c r="E302" s="63"/>
      <x:c r="F302" s="63"/>
      <x:c r="G302" s="63"/>
      <x:c r="H302" s="63"/>
      <x:c r="I302" s="63"/>
    </x:row>
    <x:row r="303" ht="30" customHeight="1">
      <x:c r="C303" s="64"/>
      <x:c r="D303" s="63"/>
      <x:c r="E303" s="63"/>
      <x:c r="F303" s="63"/>
      <x:c r="G303" s="63"/>
      <x:c r="H303" s="63"/>
      <x:c r="I303" s="63"/>
    </x:row>
    <x:row r="304" ht="30" customHeight="1">
      <x:c r="C304" s="64"/>
      <x:c r="D304" s="63"/>
      <x:c r="E304" s="63"/>
      <x:c r="F304" s="63"/>
      <x:c r="G304" s="63"/>
      <x:c r="H304" s="63"/>
      <x:c r="I304" s="63"/>
    </x:row>
    <x:row r="305" ht="30" customHeight="1">
      <x:c r="C305" s="64"/>
      <x:c r="D305" s="63"/>
      <x:c r="E305" s="63"/>
      <x:c r="F305" s="63"/>
      <x:c r="G305" s="63"/>
      <x:c r="H305" s="63"/>
      <x:c r="I305" s="63"/>
    </x:row>
    <x:row r="306" ht="30" customHeight="1">
      <x:c r="C306" s="64"/>
      <x:c r="D306" s="63"/>
      <x:c r="E306" s="63"/>
      <x:c r="F306" s="63"/>
      <x:c r="G306" s="63"/>
      <x:c r="H306" s="63"/>
      <x:c r="I306" s="63"/>
    </x:row>
    <x:row r="307" ht="30" customHeight="1">
      <x:c r="C307" s="64"/>
      <x:c r="D307" s="63"/>
      <x:c r="E307" s="63"/>
      <x:c r="F307" s="63"/>
      <x:c r="G307" s="63"/>
      <x:c r="H307" s="63"/>
      <x:c r="I307" s="63"/>
    </x:row>
    <x:row r="308" ht="30" customHeight="1">
      <x:c r="C308" s="64"/>
      <x:c r="D308" s="63"/>
      <x:c r="E308" s="63"/>
      <x:c r="F308" s="63"/>
      <x:c r="G308" s="63"/>
      <x:c r="H308" s="63"/>
      <x:c r="I308" s="63"/>
    </x:row>
    <x:row r="309" ht="30" customHeight="1">
      <x:c r="C309" s="64"/>
      <x:c r="D309" s="63"/>
      <x:c r="E309" s="63"/>
      <x:c r="F309" s="63"/>
      <x:c r="G309" s="63"/>
      <x:c r="H309" s="63"/>
      <x:c r="I309" s="63"/>
    </x:row>
    <x:row r="310" ht="30" customHeight="1">
      <x:c r="C310" s="64"/>
      <x:c r="D310" s="63"/>
      <x:c r="E310" s="63"/>
      <x:c r="F310" s="63"/>
      <x:c r="G310" s="63"/>
      <x:c r="H310" s="63"/>
      <x:c r="I310" s="63"/>
    </x:row>
    <x:row r="311" ht="30" customHeight="1">
      <x:c r="C311" s="64"/>
      <x:c r="D311" s="63"/>
      <x:c r="E311" s="63"/>
      <x:c r="F311" s="63"/>
      <x:c r="G311" s="63"/>
      <x:c r="H311" s="63"/>
      <x:c r="I311" s="63"/>
    </x:row>
    <x:row r="312" ht="30" customHeight="1">
      <x:c r="C312" s="64"/>
      <x:c r="D312" s="63"/>
      <x:c r="E312" s="63"/>
      <x:c r="F312" s="63"/>
      <x:c r="G312" s="63"/>
      <x:c r="H312" s="63"/>
      <x:c r="I312" s="63"/>
    </x:row>
    <x:row r="313" ht="30" customHeight="1">
      <x:c r="C313" s="64"/>
      <x:c r="D313" s="63"/>
      <x:c r="E313" s="63"/>
      <x:c r="F313" s="63"/>
      <x:c r="G313" s="63"/>
      <x:c r="H313" s="63"/>
      <x:c r="I313" s="63"/>
    </x:row>
    <x:row r="314" ht="30" customHeight="1">
      <x:c r="C314" s="64"/>
      <x:c r="D314" s="63"/>
      <x:c r="E314" s="63"/>
      <x:c r="F314" s="63"/>
      <x:c r="G314" s="63"/>
      <x:c r="H314" s="63"/>
      <x:c r="I314" s="63"/>
    </x:row>
    <x:row r="315" ht="30" customHeight="1">
      <x:c r="C315" s="64"/>
      <x:c r="D315" s="63"/>
      <x:c r="E315" s="63"/>
      <x:c r="F315" s="63"/>
      <x:c r="G315" s="63"/>
      <x:c r="H315" s="63"/>
      <x:c r="I315" s="63"/>
    </x:row>
    <x:row r="316" ht="30" customHeight="1">
      <x:c r="C316" s="64"/>
      <x:c r="D316" s="63"/>
      <x:c r="E316" s="63"/>
      <x:c r="F316" s="63"/>
      <x:c r="G316" s="63"/>
      <x:c r="H316" s="63"/>
      <x:c r="I316" s="63"/>
    </x:row>
    <x:row r="317" ht="30" customHeight="1">
      <x:c r="C317" s="64"/>
      <x:c r="D317" s="63"/>
      <x:c r="E317" s="63"/>
      <x:c r="F317" s="63"/>
      <x:c r="G317" s="63"/>
      <x:c r="H317" s="63"/>
      <x:c r="I317" s="63"/>
    </x:row>
    <x:row r="318" ht="30" customHeight="1">
      <x:c r="C318" s="64"/>
      <x:c r="D318" s="63"/>
      <x:c r="E318" s="63"/>
      <x:c r="F318" s="63"/>
      <x:c r="G318" s="63"/>
      <x:c r="H318" s="63"/>
      <x:c r="I318" s="63"/>
    </x:row>
    <x:row r="319" ht="30" customHeight="1">
      <x:c r="C319" s="64"/>
      <x:c r="D319" s="63"/>
      <x:c r="E319" s="63"/>
      <x:c r="F319" s="63"/>
      <x:c r="G319" s="63"/>
      <x:c r="H319" s="63"/>
      <x:c r="I319" s="63"/>
    </x:row>
    <x:row r="320" ht="30" customHeight="1">
      <x:c r="C320" s="64"/>
      <x:c r="D320" s="63"/>
      <x:c r="E320" s="63"/>
      <x:c r="F320" s="63"/>
      <x:c r="G320" s="63"/>
      <x:c r="H320" s="63"/>
      <x:c r="I320" s="63"/>
    </x:row>
    <x:row r="321" ht="30" customHeight="1">
      <x:c r="C321" s="64"/>
      <x:c r="D321" s="63"/>
      <x:c r="E321" s="63"/>
      <x:c r="F321" s="63"/>
      <x:c r="G321" s="63"/>
      <x:c r="H321" s="63"/>
      <x:c r="I321" s="63"/>
    </x:row>
    <x:row r="322" ht="30" customHeight="1">
      <x:c r="C322" s="64"/>
      <x:c r="D322" s="63"/>
      <x:c r="E322" s="63"/>
      <x:c r="F322" s="63"/>
      <x:c r="G322" s="63"/>
      <x:c r="H322" s="63"/>
      <x:c r="I322" s="63"/>
    </x:row>
    <x:row r="323" ht="30" customHeight="1">
      <x:c r="C323" s="64"/>
      <x:c r="D323" s="63"/>
      <x:c r="E323" s="63"/>
      <x:c r="F323" s="63"/>
      <x:c r="G323" s="63"/>
      <x:c r="H323" s="63"/>
      <x:c r="I323" s="63"/>
    </x:row>
    <x:row r="324" ht="30" customHeight="1">
      <x:c r="C324" s="64"/>
      <x:c r="D324" s="63"/>
      <x:c r="E324" s="63"/>
      <x:c r="F324" s="63"/>
      <x:c r="G324" s="63"/>
      <x:c r="H324" s="63"/>
      <x:c r="I324" s="63"/>
    </x:row>
    <x:row r="325" ht="30" customHeight="1">
      <x:c r="C325" s="64"/>
      <x:c r="D325" s="63"/>
      <x:c r="E325" s="63"/>
      <x:c r="F325" s="63"/>
      <x:c r="G325" s="63"/>
      <x:c r="H325" s="63"/>
      <x:c r="I325" s="63"/>
    </x:row>
    <x:row r="326" ht="30" customHeight="1">
      <x:c r="C326" s="64"/>
      <x:c r="D326" s="63"/>
      <x:c r="E326" s="63"/>
      <x:c r="F326" s="63"/>
      <x:c r="G326" s="63"/>
      <x:c r="H326" s="63"/>
      <x:c r="I326" s="63"/>
    </x:row>
    <x:row r="327" ht="30" customHeight="1">
      <x:c r="C327" s="64"/>
      <x:c r="D327" s="63"/>
      <x:c r="E327" s="63"/>
      <x:c r="F327" s="63"/>
      <x:c r="G327" s="63"/>
      <x:c r="H327" s="63"/>
      <x:c r="I327" s="63"/>
    </x:row>
    <x:row r="328" ht="30" customHeight="1">
      <x:c r="C328" s="64"/>
      <x:c r="D328" s="63"/>
      <x:c r="E328" s="63"/>
      <x:c r="F328" s="63"/>
      <x:c r="G328" s="63"/>
      <x:c r="H328" s="63"/>
      <x:c r="I328" s="63"/>
    </x:row>
    <x:row r="329" ht="30" customHeight="1">
      <x:c r="C329" s="64"/>
      <x:c r="D329" s="63"/>
      <x:c r="E329" s="63"/>
      <x:c r="F329" s="63"/>
      <x:c r="G329" s="63"/>
      <x:c r="H329" s="63"/>
      <x:c r="I329" s="63"/>
    </x:row>
    <x:row r="330" ht="30" customHeight="1">
      <x:c r="C330" s="64"/>
      <x:c r="D330" s="63"/>
      <x:c r="E330" s="63"/>
      <x:c r="F330" s="63"/>
      <x:c r="G330" s="63"/>
      <x:c r="H330" s="63"/>
      <x:c r="I330" s="63"/>
    </x:row>
    <x:row r="331" ht="30" customHeight="1">
      <x:c r="C331" s="64"/>
      <x:c r="D331" s="63"/>
      <x:c r="E331" s="63"/>
      <x:c r="F331" s="63"/>
      <x:c r="G331" s="63"/>
      <x:c r="H331" s="63"/>
      <x:c r="I331" s="63"/>
    </x:row>
    <x:row r="332" ht="30" customHeight="1">
      <x:c r="C332" s="64"/>
      <x:c r="D332" s="63"/>
      <x:c r="E332" s="63"/>
      <x:c r="F332" s="63"/>
      <x:c r="G332" s="63"/>
      <x:c r="H332" s="63"/>
      <x:c r="I332" s="63"/>
    </x:row>
    <x:row r="333" ht="30" customHeight="1">
      <x:c r="C333" s="64"/>
      <x:c r="D333" s="63"/>
      <x:c r="E333" s="63"/>
      <x:c r="F333" s="63"/>
      <x:c r="G333" s="63"/>
      <x:c r="H333" s="63"/>
      <x:c r="I333" s="63"/>
    </x:row>
    <x:row r="334" ht="30" customHeight="1">
      <x:c r="C334" s="64"/>
      <x:c r="D334" s="63"/>
      <x:c r="E334" s="63"/>
      <x:c r="F334" s="63"/>
      <x:c r="G334" s="63"/>
      <x:c r="H334" s="63"/>
      <x:c r="I334" s="63"/>
    </x:row>
    <x:row r="335" ht="30" customHeight="1">
      <x:c r="C335" s="64"/>
      <x:c r="D335" s="63"/>
      <x:c r="E335" s="63"/>
      <x:c r="F335" s="63"/>
      <x:c r="G335" s="63"/>
      <x:c r="H335" s="63"/>
      <x:c r="I335" s="63"/>
    </x:row>
    <x:row r="336" ht="30" customHeight="1">
      <x:c r="C336" s="64"/>
      <x:c r="D336" s="63"/>
      <x:c r="E336" s="63"/>
      <x:c r="F336" s="63"/>
      <x:c r="G336" s="63"/>
      <x:c r="H336" s="63"/>
      <x:c r="I336" s="63"/>
    </x:row>
    <x:row r="337" ht="30" customHeight="1">
      <x:c r="C337" s="64"/>
      <x:c r="D337" s="63"/>
      <x:c r="E337" s="63"/>
      <x:c r="F337" s="63"/>
      <x:c r="G337" s="63"/>
      <x:c r="H337" s="63"/>
      <x:c r="I337" s="63"/>
    </x:row>
    <x:row r="338" ht="30" customHeight="1">
      <x:c r="C338" s="64"/>
      <x:c r="D338" s="63"/>
      <x:c r="E338" s="63"/>
      <x:c r="F338" s="63"/>
      <x:c r="G338" s="63"/>
      <x:c r="H338" s="63"/>
      <x:c r="I338" s="63"/>
    </x:row>
    <x:row r="339" ht="30" customHeight="1">
      <x:c r="C339" s="64"/>
      <x:c r="D339" s="63"/>
      <x:c r="E339" s="63"/>
      <x:c r="F339" s="63"/>
      <x:c r="G339" s="63"/>
      <x:c r="H339" s="63"/>
      <x:c r="I339" s="63"/>
    </x:row>
    <x:row r="340" ht="30" customHeight="1">
      <x:c r="C340" s="64"/>
      <x:c r="D340" s="63"/>
      <x:c r="E340" s="63"/>
      <x:c r="F340" s="63"/>
      <x:c r="G340" s="63"/>
      <x:c r="H340" s="63"/>
      <x:c r="I340" s="63"/>
    </x:row>
    <x:row r="341" ht="30" customHeight="1">
      <x:c r="C341" s="64"/>
      <x:c r="D341" s="63"/>
      <x:c r="E341" s="63"/>
      <x:c r="F341" s="63"/>
      <x:c r="G341" s="63"/>
      <x:c r="H341" s="63"/>
      <x:c r="I341" s="63"/>
    </x:row>
    <x:row r="342" ht="30" customHeight="1">
      <x:c r="C342" s="64"/>
      <x:c r="D342" s="63"/>
      <x:c r="E342" s="63"/>
      <x:c r="F342" s="63"/>
      <x:c r="G342" s="63"/>
      <x:c r="H342" s="63"/>
      <x:c r="I342" s="63"/>
    </x:row>
    <x:row r="343" ht="30" customHeight="1">
      <x:c r="C343" s="64"/>
      <x:c r="D343" s="63"/>
      <x:c r="E343" s="63"/>
      <x:c r="F343" s="63"/>
      <x:c r="G343" s="63"/>
      <x:c r="H343" s="63"/>
      <x:c r="I343" s="63"/>
    </x:row>
    <x:row r="344" ht="30" customHeight="1">
      <x:c r="C344" s="64"/>
      <x:c r="D344" s="63"/>
      <x:c r="E344" s="63"/>
      <x:c r="F344" s="63"/>
      <x:c r="G344" s="63"/>
      <x:c r="H344" s="63"/>
      <x:c r="I344" s="63"/>
    </x:row>
    <x:row r="345" ht="30" customHeight="1">
      <x:c r="C345" s="64"/>
      <x:c r="D345" s="63"/>
      <x:c r="E345" s="63"/>
      <x:c r="F345" s="63"/>
      <x:c r="G345" s="63"/>
      <x:c r="H345" s="63"/>
      <x:c r="I345" s="63"/>
    </x:row>
    <x:row r="346" ht="30" customHeight="1">
      <x:c r="C346" s="64"/>
      <x:c r="D346" s="63"/>
      <x:c r="E346" s="63"/>
      <x:c r="F346" s="63"/>
      <x:c r="G346" s="63"/>
      <x:c r="H346" s="63"/>
      <x:c r="I346" s="63"/>
    </x:row>
    <x:row r="347" ht="30" customHeight="1">
      <x:c r="C347" s="64"/>
      <x:c r="D347" s="63"/>
      <x:c r="E347" s="63"/>
      <x:c r="F347" s="63"/>
      <x:c r="G347" s="63"/>
      <x:c r="H347" s="63"/>
      <x:c r="I347" s="63"/>
    </x:row>
    <x:row r="348" ht="30" customHeight="1">
      <x:c r="C348" s="64"/>
      <x:c r="D348" s="63"/>
      <x:c r="E348" s="63"/>
      <x:c r="F348" s="63"/>
      <x:c r="G348" s="63"/>
      <x:c r="H348" s="63"/>
      <x:c r="I348" s="63"/>
    </x:row>
    <x:row r="349" ht="30" customHeight="1">
      <x:c r="C349" s="64"/>
      <x:c r="D349" s="63"/>
      <x:c r="E349" s="63"/>
      <x:c r="F349" s="63"/>
      <x:c r="G349" s="63"/>
      <x:c r="H349" s="63"/>
      <x:c r="I349" s="63"/>
    </x:row>
    <x:row r="350" ht="30" customHeight="1">
      <x:c r="C350" s="64"/>
      <x:c r="D350" s="63"/>
      <x:c r="E350" s="63"/>
      <x:c r="F350" s="63"/>
      <x:c r="G350" s="63"/>
      <x:c r="H350" s="63"/>
      <x:c r="I350" s="63"/>
    </x:row>
    <x:row r="351" ht="30" customHeight="1">
      <x:c r="C351" s="64"/>
      <x:c r="D351" s="63"/>
      <x:c r="E351" s="63"/>
      <x:c r="F351" s="63"/>
      <x:c r="G351" s="63"/>
      <x:c r="H351" s="63"/>
      <x:c r="I351" s="63"/>
    </x:row>
    <x:row r="352" ht="30" customHeight="1">
      <x:c r="C352" s="64"/>
      <x:c r="D352" s="63"/>
      <x:c r="E352" s="63"/>
      <x:c r="F352" s="63"/>
      <x:c r="G352" s="63"/>
      <x:c r="H352" s="63"/>
      <x:c r="I352" s="63"/>
    </x:row>
    <x:row r="353" ht="30" customHeight="1">
      <x:c r="C353" s="64"/>
      <x:c r="D353" s="63"/>
      <x:c r="E353" s="63"/>
      <x:c r="F353" s="63"/>
      <x:c r="G353" s="63"/>
      <x:c r="H353" s="63"/>
      <x:c r="I353" s="63"/>
    </x:row>
    <x:row r="354" ht="30" customHeight="1">
      <x:c r="C354" s="64"/>
      <x:c r="D354" s="63"/>
      <x:c r="E354" s="63"/>
      <x:c r="F354" s="63"/>
      <x:c r="G354" s="63"/>
      <x:c r="H354" s="63"/>
      <x:c r="I354" s="63"/>
    </x:row>
    <x:row r="355" ht="30" customHeight="1">
      <x:c r="C355" s="64"/>
      <x:c r="D355" s="63"/>
      <x:c r="E355" s="63"/>
      <x:c r="F355" s="63"/>
      <x:c r="G355" s="63"/>
      <x:c r="H355" s="63"/>
      <x:c r="I355" s="63"/>
    </x:row>
    <x:row r="356" ht="30" customHeight="1">
      <x:c r="C356" s="64"/>
      <x:c r="D356" s="63"/>
      <x:c r="E356" s="63"/>
      <x:c r="F356" s="63"/>
      <x:c r="G356" s="63"/>
      <x:c r="H356" s="63"/>
      <x:c r="I356" s="63"/>
    </x:row>
    <x:row r="357" ht="30" customHeight="1">
      <x:c r="C357" s="64"/>
      <x:c r="D357" s="63"/>
      <x:c r="E357" s="63"/>
      <x:c r="F357" s="63"/>
      <x:c r="G357" s="63"/>
      <x:c r="H357" s="63"/>
      <x:c r="I357" s="63"/>
    </x:row>
    <x:row r="358" ht="30" customHeight="1">
      <x:c r="C358" s="64"/>
      <x:c r="D358" s="63"/>
      <x:c r="E358" s="63"/>
      <x:c r="F358" s="63"/>
      <x:c r="G358" s="63"/>
      <x:c r="H358" s="63"/>
      <x:c r="I358" s="63"/>
    </x:row>
    <x:row r="359" ht="30" customHeight="1">
      <x:c r="C359" s="64"/>
      <x:c r="D359" s="63"/>
      <x:c r="E359" s="63"/>
      <x:c r="F359" s="63"/>
      <x:c r="G359" s="63"/>
      <x:c r="H359" s="63"/>
      <x:c r="I359" s="63"/>
    </x:row>
    <x:row r="360" ht="30" customHeight="1">
      <x:c r="C360" s="64"/>
      <x:c r="D360" s="63"/>
      <x:c r="E360" s="63"/>
      <x:c r="F360" s="63"/>
      <x:c r="G360" s="63"/>
      <x:c r="H360" s="63"/>
      <x:c r="I360" s="63"/>
    </x:row>
    <x:row r="361" ht="30" customHeight="1">
      <x:c r="C361" s="64"/>
      <x:c r="D361" s="63"/>
      <x:c r="E361" s="63"/>
      <x:c r="F361" s="63"/>
      <x:c r="G361" s="63"/>
      <x:c r="H361" s="63"/>
      <x:c r="I361" s="63"/>
    </x:row>
    <x:row r="362" ht="30" customHeight="1">
      <x:c r="C362" s="64"/>
      <x:c r="D362" s="63"/>
      <x:c r="E362" s="63"/>
      <x:c r="F362" s="63"/>
      <x:c r="G362" s="63"/>
      <x:c r="H362" s="63"/>
      <x:c r="I362" s="63"/>
    </x:row>
    <x:row r="363" ht="30" customHeight="1">
      <x:c r="C363" s="64"/>
      <x:c r="D363" s="63"/>
      <x:c r="E363" s="63"/>
      <x:c r="F363" s="63"/>
      <x:c r="G363" s="63"/>
      <x:c r="H363" s="63"/>
      <x:c r="I363" s="63"/>
    </x:row>
    <x:row r="364" ht="30" customHeight="1">
      <x:c r="C364" s="64"/>
      <x:c r="D364" s="63"/>
      <x:c r="E364" s="63"/>
      <x:c r="F364" s="63"/>
      <x:c r="G364" s="63"/>
      <x:c r="H364" s="63"/>
      <x:c r="I364" s="63"/>
    </x:row>
    <x:row r="365" ht="30" customHeight="1">
      <x:c r="C365" s="64"/>
      <x:c r="D365" s="63"/>
      <x:c r="E365" s="63"/>
      <x:c r="F365" s="63"/>
      <x:c r="G365" s="63"/>
      <x:c r="H365" s="63"/>
      <x:c r="I365" s="63"/>
    </x:row>
    <x:row r="366" ht="30" customHeight="1">
      <x:c r="C366" s="64"/>
      <x:c r="D366" s="63"/>
      <x:c r="E366" s="63"/>
      <x:c r="F366" s="63"/>
      <x:c r="G366" s="63"/>
      <x:c r="H366" s="63"/>
      <x:c r="I366" s="63"/>
    </x:row>
    <x:row r="367" ht="30" customHeight="1">
      <x:c r="C367" s="64"/>
      <x:c r="D367" s="63"/>
      <x:c r="E367" s="63"/>
      <x:c r="F367" s="63"/>
      <x:c r="G367" s="63"/>
      <x:c r="H367" s="63"/>
      <x:c r="I367" s="63"/>
    </x:row>
    <x:row r="368" ht="30" customHeight="1">
      <x:c r="C368" s="64"/>
      <x:c r="D368" s="63"/>
      <x:c r="E368" s="63"/>
      <x:c r="F368" s="63"/>
      <x:c r="G368" s="63"/>
      <x:c r="H368" s="63"/>
      <x:c r="I368" s="63"/>
    </x:row>
    <x:row r="369" ht="30" customHeight="1">
      <x:c r="C369" s="64"/>
      <x:c r="D369" s="63"/>
      <x:c r="E369" s="63"/>
      <x:c r="F369" s="63"/>
      <x:c r="G369" s="63"/>
      <x:c r="H369" s="63"/>
      <x:c r="I369" s="63"/>
    </x:row>
    <x:row r="370" ht="30" customHeight="1">
      <x:c r="C370" s="64"/>
      <x:c r="D370" s="63"/>
      <x:c r="E370" s="63"/>
      <x:c r="F370" s="63"/>
      <x:c r="G370" s="63"/>
      <x:c r="H370" s="63"/>
      <x:c r="I370" s="63"/>
    </x:row>
    <x:row r="371" ht="30" customHeight="1">
      <x:c r="C371" s="64"/>
      <x:c r="D371" s="63"/>
      <x:c r="E371" s="63"/>
      <x:c r="F371" s="63"/>
      <x:c r="G371" s="63"/>
      <x:c r="H371" s="63"/>
      <x:c r="I371" s="63"/>
    </x:row>
    <x:row r="372" ht="30" customHeight="1">
      <x:c r="C372" s="64"/>
      <x:c r="D372" s="63"/>
      <x:c r="E372" s="63"/>
      <x:c r="F372" s="63"/>
      <x:c r="G372" s="63"/>
      <x:c r="H372" s="63"/>
      <x:c r="I372" s="63"/>
    </x:row>
    <x:row r="373" ht="30" customHeight="1">
      <x:c r="C373" s="64"/>
      <x:c r="D373" s="63"/>
      <x:c r="E373" s="63"/>
      <x:c r="F373" s="63"/>
      <x:c r="G373" s="63"/>
      <x:c r="H373" s="63"/>
      <x:c r="I373" s="63"/>
    </x:row>
    <x:row r="374" ht="30" customHeight="1">
      <x:c r="C374" s="64"/>
      <x:c r="D374" s="63"/>
      <x:c r="E374" s="63"/>
      <x:c r="F374" s="63"/>
      <x:c r="G374" s="63"/>
      <x:c r="H374" s="63"/>
      <x:c r="I374" s="63"/>
    </x:row>
    <x:row r="375" ht="30" customHeight="1">
      <x:c r="C375" s="64"/>
      <x:c r="D375" s="63"/>
      <x:c r="E375" s="63"/>
      <x:c r="F375" s="63"/>
      <x:c r="G375" s="63"/>
      <x:c r="H375" s="63"/>
      <x:c r="I375" s="63"/>
    </x:row>
    <x:row r="376" ht="30" customHeight="1">
      <x:c r="C376" s="64"/>
      <x:c r="D376" s="63"/>
      <x:c r="E376" s="63"/>
      <x:c r="F376" s="63"/>
      <x:c r="G376" s="63"/>
      <x:c r="H376" s="63"/>
      <x:c r="I376" s="63"/>
    </x:row>
    <x:row r="377" ht="30" customHeight="1">
      <x:c r="C377" s="64"/>
      <x:c r="D377" s="63"/>
      <x:c r="E377" s="63"/>
      <x:c r="F377" s="63"/>
      <x:c r="G377" s="63"/>
      <x:c r="H377" s="63"/>
      <x:c r="I377" s="63"/>
    </x:row>
    <x:row r="378" ht="30" customHeight="1">
      <x:c r="C378" s="64"/>
      <x:c r="D378" s="63"/>
      <x:c r="E378" s="63"/>
      <x:c r="F378" s="63"/>
      <x:c r="G378" s="63"/>
      <x:c r="H378" s="63"/>
      <x:c r="I378" s="63"/>
    </x:row>
    <x:row r="379" ht="30" customHeight="1">
      <x:c r="C379" s="64"/>
      <x:c r="D379" s="63"/>
      <x:c r="E379" s="63"/>
      <x:c r="F379" s="63"/>
      <x:c r="G379" s="63"/>
      <x:c r="H379" s="63"/>
      <x:c r="I379" s="63"/>
    </x:row>
    <x:row r="380" ht="30" customHeight="1">
      <x:c r="C380" s="64"/>
      <x:c r="D380" s="63"/>
      <x:c r="E380" s="63"/>
      <x:c r="F380" s="63"/>
      <x:c r="G380" s="63"/>
      <x:c r="H380" s="63"/>
      <x:c r="I380" s="63"/>
    </x:row>
    <x:row r="381" ht="30" customHeight="1">
      <x:c r="C381" s="64"/>
      <x:c r="D381" s="63"/>
      <x:c r="E381" s="63"/>
      <x:c r="F381" s="63"/>
      <x:c r="G381" s="63"/>
      <x:c r="H381" s="63"/>
      <x:c r="I381" s="63"/>
    </x:row>
    <x:row r="382" ht="30" customHeight="1">
      <x:c r="C382" s="64"/>
      <x:c r="D382" s="63"/>
      <x:c r="E382" s="63"/>
      <x:c r="F382" s="63"/>
      <x:c r="G382" s="63"/>
      <x:c r="H382" s="63"/>
      <x:c r="I382" s="63"/>
    </x:row>
    <x:row r="383" ht="30" customHeight="1">
      <x:c r="C383" s="64"/>
      <x:c r="D383" s="63"/>
      <x:c r="E383" s="63"/>
      <x:c r="F383" s="63"/>
      <x:c r="G383" s="63"/>
      <x:c r="H383" s="63"/>
      <x:c r="I383" s="63"/>
    </x:row>
    <x:row r="384" ht="30" customHeight="1">
      <x:c r="C384" s="64"/>
      <x:c r="D384" s="63"/>
      <x:c r="E384" s="63"/>
      <x:c r="F384" s="63"/>
      <x:c r="G384" s="63"/>
      <x:c r="H384" s="63"/>
      <x:c r="I384" s="63"/>
    </x:row>
    <x:row r="385" ht="30" customHeight="1">
      <x:c r="C385" s="64"/>
      <x:c r="D385" s="63"/>
      <x:c r="E385" s="63"/>
      <x:c r="F385" s="63"/>
      <x:c r="G385" s="63"/>
      <x:c r="H385" s="63"/>
      <x:c r="I385" s="63"/>
    </x:row>
    <x:row r="386" ht="30" customHeight="1">
      <x:c r="C386" s="64"/>
      <x:c r="D386" s="63"/>
      <x:c r="E386" s="63"/>
      <x:c r="F386" s="63"/>
      <x:c r="G386" s="63"/>
      <x:c r="H386" s="63"/>
      <x:c r="I386" s="63"/>
    </x:row>
    <x:row r="387" ht="30" customHeight="1">
      <x:c r="C387" s="64"/>
      <x:c r="D387" s="63"/>
      <x:c r="E387" s="63"/>
      <x:c r="F387" s="63"/>
      <x:c r="G387" s="63"/>
      <x:c r="H387" s="63"/>
      <x:c r="I387" s="63"/>
    </x:row>
    <x:row r="388" ht="30" customHeight="1">
      <x:c r="C388" s="64"/>
      <x:c r="D388" s="63"/>
      <x:c r="E388" s="63"/>
      <x:c r="F388" s="63"/>
      <x:c r="G388" s="63"/>
      <x:c r="H388" s="63"/>
      <x:c r="I388" s="63"/>
    </x:row>
    <x:row r="389" ht="30" customHeight="1">
      <x:c r="C389" s="64"/>
      <x:c r="D389" s="63"/>
      <x:c r="E389" s="63"/>
      <x:c r="F389" s="63"/>
      <x:c r="G389" s="63"/>
      <x:c r="H389" s="63"/>
      <x:c r="I389" s="63"/>
    </x:row>
    <x:row r="390" ht="30" customHeight="1">
      <x:c r="C390" s="64"/>
      <x:c r="D390" s="63"/>
      <x:c r="E390" s="63"/>
      <x:c r="F390" s="63"/>
      <x:c r="G390" s="63"/>
      <x:c r="H390" s="63"/>
      <x:c r="I390" s="63"/>
    </x:row>
    <x:row r="391" ht="30" customHeight="1">
      <x:c r="C391" s="64"/>
      <x:c r="D391" s="63"/>
      <x:c r="E391" s="63"/>
      <x:c r="F391" s="63"/>
      <x:c r="G391" s="63"/>
      <x:c r="H391" s="63"/>
      <x:c r="I391" s="63"/>
    </x:row>
    <x:row r="392" ht="30" customHeight="1">
      <x:c r="C392" s="64"/>
      <x:c r="D392" s="63"/>
      <x:c r="E392" s="63"/>
      <x:c r="F392" s="63"/>
      <x:c r="G392" s="63"/>
      <x:c r="H392" s="63"/>
      <x:c r="I392" s="63"/>
    </x:row>
    <x:row r="393" ht="30" customHeight="1">
      <x:c r="C393" s="64"/>
      <x:c r="D393" s="63"/>
      <x:c r="E393" s="63"/>
      <x:c r="F393" s="63"/>
      <x:c r="G393" s="63"/>
      <x:c r="H393" s="63"/>
      <x:c r="I393" s="63"/>
    </x:row>
    <x:row r="394" ht="30" customHeight="1">
      <x:c r="C394" s="64"/>
      <x:c r="D394" s="63"/>
      <x:c r="E394" s="63"/>
      <x:c r="F394" s="63"/>
      <x:c r="G394" s="63"/>
      <x:c r="H394" s="63"/>
      <x:c r="I394" s="63"/>
    </x:row>
    <x:row r="395" ht="30" customHeight="1">
      <x:c r="C395" s="64"/>
      <x:c r="D395" s="63"/>
      <x:c r="E395" s="63"/>
      <x:c r="F395" s="63"/>
      <x:c r="G395" s="63"/>
      <x:c r="H395" s="63"/>
      <x:c r="I395" s="63"/>
    </x:row>
    <x:row r="396" ht="30" customHeight="1">
      <x:c r="C396" s="64"/>
      <x:c r="D396" s="63"/>
      <x:c r="E396" s="63"/>
      <x:c r="F396" s="63"/>
      <x:c r="G396" s="63"/>
      <x:c r="H396" s="63"/>
      <x:c r="I396" s="63"/>
    </x:row>
    <x:row r="397" ht="30" customHeight="1">
      <x:c r="C397" s="64"/>
      <x:c r="D397" s="63"/>
      <x:c r="E397" s="63"/>
      <x:c r="F397" s="63"/>
      <x:c r="G397" s="63"/>
      <x:c r="H397" s="63"/>
      <x:c r="I397" s="63"/>
    </x:row>
    <x:row r="398" ht="25" customHeight="1">
      <x:c r="C398" s="68" t="str">
        <x:v>SCENARIO ASSUMPTIONS</x:v>
      </x:c>
      <x:c r="D398" s="82"/>
      <x:c r="E398" s="82"/>
      <x:c r="F398" s="82"/>
      <x:c r="G398" s="82"/>
      <x:c r="H398" s="82"/>
      <x:c r="I398" s="82"/>
    </x:row>
    <x:row r="399" ht="30" customHeight="1">
      <x:c r="C399" s="64"/>
      <x:c r="D399" s="63"/>
      <x:c r="E399" s="63"/>
      <x:c r="F399" s="63"/>
      <x:c r="G399" s="63"/>
      <x:c r="H399" s="63"/>
      <x:c r="I399" s="63"/>
    </x:row>
    <x:row r="400" ht="30" customHeight="1">
      <x:c r="C400" s="64" t="str">
        <x:v>Capacity utilization — active</x:v>
      </x:c>
      <x:c r="D400" s="63"/>
      <x:c r="E400" s="83" t="n">
        <x:f>IF(COUNT(CHOOSE('Controls'!$E$5,E401,E402,E403))=1,CHOOSE('Controls'!$E$5,E401,E402,E403),NA())</x:f>
        <x:v>1</x:v>
      </x:c>
      <x:c r="F400" s="83" t="n">
        <x:f>IF(COUNT(CHOOSE('Controls'!$E$5,F401,F402,F403))=1,CHOOSE('Controls'!$E$5,F401,F402,F403),NA())</x:f>
        <x:v>1</x:v>
      </x:c>
      <x:c r="G400" s="83" t="n">
        <x:f>IF(COUNT(CHOOSE('Controls'!$E$5,G401,G402,G403))=1,CHOOSE('Controls'!$E$5,G401,G402,G403),NA())</x:f>
        <x:v>1</x:v>
      </x:c>
      <x:c r="H400" s="83" t="n">
        <x:f>IF(COUNT(CHOOSE('Controls'!$E$5,H401,H402,H403))=1,CHOOSE('Controls'!$E$5,H401,H402,H403),NA())</x:f>
        <x:v>1</x:v>
      </x:c>
      <x:c r="I400" s="83" t="n">
        <x:f>IF(COUNT(CHOOSE('Controls'!$E$5,I401,I402,I403))=1,CHOOSE('Controls'!$E$5,I401,I402,I403),NA())</x:f>
        <x:v>1</x:v>
      </x:c>
    </x:row>
    <x:row r="401" ht="30" customHeight="1">
      <x:c r="C401" s="64" t="str">
        <x:v>Base</x:v>
      </x:c>
      <x:c r="D401" s="63"/>
      <x:c r="E401" s="85" t="n">
        <x:v>1</x:v>
      </x:c>
      <x:c r="F401" s="85" t="n">
        <x:v>1</x:v>
      </x:c>
      <x:c r="G401" s="85" t="n">
        <x:v>1</x:v>
      </x:c>
      <x:c r="H401" s="85" t="n">
        <x:v>1</x:v>
      </x:c>
      <x:c r="I401" s="85" t="n">
        <x:v>1</x:v>
      </x:c>
    </x:row>
    <x:row r="402" ht="30" customHeight="1">
      <x:c r="C402" s="64" t="str">
        <x:v>Downside</x:v>
      </x:c>
      <x:c r="D402" s="63"/>
      <x:c r="E402" s="85" t="n">
        <x:v>1</x:v>
      </x:c>
      <x:c r="F402" s="85" t="n">
        <x:v>1</x:v>
      </x:c>
      <x:c r="G402" s="85" t="n">
        <x:v>1</x:v>
      </x:c>
      <x:c r="H402" s="85" t="n">
        <x:v>1</x:v>
      </x:c>
      <x:c r="I402" s="85" t="n">
        <x:v>1</x:v>
      </x:c>
    </x:row>
    <x:row r="403" ht="30" customHeight="1">
      <x:c r="C403" s="64" t="str">
        <x:v>Upside</x:v>
      </x:c>
      <x:c r="D403" s="63"/>
      <x:c r="E403" s="85" t="n">
        <x:v>1</x:v>
      </x:c>
      <x:c r="F403" s="85" t="n">
        <x:v>1</x:v>
      </x:c>
      <x:c r="G403" s="85" t="n">
        <x:v>1</x:v>
      </x:c>
      <x:c r="H403" s="85" t="n">
        <x:v>1</x:v>
      </x:c>
      <x:c r="I403" s="85" t="n">
        <x:v>1</x:v>
      </x:c>
    </x:row>
    <x:row r="404" ht="30" customHeight="1">
      <x:c r="C404" s="64"/>
      <x:c r="D404" s="63"/>
      <x:c r="E404" s="63"/>
      <x:c r="F404" s="63"/>
      <x:c r="G404" s="63"/>
      <x:c r="H404" s="63"/>
      <x:c r="I404" s="63"/>
    </x:row>
    <x:row r="405" ht="30" customHeight="1">
      <x:c r="C405" s="64" t="str">
        <x:v>Subcontracting and project materials / revenue — active</x:v>
      </x:c>
      <x:c r="D405" s="63"/>
      <x:c r="E405" s="83" t="n">
        <x:f>IF(COUNT(CHOOSE('Controls'!$E$5,E406,E407,E408))=1,CHOOSE('Controls'!$E$5,E406,E407,E408),NA())</x:f>
        <x:v>0.78</x:v>
      </x:c>
      <x:c r="F405" s="83" t="n">
        <x:f>IF(COUNT(CHOOSE('Controls'!$E$5,F406,F407,F408))=1,CHOOSE('Controls'!$E$5,F406,F407,F408),NA())</x:f>
        <x:v>0.78</x:v>
      </x:c>
      <x:c r="G405" s="83" t="n">
        <x:f>IF(COUNT(CHOOSE('Controls'!$E$5,G406,G407,G408))=1,CHOOSE('Controls'!$E$5,G406,G407,G408),NA())</x:f>
        <x:v>0.78</x:v>
      </x:c>
      <x:c r="H405" s="83" t="n">
        <x:f>IF(COUNT(CHOOSE('Controls'!$E$5,H406,H407,H408))=1,CHOOSE('Controls'!$E$5,H406,H407,H408),NA())</x:f>
        <x:v>0.78</x:v>
      </x:c>
      <x:c r="I405" s="83" t="n">
        <x:f>IF(COUNT(CHOOSE('Controls'!$E$5,I406,I407,I408))=1,CHOOSE('Controls'!$E$5,I406,I407,I408),NA())</x:f>
        <x:v>0.78</x:v>
      </x:c>
    </x:row>
    <x:row r="406" ht="30" customHeight="1">
      <x:c r="C406" s="64" t="str">
        <x:v>Base</x:v>
      </x:c>
      <x:c r="D406" s="63"/>
      <x:c r="E406" s="85" t="n">
        <x:v>0.78</x:v>
      </x:c>
      <x:c r="F406" s="85" t="n">
        <x:v>0.78</x:v>
      </x:c>
      <x:c r="G406" s="85" t="n">
        <x:v>0.78</x:v>
      </x:c>
      <x:c r="H406" s="85" t="n">
        <x:v>0.78</x:v>
      </x:c>
      <x:c r="I406" s="85" t="n">
        <x:v>0.78</x:v>
      </x:c>
    </x:row>
    <x:row r="407" ht="30" customHeight="1">
      <x:c r="C407" s="64" t="str">
        <x:v>Downside</x:v>
      </x:c>
      <x:c r="D407" s="63"/>
      <x:c r="E407" s="85" t="n">
        <x:v>0.78</x:v>
      </x:c>
      <x:c r="F407" s="85" t="n">
        <x:v>0.78</x:v>
      </x:c>
      <x:c r="G407" s="85" t="n">
        <x:v>0.78</x:v>
      </x:c>
      <x:c r="H407" s="85" t="n">
        <x:v>0.78</x:v>
      </x:c>
      <x:c r="I407" s="85" t="n">
        <x:v>0.78</x:v>
      </x:c>
    </x:row>
    <x:row r="408" ht="30" customHeight="1">
      <x:c r="C408" s="64" t="str">
        <x:v>Upside</x:v>
      </x:c>
      <x:c r="D408" s="63"/>
      <x:c r="E408" s="85" t="n">
        <x:v>0.78</x:v>
      </x:c>
      <x:c r="F408" s="85" t="n">
        <x:v>0.78</x:v>
      </x:c>
      <x:c r="G408" s="85" t="n">
        <x:v>0.78</x:v>
      </x:c>
      <x:c r="H408" s="85" t="n">
        <x:v>0.78</x:v>
      </x:c>
      <x:c r="I408" s="85" t="n">
        <x:v>0.78</x:v>
      </x:c>
    </x:row>
    <x:row r="409" ht="30" customHeight="1">
      <x:c r="C409" s="64"/>
      <x:c r="D409" s="63"/>
      <x:c r="E409" s="63"/>
      <x:c r="F409" s="63"/>
      <x:c r="G409" s="63"/>
      <x:c r="H409" s="63"/>
      <x:c r="I409" s="63"/>
    </x:row>
    <x:row r="410" ht="30" customHeight="1">
      <x:c r="C410" s="64" t="str">
        <x:v>Other cash operating costs / revenue — active</x:v>
      </x:c>
      <x:c r="D410" s="63"/>
      <x:c r="E410" s="83" t="n">
        <x:f>IF(COUNT(CHOOSE('Controls'!$E$5,E411,E412,E413))=1,CHOOSE('Controls'!$E$5,E411,E412,E413),NA())</x:f>
        <x:v>0.1</x:v>
      </x:c>
      <x:c r="F410" s="83" t="n">
        <x:f>IF(COUNT(CHOOSE('Controls'!$E$5,F411,F412,F413))=1,CHOOSE('Controls'!$E$5,F411,F412,F413),NA())</x:f>
        <x:v>0.1</x:v>
      </x:c>
      <x:c r="G410" s="83" t="n">
        <x:f>IF(COUNT(CHOOSE('Controls'!$E$5,G411,G412,G413))=1,CHOOSE('Controls'!$E$5,G411,G412,G413),NA())</x:f>
        <x:v>0.1</x:v>
      </x:c>
      <x:c r="H410" s="83" t="n">
        <x:f>IF(COUNT(CHOOSE('Controls'!$E$5,H411,H412,H413))=1,CHOOSE('Controls'!$E$5,H411,H412,H413),NA())</x:f>
        <x:v>0.1</x:v>
      </x:c>
      <x:c r="I410" s="83" t="n">
        <x:f>IF(COUNT(CHOOSE('Controls'!$E$5,I411,I412,I413))=1,CHOOSE('Controls'!$E$5,I411,I412,I413),NA())</x:f>
        <x:v>0.1</x:v>
      </x:c>
    </x:row>
    <x:row r="411" ht="30" customHeight="1">
      <x:c r="C411" s="64" t="str">
        <x:v>Base</x:v>
      </x:c>
      <x:c r="D411" s="63"/>
      <x:c r="E411" s="85" t="n">
        <x:v>0.1</x:v>
      </x:c>
      <x:c r="F411" s="85" t="n">
        <x:v>0.1</x:v>
      </x:c>
      <x:c r="G411" s="85" t="n">
        <x:v>0.1</x:v>
      </x:c>
      <x:c r="H411" s="85" t="n">
        <x:v>0.1</x:v>
      </x:c>
      <x:c r="I411" s="85" t="n">
        <x:v>0.1</x:v>
      </x:c>
    </x:row>
    <x:row r="412" ht="30" customHeight="1">
      <x:c r="C412" s="64" t="str">
        <x:v>Downside</x:v>
      </x:c>
      <x:c r="D412" s="63"/>
      <x:c r="E412" s="85" t="n">
        <x:v>0.1</x:v>
      </x:c>
      <x:c r="F412" s="85" t="n">
        <x:v>0.1</x:v>
      </x:c>
      <x:c r="G412" s="85" t="n">
        <x:v>0.1</x:v>
      </x:c>
      <x:c r="H412" s="85" t="n">
        <x:v>0.1</x:v>
      </x:c>
      <x:c r="I412" s="85" t="n">
        <x:v>0.1</x:v>
      </x:c>
    </x:row>
    <x:row r="413" ht="30" customHeight="1">
      <x:c r="C413" s="64" t="str">
        <x:v>Upside</x:v>
      </x:c>
      <x:c r="D413" s="63"/>
      <x:c r="E413" s="85" t="n">
        <x:v>0.1</x:v>
      </x:c>
      <x:c r="F413" s="85" t="n">
        <x:v>0.1</x:v>
      </x:c>
      <x:c r="G413" s="85" t="n">
        <x:v>0.1</x:v>
      </x:c>
      <x:c r="H413" s="85" t="n">
        <x:v>0.1</x:v>
      </x:c>
      <x:c r="I413" s="85" t="n">
        <x:v>0.1</x:v>
      </x:c>
    </x:row>
    <x:row r="414" ht="30" customHeight="1">
      <x:c r="C414" s="64"/>
      <x:c r="D414" s="63"/>
      <x:c r="E414" s="63"/>
      <x:c r="F414" s="63"/>
      <x:c r="G414" s="63"/>
      <x:c r="H414" s="63"/>
      <x:c r="I414" s="63"/>
    </x:row>
    <x:row r="415" ht="30" customHeight="1">
      <x:c r="C415" s="64" t="str">
        <x:v>Cash capex / revenue — active</x:v>
      </x:c>
      <x:c r="D415" s="63"/>
      <x:c r="E415" s="83" t="n">
        <x:f>IF(COUNT(CHOOSE('Controls'!$E$5,E416,E417,E418))=1,CHOOSE('Controls'!$E$5,E416,E417,E418),NA())</x:f>
        <x:v>0.025</x:v>
      </x:c>
      <x:c r="F415" s="83" t="n">
        <x:f>IF(COUNT(CHOOSE('Controls'!$E$5,F416,F417,F418))=1,CHOOSE('Controls'!$E$5,F416,F417,F418),NA())</x:f>
        <x:v>0.025</x:v>
      </x:c>
      <x:c r="G415" s="83" t="n">
        <x:f>IF(COUNT(CHOOSE('Controls'!$E$5,G416,G417,G418))=1,CHOOSE('Controls'!$E$5,G416,G417,G418),NA())</x:f>
        <x:v>0.025</x:v>
      </x:c>
      <x:c r="H415" s="83" t="n">
        <x:f>IF(COUNT(CHOOSE('Controls'!$E$5,H416,H417,H418))=1,CHOOSE('Controls'!$E$5,H416,H417,H418),NA())</x:f>
        <x:v>0.025</x:v>
      </x:c>
      <x:c r="I415" s="83" t="n">
        <x:f>IF(COUNT(CHOOSE('Controls'!$E$5,I416,I417,I418))=1,CHOOSE('Controls'!$E$5,I416,I417,I418),NA())</x:f>
        <x:v>0.025</x:v>
      </x:c>
    </x:row>
    <x:row r="416" ht="30" customHeight="1">
      <x:c r="C416" s="64" t="str">
        <x:v>Base</x:v>
      </x:c>
      <x:c r="D416" s="63"/>
      <x:c r="E416" s="85" t="n">
        <x:v>0.025</x:v>
      </x:c>
      <x:c r="F416" s="85" t="n">
        <x:v>0.025</x:v>
      </x:c>
      <x:c r="G416" s="85" t="n">
        <x:v>0.025</x:v>
      </x:c>
      <x:c r="H416" s="85" t="n">
        <x:v>0.025</x:v>
      </x:c>
      <x:c r="I416" s="85" t="n">
        <x:v>0.025</x:v>
      </x:c>
    </x:row>
    <x:row r="417" ht="30" customHeight="1">
      <x:c r="C417" s="64" t="str">
        <x:v>Downside</x:v>
      </x:c>
      <x:c r="D417" s="63"/>
      <x:c r="E417" s="85" t="n">
        <x:v>0.025</x:v>
      </x:c>
      <x:c r="F417" s="85" t="n">
        <x:v>0.025</x:v>
      </x:c>
      <x:c r="G417" s="85" t="n">
        <x:v>0.025</x:v>
      </x:c>
      <x:c r="H417" s="85" t="n">
        <x:v>0.025</x:v>
      </x:c>
      <x:c r="I417" s="85" t="n">
        <x:v>0.025</x:v>
      </x:c>
    </x:row>
    <x:row r="418" ht="30" customHeight="1">
      <x:c r="C418" s="64" t="str">
        <x:v>Upside</x:v>
      </x:c>
      <x:c r="D418" s="63"/>
      <x:c r="E418" s="85" t="n">
        <x:v>0.025</x:v>
      </x:c>
      <x:c r="F418" s="85" t="n">
        <x:v>0.025</x:v>
      </x:c>
      <x:c r="G418" s="85" t="n">
        <x:v>0.025</x:v>
      </x:c>
      <x:c r="H418" s="85" t="n">
        <x:v>0.025</x:v>
      </x:c>
      <x:c r="I418" s="85" t="n">
        <x:v>0.025</x:v>
      </x:c>
    </x:row>
    <x:row r="419" ht="30" customHeight="1">
      <x:c r="C419" s="64"/>
      <x:c r="D419" s="63"/>
      <x:c r="E419" s="63"/>
      <x:c r="F419" s="63"/>
      <x:c r="G419" s="63"/>
      <x:c r="H419" s="63"/>
      <x:c r="I419" s="63"/>
    </x:row>
    <x:row r="420" ht="30" customHeight="1">
      <x:c r="C420" s="64" t="str">
        <x:v>D&amp;A / opening net PP&amp;E — active</x:v>
      </x:c>
      <x:c r="D420" s="63"/>
      <x:c r="E420" s="83" t="n">
        <x:f>IF(COUNT(CHOOSE('Controls'!$E$5,E421,E422,E423))=1,CHOOSE('Controls'!$E$5,E421,E422,E423),NA())</x:f>
        <x:v>0.16</x:v>
      </x:c>
      <x:c r="F420" s="83" t="n">
        <x:f>IF(COUNT(CHOOSE('Controls'!$E$5,F421,F422,F423))=1,CHOOSE('Controls'!$E$5,F421,F422,F423),NA())</x:f>
        <x:v>0.16</x:v>
      </x:c>
      <x:c r="G420" s="83" t="n">
        <x:f>IF(COUNT(CHOOSE('Controls'!$E$5,G421,G422,G423))=1,CHOOSE('Controls'!$E$5,G421,G422,G423),NA())</x:f>
        <x:v>0.16</x:v>
      </x:c>
      <x:c r="H420" s="83" t="n">
        <x:f>IF(COUNT(CHOOSE('Controls'!$E$5,H421,H422,H423))=1,CHOOSE('Controls'!$E$5,H421,H422,H423),NA())</x:f>
        <x:v>0.16</x:v>
      </x:c>
      <x:c r="I420" s="83" t="n">
        <x:f>IF(COUNT(CHOOSE('Controls'!$E$5,I421,I422,I423))=1,CHOOSE('Controls'!$E$5,I421,I422,I423),NA())</x:f>
        <x:v>0.16</x:v>
      </x:c>
    </x:row>
    <x:row r="421" ht="30" customHeight="1">
      <x:c r="C421" s="64" t="str">
        <x:v>Base</x:v>
      </x:c>
      <x:c r="D421" s="63"/>
      <x:c r="E421" s="85" t="n">
        <x:v>0.16</x:v>
      </x:c>
      <x:c r="F421" s="85" t="n">
        <x:v>0.16</x:v>
      </x:c>
      <x:c r="G421" s="85" t="n">
        <x:v>0.16</x:v>
      </x:c>
      <x:c r="H421" s="85" t="n">
        <x:v>0.16</x:v>
      </x:c>
      <x:c r="I421" s="85" t="n">
        <x:v>0.16</x:v>
      </x:c>
    </x:row>
    <x:row r="422" ht="30" customHeight="1">
      <x:c r="C422" s="64" t="str">
        <x:v>Downside</x:v>
      </x:c>
      <x:c r="D422" s="63"/>
      <x:c r="E422" s="85" t="n">
        <x:v>0.16</x:v>
      </x:c>
      <x:c r="F422" s="85" t="n">
        <x:v>0.16</x:v>
      </x:c>
      <x:c r="G422" s="85" t="n">
        <x:v>0.16</x:v>
      </x:c>
      <x:c r="H422" s="85" t="n">
        <x:v>0.16</x:v>
      </x:c>
      <x:c r="I422" s="85" t="n">
        <x:v>0.16</x:v>
      </x:c>
    </x:row>
    <x:row r="423" ht="30" customHeight="1">
      <x:c r="C423" s="64" t="str">
        <x:v>Upside</x:v>
      </x:c>
      <x:c r="D423" s="63"/>
      <x:c r="E423" s="85" t="n">
        <x:v>0.16</x:v>
      </x:c>
      <x:c r="F423" s="85" t="n">
        <x:v>0.16</x:v>
      </x:c>
      <x:c r="G423" s="85" t="n">
        <x:v>0.16</x:v>
      </x:c>
      <x:c r="H423" s="85" t="n">
        <x:v>0.16</x:v>
      </x:c>
      <x:c r="I423" s="85" t="n">
        <x:v>0.16</x:v>
      </x:c>
    </x:row>
    <x:row r="424" ht="30" customHeight="1">
      <x:c r="C424" s="64"/>
      <x:c r="D424" s="63"/>
      <x:c r="E424" s="63"/>
      <x:c r="F424" s="63"/>
      <x:c r="G424" s="63"/>
      <x:c r="H424" s="63"/>
      <x:c r="I424" s="63"/>
    </x:row>
    <x:row r="425" ht="30" customHeight="1">
      <x:c r="C425" s="64" t="str">
        <x:v>Receivable days — active</x:v>
      </x:c>
      <x:c r="D425" s="63"/>
      <x:c r="E425" s="8" t="n">
        <x:f>IF(COUNT(CHOOSE('Controls'!$E$5,E426,E427,E428))=1,CHOOSE('Controls'!$E$5,E426,E427,E428),NA())</x:f>
        <x:v>120</x:v>
      </x:c>
      <x:c r="F425" s="8" t="n">
        <x:f>IF(COUNT(CHOOSE('Controls'!$E$5,F426,F427,F428))=1,CHOOSE('Controls'!$E$5,F426,F427,F428),NA())</x:f>
        <x:v>120</x:v>
      </x:c>
      <x:c r="G425" s="8" t="n">
        <x:f>IF(COUNT(CHOOSE('Controls'!$E$5,G426,G427,G428))=1,CHOOSE('Controls'!$E$5,G426,G427,G428),NA())</x:f>
        <x:v>120</x:v>
      </x:c>
      <x:c r="H425" s="8" t="n">
        <x:f>IF(COUNT(CHOOSE('Controls'!$E$5,H426,H427,H428))=1,CHOOSE('Controls'!$E$5,H426,H427,H428),NA())</x:f>
        <x:v>120</x:v>
      </x:c>
      <x:c r="I425" s="8" t="n">
        <x:f>IF(COUNT(CHOOSE('Controls'!$E$5,I426,I427,I428))=1,CHOOSE('Controls'!$E$5,I426,I427,I428),NA())</x:f>
        <x:v>120</x:v>
      </x:c>
    </x:row>
    <x:row r="426" ht="30" customHeight="1">
      <x:c r="C426" s="64" t="str">
        <x:v>Base</x:v>
      </x:c>
      <x:c r="D426" s="63"/>
      <x:c r="E426" s="74" t="n">
        <x:v>120</x:v>
      </x:c>
      <x:c r="F426" s="74" t="n">
        <x:v>120</x:v>
      </x:c>
      <x:c r="G426" s="74" t="n">
        <x:v>120</x:v>
      </x:c>
      <x:c r="H426" s="74" t="n">
        <x:v>120</x:v>
      </x:c>
      <x:c r="I426" s="74" t="n">
        <x:v>120</x:v>
      </x:c>
    </x:row>
    <x:row r="427" ht="30" customHeight="1">
      <x:c r="C427" s="64" t="str">
        <x:v>Downside</x:v>
      </x:c>
      <x:c r="D427" s="63"/>
      <x:c r="E427" s="74" t="n">
        <x:v>120</x:v>
      </x:c>
      <x:c r="F427" s="74" t="n">
        <x:v>120</x:v>
      </x:c>
      <x:c r="G427" s="74" t="n">
        <x:v>120</x:v>
      </x:c>
      <x:c r="H427" s="74" t="n">
        <x:v>120</x:v>
      </x:c>
      <x:c r="I427" s="74" t="n">
        <x:v>120</x:v>
      </x:c>
    </x:row>
    <x:row r="428" ht="30" customHeight="1">
      <x:c r="C428" s="64" t="str">
        <x:v>Upside</x:v>
      </x:c>
      <x:c r="D428" s="63"/>
      <x:c r="E428" s="74" t="n">
        <x:v>120</x:v>
      </x:c>
      <x:c r="F428" s="74" t="n">
        <x:v>120</x:v>
      </x:c>
      <x:c r="G428" s="74" t="n">
        <x:v>120</x:v>
      </x:c>
      <x:c r="H428" s="74" t="n">
        <x:v>120</x:v>
      </x:c>
      <x:c r="I428" s="74" t="n">
        <x:v>120</x:v>
      </x:c>
    </x:row>
    <x:row r="429" ht="30" customHeight="1">
      <x:c r="C429" s="64"/>
      <x:c r="D429" s="63"/>
      <x:c r="E429" s="63"/>
      <x:c r="F429" s="63"/>
      <x:c r="G429" s="63"/>
      <x:c r="H429" s="63"/>
      <x:c r="I429" s="63"/>
    </x:row>
    <x:row r="430" ht="30" customHeight="1">
      <x:c r="C430" s="64" t="str">
        <x:v>Inventory days — active</x:v>
      </x:c>
      <x:c r="D430" s="63"/>
      <x:c r="E430" s="8" t="n">
        <x:f>IF(COUNT(CHOOSE('Controls'!$E$5,E431,E432,E433))=1,CHOOSE('Controls'!$E$5,E431,E432,E433),NA())</x:f>
        <x:v>20</x:v>
      </x:c>
      <x:c r="F430" s="8" t="n">
        <x:f>IF(COUNT(CHOOSE('Controls'!$E$5,F431,F432,F433))=1,CHOOSE('Controls'!$E$5,F431,F432,F433),NA())</x:f>
        <x:v>20</x:v>
      </x:c>
      <x:c r="G430" s="8" t="n">
        <x:f>IF(COUNT(CHOOSE('Controls'!$E$5,G431,G432,G433))=1,CHOOSE('Controls'!$E$5,G431,G432,G433),NA())</x:f>
        <x:v>20</x:v>
      </x:c>
      <x:c r="H430" s="8" t="n">
        <x:f>IF(COUNT(CHOOSE('Controls'!$E$5,H431,H432,H433))=1,CHOOSE('Controls'!$E$5,H431,H432,H433),NA())</x:f>
        <x:v>20</x:v>
      </x:c>
      <x:c r="I430" s="8" t="n">
        <x:f>IF(COUNT(CHOOSE('Controls'!$E$5,I431,I432,I433))=1,CHOOSE('Controls'!$E$5,I431,I432,I433),NA())</x:f>
        <x:v>20</x:v>
      </x:c>
    </x:row>
    <x:row r="431" ht="30" customHeight="1">
      <x:c r="C431" s="64" t="str">
        <x:v>Base</x:v>
      </x:c>
      <x:c r="D431" s="63"/>
      <x:c r="E431" s="74" t="n">
        <x:v>20</x:v>
      </x:c>
      <x:c r="F431" s="74" t="n">
        <x:v>20</x:v>
      </x:c>
      <x:c r="G431" s="74" t="n">
        <x:v>20</x:v>
      </x:c>
      <x:c r="H431" s="74" t="n">
        <x:v>20</x:v>
      </x:c>
      <x:c r="I431" s="74" t="n">
        <x:v>20</x:v>
      </x:c>
    </x:row>
    <x:row r="432" ht="30" customHeight="1">
      <x:c r="C432" s="64" t="str">
        <x:v>Downside</x:v>
      </x:c>
      <x:c r="D432" s="63"/>
      <x:c r="E432" s="74" t="n">
        <x:v>20</x:v>
      </x:c>
      <x:c r="F432" s="74" t="n">
        <x:v>20</x:v>
      </x:c>
      <x:c r="G432" s="74" t="n">
        <x:v>20</x:v>
      </x:c>
      <x:c r="H432" s="74" t="n">
        <x:v>20</x:v>
      </x:c>
      <x:c r="I432" s="74" t="n">
        <x:v>20</x:v>
      </x:c>
    </x:row>
    <x:row r="433" ht="30" customHeight="1">
      <x:c r="C433" s="64" t="str">
        <x:v>Upside</x:v>
      </x:c>
      <x:c r="D433" s="63"/>
      <x:c r="E433" s="74" t="n">
        <x:v>20</x:v>
      </x:c>
      <x:c r="F433" s="74" t="n">
        <x:v>20</x:v>
      </x:c>
      <x:c r="G433" s="74" t="n">
        <x:v>20</x:v>
      </x:c>
      <x:c r="H433" s="74" t="n">
        <x:v>20</x:v>
      </x:c>
      <x:c r="I433" s="74" t="n">
        <x:v>20</x:v>
      </x:c>
    </x:row>
    <x:row r="434" ht="30" customHeight="1">
      <x:c r="C434" s="64"/>
      <x:c r="D434" s="63"/>
      <x:c r="E434" s="63"/>
      <x:c r="F434" s="63"/>
      <x:c r="G434" s="63"/>
      <x:c r="H434" s="63"/>
      <x:c r="I434" s="63"/>
    </x:row>
    <x:row r="435" ht="30" customHeight="1">
      <x:c r="C435" s="64" t="str">
        <x:v>Payable days — active</x:v>
      </x:c>
      <x:c r="D435" s="63"/>
      <x:c r="E435" s="8" t="n">
        <x:f>IF(COUNT(CHOOSE('Controls'!$E$5,E436,E437,E438))=1,CHOOSE('Controls'!$E$5,E436,E437,E438),NA())</x:f>
        <x:v>90</x:v>
      </x:c>
      <x:c r="F435" s="8" t="n">
        <x:f>IF(COUNT(CHOOSE('Controls'!$E$5,F436,F437,F438))=1,CHOOSE('Controls'!$E$5,F436,F437,F438),NA())</x:f>
        <x:v>90</x:v>
      </x:c>
      <x:c r="G435" s="8" t="n">
        <x:f>IF(COUNT(CHOOSE('Controls'!$E$5,G436,G437,G438))=1,CHOOSE('Controls'!$E$5,G436,G437,G438),NA())</x:f>
        <x:v>90</x:v>
      </x:c>
      <x:c r="H435" s="8" t="n">
        <x:f>IF(COUNT(CHOOSE('Controls'!$E$5,H436,H437,H438))=1,CHOOSE('Controls'!$E$5,H436,H437,H438),NA())</x:f>
        <x:v>90</x:v>
      </x:c>
      <x:c r="I435" s="8" t="n">
        <x:f>IF(COUNT(CHOOSE('Controls'!$E$5,I436,I437,I438))=1,CHOOSE('Controls'!$E$5,I436,I437,I438),NA())</x:f>
        <x:v>90</x:v>
      </x:c>
    </x:row>
    <x:row r="436" ht="30" customHeight="1">
      <x:c r="C436" s="64" t="str">
        <x:v>Base</x:v>
      </x:c>
      <x:c r="D436" s="63"/>
      <x:c r="E436" s="74" t="n">
        <x:v>90</x:v>
      </x:c>
      <x:c r="F436" s="74" t="n">
        <x:v>90</x:v>
      </x:c>
      <x:c r="G436" s="74" t="n">
        <x:v>90</x:v>
      </x:c>
      <x:c r="H436" s="74" t="n">
        <x:v>90</x:v>
      </x:c>
      <x:c r="I436" s="74" t="n">
        <x:v>90</x:v>
      </x:c>
    </x:row>
    <x:row r="437" ht="30" customHeight="1">
      <x:c r="C437" s="64" t="str">
        <x:v>Downside</x:v>
      </x:c>
      <x:c r="D437" s="63"/>
      <x:c r="E437" s="74" t="n">
        <x:v>90</x:v>
      </x:c>
      <x:c r="F437" s="74" t="n">
        <x:v>90</x:v>
      </x:c>
      <x:c r="G437" s="74" t="n">
        <x:v>90</x:v>
      </x:c>
      <x:c r="H437" s="74" t="n">
        <x:v>90</x:v>
      </x:c>
      <x:c r="I437" s="74" t="n">
        <x:v>90</x:v>
      </x:c>
    </x:row>
    <x:row r="438" ht="30" customHeight="1">
      <x:c r="C438" s="64" t="str">
        <x:v>Upside</x:v>
      </x:c>
      <x:c r="D438" s="63"/>
      <x:c r="E438" s="74" t="n">
        <x:v>90</x:v>
      </x:c>
      <x:c r="F438" s="74" t="n">
        <x:v>90</x:v>
      </x:c>
      <x:c r="G438" s="74" t="n">
        <x:v>90</x:v>
      </x:c>
      <x:c r="H438" s="74" t="n">
        <x:v>90</x:v>
      </x:c>
      <x:c r="I438" s="74" t="n">
        <x:v>90</x:v>
      </x:c>
    </x:row>
    <x:row r="439" ht="30" customHeight="1">
      <x:c r="C439" s="64"/>
      <x:c r="D439" s="63"/>
      <x:c r="E439" s="63"/>
      <x:c r="F439" s="63"/>
      <x:c r="G439" s="63"/>
      <x:c r="H439" s="63"/>
      <x:c r="I439" s="63"/>
    </x:row>
    <x:row r="440" ht="30" customHeight="1">
      <x:c r="C440" s="64" t="str">
        <x:v>Effective cash tax rate — active</x:v>
      </x:c>
      <x:c r="D440" s="63"/>
      <x:c r="E440" s="83" t="n">
        <x:f>IF(COUNT(CHOOSE('Controls'!$E$5,E441,E442,E443))=1,CHOOSE('Controls'!$E$5,E441,E442,E443),NA())</x:f>
        <x:v>0.25</x:v>
      </x:c>
      <x:c r="F440" s="83" t="n">
        <x:f>IF(COUNT(CHOOSE('Controls'!$E$5,F441,F442,F443))=1,CHOOSE('Controls'!$E$5,F441,F442,F443),NA())</x:f>
        <x:v>0.25</x:v>
      </x:c>
      <x:c r="G440" s="83" t="n">
        <x:f>IF(COUNT(CHOOSE('Controls'!$E$5,G441,G442,G443))=1,CHOOSE('Controls'!$E$5,G441,G442,G443),NA())</x:f>
        <x:v>0.25</x:v>
      </x:c>
      <x:c r="H440" s="83" t="n">
        <x:f>IF(COUNT(CHOOSE('Controls'!$E$5,H441,H442,H443))=1,CHOOSE('Controls'!$E$5,H441,H442,H443),NA())</x:f>
        <x:v>0.25</x:v>
      </x:c>
      <x:c r="I440" s="83" t="n">
        <x:f>IF(COUNT(CHOOSE('Controls'!$E$5,I441,I442,I443))=1,CHOOSE('Controls'!$E$5,I441,I442,I443),NA())</x:f>
        <x:v>0.25</x:v>
      </x:c>
    </x:row>
    <x:row r="441" ht="30" customHeight="1">
      <x:c r="C441" s="64" t="str">
        <x:v>Base</x:v>
      </x:c>
      <x:c r="D441" s="63"/>
      <x:c r="E441" s="85" t="n">
        <x:v>0.25</x:v>
      </x:c>
      <x:c r="F441" s="85" t="n">
        <x:v>0.25</x:v>
      </x:c>
      <x:c r="G441" s="85" t="n">
        <x:v>0.25</x:v>
      </x:c>
      <x:c r="H441" s="85" t="n">
        <x:v>0.25</x:v>
      </x:c>
      <x:c r="I441" s="85" t="n">
        <x:v>0.25</x:v>
      </x:c>
    </x:row>
    <x:row r="442" ht="30" customHeight="1">
      <x:c r="C442" s="64" t="str">
        <x:v>Downside</x:v>
      </x:c>
      <x:c r="D442" s="63"/>
      <x:c r="E442" s="85" t="n">
        <x:v>0.25</x:v>
      </x:c>
      <x:c r="F442" s="85" t="n">
        <x:v>0.25</x:v>
      </x:c>
      <x:c r="G442" s="85" t="n">
        <x:v>0.25</x:v>
      </x:c>
      <x:c r="H442" s="85" t="n">
        <x:v>0.25</x:v>
      </x:c>
      <x:c r="I442" s="85" t="n">
        <x:v>0.25</x:v>
      </x:c>
    </x:row>
    <x:row r="443" ht="30" customHeight="1">
      <x:c r="C443" s="64" t="str">
        <x:v>Upside</x:v>
      </x:c>
      <x:c r="D443" s="63"/>
      <x:c r="E443" s="85" t="n">
        <x:v>0.25</x:v>
      </x:c>
      <x:c r="F443" s="85" t="n">
        <x:v>0.25</x:v>
      </x:c>
      <x:c r="G443" s="85" t="n">
        <x:v>0.25</x:v>
      </x:c>
      <x:c r="H443" s="85" t="n">
        <x:v>0.25</x:v>
      </x:c>
      <x:c r="I443" s="85" t="n">
        <x:v>0.25</x:v>
      </x:c>
    </x:row>
    <x:row r="444" ht="30" customHeight="1">
      <x:c r="C444" s="64"/>
      <x:c r="D444" s="63"/>
      <x:c r="E444" s="63"/>
      <x:c r="F444" s="63"/>
      <x:c r="G444" s="63"/>
      <x:c r="H444" s="63"/>
      <x:c r="I444" s="63"/>
    </x:row>
    <x:row r="445" ht="30" customHeight="1">
      <x:c r="C445" s="64" t="str">
        <x:v>Interest on opening debt — active</x:v>
      </x:c>
      <x:c r="D445" s="63"/>
      <x:c r="E445" s="83" t="n">
        <x:f>IF(COUNT(CHOOSE('Controls'!$E$5,E446,E447,E448))=1,CHOOSE('Controls'!$E$5,E446,E447,E448),NA())</x:f>
        <x:v>0.085</x:v>
      </x:c>
      <x:c r="F445" s="83" t="n">
        <x:f>IF(COUNT(CHOOSE('Controls'!$E$5,F446,F447,F448))=1,CHOOSE('Controls'!$E$5,F446,F447,F448),NA())</x:f>
        <x:v>0.085</x:v>
      </x:c>
      <x:c r="G445" s="83" t="n">
        <x:f>IF(COUNT(CHOOSE('Controls'!$E$5,G446,G447,G448))=1,CHOOSE('Controls'!$E$5,G446,G447,G448),NA())</x:f>
        <x:v>0.085</x:v>
      </x:c>
      <x:c r="H445" s="83" t="n">
        <x:f>IF(COUNT(CHOOSE('Controls'!$E$5,H446,H447,H448))=1,CHOOSE('Controls'!$E$5,H446,H447,H448),NA())</x:f>
        <x:v>0.085</x:v>
      </x:c>
      <x:c r="I445" s="83" t="n">
        <x:f>IF(COUNT(CHOOSE('Controls'!$E$5,I446,I447,I448))=1,CHOOSE('Controls'!$E$5,I446,I447,I448),NA())</x:f>
        <x:v>0.085</x:v>
      </x:c>
    </x:row>
    <x:row r="446" ht="30" customHeight="1">
      <x:c r="C446" s="64" t="str">
        <x:v>Base</x:v>
      </x:c>
      <x:c r="D446" s="63"/>
      <x:c r="E446" s="85" t="n">
        <x:v>0.085</x:v>
      </x:c>
      <x:c r="F446" s="85" t="n">
        <x:v>0.085</x:v>
      </x:c>
      <x:c r="G446" s="85" t="n">
        <x:v>0.085</x:v>
      </x:c>
      <x:c r="H446" s="85" t="n">
        <x:v>0.085</x:v>
      </x:c>
      <x:c r="I446" s="85" t="n">
        <x:v>0.085</x:v>
      </x:c>
    </x:row>
    <x:row r="447" ht="30" customHeight="1">
      <x:c r="C447" s="64" t="str">
        <x:v>Downside</x:v>
      </x:c>
      <x:c r="D447" s="63"/>
      <x:c r="E447" s="85" t="n">
        <x:v>0.085</x:v>
      </x:c>
      <x:c r="F447" s="85" t="n">
        <x:v>0.085</x:v>
      </x:c>
      <x:c r="G447" s="85" t="n">
        <x:v>0.085</x:v>
      </x:c>
      <x:c r="H447" s="85" t="n">
        <x:v>0.085</x:v>
      </x:c>
      <x:c r="I447" s="85" t="n">
        <x:v>0.085</x:v>
      </x:c>
    </x:row>
    <x:row r="448" ht="30" customHeight="1">
      <x:c r="C448" s="64" t="str">
        <x:v>Upside</x:v>
      </x:c>
      <x:c r="D448" s="63"/>
      <x:c r="E448" s="85" t="n">
        <x:v>0.085</x:v>
      </x:c>
      <x:c r="F448" s="85" t="n">
        <x:v>0.085</x:v>
      </x:c>
      <x:c r="G448" s="85" t="n">
        <x:v>0.085</x:v>
      </x:c>
      <x:c r="H448" s="85" t="n">
        <x:v>0.085</x:v>
      </x:c>
      <x:c r="I448" s="85" t="n">
        <x:v>0.085</x:v>
      </x:c>
    </x:row>
    <x:row r="449" ht="30" customHeight="1">
      <x:c r="C449" s="64"/>
      <x:c r="D449" s="63"/>
      <x:c r="E449" s="63"/>
      <x:c r="F449" s="63"/>
      <x:c r="G449" s="63"/>
      <x:c r="H449" s="63"/>
      <x:c r="I449" s="63"/>
    </x:row>
    <x:row r="450" ht="30" customHeight="1">
      <x:c r="C450" s="64" t="str">
        <x:v>New borrowing — active</x:v>
      </x:c>
      <x:c r="D450" s="63"/>
      <x:c r="E450" s="8" t="n">
        <x:f>IF(COUNT(CHOOSE('Controls'!$E$5,E451,E452,E453))=1,CHOOSE('Controls'!$E$5,E451,E452,E453),NA())</x:f>
        <x:v>0</x:v>
      </x:c>
      <x:c r="F450" s="8" t="n">
        <x:f>IF(COUNT(CHOOSE('Controls'!$E$5,F451,F452,F453))=1,CHOOSE('Controls'!$E$5,F451,F452,F453),NA())</x:f>
        <x:v>0</x:v>
      </x:c>
      <x:c r="G450" s="8" t="n">
        <x:f>IF(COUNT(CHOOSE('Controls'!$E$5,G451,G452,G453))=1,CHOOSE('Controls'!$E$5,G451,G452,G453),NA())</x:f>
        <x:v>0</x:v>
      </x:c>
      <x:c r="H450" s="8" t="n">
        <x:f>IF(COUNT(CHOOSE('Controls'!$E$5,H451,H452,H453))=1,CHOOSE('Controls'!$E$5,H451,H452,H453),NA())</x:f>
        <x:v>0</x:v>
      </x:c>
      <x:c r="I450" s="8" t="n">
        <x:f>IF(COUNT(CHOOSE('Controls'!$E$5,I451,I452,I453))=1,CHOOSE('Controls'!$E$5,I451,I452,I453),NA())</x:f>
        <x:v>0</x:v>
      </x:c>
    </x:row>
    <x:row r="451" ht="30" customHeight="1">
      <x:c r="C451" s="64" t="str">
        <x:v>Base</x:v>
      </x:c>
      <x:c r="D451" s="63"/>
      <x:c r="E451" s="74" t="n">
        <x:v>0</x:v>
      </x:c>
      <x:c r="F451" s="74" t="n">
        <x:v>0</x:v>
      </x:c>
      <x:c r="G451" s="74" t="n">
        <x:v>0</x:v>
      </x:c>
      <x:c r="H451" s="74" t="n">
        <x:v>0</x:v>
      </x:c>
      <x:c r="I451" s="74" t="n">
        <x:v>0</x:v>
      </x:c>
    </x:row>
    <x:row r="452" ht="30" customHeight="1">
      <x:c r="C452" s="64" t="str">
        <x:v>Downside</x:v>
      </x:c>
      <x:c r="D452" s="63"/>
      <x:c r="E452" s="74" t="n">
        <x:v>0</x:v>
      </x:c>
      <x:c r="F452" s="74" t="n">
        <x:v>0</x:v>
      </x:c>
      <x:c r="G452" s="74" t="n">
        <x:v>0</x:v>
      </x:c>
      <x:c r="H452" s="74" t="n">
        <x:v>0</x:v>
      </x:c>
      <x:c r="I452" s="74" t="n">
        <x:v>0</x:v>
      </x:c>
    </x:row>
    <x:row r="453" ht="30" customHeight="1">
      <x:c r="C453" s="64" t="str">
        <x:v>Upside</x:v>
      </x:c>
      <x:c r="D453" s="63"/>
      <x:c r="E453" s="74" t="n">
        <x:v>0</x:v>
      </x:c>
      <x:c r="F453" s="74" t="n">
        <x:v>0</x:v>
      </x:c>
      <x:c r="G453" s="74" t="n">
        <x:v>0</x:v>
      </x:c>
      <x:c r="H453" s="74" t="n">
        <x:v>0</x:v>
      </x:c>
      <x:c r="I453" s="74" t="n">
        <x:v>0</x:v>
      </x:c>
    </x:row>
    <x:row r="454" ht="30" customHeight="1">
      <x:c r="C454" s="64"/>
      <x:c r="D454" s="63"/>
      <x:c r="E454" s="63"/>
      <x:c r="F454" s="63"/>
      <x:c r="G454" s="63"/>
      <x:c r="H454" s="63"/>
      <x:c r="I454" s="63"/>
    </x:row>
    <x:row r="455" ht="30" customHeight="1">
      <x:c r="C455" s="64" t="str">
        <x:v>Scheduled principal repayment — active</x:v>
      </x:c>
      <x:c r="D455" s="63"/>
      <x:c r="E455" s="8" t="n">
        <x:f>IF(COUNT(CHOOSE('Controls'!$E$5,E456,E457,E458))=1,CHOOSE('Controls'!$E$5,E456,E457,E458),NA())</x:f>
        <x:v>90</x:v>
      </x:c>
      <x:c r="F455" s="8" t="n">
        <x:f>IF(COUNT(CHOOSE('Controls'!$E$5,F456,F457,F458))=1,CHOOSE('Controls'!$E$5,F456,F457,F458),NA())</x:f>
        <x:v>90</x:v>
      </x:c>
      <x:c r="G455" s="8" t="n">
        <x:f>IF(COUNT(CHOOSE('Controls'!$E$5,G456,G457,G458))=1,CHOOSE('Controls'!$E$5,G456,G457,G458),NA())</x:f>
        <x:v>90</x:v>
      </x:c>
      <x:c r="H455" s="8" t="n">
        <x:f>IF(COUNT(CHOOSE('Controls'!$E$5,H456,H457,H458))=1,CHOOSE('Controls'!$E$5,H456,H457,H458),NA())</x:f>
        <x:v>90</x:v>
      </x:c>
      <x:c r="I455" s="8" t="n">
        <x:f>IF(COUNT(CHOOSE('Controls'!$E$5,I456,I457,I458))=1,CHOOSE('Controls'!$E$5,I456,I457,I458),NA())</x:f>
        <x:v>90</x:v>
      </x:c>
    </x:row>
    <x:row r="456" ht="30" customHeight="1">
      <x:c r="C456" s="64" t="str">
        <x:v>Base</x:v>
      </x:c>
      <x:c r="D456" s="63"/>
      <x:c r="E456" s="74" t="n">
        <x:v>90</x:v>
      </x:c>
      <x:c r="F456" s="74" t="n">
        <x:v>90</x:v>
      </x:c>
      <x:c r="G456" s="74" t="n">
        <x:v>90</x:v>
      </x:c>
      <x:c r="H456" s="74" t="n">
        <x:v>90</x:v>
      </x:c>
      <x:c r="I456" s="74" t="n">
        <x:v>90</x:v>
      </x:c>
    </x:row>
    <x:row r="457" ht="30" customHeight="1">
      <x:c r="C457" s="64" t="str">
        <x:v>Downside</x:v>
      </x:c>
      <x:c r="D457" s="63"/>
      <x:c r="E457" s="74" t="n">
        <x:v>90</x:v>
      </x:c>
      <x:c r="F457" s="74" t="n">
        <x:v>90</x:v>
      </x:c>
      <x:c r="G457" s="74" t="n">
        <x:v>90</x:v>
      </x:c>
      <x:c r="H457" s="74" t="n">
        <x:v>90</x:v>
      </x:c>
      <x:c r="I457" s="74" t="n">
        <x:v>90</x:v>
      </x:c>
    </x:row>
    <x:row r="458" ht="30" customHeight="1">
      <x:c r="C458" s="64" t="str">
        <x:v>Upside</x:v>
      </x:c>
      <x:c r="D458" s="63"/>
      <x:c r="E458" s="74" t="n">
        <x:v>90</x:v>
      </x:c>
      <x:c r="F458" s="74" t="n">
        <x:v>90</x:v>
      </x:c>
      <x:c r="G458" s="74" t="n">
        <x:v>90</x:v>
      </x:c>
      <x:c r="H458" s="74" t="n">
        <x:v>90</x:v>
      </x:c>
      <x:c r="I458" s="74" t="n">
        <x:v>90</x:v>
      </x:c>
    </x:row>
    <x:row r="459" ht="30" customHeight="1">
      <x:c r="C459" s="64"/>
      <x:c r="D459" s="63"/>
      <x:c r="E459" s="63"/>
      <x:c r="F459" s="63"/>
      <x:c r="G459" s="63"/>
      <x:c r="H459" s="63"/>
      <x:c r="I459" s="63"/>
    </x:row>
    <x:row r="460" ht="30" customHeight="1">
      <x:c r="C460" s="64" t="str">
        <x:v>Dividend payout on positive PAT — active</x:v>
      </x:c>
      <x:c r="D460" s="63"/>
      <x:c r="E460" s="83" t="n">
        <x:f>IF(COUNT(CHOOSE('Controls'!$E$5,E461,E462,E463))=1,CHOOSE('Controls'!$E$5,E461,E462,E463),NA())</x:f>
        <x:v>0.25</x:v>
      </x:c>
      <x:c r="F460" s="83" t="n">
        <x:f>IF(COUNT(CHOOSE('Controls'!$E$5,F461,F462,F463))=1,CHOOSE('Controls'!$E$5,F461,F462,F463),NA())</x:f>
        <x:v>0.25</x:v>
      </x:c>
      <x:c r="G460" s="83" t="n">
        <x:f>IF(COUNT(CHOOSE('Controls'!$E$5,G461,G462,G463))=1,CHOOSE('Controls'!$E$5,G461,G462,G463),NA())</x:f>
        <x:v>0.25</x:v>
      </x:c>
      <x:c r="H460" s="83" t="n">
        <x:f>IF(COUNT(CHOOSE('Controls'!$E$5,H461,H462,H463))=1,CHOOSE('Controls'!$E$5,H461,H462,H463),NA())</x:f>
        <x:v>0.25</x:v>
      </x:c>
      <x:c r="I460" s="83" t="n">
        <x:f>IF(COUNT(CHOOSE('Controls'!$E$5,I461,I462,I463))=1,CHOOSE('Controls'!$E$5,I461,I462,I463),NA())</x:f>
        <x:v>0.25</x:v>
      </x:c>
    </x:row>
    <x:row r="461" ht="30" customHeight="1">
      <x:c r="C461" s="64" t="str">
        <x:v>Base</x:v>
      </x:c>
      <x:c r="D461" s="63"/>
      <x:c r="E461" s="85" t="n">
        <x:v>0.25</x:v>
      </x:c>
      <x:c r="F461" s="85" t="n">
        <x:v>0.25</x:v>
      </x:c>
      <x:c r="G461" s="85" t="n">
        <x:v>0.25</x:v>
      </x:c>
      <x:c r="H461" s="85" t="n">
        <x:v>0.25</x:v>
      </x:c>
      <x:c r="I461" s="85" t="n">
        <x:v>0.25</x:v>
      </x:c>
    </x:row>
    <x:row r="462" ht="30" customHeight="1">
      <x:c r="C462" s="64" t="str">
        <x:v>Downside</x:v>
      </x:c>
      <x:c r="D462" s="63"/>
      <x:c r="E462" s="85" t="n">
        <x:v>0.25</x:v>
      </x:c>
      <x:c r="F462" s="85" t="n">
        <x:v>0.25</x:v>
      </x:c>
      <x:c r="G462" s="85" t="n">
        <x:v>0.25</x:v>
      </x:c>
      <x:c r="H462" s="85" t="n">
        <x:v>0.25</x:v>
      </x:c>
      <x:c r="I462" s="85" t="n">
        <x:v>0.25</x:v>
      </x:c>
    </x:row>
    <x:row r="463" ht="30" customHeight="1">
      <x:c r="C463" s="64" t="str">
        <x:v>Upside</x:v>
      </x:c>
      <x:c r="D463" s="63"/>
      <x:c r="E463" s="85" t="n">
        <x:v>0.25</x:v>
      </x:c>
      <x:c r="F463" s="85" t="n">
        <x:v>0.25</x:v>
      </x:c>
      <x:c r="G463" s="85" t="n">
        <x:v>0.25</x:v>
      </x:c>
      <x:c r="H463" s="85" t="n">
        <x:v>0.25</x:v>
      </x:c>
      <x:c r="I463" s="85" t="n">
        <x:v>0.25</x:v>
      </x:c>
    </x:row>
    <x:row r="464" ht="30" customHeight="1">
      <x:c r="C464" s="64"/>
      <x:c r="D464" s="63"/>
      <x:c r="E464" s="63"/>
      <x:c r="F464" s="63"/>
      <x:c r="G464" s="63"/>
      <x:c r="H464" s="63"/>
      <x:c r="I464" s="63"/>
    </x:row>
    <x:row r="465" ht="30" customHeight="1">
      <x:c r="C465" s="64"/>
      <x:c r="D465" s="63"/>
      <x:c r="E465" s="63"/>
      <x:c r="F465" s="63"/>
      <x:c r="G465" s="63"/>
      <x:c r="H465" s="63"/>
      <x:c r="I465" s="63"/>
    </x:row>
    <x:row r="466" ht="30" customHeight="1">
      <x:c r="C466" s="64"/>
      <x:c r="D466" s="63"/>
      <x:c r="E466" s="63"/>
      <x:c r="F466" s="63"/>
      <x:c r="G466" s="63"/>
      <x:c r="H466" s="63"/>
      <x:c r="I466" s="63"/>
    </x:row>
    <x:row r="467" ht="30" customHeight="1">
      <x:c r="C467" s="64"/>
      <x:c r="D467" s="63"/>
      <x:c r="E467" s="63"/>
      <x:c r="F467" s="63"/>
      <x:c r="G467" s="63"/>
      <x:c r="H467" s="63"/>
      <x:c r="I467" s="63"/>
    </x:row>
    <x:row r="468" ht="30" customHeight="1">
      <x:c r="C468" s="64"/>
      <x:c r="D468" s="63"/>
      <x:c r="E468" s="63"/>
      <x:c r="F468" s="63"/>
      <x:c r="G468" s="63"/>
      <x:c r="H468" s="63"/>
      <x:c r="I468" s="63"/>
    </x:row>
    <x:row r="469" ht="30" customHeight="1">
      <x:c r="C469" s="64"/>
      <x:c r="D469" s="63"/>
      <x:c r="E469" s="63"/>
      <x:c r="F469" s="63"/>
      <x:c r="G469" s="63"/>
      <x:c r="H469" s="63"/>
      <x:c r="I469" s="63"/>
    </x:row>
    <x:row r="470" ht="30" customHeight="1">
      <x:c r="C470" s="64"/>
      <x:c r="D470" s="63"/>
      <x:c r="E470" s="63"/>
      <x:c r="F470" s="63"/>
      <x:c r="G470" s="63"/>
      <x:c r="H470" s="63"/>
      <x:c r="I470" s="63"/>
    </x:row>
    <x:row r="471" ht="30" customHeight="1">
      <x:c r="C471" s="64"/>
      <x:c r="D471" s="63"/>
      <x:c r="E471" s="63"/>
      <x:c r="F471" s="63"/>
      <x:c r="G471" s="63"/>
      <x:c r="H471" s="63"/>
      <x:c r="I471" s="63"/>
    </x:row>
    <x:row r="472" ht="30" customHeight="1">
      <x:c r="C472" s="64"/>
      <x:c r="D472" s="63"/>
      <x:c r="E472" s="63"/>
      <x:c r="F472" s="63"/>
      <x:c r="G472" s="63"/>
      <x:c r="H472" s="63"/>
      <x:c r="I472" s="63"/>
    </x:row>
    <x:row r="473" ht="30" customHeight="1">
      <x:c r="C473" s="64"/>
      <x:c r="D473" s="63"/>
      <x:c r="E473" s="63"/>
      <x:c r="F473" s="63"/>
      <x:c r="G473" s="63"/>
      <x:c r="H473" s="63"/>
      <x:c r="I473" s="63"/>
    </x:row>
    <x:row r="474" ht="30" customHeight="1">
      <x:c r="C474" s="64"/>
      <x:c r="D474" s="63"/>
      <x:c r="E474" s="63"/>
      <x:c r="F474" s="63"/>
      <x:c r="G474" s="63"/>
      <x:c r="H474" s="63"/>
      <x:c r="I474" s="63"/>
    </x:row>
    <x:row r="475" ht="30" customHeight="1">
      <x:c r="C475" s="64"/>
      <x:c r="D475" s="63"/>
      <x:c r="E475" s="63"/>
      <x:c r="F475" s="63"/>
      <x:c r="G475" s="63"/>
      <x:c r="H475" s="63"/>
      <x:c r="I475" s="63"/>
    </x:row>
    <x:row r="476" ht="30" customHeight="1">
      <x:c r="C476" s="64"/>
      <x:c r="D476" s="63"/>
      <x:c r="E476" s="63"/>
      <x:c r="F476" s="63"/>
      <x:c r="G476" s="63"/>
      <x:c r="H476" s="63"/>
      <x:c r="I476" s="63"/>
    </x:row>
    <x:row r="477" ht="30" customHeight="1">
      <x:c r="C477" s="64"/>
      <x:c r="D477" s="63"/>
      <x:c r="E477" s="63"/>
      <x:c r="F477" s="63"/>
      <x:c r="G477" s="63"/>
      <x:c r="H477" s="63"/>
      <x:c r="I477" s="63"/>
    </x:row>
    <x:row r="478" ht="30" customHeight="1">
      <x:c r="C478" s="64"/>
      <x:c r="D478" s="63"/>
      <x:c r="E478" s="63"/>
      <x:c r="F478" s="63"/>
      <x:c r="G478" s="63"/>
      <x:c r="H478" s="63"/>
      <x:c r="I478" s="63"/>
    </x:row>
    <x:row r="479" ht="30" customHeight="1">
      <x:c r="C479" s="64"/>
      <x:c r="D479" s="63"/>
      <x:c r="E479" s="63"/>
      <x:c r="F479" s="63"/>
      <x:c r="G479" s="63"/>
      <x:c r="H479" s="63"/>
      <x:c r="I479" s="63"/>
    </x:row>
    <x:row r="480" ht="30" customHeight="1">
      <x:c r="C480" s="64"/>
      <x:c r="D480" s="63"/>
      <x:c r="E480" s="63"/>
      <x:c r="F480" s="63"/>
      <x:c r="G480" s="63"/>
      <x:c r="H480" s="63"/>
      <x:c r="I480" s="63"/>
    </x:row>
    <x:row r="481" ht="30" customHeight="1">
      <x:c r="C481" s="64"/>
      <x:c r="D481" s="63"/>
      <x:c r="E481" s="63"/>
      <x:c r="F481" s="63"/>
      <x:c r="G481" s="63"/>
      <x:c r="H481" s="63"/>
      <x:c r="I481" s="63"/>
    </x:row>
    <x:row r="482" ht="30" customHeight="1">
      <x:c r="C482" s="64"/>
      <x:c r="D482" s="63"/>
      <x:c r="E482" s="63"/>
      <x:c r="F482" s="63"/>
      <x:c r="G482" s="63"/>
      <x:c r="H482" s="63"/>
      <x:c r="I482" s="63"/>
    </x:row>
    <x:row r="483" ht="30" customHeight="1">
      <x:c r="C483" s="64"/>
      <x:c r="D483" s="63"/>
      <x:c r="E483" s="63"/>
      <x:c r="F483" s="63"/>
      <x:c r="G483" s="63"/>
      <x:c r="H483" s="63"/>
      <x:c r="I483" s="63"/>
    </x:row>
    <x:row r="484" ht="30" customHeight="1">
      <x:c r="C484" s="64"/>
      <x:c r="D484" s="63"/>
      <x:c r="E484" s="63"/>
      <x:c r="F484" s="63"/>
      <x:c r="G484" s="63"/>
      <x:c r="H484" s="63"/>
      <x:c r="I484" s="63"/>
    </x:row>
    <x:row r="485" ht="30" customHeight="1">
      <x:c r="C485" s="64"/>
      <x:c r="D485" s="63"/>
      <x:c r="E485" s="63"/>
      <x:c r="F485" s="63"/>
      <x:c r="G485" s="63"/>
      <x:c r="H485" s="63"/>
      <x:c r="I485" s="63"/>
    </x:row>
    <x:row r="486" ht="30" customHeight="1">
      <x:c r="C486" s="64"/>
      <x:c r="D486" s="63"/>
      <x:c r="E486" s="63"/>
      <x:c r="F486" s="63"/>
      <x:c r="G486" s="63"/>
      <x:c r="H486" s="63"/>
      <x:c r="I486" s="63"/>
    </x:row>
    <x:row r="487" ht="30" customHeight="1">
      <x:c r="C487" s="64"/>
      <x:c r="D487" s="63"/>
      <x:c r="E487" s="63"/>
      <x:c r="F487" s="63"/>
      <x:c r="G487" s="63"/>
      <x:c r="H487" s="63"/>
      <x:c r="I487" s="63"/>
    </x:row>
    <x:row r="488" ht="30" customHeight="1">
      <x:c r="C488" s="64"/>
      <x:c r="D488" s="63"/>
      <x:c r="E488" s="63"/>
      <x:c r="F488" s="63"/>
      <x:c r="G488" s="63"/>
      <x:c r="H488" s="63"/>
      <x:c r="I488" s="63"/>
    </x:row>
    <x:row r="489" ht="30" customHeight="1">
      <x:c r="C489" s="64"/>
      <x:c r="D489" s="63"/>
      <x:c r="E489" s="63"/>
      <x:c r="F489" s="63"/>
      <x:c r="G489" s="63"/>
      <x:c r="H489" s="63"/>
      <x:c r="I489" s="63"/>
    </x:row>
    <x:row r="490" ht="30" customHeight="1">
      <x:c r="C490" s="64"/>
      <x:c r="D490" s="63"/>
      <x:c r="E490" s="63"/>
      <x:c r="F490" s="63"/>
      <x:c r="G490" s="63"/>
      <x:c r="H490" s="63"/>
      <x:c r="I490" s="63"/>
    </x:row>
    <x:row r="491" ht="30" customHeight="1">
      <x:c r="C491" s="64"/>
      <x:c r="D491" s="63"/>
      <x:c r="E491" s="63"/>
      <x:c r="F491" s="63"/>
      <x:c r="G491" s="63"/>
      <x:c r="H491" s="63"/>
      <x:c r="I491" s="63"/>
    </x:row>
    <x:row r="492" ht="30" customHeight="1">
      <x:c r="C492" s="64"/>
      <x:c r="D492" s="63"/>
      <x:c r="E492" s="63"/>
      <x:c r="F492" s="63"/>
      <x:c r="G492" s="63"/>
      <x:c r="H492" s="63"/>
      <x:c r="I492" s="63"/>
    </x:row>
    <x:row r="493" ht="30" customHeight="1">
      <x:c r="C493" s="64"/>
      <x:c r="D493" s="63"/>
      <x:c r="E493" s="63"/>
      <x:c r="F493" s="63"/>
      <x:c r="G493" s="63"/>
      <x:c r="H493" s="63"/>
      <x:c r="I493" s="63"/>
    </x:row>
    <x:row r="494" ht="30" customHeight="1">
      <x:c r="C494" s="64"/>
      <x:c r="D494" s="63"/>
      <x:c r="E494" s="63"/>
      <x:c r="F494" s="63"/>
      <x:c r="G494" s="63"/>
      <x:c r="H494" s="63"/>
      <x:c r="I494" s="63"/>
    </x:row>
    <x:row r="495" ht="30" customHeight="1">
      <x:c r="C495" s="64"/>
      <x:c r="D495" s="63"/>
      <x:c r="E495" s="63"/>
      <x:c r="F495" s="63"/>
      <x:c r="G495" s="63"/>
      <x:c r="H495" s="63"/>
      <x:c r="I495" s="63"/>
    </x:row>
    <x:row r="496" ht="30" customHeight="1">
      <x:c r="C496" s="64"/>
      <x:c r="D496" s="63"/>
      <x:c r="E496" s="63"/>
      <x:c r="F496" s="63"/>
      <x:c r="G496" s="63"/>
      <x:c r="H496" s="63"/>
      <x:c r="I496" s="63"/>
    </x:row>
    <x:row r="497" ht="30" customHeight="1">
      <x:c r="C497" s="64"/>
      <x:c r="D497" s="63"/>
      <x:c r="E497" s="63"/>
      <x:c r="F497" s="63"/>
      <x:c r="G497" s="63"/>
      <x:c r="H497" s="63"/>
      <x:c r="I497" s="63"/>
    </x:row>
    <x:row r="498" ht="30" customHeight="1">
      <x:c r="C498" s="64"/>
      <x:c r="D498" s="63"/>
      <x:c r="E498" s="63"/>
      <x:c r="F498" s="63"/>
      <x:c r="G498" s="63"/>
      <x:c r="H498" s="63"/>
      <x:c r="I498" s="63"/>
    </x:row>
    <x:row r="499" ht="30" customHeight="1">
      <x:c r="C499" s="64"/>
      <x:c r="D499" s="63"/>
      <x:c r="E499" s="63"/>
      <x:c r="F499" s="63"/>
      <x:c r="G499" s="63"/>
      <x:c r="H499" s="63"/>
      <x:c r="I499" s="63"/>
    </x:row>
    <x:row r="500" ht="30" customHeight="1">
      <x:c r="C500" s="64"/>
      <x:c r="D500" s="63"/>
      <x:c r="E500" s="63"/>
      <x:c r="F500" s="63"/>
      <x:c r="G500" s="63"/>
      <x:c r="H500" s="63"/>
      <x:c r="I500" s="63"/>
    </x:row>
    <x:row r="501" ht="30" customHeight="1">
      <x:c r="C501" s="64"/>
      <x:c r="D501" s="63"/>
      <x:c r="E501" s="63"/>
      <x:c r="F501" s="63"/>
      <x:c r="G501" s="63"/>
      <x:c r="H501" s="63"/>
      <x:c r="I501" s="63"/>
    </x:row>
    <x:row r="502" ht="30" customHeight="1">
      <x:c r="C502" s="64"/>
      <x:c r="D502" s="63"/>
      <x:c r="E502" s="63"/>
      <x:c r="F502" s="63"/>
      <x:c r="G502" s="63"/>
      <x:c r="H502" s="63"/>
      <x:c r="I502" s="63"/>
    </x:row>
    <x:row r="503" ht="30" customHeight="1">
      <x:c r="C503" s="64"/>
      <x:c r="D503" s="63"/>
      <x:c r="E503" s="63"/>
      <x:c r="F503" s="63"/>
      <x:c r="G503" s="63"/>
      <x:c r="H503" s="63"/>
      <x:c r="I503" s="63"/>
    </x:row>
    <x:row r="504" ht="30" customHeight="1">
      <x:c r="C504" s="64"/>
      <x:c r="D504" s="63"/>
      <x:c r="E504" s="63"/>
      <x:c r="F504" s="63"/>
      <x:c r="G504" s="63"/>
      <x:c r="H504" s="63"/>
      <x:c r="I504" s="63"/>
    </x:row>
    <x:row r="505" ht="30" customHeight="1">
      <x:c r="C505" s="64"/>
      <x:c r="D505" s="63"/>
      <x:c r="E505" s="63"/>
      <x:c r="F505" s="63"/>
      <x:c r="G505" s="63"/>
      <x:c r="H505" s="63"/>
      <x:c r="I505" s="63"/>
    </x:row>
    <x:row r="506" ht="30" customHeight="1">
      <x:c r="C506" s="64"/>
      <x:c r="D506" s="63"/>
      <x:c r="E506" s="63"/>
      <x:c r="F506" s="63"/>
      <x:c r="G506" s="63"/>
      <x:c r="H506" s="63"/>
      <x:c r="I506" s="63"/>
    </x:row>
    <x:row r="507" ht="30" customHeight="1">
      <x:c r="C507" s="64"/>
      <x:c r="D507" s="63"/>
      <x:c r="E507" s="63"/>
      <x:c r="F507" s="63"/>
      <x:c r="G507" s="63"/>
      <x:c r="H507" s="63"/>
      <x:c r="I507" s="63"/>
    </x:row>
    <x:row r="508" ht="30" customHeight="1">
      <x:c r="C508" s="64"/>
      <x:c r="D508" s="63"/>
      <x:c r="E508" s="63"/>
      <x:c r="F508" s="63"/>
      <x:c r="G508" s="63"/>
      <x:c r="H508" s="63"/>
      <x:c r="I508" s="63"/>
    </x:row>
    <x:row r="509" ht="30" customHeight="1">
      <x:c r="C509" s="64"/>
      <x:c r="D509" s="63"/>
      <x:c r="E509" s="63"/>
      <x:c r="F509" s="63"/>
      <x:c r="G509" s="63"/>
      <x:c r="H509" s="63"/>
      <x:c r="I509" s="63"/>
    </x:row>
    <x:row r="510" ht="30" customHeight="1">
      <x:c r="C510" s="64"/>
      <x:c r="D510" s="63"/>
      <x:c r="E510" s="63"/>
      <x:c r="F510" s="63"/>
      <x:c r="G510" s="63"/>
      <x:c r="H510" s="63"/>
      <x:c r="I510" s="63"/>
    </x:row>
  </x:sheetData>
  <x:mergeCells>
    <x:mergeCell ref="M2:U2"/>
    <x:mergeCell ref="M9:U9"/>
    <x:mergeCell ref="M10:U10"/>
    <x:mergeCell ref="M30:U30"/>
    <x:mergeCell ref="M43:U44"/>
    <x:mergeCell ref="M48:R48"/>
    <x:mergeCell ref="M58:R58"/>
    <x:mergeCell ref="M68:R68"/>
  </x:mergeCells>
  <x:conditionalFormatting sqref="E103:I103">
    <x:cfRule type="expression" dxfId="55" priority="1">
      <x:formula>ABS(E103)&gt;0.01</x:formula>
    </x:cfRule>
  </x:conditionalFormatting>
  <x:conditionalFormatting sqref="E104:I104">
    <x:cfRule type="expression" dxfId="56" priority="2">
      <x:formula>ABS(E104)&gt;0.01</x:formula>
    </x:cfRule>
  </x:conditionalFormatting>
  <x:conditionalFormatting sqref="E105:I105">
    <x:cfRule type="expression" dxfId="57" priority="3">
      <x:formula>ABS(E105)&gt;0.01</x:formula>
    </x:cfRule>
  </x:conditionalFormatting>
  <x:conditionalFormatting sqref="E106:I106">
    <x:cfRule type="expression" dxfId="58" priority="4">
      <x:formula>ABS(E106)&gt;0.01</x:formula>
    </x:cfRule>
  </x:conditionalFormatting>
  <x:conditionalFormatting sqref="E107:I107">
    <x:cfRule type="expression" dxfId="59" priority="5">
      <x:formula>ABS(E107)&gt;0.01</x:formula>
    </x:cfRule>
  </x:conditionalFormatting>
  <x:conditionalFormatting sqref="E180:I206">
    <x:cfRule type="cellIs" dxfId="87" priority="6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bb23060e8ada46fb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88" hidden="0" customWidth="1"/>
    <x:col min="13" max="13" width="3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45" hidden="0" customWidth="1"/>
  </x:cols>
  <x:sheetData>
    <x:row r="1" ht="18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  <x:c r="K1" s="1"/>
    </x:row>
    <x:row r="2" ht="32" customHeight="1">
      <x:c r="A2" s="1"/>
      <x:c r="B2" s="1"/>
      <x:c r="C2" s="3" t="str">
        <x:v>Banking</x:v>
      </x:c>
      <x:c r="D2" s="2"/>
      <x:c r="E2" s="2"/>
      <x:c r="F2" s="2"/>
      <x:c r="G2" s="2"/>
      <x:c r="H2" s="2"/>
      <x:c r="I2" s="2"/>
      <x:c r="J2" s="1"/>
      <x:c r="K2" s="1"/>
      <x:c r="M2" s="86" t="str">
        <x:v>Banking | Client summary</x:v>
      </x:c>
      <x:c r="N2" s="86"/>
      <x:c r="O2" s="86"/>
      <x:c r="P2" s="86"/>
      <x:c r="Q2" s="86"/>
      <x:c r="R2" s="86"/>
      <x:c r="S2" s="86"/>
      <x:c r="T2" s="86"/>
      <x:c r="U2" s="86"/>
      <x:c r="V2" s="63"/>
      <x:c r="X2" t="str">
        <x:v>Forecast year</x:v>
      </x:c>
      <x:c r="Y2" t="str">
        <x:v>Income</x:v>
      </x:c>
      <x:c r="Z2" t="str">
        <x:v>Profit after tax</x:v>
      </x:c>
    </x:row>
    <x:row r="3" ht="18" customHeight="1">
      <x:c r="A3" s="1"/>
      <x:c r="B3" s="1"/>
      <x:c r="C3" s="4"/>
      <x:c r="D3" s="5"/>
      <x:c r="E3" s="5"/>
      <x:c r="F3" s="5"/>
      <x:c r="G3" s="5"/>
      <x:c r="H3" s="5"/>
      <x:c r="I3" s="5"/>
      <x:c r="J3" s="1"/>
      <x:c r="K3" s="1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X3" t="n">
        <x:f>'Controls'!$E$17+0</x:f>
        <x:v>2027</x:v>
      </x:c>
      <x:c r="Y3" t="n">
        <x:f>E56</x:f>
        <x:v>6927</x:v>
      </x:c>
      <x:c r="Z3" t="n">
        <x:f>E62</x:f>
        <x:v>2002.7925</x:v>
      </x:c>
    </x:row>
    <x:row r="4" ht="18" customHeight="1">
      <x:c r="A4" s="1"/>
      <x:c r="B4" s="1"/>
      <x:c r="C4" s="1" t="str">
        <x:v>Illustrative assumptions. Financial amounts in INR crore.</x:v>
      </x:c>
      <x:c r="D4" s="2"/>
      <x:c r="E4" s="2"/>
      <x:c r="F4" s="2"/>
      <x:c r="G4" s="2"/>
      <x:c r="H4" s="2"/>
      <x:c r="I4" s="2"/>
      <x:c r="J4" s="1"/>
      <x:c r="K4" s="1"/>
      <x:c r="M4" s="63" t="str">
        <x:v>Company / model name</x:v>
      </x:c>
      <x:c r="N4" s="63" t="str">
        <x:v>Illustrative company</x:v>
      </x:c>
      <x:c r="O4" s="63"/>
      <x:c r="P4" s="63"/>
      <x:c r="Q4" s="63"/>
      <x:c r="R4" s="63"/>
      <x:c r="S4" s="63"/>
      <x:c r="T4" s="63"/>
      <x:c r="U4" s="63"/>
      <x:c r="V4" s="63"/>
      <x:c r="X4" t="n">
        <x:f>'Controls'!$E$17+1</x:f>
        <x:v>2028</x:v>
      </x:c>
      <x:c r="Y4" t="n">
        <x:f>F56</x:f>
        <x:v>7726.109999999997</x:v>
      </x:c>
      <x:c r="Z4" t="n">
        <x:f>F62</x:f>
        <x:v>2219.807024999999</x:v>
      </x:c>
    </x:row>
    <x:row r="5" ht="18" customHeight="1">
      <x:c r="A5" s="1"/>
      <x:c r="B5" s="1"/>
      <x:c r="C5" s="1" t="str">
        <x:v>Selected case</x:v>
      </x:c>
      <x:c r="D5" s="2"/>
      <x:c r="E5" s="10" t="str">
        <x:f>'Controls'!E6</x:f>
        <x:v>Base</x:v>
      </x:c>
      <x:c r="F5" s="2"/>
      <x:c r="G5" s="2"/>
      <x:c r="H5" s="2"/>
      <x:c r="I5" s="2"/>
      <x:c r="J5" s="1"/>
      <x:c r="K5" s="1"/>
      <x:c r="M5" s="63" t="str">
        <x:v>Valuation date</x:v>
      </x:c>
      <x:c r="N5" s="87" t="n">
        <x:f>'Controls'!E18</x:f>
        <x:v>46112</x:v>
      </x:c>
      <x:c r="O5" s="63"/>
      <x:c r="P5" s="63"/>
      <x:c r="Q5" s="63"/>
      <x:c r="R5" s="63"/>
      <x:c r="S5" s="63"/>
      <x:c r="T5" s="63"/>
      <x:c r="U5" s="63"/>
      <x:c r="V5" s="63"/>
      <x:c r="X5" t="n">
        <x:f>'Controls'!$E$17+2</x:f>
        <x:v>2029</x:v>
      </x:c>
      <x:c r="Y5" t="n">
        <x:f>G56</x:f>
        <x:v>8620.992299999998</x:v>
      </x:c>
      <x:c r="Z5" t="n">
        <x:f>G62</x:f>
        <x:v>2461.56555825</x:v>
      </x:c>
    </x:row>
    <x:row r="6" ht="18" customHeight="1">
      <x:c r="A6" s="1"/>
      <x:c r="B6" s="1"/>
      <x:c r="C6" s="1"/>
      <x:c r="D6" s="2"/>
      <x:c r="E6" s="2"/>
      <x:c r="F6" s="2"/>
      <x:c r="G6" s="2"/>
      <x:c r="H6" s="2"/>
      <x:c r="I6" s="2"/>
      <x:c r="J6" s="1"/>
      <x:c r="K6" s="1"/>
      <x:c r="M6" s="63" t="str">
        <x:v>Selected case</x:v>
      </x:c>
      <x:c r="N6" s="63" t="str">
        <x:f>'Controls'!E6</x:f>
        <x:v>Base</x:v>
      </x:c>
      <x:c r="O6" s="63"/>
      <x:c r="P6" s="63"/>
      <x:c r="Q6" s="63"/>
      <x:c r="R6" s="63"/>
      <x:c r="S6" s="63"/>
      <x:c r="T6" s="63"/>
      <x:c r="U6" s="63"/>
      <x:c r="V6" s="63"/>
      <x:c r="X6" t="n">
        <x:f>'Controls'!$E$17+3</x:f>
        <x:v>2030</x:v>
      </x:c>
      <x:c r="Y6" t="n">
        <x:f>H56</x:f>
        <x:v>9623.448338999995</x:v>
      </x:c>
      <x:c r="Z6" t="n">
        <x:f>H62</x:f>
        <x:v>2731.0073904224982</x:v>
      </x:c>
    </x:row>
    <x:row r="7" ht="18" customHeight="1">
      <x:c r="A7" s="1"/>
      <x:c r="B7" s="1"/>
      <x:c r="C7" s="15" t="str">
        <x:v>Metric</x:v>
      </x:c>
      <x:c r="D7" s="16" t="str">
        <x:v>Opening / seed</x:v>
      </x:c>
      <x:c r="E7" s="65" t="n">
        <x:f>'Controls'!$E$17+0</x:f>
        <x:v>2027</x:v>
      </x:c>
      <x:c r="F7" s="65" t="n">
        <x:f>'Controls'!$E$17+1</x:f>
        <x:v>2028</x:v>
      </x:c>
      <x:c r="G7" s="65" t="n">
        <x:f>'Controls'!$E$17+2</x:f>
        <x:v>2029</x:v>
      </x:c>
      <x:c r="H7" s="65" t="n">
        <x:f>'Controls'!$E$17+3</x:f>
        <x:v>2030</x:v>
      </x:c>
      <x:c r="I7" s="65" t="n">
        <x:f>'Controls'!$E$17+4</x:f>
        <x:v>2031</x:v>
      </x:c>
      <x:c r="J7" s="1"/>
      <x:c r="K7" s="1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X7" t="n">
        <x:f>'Controls'!$E$17+4</x:f>
        <x:v>2031</x:v>
      </x:c>
      <x:c r="Y7" t="n">
        <x:f>I56</x:f>
        <x:v>10746.761826269998</x:v>
      </x:c>
      <x:c r="Z7" t="n">
        <x:f>I62</x:f>
        <x:v>3031.4317255454243</x:v>
      </x:c>
    </x:row>
    <x:row r="8" ht="18" customHeight="1">
      <x:c r="A8" s="1"/>
      <x:c r="B8" s="1"/>
      <x:c r="C8" s="1"/>
      <x:c r="D8" s="2"/>
      <x:c r="E8" s="2"/>
      <x:c r="F8" s="2"/>
      <x:c r="G8" s="2"/>
      <x:c r="H8" s="2"/>
      <x:c r="I8" s="2"/>
      <x:c r="J8" s="1"/>
      <x:c r="K8" s="1"/>
      <x:c r="M8" s="63" t="str">
        <x:v>Equity value (INR crore)</x:v>
      </x:c>
      <x:c r="N8" s="8" t="n">
        <x:f>E87</x:f>
        <x:v>26214.053684210525</x:v>
      </x:c>
      <x:c r="O8" s="63"/>
      <x:c r="P8" s="63"/>
      <x:c r="Q8" s="63"/>
      <x:c r="R8" s="63"/>
      <x:c r="S8" s="63"/>
      <x:c r="T8" s="63"/>
      <x:c r="U8" s="63"/>
      <x:c r="V8" s="63"/>
    </x:row>
    <x:row r="9" ht="18" customHeight="1">
      <x:c r="A9" s="1"/>
      <x:c r="B9" s="1"/>
      <x:c r="C9" s="19" t="str">
        <x:v>LENDING, FUNDING AND CREDIT ASSUMPTIONS</x:v>
      </x:c>
      <x:c r="D9" s="20"/>
      <x:c r="E9" s="20"/>
      <x:c r="F9" s="20"/>
      <x:c r="G9" s="20"/>
      <x:c r="H9" s="20"/>
      <x:c r="I9" s="20"/>
      <x:c r="J9" s="1"/>
      <x:c r="K9" s="1"/>
      <x:c r="M9" s="63" t="str">
        <x:f>IF(MAX(E89,F89,G89,H89,I89,E90,F90,G90,H90,I90,E91,F91,G91,H91,I91,E92,F92,G92,H92,I92,E180:I207)&gt;0.01,"ATTENTION: model checks contain exceptions",IF(MIN(E89,F89,G89,H89,I89,E90,F90,G90,H90,I90,E91,F91,G91,H91,I91,E92,F92,G92,H92,I92,E180:I207)&lt;-0.01,"ATTENTION: model checks contain exceptions","Model checks clear; review company assumptions"))</x:f>
        <x:v>Model checks clear; review company assumptions</x:v>
      </x:c>
      <x:c r="N9" s="63"/>
      <x:c r="O9" s="63"/>
      <x:c r="P9" s="63"/>
      <x:c r="Q9" s="63"/>
      <x:c r="R9" s="63"/>
      <x:c r="S9" s="63"/>
      <x:c r="T9" s="63"/>
      <x:c r="U9" s="63"/>
      <x:c r="V9" s="63"/>
    </x:row>
    <x:row r="10" ht="18" customHeight="1">
      <x:c r="A10" s="1"/>
      <x:c r="B10" s="1"/>
      <x:c r="C10" s="1" t="str">
        <x:v>Opening gross loans</x:v>
      </x:c>
      <x:c r="D10" s="7" t="n">
        <x:v>100000</x:v>
      </x:c>
      <x:c r="E10" s="2"/>
      <x:c r="F10" s="2"/>
      <x:c r="G10" s="2"/>
      <x:c r="H10" s="2"/>
      <x:c r="I10" s="2"/>
      <x:c r="J10" s="1"/>
      <x:c r="K10" s="1" t="str">
        <x:v>All inputs are illustrative. No bank, NBFC or reported regulatory ratio is represented.</x:v>
      </x:c>
      <x:c r="M10" s="63" t="str">
        <x:v>Illustrative inputs; replace with company evidence.</x:v>
      </x:c>
      <x:c r="N10" s="63"/>
      <x:c r="O10" s="63"/>
      <x:c r="P10" s="63"/>
      <x:c r="Q10" s="63"/>
      <x:c r="R10" s="63"/>
      <x:c r="S10" s="63"/>
      <x:c r="T10" s="63"/>
      <x:c r="U10" s="63"/>
      <x:c r="V10" s="63"/>
    </x:row>
    <x:row r="11" ht="18" customHeight="1">
      <x:c r="A11" s="1"/>
      <x:c r="B11" s="1"/>
      <x:c r="C11" s="1" t="str">
        <x:v>Opening deposits</x:v>
      </x:c>
      <x:c r="D11" s="7" t="n">
        <x:v>120000</x:v>
      </x:c>
      <x:c r="E11" s="2"/>
      <x:c r="F11" s="2"/>
      <x:c r="G11" s="2"/>
      <x:c r="H11" s="2"/>
      <x:c r="I11" s="2"/>
      <x:c r="J11" s="1"/>
      <x:c r="K11" s="1" t="str">
        <x:v>Closing gross-loan growth is after recoveries and write-offs. Disbursements are not separately forecast.</x:v>
      </x:c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</x:row>
    <x:row r="12" ht="18" customHeight="1">
      <x:c r="A12" s="1"/>
      <x:c r="B12" s="1"/>
      <x:c r="C12" s="1" t="str">
        <x:v>Opening investment assets</x:v>
      </x:c>
      <x:c r="D12" s="7" t="n">
        <x:v>30000</x:v>
      </x:c>
      <x:c r="E12" s="2"/>
      <x:c r="F12" s="2"/>
      <x:c r="G12" s="2"/>
      <x:c r="H12" s="2"/>
      <x:c r="I12" s="2"/>
      <x:c r="J12" s="1"/>
      <x:c r="K12" s="1" t="str">
        <x:v>Simplified spread, credit-loss and liquidity model. No full regulatory cash-flow or ALM statement.</x:v>
      </x:c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</x:row>
    <x:row r="13" ht="18" customHeight="1">
      <x:c r="A13" s="1"/>
      <x:c r="B13" s="1"/>
      <x:c r="C13" s="1" t="str">
        <x:v>Opening equity</x:v>
      </x:c>
      <x:c r="D13" s="7" t="n">
        <x:v>15000</x:v>
      </x:c>
      <x:c r="E13" s="2"/>
      <x:c r="F13" s="2"/>
      <x:c r="G13" s="2"/>
      <x:c r="H13" s="2"/>
      <x:c r="I13" s="2"/>
      <x:c r="J13" s="1"/>
      <x:c r="K13" s="1" t="str">
        <x:v>Cash has zero yield. No wholesale bank funding, securitization, derivatives or off-balance-sheet exposures.</x:v>
      </x:c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</x:row>
    <x:row r="14" ht="18" customHeight="1">
      <x:c r="A14" s="1"/>
      <x:c r="B14" s="1"/>
      <x:c r="C14" s="1" t="str">
        <x:v>Opening credit-loss allowance</x:v>
      </x:c>
      <x:c r="D14" s="7" t="n">
        <x:v>1500</x:v>
      </x:c>
      <x:c r="E14" s="2"/>
      <x:c r="F14" s="2"/>
      <x:c r="G14" s="2"/>
      <x:c r="H14" s="2"/>
      <x:c r="I14" s="2"/>
      <x:c r="J14" s="1"/>
      <x:c r="K14" s="1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</x:row>
    <x:row r="15" ht="18" customHeight="1">
      <x:c r="A15" s="1"/>
      <x:c r="B15" s="1"/>
      <x:c r="C15" s="1" t="str">
        <x:v>Opening gross non-performing loans</x:v>
      </x:c>
      <x:c r="D15" s="7" t="n">
        <x:v>2500</x:v>
      </x:c>
      <x:c r="E15" s="2"/>
      <x:c r="F15" s="2"/>
      <x:c r="G15" s="2"/>
      <x:c r="H15" s="2"/>
      <x:c r="I15" s="2"/>
      <x:c r="J15" s="1"/>
      <x:c r="K15" s="1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</x:row>
    <x:row r="16" ht="18" customHeight="1">
      <x:c r="A16" s="1"/>
      <x:c r="B16" s="1"/>
      <x:c r="C16" s="1" t="str">
        <x:v>Diluted shares (crore)</x:v>
      </x:c>
      <x:c r="D16" s="7" t="n">
        <x:v>100</x:v>
      </x:c>
      <x:c r="E16" s="2"/>
      <x:c r="F16" s="2"/>
      <x:c r="G16" s="2"/>
      <x:c r="H16" s="2"/>
      <x:c r="I16" s="2"/>
      <x:c r="J16" s="1"/>
      <x:c r="K16" s="1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</x:row>
    <x:row r="17" ht="18" customHeight="1">
      <x:c r="A17" s="1"/>
      <x:c r="B17" s="1"/>
      <x:c r="C17" s="1" t="str">
        <x:v>Forward price / book multiple</x:v>
      </x:c>
      <x:c r="D17" s="55" t="n">
        <x:v>1.8</x:v>
      </x:c>
      <x:c r="E17" s="2"/>
      <x:c r="F17" s="2"/>
      <x:c r="G17" s="2"/>
      <x:c r="H17" s="2"/>
      <x:c r="I17" s="2"/>
      <x:c r="J17" s="1"/>
      <x:c r="K17" s="1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</x:row>
    <x:row r="18" ht="18" customHeight="1">
      <x:c r="A18" s="1"/>
      <x:c r="B18" s="1"/>
      <x:c r="C18" s="1" t="str">
        <x:v>Forward price / earnings multiple</x:v>
      </x:c>
      <x:c r="D18" s="55" t="n">
        <x:v>13</x:v>
      </x:c>
      <x:c r="E18" s="2"/>
      <x:c r="F18" s="2"/>
      <x:c r="G18" s="2"/>
      <x:c r="H18" s="2"/>
      <x:c r="I18" s="2"/>
      <x:c r="J18" s="1"/>
      <x:c r="K18" s="1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</x:row>
    <x:row r="19" ht="18" customHeight="1">
      <x:c r="A19" s="1"/>
      <x:c r="B19" s="1"/>
      <x:c r="C19" s="1" t="str">
        <x:v>Cost of equity for one-year discount</x:v>
      </x:c>
      <x:c r="D19" s="25" t="n">
        <x:v>0.14</x:v>
      </x:c>
      <x:c r="E19" s="2"/>
      <x:c r="F19" s="2"/>
      <x:c r="G19" s="2"/>
      <x:c r="H19" s="2"/>
      <x:c r="I19" s="2"/>
      <x:c r="J19" s="1"/>
      <x:c r="K19" s="1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</x:row>
    <x:row r="20" ht="18" customHeight="1">
      <x:c r="A20" s="1"/>
      <x:c r="B20" s="1"/>
      <x:c r="C20" s="28" t="str">
        <x:v>Loan growth — active</x:v>
      </x:c>
      <x:c r="D20" s="29"/>
      <x:c r="E20" s="30" t="n">
        <x:f>IF(COUNT(INDEX(E21:E23,'Controls'!$E$5))=0,NA(),INDEX(E21:E23,'Controls'!$E$5))</x:f>
        <x:v>0.13</x:v>
      </x:c>
      <x:c r="F20" s="30" t="n">
        <x:f>IF(COUNT(INDEX(F21:F23,'Controls'!$E$5))=0,NA(),INDEX(F21:F23,'Controls'!$E$5))</x:f>
        <x:v>0.13</x:v>
      </x:c>
      <x:c r="G20" s="30" t="n">
        <x:f>IF(COUNT(INDEX(G21:G23,'Controls'!$E$5))=0,NA(),INDEX(G21:G23,'Controls'!$E$5))</x:f>
        <x:v>0.13</x:v>
      </x:c>
      <x:c r="H20" s="30" t="n">
        <x:f>IF(COUNT(INDEX(H21:H23,'Controls'!$E$5))=0,NA(),INDEX(H21:H23,'Controls'!$E$5))</x:f>
        <x:v>0.13</x:v>
      </x:c>
      <x:c r="I20" s="30" t="n">
        <x:f>IF(COUNT(INDEX(I21:I23,'Controls'!$E$5))=0,NA(),INDEX(I21:I23,'Controls'!$E$5))</x:f>
        <x:v>0.13</x:v>
      </x:c>
      <x:c r="J20" s="1"/>
      <x:c r="K20" s="1"/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</x:row>
    <x:row r="21" ht="18" customHeight="1">
      <x:c r="A21" s="1"/>
      <x:c r="B21" s="1"/>
      <x:c r="C21" s="23" t="str">
        <x:v>Base</x:v>
      </x:c>
      <x:c r="D21" s="24"/>
      <x:c r="E21" s="26" t="n">
        <x:v>0.13</x:v>
      </x:c>
      <x:c r="F21" s="26" t="n">
        <x:v>0.13</x:v>
      </x:c>
      <x:c r="G21" s="26" t="n">
        <x:v>0.13</x:v>
      </x:c>
      <x:c r="H21" s="26" t="n">
        <x:v>0.13</x:v>
      </x:c>
      <x:c r="I21" s="26" t="n">
        <x:v>0.13</x:v>
      </x:c>
      <x:c r="J21" s="1"/>
      <x:c r="K21" s="1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</x:row>
    <x:row r="22" ht="18" customHeight="1">
      <x:c r="A22" s="1"/>
      <x:c r="B22" s="1"/>
      <x:c r="C22" s="23" t="str">
        <x:v>Downside</x:v>
      </x:c>
      <x:c r="D22" s="24"/>
      <x:c r="E22" s="26" t="n">
        <x:v>0.07</x:v>
      </x:c>
      <x:c r="F22" s="26" t="n">
        <x:v>0.07</x:v>
      </x:c>
      <x:c r="G22" s="26" t="n">
        <x:v>0.07</x:v>
      </x:c>
      <x:c r="H22" s="26" t="n">
        <x:v>0.07</x:v>
      </x:c>
      <x:c r="I22" s="26" t="n">
        <x:v>0.07</x:v>
      </x:c>
      <x:c r="J22" s="1"/>
      <x:c r="K22" s="1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</x:row>
    <x:row r="23" ht="18" customHeight="1">
      <x:c r="A23" s="1"/>
      <x:c r="B23" s="1"/>
      <x:c r="C23" s="23" t="str">
        <x:v>Upside</x:v>
      </x:c>
      <x:c r="D23" s="24"/>
      <x:c r="E23" s="26" t="n">
        <x:v>0.18</x:v>
      </x:c>
      <x:c r="F23" s="26" t="n">
        <x:v>0.18</x:v>
      </x:c>
      <x:c r="G23" s="26" t="n">
        <x:v>0.18</x:v>
      </x:c>
      <x:c r="H23" s="26" t="n">
        <x:v>0.18</x:v>
      </x:c>
      <x:c r="I23" s="26" t="n">
        <x:v>0.18</x:v>
      </x:c>
      <x:c r="J23" s="1"/>
      <x:c r="K23" s="1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</x:row>
    <x:row r="24" ht="18" customHeight="1">
      <x:c r="A24" s="1"/>
      <x:c r="B24" s="1"/>
      <x:c r="C24" s="28" t="str">
        <x:v>Credit cost / average gross loans — active</x:v>
      </x:c>
      <x:c r="D24" s="29"/>
      <x:c r="E24" s="30" t="n">
        <x:f>IF(COUNT(INDEX(E25:E27,'Controls'!$E$5))=0,NA(),INDEX(E25:E27,'Controls'!$E$5))</x:f>
        <x:v>0.012</x:v>
      </x:c>
      <x:c r="F24" s="30" t="n">
        <x:f>IF(COUNT(INDEX(F25:F27,'Controls'!$E$5))=0,NA(),INDEX(F25:F27,'Controls'!$E$5))</x:f>
        <x:v>0.012</x:v>
      </x:c>
      <x:c r="G24" s="30" t="n">
        <x:f>IF(COUNT(INDEX(G25:G27,'Controls'!$E$5))=0,NA(),INDEX(G25:G27,'Controls'!$E$5))</x:f>
        <x:v>0.012</x:v>
      </x:c>
      <x:c r="H24" s="30" t="n">
        <x:f>IF(COUNT(INDEX(H25:H27,'Controls'!$E$5))=0,NA(),INDEX(H25:H27,'Controls'!$E$5))</x:f>
        <x:v>0.012</x:v>
      </x:c>
      <x:c r="I24" s="30" t="n">
        <x:f>IF(COUNT(INDEX(I25:I27,'Controls'!$E$5))=0,NA(),INDEX(I25:I27,'Controls'!$E$5))</x:f>
        <x:v>0.012</x:v>
      </x:c>
      <x:c r="J24" s="1"/>
      <x:c r="K24" s="1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</x:row>
    <x:row r="25" ht="18" customHeight="1">
      <x:c r="A25" s="1"/>
      <x:c r="B25" s="1"/>
      <x:c r="C25" s="23" t="str">
        <x:v>Base</x:v>
      </x:c>
      <x:c r="D25" s="24"/>
      <x:c r="E25" s="26" t="n">
        <x:v>0.012</x:v>
      </x:c>
      <x:c r="F25" s="26" t="n">
        <x:v>0.012</x:v>
      </x:c>
      <x:c r="G25" s="26" t="n">
        <x:v>0.012</x:v>
      </x:c>
      <x:c r="H25" s="26" t="n">
        <x:v>0.012</x:v>
      </x:c>
      <x:c r="I25" s="26" t="n">
        <x:v>0.012</x:v>
      </x:c>
      <x:c r="J25" s="1"/>
      <x:c r="K25" s="1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</x:row>
    <x:row r="26" ht="18" customHeight="1">
      <x:c r="A26" s="1"/>
      <x:c r="B26" s="1"/>
      <x:c r="C26" s="23" t="str">
        <x:v>Downside</x:v>
      </x:c>
      <x:c r="D26" s="24"/>
      <x:c r="E26" s="26" t="n">
        <x:v>0.022</x:v>
      </x:c>
      <x:c r="F26" s="26" t="n">
        <x:v>0.022</x:v>
      </x:c>
      <x:c r="G26" s="26" t="n">
        <x:v>0.022</x:v>
      </x:c>
      <x:c r="H26" s="26" t="n">
        <x:v>0.022</x:v>
      </x:c>
      <x:c r="I26" s="26" t="n">
        <x:v>0.022</x:v>
      </x:c>
      <x:c r="J26" s="1"/>
      <x:c r="K26" s="1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</x:row>
    <x:row r="27" ht="18" customHeight="1">
      <x:c r="A27" s="1"/>
      <x:c r="B27" s="1"/>
      <x:c r="C27" s="23" t="str">
        <x:v>Upside</x:v>
      </x:c>
      <x:c r="D27" s="24"/>
      <x:c r="E27" s="26" t="n">
        <x:v>0.008</x:v>
      </x:c>
      <x:c r="F27" s="26" t="n">
        <x:v>0.008</x:v>
      </x:c>
      <x:c r="G27" s="26" t="n">
        <x:v>0.008</x:v>
      </x:c>
      <x:c r="H27" s="26" t="n">
        <x:v>0.008</x:v>
      </x:c>
      <x:c r="I27" s="26" t="n">
        <x:v>0.008</x:v>
      </x:c>
      <x:c r="J27" s="1"/>
      <x:c r="K27" s="1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</x:row>
    <x:row r="28" ht="18" customHeight="1">
      <x:c r="A28" s="1"/>
      <x:c r="B28" s="1"/>
      <x:c r="C28" s="23" t="str">
        <x:v>Deposit growth</x:v>
      </x:c>
      <x:c r="D28" s="24"/>
      <x:c r="E28" s="26" t="n">
        <x:f>E400</x:f>
        <x:v>0.13</x:v>
      </x:c>
      <x:c r="F28" s="26" t="n">
        <x:f>F400</x:f>
        <x:v>0.13</x:v>
      </x:c>
      <x:c r="G28" s="26" t="n">
        <x:f>G400</x:f>
        <x:v>0.13</x:v>
      </x:c>
      <x:c r="H28" s="26" t="n">
        <x:f>H400</x:f>
        <x:v>0.13</x:v>
      </x:c>
      <x:c r="I28" s="26" t="n">
        <x:f>I400</x:f>
        <x:v>0.13</x:v>
      </x:c>
      <x:c r="J28" s="1"/>
      <x:c r="K28" s="1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</x:row>
    <x:row r="29" ht="18" customHeight="1">
      <x:c r="A29" s="1"/>
      <x:c r="B29" s="1"/>
      <x:c r="C29" s="23" t="str">
        <x:v>Investment asset growth</x:v>
      </x:c>
      <x:c r="D29" s="24"/>
      <x:c r="E29" s="26" t="n">
        <x:f>E405</x:f>
        <x:v>0.08</x:v>
      </x:c>
      <x:c r="F29" s="26" t="n">
        <x:f>F405</x:f>
        <x:v>0.08</x:v>
      </x:c>
      <x:c r="G29" s="26" t="n">
        <x:f>G405</x:f>
        <x:v>0.08</x:v>
      </x:c>
      <x:c r="H29" s="26" t="n">
        <x:f>H405</x:f>
        <x:v>0.08</x:v>
      </x:c>
      <x:c r="I29" s="26" t="n">
        <x:f>I405</x:f>
        <x:v>0.08</x:v>
      </x:c>
      <x:c r="J29" s="1"/>
      <x:c r="K29" s="1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</x:row>
    <x:row r="30" ht="18" customHeight="1">
      <x:c r="A30" s="1"/>
      <x:c r="B30" s="1"/>
      <x:c r="C30" s="23" t="str">
        <x:v>Gross-loan yield</x:v>
      </x:c>
      <x:c r="D30" s="24"/>
      <x:c r="E30" s="26" t="n">
        <x:f>E410</x:f>
        <x:v>0.1</x:v>
      </x:c>
      <x:c r="F30" s="26" t="n">
        <x:f>F410</x:f>
        <x:v>0.1</x:v>
      </x:c>
      <x:c r="G30" s="26" t="n">
        <x:f>G410</x:f>
        <x:v>0.1</x:v>
      </x:c>
      <x:c r="H30" s="26" t="n">
        <x:f>H410</x:f>
        <x:v>0.1</x:v>
      </x:c>
      <x:c r="I30" s="26" t="n">
        <x:f>I410</x:f>
        <x:v>0.1</x:v>
      </x:c>
      <x:c r="J30" s="1"/>
      <x:c r="K30" s="1"/>
      <x:c r="M30" s="82" t="str">
        <x:v>Historical actuals and forecast | INR crore</x:v>
      </x:c>
      <x:c r="N30" s="82"/>
      <x:c r="O30" s="82"/>
      <x:c r="P30" s="82"/>
      <x:c r="Q30" s="82"/>
      <x:c r="R30" s="82"/>
      <x:c r="S30" s="82"/>
      <x:c r="T30" s="82"/>
      <x:c r="U30" s="82"/>
      <x:c r="V30" s="63"/>
    </x:row>
    <x:row r="31" ht="18" customHeight="1">
      <x:c r="A31" s="1"/>
      <x:c r="B31" s="1"/>
      <x:c r="C31" s="23" t="str">
        <x:v>Deposit cost</x:v>
      </x:c>
      <x:c r="D31" s="24"/>
      <x:c r="E31" s="26" t="n">
        <x:f>E415</x:f>
        <x:v>0.055</x:v>
      </x:c>
      <x:c r="F31" s="26" t="n">
        <x:f>F415</x:f>
        <x:v>0.055</x:v>
      </x:c>
      <x:c r="G31" s="26" t="n">
        <x:f>G415</x:f>
        <x:v>0.055</x:v>
      </x:c>
      <x:c r="H31" s="26" t="n">
        <x:f>H415</x:f>
        <x:v>0.055</x:v>
      </x:c>
      <x:c r="I31" s="26" t="n">
        <x:f>I415</x:f>
        <x:v>0.055</x:v>
      </x:c>
      <x:c r="J31" s="1"/>
      <x:c r="K31" s="1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</x:row>
    <x:row r="32" ht="18" customHeight="1">
      <x:c r="A32" s="1"/>
      <x:c r="B32" s="1"/>
      <x:c r="C32" s="23" t="str">
        <x:v>Investment yield</x:v>
      </x:c>
      <x:c r="D32" s="24"/>
      <x:c r="E32" s="26" t="n">
        <x:f>E420</x:f>
        <x:v>0.065</x:v>
      </x:c>
      <x:c r="F32" s="26" t="n">
        <x:f>F420</x:f>
        <x:v>0.065</x:v>
      </x:c>
      <x:c r="G32" s="26" t="n">
        <x:f>G420</x:f>
        <x:v>0.065</x:v>
      </x:c>
      <x:c r="H32" s="26" t="n">
        <x:f>H420</x:f>
        <x:v>0.065</x:v>
      </x:c>
      <x:c r="I32" s="26" t="n">
        <x:f>I420</x:f>
        <x:v>0.065</x:v>
      </x:c>
      <x:c r="J32" s="1"/>
      <x:c r="K32" s="1"/>
      <x:c r="M32" s="63" t="str">
        <x:v>Metric</x:v>
      </x:c>
      <x:c r="N32" s="88" t="n">
        <x:f>'Controls'!$E$17+-3</x:f>
        <x:v>2024</x:v>
      </x:c>
      <x:c r="O32" s="88" t="n">
        <x:f>'Controls'!$E$17+-2</x:f>
        <x:v>2025</x:v>
      </x:c>
      <x:c r="P32" s="88" t="n">
        <x:f>'Controls'!$E$17+-1</x:f>
        <x:v>2026</x:v>
      </x:c>
      <x:c r="Q32" s="89" t="n">
        <x:f>'Controls'!$E$17+0</x:f>
        <x:v>2027</x:v>
      </x:c>
      <x:c r="R32" s="89" t="n">
        <x:f>'Controls'!$E$17+1</x:f>
        <x:v>2028</x:v>
      </x:c>
      <x:c r="S32" s="89" t="n">
        <x:f>'Controls'!$E$17+2</x:f>
        <x:v>2029</x:v>
      </x:c>
      <x:c r="T32" s="89" t="n">
        <x:f>'Controls'!$E$17+3</x:f>
        <x:v>2030</x:v>
      </x:c>
      <x:c r="U32" s="89" t="n">
        <x:f>'Controls'!$E$17+4</x:f>
        <x:v>2031</x:v>
      </x:c>
      <x:c r="V32" s="63" t="str">
        <x:v>Source / reporting date</x:v>
      </x:c>
    </x:row>
    <x:row r="33" ht="18" customHeight="1">
      <x:c r="A33" s="1"/>
      <x:c r="B33" s="1"/>
      <x:c r="C33" s="23" t="str">
        <x:v>Fee income / average gross loans</x:v>
      </x:c>
      <x:c r="D33" s="24"/>
      <x:c r="E33" s="26" t="n">
        <x:f>E425</x:f>
        <x:v>0.012</x:v>
      </x:c>
      <x:c r="F33" s="26" t="n">
        <x:f>F425</x:f>
        <x:v>0.012</x:v>
      </x:c>
      <x:c r="G33" s="26" t="n">
        <x:f>G425</x:f>
        <x:v>0.012</x:v>
      </x:c>
      <x:c r="H33" s="26" t="n">
        <x:f>H425</x:f>
        <x:v>0.012</x:v>
      </x:c>
      <x:c r="I33" s="26" t="n">
        <x:f>I425</x:f>
        <x:v>0.012</x:v>
      </x:c>
      <x:c r="J33" s="1"/>
      <x:c r="K33" s="1"/>
      <x:c r="M33" s="63" t="str">
        <x:v>Income</x:v>
      </x:c>
      <x:c r="N33" s="74"/>
      <x:c r="O33" s="74"/>
      <x:c r="P33" s="74"/>
      <x:c r="Q33" s="8" t="n">
        <x:f>E56</x:f>
        <x:v>6927</x:v>
      </x:c>
      <x:c r="R33" s="8" t="n">
        <x:f>F56</x:f>
        <x:v>7726.109999999997</x:v>
      </x:c>
      <x:c r="S33" s="8" t="n">
        <x:f>G56</x:f>
        <x:v>8620.992299999998</x:v>
      </x:c>
      <x:c r="T33" s="8" t="n">
        <x:f>H56</x:f>
        <x:v>9623.448338999995</x:v>
      </x:c>
      <x:c r="U33" s="8" t="n">
        <x:f>I56</x:f>
        <x:v>10746.761826269998</x:v>
      </x:c>
      <x:c r="V33" s="63"/>
    </x:row>
    <x:row r="34" ht="18" customHeight="1">
      <x:c r="A34" s="1"/>
      <x:c r="B34" s="1"/>
      <x:c r="C34" s="23" t="str">
        <x:v>Operating cost / net operating income</x:v>
      </x:c>
      <x:c r="D34" s="24"/>
      <x:c r="E34" s="26" t="n">
        <x:f>E430</x:f>
        <x:v>0.43</x:v>
      </x:c>
      <x:c r="F34" s="26" t="n">
        <x:f>F430</x:f>
        <x:v>0.43</x:v>
      </x:c>
      <x:c r="G34" s="26" t="n">
        <x:f>G430</x:f>
        <x:v>0.43</x:v>
      </x:c>
      <x:c r="H34" s="26" t="n">
        <x:f>H430</x:f>
        <x:v>0.43</x:v>
      </x:c>
      <x:c r="I34" s="26" t="n">
        <x:f>I430</x:f>
        <x:v>0.43</x:v>
      </x:c>
      <x:c r="J34" s="1"/>
      <x:c r="K34" s="1"/>
      <x:c r="M34" s="63" t="str">
        <x:v>Profit after tax</x:v>
      </x:c>
      <x:c r="N34" s="74"/>
      <x:c r="O34" s="74"/>
      <x:c r="P34" s="74"/>
      <x:c r="Q34" s="8" t="n">
        <x:f>E62</x:f>
        <x:v>2002.7925</x:v>
      </x:c>
      <x:c r="R34" s="8" t="n">
        <x:f>F62</x:f>
        <x:v>2219.807024999999</x:v>
      </x:c>
      <x:c r="S34" s="8" t="n">
        <x:f>G62</x:f>
        <x:v>2461.56555825</x:v>
      </x:c>
      <x:c r="T34" s="8" t="n">
        <x:f>H62</x:f>
        <x:v>2731.0073904224982</x:v>
      </x:c>
      <x:c r="U34" s="8" t="n">
        <x:f>I62</x:f>
        <x:v>3031.4317255454243</x:v>
      </x:c>
      <x:c r="V34" s="63"/>
    </x:row>
    <x:row r="35" ht="18" customHeight="1">
      <x:c r="A35" s="1"/>
      <x:c r="B35" s="1"/>
      <x:c r="C35" s="23" t="str">
        <x:v>NPA slippages / opening gross loans</x:v>
      </x:c>
      <x:c r="D35" s="24"/>
      <x:c r="E35" s="26" t="n">
        <x:f>E435</x:f>
        <x:v>0.025</x:v>
      </x:c>
      <x:c r="F35" s="26" t="n">
        <x:f>F435</x:f>
        <x:v>0.025</x:v>
      </x:c>
      <x:c r="G35" s="26" t="n">
        <x:f>G435</x:f>
        <x:v>0.025</x:v>
      </x:c>
      <x:c r="H35" s="26" t="n">
        <x:f>H435</x:f>
        <x:v>0.025</x:v>
      </x:c>
      <x:c r="I35" s="26" t="n">
        <x:f>I435</x:f>
        <x:v>0.025</x:v>
      </x:c>
      <x:c r="J35" s="1"/>
      <x:c r="K35" s="1"/>
      <x:c r="M35" s="63" t="str">
        <x:v>Closing equity</x:v>
      </x:c>
      <x:c r="N35" s="74"/>
      <x:c r="O35" s="74"/>
      <x:c r="P35" s="74"/>
      <x:c r="Q35" s="8" t="n">
        <x:f>E71</x:f>
        <x:v>16602.234</x:v>
      </x:c>
      <x:c r="R35" s="8" t="n">
        <x:f>F71</x:f>
        <x:v>18378.07962</x:v>
      </x:c>
      <x:c r="S35" s="8" t="n">
        <x:f>G71</x:f>
        <x:v>20347.3320666</x:v>
      </x:c>
      <x:c r="T35" s="8" t="n">
        <x:f>H71</x:f>
        <x:v>22532.137978938</x:v>
      </x:c>
      <x:c r="U35" s="8" t="n">
        <x:f>I71</x:f>
        <x:v>24957.283359374338</x:v>
      </x:c>
      <x:c r="V35" s="63"/>
    </x:row>
    <x:row r="36" ht="18" customHeight="1">
      <x:c r="A36" s="1"/>
      <x:c r="B36" s="1"/>
      <x:c r="C36" s="23" t="str">
        <x:v>NPA recovery / opening gross NPA</x:v>
      </x:c>
      <x:c r="D36" s="24"/>
      <x:c r="E36" s="26" t="n">
        <x:f>E440</x:f>
        <x:v>0.2</x:v>
      </x:c>
      <x:c r="F36" s="26" t="n">
        <x:f>F440</x:f>
        <x:v>0.2</x:v>
      </x:c>
      <x:c r="G36" s="26" t="n">
        <x:f>G440</x:f>
        <x:v>0.2</x:v>
      </x:c>
      <x:c r="H36" s="26" t="n">
        <x:f>H440</x:f>
        <x:v>0.2</x:v>
      </x:c>
      <x:c r="I36" s="26" t="n">
        <x:f>I440</x:f>
        <x:v>0.2</x:v>
      </x:c>
      <x:c r="J36" s="1"/>
      <x:c r="K36" s="1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</x:row>
    <x:row r="37" ht="18" customHeight="1">
      <x:c r="A37" s="1"/>
      <x:c r="B37" s="1"/>
      <x:c r="C37" s="23" t="str">
        <x:v>Write-offs / opening gross NPA</x:v>
      </x:c>
      <x:c r="D37" s="24"/>
      <x:c r="E37" s="26" t="n">
        <x:f>E445</x:f>
        <x:v>0.25</x:v>
      </x:c>
      <x:c r="F37" s="26" t="n">
        <x:f>F445</x:f>
        <x:v>0.25</x:v>
      </x:c>
      <x:c r="G37" s="26" t="n">
        <x:f>G445</x:f>
        <x:v>0.25</x:v>
      </x:c>
      <x:c r="H37" s="26" t="n">
        <x:f>H445</x:f>
        <x:v>0.25</x:v>
      </x:c>
      <x:c r="I37" s="26" t="n">
        <x:f>I445</x:f>
        <x:v>0.25</x:v>
      </x:c>
      <x:c r="J37" s="1"/>
      <x:c r="K37" s="1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</x:row>
    <x:row r="38" ht="18" customHeight="1">
      <x:c r="A38" s="1"/>
      <x:c r="B38" s="1"/>
      <x:c r="C38" s="23" t="str">
        <x:v>Effective cash tax rate</x:v>
      </x:c>
      <x:c r="D38" s="24"/>
      <x:c r="E38" s="26" t="n">
        <x:f>E450</x:f>
        <x:v>0.25</x:v>
      </x:c>
      <x:c r="F38" s="26" t="n">
        <x:f>F450</x:f>
        <x:v>0.25</x:v>
      </x:c>
      <x:c r="G38" s="26" t="n">
        <x:f>G450</x:f>
        <x:v>0.25</x:v>
      </x:c>
      <x:c r="H38" s="26" t="n">
        <x:f>H450</x:f>
        <x:v>0.25</x:v>
      </x:c>
      <x:c r="I38" s="26" t="n">
        <x:f>I450</x:f>
        <x:v>0.25</x:v>
      </x:c>
      <x:c r="J38" s="1"/>
      <x:c r="K38" s="1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</x:row>
    <x:row r="39" ht="18" customHeight="1">
      <x:c r="A39" s="1"/>
      <x:c r="B39" s="1"/>
      <x:c r="C39" s="23" t="str">
        <x:v>Dividend payout</x:v>
      </x:c>
      <x:c r="D39" s="24"/>
      <x:c r="E39" s="26" t="n">
        <x:f>E455</x:f>
        <x:v>0.2</x:v>
      </x:c>
      <x:c r="F39" s="26" t="n">
        <x:f>F455</x:f>
        <x:v>0.2</x:v>
      </x:c>
      <x:c r="G39" s="26" t="n">
        <x:f>G455</x:f>
        <x:v>0.2</x:v>
      </x:c>
      <x:c r="H39" s="26" t="n">
        <x:f>H455</x:f>
        <x:v>0.2</x:v>
      </x:c>
      <x:c r="I39" s="26" t="n">
        <x:f>I455</x:f>
        <x:v>0.2</x:v>
      </x:c>
      <x:c r="J39" s="1"/>
      <x:c r="K39" s="1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</x:row>
    <x:row r="40" ht="18" customHeight="1">
      <x:c r="A40" s="1"/>
      <x:c r="B40" s="1"/>
      <x:c r="C40" s="1" t="str">
        <x:v>Fresh equity raised</x:v>
      </x:c>
      <x:c r="D40" s="2"/>
      <x:c r="E40" s="7" t="n">
        <x:f>E460</x:f>
        <x:v>0</x:v>
      </x:c>
      <x:c r="F40" s="7" t="n">
        <x:f>F460</x:f>
        <x:v>0</x:v>
      </x:c>
      <x:c r="G40" s="7" t="n">
        <x:f>G460</x:f>
        <x:v>0</x:v>
      </x:c>
      <x:c r="H40" s="7" t="n">
        <x:f>H460</x:f>
        <x:v>0</x:v>
      </x:c>
      <x:c r="I40" s="7" t="n">
        <x:f>I460</x:f>
        <x:v>0</x:v>
      </x:c>
      <x:c r="J40" s="1"/>
      <x:c r="K40" s="1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</x:row>
    <x:row r="41" ht="18" customHeight="1">
      <x:c r="A41" s="1"/>
      <x:c r="B41" s="1"/>
      <x:c r="C41" s="23" t="str">
        <x:v>Risk-weighted assets / gross loans</x:v>
      </x:c>
      <x:c r="D41" s="24"/>
      <x:c r="E41" s="26" t="n">
        <x:f>E465</x:f>
        <x:v>0.8</x:v>
      </x:c>
      <x:c r="F41" s="26" t="n">
        <x:f>F465</x:f>
        <x:v>0.8</x:v>
      </x:c>
      <x:c r="G41" s="26" t="n">
        <x:f>G465</x:f>
        <x:v>0.8</x:v>
      </x:c>
      <x:c r="H41" s="26" t="n">
        <x:f>H465</x:f>
        <x:v>0.8</x:v>
      </x:c>
      <x:c r="I41" s="26" t="n">
        <x:f>I465</x:f>
        <x:v>0.8</x:v>
      </x:c>
      <x:c r="J41" s="1"/>
      <x:c r="K41" s="1" t="str">
        <x:v>Analytical proxy. Not a regulatory risk-weight calculation.</x:v>
      </x:c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</x:row>
    <x:row r="42" ht="18" customHeight="1">
      <x:c r="A42" s="1"/>
      <x:c r="B42" s="1"/>
      <x:c r="C42" s="23" t="str">
        <x:v>Eligible capital / modeled book equity</x:v>
      </x:c>
      <x:c r="D42" s="24"/>
      <x:c r="E42" s="26" t="n">
        <x:f>E470</x:f>
        <x:v>0.9</x:v>
      </x:c>
      <x:c r="F42" s="26" t="n">
        <x:f>F470</x:f>
        <x:v>0.9</x:v>
      </x:c>
      <x:c r="G42" s="26" t="n">
        <x:f>G470</x:f>
        <x:v>0.9</x:v>
      </x:c>
      <x:c r="H42" s="26" t="n">
        <x:f>H470</x:f>
        <x:v>0.9</x:v>
      </x:c>
      <x:c r="I42" s="26" t="n">
        <x:f>I470</x:f>
        <x:v>0.9</x:v>
      </x:c>
      <x:c r="J42" s="1"/>
      <x:c r="K42" s="1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</x:row>
    <x:row r="43" ht="18" customHeight="1">
      <x:c r="A43" s="1"/>
      <x:c r="B43" s="1"/>
      <x:c r="C43" s="23" t="str">
        <x:v>Internal capital ratio target</x:v>
      </x:c>
      <x:c r="D43" s="24"/>
      <x:c r="E43" s="26" t="n">
        <x:f>E475</x:f>
        <x:v>0.15</x:v>
      </x:c>
      <x:c r="F43" s="26" t="n">
        <x:f>F475</x:f>
        <x:v>0.15</x:v>
      </x:c>
      <x:c r="G43" s="26" t="n">
        <x:f>G475</x:f>
        <x:v>0.15</x:v>
      </x:c>
      <x:c r="H43" s="26" t="n">
        <x:f>H475</x:f>
        <x:v>0.15</x:v>
      </x:c>
      <x:c r="I43" s="26" t="n">
        <x:f>I475</x:f>
        <x:v>0.15</x:v>
      </x:c>
      <x:c r="J43" s="1"/>
      <x:c r="K43" s="1" t="str">
        <x:v>Illustrative internal threshold, not a legal minimum.</x:v>
      </x:c>
      <x:c r="M43" s="64" t="str">
        <x:v>Actuals are reference inputs. Calibrate the opening balances and forecast assumptions separately.</x:v>
      </x:c>
      <x:c r="N43" s="64"/>
      <x:c r="O43" s="64"/>
      <x:c r="P43" s="64"/>
      <x:c r="Q43" s="64"/>
      <x:c r="R43" s="64"/>
      <x:c r="S43" s="64"/>
      <x:c r="T43" s="64"/>
      <x:c r="U43" s="64"/>
      <x:c r="V43" s="63"/>
    </x:row>
    <x:row r="44" ht="18" customHeight="1">
      <x:c r="A44" s="1"/>
      <x:c r="B44" s="1"/>
      <x:c r="C44" s="19" t="str">
        <x:v>LENDING AND FUNDING BUILD</x:v>
      </x:c>
      <x:c r="D44" s="20"/>
      <x:c r="E44" s="20"/>
      <x:c r="F44" s="20"/>
      <x:c r="G44" s="20"/>
      <x:c r="H44" s="20"/>
      <x:c r="I44" s="20"/>
      <x:c r="J44" s="1"/>
      <x:c r="K44" s="1"/>
      <x:c r="M44" s="64"/>
      <x:c r="N44" s="64"/>
      <x:c r="O44" s="64"/>
      <x:c r="P44" s="64"/>
      <x:c r="Q44" s="64"/>
      <x:c r="R44" s="64"/>
      <x:c r="S44" s="64"/>
      <x:c r="T44" s="64"/>
      <x:c r="U44" s="64"/>
      <x:c r="V44" s="63"/>
    </x:row>
    <x:row r="45" ht="18" customHeight="1">
      <x:c r="A45" s="1"/>
      <x:c r="B45" s="1"/>
      <x:c r="C45" s="1" t="str">
        <x:v>Closing gross loans</x:v>
      </x:c>
      <x:c r="D45" s="2"/>
      <x:c r="E45" s="8" t="n">
        <x:f>$D10*(1+E20)</x:f>
        <x:v>112999.99999999999</x:v>
      </x:c>
      <x:c r="F45" s="8" t="n">
        <x:f>E45*(1+F20)</x:f>
        <x:v>127689.99999999997</x:v>
      </x:c>
      <x:c r="G45" s="8" t="n">
        <x:f>F45*(1+G20)</x:f>
        <x:v>144289.69999999995</x:v>
      </x:c>
      <x:c r="H45" s="8" t="n">
        <x:f>G45*(1+H20)</x:f>
        <x:v>163047.36099999995</x:v>
      </x:c>
      <x:c r="I45" s="8" t="n">
        <x:f>H45*(1+I20)</x:f>
        <x:v>184243.5179299999</x:v>
      </x:c>
      <x:c r="J45" s="1"/>
      <x:c r="K45" s="1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</x:row>
    <x:row r="46" ht="18" customHeight="1">
      <x:c r="A46" s="1"/>
      <x:c r="B46" s="1"/>
      <x:c r="C46" s="1" t="str">
        <x:v>Average gross loans</x:v>
      </x:c>
      <x:c r="D46" s="2"/>
      <x:c r="E46" s="8" t="n">
        <x:f>($D10+E45)/2</x:f>
        <x:v>106500</x:v>
      </x:c>
      <x:c r="F46" s="8" t="n">
        <x:f>(E45+F45)/2</x:f>
        <x:v>120344.99999999997</x:v>
      </x:c>
      <x:c r="G46" s="8" t="n">
        <x:f>(F45+G45)/2</x:f>
        <x:v>135989.84999999998</x:v>
      </x:c>
      <x:c r="H46" s="8" t="n">
        <x:f>(G45+H45)/2</x:f>
        <x:v>153668.53049999994</x:v>
      </x:c>
      <x:c r="I46" s="8" t="n">
        <x:f>(H45+I45)/2</x:f>
        <x:v>173645.43946499994</x:v>
      </x:c>
      <x:c r="J46" s="1"/>
      <x:c r="K46" s="1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</x:row>
    <x:row r="47" ht="18" customHeight="1">
      <x:c r="A47" s="1"/>
      <x:c r="B47" s="1"/>
      <x:c r="C47" s="1" t="str">
        <x:v>Closing funding balance</x:v>
      </x:c>
      <x:c r="D47" s="2"/>
      <x:c r="E47" s="8" t="n">
        <x:f>$D11*(1+E28)</x:f>
        <x:v>135600</x:v>
      </x:c>
      <x:c r="F47" s="8" t="n">
        <x:f>E47*(1+F28)</x:f>
        <x:v>153228</x:v>
      </x:c>
      <x:c r="G47" s="8" t="n">
        <x:f>F47*(1+G28)</x:f>
        <x:v>173147.63999999998</x:v>
      </x:c>
      <x:c r="H47" s="8" t="n">
        <x:f>G47*(1+H28)</x:f>
        <x:v>195656.83319999996</x:v>
      </x:c>
      <x:c r="I47" s="8" t="n">
        <x:f>H47*(1+I28)</x:f>
        <x:v>221092.22151599993</x:v>
      </x:c>
      <x:c r="J47" s="1"/>
      <x:c r="K47" s="1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</x:row>
    <x:row r="48" ht="18" customHeight="1">
      <x:c r="A48" s="1"/>
      <x:c r="B48" s="1"/>
      <x:c r="C48" s="1" t="str">
        <x:v>Average funding balance</x:v>
      </x:c>
      <x:c r="D48" s="2"/>
      <x:c r="E48" s="8" t="n">
        <x:f>($D11+E47)/2</x:f>
        <x:v>127800</x:v>
      </x:c>
      <x:c r="F48" s="8" t="n">
        <x:f>(E47+F47)/2</x:f>
        <x:v>144414</x:v>
      </x:c>
      <x:c r="G48" s="8" t="n">
        <x:f>(F47+G47)/2</x:f>
        <x:v>163187.82</x:v>
      </x:c>
      <x:c r="H48" s="8" t="n">
        <x:f>(G47+H47)/2</x:f>
        <x:v>184402.23659999997</x:v>
      </x:c>
      <x:c r="I48" s="8" t="n">
        <x:f>(H47+I47)/2</x:f>
        <x:v>208374.52735799993</x:v>
      </x:c>
      <x:c r="J48" s="1"/>
      <x:c r="K48" s="1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</x:row>
    <x:row r="49" ht="18" customHeight="1">
      <x:c r="A49" s="1"/>
      <x:c r="B49" s="1"/>
      <x:c r="C49" s="1" t="str">
        <x:v>Closing investment assets</x:v>
      </x:c>
      <x:c r="D49" s="2"/>
      <x:c r="E49" s="8" t="n">
        <x:f>$D12*(1+E29)</x:f>
        <x:v>32400.000000000004</x:v>
      </x:c>
      <x:c r="F49" s="8" t="n">
        <x:f>E49*(1+F29)</x:f>
        <x:v>34992.00000000001</x:v>
      </x:c>
      <x:c r="G49" s="8" t="n">
        <x:f>F49*(1+G29)</x:f>
        <x:v>37791.36000000001</x:v>
      </x:c>
      <x:c r="H49" s="8" t="n">
        <x:f>G49*(1+H29)</x:f>
        <x:v>40814.668800000014</x:v>
      </x:c>
      <x:c r="I49" s="8" t="n">
        <x:f>H49*(1+I29)</x:f>
        <x:v>44079.84230400002</x:v>
      </x:c>
      <x:c r="J49" s="1"/>
      <x:c r="K49" s="1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</x:row>
    <x:row r="50" ht="18" customHeight="1">
      <x:c r="A50" s="1"/>
      <x:c r="B50" s="1"/>
      <x:c r="C50" s="1" t="str">
        <x:v>Average investment assets</x:v>
      </x:c>
      <x:c r="D50" s="2"/>
      <x:c r="E50" s="8" t="n">
        <x:f>($D12+E49)/2</x:f>
        <x:v>31200</x:v>
      </x:c>
      <x:c r="F50" s="8" t="n">
        <x:f>(E49+F49)/2</x:f>
        <x:v>33696.00000000001</x:v>
      </x:c>
      <x:c r="G50" s="8" t="n">
        <x:f>(F49+G49)/2</x:f>
        <x:v>36391.68000000001</x:v>
      </x:c>
      <x:c r="H50" s="8" t="n">
        <x:f>(G49+H49)/2</x:f>
        <x:v>39303.014400000015</x:v>
      </x:c>
      <x:c r="I50" s="8" t="n">
        <x:f>(H49+I49)/2</x:f>
        <x:v>42447.25555200002</x:v>
      </x:c>
      <x:c r="J50" s="1"/>
      <x:c r="K50" s="1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</x:row>
    <x:row r="51" ht="18" customHeight="1">
      <x:c r="A51" s="1"/>
      <x:c r="B51" s="1"/>
      <x:c r="C51" s="19" t="str">
        <x:v>INCOME STATEMENT</x:v>
      </x:c>
      <x:c r="D51" s="20"/>
      <x:c r="E51" s="20"/>
      <x:c r="F51" s="20"/>
      <x:c r="G51" s="20"/>
      <x:c r="H51" s="20"/>
      <x:c r="I51" s="20"/>
      <x:c r="J51" s="1"/>
      <x:c r="K51" s="1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</x:row>
    <x:row r="52" ht="18" customHeight="1">
      <x:c r="A52" s="1"/>
      <x:c r="B52" s="1"/>
      <x:c r="C52" s="1" t="str">
        <x:v>Interest income</x:v>
      </x:c>
      <x:c r="D52" s="2"/>
      <x:c r="E52" s="8" t="n">
        <x:f>E46*E30+E50*E32</x:f>
        <x:v>12678</x:v>
      </x:c>
      <x:c r="F52" s="8" t="n">
        <x:f>F46*F30+F50*F32</x:f>
        <x:v>14224.739999999998</x:v>
      </x:c>
      <x:c r="G52" s="8" t="n">
        <x:f>G46*G30+G50*G32</x:f>
        <x:v>15964.4442</x:v>
      </x:c>
      <x:c r="H52" s="8" t="n">
        <x:f>H46*H30+H50*H32</x:f>
        <x:v>17921.548985999994</x:v>
      </x:c>
      <x:c r="I52" s="8" t="n">
        <x:f>I46*I30+I50*I32</x:f>
        <x:v>20123.615557379995</x:v>
      </x:c>
      <x:c r="J52" s="1"/>
      <x:c r="K52" s="1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</x:row>
    <x:row r="53" ht="18" customHeight="1">
      <x:c r="A53" s="1"/>
      <x:c r="B53" s="1"/>
      <x:c r="C53" s="1" t="str">
        <x:v>Interest expense</x:v>
      </x:c>
      <x:c r="D53" s="2"/>
      <x:c r="E53" s="8" t="n">
        <x:f>E48*E31</x:f>
        <x:v>7029</x:v>
      </x:c>
      <x:c r="F53" s="8" t="n">
        <x:f>F48*F31</x:f>
        <x:v>7942.77</x:v>
      </x:c>
      <x:c r="G53" s="8" t="n">
        <x:f>G48*G31</x:f>
        <x:v>8975.330100000001</x:v>
      </x:c>
      <x:c r="H53" s="8" t="n">
        <x:f>H48*H31</x:f>
        <x:v>10142.123012999999</x:v>
      </x:c>
      <x:c r="I53" s="8" t="n">
        <x:f>I48*I31</x:f>
        <x:v>11460.599004689997</x:v>
      </x:c>
      <x:c r="J53" s="1"/>
      <x:c r="K53" s="1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</x:row>
    <x:row r="54" ht="18" customHeight="1">
      <x:c r="A54" s="1"/>
      <x:c r="B54" s="1"/>
      <x:c r="C54" s="38" t="str">
        <x:v>Net interest income</x:v>
      </x:c>
      <x:c r="D54" s="39"/>
      <x:c r="E54" s="41" t="n">
        <x:f>E52-E53</x:f>
        <x:v>5649</x:v>
      </x:c>
      <x:c r="F54" s="41" t="n">
        <x:f>F52-F53</x:f>
        <x:v>6281.9699999999975</x:v>
      </x:c>
      <x:c r="G54" s="41" t="n">
        <x:f>G52-G53</x:f>
        <x:v>6989.114099999999</x:v>
      </x:c>
      <x:c r="H54" s="41" t="n">
        <x:f>H52-H53</x:f>
        <x:v>7779.425972999996</x:v>
      </x:c>
      <x:c r="I54" s="41" t="n">
        <x:f>I52-I53</x:f>
        <x:v>8663.016552689998</x:v>
      </x:c>
      <x:c r="J54" s="1"/>
      <x:c r="K54" s="1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</x:row>
    <x:row r="55" ht="18" customHeight="1">
      <x:c r="A55" s="1"/>
      <x:c r="B55" s="1"/>
      <x:c r="C55" s="1" t="str">
        <x:v>Fee and other income</x:v>
      </x:c>
      <x:c r="D55" s="2"/>
      <x:c r="E55" s="8" t="n">
        <x:f>E46*E33</x:f>
        <x:v>1278</x:v>
      </x:c>
      <x:c r="F55" s="8" t="n">
        <x:f>F46*F33</x:f>
        <x:v>1444.1399999999996</x:v>
      </x:c>
      <x:c r="G55" s="8" t="n">
        <x:f>G46*G33</x:f>
        <x:v>1631.8781999999997</x:v>
      </x:c>
      <x:c r="H55" s="8" t="n">
        <x:f>H46*H33</x:f>
        <x:v>1844.0223659999992</x:v>
      </x:c>
      <x:c r="I55" s="8" t="n">
        <x:f>I46*I33</x:f>
        <x:v>2083.7452735799993</x:v>
      </x:c>
      <x:c r="J55" s="1"/>
      <x:c r="K55" s="1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</x:row>
    <x:row r="56" ht="18" customHeight="1">
      <x:c r="A56" s="1"/>
      <x:c r="B56" s="1"/>
      <x:c r="C56" s="1" t="str">
        <x:v>Net operating income</x:v>
      </x:c>
      <x:c r="D56" s="2"/>
      <x:c r="E56" s="8" t="n">
        <x:f>E54+E55</x:f>
        <x:v>6927</x:v>
      </x:c>
      <x:c r="F56" s="8" t="n">
        <x:f>F54+F55</x:f>
        <x:v>7726.109999999997</x:v>
      </x:c>
      <x:c r="G56" s="8" t="n">
        <x:f>G54+G55</x:f>
        <x:v>8620.992299999998</x:v>
      </x:c>
      <x:c r="H56" s="8" t="n">
        <x:f>H54+H55</x:f>
        <x:v>9623.448338999995</x:v>
      </x:c>
      <x:c r="I56" s="8" t="n">
        <x:f>I54+I55</x:f>
        <x:v>10746.761826269998</x:v>
      </x:c>
      <x:c r="J56" s="1"/>
      <x:c r="K56" s="1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</x:row>
    <x:row r="57" ht="18" customHeight="1">
      <x:c r="A57" s="1"/>
      <x:c r="B57" s="1"/>
      <x:c r="C57" s="1" t="str">
        <x:v>Operating expenses</x:v>
      </x:c>
      <x:c r="D57" s="2"/>
      <x:c r="E57" s="8" t="n">
        <x:f>E56*E34</x:f>
        <x:v>2978.61</x:v>
      </x:c>
      <x:c r="F57" s="8" t="n">
        <x:f>F56*F34</x:f>
        <x:v>3322.2272999999986</x:v>
      </x:c>
      <x:c r="G57" s="8" t="n">
        <x:f>G56*G34</x:f>
        <x:v>3707.026688999999</x:v>
      </x:c>
      <x:c r="H57" s="8" t="n">
        <x:f>H56*H34</x:f>
        <x:v>4138.082785769998</x:v>
      </x:c>
      <x:c r="I57" s="8" t="n">
        <x:f>I56*I34</x:f>
        <x:v>4621.107585296099</x:v>
      </x:c>
      <x:c r="J57" s="1"/>
      <x:c r="K57" s="1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</x:row>
    <x:row r="58" ht="18" customHeight="1">
      <x:c r="A58" s="1"/>
      <x:c r="B58" s="1"/>
      <x:c r="C58" s="1" t="str">
        <x:v>Pre-provision operating profit</x:v>
      </x:c>
      <x:c r="D58" s="2"/>
      <x:c r="E58" s="8" t="n">
        <x:f>E56-E57</x:f>
        <x:v>3948.39</x:v>
      </x:c>
      <x:c r="F58" s="8" t="n">
        <x:f>F56-F57</x:f>
        <x:v>4403.882699999998</x:v>
      </x:c>
      <x:c r="G58" s="8" t="n">
        <x:f>G56-G57</x:f>
        <x:v>4913.965611</x:v>
      </x:c>
      <x:c r="H58" s="8" t="n">
        <x:f>H56-H57</x:f>
        <x:v>5485.365553229997</x:v>
      </x:c>
      <x:c r="I58" s="8" t="n">
        <x:f>I56-I57</x:f>
        <x:v>6125.654240973899</x:v>
      </x:c>
      <x:c r="J58" s="1"/>
      <x:c r="K58" s="1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</x:row>
    <x:row r="59" ht="18" customHeight="1">
      <x:c r="A59" s="1"/>
      <x:c r="B59" s="1"/>
      <x:c r="C59" s="1" t="str">
        <x:v>Credit-loss expense</x:v>
      </x:c>
      <x:c r="D59" s="2"/>
      <x:c r="E59" s="8" t="n">
        <x:f>E46*E24</x:f>
        <x:v>1278</x:v>
      </x:c>
      <x:c r="F59" s="8" t="n">
        <x:f>F46*F24</x:f>
        <x:v>1444.1399999999996</x:v>
      </x:c>
      <x:c r="G59" s="8" t="n">
        <x:f>G46*G24</x:f>
        <x:v>1631.8781999999997</x:v>
      </x:c>
      <x:c r="H59" s="8" t="n">
        <x:f>H46*H24</x:f>
        <x:v>1844.0223659999992</x:v>
      </x:c>
      <x:c r="I59" s="8" t="n">
        <x:f>I46*I24</x:f>
        <x:v>2083.7452735799993</x:v>
      </x:c>
      <x:c r="J59" s="1"/>
      <x:c r="K59" s="1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</x:row>
    <x:row r="60" ht="18" customHeight="1">
      <x:c r="A60" s="1"/>
      <x:c r="B60" s="1"/>
      <x:c r="C60" s="1" t="str">
        <x:v>Profit before tax</x:v>
      </x:c>
      <x:c r="D60" s="2"/>
      <x:c r="E60" s="8" t="n">
        <x:f>E58-E59</x:f>
        <x:v>2670.39</x:v>
      </x:c>
      <x:c r="F60" s="8" t="n">
        <x:f>F58-F59</x:f>
        <x:v>2959.742699999999</x:v>
      </x:c>
      <x:c r="G60" s="8" t="n">
        <x:f>G58-G59</x:f>
        <x:v>3282.087411</x:v>
      </x:c>
      <x:c r="H60" s="8" t="n">
        <x:f>H58-H59</x:f>
        <x:v>3641.343187229998</x:v>
      </x:c>
      <x:c r="I60" s="8" t="n">
        <x:f>I58-I59</x:f>
        <x:v>4041.9089673938993</x:v>
      </x:c>
      <x:c r="J60" s="1"/>
      <x:c r="K60" s="1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</x:row>
    <x:row r="61" ht="18" customHeight="1">
      <x:c r="A61" s="1"/>
      <x:c r="B61" s="1"/>
      <x:c r="C61" s="1" t="str">
        <x:v>Tax</x:v>
      </x:c>
      <x:c r="D61" s="2"/>
      <x:c r="E61" s="8" t="n">
        <x:f>E144</x:f>
        <x:v>667.5975</x:v>
      </x:c>
      <x:c r="F61" s="8" t="n">
        <x:f>F144</x:f>
        <x:v>739.9356749999997</x:v>
      </x:c>
      <x:c r="G61" s="8" t="n">
        <x:f>G144</x:f>
        <x:v>820.52185275</x:v>
      </x:c>
      <x:c r="H61" s="8" t="n">
        <x:f>H144</x:f>
        <x:v>910.3357968074995</x:v>
      </x:c>
      <x:c r="I61" s="8" t="n">
        <x:f>I144</x:f>
        <x:v>1010.4772418484748</x:v>
      </x:c>
      <x:c r="J61" s="1"/>
      <x:c r="K61" s="1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</x:row>
    <x:row r="62" ht="18" customHeight="1">
      <x:c r="A62" s="1"/>
      <x:c r="B62" s="1"/>
      <x:c r="C62" s="38" t="str">
        <x:v>Profit after tax</x:v>
      </x:c>
      <x:c r="D62" s="39"/>
      <x:c r="E62" s="41" t="n">
        <x:f>E60-E61</x:f>
        <x:v>2002.7925</x:v>
      </x:c>
      <x:c r="F62" s="41" t="n">
        <x:f>F60-F61</x:f>
        <x:v>2219.807024999999</x:v>
      </x:c>
      <x:c r="G62" s="41" t="n">
        <x:f>G60-G61</x:f>
        <x:v>2461.56555825</x:v>
      </x:c>
      <x:c r="H62" s="41" t="n">
        <x:f>H60-H61</x:f>
        <x:v>2731.0073904224982</x:v>
      </x:c>
      <x:c r="I62" s="41" t="n">
        <x:f>I60-I61</x:f>
        <x:v>3031.4317255454243</x:v>
      </x:c>
      <x:c r="J62" s="1"/>
      <x:c r="K62" s="1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</x:row>
    <x:row r="63" ht="18" customHeight="1">
      <x:c r="A63" s="1"/>
      <x:c r="B63" s="1"/>
      <x:c r="C63" s="1" t="str">
        <x:v>Dividends</x:v>
      </x:c>
      <x:c r="D63" s="2"/>
      <x:c r="E63" s="8" t="n">
        <x:f>MAX(0,E62)*E39</x:f>
        <x:v>400.55850000000004</x:v>
      </x:c>
      <x:c r="F63" s="8" t="n">
        <x:f>MAX(0,F62)*F39</x:f>
        <x:v>443.96140499999984</x:v>
      </x:c>
      <x:c r="G63" s="8" t="n">
        <x:f>MAX(0,G62)*G39</x:f>
        <x:v>492.31311165</x:v>
      </x:c>
      <x:c r="H63" s="8" t="n">
        <x:f>MAX(0,H62)*H39</x:f>
        <x:v>546.2014780844996</x:v>
      </x:c>
      <x:c r="I63" s="8" t="n">
        <x:f>MAX(0,I62)*I39</x:f>
        <x:v>606.2863451090849</x:v>
      </x:c>
      <x:c r="J63" s="1"/>
      <x:c r="K63" s="1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</x:row>
    <x:row r="64" ht="18" customHeight="1">
      <x:c r="A64" s="1"/>
      <x:c r="B64" s="1"/>
      <x:c r="C64" s="19" t="str">
        <x:v>ASSET QUALITY AND BALANCE SHEET</x:v>
      </x:c>
      <x:c r="D64" s="20"/>
      <x:c r="E64" s="20"/>
      <x:c r="F64" s="20"/>
      <x:c r="G64" s="20"/>
      <x:c r="H64" s="20"/>
      <x:c r="I64" s="20"/>
      <x:c r="J64" s="1"/>
      <x:c r="K64" s="1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</x:row>
    <x:row r="65" ht="18" customHeight="1">
      <x:c r="A65" s="1"/>
      <x:c r="B65" s="1"/>
      <x:c r="C65" s="1" t="str">
        <x:v>New non-performing loans</x:v>
      </x:c>
      <x:c r="D65" s="2"/>
      <x:c r="E65" s="8" t="n">
        <x:f>$D10*E35</x:f>
        <x:v>2500</x:v>
      </x:c>
      <x:c r="F65" s="8" t="n">
        <x:f>E45*F35</x:f>
        <x:v>2825</x:v>
      </x:c>
      <x:c r="G65" s="8" t="n">
        <x:f>F45*G35</x:f>
        <x:v>3192.2499999999995</x:v>
      </x:c>
      <x:c r="H65" s="8" t="n">
        <x:f>G45*H35</x:f>
        <x:v>3607.242499999999</x:v>
      </x:c>
      <x:c r="I65" s="8" t="n">
        <x:f>H45*I35</x:f>
        <x:v>4076.1840249999987</x:v>
      </x:c>
      <x:c r="J65" s="1"/>
      <x:c r="K65" s="1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</x:row>
    <x:row r="66" ht="18" customHeight="1">
      <x:c r="A66" s="1"/>
      <x:c r="B66" s="1"/>
      <x:c r="C66" s="1" t="str">
        <x:v>NPA recoveries</x:v>
      </x:c>
      <x:c r="D66" s="2"/>
      <x:c r="E66" s="8" t="n">
        <x:f>$D15*E36</x:f>
        <x:v>500</x:v>
      </x:c>
      <x:c r="F66" s="8" t="n">
        <x:f>E68*F36</x:f>
        <x:v>775</x:v>
      </x:c>
      <x:c r="G66" s="8" t="n">
        <x:f>F68*G36</x:f>
        <x:v>991.25</x:v>
      </x:c>
      <x:c r="H66" s="8" t="n">
        <x:f>G68*H36</x:f>
        <x:v>1183.6375</x:v>
      </x:c>
      <x:c r="I66" s="8" t="n">
        <x:f>H68*I36</x:f>
        <x:v>1372.4491249999996</x:v>
      </x:c>
      <x:c r="J66" s="1"/>
      <x:c r="K66" s="1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</x:row>
    <x:row r="67" ht="18" customHeight="1">
      <x:c r="A67" s="1"/>
      <x:c r="B67" s="1"/>
      <x:c r="C67" s="1" t="str">
        <x:v>Write-offs</x:v>
      </x:c>
      <x:c r="D67" s="2"/>
      <x:c r="E67" s="8" t="n">
        <x:f>$D15*E37</x:f>
        <x:v>625</x:v>
      </x:c>
      <x:c r="F67" s="8" t="n">
        <x:f>E68*F37</x:f>
        <x:v>968.75</x:v>
      </x:c>
      <x:c r="G67" s="8" t="n">
        <x:f>F68*G37</x:f>
        <x:v>1239.0625</x:v>
      </x:c>
      <x:c r="H67" s="8" t="n">
        <x:f>G68*H37</x:f>
        <x:v>1479.546875</x:v>
      </x:c>
      <x:c r="I67" s="8" t="n">
        <x:f>H68*I37</x:f>
        <x:v>1715.5614062499994</x:v>
      </x:c>
      <x:c r="J67" s="1"/>
      <x:c r="K67" s="1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</x:row>
    <x:row r="68" ht="18" customHeight="1">
      <x:c r="A68" s="1"/>
      <x:c r="B68" s="1"/>
      <x:c r="C68" s="1" t="str">
        <x:v>Closing gross NPA</x:v>
      </x:c>
      <x:c r="D68" s="2"/>
      <x:c r="E68" s="8" t="n">
        <x:f>$D15+E65-E66-E67</x:f>
        <x:v>3875</x:v>
      </x:c>
      <x:c r="F68" s="8" t="n">
        <x:f>E68+F65-F66-F67</x:f>
        <x:v>4956.25</x:v>
      </x:c>
      <x:c r="G68" s="8" t="n">
        <x:f>F68+G65-G66-G67</x:f>
        <x:v>5918.1875</x:v>
      </x:c>
      <x:c r="H68" s="8" t="n">
        <x:f>G68+H65-H66-H67</x:f>
        <x:v>6862.245624999998</x:v>
      </x:c>
      <x:c r="I68" s="8" t="n">
        <x:f>H68+I65-I66-I67</x:f>
        <x:v>7850.419118749998</x:v>
      </x:c>
      <x:c r="J68" s="1"/>
      <x:c r="K68" s="1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</x:row>
    <x:row r="69" ht="18" customHeight="1">
      <x:c r="A69" s="1"/>
      <x:c r="B69" s="1"/>
      <x:c r="C69" s="1" t="str">
        <x:v>Closing credit-loss allowance</x:v>
      </x:c>
      <x:c r="D69" s="2"/>
      <x:c r="E69" s="8" t="n">
        <x:f>$D14+E59-E67</x:f>
        <x:v>2153</x:v>
      </x:c>
      <x:c r="F69" s="8" t="n">
        <x:f>E69+F59-F67</x:f>
        <x:v>2628.3899999999994</x:v>
      </x:c>
      <x:c r="G69" s="8" t="n">
        <x:f>F69+G59-G67</x:f>
        <x:v>3021.2056999999986</x:v>
      </x:c>
      <x:c r="H69" s="8" t="n">
        <x:f>G69+H59-H67</x:f>
        <x:v>3385.681190999998</x:v>
      </x:c>
      <x:c r="I69" s="8" t="n">
        <x:f>H69+I59-I67</x:f>
        <x:v>3753.865058329998</x:v>
      </x:c>
      <x:c r="J69" s="1"/>
      <x:c r="K69" s="1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</x:row>
    <x:row r="70" ht="18" customHeight="1">
      <x:c r="A70" s="1"/>
      <x:c r="B70" s="1"/>
      <x:c r="C70" s="1" t="str">
        <x:v>Net loans</x:v>
      </x:c>
      <x:c r="D70" s="2"/>
      <x:c r="E70" s="8" t="n">
        <x:f>E45-E69</x:f>
        <x:v>110846.99999999999</x:v>
      </x:c>
      <x:c r="F70" s="8" t="n">
        <x:f>F45-F69</x:f>
        <x:v>125061.60999999997</x:v>
      </x:c>
      <x:c r="G70" s="8" t="n">
        <x:f>G45-G69</x:f>
        <x:v>141268.49429999996</x:v>
      </x:c>
      <x:c r="H70" s="8" t="n">
        <x:f>H45-H69</x:f>
        <x:v>159661.67980899994</x:v>
      </x:c>
      <x:c r="I70" s="8" t="n">
        <x:f>I45-I69</x:f>
        <x:v>180489.6528716699</x:v>
      </x:c>
      <x:c r="J70" s="1"/>
      <x:c r="K70" s="1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</x:row>
    <x:row r="71" ht="18" customHeight="1">
      <x:c r="A71" s="1"/>
      <x:c r="B71" s="1"/>
      <x:c r="C71" s="38" t="str">
        <x:v>Closing equity</x:v>
      </x:c>
      <x:c r="D71" s="39"/>
      <x:c r="E71" s="41" t="n">
        <x:f>$D13+E62-E63+E40</x:f>
        <x:v>16602.234</x:v>
      </x:c>
      <x:c r="F71" s="41" t="n">
        <x:f>E71+F62-F63+F40</x:f>
        <x:v>18378.07962</x:v>
      </x:c>
      <x:c r="G71" s="41" t="n">
        <x:f>F71+G62-G63+G40</x:f>
        <x:v>20347.3320666</x:v>
      </x:c>
      <x:c r="H71" s="41" t="n">
        <x:f>G71+H62-H63+H40</x:f>
        <x:v>22532.137978938</x:v>
      </x:c>
      <x:c r="I71" s="41" t="n">
        <x:f>H71+I62-I63+I40</x:f>
        <x:v>24957.283359374338</x:v>
      </x:c>
      <x:c r="J71" s="1"/>
      <x:c r="K71" s="1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</x:row>
    <x:row r="72" ht="18" customHeight="1">
      <x:c r="A72" s="1"/>
      <x:c r="B72" s="1"/>
      <x:c r="C72" s="1" t="str">
        <x:v>Residual liquidity / (funding gap)</x:v>
      </x:c>
      <x:c r="D72" s="2"/>
      <x:c r="E72" s="8" t="n">
        <x:f>E47+E71-E70-E49</x:f>
        <x:v>8955.234000000008</x:v>
      </x:c>
      <x:c r="F72" s="8" t="n">
        <x:f>F47+F71-F70-F49</x:f>
        <x:v>11552.469620000025</x:v>
      </x:c>
      <x:c r="G72" s="8" t="n">
        <x:f>G47+G71-G70-G49</x:f>
        <x:v>14435.117766600022</x:v>
      </x:c>
      <x:c r="H72" s="8" t="n">
        <x:f>H47+H71-H70-H49</x:f>
        <x:v>17712.622569938016</x:v>
      </x:c>
      <x:c r="I72" s="8" t="n">
        <x:f>I47+I71-I70-I49</x:f>
        <x:v>21480.00969970433</x:v>
      </x:c>
      <x:c r="J72" s="1"/>
      <x:c r="K72" s="1" t="str">
        <x:v>Funding and equity less net loans and investments. No additional funding is automatically raised.</x:v>
      </x:c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</x:row>
    <x:row r="73" ht="18" customHeight="1">
      <x:c r="A73" s="1"/>
      <x:c r="B73" s="1"/>
      <x:c r="C73" s="1" t="str">
        <x:v>Total assets</x:v>
      </x:c>
      <x:c r="D73" s="2"/>
      <x:c r="E73" s="8" t="n">
        <x:f>E70+E49+E72</x:f>
        <x:v>152202.234</x:v>
      </x:c>
      <x:c r="F73" s="8" t="n">
        <x:f>F70+F49+F72</x:f>
        <x:v>171606.07962</x:v>
      </x:c>
      <x:c r="G73" s="8" t="n">
        <x:f>G70+G49+G72</x:f>
        <x:v>193494.9720666</x:v>
      </x:c>
      <x:c r="H73" s="8" t="n">
        <x:f>H70+H49+H72</x:f>
        <x:v>218188.97117893797</x:v>
      </x:c>
      <x:c r="I73" s="8" t="n">
        <x:f>I70+I49+I72</x:f>
        <x:v>246049.50487537426</x:v>
      </x:c>
      <x:c r="J73" s="1"/>
      <x:c r="K73" s="1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</x:row>
    <x:row r="74" ht="18" customHeight="1">
      <x:c r="A74" s="1"/>
      <x:c r="B74" s="1"/>
      <x:c r="C74" s="1" t="str">
        <x:v>Change in residual liquidity</x:v>
      </x:c>
      <x:c r="D74" s="2"/>
      <x:c r="E74" s="8" t="n">
        <x:f>E72-($D11+$D13-$D10+$D14-$D12)</x:f>
        <x:v>2455.2340000000077</x:v>
      </x:c>
      <x:c r="F74" s="8" t="n">
        <x:f>F72-E72</x:f>
        <x:v>2597.2356200000177</x:v>
      </x:c>
      <x:c r="G74" s="8" t="n">
        <x:f>G72-F72</x:f>
        <x:v>2882.648146599997</x:v>
      </x:c>
      <x:c r="H74" s="8" t="n">
        <x:f>H72-G72</x:f>
        <x:v>3277.5048033379935</x:v>
      </x:c>
      <x:c r="I74" s="8" t="n">
        <x:f>I72-H72</x:f>
        <x:v>3767.3871297663136</x:v>
      </x:c>
      <x:c r="J74" s="1"/>
      <x:c r="K74" s="1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</x:row>
    <x:row r="75" ht="18" customHeight="1">
      <x:c r="A75" s="1"/>
      <x:c r="B75" s="1"/>
      <x:c r="C75" s="19" t="str">
        <x:v>LENDING KPIs AND VALUATION</x:v>
      </x:c>
      <x:c r="D75" s="20"/>
      <x:c r="E75" s="20"/>
      <x:c r="F75" s="20"/>
      <x:c r="G75" s="20"/>
      <x:c r="H75" s="20"/>
      <x:c r="I75" s="20"/>
      <x:c r="J75" s="1"/>
      <x:c r="K75" s="1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</x:row>
    <x:row r="76" ht="18" customHeight="1">
      <x:c r="A76" s="1"/>
      <x:c r="B76" s="1"/>
      <x:c r="C76" s="23" t="str">
        <x:v>Net interest margin</x:v>
      </x:c>
      <x:c r="D76" s="24"/>
      <x:c r="E76" s="35" t="n">
        <x:f>E54/(E46+E50)</x:f>
        <x:v>0.041023965141612204</x:v>
      </x:c>
      <x:c r="F76" s="35" t="n">
        <x:f>F54/(F46+F50)</x:f>
        <x:v>0.04078115566634856</x:v>
      </x:c>
      <x:c r="G76" s="35" t="n">
        <x:f>G54/(G46+G50)</x:f>
        <x:v>0.04054444870050753</x:v>
      </x:c>
      <x:c r="H76" s="35" t="n">
        <x:f>H54/(H46+H50)</x:f>
        <x:v>0.0403138502986613</x:v>
      </x:c>
      <x:c r="I76" s="35" t="n">
        <x:f>I54/(I46+I50)</x:f>
        <x:v>0.040089354024709076</x:v>
      </x:c>
      <x:c r="J76" s="1"/>
      <x:c r="K76" s="1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</x:row>
    <x:row r="77" ht="18" customHeight="1">
      <x:c r="A77" s="1"/>
      <x:c r="B77" s="1"/>
      <x:c r="C77" s="23" t="str">
        <x:v>Return on average equity</x:v>
      </x:c>
      <x:c r="D77" s="24"/>
      <x:c r="E77" s="35" t="n">
        <x:f>E62/(($D13+E71)/2)</x:f>
        <x:v>0.12675005823955357</x:v>
      </x:c>
      <x:c r="F77" s="35" t="n">
        <x:f>F62/((E71+F71)/2)</x:f>
        <x:v>0.12691750274822144</x:v>
      </x:c>
      <x:c r="G77" s="35" t="n">
        <x:f>G62/((F71+G71)/2)</x:f>
        <x:v>0.12712921314671347</x:v>
      </x:c>
      <x:c r="H77" s="35" t="n">
        <x:f>H62/((G71+H71)/2)</x:f>
        <x:v>0.12738065034489318</x:v>
      </x:c>
      <x:c r="I77" s="35" t="n">
        <x:f>I62/((H71+I71)/2)</x:f>
        <x:v>0.12766766324439505</x:v>
      </x:c>
      <x:c r="J77" s="1"/>
      <x:c r="K77" s="1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</x:row>
    <x:row r="78" ht="18" customHeight="1">
      <x:c r="A78" s="1"/>
      <x:c r="B78" s="1"/>
      <x:c r="C78" s="23" t="str">
        <x:v>Return on average assets</x:v>
      </x:c>
      <x:c r="D78" s="24"/>
      <x:c r="E78" s="35" t="n">
        <x:f>E62/(($D11+$D13+E73)/2)</x:f>
        <x:v>0.01394691449370829</x:v>
      </x:c>
      <x:c r="F78" s="35" t="n">
        <x:f>F62/((E73+F73)/2)</x:f>
        <x:v>0.013710624042871348</x:v>
      </x:c>
      <x:c r="G78" s="35" t="n">
        <x:f>G62/((F73+G73)/2)</x:f>
        <x:v>0.013484297275390975</x:v>
      </x:c>
      <x:c r="H78" s="35" t="n">
        <x:f>H62/((G73+H73)/2)</x:f>
        <x:v>0.013267495296962124</x:v>
      </x:c>
      <x:c r="I78" s="35" t="n">
        <x:f>I62/((H73+I73)/2)</x:f>
        <x:v>0.013059803880584732</x:v>
      </x:c>
      <x:c r="J78" s="1"/>
      <x:c r="K78" s="1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</x:row>
    <x:row r="79" ht="18" customHeight="1">
      <x:c r="A79" s="1"/>
      <x:c r="B79" s="1"/>
      <x:c r="C79" s="23" t="str">
        <x:v>Gross NPA ratio</x:v>
      </x:c>
      <x:c r="D79" s="24"/>
      <x:c r="E79" s="35" t="n">
        <x:f>E68/E45</x:f>
        <x:v>0.03429203539823009</x:v>
      </x:c>
      <x:c r="F79" s="35" t="n">
        <x:f>F68/F45</x:f>
        <x:v>0.03881470749471377</x:v>
      </x:c>
      <x:c r="G79" s="35" t="n">
        <x:f>G68/G45</x:f>
        <x:v>0.041016008072648304</x:v>
      </x:c>
      <x:c r="H79" s="35" t="n">
        <x:f>H68/H45</x:f>
        <x:v>0.04208743755748368</x:v>
      </x:c>
      <x:c r="I79" s="35" t="n">
        <x:f>I68/I45</x:f>
        <x:v>0.04260892978461596</x:v>
      </x:c>
      <x:c r="J79" s="1"/>
      <x:c r="K79" s="1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</x:row>
    <x:row r="80" ht="18" customHeight="1">
      <x:c r="A80" s="1"/>
      <x:c r="B80" s="1"/>
      <x:c r="C80" s="23" t="str">
        <x:v>Allowance / gross NPA</x:v>
      </x:c>
      <x:c r="D80" s="24"/>
      <x:c r="E80" s="35" t="n">
        <x:f>IF(E68=0,"n.a.",E69/E68)</x:f>
        <x:v>0.5556129032258065</x:v>
      </x:c>
      <x:c r="F80" s="35" t="n">
        <x:f>IF(F68=0,"n.a.",F69/F68)</x:f>
        <x:v>0.5303182849936947</x:v>
      </x:c>
      <x:c r="G80" s="35" t="n">
        <x:f>IF(G68=0,"n.a.",G69/G68)</x:f>
        <x:v>0.5104950966828946</x:v>
      </x:c>
      <x:c r="H80" s="35" t="n">
        <x:f>IF(H68=0,"n.a.",H69/H68)</x:f>
        <x:v>0.4933780246316961</x:v>
      </x:c>
      <x:c r="I80" s="35" t="n">
        <x:f>IF(I68=0,"n.a.",I69/I68)</x:f>
        <x:v>0.47817384034493643</x:v>
      </x:c>
      <x:c r="J80" s="1"/>
      <x:c r="K80" s="1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</x:row>
    <x:row r="81" ht="18" customHeight="1">
      <x:c r="A81" s="1"/>
      <x:c r="B81" s="1"/>
      <x:c r="C81" s="23" t="str">
        <x:v>Loan / deposit ratio</x:v>
      </x:c>
      <x:c r="D81" s="24"/>
      <x:c r="E81" s="35" t="n">
        <x:f>E45/E47</x:f>
        <x:v>0.8333333333333333</x:v>
      </x:c>
      <x:c r="F81" s="35" t="n">
        <x:f>F45/F47</x:f>
        <x:v>0.8333333333333331</x:v>
      </x:c>
      <x:c r="G81" s="35" t="n">
        <x:f>G45/G47</x:f>
        <x:v>0.8333333333333331</x:v>
      </x:c>
      <x:c r="H81" s="35" t="n">
        <x:f>H45/H47</x:f>
        <x:v>0.8333333333333333</x:v>
      </x:c>
      <x:c r="I81" s="35" t="n">
        <x:f>I45/I47</x:f>
        <x:v>0.8333333333333331</x:v>
      </x:c>
      <x:c r="J81" s="1"/>
      <x:c r="K81" s="1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</x:row>
    <x:row r="82" ht="18" customHeight="1">
      <x:c r="A82" s="1"/>
      <x:c r="B82" s="1"/>
      <x:c r="C82" s="23" t="str">
        <x:v>Capital adequacy proxy</x:v>
      </x:c>
      <x:c r="D82" s="24"/>
      <x:c r="E82" s="35" t="n">
        <x:f>E71*E42/(E45*E41)</x:f>
        <x:v>0.1652877278761062</x:v>
      </x:c>
      <x:c r="F82" s="35" t="n">
        <x:f>F71*F42/(F45*F41)</x:f>
        <x:v>0.16191823613830375</x:v>
      </x:c>
      <x:c r="G82" s="35" t="n">
        <x:f>G71*G42/(G45*G41)</x:f>
        <x:v>0.15864437014509702</x:v>
      </x:c>
      <x:c r="H82" s="35" t="n">
        <x:f>H71*H42/(H45*H41)</x:f>
        <x:v>0.1554680497178072</x:v>
      </x:c>
      <x:c r="I82" s="35" t="n">
        <x:f>I71*I42/(I45*I41)</x:f>
        <x:v>0.15239040208710883</x:v>
      </x:c>
      <x:c r="J82" s="1"/>
      <x:c r="K82" s="1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</x:row>
    <x:row r="83" ht="18" customHeight="1">
      <x:c r="A83" s="1"/>
      <x:c r="B83" s="1"/>
      <x:c r="C83" s="1" t="str">
        <x:v>Capital below internal target</x:v>
      </x:c>
      <x:c r="D83" s="2"/>
      <x:c r="E83" s="8" t="n">
        <x:f>MAX(0,E45*E41*E43-E71*E42)</x:f>
        <x:v>0</x:v>
      </x:c>
      <x:c r="F83" s="8" t="n">
        <x:f>MAX(0,F45*F41*F43-F71*F42)</x:f>
        <x:v>0</x:v>
      </x:c>
      <x:c r="G83" s="8" t="n">
        <x:f>MAX(0,G45*G41*G43-G71*G42)</x:f>
        <x:v>0</x:v>
      </x:c>
      <x:c r="H83" s="8" t="n">
        <x:f>MAX(0,H45*H41*H43-H71*H42)</x:f>
        <x:v>0</x:v>
      </x:c>
      <x:c r="I83" s="8" t="n">
        <x:f>MAX(0,I45*I41*I43-I71*I42)</x:f>
        <x:v>0</x:v>
      </x:c>
      <x:c r="J83" s="1"/>
      <x:c r="K83" s="1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</x:row>
    <x:row r="84" ht="18" customHeight="1">
      <x:c r="A84" s="1"/>
      <x:c r="B84" s="1"/>
      <x:c r="C84" s="1" t="str">
        <x:v>Forward book-based equity value</x:v>
      </x:c>
      <x:c r="D84" s="2"/>
      <x:c r="E84" s="8" t="n">
        <x:f>E71*$D17</x:f>
        <x:v>29884.021200000003</x:v>
      </x:c>
      <x:c r="F84" s="8" t="n">
        <x:f>F71*$D17</x:f>
        <x:v>33080.543316</x:v>
      </x:c>
      <x:c r="G84" s="8" t="n">
        <x:f>G71*$D17</x:f>
        <x:v>36625.19771988</x:v>
      </x:c>
      <x:c r="H84" s="8" t="n">
        <x:f>H71*$D17</x:f>
        <x:v>40557.8483620884</x:v>
      </x:c>
      <x:c r="I84" s="8" t="n">
        <x:f>I71*$D17</x:f>
        <x:v>44923.11004687381</x:v>
      </x:c>
      <x:c r="J84" s="1"/>
      <x:c r="K84" s="1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</x:row>
    <x:row r="85" ht="18" customHeight="1">
      <x:c r="A85" s="1"/>
      <x:c r="B85" s="1"/>
      <x:c r="C85" s="1" t="str">
        <x:v>Forward earnings-based equity value</x:v>
      </x:c>
      <x:c r="D85" s="2"/>
      <x:c r="E85" s="8" t="n">
        <x:f>E62*$D18</x:f>
        <x:v>26036.3025</x:v>
      </x:c>
      <x:c r="F85" s="8" t="n">
        <x:f>F62*$D18</x:f>
        <x:v>28857.491324999988</x:v>
      </x:c>
      <x:c r="G85" s="8" t="n">
        <x:f>G62*$D18</x:f>
        <x:v>32000.352257249997</x:v>
      </x:c>
      <x:c r="H85" s="8" t="n">
        <x:f>H62*$D18</x:f>
        <x:v>35503.096075492474</x:v>
      </x:c>
      <x:c r="I85" s="8" t="n">
        <x:f>I62*$D18</x:f>
        <x:v>39408.612432090515</x:v>
      </x:c>
      <x:c r="J85" s="1"/>
      <x:c r="K85" s="1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</x:row>
    <x:row r="86" ht="18" customHeight="1">
      <x:c r="A86" s="1"/>
      <x:c r="B86" s="1"/>
      <x:c r="C86" s="1" t="str">
        <x:v>Book value per share (INR)</x:v>
      </x:c>
      <x:c r="D86" s="33"/>
      <x:c r="E86" s="34" t="n">
        <x:f>E71/$D16</x:f>
        <x:v>166.02234</x:v>
      </x:c>
      <x:c r="F86" s="34" t="n">
        <x:f>F71/$D16</x:f>
        <x:v>183.7807962</x:v>
      </x:c>
      <x:c r="G86" s="34" t="n">
        <x:f>G71/$D16</x:f>
        <x:v>203.473320666</x:v>
      </x:c>
      <x:c r="H86" s="34" t="n">
        <x:f>H71/$D16</x:f>
        <x:v>225.32137978938002</x:v>
      </x:c>
      <x:c r="I86" s="34" t="n">
        <x:f>I71/$D16</x:f>
        <x:v>249.57283359374338</x:v>
      </x:c>
      <x:c r="J86" s="1"/>
      <x:c r="K86" s="1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</x:row>
    <x:row r="87" ht="18" customHeight="1">
      <x:c r="A87" s="1"/>
      <x:c r="B87" s="1"/>
      <x:c r="C87" s="38" t="str">
        <x:v>PV of first forecast year book-based equity value</x:v>
      </x:c>
      <x:c r="D87" s="39"/>
      <x:c r="E87" s="41" t="n">
        <x:f>E84/(1+$D19)</x:f>
        <x:v>26214.053684210525</x:v>
      </x:c>
      <x:c r="F87" s="39"/>
      <x:c r="G87" s="39"/>
      <x:c r="H87" s="39"/>
      <x:c r="I87" s="39"/>
      <x:c r="J87" s="1"/>
      <x:c r="K87" s="1" t="str">
        <x:v>One-year discount to the opening valuation date. Forward P/B and discount rate are illustrative.</x:v>
      </x:c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</x:row>
    <x:row r="88" ht="18" customHeight="1">
      <x:c r="A88" s="1"/>
      <x:c r="B88" s="1"/>
      <x:c r="C88" s="19" t="str">
        <x:v>MODEL CHECKS</x:v>
      </x:c>
      <x:c r="D88" s="20"/>
      <x:c r="E88" s="20"/>
      <x:c r="F88" s="20"/>
      <x:c r="G88" s="20"/>
      <x:c r="H88" s="20"/>
      <x:c r="I88" s="20"/>
      <x:c r="J88" s="1"/>
      <x:c r="K88" s="1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</x:row>
    <x:row r="89" ht="18" customHeight="1">
      <x:c r="A89" s="1"/>
      <x:c r="B89" s="1"/>
      <x:c r="C89" s="1" t="str">
        <x:v>Assets less funding and equity</x:v>
      </x:c>
      <x:c r="D89" s="33"/>
      <x:c r="E89" s="34" t="n">
        <x:f>E73-E47-E71</x:f>
        <x:v>-3.637978807091713e-12</x:v>
      </x:c>
      <x:c r="F89" s="34" t="n">
        <x:f>F73-F47-F71</x:f>
        <x:v>3.637978807091713e-12</x:v>
      </x:c>
      <x:c r="G89" s="34" t="n">
        <x:f>G73-G47-G71</x:f>
        <x:v>7.275957614183426e-12</x:v>
      </x:c>
      <x:c r="H89" s="34" t="n">
        <x:f>H73-H47-H71</x:f>
        <x:v>0</x:v>
      </x:c>
      <x:c r="I89" s="34" t="n">
        <x:f>I73-I47-I71</x:f>
        <x:v>-1.0913936421275139e-11</x:v>
      </x:c>
      <x:c r="J89" s="1"/>
      <x:c r="K89" s="1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</x:row>
    <x:row r="90" ht="18" customHeight="1">
      <x:c r="A90" s="1"/>
      <x:c r="B90" s="1"/>
      <x:c r="C90" s="1" t="str">
        <x:v>Residual liquidity shortfall</x:v>
      </x:c>
      <x:c r="D90" s="33"/>
      <x:c r="E90" s="34" t="n">
        <x:f>MAX(0,-E72)</x:f>
        <x:v>0</x:v>
      </x:c>
      <x:c r="F90" s="34" t="n">
        <x:f>MAX(0,-F72)</x:f>
        <x:v>0</x:v>
      </x:c>
      <x:c r="G90" s="34" t="n">
        <x:f>MAX(0,-G72)</x:f>
        <x:v>0</x:v>
      </x:c>
      <x:c r="H90" s="34" t="n">
        <x:f>MAX(0,-H72)</x:f>
        <x:v>0</x:v>
      </x:c>
      <x:c r="I90" s="34" t="n">
        <x:f>MAX(0,-I72)</x:f>
        <x:v>0</x:v>
      </x:c>
      <x:c r="J90" s="1"/>
      <x:c r="K90" s="1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</x:row>
    <x:row r="91" ht="18" customHeight="1">
      <x:c r="A91" s="1"/>
      <x:c r="B91" s="1"/>
      <x:c r="C91" s="1" t="str">
        <x:v>Allowance below zero</x:v>
      </x:c>
      <x:c r="D91" s="33"/>
      <x:c r="E91" s="34" t="n">
        <x:f>MAX(0,-E69)</x:f>
        <x:v>0</x:v>
      </x:c>
      <x:c r="F91" s="34" t="n">
        <x:f>MAX(0,-F69)</x:f>
        <x:v>0</x:v>
      </x:c>
      <x:c r="G91" s="34" t="n">
        <x:f>MAX(0,-G69)</x:f>
        <x:v>0</x:v>
      </x:c>
      <x:c r="H91" s="34" t="n">
        <x:f>MAX(0,-H69)</x:f>
        <x:v>0</x:v>
      </x:c>
      <x:c r="I91" s="34" t="n">
        <x:f>MAX(0,-I69)</x:f>
        <x:v>0</x:v>
      </x:c>
      <x:c r="J91" s="1"/>
      <x:c r="K91" s="1"/>
    </x:row>
    <x:row r="92" ht="18" customHeight="1">
      <x:c r="A92" s="1"/>
      <x:c r="B92" s="1"/>
      <x:c r="C92" s="1" t="str">
        <x:v>NPA above gross loans</x:v>
      </x:c>
      <x:c r="D92" s="33"/>
      <x:c r="E92" s="34" t="n">
        <x:f>MAX(0,E68-E45)</x:f>
        <x:v>0</x:v>
      </x:c>
      <x:c r="F92" s="34" t="n">
        <x:f>MAX(0,F68-F45)</x:f>
        <x:v>0</x:v>
      </x:c>
      <x:c r="G92" s="34" t="n">
        <x:f>MAX(0,G68-G45)</x:f>
        <x:v>0</x:v>
      </x:c>
      <x:c r="H92" s="34" t="n">
        <x:f>MAX(0,H68-H45)</x:f>
        <x:v>0</x:v>
      </x:c>
      <x:c r="I92" s="34" t="n">
        <x:f>MAX(0,I68-I45)</x:f>
        <x:v>0</x:v>
      </x:c>
      <x:c r="J92" s="1"/>
      <x:c r="K92" s="1"/>
    </x:row>
    <x:row r="93" ht="18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1"/>
      <x:c r="K93" s="1"/>
    </x:row>
    <x:row r="94" ht="18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1"/>
      <x:c r="K94" s="1"/>
    </x:row>
    <x:row r="95" ht="18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1"/>
      <x:c r="K95" s="1"/>
    </x:row>
    <x:row r="96" ht="18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1"/>
      <x:c r="K96" s="1"/>
    </x:row>
    <x:row r="97" ht="18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1"/>
      <x:c r="K97" s="1"/>
    </x:row>
    <x:row r="98" ht="18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1"/>
      <x:c r="K98" s="1"/>
    </x:row>
    <x:row r="99" ht="18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1"/>
      <x:c r="K99" s="1"/>
    </x:row>
    <x:row r="100" ht="18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1"/>
      <x:c r="K100" s="1"/>
    </x:row>
    <x:row r="101" ht="18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1"/>
      <x:c r="K101" s="1"/>
    </x:row>
    <x:row r="102" ht="18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1"/>
      <x:c r="K102" s="1"/>
    </x:row>
    <x:row r="103" ht="18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1"/>
      <x:c r="K103" s="1"/>
    </x:row>
    <x:row r="104" ht="18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1"/>
      <x:c r="K104" s="1"/>
    </x:row>
    <x:row r="105" ht="18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1"/>
      <x:c r="K105" s="1"/>
    </x:row>
    <x:row r="106" ht="18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1"/>
      <x:c r="K106" s="1"/>
    </x:row>
    <x:row r="107" ht="18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1"/>
      <x:c r="K107" s="1"/>
    </x:row>
    <x:row r="108" ht="18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1"/>
      <x:c r="K108" s="1"/>
    </x:row>
    <x:row r="109" ht="18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1"/>
      <x:c r="K109" s="1"/>
    </x:row>
    <x:row r="110" ht="25" customHeight="1">
      <x:c r="A110" s="1"/>
      <x:c r="B110" s="1"/>
      <x:c r="C110" s="68" t="str">
        <x:v>SUPPORTING SCHEDULE ASSUMPTIONS</x:v>
      </x:c>
      <x:c r="D110" s="69"/>
      <x:c r="E110" s="69"/>
      <x:c r="F110" s="69"/>
      <x:c r="G110" s="69"/>
      <x:c r="H110" s="69"/>
      <x:c r="I110" s="69"/>
      <x:c r="J110" s="1"/>
      <x:c r="K110" s="1"/>
    </x:row>
    <x:row r="111" ht="30" customHeight="1">
      <x:c r="A111" s="1"/>
      <x:c r="B111" s="1"/>
      <x:c r="C111" s="64"/>
      <x:c r="D111" s="8"/>
      <x:c r="E111" s="8"/>
      <x:c r="F111" s="8"/>
      <x:c r="G111" s="8"/>
      <x:c r="H111" s="8"/>
      <x:c r="I111" s="8"/>
      <x:c r="J111" s="1"/>
      <x:c r="K111" s="1"/>
    </x:row>
    <x:row r="112" ht="30" customHeight="1">
      <x:c r="A112" s="1"/>
      <x:c r="B112" s="1"/>
      <x:c r="C112" s="64"/>
      <x:c r="D112" s="8"/>
      <x:c r="E112" s="8"/>
      <x:c r="F112" s="8"/>
      <x:c r="G112" s="8"/>
      <x:c r="H112" s="8"/>
      <x:c r="I112" s="8"/>
      <x:c r="J112" s="1"/>
      <x:c r="K112" s="1"/>
    </x:row>
    <x:row r="113" ht="30" customHeight="1">
      <x:c r="A113" s="1"/>
      <x:c r="B113" s="1"/>
      <x:c r="C113" s="64"/>
      <x:c r="D113" s="8"/>
      <x:c r="E113" s="8"/>
      <x:c r="F113" s="8"/>
      <x:c r="G113" s="8"/>
      <x:c r="H113" s="8"/>
      <x:c r="I113" s="8"/>
      <x:c r="J113" s="1"/>
      <x:c r="K113" s="1"/>
    </x:row>
    <x:row r="114" ht="30" customHeight="1">
      <x:c r="A114" s="1"/>
      <x:c r="B114" s="1"/>
      <x:c r="C114" s="64"/>
      <x:c r="D114" s="8"/>
      <x:c r="E114" s="8"/>
      <x:c r="F114" s="8"/>
      <x:c r="G114" s="8"/>
      <x:c r="H114" s="8"/>
      <x:c r="I114" s="8"/>
      <x:c r="J114" s="1"/>
      <x:c r="K114" s="1"/>
    </x:row>
    <x:row r="115" ht="30" customHeight="1">
      <x:c r="A115" s="1"/>
      <x:c r="B115" s="1"/>
      <x:c r="C115" s="64"/>
      <x:c r="D115" s="8"/>
      <x:c r="E115" s="8"/>
      <x:c r="F115" s="8"/>
      <x:c r="G115" s="8"/>
      <x:c r="H115" s="8"/>
      <x:c r="I115" s="8"/>
      <x:c r="J115" s="1"/>
      <x:c r="K115" s="1"/>
    </x:row>
    <x:row r="116" ht="30" customHeight="1">
      <x:c r="A116" s="1"/>
      <x:c r="B116" s="1"/>
      <x:c r="C116" s="64" t="str">
        <x:v>Opening tax losses available for use</x:v>
      </x:c>
      <x:c r="D116" s="74" t="n">
        <x:v>0</x:v>
      </x:c>
      <x:c r="E116" s="8"/>
      <x:c r="F116" s="8"/>
      <x:c r="G116" s="8"/>
      <x:c r="H116" s="8"/>
      <x:c r="I116" s="8"/>
      <x:c r="J116" s="1"/>
      <x:c r="K116" s="1"/>
    </x:row>
    <x:row r="117" ht="30" customHeight="1">
      <x:c r="A117" s="1"/>
      <x:c r="B117" s="1"/>
      <x:c r="C117" s="64" t="str">
        <x:v>Tax loss utilization share of positive PBT</x:v>
      </x:c>
      <x:c r="D117" s="72" t="n">
        <x:v>1</x:v>
      </x:c>
      <x:c r="E117" s="8"/>
      <x:c r="F117" s="8"/>
      <x:c r="G117" s="8"/>
      <x:c r="H117" s="8"/>
      <x:c r="I117" s="8"/>
      <x:c r="J117" s="1"/>
      <x:c r="K117" s="1" t="str">
        <x:v>Simplified cash tax schedule. Check company-specific eligibility, expiry, MAT and deferred tax separately.</x:v>
      </x:c>
    </x:row>
    <x:row r="118" ht="30" customHeight="1">
      <x:c r="A118" s="1"/>
      <x:c r="B118" s="1"/>
      <x:c r="C118" s="64"/>
      <x:c r="D118" s="8"/>
      <x:c r="E118" s="8"/>
      <x:c r="F118" s="8"/>
      <x:c r="G118" s="8"/>
      <x:c r="H118" s="8"/>
      <x:c r="I118" s="8"/>
      <x:c r="J118" s="1"/>
      <x:c r="K118" s="1"/>
    </x:row>
    <x:row r="119" ht="30" customHeight="1">
      <x:c r="A119" s="1"/>
      <x:c r="B119" s="1"/>
      <x:c r="C119" s="64"/>
      <x:c r="D119" s="8"/>
      <x:c r="E119" s="8"/>
      <x:c r="F119" s="8"/>
      <x:c r="G119" s="8"/>
      <x:c r="H119" s="8"/>
      <x:c r="I119" s="8"/>
      <x:c r="J119" s="1"/>
      <x:c r="K119" s="1"/>
    </x:row>
    <x:row r="120" ht="30" customHeight="1">
      <x:c r="A120" s="1"/>
      <x:c r="B120" s="1"/>
      <x:c r="C120" s="64"/>
      <x:c r="D120" s="8"/>
      <x:c r="E120" s="8"/>
      <x:c r="F120" s="8"/>
      <x:c r="G120" s="8"/>
      <x:c r="H120" s="8"/>
      <x:c r="I120" s="8"/>
      <x:c r="J120" s="1"/>
      <x:c r="K120" s="1"/>
    </x:row>
    <x:row r="121" ht="30" customHeight="1">
      <x:c r="A121" s="1"/>
      <x:c r="B121" s="1"/>
      <x:c r="C121" s="64"/>
      <x:c r="D121" s="8"/>
      <x:c r="E121" s="8"/>
      <x:c r="F121" s="8"/>
      <x:c r="G121" s="8"/>
      <x:c r="H121" s="8"/>
      <x:c r="I121" s="8"/>
      <x:c r="J121" s="1"/>
      <x:c r="K121" s="1"/>
    </x:row>
    <x:row r="122" ht="30" customHeight="1">
      <x:c r="A122" s="1"/>
      <x:c r="B122" s="1"/>
      <x:c r="C122" s="64"/>
      <x:c r="D122" s="8"/>
      <x:c r="E122" s="8"/>
      <x:c r="F122" s="8"/>
      <x:c r="G122" s="8"/>
      <x:c r="H122" s="8"/>
      <x:c r="I122" s="8"/>
      <x:c r="J122" s="1"/>
      <x:c r="K122" s="1"/>
    </x:row>
    <x:row r="123" ht="30" customHeight="1">
      <x:c r="A123" s="1"/>
      <x:c r="B123" s="1"/>
      <x:c r="C123" s="64"/>
      <x:c r="D123" s="8"/>
      <x:c r="E123" s="8"/>
      <x:c r="F123" s="8"/>
      <x:c r="G123" s="8"/>
      <x:c r="H123" s="8"/>
      <x:c r="I123" s="8"/>
      <x:c r="J123" s="1"/>
      <x:c r="K123" s="1"/>
    </x:row>
    <x:row r="124" ht="30" customHeight="1">
      <x:c r="A124" s="1"/>
      <x:c r="B124" s="1"/>
      <x:c r="C124" s="64"/>
      <x:c r="D124" s="8"/>
      <x:c r="E124" s="8"/>
      <x:c r="F124" s="8"/>
      <x:c r="G124" s="8"/>
      <x:c r="H124" s="8"/>
      <x:c r="I124" s="8"/>
      <x:c r="J124" s="1"/>
      <x:c r="K124" s="1"/>
    </x:row>
    <x:row r="125" ht="30" customHeight="1">
      <x:c r="A125" s="1"/>
      <x:c r="B125" s="1"/>
      <x:c r="C125" s="64"/>
      <x:c r="D125" s="8"/>
      <x:c r="E125" s="8"/>
      <x:c r="F125" s="8"/>
      <x:c r="G125" s="8"/>
      <x:c r="H125" s="8"/>
      <x:c r="I125" s="8"/>
      <x:c r="J125" s="1"/>
      <x:c r="K125" s="1"/>
    </x:row>
    <x:row r="126" ht="30" customHeight="1">
      <x:c r="A126" s="1"/>
      <x:c r="B126" s="1"/>
      <x:c r="C126" s="64"/>
      <x:c r="D126" s="8"/>
      <x:c r="E126" s="8"/>
      <x:c r="F126" s="8"/>
      <x:c r="G126" s="8"/>
      <x:c r="H126" s="8"/>
      <x:c r="I126" s="8"/>
      <x:c r="J126" s="1"/>
      <x:c r="K126" s="1"/>
    </x:row>
    <x:row r="127" ht="30" customHeight="1">
      <x:c r="A127" s="1"/>
      <x:c r="B127" s="1"/>
      <x:c r="C127" s="64"/>
      <x:c r="D127" s="8"/>
      <x:c r="E127" s="8"/>
      <x:c r="F127" s="8"/>
      <x:c r="G127" s="8"/>
      <x:c r="H127" s="8"/>
      <x:c r="I127" s="8"/>
      <x:c r="J127" s="1"/>
      <x:c r="K127" s="1"/>
    </x:row>
    <x:row r="128" ht="30" customHeight="1">
      <x:c r="A128" s="1"/>
      <x:c r="B128" s="1"/>
      <x:c r="C128" s="64"/>
      <x:c r="D128" s="8"/>
      <x:c r="E128" s="8"/>
      <x:c r="F128" s="8"/>
      <x:c r="G128" s="8"/>
      <x:c r="H128" s="8"/>
      <x:c r="I128" s="8"/>
      <x:c r="J128" s="1"/>
      <x:c r="K128" s="1"/>
    </x:row>
    <x:row r="129" ht="30" customHeight="1">
      <x:c r="A129" s="1"/>
      <x:c r="B129" s="1"/>
      <x:c r="C129" s="64"/>
      <x:c r="D129" s="8"/>
      <x:c r="E129" s="8"/>
      <x:c r="F129" s="8"/>
      <x:c r="G129" s="8"/>
      <x:c r="H129" s="8"/>
      <x:c r="I129" s="8"/>
      <x:c r="J129" s="1"/>
      <x:c r="K129" s="1"/>
    </x:row>
    <x:row r="130" ht="30" customHeight="1">
      <x:c r="A130" s="1"/>
      <x:c r="B130" s="1"/>
      <x:c r="C130" s="64"/>
      <x:c r="D130" s="8"/>
      <x:c r="E130" s="8"/>
      <x:c r="F130" s="8"/>
      <x:c r="G130" s="8"/>
      <x:c r="H130" s="8"/>
      <x:c r="I130" s="8"/>
      <x:c r="J130" s="1"/>
      <x:c r="K130" s="1"/>
    </x:row>
    <x:row r="131" ht="30" customHeight="1">
      <x:c r="A131" s="1"/>
      <x:c r="B131" s="1"/>
      <x:c r="C131" s="64"/>
      <x:c r="D131" s="8"/>
      <x:c r="E131" s="8"/>
      <x:c r="F131" s="8"/>
      <x:c r="G131" s="8"/>
      <x:c r="H131" s="8"/>
      <x:c r="I131" s="8"/>
      <x:c r="J131" s="1"/>
      <x:c r="K131" s="1"/>
    </x:row>
    <x:row r="132" ht="30" customHeight="1">
      <x:c r="A132" s="1"/>
      <x:c r="B132" s="1"/>
      <x:c r="C132" s="64"/>
      <x:c r="D132" s="8"/>
      <x:c r="E132" s="8"/>
      <x:c r="F132" s="8"/>
      <x:c r="G132" s="8"/>
      <x:c r="H132" s="8"/>
      <x:c r="I132" s="8"/>
      <x:c r="J132" s="1"/>
      <x:c r="K132" s="1"/>
    </x:row>
    <x:row r="133" ht="30" customHeight="1">
      <x:c r="A133" s="1"/>
      <x:c r="B133" s="1"/>
      <x:c r="C133" s="64"/>
      <x:c r="D133" s="8"/>
      <x:c r="E133" s="8"/>
      <x:c r="F133" s="8"/>
      <x:c r="G133" s="8"/>
      <x:c r="H133" s="8"/>
      <x:c r="I133" s="8"/>
      <x:c r="J133" s="1"/>
      <x:c r="K133" s="1"/>
    </x:row>
    <x:row r="134" ht="30" customHeight="1">
      <x:c r="A134" s="1"/>
      <x:c r="B134" s="1"/>
      <x:c r="C134" s="64"/>
      <x:c r="D134" s="8"/>
      <x:c r="E134" s="8"/>
      <x:c r="F134" s="8"/>
      <x:c r="G134" s="8"/>
      <x:c r="H134" s="8"/>
      <x:c r="I134" s="8"/>
      <x:c r="J134" s="1"/>
      <x:c r="K134" s="1"/>
    </x:row>
    <x:row r="135" ht="30" customHeight="1">
      <x:c r="A135" s="1"/>
      <x:c r="B135" s="1"/>
      <x:c r="C135" s="64"/>
      <x:c r="D135" s="8"/>
      <x:c r="E135" s="8"/>
      <x:c r="F135" s="8"/>
      <x:c r="G135" s="8"/>
      <x:c r="H135" s="8"/>
      <x:c r="I135" s="8"/>
      <x:c r="J135" s="1"/>
      <x:c r="K135" s="1"/>
    </x:row>
    <x:row r="136" ht="30" customHeight="1">
      <x:c r="A136" s="1"/>
      <x:c r="B136" s="1"/>
      <x:c r="C136" s="64"/>
      <x:c r="D136" s="8"/>
      <x:c r="E136" s="8"/>
      <x:c r="F136" s="8"/>
      <x:c r="G136" s="8"/>
      <x:c r="H136" s="8"/>
      <x:c r="I136" s="8"/>
      <x:c r="J136" s="1"/>
      <x:c r="K136" s="1"/>
    </x:row>
    <x:row r="137" ht="30" customHeight="1">
      <x:c r="A137" s="1"/>
      <x:c r="B137" s="1"/>
      <x:c r="C137" s="64"/>
      <x:c r="D137" s="8"/>
      <x:c r="E137" s="8"/>
      <x:c r="F137" s="8"/>
      <x:c r="G137" s="8"/>
      <x:c r="H137" s="8"/>
      <x:c r="I137" s="8"/>
      <x:c r="J137" s="1"/>
      <x:c r="K137" s="1"/>
    </x:row>
    <x:row r="138" ht="30" customHeight="1">
      <x:c r="A138" s="1"/>
      <x:c r="B138" s="1"/>
      <x:c r="C138" s="64"/>
      <x:c r="D138" s="8"/>
      <x:c r="E138" s="8"/>
      <x:c r="F138" s="8"/>
      <x:c r="G138" s="8"/>
      <x:c r="H138" s="8"/>
      <x:c r="I138" s="8"/>
      <x:c r="J138" s="1"/>
      <x:c r="K138" s="1"/>
    </x:row>
    <x:row r="139" ht="25" customHeight="1">
      <x:c r="A139" s="1"/>
      <x:c r="B139" s="1"/>
      <x:c r="C139" s="68" t="str">
        <x:v>CASH TAX SCHEDULE</x:v>
      </x:c>
      <x:c r="D139" s="69"/>
      <x:c r="E139" s="69"/>
      <x:c r="F139" s="69"/>
      <x:c r="G139" s="69"/>
      <x:c r="H139" s="69"/>
      <x:c r="I139" s="69"/>
      <x:c r="J139" s="1"/>
      <x:c r="K139" s="1"/>
    </x:row>
    <x:row r="140" ht="30" customHeight="1">
      <x:c r="A140" s="1"/>
      <x:c r="B140" s="1"/>
      <x:c r="C140" s="64" t="str">
        <x:v>Opening usable tax losses</x:v>
      </x:c>
      <x:c r="D140" s="8"/>
      <x:c r="E140" s="8" t="n">
        <x:f>$D$116</x:f>
        <x:v>0</x:v>
      </x:c>
      <x:c r="F140" s="8" t="n">
        <x:f>E145</x:f>
        <x:v>0</x:v>
      </x:c>
      <x:c r="G140" s="8" t="n">
        <x:f>F145</x:f>
        <x:v>0</x:v>
      </x:c>
      <x:c r="H140" s="8" t="n">
        <x:f>G145</x:f>
        <x:v>0</x:v>
      </x:c>
      <x:c r="I140" s="8" t="n">
        <x:f>H145</x:f>
        <x:v>0</x:v>
      </x:c>
      <x:c r="J140" s="1"/>
      <x:c r="K140" s="1"/>
    </x:row>
    <x:row r="141" ht="30" customHeight="1">
      <x:c r="A141" s="1"/>
      <x:c r="B141" s="1"/>
      <x:c r="C141" s="64" t="str">
        <x:v>Profit before tax for loss utilization</x:v>
      </x:c>
      <x:c r="D141" s="8"/>
      <x:c r="E141" s="8" t="n">
        <x:f>E60</x:f>
        <x:v>2670.39</x:v>
      </x:c>
      <x:c r="F141" s="8" t="n">
        <x:f>F60</x:f>
        <x:v>2959.742699999999</x:v>
      </x:c>
      <x:c r="G141" s="8" t="n">
        <x:f>G60</x:f>
        <x:v>3282.087411</x:v>
      </x:c>
      <x:c r="H141" s="8" t="n">
        <x:f>H60</x:f>
        <x:v>3641.343187229998</x:v>
      </x:c>
      <x:c r="I141" s="8" t="n">
        <x:f>I60</x:f>
        <x:v>4041.9089673938993</x:v>
      </x:c>
      <x:c r="J141" s="1"/>
      <x:c r="K141" s="1"/>
    </x:row>
    <x:row r="142" ht="30" customHeight="1">
      <x:c r="A142" s="1"/>
      <x:c r="B142" s="1"/>
      <x:c r="C142" s="64" t="str">
        <x:v>Tax losses utilized</x:v>
      </x:c>
      <x:c r="D142" s="8"/>
      <x:c r="E142" s="8" t="n">
        <x:f>MIN(E140,MAX(0,E141)*$D$117)</x:f>
        <x:v>0</x:v>
      </x:c>
      <x:c r="F142" s="8" t="n">
        <x:f>MIN(F140,MAX(0,F141)*$D$117)</x:f>
        <x:v>0</x:v>
      </x:c>
      <x:c r="G142" s="8" t="n">
        <x:f>MIN(G140,MAX(0,G141)*$D$117)</x:f>
        <x:v>0</x:v>
      </x:c>
      <x:c r="H142" s="8" t="n">
        <x:f>MIN(H140,MAX(0,H141)*$D$117)</x:f>
        <x:v>0</x:v>
      </x:c>
      <x:c r="I142" s="8" t="n">
        <x:f>MIN(I140,MAX(0,I141)*$D$117)</x:f>
        <x:v>0</x:v>
      </x:c>
      <x:c r="J142" s="1"/>
      <x:c r="K142" s="1"/>
    </x:row>
    <x:row r="143" ht="30" customHeight="1">
      <x:c r="A143" s="1"/>
      <x:c r="B143" s="1"/>
      <x:c r="C143" s="64" t="str">
        <x:v>Taxable profit after loss utilization</x:v>
      </x:c>
      <x:c r="D143" s="8"/>
      <x:c r="E143" s="8" t="n">
        <x:f>MAX(0,E141-E142)</x:f>
        <x:v>2670.39</x:v>
      </x:c>
      <x:c r="F143" s="8" t="n">
        <x:f>MAX(0,F141-F142)</x:f>
        <x:v>2959.742699999999</x:v>
      </x:c>
      <x:c r="G143" s="8" t="n">
        <x:f>MAX(0,G141-G142)</x:f>
        <x:v>3282.087411</x:v>
      </x:c>
      <x:c r="H143" s="8" t="n">
        <x:f>MAX(0,H141-H142)</x:f>
        <x:v>3641.343187229998</x:v>
      </x:c>
      <x:c r="I143" s="8" t="n">
        <x:f>MAX(0,I141-I142)</x:f>
        <x:v>4041.9089673938993</x:v>
      </x:c>
      <x:c r="J143" s="1"/>
      <x:c r="K143" s="1"/>
    </x:row>
    <x:row r="144" ht="30" customHeight="1">
      <x:c r="A144" s="1"/>
      <x:c r="B144" s="1"/>
      <x:c r="C144" s="64" t="str">
        <x:v>Cash income tax after loss utilization</x:v>
      </x:c>
      <x:c r="D144" s="8"/>
      <x:c r="E144" s="8" t="n">
        <x:f>E143*E38</x:f>
        <x:v>667.5975</x:v>
      </x:c>
      <x:c r="F144" s="8" t="n">
        <x:f>F143*F38</x:f>
        <x:v>739.9356749999997</x:v>
      </x:c>
      <x:c r="G144" s="8" t="n">
        <x:f>G143*G38</x:f>
        <x:v>820.52185275</x:v>
      </x:c>
      <x:c r="H144" s="8" t="n">
        <x:f>H143*H38</x:f>
        <x:v>910.3357968074995</x:v>
      </x:c>
      <x:c r="I144" s="8" t="n">
        <x:f>I143*I38</x:f>
        <x:v>1010.4772418484748</x:v>
      </x:c>
      <x:c r="J144" s="1"/>
      <x:c r="K144" s="1"/>
    </x:row>
    <x:row r="145" ht="30" customHeight="1">
      <x:c r="A145" s="1"/>
      <x:c r="B145" s="1"/>
      <x:c r="C145" s="64" t="str">
        <x:v>Closing usable tax losses</x:v>
      </x:c>
      <x:c r="D145" s="8"/>
      <x:c r="E145" s="8" t="n">
        <x:f>E140-E142+MAX(0,-E141)</x:f>
        <x:v>0</x:v>
      </x:c>
      <x:c r="F145" s="8" t="n">
        <x:f>F140-F142+MAX(0,-F141)</x:f>
        <x:v>0</x:v>
      </x:c>
      <x:c r="G145" s="8" t="n">
        <x:f>G140-G142+MAX(0,-G141)</x:f>
        <x:v>0</x:v>
      </x:c>
      <x:c r="H145" s="8" t="n">
        <x:f>H140-H142+MAX(0,-H141)</x:f>
        <x:v>0</x:v>
      </x:c>
      <x:c r="I145" s="8" t="n">
        <x:f>I140-I142+MAX(0,-I141)</x:f>
        <x:v>0</x:v>
      </x:c>
      <x:c r="J145" s="1"/>
      <x:c r="K145" s="1"/>
    </x:row>
    <x:row r="146" ht="30" customHeight="1">
      <x:c r="A146" s="1"/>
      <x:c r="B146" s="1"/>
      <x:c r="C146" s="64"/>
      <x:c r="D146" s="8"/>
      <x:c r="E146" s="8"/>
      <x:c r="F146" s="8"/>
      <x:c r="G146" s="8"/>
      <x:c r="H146" s="8"/>
      <x:c r="I146" s="8"/>
      <x:c r="J146" s="1"/>
      <x:c r="K146" s="1"/>
    </x:row>
    <x:row r="147" ht="30" customHeight="1">
      <x:c r="A147" s="1"/>
      <x:c r="B147" s="1"/>
      <x:c r="C147" s="64"/>
      <x:c r="D147" s="8"/>
      <x:c r="E147" s="8"/>
      <x:c r="F147" s="8"/>
      <x:c r="G147" s="8"/>
      <x:c r="H147" s="8"/>
      <x:c r="I147" s="8"/>
      <x:c r="J147" s="1"/>
      <x:c r="K147" s="1"/>
    </x:row>
    <x:row r="148" ht="30" customHeight="1">
      <x:c r="A148" s="1"/>
      <x:c r="B148" s="1"/>
      <x:c r="C148" s="64"/>
      <x:c r="D148" s="8"/>
      <x:c r="E148" s="8"/>
      <x:c r="F148" s="8"/>
      <x:c r="G148" s="8"/>
      <x:c r="H148" s="8"/>
      <x:c r="I148" s="8"/>
      <x:c r="J148" s="1"/>
      <x:c r="K148" s="1"/>
    </x:row>
    <x:row r="149" ht="30" customHeight="1">
      <x:c r="A149" s="1"/>
      <x:c r="B149" s="1"/>
      <x:c r="C149" s="64"/>
      <x:c r="D149" s="8"/>
      <x:c r="E149" s="8"/>
      <x:c r="F149" s="8"/>
      <x:c r="G149" s="8"/>
      <x:c r="H149" s="8"/>
      <x:c r="I149" s="8"/>
      <x:c r="J149" s="1"/>
      <x:c r="K149" s="1"/>
    </x:row>
    <x:row r="150" ht="30" customHeight="1">
      <x:c r="A150" s="1"/>
      <x:c r="B150" s="1"/>
      <x:c r="C150" s="64"/>
      <x:c r="D150" s="8"/>
      <x:c r="E150" s="8"/>
      <x:c r="F150" s="8"/>
      <x:c r="G150" s="8"/>
      <x:c r="H150" s="8"/>
      <x:c r="I150" s="8"/>
      <x:c r="J150" s="1"/>
      <x:c r="K150" s="1"/>
    </x:row>
    <x:row r="151" ht="30" customHeight="1">
      <x:c r="A151" s="1"/>
      <x:c r="B151" s="1"/>
      <x:c r="C151" s="64"/>
      <x:c r="D151" s="8"/>
      <x:c r="E151" s="8"/>
      <x:c r="F151" s="8"/>
      <x:c r="G151" s="8"/>
      <x:c r="H151" s="8"/>
      <x:c r="I151" s="8"/>
      <x:c r="J151" s="1"/>
      <x:c r="K151" s="1"/>
    </x:row>
    <x:row r="152" ht="30" customHeight="1">
      <x:c r="A152" s="1"/>
      <x:c r="B152" s="1"/>
      <x:c r="C152" s="64"/>
      <x:c r="D152" s="8"/>
      <x:c r="E152" s="8"/>
      <x:c r="F152" s="8"/>
      <x:c r="G152" s="8"/>
      <x:c r="H152" s="8"/>
      <x:c r="I152" s="8"/>
      <x:c r="J152" s="1"/>
      <x:c r="K152" s="1"/>
    </x:row>
    <x:row r="153" ht="30" customHeight="1">
      <x:c r="A153" s="1"/>
      <x:c r="B153" s="1"/>
      <x:c r="C153" s="64"/>
      <x:c r="D153" s="8"/>
      <x:c r="E153" s="8"/>
      <x:c r="F153" s="8"/>
      <x:c r="G153" s="8"/>
      <x:c r="H153" s="8"/>
      <x:c r="I153" s="8"/>
      <x:c r="J153" s="1"/>
      <x:c r="K153" s="1"/>
    </x:row>
    <x:row r="154" ht="30" customHeight="1">
      <x:c r="A154" s="1"/>
      <x:c r="B154" s="1"/>
      <x:c r="C154" s="64"/>
      <x:c r="D154" s="8"/>
      <x:c r="E154" s="8"/>
      <x:c r="F154" s="8"/>
      <x:c r="G154" s="8"/>
      <x:c r="H154" s="8"/>
      <x:c r="I154" s="8"/>
      <x:c r="J154" s="1"/>
      <x:c r="K154" s="1"/>
    </x:row>
    <x:row r="155" ht="30" customHeight="1">
      <x:c r="A155" s="1"/>
      <x:c r="B155" s="1"/>
      <x:c r="C155" s="64"/>
      <x:c r="D155" s="8"/>
      <x:c r="E155" s="8"/>
      <x:c r="F155" s="8"/>
      <x:c r="G155" s="8"/>
      <x:c r="H155" s="8"/>
      <x:c r="I155" s="8"/>
      <x:c r="J155" s="1"/>
      <x:c r="K155" s="1"/>
    </x:row>
    <x:row r="156" ht="30" customHeight="1">
      <x:c r="A156" s="1"/>
      <x:c r="B156" s="1"/>
      <x:c r="C156" s="64"/>
      <x:c r="D156" s="8"/>
      <x:c r="E156" s="8"/>
      <x:c r="F156" s="8"/>
      <x:c r="G156" s="8"/>
      <x:c r="H156" s="8"/>
      <x:c r="I156" s="8"/>
      <x:c r="J156" s="1"/>
      <x:c r="K156" s="1"/>
    </x:row>
    <x:row r="157" ht="30" customHeight="1">
      <x:c r="A157" s="1"/>
      <x:c r="B157" s="1"/>
      <x:c r="C157" s="64"/>
      <x:c r="D157" s="8"/>
      <x:c r="E157" s="8"/>
      <x:c r="F157" s="8"/>
      <x:c r="G157" s="8"/>
      <x:c r="H157" s="8"/>
      <x:c r="I157" s="8"/>
      <x:c r="J157" s="1"/>
      <x:c r="K157" s="1"/>
    </x:row>
    <x:row r="158" ht="30" customHeight="1">
      <x:c r="A158" s="1"/>
      <x:c r="B158" s="1"/>
      <x:c r="C158" s="64"/>
      <x:c r="D158" s="8"/>
      <x:c r="E158" s="8"/>
      <x:c r="F158" s="8"/>
      <x:c r="G158" s="8"/>
      <x:c r="H158" s="8"/>
      <x:c r="I158" s="8"/>
      <x:c r="J158" s="1"/>
      <x:c r="K158" s="1"/>
    </x:row>
    <x:row r="159" ht="30" customHeight="1">
      <x:c r="A159" s="1"/>
      <x:c r="B159" s="1"/>
      <x:c r="C159" s="64"/>
      <x:c r="D159" s="8"/>
      <x:c r="E159" s="8"/>
      <x:c r="F159" s="8"/>
      <x:c r="G159" s="8"/>
      <x:c r="H159" s="8"/>
      <x:c r="I159" s="8"/>
      <x:c r="J159" s="1"/>
      <x:c r="K159" s="1"/>
    </x:row>
    <x:row r="160" ht="30" customHeight="1">
      <x:c r="A160" s="1"/>
      <x:c r="B160" s="1"/>
      <x:c r="C160" s="64"/>
      <x:c r="D160" s="8"/>
      <x:c r="E160" s="8"/>
      <x:c r="F160" s="8"/>
      <x:c r="G160" s="8"/>
      <x:c r="H160" s="8"/>
      <x:c r="I160" s="8"/>
      <x:c r="J160" s="1"/>
      <x:c r="K160" s="1"/>
    </x:row>
    <x:row r="161" ht="30" customHeight="1">
      <x:c r="A161" s="1"/>
      <x:c r="B161" s="1"/>
      <x:c r="C161" s="64"/>
      <x:c r="D161" s="8"/>
      <x:c r="E161" s="8"/>
      <x:c r="F161" s="8"/>
      <x:c r="G161" s="8"/>
      <x:c r="H161" s="8"/>
      <x:c r="I161" s="8"/>
      <x:c r="J161" s="1"/>
      <x:c r="K161" s="1"/>
    </x:row>
    <x:row r="162" ht="30" customHeight="1">
      <x:c r="A162" s="1"/>
      <x:c r="B162" s="1"/>
      <x:c r="C162" s="64"/>
      <x:c r="D162" s="8"/>
      <x:c r="E162" s="8"/>
      <x:c r="F162" s="8"/>
      <x:c r="G162" s="8"/>
      <x:c r="H162" s="8"/>
      <x:c r="I162" s="8"/>
      <x:c r="J162" s="1"/>
      <x:c r="K162" s="1"/>
    </x:row>
    <x:row r="163" ht="30" customHeight="1">
      <x:c r="A163" s="1"/>
      <x:c r="B163" s="1"/>
      <x:c r="C163" s="64"/>
      <x:c r="D163" s="8"/>
      <x:c r="E163" s="8"/>
      <x:c r="F163" s="8"/>
      <x:c r="G163" s="8"/>
      <x:c r="H163" s="8"/>
      <x:c r="I163" s="8"/>
      <x:c r="J163" s="1"/>
      <x:c r="K163" s="1"/>
    </x:row>
    <x:row r="164" ht="30" customHeight="1">
      <x:c r="A164" s="1"/>
      <x:c r="B164" s="1"/>
      <x:c r="C164" s="64"/>
      <x:c r="D164" s="8"/>
      <x:c r="E164" s="8"/>
      <x:c r="F164" s="8"/>
      <x:c r="G164" s="8"/>
      <x:c r="H164" s="8"/>
      <x:c r="I164" s="8"/>
      <x:c r="J164" s="1"/>
      <x:c r="K164" s="1"/>
    </x:row>
    <x:row r="165" ht="30" customHeight="1">
      <x:c r="A165" s="1"/>
      <x:c r="B165" s="1"/>
      <x:c r="C165" s="64"/>
      <x:c r="D165" s="8"/>
      <x:c r="E165" s="8"/>
      <x:c r="F165" s="8"/>
      <x:c r="G165" s="8"/>
      <x:c r="H165" s="8"/>
      <x:c r="I165" s="8"/>
      <x:c r="J165" s="1"/>
      <x:c r="K165" s="1"/>
    </x:row>
    <x:row r="166" ht="30" customHeight="1">
      <x:c r="A166" s="1"/>
      <x:c r="B166" s="1"/>
      <x:c r="C166" s="64"/>
      <x:c r="D166" s="8"/>
      <x:c r="E166" s="8"/>
      <x:c r="F166" s="8"/>
      <x:c r="G166" s="8"/>
      <x:c r="H166" s="8"/>
      <x:c r="I166" s="8"/>
      <x:c r="J166" s="1"/>
      <x:c r="K166" s="1"/>
    </x:row>
    <x:row r="167" ht="30" customHeight="1">
      <x:c r="A167" s="1"/>
      <x:c r="B167" s="1"/>
      <x:c r="C167" s="64"/>
      <x:c r="D167" s="8"/>
      <x:c r="E167" s="8"/>
      <x:c r="F167" s="8"/>
      <x:c r="G167" s="8"/>
      <x:c r="H167" s="8"/>
      <x:c r="I167" s="8"/>
      <x:c r="J167" s="1"/>
      <x:c r="K167" s="1"/>
    </x:row>
    <x:row r="168" ht="30" customHeight="1">
      <x:c r="A168" s="1"/>
      <x:c r="B168" s="1"/>
      <x:c r="C168" s="64"/>
      <x:c r="D168" s="8"/>
      <x:c r="E168" s="8"/>
      <x:c r="F168" s="8"/>
      <x:c r="G168" s="8"/>
      <x:c r="H168" s="8"/>
      <x:c r="I168" s="8"/>
      <x:c r="J168" s="1"/>
      <x:c r="K168" s="1"/>
    </x:row>
    <x:row r="169" ht="30" customHeight="1">
      <x:c r="A169" s="1"/>
      <x:c r="B169" s="1"/>
      <x:c r="C169" s="64"/>
      <x:c r="D169" s="8"/>
      <x:c r="E169" s="8"/>
      <x:c r="F169" s="8"/>
      <x:c r="G169" s="8"/>
      <x:c r="H169" s="8"/>
      <x:c r="I169" s="8"/>
      <x:c r="J169" s="1"/>
      <x:c r="K169" s="1"/>
    </x:row>
    <x:row r="170" ht="30" customHeight="1">
      <x:c r="A170" s="1"/>
      <x:c r="B170" s="1"/>
      <x:c r="C170" s="64"/>
      <x:c r="D170" s="8"/>
      <x:c r="E170" s="8"/>
      <x:c r="F170" s="8"/>
      <x:c r="G170" s="8"/>
      <x:c r="H170" s="8"/>
      <x:c r="I170" s="8"/>
      <x:c r="J170" s="1"/>
      <x:c r="K170" s="1"/>
    </x:row>
    <x:row r="171" ht="30" customHeight="1">
      <x:c r="A171" s="1"/>
      <x:c r="B171" s="1"/>
      <x:c r="C171" s="64"/>
      <x:c r="D171" s="8"/>
      <x:c r="E171" s="8"/>
      <x:c r="F171" s="8"/>
      <x:c r="G171" s="8"/>
      <x:c r="H171" s="8"/>
      <x:c r="I171" s="8"/>
      <x:c r="J171" s="1"/>
      <x:c r="K171" s="1"/>
    </x:row>
    <x:row r="172" ht="30" customHeight="1">
      <x:c r="A172" s="1"/>
      <x:c r="B172" s="1"/>
      <x:c r="C172" s="64"/>
      <x:c r="D172" s="8"/>
      <x:c r="E172" s="8"/>
      <x:c r="F172" s="8"/>
      <x:c r="G172" s="8"/>
      <x:c r="H172" s="8"/>
      <x:c r="I172" s="8"/>
      <x:c r="J172" s="1"/>
      <x:c r="K172" s="1"/>
    </x:row>
    <x:row r="173" ht="30" customHeight="1">
      <x:c r="A173" s="1"/>
      <x:c r="B173" s="1"/>
      <x:c r="C173" s="64"/>
      <x:c r="D173" s="8"/>
      <x:c r="E173" s="8"/>
      <x:c r="F173" s="8"/>
      <x:c r="G173" s="8"/>
      <x:c r="H173" s="8"/>
      <x:c r="I173" s="8"/>
      <x:c r="J173" s="1"/>
      <x:c r="K173" s="1"/>
    </x:row>
    <x:row r="174" ht="30" customHeight="1">
      <x:c r="A174" s="1"/>
      <x:c r="B174" s="1"/>
      <x:c r="C174" s="64"/>
      <x:c r="D174" s="8"/>
      <x:c r="E174" s="8"/>
      <x:c r="F174" s="8"/>
      <x:c r="G174" s="8"/>
      <x:c r="H174" s="8"/>
      <x:c r="I174" s="8"/>
      <x:c r="J174" s="1"/>
      <x:c r="K174" s="1"/>
    </x:row>
    <x:row r="175" ht="30" customHeight="1">
      <x:c r="A175" s="1"/>
      <x:c r="B175" s="1"/>
      <x:c r="C175" s="64"/>
      <x:c r="D175" s="8"/>
      <x:c r="E175" s="8"/>
      <x:c r="F175" s="8"/>
      <x:c r="G175" s="8"/>
      <x:c r="H175" s="8"/>
      <x:c r="I175" s="8"/>
      <x:c r="J175" s="1"/>
      <x:c r="K175" s="1"/>
    </x:row>
    <x:row r="176" ht="30" customHeight="1">
      <x:c r="A176" s="1"/>
      <x:c r="B176" s="1"/>
      <x:c r="C176" s="64"/>
      <x:c r="D176" s="8"/>
      <x:c r="E176" s="8"/>
      <x:c r="F176" s="8"/>
      <x:c r="G176" s="8"/>
      <x:c r="H176" s="8"/>
      <x:c r="I176" s="8"/>
      <x:c r="J176" s="1"/>
      <x:c r="K176" s="1"/>
    </x:row>
    <x:row r="177" ht="30" customHeight="1">
      <x:c r="A177" s="1"/>
      <x:c r="B177" s="1"/>
      <x:c r="C177" s="64"/>
      <x:c r="D177" s="8"/>
      <x:c r="E177" s="8"/>
      <x:c r="F177" s="8"/>
      <x:c r="G177" s="8"/>
      <x:c r="H177" s="8"/>
      <x:c r="I177" s="8"/>
      <x:c r="J177" s="1"/>
      <x:c r="K177" s="1"/>
    </x:row>
    <x:row r="178" ht="30" customHeight="1">
      <x:c r="A178" s="1"/>
      <x:c r="B178" s="1"/>
      <x:c r="C178" s="64"/>
      <x:c r="D178" s="8"/>
      <x:c r="E178" s="8"/>
      <x:c r="F178" s="8"/>
      <x:c r="G178" s="8"/>
      <x:c r="H178" s="8"/>
      <x:c r="I178" s="8"/>
      <x:c r="J178" s="1"/>
      <x:c r="K178" s="1"/>
    </x:row>
    <x:row r="179" ht="25" customHeight="1">
      <x:c r="A179" s="1"/>
      <x:c r="B179" s="1"/>
      <x:c r="C179" s="68" t="str">
        <x:v>MODEL CHECKS</x:v>
      </x:c>
      <x:c r="D179" s="69"/>
      <x:c r="E179" s="69"/>
      <x:c r="F179" s="69"/>
      <x:c r="G179" s="69"/>
      <x:c r="H179" s="69"/>
      <x:c r="I179" s="69"/>
      <x:c r="J179" s="1"/>
      <x:c r="K179" s="1"/>
    </x:row>
    <x:row r="180" ht="30" customHeight="1">
      <x:c r="A180" s="1"/>
      <x:c r="B180" s="1"/>
      <x:c r="C180" s="64" t="str">
        <x:v>Opening gross loans input outside bounds</x:v>
      </x:c>
      <x:c r="D180" s="8"/>
      <x:c r="E180" s="75" t="n">
        <x:f>IF(COUNT(D10)=0,1,IF(D10&lt;0,1,0))</x:f>
        <x:v>0</x:v>
      </x:c>
      <x:c r="F180" s="75" t="n">
        <x:f>IF(COUNT(D10)=0,1,IF(D10&lt;0,1,0))</x:f>
        <x:v>0</x:v>
      </x:c>
      <x:c r="G180" s="75" t="n">
        <x:f>IF(COUNT(D10)=0,1,IF(D10&lt;0,1,0))</x:f>
        <x:v>0</x:v>
      </x:c>
      <x:c r="H180" s="75" t="n">
        <x:f>IF(COUNT(D10)=0,1,IF(D10&lt;0,1,0))</x:f>
        <x:v>0</x:v>
      </x:c>
      <x:c r="I180" s="75" t="n">
        <x:f>IF(COUNT(D10)=0,1,IF(D10&lt;0,1,0))</x:f>
        <x:v>0</x:v>
      </x:c>
      <x:c r="J180" s="1"/>
      <x:c r="K180" s="1"/>
    </x:row>
    <x:row r="181" ht="30" customHeight="1">
      <x:c r="A181" s="1"/>
      <x:c r="B181" s="1"/>
      <x:c r="C181" s="64" t="str">
        <x:v>Opening deposits input outside bounds</x:v>
      </x:c>
      <x:c r="D181" s="8"/>
      <x:c r="E181" s="75" t="n">
        <x:f>IF(COUNT(D11)=0,1,IF(D11&lt;0,1,0))</x:f>
        <x:v>0</x:v>
      </x:c>
      <x:c r="F181" s="75" t="n">
        <x:f>IF(COUNT(D11)=0,1,IF(D11&lt;0,1,0))</x:f>
        <x:v>0</x:v>
      </x:c>
      <x:c r="G181" s="75" t="n">
        <x:f>IF(COUNT(D11)=0,1,IF(D11&lt;0,1,0))</x:f>
        <x:v>0</x:v>
      </x:c>
      <x:c r="H181" s="75" t="n">
        <x:f>IF(COUNT(D11)=0,1,IF(D11&lt;0,1,0))</x:f>
        <x:v>0</x:v>
      </x:c>
      <x:c r="I181" s="75" t="n">
        <x:f>IF(COUNT(D11)=0,1,IF(D11&lt;0,1,0))</x:f>
        <x:v>0</x:v>
      </x:c>
      <x:c r="J181" s="1"/>
      <x:c r="K181" s="1"/>
    </x:row>
    <x:row r="182" ht="30" customHeight="1">
      <x:c r="A182" s="1"/>
      <x:c r="B182" s="1"/>
      <x:c r="C182" s="64" t="str">
        <x:v>Opening investment assets input outside bounds</x:v>
      </x:c>
      <x:c r="D182" s="8"/>
      <x:c r="E182" s="75" t="n">
        <x:f>IF(COUNT(D12)=0,1,IF(D12&lt;0,1,0))</x:f>
        <x:v>0</x:v>
      </x:c>
      <x:c r="F182" s="75" t="n">
        <x:f>IF(COUNT(D12)=0,1,IF(D12&lt;0,1,0))</x:f>
        <x:v>0</x:v>
      </x:c>
      <x:c r="G182" s="75" t="n">
        <x:f>IF(COUNT(D12)=0,1,IF(D12&lt;0,1,0))</x:f>
        <x:v>0</x:v>
      </x:c>
      <x:c r="H182" s="75" t="n">
        <x:f>IF(COUNT(D12)=0,1,IF(D12&lt;0,1,0))</x:f>
        <x:v>0</x:v>
      </x:c>
      <x:c r="I182" s="75" t="n">
        <x:f>IF(COUNT(D12)=0,1,IF(D12&lt;0,1,0))</x:f>
        <x:v>0</x:v>
      </x:c>
      <x:c r="J182" s="1"/>
      <x:c r="K182" s="1"/>
    </x:row>
    <x:row r="183" ht="30" customHeight="1">
      <x:c r="A183" s="1"/>
      <x:c r="B183" s="1"/>
      <x:c r="C183" s="64" t="str">
        <x:v>Opening equity input outside bounds</x:v>
      </x:c>
      <x:c r="D183" s="8"/>
      <x:c r="E183" s="75" t="n">
        <x:f>IF(COUNT(D13)=0,1,IF(D13&lt;0,1,0))</x:f>
        <x:v>0</x:v>
      </x:c>
      <x:c r="F183" s="75" t="n">
        <x:f>IF(COUNT(D13)=0,1,IF(D13&lt;0,1,0))</x:f>
        <x:v>0</x:v>
      </x:c>
      <x:c r="G183" s="75" t="n">
        <x:f>IF(COUNT(D13)=0,1,IF(D13&lt;0,1,0))</x:f>
        <x:v>0</x:v>
      </x:c>
      <x:c r="H183" s="75" t="n">
        <x:f>IF(COUNT(D13)=0,1,IF(D13&lt;0,1,0))</x:f>
        <x:v>0</x:v>
      </x:c>
      <x:c r="I183" s="75" t="n">
        <x:f>IF(COUNT(D13)=0,1,IF(D13&lt;0,1,0))</x:f>
        <x:v>0</x:v>
      </x:c>
      <x:c r="J183" s="1"/>
      <x:c r="K183" s="1"/>
    </x:row>
    <x:row r="184" ht="30" customHeight="1">
      <x:c r="A184" s="1"/>
      <x:c r="B184" s="1"/>
      <x:c r="C184" s="64" t="str">
        <x:v>Opening credit-loss allowance input outside bounds</x:v>
      </x:c>
      <x:c r="D184" s="8"/>
      <x:c r="E184" s="75" t="n">
        <x:f>IF(COUNT(D14)=0,1,IF(D14&lt;0,1,0))</x:f>
        <x:v>0</x:v>
      </x:c>
      <x:c r="F184" s="75" t="n">
        <x:f>IF(COUNT(D14)=0,1,IF(D14&lt;0,1,0))</x:f>
        <x:v>0</x:v>
      </x:c>
      <x:c r="G184" s="75" t="n">
        <x:f>IF(COUNT(D14)=0,1,IF(D14&lt;0,1,0))</x:f>
        <x:v>0</x:v>
      </x:c>
      <x:c r="H184" s="75" t="n">
        <x:f>IF(COUNT(D14)=0,1,IF(D14&lt;0,1,0))</x:f>
        <x:v>0</x:v>
      </x:c>
      <x:c r="I184" s="75" t="n">
        <x:f>IF(COUNT(D14)=0,1,IF(D14&lt;0,1,0))</x:f>
        <x:v>0</x:v>
      </x:c>
      <x:c r="J184" s="1"/>
      <x:c r="K184" s="1"/>
    </x:row>
    <x:row r="185" ht="30" customHeight="1">
      <x:c r="A185" s="1"/>
      <x:c r="B185" s="1"/>
      <x:c r="C185" s="64" t="str">
        <x:v>Opening gross non-performing loans input outside bounds</x:v>
      </x:c>
      <x:c r="D185" s="8"/>
      <x:c r="E185" s="75" t="n">
        <x:f>IF(COUNT(D15)=0,1,IF(D15&lt;0,1,0))</x:f>
        <x:v>0</x:v>
      </x:c>
      <x:c r="F185" s="75" t="n">
        <x:f>IF(COUNT(D15)=0,1,IF(D15&lt;0,1,0))</x:f>
        <x:v>0</x:v>
      </x:c>
      <x:c r="G185" s="75" t="n">
        <x:f>IF(COUNT(D15)=0,1,IF(D15&lt;0,1,0))</x:f>
        <x:v>0</x:v>
      </x:c>
      <x:c r="H185" s="75" t="n">
        <x:f>IF(COUNT(D15)=0,1,IF(D15&lt;0,1,0))</x:f>
        <x:v>0</x:v>
      </x:c>
      <x:c r="I185" s="75" t="n">
        <x:f>IF(COUNT(D15)=0,1,IF(D15&lt;0,1,0))</x:f>
        <x:v>0</x:v>
      </x:c>
      <x:c r="J185" s="1"/>
      <x:c r="K185" s="1"/>
    </x:row>
    <x:row r="186" ht="30" customHeight="1">
      <x:c r="A186" s="1"/>
      <x:c r="B186" s="1"/>
      <x:c r="C186" s="64" t="str">
        <x:v>Diluted shares (crore) input outside bounds</x:v>
      </x:c>
      <x:c r="D186" s="8"/>
      <x:c r="E186" s="75" t="n">
        <x:f>IF(COUNT(D16)=0,1,IF(D16&lt;0,1,0))</x:f>
        <x:v>0</x:v>
      </x:c>
      <x:c r="F186" s="75" t="n">
        <x:f>IF(COUNT(D16)=0,1,IF(D16&lt;0,1,0))</x:f>
        <x:v>0</x:v>
      </x:c>
      <x:c r="G186" s="75" t="n">
        <x:f>IF(COUNT(D16)=0,1,IF(D16&lt;0,1,0))</x:f>
        <x:v>0</x:v>
      </x:c>
      <x:c r="H186" s="75" t="n">
        <x:f>IF(COUNT(D16)=0,1,IF(D16&lt;0,1,0))</x:f>
        <x:v>0</x:v>
      </x:c>
      <x:c r="I186" s="75" t="n">
        <x:f>IF(COUNT(D16)=0,1,IF(D16&lt;0,1,0))</x:f>
        <x:v>0</x:v>
      </x:c>
      <x:c r="J186" s="1"/>
      <x:c r="K186" s="1"/>
    </x:row>
    <x:row r="187" ht="30" customHeight="1">
      <x:c r="A187" s="1"/>
      <x:c r="B187" s="1"/>
      <x:c r="C187" s="64" t="str">
        <x:v>Forward price / book multiple input outside bounds</x:v>
      </x:c>
      <x:c r="D187" s="8"/>
      <x:c r="E187" s="75" t="n">
        <x:f>IF(COUNT(D17)=0,1,IF(D17&lt;0,1,0))</x:f>
        <x:v>0</x:v>
      </x:c>
      <x:c r="F187" s="75" t="n">
        <x:f>IF(COUNT(D17)=0,1,IF(D17&lt;0,1,0))</x:f>
        <x:v>0</x:v>
      </x:c>
      <x:c r="G187" s="75" t="n">
        <x:f>IF(COUNT(D17)=0,1,IF(D17&lt;0,1,0))</x:f>
        <x:v>0</x:v>
      </x:c>
      <x:c r="H187" s="75" t="n">
        <x:f>IF(COUNT(D17)=0,1,IF(D17&lt;0,1,0))</x:f>
        <x:v>0</x:v>
      </x:c>
      <x:c r="I187" s="75" t="n">
        <x:f>IF(COUNT(D17)=0,1,IF(D17&lt;0,1,0))</x:f>
        <x:v>0</x:v>
      </x:c>
      <x:c r="J187" s="1"/>
      <x:c r="K187" s="1"/>
    </x:row>
    <x:row r="188" ht="30" customHeight="1">
      <x:c r="A188" s="1"/>
      <x:c r="B188" s="1"/>
      <x:c r="C188" s="64" t="str">
        <x:v>Forward price / earnings multiple input outside bounds</x:v>
      </x:c>
      <x:c r="D188" s="8"/>
      <x:c r="E188" s="75" t="n">
        <x:f>IF(COUNT(D18)=0,1,IF(D18&lt;0,1,0))</x:f>
        <x:v>0</x:v>
      </x:c>
      <x:c r="F188" s="75" t="n">
        <x:f>IF(COUNT(D18)=0,1,IF(D18&lt;0,1,0))</x:f>
        <x:v>0</x:v>
      </x:c>
      <x:c r="G188" s="75" t="n">
        <x:f>IF(COUNT(D18)=0,1,IF(D18&lt;0,1,0))</x:f>
        <x:v>0</x:v>
      </x:c>
      <x:c r="H188" s="75" t="n">
        <x:f>IF(COUNT(D18)=0,1,IF(D18&lt;0,1,0))</x:f>
        <x:v>0</x:v>
      </x:c>
      <x:c r="I188" s="75" t="n">
        <x:f>IF(COUNT(D18)=0,1,IF(D18&lt;0,1,0))</x:f>
        <x:v>0</x:v>
      </x:c>
      <x:c r="J188" s="1"/>
      <x:c r="K188" s="1"/>
    </x:row>
    <x:row r="189" ht="30" customHeight="1">
      <x:c r="A189" s="1"/>
      <x:c r="B189" s="1"/>
      <x:c r="C189" s="64" t="str">
        <x:v>Cost of equity for one-year discount input outside bounds</x:v>
      </x:c>
      <x:c r="D189" s="8"/>
      <x:c r="E189" s="75" t="n">
        <x:f>IF(COUNT(D19)=0,1,IF(D19&lt;0,1,0))</x:f>
        <x:v>0</x:v>
      </x:c>
      <x:c r="F189" s="75" t="n">
        <x:f>IF(COUNT(D19)=0,1,IF(D19&lt;0,1,0))</x:f>
        <x:v>0</x:v>
      </x:c>
      <x:c r="G189" s="75" t="n">
        <x:f>IF(COUNT(D19)=0,1,IF(D19&lt;0,1,0))</x:f>
        <x:v>0</x:v>
      </x:c>
      <x:c r="H189" s="75" t="n">
        <x:f>IF(COUNT(D19)=0,1,IF(D19&lt;0,1,0))</x:f>
        <x:v>0</x:v>
      </x:c>
      <x:c r="I189" s="75" t="n">
        <x:f>IF(COUNT(D19)=0,1,IF(D19&lt;0,1,0))</x:f>
        <x:v>0</x:v>
      </x:c>
      <x:c r="J189" s="1"/>
      <x:c r="K189" s="1"/>
    </x:row>
    <x:row r="190" ht="30" customHeight="1">
      <x:c r="A190" s="1"/>
      <x:c r="B190" s="1"/>
      <x:c r="C190" s="64" t="str">
        <x:v>Loan growth input outside bounds</x:v>
      </x:c>
      <x:c r="D190" s="8"/>
      <x:c r="E190" s="75" t="n">
        <x:f>IF(COUNT(E20)=0,1,IF(E20&lt;-1,1,0))</x:f>
        <x:v>0</x:v>
      </x:c>
      <x:c r="F190" s="75" t="n">
        <x:f>IF(COUNT(F20)=0,1,IF(F20&lt;-1,1,0))</x:f>
        <x:v>0</x:v>
      </x:c>
      <x:c r="G190" s="75" t="n">
        <x:f>IF(COUNT(G20)=0,1,IF(G20&lt;-1,1,0))</x:f>
        <x:v>0</x:v>
      </x:c>
      <x:c r="H190" s="75" t="n">
        <x:f>IF(COUNT(H20)=0,1,IF(H20&lt;-1,1,0))</x:f>
        <x:v>0</x:v>
      </x:c>
      <x:c r="I190" s="75" t="n">
        <x:f>IF(COUNT(I20)=0,1,IF(I20&lt;-1,1,0))</x:f>
        <x:v>0</x:v>
      </x:c>
      <x:c r="J190" s="1"/>
      <x:c r="K190" s="1"/>
    </x:row>
    <x:row r="191" ht="30" customHeight="1">
      <x:c r="A191" s="1"/>
      <x:c r="B191" s="1"/>
      <x:c r="C191" s="64" t="str">
        <x:v>Credit cost / average gross loans input outside bounds</x:v>
      </x:c>
      <x:c r="D191" s="8"/>
      <x:c r="E191" s="75" t="n">
        <x:f>IF(COUNT(E24)=0,1,IF(E24&lt;0,1,0))</x:f>
        <x:v>0</x:v>
      </x:c>
      <x:c r="F191" s="75" t="n">
        <x:f>IF(COUNT(F24)=0,1,IF(F24&lt;0,1,0))</x:f>
        <x:v>0</x:v>
      </x:c>
      <x:c r="G191" s="75" t="n">
        <x:f>IF(COUNT(G24)=0,1,IF(G24&lt;0,1,0))</x:f>
        <x:v>0</x:v>
      </x:c>
      <x:c r="H191" s="75" t="n">
        <x:f>IF(COUNT(H24)=0,1,IF(H24&lt;0,1,0))</x:f>
        <x:v>0</x:v>
      </x:c>
      <x:c r="I191" s="75" t="n">
        <x:f>IF(COUNT(I24)=0,1,IF(I24&lt;0,1,0))</x:f>
        <x:v>0</x:v>
      </x:c>
      <x:c r="J191" s="1"/>
      <x:c r="K191" s="1"/>
    </x:row>
    <x:row r="192" ht="30" customHeight="1">
      <x:c r="A192" s="1"/>
      <x:c r="B192" s="1"/>
      <x:c r="C192" s="64" t="str">
        <x:v>Deposit growth input outside bounds</x:v>
      </x:c>
      <x:c r="D192" s="8"/>
      <x:c r="E192" s="75" t="n">
        <x:f>IF(COUNT(E28)=0,1,IF(E28&lt;-1,1,0))</x:f>
        <x:v>0</x:v>
      </x:c>
      <x:c r="F192" s="75" t="n">
        <x:f>IF(COUNT(F28)=0,1,IF(F28&lt;-1,1,0))</x:f>
        <x:v>0</x:v>
      </x:c>
      <x:c r="G192" s="75" t="n">
        <x:f>IF(COUNT(G28)=0,1,IF(G28&lt;-1,1,0))</x:f>
        <x:v>0</x:v>
      </x:c>
      <x:c r="H192" s="75" t="n">
        <x:f>IF(COUNT(H28)=0,1,IF(H28&lt;-1,1,0))</x:f>
        <x:v>0</x:v>
      </x:c>
      <x:c r="I192" s="75" t="n">
        <x:f>IF(COUNT(I28)=0,1,IF(I28&lt;-1,1,0))</x:f>
        <x:v>0</x:v>
      </x:c>
      <x:c r="J192" s="1"/>
      <x:c r="K192" s="1"/>
    </x:row>
    <x:row r="193" ht="30" customHeight="1">
      <x:c r="A193" s="1"/>
      <x:c r="B193" s="1"/>
      <x:c r="C193" s="64" t="str">
        <x:v>Investment asset growth input outside bounds</x:v>
      </x:c>
      <x:c r="D193" s="8"/>
      <x:c r="E193" s="75" t="n">
        <x:f>IF(COUNT(E29)=0,1,IF(E29&lt;-1,1,0))</x:f>
        <x:v>0</x:v>
      </x:c>
      <x:c r="F193" s="75" t="n">
        <x:f>IF(COUNT(F29)=0,1,IF(F29&lt;-1,1,0))</x:f>
        <x:v>0</x:v>
      </x:c>
      <x:c r="G193" s="75" t="n">
        <x:f>IF(COUNT(G29)=0,1,IF(G29&lt;-1,1,0))</x:f>
        <x:v>0</x:v>
      </x:c>
      <x:c r="H193" s="75" t="n">
        <x:f>IF(COUNT(H29)=0,1,IF(H29&lt;-1,1,0))</x:f>
        <x:v>0</x:v>
      </x:c>
      <x:c r="I193" s="75" t="n">
        <x:f>IF(COUNT(I29)=0,1,IF(I29&lt;-1,1,0))</x:f>
        <x:v>0</x:v>
      </x:c>
      <x:c r="J193" s="1"/>
      <x:c r="K193" s="1"/>
    </x:row>
    <x:row r="194" ht="30" customHeight="1">
      <x:c r="A194" s="1"/>
      <x:c r="B194" s="1"/>
      <x:c r="C194" s="64" t="str">
        <x:v>Gross-loan yield input outside bounds</x:v>
      </x:c>
      <x:c r="D194" s="8"/>
      <x:c r="E194" s="75" t="n">
        <x:f>IF(COUNT(E30)=0,1,IF(E30&lt;0,1,0))</x:f>
        <x:v>0</x:v>
      </x:c>
      <x:c r="F194" s="75" t="n">
        <x:f>IF(COUNT(F30)=0,1,IF(F30&lt;0,1,0))</x:f>
        <x:v>0</x:v>
      </x:c>
      <x:c r="G194" s="75" t="n">
        <x:f>IF(COUNT(G30)=0,1,IF(G30&lt;0,1,0))</x:f>
        <x:v>0</x:v>
      </x:c>
      <x:c r="H194" s="75" t="n">
        <x:f>IF(COUNT(H30)=0,1,IF(H30&lt;0,1,0))</x:f>
        <x:v>0</x:v>
      </x:c>
      <x:c r="I194" s="75" t="n">
        <x:f>IF(COUNT(I30)=0,1,IF(I30&lt;0,1,0))</x:f>
        <x:v>0</x:v>
      </x:c>
      <x:c r="J194" s="1"/>
      <x:c r="K194" s="1"/>
    </x:row>
    <x:row r="195" ht="30" customHeight="1">
      <x:c r="A195" s="1"/>
      <x:c r="B195" s="1"/>
      <x:c r="C195" s="64" t="str">
        <x:v>Deposit cost input outside bounds</x:v>
      </x:c>
      <x:c r="D195" s="8"/>
      <x:c r="E195" s="75" t="n">
        <x:f>IF(COUNT(E31)=0,1,IF(E31&lt;0,1,0))</x:f>
        <x:v>0</x:v>
      </x:c>
      <x:c r="F195" s="75" t="n">
        <x:f>IF(COUNT(F31)=0,1,IF(F31&lt;0,1,0))</x:f>
        <x:v>0</x:v>
      </x:c>
      <x:c r="G195" s="75" t="n">
        <x:f>IF(COUNT(G31)=0,1,IF(G31&lt;0,1,0))</x:f>
        <x:v>0</x:v>
      </x:c>
      <x:c r="H195" s="75" t="n">
        <x:f>IF(COUNT(H31)=0,1,IF(H31&lt;0,1,0))</x:f>
        <x:v>0</x:v>
      </x:c>
      <x:c r="I195" s="75" t="n">
        <x:f>IF(COUNT(I31)=0,1,IF(I31&lt;0,1,0))</x:f>
        <x:v>0</x:v>
      </x:c>
      <x:c r="J195" s="1"/>
      <x:c r="K195" s="1"/>
    </x:row>
    <x:row r="196" ht="30" customHeight="1">
      <x:c r="A196" s="1"/>
      <x:c r="B196" s="1"/>
      <x:c r="C196" s="64" t="str">
        <x:v>Investment yield input outside bounds</x:v>
      </x:c>
      <x:c r="D196" s="8"/>
      <x:c r="E196" s="75" t="n">
        <x:f>IF(COUNT(E32)=0,1,IF(E32&lt;0,1,0))</x:f>
        <x:v>0</x:v>
      </x:c>
      <x:c r="F196" s="75" t="n">
        <x:f>IF(COUNT(F32)=0,1,IF(F32&lt;0,1,0))</x:f>
        <x:v>0</x:v>
      </x:c>
      <x:c r="G196" s="75" t="n">
        <x:f>IF(COUNT(G32)=0,1,IF(G32&lt;0,1,0))</x:f>
        <x:v>0</x:v>
      </x:c>
      <x:c r="H196" s="75" t="n">
        <x:f>IF(COUNT(H32)=0,1,IF(H32&lt;0,1,0))</x:f>
        <x:v>0</x:v>
      </x:c>
      <x:c r="I196" s="75" t="n">
        <x:f>IF(COUNT(I32)=0,1,IF(I32&lt;0,1,0))</x:f>
        <x:v>0</x:v>
      </x:c>
      <x:c r="J196" s="1"/>
      <x:c r="K196" s="1"/>
    </x:row>
    <x:row r="197" ht="30" customHeight="1">
      <x:c r="A197" s="1"/>
      <x:c r="B197" s="1"/>
      <x:c r="C197" s="64" t="str">
        <x:v>Fee income / average gross loans input outside bounds</x:v>
      </x:c>
      <x:c r="D197" s="8"/>
      <x:c r="E197" s="75" t="n">
        <x:f>IF(COUNT(E33)=0,1,IF(E33&lt;0,1,0))</x:f>
        <x:v>0</x:v>
      </x:c>
      <x:c r="F197" s="75" t="n">
        <x:f>IF(COUNT(F33)=0,1,IF(F33&lt;0,1,0))</x:f>
        <x:v>0</x:v>
      </x:c>
      <x:c r="G197" s="75" t="n">
        <x:f>IF(COUNT(G33)=0,1,IF(G33&lt;0,1,0))</x:f>
        <x:v>0</x:v>
      </x:c>
      <x:c r="H197" s="75" t="n">
        <x:f>IF(COUNT(H33)=0,1,IF(H33&lt;0,1,0))</x:f>
        <x:v>0</x:v>
      </x:c>
      <x:c r="I197" s="75" t="n">
        <x:f>IF(COUNT(I33)=0,1,IF(I33&lt;0,1,0))</x:f>
        <x:v>0</x:v>
      </x:c>
      <x:c r="J197" s="1"/>
      <x:c r="K197" s="1"/>
    </x:row>
    <x:row r="198" ht="30" customHeight="1">
      <x:c r="A198" s="1"/>
      <x:c r="B198" s="1"/>
      <x:c r="C198" s="64" t="str">
        <x:v>Operating cost / net operating income input outside bounds</x:v>
      </x:c>
      <x:c r="D198" s="8"/>
      <x:c r="E198" s="75" t="n">
        <x:f>IF(COUNT(E34)=0,1,IF(E34&lt;0,1,0))</x:f>
        <x:v>0</x:v>
      </x:c>
      <x:c r="F198" s="75" t="n">
        <x:f>IF(COUNT(F34)=0,1,IF(F34&lt;0,1,0))</x:f>
        <x:v>0</x:v>
      </x:c>
      <x:c r="G198" s="75" t="n">
        <x:f>IF(COUNT(G34)=0,1,IF(G34&lt;0,1,0))</x:f>
        <x:v>0</x:v>
      </x:c>
      <x:c r="H198" s="75" t="n">
        <x:f>IF(COUNT(H34)=0,1,IF(H34&lt;0,1,0))</x:f>
        <x:v>0</x:v>
      </x:c>
      <x:c r="I198" s="75" t="n">
        <x:f>IF(COUNT(I34)=0,1,IF(I34&lt;0,1,0))</x:f>
        <x:v>0</x:v>
      </x:c>
      <x:c r="J198" s="1"/>
      <x:c r="K198" s="1"/>
    </x:row>
    <x:row r="199" ht="30" customHeight="1">
      <x:c r="A199" s="1"/>
      <x:c r="B199" s="1"/>
      <x:c r="C199" s="64" t="str">
        <x:v>NPA slippages / opening gross loans input outside bounds</x:v>
      </x:c>
      <x:c r="D199" s="8"/>
      <x:c r="E199" s="75" t="n">
        <x:f>IF(COUNT(E35)=0,1,IF(E35&lt;0,1,0))</x:f>
        <x:v>0</x:v>
      </x:c>
      <x:c r="F199" s="75" t="n">
        <x:f>IF(COUNT(F35)=0,1,IF(F35&lt;0,1,0))</x:f>
        <x:v>0</x:v>
      </x:c>
      <x:c r="G199" s="75" t="n">
        <x:f>IF(COUNT(G35)=0,1,IF(G35&lt;0,1,0))</x:f>
        <x:v>0</x:v>
      </x:c>
      <x:c r="H199" s="75" t="n">
        <x:f>IF(COUNT(H35)=0,1,IF(H35&lt;0,1,0))</x:f>
        <x:v>0</x:v>
      </x:c>
      <x:c r="I199" s="75" t="n">
        <x:f>IF(COUNT(I35)=0,1,IF(I35&lt;0,1,0))</x:f>
        <x:v>0</x:v>
      </x:c>
      <x:c r="J199" s="1"/>
      <x:c r="K199" s="1"/>
    </x:row>
    <x:row r="200" ht="30" customHeight="1">
      <x:c r="A200" s="1"/>
      <x:c r="B200" s="1"/>
      <x:c r="C200" s="64" t="str">
        <x:v>NPA recovery / opening gross NPA input outside bounds</x:v>
      </x:c>
      <x:c r="D200" s="8"/>
      <x:c r="E200" s="75" t="n">
        <x:f>IF(COUNT(E36)=0,1,IF(E36&lt;0,1,IF(E36&gt;1,1,0)))</x:f>
        <x:v>0</x:v>
      </x:c>
      <x:c r="F200" s="75" t="n">
        <x:f>IF(COUNT(F36)=0,1,IF(F36&lt;0,1,IF(F36&gt;1,1,0)))</x:f>
        <x:v>0</x:v>
      </x:c>
      <x:c r="G200" s="75" t="n">
        <x:f>IF(COUNT(G36)=0,1,IF(G36&lt;0,1,IF(G36&gt;1,1,0)))</x:f>
        <x:v>0</x:v>
      </x:c>
      <x:c r="H200" s="75" t="n">
        <x:f>IF(COUNT(H36)=0,1,IF(H36&lt;0,1,IF(H36&gt;1,1,0)))</x:f>
        <x:v>0</x:v>
      </x:c>
      <x:c r="I200" s="75" t="n">
        <x:f>IF(COUNT(I36)=0,1,IF(I36&lt;0,1,IF(I36&gt;1,1,0)))</x:f>
        <x:v>0</x:v>
      </x:c>
      <x:c r="J200" s="1"/>
      <x:c r="K200" s="1"/>
    </x:row>
    <x:row r="201" ht="30" customHeight="1">
      <x:c r="A201" s="1"/>
      <x:c r="B201" s="1"/>
      <x:c r="C201" s="64" t="str">
        <x:v>Write-offs / opening gross NPA input outside bounds</x:v>
      </x:c>
      <x:c r="D201" s="8"/>
      <x:c r="E201" s="75" t="n">
        <x:f>IF(COUNT(E37)=0,1,IF(E37&lt;0,1,IF(E37&gt;1,1,0)))</x:f>
        <x:v>0</x:v>
      </x:c>
      <x:c r="F201" s="75" t="n">
        <x:f>IF(COUNT(F37)=0,1,IF(F37&lt;0,1,IF(F37&gt;1,1,0)))</x:f>
        <x:v>0</x:v>
      </x:c>
      <x:c r="G201" s="75" t="n">
        <x:f>IF(COUNT(G37)=0,1,IF(G37&lt;0,1,IF(G37&gt;1,1,0)))</x:f>
        <x:v>0</x:v>
      </x:c>
      <x:c r="H201" s="75" t="n">
        <x:f>IF(COUNT(H37)=0,1,IF(H37&lt;0,1,IF(H37&gt;1,1,0)))</x:f>
        <x:v>0</x:v>
      </x:c>
      <x:c r="I201" s="75" t="n">
        <x:f>IF(COUNT(I37)=0,1,IF(I37&lt;0,1,IF(I37&gt;1,1,0)))</x:f>
        <x:v>0</x:v>
      </x:c>
      <x:c r="J201" s="1"/>
      <x:c r="K201" s="1"/>
    </x:row>
    <x:row r="202" ht="30" customHeight="1">
      <x:c r="A202" s="1"/>
      <x:c r="B202" s="1"/>
      <x:c r="C202" s="64" t="str">
        <x:v>Effective cash tax rate input outside bounds</x:v>
      </x:c>
      <x:c r="D202" s="8"/>
      <x:c r="E202" s="75" t="n">
        <x:f>IF(COUNT(E38)=0,1,IF(E38&lt;0,1,IF(E38&gt;1,1,0)))</x:f>
        <x:v>0</x:v>
      </x:c>
      <x:c r="F202" s="75" t="n">
        <x:f>IF(COUNT(F38)=0,1,IF(F38&lt;0,1,IF(F38&gt;1,1,0)))</x:f>
        <x:v>0</x:v>
      </x:c>
      <x:c r="G202" s="75" t="n">
        <x:f>IF(COUNT(G38)=0,1,IF(G38&lt;0,1,IF(G38&gt;1,1,0)))</x:f>
        <x:v>0</x:v>
      </x:c>
      <x:c r="H202" s="75" t="n">
        <x:f>IF(COUNT(H38)=0,1,IF(H38&lt;0,1,IF(H38&gt;1,1,0)))</x:f>
        <x:v>0</x:v>
      </x:c>
      <x:c r="I202" s="75" t="n">
        <x:f>IF(COUNT(I38)=0,1,IF(I38&lt;0,1,IF(I38&gt;1,1,0)))</x:f>
        <x:v>0</x:v>
      </x:c>
      <x:c r="J202" s="1"/>
      <x:c r="K202" s="1"/>
    </x:row>
    <x:row r="203" ht="30" customHeight="1">
      <x:c r="A203" s="1"/>
      <x:c r="B203" s="1"/>
      <x:c r="C203" s="64" t="str">
        <x:v>Dividend payout input outside bounds</x:v>
      </x:c>
      <x:c r="D203" s="8"/>
      <x:c r="E203" s="75" t="n">
        <x:f>IF(COUNT(E39)=0,1,IF(E39&lt;0,1,IF(E39&gt;1,1,0)))</x:f>
        <x:v>0</x:v>
      </x:c>
      <x:c r="F203" s="75" t="n">
        <x:f>IF(COUNT(F39)=0,1,IF(F39&lt;0,1,IF(F39&gt;1,1,0)))</x:f>
        <x:v>0</x:v>
      </x:c>
      <x:c r="G203" s="75" t="n">
        <x:f>IF(COUNT(G39)=0,1,IF(G39&lt;0,1,IF(G39&gt;1,1,0)))</x:f>
        <x:v>0</x:v>
      </x:c>
      <x:c r="H203" s="75" t="n">
        <x:f>IF(COUNT(H39)=0,1,IF(H39&lt;0,1,IF(H39&gt;1,1,0)))</x:f>
        <x:v>0</x:v>
      </x:c>
      <x:c r="I203" s="75" t="n">
        <x:f>IF(COUNT(I39)=0,1,IF(I39&lt;0,1,IF(I39&gt;1,1,0)))</x:f>
        <x:v>0</x:v>
      </x:c>
      <x:c r="J203" s="1"/>
      <x:c r="K203" s="1"/>
    </x:row>
    <x:row r="204" ht="30" customHeight="1">
      <x:c r="A204" s="1"/>
      <x:c r="B204" s="1"/>
      <x:c r="C204" s="64" t="str">
        <x:v>Fresh equity raised input outside bounds</x:v>
      </x:c>
      <x:c r="D204" s="8"/>
      <x:c r="E204" s="75" t="n">
        <x:f>IF(COUNT(E40)=0,1,IF(E40&lt;0,1,0))</x:f>
        <x:v>0</x:v>
      </x:c>
      <x:c r="F204" s="75" t="n">
        <x:f>IF(COUNT(F40)=0,1,IF(F40&lt;0,1,0))</x:f>
        <x:v>0</x:v>
      </x:c>
      <x:c r="G204" s="75" t="n">
        <x:f>IF(COUNT(G40)=0,1,IF(G40&lt;0,1,0))</x:f>
        <x:v>0</x:v>
      </x:c>
      <x:c r="H204" s="75" t="n">
        <x:f>IF(COUNT(H40)=0,1,IF(H40&lt;0,1,0))</x:f>
        <x:v>0</x:v>
      </x:c>
      <x:c r="I204" s="75" t="n">
        <x:f>IF(COUNT(I40)=0,1,IF(I40&lt;0,1,0))</x:f>
        <x:v>0</x:v>
      </x:c>
      <x:c r="J204" s="1"/>
      <x:c r="K204" s="1"/>
    </x:row>
    <x:row r="205" ht="30" customHeight="1">
      <x:c r="A205" s="1"/>
      <x:c r="B205" s="1"/>
      <x:c r="C205" s="64" t="str">
        <x:v>Risk-weighted assets / gross loans input outside bounds</x:v>
      </x:c>
      <x:c r="D205" s="8"/>
      <x:c r="E205" s="75" t="n">
        <x:f>IF(COUNT(E41)=0,1,IF(E41&lt;0,1,0))</x:f>
        <x:v>0</x:v>
      </x:c>
      <x:c r="F205" s="75" t="n">
        <x:f>IF(COUNT(F41)=0,1,IF(F41&lt;0,1,0))</x:f>
        <x:v>0</x:v>
      </x:c>
      <x:c r="G205" s="75" t="n">
        <x:f>IF(COUNT(G41)=0,1,IF(G41&lt;0,1,0))</x:f>
        <x:v>0</x:v>
      </x:c>
      <x:c r="H205" s="75" t="n">
        <x:f>IF(COUNT(H41)=0,1,IF(H41&lt;0,1,0))</x:f>
        <x:v>0</x:v>
      </x:c>
      <x:c r="I205" s="75" t="n">
        <x:f>IF(COUNT(I41)=0,1,IF(I41&lt;0,1,0))</x:f>
        <x:v>0</x:v>
      </x:c>
      <x:c r="J205" s="1"/>
      <x:c r="K205" s="1"/>
    </x:row>
    <x:row r="206" ht="30" customHeight="1">
      <x:c r="A206" s="1"/>
      <x:c r="B206" s="1"/>
      <x:c r="C206" s="64" t="str">
        <x:v>Eligible capital / modeled book equity input outside bounds</x:v>
      </x:c>
      <x:c r="D206" s="8"/>
      <x:c r="E206" s="75" t="n">
        <x:f>IF(COUNT(E42)=0,1,IF(E42&lt;0,1,0))</x:f>
        <x:v>0</x:v>
      </x:c>
      <x:c r="F206" s="75" t="n">
        <x:f>IF(COUNT(F42)=0,1,IF(F42&lt;0,1,0))</x:f>
        <x:v>0</x:v>
      </x:c>
      <x:c r="G206" s="75" t="n">
        <x:f>IF(COUNT(G42)=0,1,IF(G42&lt;0,1,0))</x:f>
        <x:v>0</x:v>
      </x:c>
      <x:c r="H206" s="75" t="n">
        <x:f>IF(COUNT(H42)=0,1,IF(H42&lt;0,1,0))</x:f>
        <x:v>0</x:v>
      </x:c>
      <x:c r="I206" s="75" t="n">
        <x:f>IF(COUNT(I42)=0,1,IF(I42&lt;0,1,0))</x:f>
        <x:v>0</x:v>
      </x:c>
      <x:c r="J206" s="1"/>
      <x:c r="K206" s="1"/>
    </x:row>
    <x:row r="207" ht="30" customHeight="1">
      <x:c r="A207" s="1"/>
      <x:c r="B207" s="1"/>
      <x:c r="C207" s="64" t="str">
        <x:v>Internal capital ratio target input outside bounds</x:v>
      </x:c>
      <x:c r="D207" s="8"/>
      <x:c r="E207" s="75" t="n">
        <x:f>IF(COUNT(E43)=0,1,IF(E43&lt;0,1,0))</x:f>
        <x:v>0</x:v>
      </x:c>
      <x:c r="F207" s="75" t="n">
        <x:f>IF(COUNT(F43)=0,1,IF(F43&lt;0,1,0))</x:f>
        <x:v>0</x:v>
      </x:c>
      <x:c r="G207" s="75" t="n">
        <x:f>IF(COUNT(G43)=0,1,IF(G43&lt;0,1,0))</x:f>
        <x:v>0</x:v>
      </x:c>
      <x:c r="H207" s="75" t="n">
        <x:f>IF(COUNT(H43)=0,1,IF(H43&lt;0,1,0))</x:f>
        <x:v>0</x:v>
      </x:c>
      <x:c r="I207" s="75" t="n">
        <x:f>IF(COUNT(I43)=0,1,IF(I43&lt;0,1,0))</x:f>
        <x:v>0</x:v>
      </x:c>
      <x:c r="J207" s="1"/>
      <x:c r="K207" s="1"/>
    </x:row>
    <x:row r="208" ht="30" customHeight="1">
      <x:c r="A208" s="1"/>
      <x:c r="B208" s="1"/>
      <x:c r="C208" s="64"/>
      <x:c r="D208" s="8"/>
      <x:c r="E208" s="8"/>
      <x:c r="F208" s="8"/>
      <x:c r="G208" s="8"/>
      <x:c r="H208" s="8"/>
      <x:c r="I208" s="8"/>
      <x:c r="J208" s="1"/>
      <x:c r="K208" s="1"/>
    </x:row>
    <x:row r="209" ht="30" customHeight="1">
      <x:c r="A209" s="1"/>
      <x:c r="B209" s="1"/>
      <x:c r="C209" s="64"/>
      <x:c r="D209" s="8"/>
      <x:c r="E209" s="8"/>
      <x:c r="F209" s="8"/>
      <x:c r="G209" s="8"/>
      <x:c r="H209" s="8"/>
      <x:c r="I209" s="8"/>
      <x:c r="J209" s="1"/>
      <x:c r="K209" s="1"/>
    </x:row>
    <x:row r="210" ht="30" customHeight="1">
      <x:c r="A210" s="1"/>
      <x:c r="B210" s="1"/>
      <x:c r="C210" s="64"/>
      <x:c r="D210" s="8"/>
      <x:c r="E210" s="8"/>
      <x:c r="F210" s="8"/>
      <x:c r="G210" s="8"/>
      <x:c r="H210" s="8"/>
      <x:c r="I210" s="8"/>
      <x:c r="J210" s="1"/>
      <x:c r="K210" s="1"/>
    </x:row>
    <x:row r="211" ht="30" customHeight="1">
      <x:c r="C211" s="64"/>
      <x:c r="D211" s="63"/>
      <x:c r="E211" s="63"/>
      <x:c r="F211" s="63"/>
      <x:c r="G211" s="63"/>
      <x:c r="H211" s="63"/>
      <x:c r="I211" s="63"/>
    </x:row>
    <x:row r="212" ht="30" customHeight="1">
      <x:c r="C212" s="64"/>
      <x:c r="D212" s="63"/>
      <x:c r="E212" s="63"/>
      <x:c r="F212" s="63"/>
      <x:c r="G212" s="63"/>
      <x:c r="H212" s="63"/>
      <x:c r="I212" s="63"/>
    </x:row>
    <x:row r="213" ht="30" customHeight="1">
      <x:c r="C213" s="64"/>
      <x:c r="D213" s="63"/>
      <x:c r="E213" s="63"/>
      <x:c r="F213" s="63"/>
      <x:c r="G213" s="63"/>
      <x:c r="H213" s="63"/>
      <x:c r="I213" s="63"/>
    </x:row>
    <x:row r="214" ht="30" customHeight="1">
      <x:c r="C214" s="64"/>
      <x:c r="D214" s="63"/>
      <x:c r="E214" s="63"/>
      <x:c r="F214" s="63"/>
      <x:c r="G214" s="63"/>
      <x:c r="H214" s="63"/>
      <x:c r="I214" s="63"/>
    </x:row>
    <x:row r="215" ht="30" customHeight="1">
      <x:c r="C215" s="64"/>
      <x:c r="D215" s="63"/>
      <x:c r="E215" s="63"/>
      <x:c r="F215" s="63"/>
      <x:c r="G215" s="63"/>
      <x:c r="H215" s="63"/>
      <x:c r="I215" s="63"/>
    </x:row>
    <x:row r="216" ht="30" customHeight="1">
      <x:c r="C216" s="64"/>
      <x:c r="D216" s="63"/>
      <x:c r="E216" s="63"/>
      <x:c r="F216" s="63"/>
      <x:c r="G216" s="63"/>
      <x:c r="H216" s="63"/>
      <x:c r="I216" s="63"/>
    </x:row>
    <x:row r="217" ht="30" customHeight="1">
      <x:c r="C217" s="64"/>
      <x:c r="D217" s="63"/>
      <x:c r="E217" s="63"/>
      <x:c r="F217" s="63"/>
      <x:c r="G217" s="63"/>
      <x:c r="H217" s="63"/>
      <x:c r="I217" s="63"/>
    </x:row>
    <x:row r="218" ht="30" customHeight="1">
      <x:c r="C218" s="64"/>
      <x:c r="D218" s="63"/>
      <x:c r="E218" s="63"/>
      <x:c r="F218" s="63"/>
      <x:c r="G218" s="63"/>
      <x:c r="H218" s="63"/>
      <x:c r="I218" s="63"/>
    </x:row>
    <x:row r="219" ht="30" customHeight="1">
      <x:c r="C219" s="64"/>
      <x:c r="D219" s="63"/>
      <x:c r="E219" s="63"/>
      <x:c r="F219" s="63"/>
      <x:c r="G219" s="63"/>
      <x:c r="H219" s="63"/>
      <x:c r="I219" s="63"/>
    </x:row>
    <x:row r="220" ht="30" customHeight="1">
      <x:c r="C220" s="64"/>
      <x:c r="D220" s="63"/>
      <x:c r="E220" s="63"/>
      <x:c r="F220" s="63"/>
      <x:c r="G220" s="63"/>
      <x:c r="H220" s="63"/>
      <x:c r="I220" s="63"/>
    </x:row>
    <x:row r="221" ht="30" customHeight="1">
      <x:c r="C221" s="64"/>
      <x:c r="D221" s="63"/>
      <x:c r="E221" s="63"/>
      <x:c r="F221" s="63"/>
      <x:c r="G221" s="63"/>
      <x:c r="H221" s="63"/>
      <x:c r="I221" s="63"/>
    </x:row>
    <x:row r="222" ht="30" customHeight="1">
      <x:c r="C222" s="64"/>
      <x:c r="D222" s="63"/>
      <x:c r="E222" s="63"/>
      <x:c r="F222" s="63"/>
      <x:c r="G222" s="63"/>
      <x:c r="H222" s="63"/>
      <x:c r="I222" s="63"/>
    </x:row>
    <x:row r="223" ht="30" customHeight="1">
      <x:c r="C223" s="64"/>
      <x:c r="D223" s="63"/>
      <x:c r="E223" s="63"/>
      <x:c r="F223" s="63"/>
      <x:c r="G223" s="63"/>
      <x:c r="H223" s="63"/>
      <x:c r="I223" s="63"/>
    </x:row>
    <x:row r="224" ht="30" customHeight="1">
      <x:c r="C224" s="64"/>
      <x:c r="D224" s="63"/>
      <x:c r="E224" s="63"/>
      <x:c r="F224" s="63"/>
      <x:c r="G224" s="63"/>
      <x:c r="H224" s="63"/>
      <x:c r="I224" s="63"/>
    </x:row>
    <x:row r="225" ht="30" customHeight="1">
      <x:c r="C225" s="64"/>
      <x:c r="D225" s="63"/>
      <x:c r="E225" s="63"/>
      <x:c r="F225" s="63"/>
      <x:c r="G225" s="63"/>
      <x:c r="H225" s="63"/>
      <x:c r="I225" s="63"/>
    </x:row>
    <x:row r="226" ht="30" customHeight="1">
      <x:c r="C226" s="64"/>
      <x:c r="D226" s="63"/>
      <x:c r="E226" s="63"/>
      <x:c r="F226" s="63"/>
      <x:c r="G226" s="63"/>
      <x:c r="H226" s="63"/>
      <x:c r="I226" s="63"/>
    </x:row>
    <x:row r="227" ht="30" customHeight="1">
      <x:c r="C227" s="64"/>
      <x:c r="D227" s="63"/>
      <x:c r="E227" s="63"/>
      <x:c r="F227" s="63"/>
      <x:c r="G227" s="63"/>
      <x:c r="H227" s="63"/>
      <x:c r="I227" s="63"/>
    </x:row>
    <x:row r="228" ht="30" customHeight="1">
      <x:c r="C228" s="64"/>
      <x:c r="D228" s="63"/>
      <x:c r="E228" s="63"/>
      <x:c r="F228" s="63"/>
      <x:c r="G228" s="63"/>
      <x:c r="H228" s="63"/>
      <x:c r="I228" s="63"/>
    </x:row>
    <x:row r="229" ht="30" customHeight="1">
      <x:c r="C229" s="64"/>
      <x:c r="D229" s="63"/>
      <x:c r="E229" s="63"/>
      <x:c r="F229" s="63"/>
      <x:c r="G229" s="63"/>
      <x:c r="H229" s="63"/>
      <x:c r="I229" s="63"/>
    </x:row>
    <x:row r="230" ht="30" customHeight="1">
      <x:c r="C230" s="64"/>
      <x:c r="D230" s="63"/>
      <x:c r="E230" s="63"/>
      <x:c r="F230" s="63"/>
      <x:c r="G230" s="63"/>
      <x:c r="H230" s="63"/>
      <x:c r="I230" s="63"/>
    </x:row>
    <x:row r="231" ht="30" customHeight="1">
      <x:c r="C231" s="64"/>
      <x:c r="D231" s="63"/>
      <x:c r="E231" s="63"/>
      <x:c r="F231" s="63"/>
      <x:c r="G231" s="63"/>
      <x:c r="H231" s="63"/>
      <x:c r="I231" s="63"/>
    </x:row>
    <x:row r="232" ht="30" customHeight="1">
      <x:c r="C232" s="64"/>
      <x:c r="D232" s="63"/>
      <x:c r="E232" s="63"/>
      <x:c r="F232" s="63"/>
      <x:c r="G232" s="63"/>
      <x:c r="H232" s="63"/>
      <x:c r="I232" s="63"/>
    </x:row>
    <x:row r="233" ht="30" customHeight="1">
      <x:c r="C233" s="64"/>
      <x:c r="D233" s="63"/>
      <x:c r="E233" s="63"/>
      <x:c r="F233" s="63"/>
      <x:c r="G233" s="63"/>
      <x:c r="H233" s="63"/>
      <x:c r="I233" s="63"/>
    </x:row>
    <x:row r="234" ht="30" customHeight="1">
      <x:c r="C234" s="64"/>
      <x:c r="D234" s="63"/>
      <x:c r="E234" s="63"/>
      <x:c r="F234" s="63"/>
      <x:c r="G234" s="63"/>
      <x:c r="H234" s="63"/>
      <x:c r="I234" s="63"/>
    </x:row>
    <x:row r="235" ht="30" customHeight="1">
      <x:c r="C235" s="64"/>
      <x:c r="D235" s="63"/>
      <x:c r="E235" s="63"/>
      <x:c r="F235" s="63"/>
      <x:c r="G235" s="63"/>
      <x:c r="H235" s="63"/>
      <x:c r="I235" s="63"/>
    </x:row>
    <x:row r="236" ht="30" customHeight="1">
      <x:c r="C236" s="64"/>
      <x:c r="D236" s="63"/>
      <x:c r="E236" s="63"/>
      <x:c r="F236" s="63"/>
      <x:c r="G236" s="63"/>
      <x:c r="H236" s="63"/>
      <x:c r="I236" s="63"/>
    </x:row>
    <x:row r="237" ht="30" customHeight="1">
      <x:c r="C237" s="64"/>
      <x:c r="D237" s="63"/>
      <x:c r="E237" s="63"/>
      <x:c r="F237" s="63"/>
      <x:c r="G237" s="63"/>
      <x:c r="H237" s="63"/>
      <x:c r="I237" s="63"/>
    </x:row>
    <x:row r="238" ht="30" customHeight="1">
      <x:c r="C238" s="64"/>
      <x:c r="D238" s="63"/>
      <x:c r="E238" s="63"/>
      <x:c r="F238" s="63"/>
      <x:c r="G238" s="63"/>
      <x:c r="H238" s="63"/>
      <x:c r="I238" s="63"/>
    </x:row>
    <x:row r="239" ht="30" customHeight="1">
      <x:c r="C239" s="64"/>
      <x:c r="D239" s="63"/>
      <x:c r="E239" s="63"/>
      <x:c r="F239" s="63"/>
      <x:c r="G239" s="63"/>
      <x:c r="H239" s="63"/>
      <x:c r="I239" s="63"/>
    </x:row>
    <x:row r="240" ht="30" customHeight="1">
      <x:c r="C240" s="64"/>
      <x:c r="D240" s="63"/>
      <x:c r="E240" s="63"/>
      <x:c r="F240" s="63"/>
      <x:c r="G240" s="63"/>
      <x:c r="H240" s="63"/>
      <x:c r="I240" s="63"/>
    </x:row>
    <x:row r="241" ht="30" customHeight="1">
      <x:c r="C241" s="64"/>
      <x:c r="D241" s="63"/>
      <x:c r="E241" s="63"/>
      <x:c r="F241" s="63"/>
      <x:c r="G241" s="63"/>
      <x:c r="H241" s="63"/>
      <x:c r="I241" s="63"/>
    </x:row>
    <x:row r="242" ht="30" customHeight="1">
      <x:c r="C242" s="64"/>
      <x:c r="D242" s="63"/>
      <x:c r="E242" s="63"/>
      <x:c r="F242" s="63"/>
      <x:c r="G242" s="63"/>
      <x:c r="H242" s="63"/>
      <x:c r="I242" s="63"/>
    </x:row>
    <x:row r="243" ht="30" customHeight="1">
      <x:c r="C243" s="64"/>
      <x:c r="D243" s="63"/>
      <x:c r="E243" s="63"/>
      <x:c r="F243" s="63"/>
      <x:c r="G243" s="63"/>
      <x:c r="H243" s="63"/>
      <x:c r="I243" s="63"/>
    </x:row>
    <x:row r="244" ht="30" customHeight="1">
      <x:c r="C244" s="64"/>
      <x:c r="D244" s="63"/>
      <x:c r="E244" s="63"/>
      <x:c r="F244" s="63"/>
      <x:c r="G244" s="63"/>
      <x:c r="H244" s="63"/>
      <x:c r="I244" s="63"/>
    </x:row>
    <x:row r="245" ht="30" customHeight="1">
      <x:c r="C245" s="64"/>
      <x:c r="D245" s="63"/>
      <x:c r="E245" s="63"/>
      <x:c r="F245" s="63"/>
      <x:c r="G245" s="63"/>
      <x:c r="H245" s="63"/>
      <x:c r="I245" s="63"/>
    </x:row>
    <x:row r="246" ht="30" customHeight="1">
      <x:c r="C246" s="64"/>
      <x:c r="D246" s="63"/>
      <x:c r="E246" s="63"/>
      <x:c r="F246" s="63"/>
      <x:c r="G246" s="63"/>
      <x:c r="H246" s="63"/>
      <x:c r="I246" s="63"/>
    </x:row>
    <x:row r="247" ht="30" customHeight="1">
      <x:c r="C247" s="64"/>
      <x:c r="D247" s="63"/>
      <x:c r="E247" s="63"/>
      <x:c r="F247" s="63"/>
      <x:c r="G247" s="63"/>
      <x:c r="H247" s="63"/>
      <x:c r="I247" s="63"/>
    </x:row>
    <x:row r="248" ht="30" customHeight="1">
      <x:c r="C248" s="64"/>
      <x:c r="D248" s="63"/>
      <x:c r="E248" s="63"/>
      <x:c r="F248" s="63"/>
      <x:c r="G248" s="63"/>
      <x:c r="H248" s="63"/>
      <x:c r="I248" s="63"/>
    </x:row>
    <x:row r="249" ht="30" customHeight="1">
      <x:c r="C249" s="64"/>
      <x:c r="D249" s="63"/>
      <x:c r="E249" s="63"/>
      <x:c r="F249" s="63"/>
      <x:c r="G249" s="63"/>
      <x:c r="H249" s="63"/>
      <x:c r="I249" s="63"/>
    </x:row>
    <x:row r="250" ht="30" customHeight="1">
      <x:c r="C250" s="64"/>
      <x:c r="D250" s="63"/>
      <x:c r="E250" s="63"/>
      <x:c r="F250" s="63"/>
      <x:c r="G250" s="63"/>
      <x:c r="H250" s="63"/>
      <x:c r="I250" s="63"/>
    </x:row>
    <x:row r="251" ht="30" customHeight="1">
      <x:c r="C251" s="64"/>
      <x:c r="D251" s="63"/>
      <x:c r="E251" s="63"/>
      <x:c r="F251" s="63"/>
      <x:c r="G251" s="63"/>
      <x:c r="H251" s="63"/>
      <x:c r="I251" s="63"/>
    </x:row>
    <x:row r="252" ht="30" customHeight="1">
      <x:c r="C252" s="64"/>
      <x:c r="D252" s="63"/>
      <x:c r="E252" s="63"/>
      <x:c r="F252" s="63"/>
      <x:c r="G252" s="63"/>
      <x:c r="H252" s="63"/>
      <x:c r="I252" s="63"/>
    </x:row>
    <x:row r="253" ht="30" customHeight="1">
      <x:c r="C253" s="64"/>
      <x:c r="D253" s="63"/>
      <x:c r="E253" s="63"/>
      <x:c r="F253" s="63"/>
      <x:c r="G253" s="63"/>
      <x:c r="H253" s="63"/>
      <x:c r="I253" s="63"/>
    </x:row>
    <x:row r="254" ht="30" customHeight="1">
      <x:c r="C254" s="64"/>
      <x:c r="D254" s="63"/>
      <x:c r="E254" s="63"/>
      <x:c r="F254" s="63"/>
      <x:c r="G254" s="63"/>
      <x:c r="H254" s="63"/>
      <x:c r="I254" s="63"/>
    </x:row>
    <x:row r="255" ht="30" customHeight="1">
      <x:c r="C255" s="64"/>
      <x:c r="D255" s="63"/>
      <x:c r="E255" s="63"/>
      <x:c r="F255" s="63"/>
      <x:c r="G255" s="63"/>
      <x:c r="H255" s="63"/>
      <x:c r="I255" s="63"/>
    </x:row>
    <x:row r="256" ht="30" customHeight="1">
      <x:c r="C256" s="64"/>
      <x:c r="D256" s="63"/>
      <x:c r="E256" s="63"/>
      <x:c r="F256" s="63"/>
      <x:c r="G256" s="63"/>
      <x:c r="H256" s="63"/>
      <x:c r="I256" s="63"/>
    </x:row>
    <x:row r="257" ht="30" customHeight="1">
      <x:c r="C257" s="64"/>
      <x:c r="D257" s="63"/>
      <x:c r="E257" s="63"/>
      <x:c r="F257" s="63"/>
      <x:c r="G257" s="63"/>
      <x:c r="H257" s="63"/>
      <x:c r="I257" s="63"/>
    </x:row>
    <x:row r="258" ht="30" customHeight="1">
      <x:c r="C258" s="64"/>
      <x:c r="D258" s="63"/>
      <x:c r="E258" s="63"/>
      <x:c r="F258" s="63"/>
      <x:c r="G258" s="63"/>
      <x:c r="H258" s="63"/>
      <x:c r="I258" s="63"/>
    </x:row>
    <x:row r="259" ht="30" customHeight="1">
      <x:c r="C259" s="64"/>
      <x:c r="D259" s="63"/>
      <x:c r="E259" s="63"/>
      <x:c r="F259" s="63"/>
      <x:c r="G259" s="63"/>
      <x:c r="H259" s="63"/>
      <x:c r="I259" s="63"/>
    </x:row>
    <x:row r="260" ht="30" customHeight="1">
      <x:c r="C260" s="64"/>
      <x:c r="D260" s="63"/>
      <x:c r="E260" s="63"/>
      <x:c r="F260" s="63"/>
      <x:c r="G260" s="63"/>
      <x:c r="H260" s="63"/>
      <x:c r="I260" s="63"/>
    </x:row>
    <x:row r="261" ht="30" customHeight="1">
      <x:c r="C261" s="64"/>
      <x:c r="D261" s="63"/>
      <x:c r="E261" s="63"/>
      <x:c r="F261" s="63"/>
      <x:c r="G261" s="63"/>
      <x:c r="H261" s="63"/>
      <x:c r="I261" s="63"/>
    </x:row>
    <x:row r="262" ht="30" customHeight="1">
      <x:c r="C262" s="64"/>
      <x:c r="D262" s="63"/>
      <x:c r="E262" s="63"/>
      <x:c r="F262" s="63"/>
      <x:c r="G262" s="63"/>
      <x:c r="H262" s="63"/>
      <x:c r="I262" s="63"/>
    </x:row>
    <x:row r="263" ht="30" customHeight="1">
      <x:c r="C263" s="64"/>
      <x:c r="D263" s="63"/>
      <x:c r="E263" s="63"/>
      <x:c r="F263" s="63"/>
      <x:c r="G263" s="63"/>
      <x:c r="H263" s="63"/>
      <x:c r="I263" s="63"/>
    </x:row>
    <x:row r="264" ht="30" customHeight="1">
      <x:c r="C264" s="64"/>
      <x:c r="D264" s="63"/>
      <x:c r="E264" s="63"/>
      <x:c r="F264" s="63"/>
      <x:c r="G264" s="63"/>
      <x:c r="H264" s="63"/>
      <x:c r="I264" s="63"/>
    </x:row>
    <x:row r="265" ht="30" customHeight="1">
      <x:c r="C265" s="64"/>
      <x:c r="D265" s="63"/>
      <x:c r="E265" s="63"/>
      <x:c r="F265" s="63"/>
      <x:c r="G265" s="63"/>
      <x:c r="H265" s="63"/>
      <x:c r="I265" s="63"/>
    </x:row>
    <x:row r="266" ht="30" customHeight="1">
      <x:c r="C266" s="64"/>
      <x:c r="D266" s="63"/>
      <x:c r="E266" s="63"/>
      <x:c r="F266" s="63"/>
      <x:c r="G266" s="63"/>
      <x:c r="H266" s="63"/>
      <x:c r="I266" s="63"/>
    </x:row>
    <x:row r="267" ht="30" customHeight="1">
      <x:c r="C267" s="64"/>
      <x:c r="D267" s="63"/>
      <x:c r="E267" s="63"/>
      <x:c r="F267" s="63"/>
      <x:c r="G267" s="63"/>
      <x:c r="H267" s="63"/>
      <x:c r="I267" s="63"/>
    </x:row>
    <x:row r="268" ht="30" customHeight="1">
      <x:c r="C268" s="64"/>
      <x:c r="D268" s="63"/>
      <x:c r="E268" s="63"/>
      <x:c r="F268" s="63"/>
      <x:c r="G268" s="63"/>
      <x:c r="H268" s="63"/>
      <x:c r="I268" s="63"/>
    </x:row>
    <x:row r="269" ht="30" customHeight="1">
      <x:c r="C269" s="64"/>
      <x:c r="D269" s="63"/>
      <x:c r="E269" s="63"/>
      <x:c r="F269" s="63"/>
      <x:c r="G269" s="63"/>
      <x:c r="H269" s="63"/>
      <x:c r="I269" s="63"/>
    </x:row>
    <x:row r="270" ht="30" customHeight="1">
      <x:c r="C270" s="64"/>
      <x:c r="D270" s="63"/>
      <x:c r="E270" s="63"/>
      <x:c r="F270" s="63"/>
      <x:c r="G270" s="63"/>
      <x:c r="H270" s="63"/>
      <x:c r="I270" s="63"/>
    </x:row>
    <x:row r="271" ht="30" customHeight="1">
      <x:c r="C271" s="64"/>
      <x:c r="D271" s="63"/>
      <x:c r="E271" s="63"/>
      <x:c r="F271" s="63"/>
      <x:c r="G271" s="63"/>
      <x:c r="H271" s="63"/>
      <x:c r="I271" s="63"/>
    </x:row>
    <x:row r="272" ht="30" customHeight="1">
      <x:c r="C272" s="64"/>
      <x:c r="D272" s="63"/>
      <x:c r="E272" s="63"/>
      <x:c r="F272" s="63"/>
      <x:c r="G272" s="63"/>
      <x:c r="H272" s="63"/>
      <x:c r="I272" s="63"/>
    </x:row>
    <x:row r="273" ht="30" customHeight="1">
      <x:c r="C273" s="64"/>
      <x:c r="D273" s="63"/>
      <x:c r="E273" s="63"/>
      <x:c r="F273" s="63"/>
      <x:c r="G273" s="63"/>
      <x:c r="H273" s="63"/>
      <x:c r="I273" s="63"/>
    </x:row>
    <x:row r="274" ht="30" customHeight="1">
      <x:c r="C274" s="64"/>
      <x:c r="D274" s="63"/>
      <x:c r="E274" s="63"/>
      <x:c r="F274" s="63"/>
      <x:c r="G274" s="63"/>
      <x:c r="H274" s="63"/>
      <x:c r="I274" s="63"/>
    </x:row>
    <x:row r="275" ht="30" customHeight="1">
      <x:c r="C275" s="64"/>
      <x:c r="D275" s="63"/>
      <x:c r="E275" s="63"/>
      <x:c r="F275" s="63"/>
      <x:c r="G275" s="63"/>
      <x:c r="H275" s="63"/>
      <x:c r="I275" s="63"/>
    </x:row>
    <x:row r="276" ht="30" customHeight="1">
      <x:c r="C276" s="64"/>
      <x:c r="D276" s="63"/>
      <x:c r="E276" s="63"/>
      <x:c r="F276" s="63"/>
      <x:c r="G276" s="63"/>
      <x:c r="H276" s="63"/>
      <x:c r="I276" s="63"/>
    </x:row>
    <x:row r="277" ht="30" customHeight="1">
      <x:c r="C277" s="64"/>
      <x:c r="D277" s="63"/>
      <x:c r="E277" s="63"/>
      <x:c r="F277" s="63"/>
      <x:c r="G277" s="63"/>
      <x:c r="H277" s="63"/>
      <x:c r="I277" s="63"/>
    </x:row>
    <x:row r="278" ht="30" customHeight="1">
      <x:c r="C278" s="64"/>
      <x:c r="D278" s="63"/>
      <x:c r="E278" s="63"/>
      <x:c r="F278" s="63"/>
      <x:c r="G278" s="63"/>
      <x:c r="H278" s="63"/>
      <x:c r="I278" s="63"/>
    </x:row>
    <x:row r="279" ht="30" customHeight="1">
      <x:c r="C279" s="64"/>
      <x:c r="D279" s="63"/>
      <x:c r="E279" s="63"/>
      <x:c r="F279" s="63"/>
      <x:c r="G279" s="63"/>
      <x:c r="H279" s="63"/>
      <x:c r="I279" s="63"/>
    </x:row>
    <x:row r="280" ht="30" customHeight="1">
      <x:c r="C280" s="64"/>
      <x:c r="D280" s="63"/>
      <x:c r="E280" s="63"/>
      <x:c r="F280" s="63"/>
      <x:c r="G280" s="63"/>
      <x:c r="H280" s="63"/>
      <x:c r="I280" s="63"/>
    </x:row>
    <x:row r="281" ht="30" customHeight="1">
      <x:c r="C281" s="64"/>
      <x:c r="D281" s="63"/>
      <x:c r="E281" s="63"/>
      <x:c r="F281" s="63"/>
      <x:c r="G281" s="63"/>
      <x:c r="H281" s="63"/>
      <x:c r="I281" s="63"/>
    </x:row>
    <x:row r="282" ht="30" customHeight="1">
      <x:c r="C282" s="64"/>
      <x:c r="D282" s="63"/>
      <x:c r="E282" s="63"/>
      <x:c r="F282" s="63"/>
      <x:c r="G282" s="63"/>
      <x:c r="H282" s="63"/>
      <x:c r="I282" s="63"/>
    </x:row>
    <x:row r="283" ht="30" customHeight="1">
      <x:c r="C283" s="64"/>
      <x:c r="D283" s="63"/>
      <x:c r="E283" s="63"/>
      <x:c r="F283" s="63"/>
      <x:c r="G283" s="63"/>
      <x:c r="H283" s="63"/>
      <x:c r="I283" s="63"/>
    </x:row>
    <x:row r="284" ht="30" customHeight="1">
      <x:c r="C284" s="64"/>
      <x:c r="D284" s="63"/>
      <x:c r="E284" s="63"/>
      <x:c r="F284" s="63"/>
      <x:c r="G284" s="63"/>
      <x:c r="H284" s="63"/>
      <x:c r="I284" s="63"/>
    </x:row>
    <x:row r="285" ht="30" customHeight="1">
      <x:c r="C285" s="64"/>
      <x:c r="D285" s="63"/>
      <x:c r="E285" s="63"/>
      <x:c r="F285" s="63"/>
      <x:c r="G285" s="63"/>
      <x:c r="H285" s="63"/>
      <x:c r="I285" s="63"/>
    </x:row>
    <x:row r="286" ht="30" customHeight="1">
      <x:c r="C286" s="64"/>
      <x:c r="D286" s="63"/>
      <x:c r="E286" s="63"/>
      <x:c r="F286" s="63"/>
      <x:c r="G286" s="63"/>
      <x:c r="H286" s="63"/>
      <x:c r="I286" s="63"/>
    </x:row>
    <x:row r="287" ht="30" customHeight="1">
      <x:c r="C287" s="64"/>
      <x:c r="D287" s="63"/>
      <x:c r="E287" s="63"/>
      <x:c r="F287" s="63"/>
      <x:c r="G287" s="63"/>
      <x:c r="H287" s="63"/>
      <x:c r="I287" s="63"/>
    </x:row>
    <x:row r="288" ht="30" customHeight="1">
      <x:c r="C288" s="64"/>
      <x:c r="D288" s="63"/>
      <x:c r="E288" s="63"/>
      <x:c r="F288" s="63"/>
      <x:c r="G288" s="63"/>
      <x:c r="H288" s="63"/>
      <x:c r="I288" s="63"/>
    </x:row>
    <x:row r="289" ht="30" customHeight="1">
      <x:c r="C289" s="64"/>
      <x:c r="D289" s="63"/>
      <x:c r="E289" s="63"/>
      <x:c r="F289" s="63"/>
      <x:c r="G289" s="63"/>
      <x:c r="H289" s="63"/>
      <x:c r="I289" s="63"/>
    </x:row>
    <x:row r="290" ht="30" customHeight="1">
      <x:c r="C290" s="64"/>
      <x:c r="D290" s="63"/>
      <x:c r="E290" s="63"/>
      <x:c r="F290" s="63"/>
      <x:c r="G290" s="63"/>
      <x:c r="H290" s="63"/>
      <x:c r="I290" s="63"/>
    </x:row>
    <x:row r="291" ht="30" customHeight="1">
      <x:c r="C291" s="64"/>
      <x:c r="D291" s="63"/>
      <x:c r="E291" s="63"/>
      <x:c r="F291" s="63"/>
      <x:c r="G291" s="63"/>
      <x:c r="H291" s="63"/>
      <x:c r="I291" s="63"/>
    </x:row>
    <x:row r="292" ht="30" customHeight="1">
      <x:c r="C292" s="64"/>
      <x:c r="D292" s="63"/>
      <x:c r="E292" s="63"/>
      <x:c r="F292" s="63"/>
      <x:c r="G292" s="63"/>
      <x:c r="H292" s="63"/>
      <x:c r="I292" s="63"/>
    </x:row>
    <x:row r="293" ht="30" customHeight="1">
      <x:c r="C293" s="64"/>
      <x:c r="D293" s="63"/>
      <x:c r="E293" s="63"/>
      <x:c r="F293" s="63"/>
      <x:c r="G293" s="63"/>
      <x:c r="H293" s="63"/>
      <x:c r="I293" s="63"/>
    </x:row>
    <x:row r="294" ht="30" customHeight="1">
      <x:c r="C294" s="64"/>
      <x:c r="D294" s="63"/>
      <x:c r="E294" s="63"/>
      <x:c r="F294" s="63"/>
      <x:c r="G294" s="63"/>
      <x:c r="H294" s="63"/>
      <x:c r="I294" s="63"/>
    </x:row>
    <x:row r="295" ht="30" customHeight="1">
      <x:c r="C295" s="64"/>
      <x:c r="D295" s="63"/>
      <x:c r="E295" s="63"/>
      <x:c r="F295" s="63"/>
      <x:c r="G295" s="63"/>
      <x:c r="H295" s="63"/>
      <x:c r="I295" s="63"/>
    </x:row>
    <x:row r="296" ht="30" customHeight="1">
      <x:c r="C296" s="64"/>
      <x:c r="D296" s="63"/>
      <x:c r="E296" s="63"/>
      <x:c r="F296" s="63"/>
      <x:c r="G296" s="63"/>
      <x:c r="H296" s="63"/>
      <x:c r="I296" s="63"/>
    </x:row>
    <x:row r="297" ht="30" customHeight="1">
      <x:c r="C297" s="64"/>
      <x:c r="D297" s="63"/>
      <x:c r="E297" s="63"/>
      <x:c r="F297" s="63"/>
      <x:c r="G297" s="63"/>
      <x:c r="H297" s="63"/>
      <x:c r="I297" s="63"/>
    </x:row>
    <x:row r="298" ht="30" customHeight="1">
      <x:c r="C298" s="64"/>
      <x:c r="D298" s="63"/>
      <x:c r="E298" s="63"/>
      <x:c r="F298" s="63"/>
      <x:c r="G298" s="63"/>
      <x:c r="H298" s="63"/>
      <x:c r="I298" s="63"/>
    </x:row>
    <x:row r="299" ht="30" customHeight="1">
      <x:c r="C299" s="64"/>
      <x:c r="D299" s="63"/>
      <x:c r="E299" s="63"/>
      <x:c r="F299" s="63"/>
      <x:c r="G299" s="63"/>
      <x:c r="H299" s="63"/>
      <x:c r="I299" s="63"/>
    </x:row>
    <x:row r="300" ht="30" customHeight="1">
      <x:c r="C300" s="64"/>
      <x:c r="D300" s="63"/>
      <x:c r="E300" s="63"/>
      <x:c r="F300" s="63"/>
      <x:c r="G300" s="63"/>
      <x:c r="H300" s="63"/>
      <x:c r="I300" s="63"/>
    </x:row>
    <x:row r="301" ht="30" customHeight="1">
      <x:c r="C301" s="64"/>
      <x:c r="D301" s="63"/>
      <x:c r="E301" s="63"/>
      <x:c r="F301" s="63"/>
      <x:c r="G301" s="63"/>
      <x:c r="H301" s="63"/>
      <x:c r="I301" s="63"/>
    </x:row>
    <x:row r="302" ht="30" customHeight="1">
      <x:c r="C302" s="64"/>
      <x:c r="D302" s="63"/>
      <x:c r="E302" s="63"/>
      <x:c r="F302" s="63"/>
      <x:c r="G302" s="63"/>
      <x:c r="H302" s="63"/>
      <x:c r="I302" s="63"/>
    </x:row>
    <x:row r="303" ht="30" customHeight="1">
      <x:c r="C303" s="64"/>
      <x:c r="D303" s="63"/>
      <x:c r="E303" s="63"/>
      <x:c r="F303" s="63"/>
      <x:c r="G303" s="63"/>
      <x:c r="H303" s="63"/>
      <x:c r="I303" s="63"/>
    </x:row>
    <x:row r="304" ht="30" customHeight="1">
      <x:c r="C304" s="64"/>
      <x:c r="D304" s="63"/>
      <x:c r="E304" s="63"/>
      <x:c r="F304" s="63"/>
      <x:c r="G304" s="63"/>
      <x:c r="H304" s="63"/>
      <x:c r="I304" s="63"/>
    </x:row>
    <x:row r="305" ht="30" customHeight="1">
      <x:c r="C305" s="64"/>
      <x:c r="D305" s="63"/>
      <x:c r="E305" s="63"/>
      <x:c r="F305" s="63"/>
      <x:c r="G305" s="63"/>
      <x:c r="H305" s="63"/>
      <x:c r="I305" s="63"/>
    </x:row>
    <x:row r="306" ht="30" customHeight="1">
      <x:c r="C306" s="64"/>
      <x:c r="D306" s="63"/>
      <x:c r="E306" s="63"/>
      <x:c r="F306" s="63"/>
      <x:c r="G306" s="63"/>
      <x:c r="H306" s="63"/>
      <x:c r="I306" s="63"/>
    </x:row>
    <x:row r="307" ht="30" customHeight="1">
      <x:c r="C307" s="64"/>
      <x:c r="D307" s="63"/>
      <x:c r="E307" s="63"/>
      <x:c r="F307" s="63"/>
      <x:c r="G307" s="63"/>
      <x:c r="H307" s="63"/>
      <x:c r="I307" s="63"/>
    </x:row>
    <x:row r="308" ht="30" customHeight="1">
      <x:c r="C308" s="64"/>
      <x:c r="D308" s="63"/>
      <x:c r="E308" s="63"/>
      <x:c r="F308" s="63"/>
      <x:c r="G308" s="63"/>
      <x:c r="H308" s="63"/>
      <x:c r="I308" s="63"/>
    </x:row>
    <x:row r="309" ht="30" customHeight="1">
      <x:c r="C309" s="64"/>
      <x:c r="D309" s="63"/>
      <x:c r="E309" s="63"/>
      <x:c r="F309" s="63"/>
      <x:c r="G309" s="63"/>
      <x:c r="H309" s="63"/>
      <x:c r="I309" s="63"/>
    </x:row>
    <x:row r="310" ht="30" customHeight="1">
      <x:c r="C310" s="64"/>
      <x:c r="D310" s="63"/>
      <x:c r="E310" s="63"/>
      <x:c r="F310" s="63"/>
      <x:c r="G310" s="63"/>
      <x:c r="H310" s="63"/>
      <x:c r="I310" s="63"/>
    </x:row>
    <x:row r="311" ht="30" customHeight="1">
      <x:c r="C311" s="64"/>
      <x:c r="D311" s="63"/>
      <x:c r="E311" s="63"/>
      <x:c r="F311" s="63"/>
      <x:c r="G311" s="63"/>
      <x:c r="H311" s="63"/>
      <x:c r="I311" s="63"/>
    </x:row>
    <x:row r="312" ht="30" customHeight="1">
      <x:c r="C312" s="64"/>
      <x:c r="D312" s="63"/>
      <x:c r="E312" s="63"/>
      <x:c r="F312" s="63"/>
      <x:c r="G312" s="63"/>
      <x:c r="H312" s="63"/>
      <x:c r="I312" s="63"/>
    </x:row>
    <x:row r="313" ht="30" customHeight="1">
      <x:c r="C313" s="64"/>
      <x:c r="D313" s="63"/>
      <x:c r="E313" s="63"/>
      <x:c r="F313" s="63"/>
      <x:c r="G313" s="63"/>
      <x:c r="H313" s="63"/>
      <x:c r="I313" s="63"/>
    </x:row>
    <x:row r="314" ht="30" customHeight="1">
      <x:c r="C314" s="64"/>
      <x:c r="D314" s="63"/>
      <x:c r="E314" s="63"/>
      <x:c r="F314" s="63"/>
      <x:c r="G314" s="63"/>
      <x:c r="H314" s="63"/>
      <x:c r="I314" s="63"/>
    </x:row>
    <x:row r="315" ht="30" customHeight="1">
      <x:c r="C315" s="64"/>
      <x:c r="D315" s="63"/>
      <x:c r="E315" s="63"/>
      <x:c r="F315" s="63"/>
      <x:c r="G315" s="63"/>
      <x:c r="H315" s="63"/>
      <x:c r="I315" s="63"/>
    </x:row>
    <x:row r="316" ht="30" customHeight="1">
      <x:c r="C316" s="64"/>
      <x:c r="D316" s="63"/>
      <x:c r="E316" s="63"/>
      <x:c r="F316" s="63"/>
      <x:c r="G316" s="63"/>
      <x:c r="H316" s="63"/>
      <x:c r="I316" s="63"/>
    </x:row>
    <x:row r="317" ht="30" customHeight="1">
      <x:c r="C317" s="64"/>
      <x:c r="D317" s="63"/>
      <x:c r="E317" s="63"/>
      <x:c r="F317" s="63"/>
      <x:c r="G317" s="63"/>
      <x:c r="H317" s="63"/>
      <x:c r="I317" s="63"/>
    </x:row>
    <x:row r="318" ht="30" customHeight="1">
      <x:c r="C318" s="64"/>
      <x:c r="D318" s="63"/>
      <x:c r="E318" s="63"/>
      <x:c r="F318" s="63"/>
      <x:c r="G318" s="63"/>
      <x:c r="H318" s="63"/>
      <x:c r="I318" s="63"/>
    </x:row>
    <x:row r="319" ht="30" customHeight="1">
      <x:c r="C319" s="64"/>
      <x:c r="D319" s="63"/>
      <x:c r="E319" s="63"/>
      <x:c r="F319" s="63"/>
      <x:c r="G319" s="63"/>
      <x:c r="H319" s="63"/>
      <x:c r="I319" s="63"/>
    </x:row>
    <x:row r="320" ht="30" customHeight="1">
      <x:c r="C320" s="64"/>
      <x:c r="D320" s="63"/>
      <x:c r="E320" s="63"/>
      <x:c r="F320" s="63"/>
      <x:c r="G320" s="63"/>
      <x:c r="H320" s="63"/>
      <x:c r="I320" s="63"/>
    </x:row>
    <x:row r="321" ht="30" customHeight="1">
      <x:c r="C321" s="64"/>
      <x:c r="D321" s="63"/>
      <x:c r="E321" s="63"/>
      <x:c r="F321" s="63"/>
      <x:c r="G321" s="63"/>
      <x:c r="H321" s="63"/>
      <x:c r="I321" s="63"/>
    </x:row>
    <x:row r="322" ht="30" customHeight="1">
      <x:c r="C322" s="64"/>
      <x:c r="D322" s="63"/>
      <x:c r="E322" s="63"/>
      <x:c r="F322" s="63"/>
      <x:c r="G322" s="63"/>
      <x:c r="H322" s="63"/>
      <x:c r="I322" s="63"/>
    </x:row>
    <x:row r="323" ht="30" customHeight="1">
      <x:c r="C323" s="64"/>
      <x:c r="D323" s="63"/>
      <x:c r="E323" s="63"/>
      <x:c r="F323" s="63"/>
      <x:c r="G323" s="63"/>
      <x:c r="H323" s="63"/>
      <x:c r="I323" s="63"/>
    </x:row>
    <x:row r="324" ht="30" customHeight="1">
      <x:c r="C324" s="64"/>
      <x:c r="D324" s="63"/>
      <x:c r="E324" s="63"/>
      <x:c r="F324" s="63"/>
      <x:c r="G324" s="63"/>
      <x:c r="H324" s="63"/>
      <x:c r="I324" s="63"/>
    </x:row>
    <x:row r="325" ht="30" customHeight="1">
      <x:c r="C325" s="64"/>
      <x:c r="D325" s="63"/>
      <x:c r="E325" s="63"/>
      <x:c r="F325" s="63"/>
      <x:c r="G325" s="63"/>
      <x:c r="H325" s="63"/>
      <x:c r="I325" s="63"/>
    </x:row>
    <x:row r="326" ht="30" customHeight="1">
      <x:c r="C326" s="64"/>
      <x:c r="D326" s="63"/>
      <x:c r="E326" s="63"/>
      <x:c r="F326" s="63"/>
      <x:c r="G326" s="63"/>
      <x:c r="H326" s="63"/>
      <x:c r="I326" s="63"/>
    </x:row>
    <x:row r="327" ht="30" customHeight="1">
      <x:c r="C327" s="64"/>
      <x:c r="D327" s="63"/>
      <x:c r="E327" s="63"/>
      <x:c r="F327" s="63"/>
      <x:c r="G327" s="63"/>
      <x:c r="H327" s="63"/>
      <x:c r="I327" s="63"/>
    </x:row>
    <x:row r="328" ht="30" customHeight="1">
      <x:c r="C328" s="64"/>
      <x:c r="D328" s="63"/>
      <x:c r="E328" s="63"/>
      <x:c r="F328" s="63"/>
      <x:c r="G328" s="63"/>
      <x:c r="H328" s="63"/>
      <x:c r="I328" s="63"/>
    </x:row>
    <x:row r="329" ht="30" customHeight="1">
      <x:c r="C329" s="64"/>
      <x:c r="D329" s="63"/>
      <x:c r="E329" s="63"/>
      <x:c r="F329" s="63"/>
      <x:c r="G329" s="63"/>
      <x:c r="H329" s="63"/>
      <x:c r="I329" s="63"/>
    </x:row>
    <x:row r="330" ht="30" customHeight="1">
      <x:c r="C330" s="64"/>
      <x:c r="D330" s="63"/>
      <x:c r="E330" s="63"/>
      <x:c r="F330" s="63"/>
      <x:c r="G330" s="63"/>
      <x:c r="H330" s="63"/>
      <x:c r="I330" s="63"/>
    </x:row>
    <x:row r="331" ht="30" customHeight="1">
      <x:c r="C331" s="64"/>
      <x:c r="D331" s="63"/>
      <x:c r="E331" s="63"/>
      <x:c r="F331" s="63"/>
      <x:c r="G331" s="63"/>
      <x:c r="H331" s="63"/>
      <x:c r="I331" s="63"/>
    </x:row>
    <x:row r="332" ht="30" customHeight="1">
      <x:c r="C332" s="64"/>
      <x:c r="D332" s="63"/>
      <x:c r="E332" s="63"/>
      <x:c r="F332" s="63"/>
      <x:c r="G332" s="63"/>
      <x:c r="H332" s="63"/>
      <x:c r="I332" s="63"/>
    </x:row>
    <x:row r="333" ht="30" customHeight="1">
      <x:c r="C333" s="64"/>
      <x:c r="D333" s="63"/>
      <x:c r="E333" s="63"/>
      <x:c r="F333" s="63"/>
      <x:c r="G333" s="63"/>
      <x:c r="H333" s="63"/>
      <x:c r="I333" s="63"/>
    </x:row>
    <x:row r="334" ht="30" customHeight="1">
      <x:c r="C334" s="64"/>
      <x:c r="D334" s="63"/>
      <x:c r="E334" s="63"/>
      <x:c r="F334" s="63"/>
      <x:c r="G334" s="63"/>
      <x:c r="H334" s="63"/>
      <x:c r="I334" s="63"/>
    </x:row>
    <x:row r="335" ht="30" customHeight="1">
      <x:c r="C335" s="64"/>
      <x:c r="D335" s="63"/>
      <x:c r="E335" s="63"/>
      <x:c r="F335" s="63"/>
      <x:c r="G335" s="63"/>
      <x:c r="H335" s="63"/>
      <x:c r="I335" s="63"/>
    </x:row>
    <x:row r="336" ht="30" customHeight="1">
      <x:c r="C336" s="64"/>
      <x:c r="D336" s="63"/>
      <x:c r="E336" s="63"/>
      <x:c r="F336" s="63"/>
      <x:c r="G336" s="63"/>
      <x:c r="H336" s="63"/>
      <x:c r="I336" s="63"/>
    </x:row>
    <x:row r="337" ht="30" customHeight="1">
      <x:c r="C337" s="64"/>
      <x:c r="D337" s="63"/>
      <x:c r="E337" s="63"/>
      <x:c r="F337" s="63"/>
      <x:c r="G337" s="63"/>
      <x:c r="H337" s="63"/>
      <x:c r="I337" s="63"/>
    </x:row>
    <x:row r="338" ht="30" customHeight="1">
      <x:c r="C338" s="64"/>
      <x:c r="D338" s="63"/>
      <x:c r="E338" s="63"/>
      <x:c r="F338" s="63"/>
      <x:c r="G338" s="63"/>
      <x:c r="H338" s="63"/>
      <x:c r="I338" s="63"/>
    </x:row>
    <x:row r="339" ht="30" customHeight="1">
      <x:c r="C339" s="64"/>
      <x:c r="D339" s="63"/>
      <x:c r="E339" s="63"/>
      <x:c r="F339" s="63"/>
      <x:c r="G339" s="63"/>
      <x:c r="H339" s="63"/>
      <x:c r="I339" s="63"/>
    </x:row>
    <x:row r="340" ht="30" customHeight="1">
      <x:c r="C340" s="64"/>
      <x:c r="D340" s="63"/>
      <x:c r="E340" s="63"/>
      <x:c r="F340" s="63"/>
      <x:c r="G340" s="63"/>
      <x:c r="H340" s="63"/>
      <x:c r="I340" s="63"/>
    </x:row>
    <x:row r="341" ht="30" customHeight="1">
      <x:c r="C341" s="64"/>
      <x:c r="D341" s="63"/>
      <x:c r="E341" s="63"/>
      <x:c r="F341" s="63"/>
      <x:c r="G341" s="63"/>
      <x:c r="H341" s="63"/>
      <x:c r="I341" s="63"/>
    </x:row>
    <x:row r="342" ht="30" customHeight="1">
      <x:c r="C342" s="64"/>
      <x:c r="D342" s="63"/>
      <x:c r="E342" s="63"/>
      <x:c r="F342" s="63"/>
      <x:c r="G342" s="63"/>
      <x:c r="H342" s="63"/>
      <x:c r="I342" s="63"/>
    </x:row>
    <x:row r="343" ht="30" customHeight="1">
      <x:c r="C343" s="64"/>
      <x:c r="D343" s="63"/>
      <x:c r="E343" s="63"/>
      <x:c r="F343" s="63"/>
      <x:c r="G343" s="63"/>
      <x:c r="H343" s="63"/>
      <x:c r="I343" s="63"/>
    </x:row>
    <x:row r="344" ht="30" customHeight="1">
      <x:c r="C344" s="64"/>
      <x:c r="D344" s="63"/>
      <x:c r="E344" s="63"/>
      <x:c r="F344" s="63"/>
      <x:c r="G344" s="63"/>
      <x:c r="H344" s="63"/>
      <x:c r="I344" s="63"/>
    </x:row>
    <x:row r="345" ht="30" customHeight="1">
      <x:c r="C345" s="64"/>
      <x:c r="D345" s="63"/>
      <x:c r="E345" s="63"/>
      <x:c r="F345" s="63"/>
      <x:c r="G345" s="63"/>
      <x:c r="H345" s="63"/>
      <x:c r="I345" s="63"/>
    </x:row>
    <x:row r="346" ht="30" customHeight="1">
      <x:c r="C346" s="64"/>
      <x:c r="D346" s="63"/>
      <x:c r="E346" s="63"/>
      <x:c r="F346" s="63"/>
      <x:c r="G346" s="63"/>
      <x:c r="H346" s="63"/>
      <x:c r="I346" s="63"/>
    </x:row>
    <x:row r="347" ht="30" customHeight="1">
      <x:c r="C347" s="64"/>
      <x:c r="D347" s="63"/>
      <x:c r="E347" s="63"/>
      <x:c r="F347" s="63"/>
      <x:c r="G347" s="63"/>
      <x:c r="H347" s="63"/>
      <x:c r="I347" s="63"/>
    </x:row>
    <x:row r="348" ht="30" customHeight="1">
      <x:c r="C348" s="64"/>
      <x:c r="D348" s="63"/>
      <x:c r="E348" s="63"/>
      <x:c r="F348" s="63"/>
      <x:c r="G348" s="63"/>
      <x:c r="H348" s="63"/>
      <x:c r="I348" s="63"/>
    </x:row>
    <x:row r="349" ht="30" customHeight="1">
      <x:c r="C349" s="64"/>
      <x:c r="D349" s="63"/>
      <x:c r="E349" s="63"/>
      <x:c r="F349" s="63"/>
      <x:c r="G349" s="63"/>
      <x:c r="H349" s="63"/>
      <x:c r="I349" s="63"/>
    </x:row>
    <x:row r="350" ht="30" customHeight="1">
      <x:c r="C350" s="64"/>
      <x:c r="D350" s="63"/>
      <x:c r="E350" s="63"/>
      <x:c r="F350" s="63"/>
      <x:c r="G350" s="63"/>
      <x:c r="H350" s="63"/>
      <x:c r="I350" s="63"/>
    </x:row>
    <x:row r="351" ht="30" customHeight="1">
      <x:c r="C351" s="64"/>
      <x:c r="D351" s="63"/>
      <x:c r="E351" s="63"/>
      <x:c r="F351" s="63"/>
      <x:c r="G351" s="63"/>
      <x:c r="H351" s="63"/>
      <x:c r="I351" s="63"/>
    </x:row>
    <x:row r="352" ht="30" customHeight="1">
      <x:c r="C352" s="64"/>
      <x:c r="D352" s="63"/>
      <x:c r="E352" s="63"/>
      <x:c r="F352" s="63"/>
      <x:c r="G352" s="63"/>
      <x:c r="H352" s="63"/>
      <x:c r="I352" s="63"/>
    </x:row>
    <x:row r="353" ht="30" customHeight="1">
      <x:c r="C353" s="64"/>
      <x:c r="D353" s="63"/>
      <x:c r="E353" s="63"/>
      <x:c r="F353" s="63"/>
      <x:c r="G353" s="63"/>
      <x:c r="H353" s="63"/>
      <x:c r="I353" s="63"/>
    </x:row>
    <x:row r="354" ht="30" customHeight="1">
      <x:c r="C354" s="64"/>
      <x:c r="D354" s="63"/>
      <x:c r="E354" s="63"/>
      <x:c r="F354" s="63"/>
      <x:c r="G354" s="63"/>
      <x:c r="H354" s="63"/>
      <x:c r="I354" s="63"/>
    </x:row>
    <x:row r="355" ht="30" customHeight="1">
      <x:c r="C355" s="64"/>
      <x:c r="D355" s="63"/>
      <x:c r="E355" s="63"/>
      <x:c r="F355" s="63"/>
      <x:c r="G355" s="63"/>
      <x:c r="H355" s="63"/>
      <x:c r="I355" s="63"/>
    </x:row>
    <x:row r="356" ht="30" customHeight="1">
      <x:c r="C356" s="64"/>
      <x:c r="D356" s="63"/>
      <x:c r="E356" s="63"/>
      <x:c r="F356" s="63"/>
      <x:c r="G356" s="63"/>
      <x:c r="H356" s="63"/>
      <x:c r="I356" s="63"/>
    </x:row>
    <x:row r="357" ht="30" customHeight="1">
      <x:c r="C357" s="64"/>
      <x:c r="D357" s="63"/>
      <x:c r="E357" s="63"/>
      <x:c r="F357" s="63"/>
      <x:c r="G357" s="63"/>
      <x:c r="H357" s="63"/>
      <x:c r="I357" s="63"/>
    </x:row>
    <x:row r="358" ht="30" customHeight="1">
      <x:c r="C358" s="64"/>
      <x:c r="D358" s="63"/>
      <x:c r="E358" s="63"/>
      <x:c r="F358" s="63"/>
      <x:c r="G358" s="63"/>
      <x:c r="H358" s="63"/>
      <x:c r="I358" s="63"/>
    </x:row>
    <x:row r="359" ht="30" customHeight="1">
      <x:c r="C359" s="64"/>
      <x:c r="D359" s="63"/>
      <x:c r="E359" s="63"/>
      <x:c r="F359" s="63"/>
      <x:c r="G359" s="63"/>
      <x:c r="H359" s="63"/>
      <x:c r="I359" s="63"/>
    </x:row>
    <x:row r="360" ht="30" customHeight="1">
      <x:c r="C360" s="64"/>
      <x:c r="D360" s="63"/>
      <x:c r="E360" s="63"/>
      <x:c r="F360" s="63"/>
      <x:c r="G360" s="63"/>
      <x:c r="H360" s="63"/>
      <x:c r="I360" s="63"/>
    </x:row>
    <x:row r="361" ht="30" customHeight="1">
      <x:c r="C361" s="64"/>
      <x:c r="D361" s="63"/>
      <x:c r="E361" s="63"/>
      <x:c r="F361" s="63"/>
      <x:c r="G361" s="63"/>
      <x:c r="H361" s="63"/>
      <x:c r="I361" s="63"/>
    </x:row>
    <x:row r="362" ht="30" customHeight="1">
      <x:c r="C362" s="64"/>
      <x:c r="D362" s="63"/>
      <x:c r="E362" s="63"/>
      <x:c r="F362" s="63"/>
      <x:c r="G362" s="63"/>
      <x:c r="H362" s="63"/>
      <x:c r="I362" s="63"/>
    </x:row>
    <x:row r="363" ht="30" customHeight="1">
      <x:c r="C363" s="64"/>
      <x:c r="D363" s="63"/>
      <x:c r="E363" s="63"/>
      <x:c r="F363" s="63"/>
      <x:c r="G363" s="63"/>
      <x:c r="H363" s="63"/>
      <x:c r="I363" s="63"/>
    </x:row>
    <x:row r="364" ht="30" customHeight="1">
      <x:c r="C364" s="64"/>
      <x:c r="D364" s="63"/>
      <x:c r="E364" s="63"/>
      <x:c r="F364" s="63"/>
      <x:c r="G364" s="63"/>
      <x:c r="H364" s="63"/>
      <x:c r="I364" s="63"/>
    </x:row>
    <x:row r="365" ht="30" customHeight="1">
      <x:c r="C365" s="64"/>
      <x:c r="D365" s="63"/>
      <x:c r="E365" s="63"/>
      <x:c r="F365" s="63"/>
      <x:c r="G365" s="63"/>
      <x:c r="H365" s="63"/>
      <x:c r="I365" s="63"/>
    </x:row>
    <x:row r="366" ht="30" customHeight="1">
      <x:c r="C366" s="64"/>
      <x:c r="D366" s="63"/>
      <x:c r="E366" s="63"/>
      <x:c r="F366" s="63"/>
      <x:c r="G366" s="63"/>
      <x:c r="H366" s="63"/>
      <x:c r="I366" s="63"/>
    </x:row>
    <x:row r="367" ht="30" customHeight="1">
      <x:c r="C367" s="64"/>
      <x:c r="D367" s="63"/>
      <x:c r="E367" s="63"/>
      <x:c r="F367" s="63"/>
      <x:c r="G367" s="63"/>
      <x:c r="H367" s="63"/>
      <x:c r="I367" s="63"/>
    </x:row>
    <x:row r="368" ht="30" customHeight="1">
      <x:c r="C368" s="64"/>
      <x:c r="D368" s="63"/>
      <x:c r="E368" s="63"/>
      <x:c r="F368" s="63"/>
      <x:c r="G368" s="63"/>
      <x:c r="H368" s="63"/>
      <x:c r="I368" s="63"/>
    </x:row>
    <x:row r="369" ht="30" customHeight="1">
      <x:c r="C369" s="64"/>
      <x:c r="D369" s="63"/>
      <x:c r="E369" s="63"/>
      <x:c r="F369" s="63"/>
      <x:c r="G369" s="63"/>
      <x:c r="H369" s="63"/>
      <x:c r="I369" s="63"/>
    </x:row>
    <x:row r="370" ht="30" customHeight="1">
      <x:c r="C370" s="64"/>
      <x:c r="D370" s="63"/>
      <x:c r="E370" s="63"/>
      <x:c r="F370" s="63"/>
      <x:c r="G370" s="63"/>
      <x:c r="H370" s="63"/>
      <x:c r="I370" s="63"/>
    </x:row>
    <x:row r="371" ht="30" customHeight="1">
      <x:c r="C371" s="64"/>
      <x:c r="D371" s="63"/>
      <x:c r="E371" s="63"/>
      <x:c r="F371" s="63"/>
      <x:c r="G371" s="63"/>
      <x:c r="H371" s="63"/>
      <x:c r="I371" s="63"/>
    </x:row>
    <x:row r="372" ht="30" customHeight="1">
      <x:c r="C372" s="64"/>
      <x:c r="D372" s="63"/>
      <x:c r="E372" s="63"/>
      <x:c r="F372" s="63"/>
      <x:c r="G372" s="63"/>
      <x:c r="H372" s="63"/>
      <x:c r="I372" s="63"/>
    </x:row>
    <x:row r="373" ht="30" customHeight="1">
      <x:c r="C373" s="64"/>
      <x:c r="D373" s="63"/>
      <x:c r="E373" s="63"/>
      <x:c r="F373" s="63"/>
      <x:c r="G373" s="63"/>
      <x:c r="H373" s="63"/>
      <x:c r="I373" s="63"/>
    </x:row>
    <x:row r="374" ht="30" customHeight="1">
      <x:c r="C374" s="64"/>
      <x:c r="D374" s="63"/>
      <x:c r="E374" s="63"/>
      <x:c r="F374" s="63"/>
      <x:c r="G374" s="63"/>
      <x:c r="H374" s="63"/>
      <x:c r="I374" s="63"/>
    </x:row>
    <x:row r="375" ht="30" customHeight="1">
      <x:c r="C375" s="64"/>
      <x:c r="D375" s="63"/>
      <x:c r="E375" s="63"/>
      <x:c r="F375" s="63"/>
      <x:c r="G375" s="63"/>
      <x:c r="H375" s="63"/>
      <x:c r="I375" s="63"/>
    </x:row>
    <x:row r="376" ht="30" customHeight="1">
      <x:c r="C376" s="64"/>
      <x:c r="D376" s="63"/>
      <x:c r="E376" s="63"/>
      <x:c r="F376" s="63"/>
      <x:c r="G376" s="63"/>
      <x:c r="H376" s="63"/>
      <x:c r="I376" s="63"/>
    </x:row>
    <x:row r="377" ht="30" customHeight="1">
      <x:c r="C377" s="64"/>
      <x:c r="D377" s="63"/>
      <x:c r="E377" s="63"/>
      <x:c r="F377" s="63"/>
      <x:c r="G377" s="63"/>
      <x:c r="H377" s="63"/>
      <x:c r="I377" s="63"/>
    </x:row>
    <x:row r="378" ht="30" customHeight="1">
      <x:c r="C378" s="64"/>
      <x:c r="D378" s="63"/>
      <x:c r="E378" s="63"/>
      <x:c r="F378" s="63"/>
      <x:c r="G378" s="63"/>
      <x:c r="H378" s="63"/>
      <x:c r="I378" s="63"/>
    </x:row>
    <x:row r="379" ht="30" customHeight="1">
      <x:c r="C379" s="64"/>
      <x:c r="D379" s="63"/>
      <x:c r="E379" s="63"/>
      <x:c r="F379" s="63"/>
      <x:c r="G379" s="63"/>
      <x:c r="H379" s="63"/>
      <x:c r="I379" s="63"/>
    </x:row>
    <x:row r="380" ht="30" customHeight="1">
      <x:c r="C380" s="64"/>
      <x:c r="D380" s="63"/>
      <x:c r="E380" s="63"/>
      <x:c r="F380" s="63"/>
      <x:c r="G380" s="63"/>
      <x:c r="H380" s="63"/>
      <x:c r="I380" s="63"/>
    </x:row>
    <x:row r="381" ht="30" customHeight="1">
      <x:c r="C381" s="64"/>
      <x:c r="D381" s="63"/>
      <x:c r="E381" s="63"/>
      <x:c r="F381" s="63"/>
      <x:c r="G381" s="63"/>
      <x:c r="H381" s="63"/>
      <x:c r="I381" s="63"/>
    </x:row>
    <x:row r="382" ht="30" customHeight="1">
      <x:c r="C382" s="64"/>
      <x:c r="D382" s="63"/>
      <x:c r="E382" s="63"/>
      <x:c r="F382" s="63"/>
      <x:c r="G382" s="63"/>
      <x:c r="H382" s="63"/>
      <x:c r="I382" s="63"/>
    </x:row>
    <x:row r="383" ht="30" customHeight="1">
      <x:c r="C383" s="64"/>
      <x:c r="D383" s="63"/>
      <x:c r="E383" s="63"/>
      <x:c r="F383" s="63"/>
      <x:c r="G383" s="63"/>
      <x:c r="H383" s="63"/>
      <x:c r="I383" s="63"/>
    </x:row>
    <x:row r="384" ht="30" customHeight="1">
      <x:c r="C384" s="64"/>
      <x:c r="D384" s="63"/>
      <x:c r="E384" s="63"/>
      <x:c r="F384" s="63"/>
      <x:c r="G384" s="63"/>
      <x:c r="H384" s="63"/>
      <x:c r="I384" s="63"/>
    </x:row>
    <x:row r="385" ht="30" customHeight="1">
      <x:c r="C385" s="64"/>
      <x:c r="D385" s="63"/>
      <x:c r="E385" s="63"/>
      <x:c r="F385" s="63"/>
      <x:c r="G385" s="63"/>
      <x:c r="H385" s="63"/>
      <x:c r="I385" s="63"/>
    </x:row>
    <x:row r="386" ht="30" customHeight="1">
      <x:c r="C386" s="64"/>
      <x:c r="D386" s="63"/>
      <x:c r="E386" s="63"/>
      <x:c r="F386" s="63"/>
      <x:c r="G386" s="63"/>
      <x:c r="H386" s="63"/>
      <x:c r="I386" s="63"/>
    </x:row>
    <x:row r="387" ht="30" customHeight="1">
      <x:c r="C387" s="64"/>
      <x:c r="D387" s="63"/>
      <x:c r="E387" s="63"/>
      <x:c r="F387" s="63"/>
      <x:c r="G387" s="63"/>
      <x:c r="H387" s="63"/>
      <x:c r="I387" s="63"/>
    </x:row>
    <x:row r="388" ht="30" customHeight="1">
      <x:c r="C388" s="64"/>
      <x:c r="D388" s="63"/>
      <x:c r="E388" s="63"/>
      <x:c r="F388" s="63"/>
      <x:c r="G388" s="63"/>
      <x:c r="H388" s="63"/>
      <x:c r="I388" s="63"/>
    </x:row>
    <x:row r="389" ht="30" customHeight="1">
      <x:c r="C389" s="64"/>
      <x:c r="D389" s="63"/>
      <x:c r="E389" s="63"/>
      <x:c r="F389" s="63"/>
      <x:c r="G389" s="63"/>
      <x:c r="H389" s="63"/>
      <x:c r="I389" s="63"/>
    </x:row>
    <x:row r="390" ht="30" customHeight="1">
      <x:c r="C390" s="64"/>
      <x:c r="D390" s="63"/>
      <x:c r="E390" s="63"/>
      <x:c r="F390" s="63"/>
      <x:c r="G390" s="63"/>
      <x:c r="H390" s="63"/>
      <x:c r="I390" s="63"/>
    </x:row>
    <x:row r="391" ht="30" customHeight="1">
      <x:c r="C391" s="64"/>
      <x:c r="D391" s="63"/>
      <x:c r="E391" s="63"/>
      <x:c r="F391" s="63"/>
      <x:c r="G391" s="63"/>
      <x:c r="H391" s="63"/>
      <x:c r="I391" s="63"/>
    </x:row>
    <x:row r="392" ht="30" customHeight="1">
      <x:c r="C392" s="64"/>
      <x:c r="D392" s="63"/>
      <x:c r="E392" s="63"/>
      <x:c r="F392" s="63"/>
      <x:c r="G392" s="63"/>
      <x:c r="H392" s="63"/>
      <x:c r="I392" s="63"/>
    </x:row>
    <x:row r="393" ht="30" customHeight="1">
      <x:c r="C393" s="64"/>
      <x:c r="D393" s="63"/>
      <x:c r="E393" s="63"/>
      <x:c r="F393" s="63"/>
      <x:c r="G393" s="63"/>
      <x:c r="H393" s="63"/>
      <x:c r="I393" s="63"/>
    </x:row>
    <x:row r="394" ht="30" customHeight="1">
      <x:c r="C394" s="64"/>
      <x:c r="D394" s="63"/>
      <x:c r="E394" s="63"/>
      <x:c r="F394" s="63"/>
      <x:c r="G394" s="63"/>
      <x:c r="H394" s="63"/>
      <x:c r="I394" s="63"/>
    </x:row>
    <x:row r="395" ht="30" customHeight="1">
      <x:c r="C395" s="64"/>
      <x:c r="D395" s="63"/>
      <x:c r="E395" s="63"/>
      <x:c r="F395" s="63"/>
      <x:c r="G395" s="63"/>
      <x:c r="H395" s="63"/>
      <x:c r="I395" s="63"/>
    </x:row>
    <x:row r="396" ht="30" customHeight="1">
      <x:c r="C396" s="64"/>
      <x:c r="D396" s="63"/>
      <x:c r="E396" s="63"/>
      <x:c r="F396" s="63"/>
      <x:c r="G396" s="63"/>
      <x:c r="H396" s="63"/>
      <x:c r="I396" s="63"/>
    </x:row>
    <x:row r="397" ht="30" customHeight="1">
      <x:c r="C397" s="64"/>
      <x:c r="D397" s="63"/>
      <x:c r="E397" s="63"/>
      <x:c r="F397" s="63"/>
      <x:c r="G397" s="63"/>
      <x:c r="H397" s="63"/>
      <x:c r="I397" s="63"/>
    </x:row>
    <x:row r="398" ht="25" customHeight="1">
      <x:c r="C398" s="68" t="str">
        <x:v>SCENARIO ASSUMPTIONS</x:v>
      </x:c>
      <x:c r="D398" s="82"/>
      <x:c r="E398" s="82"/>
      <x:c r="F398" s="82"/>
      <x:c r="G398" s="82"/>
      <x:c r="H398" s="82"/>
      <x:c r="I398" s="82"/>
    </x:row>
    <x:row r="399" ht="30" customHeight="1">
      <x:c r="C399" s="64"/>
      <x:c r="D399" s="63"/>
      <x:c r="E399" s="63"/>
      <x:c r="F399" s="63"/>
      <x:c r="G399" s="63"/>
      <x:c r="H399" s="63"/>
      <x:c r="I399" s="63"/>
    </x:row>
    <x:row r="400" ht="30" customHeight="1">
      <x:c r="C400" s="64" t="str">
        <x:v>Deposit growth — active</x:v>
      </x:c>
      <x:c r="D400" s="63"/>
      <x:c r="E400" s="83" t="n">
        <x:f>IF(COUNT(CHOOSE('Controls'!$E$5,E401,E402,E403))=1,CHOOSE('Controls'!$E$5,E401,E402,E403),NA())</x:f>
        <x:v>0.13</x:v>
      </x:c>
      <x:c r="F400" s="83" t="n">
        <x:f>IF(COUNT(CHOOSE('Controls'!$E$5,F401,F402,F403))=1,CHOOSE('Controls'!$E$5,F401,F402,F403),NA())</x:f>
        <x:v>0.13</x:v>
      </x:c>
      <x:c r="G400" s="83" t="n">
        <x:f>IF(COUNT(CHOOSE('Controls'!$E$5,G401,G402,G403))=1,CHOOSE('Controls'!$E$5,G401,G402,G403),NA())</x:f>
        <x:v>0.13</x:v>
      </x:c>
      <x:c r="H400" s="83" t="n">
        <x:f>IF(COUNT(CHOOSE('Controls'!$E$5,H401,H402,H403))=1,CHOOSE('Controls'!$E$5,H401,H402,H403),NA())</x:f>
        <x:v>0.13</x:v>
      </x:c>
      <x:c r="I400" s="83" t="n">
        <x:f>IF(COUNT(CHOOSE('Controls'!$E$5,I401,I402,I403))=1,CHOOSE('Controls'!$E$5,I401,I402,I403),NA())</x:f>
        <x:v>0.13</x:v>
      </x:c>
    </x:row>
    <x:row r="401" ht="30" customHeight="1">
      <x:c r="C401" s="64" t="str">
        <x:v>Base</x:v>
      </x:c>
      <x:c r="D401" s="63"/>
      <x:c r="E401" s="85" t="n">
        <x:v>0.13</x:v>
      </x:c>
      <x:c r="F401" s="85" t="n">
        <x:v>0.13</x:v>
      </x:c>
      <x:c r="G401" s="85" t="n">
        <x:v>0.13</x:v>
      </x:c>
      <x:c r="H401" s="85" t="n">
        <x:v>0.13</x:v>
      </x:c>
      <x:c r="I401" s="85" t="n">
        <x:v>0.13</x:v>
      </x:c>
    </x:row>
    <x:row r="402" ht="30" customHeight="1">
      <x:c r="C402" s="64" t="str">
        <x:v>Downside</x:v>
      </x:c>
      <x:c r="D402" s="63"/>
      <x:c r="E402" s="85" t="n">
        <x:v>0.13</x:v>
      </x:c>
      <x:c r="F402" s="85" t="n">
        <x:v>0.13</x:v>
      </x:c>
      <x:c r="G402" s="85" t="n">
        <x:v>0.13</x:v>
      </x:c>
      <x:c r="H402" s="85" t="n">
        <x:v>0.13</x:v>
      </x:c>
      <x:c r="I402" s="85" t="n">
        <x:v>0.13</x:v>
      </x:c>
    </x:row>
    <x:row r="403" ht="30" customHeight="1">
      <x:c r="C403" s="64" t="str">
        <x:v>Upside</x:v>
      </x:c>
      <x:c r="D403" s="63"/>
      <x:c r="E403" s="85" t="n">
        <x:v>0.13</x:v>
      </x:c>
      <x:c r="F403" s="85" t="n">
        <x:v>0.13</x:v>
      </x:c>
      <x:c r="G403" s="85" t="n">
        <x:v>0.13</x:v>
      </x:c>
      <x:c r="H403" s="85" t="n">
        <x:v>0.13</x:v>
      </x:c>
      <x:c r="I403" s="85" t="n">
        <x:v>0.13</x:v>
      </x:c>
    </x:row>
    <x:row r="404" ht="30" customHeight="1">
      <x:c r="C404" s="64"/>
      <x:c r="D404" s="63"/>
      <x:c r="E404" s="63"/>
      <x:c r="F404" s="63"/>
      <x:c r="G404" s="63"/>
      <x:c r="H404" s="63"/>
      <x:c r="I404" s="63"/>
    </x:row>
    <x:row r="405" ht="30" customHeight="1">
      <x:c r="C405" s="64" t="str">
        <x:v>Investment asset growth — active</x:v>
      </x:c>
      <x:c r="D405" s="63"/>
      <x:c r="E405" s="83" t="n">
        <x:f>IF(COUNT(CHOOSE('Controls'!$E$5,E406,E407,E408))=1,CHOOSE('Controls'!$E$5,E406,E407,E408),NA())</x:f>
        <x:v>0.08</x:v>
      </x:c>
      <x:c r="F405" s="83" t="n">
        <x:f>IF(COUNT(CHOOSE('Controls'!$E$5,F406,F407,F408))=1,CHOOSE('Controls'!$E$5,F406,F407,F408),NA())</x:f>
        <x:v>0.08</x:v>
      </x:c>
      <x:c r="G405" s="83" t="n">
        <x:f>IF(COUNT(CHOOSE('Controls'!$E$5,G406,G407,G408))=1,CHOOSE('Controls'!$E$5,G406,G407,G408),NA())</x:f>
        <x:v>0.08</x:v>
      </x:c>
      <x:c r="H405" s="83" t="n">
        <x:f>IF(COUNT(CHOOSE('Controls'!$E$5,H406,H407,H408))=1,CHOOSE('Controls'!$E$5,H406,H407,H408),NA())</x:f>
        <x:v>0.08</x:v>
      </x:c>
      <x:c r="I405" s="83" t="n">
        <x:f>IF(COUNT(CHOOSE('Controls'!$E$5,I406,I407,I408))=1,CHOOSE('Controls'!$E$5,I406,I407,I408),NA())</x:f>
        <x:v>0.08</x:v>
      </x:c>
    </x:row>
    <x:row r="406" ht="30" customHeight="1">
      <x:c r="C406" s="64" t="str">
        <x:v>Base</x:v>
      </x:c>
      <x:c r="D406" s="63"/>
      <x:c r="E406" s="85" t="n">
        <x:v>0.08</x:v>
      </x:c>
      <x:c r="F406" s="85" t="n">
        <x:v>0.08</x:v>
      </x:c>
      <x:c r="G406" s="85" t="n">
        <x:v>0.08</x:v>
      </x:c>
      <x:c r="H406" s="85" t="n">
        <x:v>0.08</x:v>
      </x:c>
      <x:c r="I406" s="85" t="n">
        <x:v>0.08</x:v>
      </x:c>
    </x:row>
    <x:row r="407" ht="30" customHeight="1">
      <x:c r="C407" s="64" t="str">
        <x:v>Downside</x:v>
      </x:c>
      <x:c r="D407" s="63"/>
      <x:c r="E407" s="85" t="n">
        <x:v>0.08</x:v>
      </x:c>
      <x:c r="F407" s="85" t="n">
        <x:v>0.08</x:v>
      </x:c>
      <x:c r="G407" s="85" t="n">
        <x:v>0.08</x:v>
      </x:c>
      <x:c r="H407" s="85" t="n">
        <x:v>0.08</x:v>
      </x:c>
      <x:c r="I407" s="85" t="n">
        <x:v>0.08</x:v>
      </x:c>
    </x:row>
    <x:row r="408" ht="30" customHeight="1">
      <x:c r="C408" s="64" t="str">
        <x:v>Upside</x:v>
      </x:c>
      <x:c r="D408" s="63"/>
      <x:c r="E408" s="85" t="n">
        <x:v>0.08</x:v>
      </x:c>
      <x:c r="F408" s="85" t="n">
        <x:v>0.08</x:v>
      </x:c>
      <x:c r="G408" s="85" t="n">
        <x:v>0.08</x:v>
      </x:c>
      <x:c r="H408" s="85" t="n">
        <x:v>0.08</x:v>
      </x:c>
      <x:c r="I408" s="85" t="n">
        <x:v>0.08</x:v>
      </x:c>
    </x:row>
    <x:row r="409" ht="30" customHeight="1">
      <x:c r="C409" s="64"/>
      <x:c r="D409" s="63"/>
      <x:c r="E409" s="63"/>
      <x:c r="F409" s="63"/>
      <x:c r="G409" s="63"/>
      <x:c r="H409" s="63"/>
      <x:c r="I409" s="63"/>
    </x:row>
    <x:row r="410" ht="30" customHeight="1">
      <x:c r="C410" s="64" t="str">
        <x:v>Gross-loan yield — active</x:v>
      </x:c>
      <x:c r="D410" s="63"/>
      <x:c r="E410" s="83" t="n">
        <x:f>IF(COUNT(CHOOSE('Controls'!$E$5,E411,E412,E413))=1,CHOOSE('Controls'!$E$5,E411,E412,E413),NA())</x:f>
        <x:v>0.1</x:v>
      </x:c>
      <x:c r="F410" s="83" t="n">
        <x:f>IF(COUNT(CHOOSE('Controls'!$E$5,F411,F412,F413))=1,CHOOSE('Controls'!$E$5,F411,F412,F413),NA())</x:f>
        <x:v>0.1</x:v>
      </x:c>
      <x:c r="G410" s="83" t="n">
        <x:f>IF(COUNT(CHOOSE('Controls'!$E$5,G411,G412,G413))=1,CHOOSE('Controls'!$E$5,G411,G412,G413),NA())</x:f>
        <x:v>0.1</x:v>
      </x:c>
      <x:c r="H410" s="83" t="n">
        <x:f>IF(COUNT(CHOOSE('Controls'!$E$5,H411,H412,H413))=1,CHOOSE('Controls'!$E$5,H411,H412,H413),NA())</x:f>
        <x:v>0.1</x:v>
      </x:c>
      <x:c r="I410" s="83" t="n">
        <x:f>IF(COUNT(CHOOSE('Controls'!$E$5,I411,I412,I413))=1,CHOOSE('Controls'!$E$5,I411,I412,I413),NA())</x:f>
        <x:v>0.1</x:v>
      </x:c>
    </x:row>
    <x:row r="411" ht="30" customHeight="1">
      <x:c r="C411" s="64" t="str">
        <x:v>Base</x:v>
      </x:c>
      <x:c r="D411" s="63"/>
      <x:c r="E411" s="85" t="n">
        <x:v>0.1</x:v>
      </x:c>
      <x:c r="F411" s="85" t="n">
        <x:v>0.1</x:v>
      </x:c>
      <x:c r="G411" s="85" t="n">
        <x:v>0.1</x:v>
      </x:c>
      <x:c r="H411" s="85" t="n">
        <x:v>0.1</x:v>
      </x:c>
      <x:c r="I411" s="85" t="n">
        <x:v>0.1</x:v>
      </x:c>
    </x:row>
    <x:row r="412" ht="30" customHeight="1">
      <x:c r="C412" s="64" t="str">
        <x:v>Downside</x:v>
      </x:c>
      <x:c r="D412" s="63"/>
      <x:c r="E412" s="85" t="n">
        <x:v>0.1</x:v>
      </x:c>
      <x:c r="F412" s="85" t="n">
        <x:v>0.1</x:v>
      </x:c>
      <x:c r="G412" s="85" t="n">
        <x:v>0.1</x:v>
      </x:c>
      <x:c r="H412" s="85" t="n">
        <x:v>0.1</x:v>
      </x:c>
      <x:c r="I412" s="85" t="n">
        <x:v>0.1</x:v>
      </x:c>
    </x:row>
    <x:row r="413" ht="30" customHeight="1">
      <x:c r="C413" s="64" t="str">
        <x:v>Upside</x:v>
      </x:c>
      <x:c r="D413" s="63"/>
      <x:c r="E413" s="85" t="n">
        <x:v>0.1</x:v>
      </x:c>
      <x:c r="F413" s="85" t="n">
        <x:v>0.1</x:v>
      </x:c>
      <x:c r="G413" s="85" t="n">
        <x:v>0.1</x:v>
      </x:c>
      <x:c r="H413" s="85" t="n">
        <x:v>0.1</x:v>
      </x:c>
      <x:c r="I413" s="85" t="n">
        <x:v>0.1</x:v>
      </x:c>
    </x:row>
    <x:row r="414" ht="30" customHeight="1">
      <x:c r="C414" s="64"/>
      <x:c r="D414" s="63"/>
      <x:c r="E414" s="63"/>
      <x:c r="F414" s="63"/>
      <x:c r="G414" s="63"/>
      <x:c r="H414" s="63"/>
      <x:c r="I414" s="63"/>
    </x:row>
    <x:row r="415" ht="30" customHeight="1">
      <x:c r="C415" s="64" t="str">
        <x:v>Deposit cost — active</x:v>
      </x:c>
      <x:c r="D415" s="63"/>
      <x:c r="E415" s="83" t="n">
        <x:f>IF(COUNT(CHOOSE('Controls'!$E$5,E416,E417,E418))=1,CHOOSE('Controls'!$E$5,E416,E417,E418),NA())</x:f>
        <x:v>0.055</x:v>
      </x:c>
      <x:c r="F415" s="83" t="n">
        <x:f>IF(COUNT(CHOOSE('Controls'!$E$5,F416,F417,F418))=1,CHOOSE('Controls'!$E$5,F416,F417,F418),NA())</x:f>
        <x:v>0.055</x:v>
      </x:c>
      <x:c r="G415" s="83" t="n">
        <x:f>IF(COUNT(CHOOSE('Controls'!$E$5,G416,G417,G418))=1,CHOOSE('Controls'!$E$5,G416,G417,G418),NA())</x:f>
        <x:v>0.055</x:v>
      </x:c>
      <x:c r="H415" s="83" t="n">
        <x:f>IF(COUNT(CHOOSE('Controls'!$E$5,H416,H417,H418))=1,CHOOSE('Controls'!$E$5,H416,H417,H418),NA())</x:f>
        <x:v>0.055</x:v>
      </x:c>
      <x:c r="I415" s="83" t="n">
        <x:f>IF(COUNT(CHOOSE('Controls'!$E$5,I416,I417,I418))=1,CHOOSE('Controls'!$E$5,I416,I417,I418),NA())</x:f>
        <x:v>0.055</x:v>
      </x:c>
    </x:row>
    <x:row r="416" ht="30" customHeight="1">
      <x:c r="C416" s="64" t="str">
        <x:v>Base</x:v>
      </x:c>
      <x:c r="D416" s="63"/>
      <x:c r="E416" s="85" t="n">
        <x:v>0.055</x:v>
      </x:c>
      <x:c r="F416" s="85" t="n">
        <x:v>0.055</x:v>
      </x:c>
      <x:c r="G416" s="85" t="n">
        <x:v>0.055</x:v>
      </x:c>
      <x:c r="H416" s="85" t="n">
        <x:v>0.055</x:v>
      </x:c>
      <x:c r="I416" s="85" t="n">
        <x:v>0.055</x:v>
      </x:c>
    </x:row>
    <x:row r="417" ht="30" customHeight="1">
      <x:c r="C417" s="64" t="str">
        <x:v>Downside</x:v>
      </x:c>
      <x:c r="D417" s="63"/>
      <x:c r="E417" s="85" t="n">
        <x:v>0.055</x:v>
      </x:c>
      <x:c r="F417" s="85" t="n">
        <x:v>0.055</x:v>
      </x:c>
      <x:c r="G417" s="85" t="n">
        <x:v>0.055</x:v>
      </x:c>
      <x:c r="H417" s="85" t="n">
        <x:v>0.055</x:v>
      </x:c>
      <x:c r="I417" s="85" t="n">
        <x:v>0.055</x:v>
      </x:c>
    </x:row>
    <x:row r="418" ht="30" customHeight="1">
      <x:c r="C418" s="64" t="str">
        <x:v>Upside</x:v>
      </x:c>
      <x:c r="D418" s="63"/>
      <x:c r="E418" s="85" t="n">
        <x:v>0.055</x:v>
      </x:c>
      <x:c r="F418" s="85" t="n">
        <x:v>0.055</x:v>
      </x:c>
      <x:c r="G418" s="85" t="n">
        <x:v>0.055</x:v>
      </x:c>
      <x:c r="H418" s="85" t="n">
        <x:v>0.055</x:v>
      </x:c>
      <x:c r="I418" s="85" t="n">
        <x:v>0.055</x:v>
      </x:c>
    </x:row>
    <x:row r="419" ht="30" customHeight="1">
      <x:c r="C419" s="64"/>
      <x:c r="D419" s="63"/>
      <x:c r="E419" s="63"/>
      <x:c r="F419" s="63"/>
      <x:c r="G419" s="63"/>
      <x:c r="H419" s="63"/>
      <x:c r="I419" s="63"/>
    </x:row>
    <x:row r="420" ht="30" customHeight="1">
      <x:c r="C420" s="64" t="str">
        <x:v>Investment yield — active</x:v>
      </x:c>
      <x:c r="D420" s="63"/>
      <x:c r="E420" s="83" t="n">
        <x:f>IF(COUNT(CHOOSE('Controls'!$E$5,E421,E422,E423))=1,CHOOSE('Controls'!$E$5,E421,E422,E423),NA())</x:f>
        <x:v>0.065</x:v>
      </x:c>
      <x:c r="F420" s="83" t="n">
        <x:f>IF(COUNT(CHOOSE('Controls'!$E$5,F421,F422,F423))=1,CHOOSE('Controls'!$E$5,F421,F422,F423),NA())</x:f>
        <x:v>0.065</x:v>
      </x:c>
      <x:c r="G420" s="83" t="n">
        <x:f>IF(COUNT(CHOOSE('Controls'!$E$5,G421,G422,G423))=1,CHOOSE('Controls'!$E$5,G421,G422,G423),NA())</x:f>
        <x:v>0.065</x:v>
      </x:c>
      <x:c r="H420" s="83" t="n">
        <x:f>IF(COUNT(CHOOSE('Controls'!$E$5,H421,H422,H423))=1,CHOOSE('Controls'!$E$5,H421,H422,H423),NA())</x:f>
        <x:v>0.065</x:v>
      </x:c>
      <x:c r="I420" s="83" t="n">
        <x:f>IF(COUNT(CHOOSE('Controls'!$E$5,I421,I422,I423))=1,CHOOSE('Controls'!$E$5,I421,I422,I423),NA())</x:f>
        <x:v>0.065</x:v>
      </x:c>
    </x:row>
    <x:row r="421" ht="30" customHeight="1">
      <x:c r="C421" s="64" t="str">
        <x:v>Base</x:v>
      </x:c>
      <x:c r="D421" s="63"/>
      <x:c r="E421" s="85" t="n">
        <x:v>0.065</x:v>
      </x:c>
      <x:c r="F421" s="85" t="n">
        <x:v>0.065</x:v>
      </x:c>
      <x:c r="G421" s="85" t="n">
        <x:v>0.065</x:v>
      </x:c>
      <x:c r="H421" s="85" t="n">
        <x:v>0.065</x:v>
      </x:c>
      <x:c r="I421" s="85" t="n">
        <x:v>0.065</x:v>
      </x:c>
    </x:row>
    <x:row r="422" ht="30" customHeight="1">
      <x:c r="C422" s="64" t="str">
        <x:v>Downside</x:v>
      </x:c>
      <x:c r="D422" s="63"/>
      <x:c r="E422" s="85" t="n">
        <x:v>0.065</x:v>
      </x:c>
      <x:c r="F422" s="85" t="n">
        <x:v>0.065</x:v>
      </x:c>
      <x:c r="G422" s="85" t="n">
        <x:v>0.065</x:v>
      </x:c>
      <x:c r="H422" s="85" t="n">
        <x:v>0.065</x:v>
      </x:c>
      <x:c r="I422" s="85" t="n">
        <x:v>0.065</x:v>
      </x:c>
    </x:row>
    <x:row r="423" ht="30" customHeight="1">
      <x:c r="C423" s="64" t="str">
        <x:v>Upside</x:v>
      </x:c>
      <x:c r="D423" s="63"/>
      <x:c r="E423" s="85" t="n">
        <x:v>0.065</x:v>
      </x:c>
      <x:c r="F423" s="85" t="n">
        <x:v>0.065</x:v>
      </x:c>
      <x:c r="G423" s="85" t="n">
        <x:v>0.065</x:v>
      </x:c>
      <x:c r="H423" s="85" t="n">
        <x:v>0.065</x:v>
      </x:c>
      <x:c r="I423" s="85" t="n">
        <x:v>0.065</x:v>
      </x:c>
    </x:row>
    <x:row r="424" ht="30" customHeight="1">
      <x:c r="C424" s="64"/>
      <x:c r="D424" s="63"/>
      <x:c r="E424" s="63"/>
      <x:c r="F424" s="63"/>
      <x:c r="G424" s="63"/>
      <x:c r="H424" s="63"/>
      <x:c r="I424" s="63"/>
    </x:row>
    <x:row r="425" ht="30" customHeight="1">
      <x:c r="C425" s="64" t="str">
        <x:v>Fee income / average gross loans — active</x:v>
      </x:c>
      <x:c r="D425" s="63"/>
      <x:c r="E425" s="83" t="n">
        <x:f>IF(COUNT(CHOOSE('Controls'!$E$5,E426,E427,E428))=1,CHOOSE('Controls'!$E$5,E426,E427,E428),NA())</x:f>
        <x:v>0.012</x:v>
      </x:c>
      <x:c r="F425" s="83" t="n">
        <x:f>IF(COUNT(CHOOSE('Controls'!$E$5,F426,F427,F428))=1,CHOOSE('Controls'!$E$5,F426,F427,F428),NA())</x:f>
        <x:v>0.012</x:v>
      </x:c>
      <x:c r="G425" s="83" t="n">
        <x:f>IF(COUNT(CHOOSE('Controls'!$E$5,G426,G427,G428))=1,CHOOSE('Controls'!$E$5,G426,G427,G428),NA())</x:f>
        <x:v>0.012</x:v>
      </x:c>
      <x:c r="H425" s="83" t="n">
        <x:f>IF(COUNT(CHOOSE('Controls'!$E$5,H426,H427,H428))=1,CHOOSE('Controls'!$E$5,H426,H427,H428),NA())</x:f>
        <x:v>0.012</x:v>
      </x:c>
      <x:c r="I425" s="83" t="n">
        <x:f>IF(COUNT(CHOOSE('Controls'!$E$5,I426,I427,I428))=1,CHOOSE('Controls'!$E$5,I426,I427,I428),NA())</x:f>
        <x:v>0.012</x:v>
      </x:c>
    </x:row>
    <x:row r="426" ht="30" customHeight="1">
      <x:c r="C426" s="64" t="str">
        <x:v>Base</x:v>
      </x:c>
      <x:c r="D426" s="63"/>
      <x:c r="E426" s="85" t="n">
        <x:v>0.012</x:v>
      </x:c>
      <x:c r="F426" s="85" t="n">
        <x:v>0.012</x:v>
      </x:c>
      <x:c r="G426" s="85" t="n">
        <x:v>0.012</x:v>
      </x:c>
      <x:c r="H426" s="85" t="n">
        <x:v>0.012</x:v>
      </x:c>
      <x:c r="I426" s="85" t="n">
        <x:v>0.012</x:v>
      </x:c>
    </x:row>
    <x:row r="427" ht="30" customHeight="1">
      <x:c r="C427" s="64" t="str">
        <x:v>Downside</x:v>
      </x:c>
      <x:c r="D427" s="63"/>
      <x:c r="E427" s="85" t="n">
        <x:v>0.012</x:v>
      </x:c>
      <x:c r="F427" s="85" t="n">
        <x:v>0.012</x:v>
      </x:c>
      <x:c r="G427" s="85" t="n">
        <x:v>0.012</x:v>
      </x:c>
      <x:c r="H427" s="85" t="n">
        <x:v>0.012</x:v>
      </x:c>
      <x:c r="I427" s="85" t="n">
        <x:v>0.012</x:v>
      </x:c>
    </x:row>
    <x:row r="428" ht="30" customHeight="1">
      <x:c r="C428" s="64" t="str">
        <x:v>Upside</x:v>
      </x:c>
      <x:c r="D428" s="63"/>
      <x:c r="E428" s="85" t="n">
        <x:v>0.012</x:v>
      </x:c>
      <x:c r="F428" s="85" t="n">
        <x:v>0.012</x:v>
      </x:c>
      <x:c r="G428" s="85" t="n">
        <x:v>0.012</x:v>
      </x:c>
      <x:c r="H428" s="85" t="n">
        <x:v>0.012</x:v>
      </x:c>
      <x:c r="I428" s="85" t="n">
        <x:v>0.012</x:v>
      </x:c>
    </x:row>
    <x:row r="429" ht="30" customHeight="1">
      <x:c r="C429" s="64"/>
      <x:c r="D429" s="63"/>
      <x:c r="E429" s="63"/>
      <x:c r="F429" s="63"/>
      <x:c r="G429" s="63"/>
      <x:c r="H429" s="63"/>
      <x:c r="I429" s="63"/>
    </x:row>
    <x:row r="430" ht="30" customHeight="1">
      <x:c r="C430" s="64" t="str">
        <x:v>Operating cost / net operating income — active</x:v>
      </x:c>
      <x:c r="D430" s="63"/>
      <x:c r="E430" s="83" t="n">
        <x:f>IF(COUNT(CHOOSE('Controls'!$E$5,E431,E432,E433))=1,CHOOSE('Controls'!$E$5,E431,E432,E433),NA())</x:f>
        <x:v>0.43</x:v>
      </x:c>
      <x:c r="F430" s="83" t="n">
        <x:f>IF(COUNT(CHOOSE('Controls'!$E$5,F431,F432,F433))=1,CHOOSE('Controls'!$E$5,F431,F432,F433),NA())</x:f>
        <x:v>0.43</x:v>
      </x:c>
      <x:c r="G430" s="83" t="n">
        <x:f>IF(COUNT(CHOOSE('Controls'!$E$5,G431,G432,G433))=1,CHOOSE('Controls'!$E$5,G431,G432,G433),NA())</x:f>
        <x:v>0.43</x:v>
      </x:c>
      <x:c r="H430" s="83" t="n">
        <x:f>IF(COUNT(CHOOSE('Controls'!$E$5,H431,H432,H433))=1,CHOOSE('Controls'!$E$5,H431,H432,H433),NA())</x:f>
        <x:v>0.43</x:v>
      </x:c>
      <x:c r="I430" s="83" t="n">
        <x:f>IF(COUNT(CHOOSE('Controls'!$E$5,I431,I432,I433))=1,CHOOSE('Controls'!$E$5,I431,I432,I433),NA())</x:f>
        <x:v>0.43</x:v>
      </x:c>
    </x:row>
    <x:row r="431" ht="30" customHeight="1">
      <x:c r="C431" s="64" t="str">
        <x:v>Base</x:v>
      </x:c>
      <x:c r="D431" s="63"/>
      <x:c r="E431" s="85" t="n">
        <x:v>0.43</x:v>
      </x:c>
      <x:c r="F431" s="85" t="n">
        <x:v>0.43</x:v>
      </x:c>
      <x:c r="G431" s="85" t="n">
        <x:v>0.43</x:v>
      </x:c>
      <x:c r="H431" s="85" t="n">
        <x:v>0.43</x:v>
      </x:c>
      <x:c r="I431" s="85" t="n">
        <x:v>0.43</x:v>
      </x:c>
    </x:row>
    <x:row r="432" ht="30" customHeight="1">
      <x:c r="C432" s="64" t="str">
        <x:v>Downside</x:v>
      </x:c>
      <x:c r="D432" s="63"/>
      <x:c r="E432" s="85" t="n">
        <x:v>0.43</x:v>
      </x:c>
      <x:c r="F432" s="85" t="n">
        <x:v>0.43</x:v>
      </x:c>
      <x:c r="G432" s="85" t="n">
        <x:v>0.43</x:v>
      </x:c>
      <x:c r="H432" s="85" t="n">
        <x:v>0.43</x:v>
      </x:c>
      <x:c r="I432" s="85" t="n">
        <x:v>0.43</x:v>
      </x:c>
    </x:row>
    <x:row r="433" ht="30" customHeight="1">
      <x:c r="C433" s="64" t="str">
        <x:v>Upside</x:v>
      </x:c>
      <x:c r="D433" s="63"/>
      <x:c r="E433" s="85" t="n">
        <x:v>0.43</x:v>
      </x:c>
      <x:c r="F433" s="85" t="n">
        <x:v>0.43</x:v>
      </x:c>
      <x:c r="G433" s="85" t="n">
        <x:v>0.43</x:v>
      </x:c>
      <x:c r="H433" s="85" t="n">
        <x:v>0.43</x:v>
      </x:c>
      <x:c r="I433" s="85" t="n">
        <x:v>0.43</x:v>
      </x:c>
    </x:row>
    <x:row r="434" ht="30" customHeight="1">
      <x:c r="C434" s="64"/>
      <x:c r="D434" s="63"/>
      <x:c r="E434" s="63"/>
      <x:c r="F434" s="63"/>
      <x:c r="G434" s="63"/>
      <x:c r="H434" s="63"/>
      <x:c r="I434" s="63"/>
    </x:row>
    <x:row r="435" ht="30" customHeight="1">
      <x:c r="C435" s="64" t="str">
        <x:v>NPA slippages / opening gross loans — active</x:v>
      </x:c>
      <x:c r="D435" s="63"/>
      <x:c r="E435" s="83" t="n">
        <x:f>IF(COUNT(CHOOSE('Controls'!$E$5,E436,E437,E438))=1,CHOOSE('Controls'!$E$5,E436,E437,E438),NA())</x:f>
        <x:v>0.025</x:v>
      </x:c>
      <x:c r="F435" s="83" t="n">
        <x:f>IF(COUNT(CHOOSE('Controls'!$E$5,F436,F437,F438))=1,CHOOSE('Controls'!$E$5,F436,F437,F438),NA())</x:f>
        <x:v>0.025</x:v>
      </x:c>
      <x:c r="G435" s="83" t="n">
        <x:f>IF(COUNT(CHOOSE('Controls'!$E$5,G436,G437,G438))=1,CHOOSE('Controls'!$E$5,G436,G437,G438),NA())</x:f>
        <x:v>0.025</x:v>
      </x:c>
      <x:c r="H435" s="83" t="n">
        <x:f>IF(COUNT(CHOOSE('Controls'!$E$5,H436,H437,H438))=1,CHOOSE('Controls'!$E$5,H436,H437,H438),NA())</x:f>
        <x:v>0.025</x:v>
      </x:c>
      <x:c r="I435" s="83" t="n">
        <x:f>IF(COUNT(CHOOSE('Controls'!$E$5,I436,I437,I438))=1,CHOOSE('Controls'!$E$5,I436,I437,I438),NA())</x:f>
        <x:v>0.025</x:v>
      </x:c>
    </x:row>
    <x:row r="436" ht="30" customHeight="1">
      <x:c r="C436" s="64" t="str">
        <x:v>Base</x:v>
      </x:c>
      <x:c r="D436" s="63"/>
      <x:c r="E436" s="85" t="n">
        <x:v>0.025</x:v>
      </x:c>
      <x:c r="F436" s="85" t="n">
        <x:v>0.025</x:v>
      </x:c>
      <x:c r="G436" s="85" t="n">
        <x:v>0.025</x:v>
      </x:c>
      <x:c r="H436" s="85" t="n">
        <x:v>0.025</x:v>
      </x:c>
      <x:c r="I436" s="85" t="n">
        <x:v>0.025</x:v>
      </x:c>
    </x:row>
    <x:row r="437" ht="30" customHeight="1">
      <x:c r="C437" s="64" t="str">
        <x:v>Downside</x:v>
      </x:c>
      <x:c r="D437" s="63"/>
      <x:c r="E437" s="85" t="n">
        <x:v>0.025</x:v>
      </x:c>
      <x:c r="F437" s="85" t="n">
        <x:v>0.025</x:v>
      </x:c>
      <x:c r="G437" s="85" t="n">
        <x:v>0.025</x:v>
      </x:c>
      <x:c r="H437" s="85" t="n">
        <x:v>0.025</x:v>
      </x:c>
      <x:c r="I437" s="85" t="n">
        <x:v>0.025</x:v>
      </x:c>
    </x:row>
    <x:row r="438" ht="30" customHeight="1">
      <x:c r="C438" s="64" t="str">
        <x:v>Upside</x:v>
      </x:c>
      <x:c r="D438" s="63"/>
      <x:c r="E438" s="85" t="n">
        <x:v>0.025</x:v>
      </x:c>
      <x:c r="F438" s="85" t="n">
        <x:v>0.025</x:v>
      </x:c>
      <x:c r="G438" s="85" t="n">
        <x:v>0.025</x:v>
      </x:c>
      <x:c r="H438" s="85" t="n">
        <x:v>0.025</x:v>
      </x:c>
      <x:c r="I438" s="85" t="n">
        <x:v>0.025</x:v>
      </x:c>
    </x:row>
    <x:row r="439" ht="30" customHeight="1">
      <x:c r="C439" s="64"/>
      <x:c r="D439" s="63"/>
      <x:c r="E439" s="63"/>
      <x:c r="F439" s="63"/>
      <x:c r="G439" s="63"/>
      <x:c r="H439" s="63"/>
      <x:c r="I439" s="63"/>
    </x:row>
    <x:row r="440" ht="30" customHeight="1">
      <x:c r="C440" s="64" t="str">
        <x:v>NPA recovery / opening gross NPA — active</x:v>
      </x:c>
      <x:c r="D440" s="63"/>
      <x:c r="E440" s="83" t="n">
        <x:f>IF(COUNT(CHOOSE('Controls'!$E$5,E441,E442,E443))=1,CHOOSE('Controls'!$E$5,E441,E442,E443),NA())</x:f>
        <x:v>0.2</x:v>
      </x:c>
      <x:c r="F440" s="83" t="n">
        <x:f>IF(COUNT(CHOOSE('Controls'!$E$5,F441,F442,F443))=1,CHOOSE('Controls'!$E$5,F441,F442,F443),NA())</x:f>
        <x:v>0.2</x:v>
      </x:c>
      <x:c r="G440" s="83" t="n">
        <x:f>IF(COUNT(CHOOSE('Controls'!$E$5,G441,G442,G443))=1,CHOOSE('Controls'!$E$5,G441,G442,G443),NA())</x:f>
        <x:v>0.2</x:v>
      </x:c>
      <x:c r="H440" s="83" t="n">
        <x:f>IF(COUNT(CHOOSE('Controls'!$E$5,H441,H442,H443))=1,CHOOSE('Controls'!$E$5,H441,H442,H443),NA())</x:f>
        <x:v>0.2</x:v>
      </x:c>
      <x:c r="I440" s="83" t="n">
        <x:f>IF(COUNT(CHOOSE('Controls'!$E$5,I441,I442,I443))=1,CHOOSE('Controls'!$E$5,I441,I442,I443),NA())</x:f>
        <x:v>0.2</x:v>
      </x:c>
    </x:row>
    <x:row r="441" ht="30" customHeight="1">
      <x:c r="C441" s="64" t="str">
        <x:v>Base</x:v>
      </x:c>
      <x:c r="D441" s="63"/>
      <x:c r="E441" s="85" t="n">
        <x:v>0.2</x:v>
      </x:c>
      <x:c r="F441" s="85" t="n">
        <x:v>0.2</x:v>
      </x:c>
      <x:c r="G441" s="85" t="n">
        <x:v>0.2</x:v>
      </x:c>
      <x:c r="H441" s="85" t="n">
        <x:v>0.2</x:v>
      </x:c>
      <x:c r="I441" s="85" t="n">
        <x:v>0.2</x:v>
      </x:c>
    </x:row>
    <x:row r="442" ht="30" customHeight="1">
      <x:c r="C442" s="64" t="str">
        <x:v>Downside</x:v>
      </x:c>
      <x:c r="D442" s="63"/>
      <x:c r="E442" s="85" t="n">
        <x:v>0.2</x:v>
      </x:c>
      <x:c r="F442" s="85" t="n">
        <x:v>0.2</x:v>
      </x:c>
      <x:c r="G442" s="85" t="n">
        <x:v>0.2</x:v>
      </x:c>
      <x:c r="H442" s="85" t="n">
        <x:v>0.2</x:v>
      </x:c>
      <x:c r="I442" s="85" t="n">
        <x:v>0.2</x:v>
      </x:c>
    </x:row>
    <x:row r="443" ht="30" customHeight="1">
      <x:c r="C443" s="64" t="str">
        <x:v>Upside</x:v>
      </x:c>
      <x:c r="D443" s="63"/>
      <x:c r="E443" s="85" t="n">
        <x:v>0.2</x:v>
      </x:c>
      <x:c r="F443" s="85" t="n">
        <x:v>0.2</x:v>
      </x:c>
      <x:c r="G443" s="85" t="n">
        <x:v>0.2</x:v>
      </x:c>
      <x:c r="H443" s="85" t="n">
        <x:v>0.2</x:v>
      </x:c>
      <x:c r="I443" s="85" t="n">
        <x:v>0.2</x:v>
      </x:c>
    </x:row>
    <x:row r="444" ht="30" customHeight="1">
      <x:c r="C444" s="64"/>
      <x:c r="D444" s="63"/>
      <x:c r="E444" s="63"/>
      <x:c r="F444" s="63"/>
      <x:c r="G444" s="63"/>
      <x:c r="H444" s="63"/>
      <x:c r="I444" s="63"/>
    </x:row>
    <x:row r="445" ht="30" customHeight="1">
      <x:c r="C445" s="64" t="str">
        <x:v>Write-offs / opening gross NPA — active</x:v>
      </x:c>
      <x:c r="D445" s="63"/>
      <x:c r="E445" s="83" t="n">
        <x:f>IF(COUNT(CHOOSE('Controls'!$E$5,E446,E447,E448))=1,CHOOSE('Controls'!$E$5,E446,E447,E448),NA())</x:f>
        <x:v>0.25</x:v>
      </x:c>
      <x:c r="F445" s="83" t="n">
        <x:f>IF(COUNT(CHOOSE('Controls'!$E$5,F446,F447,F448))=1,CHOOSE('Controls'!$E$5,F446,F447,F448),NA())</x:f>
        <x:v>0.25</x:v>
      </x:c>
      <x:c r="G445" s="83" t="n">
        <x:f>IF(COUNT(CHOOSE('Controls'!$E$5,G446,G447,G448))=1,CHOOSE('Controls'!$E$5,G446,G447,G448),NA())</x:f>
        <x:v>0.25</x:v>
      </x:c>
      <x:c r="H445" s="83" t="n">
        <x:f>IF(COUNT(CHOOSE('Controls'!$E$5,H446,H447,H448))=1,CHOOSE('Controls'!$E$5,H446,H447,H448),NA())</x:f>
        <x:v>0.25</x:v>
      </x:c>
      <x:c r="I445" s="83" t="n">
        <x:f>IF(COUNT(CHOOSE('Controls'!$E$5,I446,I447,I448))=1,CHOOSE('Controls'!$E$5,I446,I447,I448),NA())</x:f>
        <x:v>0.25</x:v>
      </x:c>
    </x:row>
    <x:row r="446" ht="30" customHeight="1">
      <x:c r="C446" s="64" t="str">
        <x:v>Base</x:v>
      </x:c>
      <x:c r="D446" s="63"/>
      <x:c r="E446" s="85" t="n">
        <x:v>0.25</x:v>
      </x:c>
      <x:c r="F446" s="85" t="n">
        <x:v>0.25</x:v>
      </x:c>
      <x:c r="G446" s="85" t="n">
        <x:v>0.25</x:v>
      </x:c>
      <x:c r="H446" s="85" t="n">
        <x:v>0.25</x:v>
      </x:c>
      <x:c r="I446" s="85" t="n">
        <x:v>0.25</x:v>
      </x:c>
    </x:row>
    <x:row r="447" ht="30" customHeight="1">
      <x:c r="C447" s="64" t="str">
        <x:v>Downside</x:v>
      </x:c>
      <x:c r="D447" s="63"/>
      <x:c r="E447" s="85" t="n">
        <x:v>0.25</x:v>
      </x:c>
      <x:c r="F447" s="85" t="n">
        <x:v>0.25</x:v>
      </x:c>
      <x:c r="G447" s="85" t="n">
        <x:v>0.25</x:v>
      </x:c>
      <x:c r="H447" s="85" t="n">
        <x:v>0.25</x:v>
      </x:c>
      <x:c r="I447" s="85" t="n">
        <x:v>0.25</x:v>
      </x:c>
    </x:row>
    <x:row r="448" ht="30" customHeight="1">
      <x:c r="C448" s="64" t="str">
        <x:v>Upside</x:v>
      </x:c>
      <x:c r="D448" s="63"/>
      <x:c r="E448" s="85" t="n">
        <x:v>0.25</x:v>
      </x:c>
      <x:c r="F448" s="85" t="n">
        <x:v>0.25</x:v>
      </x:c>
      <x:c r="G448" s="85" t="n">
        <x:v>0.25</x:v>
      </x:c>
      <x:c r="H448" s="85" t="n">
        <x:v>0.25</x:v>
      </x:c>
      <x:c r="I448" s="85" t="n">
        <x:v>0.25</x:v>
      </x:c>
    </x:row>
    <x:row r="449" ht="30" customHeight="1">
      <x:c r="C449" s="64"/>
      <x:c r="D449" s="63"/>
      <x:c r="E449" s="63"/>
      <x:c r="F449" s="63"/>
      <x:c r="G449" s="63"/>
      <x:c r="H449" s="63"/>
      <x:c r="I449" s="63"/>
    </x:row>
    <x:row r="450" ht="30" customHeight="1">
      <x:c r="C450" s="64" t="str">
        <x:v>Effective cash tax rate — active</x:v>
      </x:c>
      <x:c r="D450" s="63"/>
      <x:c r="E450" s="83" t="n">
        <x:f>IF(COUNT(CHOOSE('Controls'!$E$5,E451,E452,E453))=1,CHOOSE('Controls'!$E$5,E451,E452,E453),NA())</x:f>
        <x:v>0.25</x:v>
      </x:c>
      <x:c r="F450" s="83" t="n">
        <x:f>IF(COUNT(CHOOSE('Controls'!$E$5,F451,F452,F453))=1,CHOOSE('Controls'!$E$5,F451,F452,F453),NA())</x:f>
        <x:v>0.25</x:v>
      </x:c>
      <x:c r="G450" s="83" t="n">
        <x:f>IF(COUNT(CHOOSE('Controls'!$E$5,G451,G452,G453))=1,CHOOSE('Controls'!$E$5,G451,G452,G453),NA())</x:f>
        <x:v>0.25</x:v>
      </x:c>
      <x:c r="H450" s="83" t="n">
        <x:f>IF(COUNT(CHOOSE('Controls'!$E$5,H451,H452,H453))=1,CHOOSE('Controls'!$E$5,H451,H452,H453),NA())</x:f>
        <x:v>0.25</x:v>
      </x:c>
      <x:c r="I450" s="83" t="n">
        <x:f>IF(COUNT(CHOOSE('Controls'!$E$5,I451,I452,I453))=1,CHOOSE('Controls'!$E$5,I451,I452,I453),NA())</x:f>
        <x:v>0.25</x:v>
      </x:c>
    </x:row>
    <x:row r="451" ht="30" customHeight="1">
      <x:c r="C451" s="64" t="str">
        <x:v>Base</x:v>
      </x:c>
      <x:c r="D451" s="63"/>
      <x:c r="E451" s="85" t="n">
        <x:v>0.25</x:v>
      </x:c>
      <x:c r="F451" s="85" t="n">
        <x:v>0.25</x:v>
      </x:c>
      <x:c r="G451" s="85" t="n">
        <x:v>0.25</x:v>
      </x:c>
      <x:c r="H451" s="85" t="n">
        <x:v>0.25</x:v>
      </x:c>
      <x:c r="I451" s="85" t="n">
        <x:v>0.25</x:v>
      </x:c>
    </x:row>
    <x:row r="452" ht="30" customHeight="1">
      <x:c r="C452" s="64" t="str">
        <x:v>Downside</x:v>
      </x:c>
      <x:c r="D452" s="63"/>
      <x:c r="E452" s="85" t="n">
        <x:v>0.25</x:v>
      </x:c>
      <x:c r="F452" s="85" t="n">
        <x:v>0.25</x:v>
      </x:c>
      <x:c r="G452" s="85" t="n">
        <x:v>0.25</x:v>
      </x:c>
      <x:c r="H452" s="85" t="n">
        <x:v>0.25</x:v>
      </x:c>
      <x:c r="I452" s="85" t="n">
        <x:v>0.25</x:v>
      </x:c>
    </x:row>
    <x:row r="453" ht="30" customHeight="1">
      <x:c r="C453" s="64" t="str">
        <x:v>Upside</x:v>
      </x:c>
      <x:c r="D453" s="63"/>
      <x:c r="E453" s="85" t="n">
        <x:v>0.25</x:v>
      </x:c>
      <x:c r="F453" s="85" t="n">
        <x:v>0.25</x:v>
      </x:c>
      <x:c r="G453" s="85" t="n">
        <x:v>0.25</x:v>
      </x:c>
      <x:c r="H453" s="85" t="n">
        <x:v>0.25</x:v>
      </x:c>
      <x:c r="I453" s="85" t="n">
        <x:v>0.25</x:v>
      </x:c>
    </x:row>
    <x:row r="454" ht="30" customHeight="1">
      <x:c r="C454" s="64"/>
      <x:c r="D454" s="63"/>
      <x:c r="E454" s="63"/>
      <x:c r="F454" s="63"/>
      <x:c r="G454" s="63"/>
      <x:c r="H454" s="63"/>
      <x:c r="I454" s="63"/>
    </x:row>
    <x:row r="455" ht="30" customHeight="1">
      <x:c r="C455" s="64" t="str">
        <x:v>Dividend payout — active</x:v>
      </x:c>
      <x:c r="D455" s="63"/>
      <x:c r="E455" s="83" t="n">
        <x:f>IF(COUNT(CHOOSE('Controls'!$E$5,E456,E457,E458))=1,CHOOSE('Controls'!$E$5,E456,E457,E458),NA())</x:f>
        <x:v>0.2</x:v>
      </x:c>
      <x:c r="F455" s="83" t="n">
        <x:f>IF(COUNT(CHOOSE('Controls'!$E$5,F456,F457,F458))=1,CHOOSE('Controls'!$E$5,F456,F457,F458),NA())</x:f>
        <x:v>0.2</x:v>
      </x:c>
      <x:c r="G455" s="83" t="n">
        <x:f>IF(COUNT(CHOOSE('Controls'!$E$5,G456,G457,G458))=1,CHOOSE('Controls'!$E$5,G456,G457,G458),NA())</x:f>
        <x:v>0.2</x:v>
      </x:c>
      <x:c r="H455" s="83" t="n">
        <x:f>IF(COUNT(CHOOSE('Controls'!$E$5,H456,H457,H458))=1,CHOOSE('Controls'!$E$5,H456,H457,H458),NA())</x:f>
        <x:v>0.2</x:v>
      </x:c>
      <x:c r="I455" s="83" t="n">
        <x:f>IF(COUNT(CHOOSE('Controls'!$E$5,I456,I457,I458))=1,CHOOSE('Controls'!$E$5,I456,I457,I458),NA())</x:f>
        <x:v>0.2</x:v>
      </x:c>
    </x:row>
    <x:row r="456" ht="30" customHeight="1">
      <x:c r="C456" s="64" t="str">
        <x:v>Base</x:v>
      </x:c>
      <x:c r="D456" s="63"/>
      <x:c r="E456" s="85" t="n">
        <x:v>0.2</x:v>
      </x:c>
      <x:c r="F456" s="85" t="n">
        <x:v>0.2</x:v>
      </x:c>
      <x:c r="G456" s="85" t="n">
        <x:v>0.2</x:v>
      </x:c>
      <x:c r="H456" s="85" t="n">
        <x:v>0.2</x:v>
      </x:c>
      <x:c r="I456" s="85" t="n">
        <x:v>0.2</x:v>
      </x:c>
    </x:row>
    <x:row r="457" ht="30" customHeight="1">
      <x:c r="C457" s="64" t="str">
        <x:v>Downside</x:v>
      </x:c>
      <x:c r="D457" s="63"/>
      <x:c r="E457" s="85" t="n">
        <x:v>0.2</x:v>
      </x:c>
      <x:c r="F457" s="85" t="n">
        <x:v>0.2</x:v>
      </x:c>
      <x:c r="G457" s="85" t="n">
        <x:v>0.2</x:v>
      </x:c>
      <x:c r="H457" s="85" t="n">
        <x:v>0.2</x:v>
      </x:c>
      <x:c r="I457" s="85" t="n">
        <x:v>0.2</x:v>
      </x:c>
    </x:row>
    <x:row r="458" ht="30" customHeight="1">
      <x:c r="C458" s="64" t="str">
        <x:v>Upside</x:v>
      </x:c>
      <x:c r="D458" s="63"/>
      <x:c r="E458" s="85" t="n">
        <x:v>0.2</x:v>
      </x:c>
      <x:c r="F458" s="85" t="n">
        <x:v>0.2</x:v>
      </x:c>
      <x:c r="G458" s="85" t="n">
        <x:v>0.2</x:v>
      </x:c>
      <x:c r="H458" s="85" t="n">
        <x:v>0.2</x:v>
      </x:c>
      <x:c r="I458" s="85" t="n">
        <x:v>0.2</x:v>
      </x:c>
    </x:row>
    <x:row r="459" ht="30" customHeight="1">
      <x:c r="C459" s="64"/>
      <x:c r="D459" s="63"/>
      <x:c r="E459" s="63"/>
      <x:c r="F459" s="63"/>
      <x:c r="G459" s="63"/>
      <x:c r="H459" s="63"/>
      <x:c r="I459" s="63"/>
    </x:row>
    <x:row r="460" ht="30" customHeight="1">
      <x:c r="C460" s="64" t="str">
        <x:v>Fresh equity raised — active</x:v>
      </x:c>
      <x:c r="D460" s="63"/>
      <x:c r="E460" s="8" t="n">
        <x:f>IF(COUNT(CHOOSE('Controls'!$E$5,E461,E462,E463))=1,CHOOSE('Controls'!$E$5,E461,E462,E463),NA())</x:f>
        <x:v>0</x:v>
      </x:c>
      <x:c r="F460" s="8" t="n">
        <x:f>IF(COUNT(CHOOSE('Controls'!$E$5,F461,F462,F463))=1,CHOOSE('Controls'!$E$5,F461,F462,F463),NA())</x:f>
        <x:v>0</x:v>
      </x:c>
      <x:c r="G460" s="8" t="n">
        <x:f>IF(COUNT(CHOOSE('Controls'!$E$5,G461,G462,G463))=1,CHOOSE('Controls'!$E$5,G461,G462,G463),NA())</x:f>
        <x:v>0</x:v>
      </x:c>
      <x:c r="H460" s="8" t="n">
        <x:f>IF(COUNT(CHOOSE('Controls'!$E$5,H461,H462,H463))=1,CHOOSE('Controls'!$E$5,H461,H462,H463),NA())</x:f>
        <x:v>0</x:v>
      </x:c>
      <x:c r="I460" s="8" t="n">
        <x:f>IF(COUNT(CHOOSE('Controls'!$E$5,I461,I462,I463))=1,CHOOSE('Controls'!$E$5,I461,I462,I463),NA())</x:f>
        <x:v>0</x:v>
      </x:c>
    </x:row>
    <x:row r="461" ht="30" customHeight="1">
      <x:c r="C461" s="64" t="str">
        <x:v>Base</x:v>
      </x:c>
      <x:c r="D461" s="63"/>
      <x:c r="E461" s="74" t="n">
        <x:v>0</x:v>
      </x:c>
      <x:c r="F461" s="74" t="n">
        <x:v>0</x:v>
      </x:c>
      <x:c r="G461" s="74" t="n">
        <x:v>0</x:v>
      </x:c>
      <x:c r="H461" s="74" t="n">
        <x:v>0</x:v>
      </x:c>
      <x:c r="I461" s="74" t="n">
        <x:v>0</x:v>
      </x:c>
    </x:row>
    <x:row r="462" ht="30" customHeight="1">
      <x:c r="C462" s="64" t="str">
        <x:v>Downside</x:v>
      </x:c>
      <x:c r="D462" s="63"/>
      <x:c r="E462" s="74" t="n">
        <x:v>0</x:v>
      </x:c>
      <x:c r="F462" s="74" t="n">
        <x:v>0</x:v>
      </x:c>
      <x:c r="G462" s="74" t="n">
        <x:v>0</x:v>
      </x:c>
      <x:c r="H462" s="74" t="n">
        <x:v>0</x:v>
      </x:c>
      <x:c r="I462" s="74" t="n">
        <x:v>0</x:v>
      </x:c>
    </x:row>
    <x:row r="463" ht="30" customHeight="1">
      <x:c r="C463" s="64" t="str">
        <x:v>Upside</x:v>
      </x:c>
      <x:c r="D463" s="63"/>
      <x:c r="E463" s="74" t="n">
        <x:v>0</x:v>
      </x:c>
      <x:c r="F463" s="74" t="n">
        <x:v>0</x:v>
      </x:c>
      <x:c r="G463" s="74" t="n">
        <x:v>0</x:v>
      </x:c>
      <x:c r="H463" s="74" t="n">
        <x:v>0</x:v>
      </x:c>
      <x:c r="I463" s="74" t="n">
        <x:v>0</x:v>
      </x:c>
    </x:row>
    <x:row r="464" ht="30" customHeight="1">
      <x:c r="C464" s="64"/>
      <x:c r="D464" s="63"/>
      <x:c r="E464" s="63"/>
      <x:c r="F464" s="63"/>
      <x:c r="G464" s="63"/>
      <x:c r="H464" s="63"/>
      <x:c r="I464" s="63"/>
    </x:row>
    <x:row r="465" ht="30" customHeight="1">
      <x:c r="C465" s="64" t="str">
        <x:v>Risk-weighted assets / gross loans — active</x:v>
      </x:c>
      <x:c r="D465" s="63"/>
      <x:c r="E465" s="83" t="n">
        <x:f>IF(COUNT(CHOOSE('Controls'!$E$5,E466,E467,E468))=1,CHOOSE('Controls'!$E$5,E466,E467,E468),NA())</x:f>
        <x:v>0.8</x:v>
      </x:c>
      <x:c r="F465" s="83" t="n">
        <x:f>IF(COUNT(CHOOSE('Controls'!$E$5,F466,F467,F468))=1,CHOOSE('Controls'!$E$5,F466,F467,F468),NA())</x:f>
        <x:v>0.8</x:v>
      </x:c>
      <x:c r="G465" s="83" t="n">
        <x:f>IF(COUNT(CHOOSE('Controls'!$E$5,G466,G467,G468))=1,CHOOSE('Controls'!$E$5,G466,G467,G468),NA())</x:f>
        <x:v>0.8</x:v>
      </x:c>
      <x:c r="H465" s="83" t="n">
        <x:f>IF(COUNT(CHOOSE('Controls'!$E$5,H466,H467,H468))=1,CHOOSE('Controls'!$E$5,H466,H467,H468),NA())</x:f>
        <x:v>0.8</x:v>
      </x:c>
      <x:c r="I465" s="83" t="n">
        <x:f>IF(COUNT(CHOOSE('Controls'!$E$5,I466,I467,I468))=1,CHOOSE('Controls'!$E$5,I466,I467,I468),NA())</x:f>
        <x:v>0.8</x:v>
      </x:c>
    </x:row>
    <x:row r="466" ht="30" customHeight="1">
      <x:c r="C466" s="64" t="str">
        <x:v>Base</x:v>
      </x:c>
      <x:c r="D466" s="63"/>
      <x:c r="E466" s="85" t="n">
        <x:v>0.8</x:v>
      </x:c>
      <x:c r="F466" s="85" t="n">
        <x:v>0.8</x:v>
      </x:c>
      <x:c r="G466" s="85" t="n">
        <x:v>0.8</x:v>
      </x:c>
      <x:c r="H466" s="85" t="n">
        <x:v>0.8</x:v>
      </x:c>
      <x:c r="I466" s="85" t="n">
        <x:v>0.8</x:v>
      </x:c>
    </x:row>
    <x:row r="467" ht="30" customHeight="1">
      <x:c r="C467" s="64" t="str">
        <x:v>Downside</x:v>
      </x:c>
      <x:c r="D467" s="63"/>
      <x:c r="E467" s="85" t="n">
        <x:v>0.8</x:v>
      </x:c>
      <x:c r="F467" s="85" t="n">
        <x:v>0.8</x:v>
      </x:c>
      <x:c r="G467" s="85" t="n">
        <x:v>0.8</x:v>
      </x:c>
      <x:c r="H467" s="85" t="n">
        <x:v>0.8</x:v>
      </x:c>
      <x:c r="I467" s="85" t="n">
        <x:v>0.8</x:v>
      </x:c>
    </x:row>
    <x:row r="468" ht="30" customHeight="1">
      <x:c r="C468" s="64" t="str">
        <x:v>Upside</x:v>
      </x:c>
      <x:c r="D468" s="63"/>
      <x:c r="E468" s="85" t="n">
        <x:v>0.8</x:v>
      </x:c>
      <x:c r="F468" s="85" t="n">
        <x:v>0.8</x:v>
      </x:c>
      <x:c r="G468" s="85" t="n">
        <x:v>0.8</x:v>
      </x:c>
      <x:c r="H468" s="85" t="n">
        <x:v>0.8</x:v>
      </x:c>
      <x:c r="I468" s="85" t="n">
        <x:v>0.8</x:v>
      </x:c>
    </x:row>
    <x:row r="469" ht="30" customHeight="1">
      <x:c r="C469" s="64"/>
      <x:c r="D469" s="63"/>
      <x:c r="E469" s="63"/>
      <x:c r="F469" s="63"/>
      <x:c r="G469" s="63"/>
      <x:c r="H469" s="63"/>
      <x:c r="I469" s="63"/>
    </x:row>
    <x:row r="470" ht="30" customHeight="1">
      <x:c r="C470" s="64" t="str">
        <x:v>Eligible capital / modeled book equity — active</x:v>
      </x:c>
      <x:c r="D470" s="63"/>
      <x:c r="E470" s="83" t="n">
        <x:f>IF(COUNT(CHOOSE('Controls'!$E$5,E471,E472,E473))=1,CHOOSE('Controls'!$E$5,E471,E472,E473),NA())</x:f>
        <x:v>0.9</x:v>
      </x:c>
      <x:c r="F470" s="83" t="n">
        <x:f>IF(COUNT(CHOOSE('Controls'!$E$5,F471,F472,F473))=1,CHOOSE('Controls'!$E$5,F471,F472,F473),NA())</x:f>
        <x:v>0.9</x:v>
      </x:c>
      <x:c r="G470" s="83" t="n">
        <x:f>IF(COUNT(CHOOSE('Controls'!$E$5,G471,G472,G473))=1,CHOOSE('Controls'!$E$5,G471,G472,G473),NA())</x:f>
        <x:v>0.9</x:v>
      </x:c>
      <x:c r="H470" s="83" t="n">
        <x:f>IF(COUNT(CHOOSE('Controls'!$E$5,H471,H472,H473))=1,CHOOSE('Controls'!$E$5,H471,H472,H473),NA())</x:f>
        <x:v>0.9</x:v>
      </x:c>
      <x:c r="I470" s="83" t="n">
        <x:f>IF(COUNT(CHOOSE('Controls'!$E$5,I471,I472,I473))=1,CHOOSE('Controls'!$E$5,I471,I472,I473),NA())</x:f>
        <x:v>0.9</x:v>
      </x:c>
    </x:row>
    <x:row r="471" ht="30" customHeight="1">
      <x:c r="C471" s="64" t="str">
        <x:v>Base</x:v>
      </x:c>
      <x:c r="D471" s="63"/>
      <x:c r="E471" s="85" t="n">
        <x:v>0.9</x:v>
      </x:c>
      <x:c r="F471" s="85" t="n">
        <x:v>0.9</x:v>
      </x:c>
      <x:c r="G471" s="85" t="n">
        <x:v>0.9</x:v>
      </x:c>
      <x:c r="H471" s="85" t="n">
        <x:v>0.9</x:v>
      </x:c>
      <x:c r="I471" s="85" t="n">
        <x:v>0.9</x:v>
      </x:c>
    </x:row>
    <x:row r="472" ht="30" customHeight="1">
      <x:c r="C472" s="64" t="str">
        <x:v>Downside</x:v>
      </x:c>
      <x:c r="D472" s="63"/>
      <x:c r="E472" s="85" t="n">
        <x:v>0.9</x:v>
      </x:c>
      <x:c r="F472" s="85" t="n">
        <x:v>0.9</x:v>
      </x:c>
      <x:c r="G472" s="85" t="n">
        <x:v>0.9</x:v>
      </x:c>
      <x:c r="H472" s="85" t="n">
        <x:v>0.9</x:v>
      </x:c>
      <x:c r="I472" s="85" t="n">
        <x:v>0.9</x:v>
      </x:c>
    </x:row>
    <x:row r="473" ht="30" customHeight="1">
      <x:c r="C473" s="64" t="str">
        <x:v>Upside</x:v>
      </x:c>
      <x:c r="D473" s="63"/>
      <x:c r="E473" s="85" t="n">
        <x:v>0.9</x:v>
      </x:c>
      <x:c r="F473" s="85" t="n">
        <x:v>0.9</x:v>
      </x:c>
      <x:c r="G473" s="85" t="n">
        <x:v>0.9</x:v>
      </x:c>
      <x:c r="H473" s="85" t="n">
        <x:v>0.9</x:v>
      </x:c>
      <x:c r="I473" s="85" t="n">
        <x:v>0.9</x:v>
      </x:c>
    </x:row>
    <x:row r="474" ht="30" customHeight="1">
      <x:c r="C474" s="64"/>
      <x:c r="D474" s="63"/>
      <x:c r="E474" s="63"/>
      <x:c r="F474" s="63"/>
      <x:c r="G474" s="63"/>
      <x:c r="H474" s="63"/>
      <x:c r="I474" s="63"/>
    </x:row>
    <x:row r="475" ht="30" customHeight="1">
      <x:c r="C475" s="64" t="str">
        <x:v>Internal capital ratio target — active</x:v>
      </x:c>
      <x:c r="D475" s="63"/>
      <x:c r="E475" s="83" t="n">
        <x:f>IF(COUNT(CHOOSE('Controls'!$E$5,E476,E477,E478))=1,CHOOSE('Controls'!$E$5,E476,E477,E478),NA())</x:f>
        <x:v>0.15</x:v>
      </x:c>
      <x:c r="F475" s="83" t="n">
        <x:f>IF(COUNT(CHOOSE('Controls'!$E$5,F476,F477,F478))=1,CHOOSE('Controls'!$E$5,F476,F477,F478),NA())</x:f>
        <x:v>0.15</x:v>
      </x:c>
      <x:c r="G475" s="83" t="n">
        <x:f>IF(COUNT(CHOOSE('Controls'!$E$5,G476,G477,G478))=1,CHOOSE('Controls'!$E$5,G476,G477,G478),NA())</x:f>
        <x:v>0.15</x:v>
      </x:c>
      <x:c r="H475" s="83" t="n">
        <x:f>IF(COUNT(CHOOSE('Controls'!$E$5,H476,H477,H478))=1,CHOOSE('Controls'!$E$5,H476,H477,H478),NA())</x:f>
        <x:v>0.15</x:v>
      </x:c>
      <x:c r="I475" s="83" t="n">
        <x:f>IF(COUNT(CHOOSE('Controls'!$E$5,I476,I477,I478))=1,CHOOSE('Controls'!$E$5,I476,I477,I478),NA())</x:f>
        <x:v>0.15</x:v>
      </x:c>
    </x:row>
    <x:row r="476" ht="30" customHeight="1">
      <x:c r="C476" s="64" t="str">
        <x:v>Base</x:v>
      </x:c>
      <x:c r="D476" s="63"/>
      <x:c r="E476" s="85" t="n">
        <x:v>0.15</x:v>
      </x:c>
      <x:c r="F476" s="85" t="n">
        <x:v>0.15</x:v>
      </x:c>
      <x:c r="G476" s="85" t="n">
        <x:v>0.15</x:v>
      </x:c>
      <x:c r="H476" s="85" t="n">
        <x:v>0.15</x:v>
      </x:c>
      <x:c r="I476" s="85" t="n">
        <x:v>0.15</x:v>
      </x:c>
    </x:row>
    <x:row r="477" ht="30" customHeight="1">
      <x:c r="C477" s="64" t="str">
        <x:v>Downside</x:v>
      </x:c>
      <x:c r="D477" s="63"/>
      <x:c r="E477" s="85" t="n">
        <x:v>0.15</x:v>
      </x:c>
      <x:c r="F477" s="85" t="n">
        <x:v>0.15</x:v>
      </x:c>
      <x:c r="G477" s="85" t="n">
        <x:v>0.15</x:v>
      </x:c>
      <x:c r="H477" s="85" t="n">
        <x:v>0.15</x:v>
      </x:c>
      <x:c r="I477" s="85" t="n">
        <x:v>0.15</x:v>
      </x:c>
    </x:row>
    <x:row r="478" ht="30" customHeight="1">
      <x:c r="C478" s="64" t="str">
        <x:v>Upside</x:v>
      </x:c>
      <x:c r="D478" s="63"/>
      <x:c r="E478" s="85" t="n">
        <x:v>0.15</x:v>
      </x:c>
      <x:c r="F478" s="85" t="n">
        <x:v>0.15</x:v>
      </x:c>
      <x:c r="G478" s="85" t="n">
        <x:v>0.15</x:v>
      </x:c>
      <x:c r="H478" s="85" t="n">
        <x:v>0.15</x:v>
      </x:c>
      <x:c r="I478" s="85" t="n">
        <x:v>0.15</x:v>
      </x:c>
    </x:row>
    <x:row r="479" ht="30" customHeight="1">
      <x:c r="C479" s="64"/>
      <x:c r="D479" s="63"/>
      <x:c r="E479" s="63"/>
      <x:c r="F479" s="63"/>
      <x:c r="G479" s="63"/>
      <x:c r="H479" s="63"/>
      <x:c r="I479" s="63"/>
    </x:row>
    <x:row r="480" ht="30" customHeight="1">
      <x:c r="C480" s="64"/>
      <x:c r="D480" s="63"/>
      <x:c r="E480" s="63"/>
      <x:c r="F480" s="63"/>
      <x:c r="G480" s="63"/>
      <x:c r="H480" s="63"/>
      <x:c r="I480" s="63"/>
    </x:row>
    <x:row r="481" ht="30" customHeight="1">
      <x:c r="C481" s="64"/>
      <x:c r="D481" s="63"/>
      <x:c r="E481" s="63"/>
      <x:c r="F481" s="63"/>
      <x:c r="G481" s="63"/>
      <x:c r="H481" s="63"/>
      <x:c r="I481" s="63"/>
    </x:row>
    <x:row r="482" ht="30" customHeight="1">
      <x:c r="C482" s="64"/>
      <x:c r="D482" s="63"/>
      <x:c r="E482" s="63"/>
      <x:c r="F482" s="63"/>
      <x:c r="G482" s="63"/>
      <x:c r="H482" s="63"/>
      <x:c r="I482" s="63"/>
    </x:row>
    <x:row r="483" ht="30" customHeight="1">
      <x:c r="C483" s="64"/>
      <x:c r="D483" s="63"/>
      <x:c r="E483" s="63"/>
      <x:c r="F483" s="63"/>
      <x:c r="G483" s="63"/>
      <x:c r="H483" s="63"/>
      <x:c r="I483" s="63"/>
    </x:row>
    <x:row r="484" ht="30" customHeight="1">
      <x:c r="C484" s="64"/>
      <x:c r="D484" s="63"/>
      <x:c r="E484" s="63"/>
      <x:c r="F484" s="63"/>
      <x:c r="G484" s="63"/>
      <x:c r="H484" s="63"/>
      <x:c r="I484" s="63"/>
    </x:row>
    <x:row r="485" ht="30" customHeight="1">
      <x:c r="C485" s="64"/>
      <x:c r="D485" s="63"/>
      <x:c r="E485" s="63"/>
      <x:c r="F485" s="63"/>
      <x:c r="G485" s="63"/>
      <x:c r="H485" s="63"/>
      <x:c r="I485" s="63"/>
    </x:row>
    <x:row r="486" ht="30" customHeight="1">
      <x:c r="C486" s="64"/>
      <x:c r="D486" s="63"/>
      <x:c r="E486" s="63"/>
      <x:c r="F486" s="63"/>
      <x:c r="G486" s="63"/>
      <x:c r="H486" s="63"/>
      <x:c r="I486" s="63"/>
    </x:row>
    <x:row r="487" ht="30" customHeight="1">
      <x:c r="C487" s="64"/>
      <x:c r="D487" s="63"/>
      <x:c r="E487" s="63"/>
      <x:c r="F487" s="63"/>
      <x:c r="G487" s="63"/>
      <x:c r="H487" s="63"/>
      <x:c r="I487" s="63"/>
    </x:row>
    <x:row r="488" ht="30" customHeight="1">
      <x:c r="C488" s="64"/>
      <x:c r="D488" s="63"/>
      <x:c r="E488" s="63"/>
      <x:c r="F488" s="63"/>
      <x:c r="G488" s="63"/>
      <x:c r="H488" s="63"/>
      <x:c r="I488" s="63"/>
    </x:row>
    <x:row r="489" ht="30" customHeight="1">
      <x:c r="C489" s="64"/>
      <x:c r="D489" s="63"/>
      <x:c r="E489" s="63"/>
      <x:c r="F489" s="63"/>
      <x:c r="G489" s="63"/>
      <x:c r="H489" s="63"/>
      <x:c r="I489" s="63"/>
    </x:row>
    <x:row r="490" ht="30" customHeight="1">
      <x:c r="C490" s="64"/>
      <x:c r="D490" s="63"/>
      <x:c r="E490" s="63"/>
      <x:c r="F490" s="63"/>
      <x:c r="G490" s="63"/>
      <x:c r="H490" s="63"/>
      <x:c r="I490" s="63"/>
    </x:row>
    <x:row r="491" ht="30" customHeight="1">
      <x:c r="C491" s="64"/>
      <x:c r="D491" s="63"/>
      <x:c r="E491" s="63"/>
      <x:c r="F491" s="63"/>
      <x:c r="G491" s="63"/>
      <x:c r="H491" s="63"/>
      <x:c r="I491" s="63"/>
    </x:row>
    <x:row r="492" ht="30" customHeight="1">
      <x:c r="C492" s="64"/>
      <x:c r="D492" s="63"/>
      <x:c r="E492" s="63"/>
      <x:c r="F492" s="63"/>
      <x:c r="G492" s="63"/>
      <x:c r="H492" s="63"/>
      <x:c r="I492" s="63"/>
    </x:row>
    <x:row r="493" ht="30" customHeight="1">
      <x:c r="C493" s="64"/>
      <x:c r="D493" s="63"/>
      <x:c r="E493" s="63"/>
      <x:c r="F493" s="63"/>
      <x:c r="G493" s="63"/>
      <x:c r="H493" s="63"/>
      <x:c r="I493" s="63"/>
    </x:row>
    <x:row r="494" ht="30" customHeight="1">
      <x:c r="C494" s="64"/>
      <x:c r="D494" s="63"/>
      <x:c r="E494" s="63"/>
      <x:c r="F494" s="63"/>
      <x:c r="G494" s="63"/>
      <x:c r="H494" s="63"/>
      <x:c r="I494" s="63"/>
    </x:row>
    <x:row r="495" ht="30" customHeight="1">
      <x:c r="C495" s="64"/>
      <x:c r="D495" s="63"/>
      <x:c r="E495" s="63"/>
      <x:c r="F495" s="63"/>
      <x:c r="G495" s="63"/>
      <x:c r="H495" s="63"/>
      <x:c r="I495" s="63"/>
    </x:row>
    <x:row r="496" ht="30" customHeight="1">
      <x:c r="C496" s="64"/>
      <x:c r="D496" s="63"/>
      <x:c r="E496" s="63"/>
      <x:c r="F496" s="63"/>
      <x:c r="G496" s="63"/>
      <x:c r="H496" s="63"/>
      <x:c r="I496" s="63"/>
    </x:row>
    <x:row r="497" ht="30" customHeight="1">
      <x:c r="C497" s="64"/>
      <x:c r="D497" s="63"/>
      <x:c r="E497" s="63"/>
      <x:c r="F497" s="63"/>
      <x:c r="G497" s="63"/>
      <x:c r="H497" s="63"/>
      <x:c r="I497" s="63"/>
    </x:row>
    <x:row r="498" ht="30" customHeight="1">
      <x:c r="C498" s="64"/>
      <x:c r="D498" s="63"/>
      <x:c r="E498" s="63"/>
      <x:c r="F498" s="63"/>
      <x:c r="G498" s="63"/>
      <x:c r="H498" s="63"/>
      <x:c r="I498" s="63"/>
    </x:row>
    <x:row r="499" ht="30" customHeight="1">
      <x:c r="C499" s="64"/>
      <x:c r="D499" s="63"/>
      <x:c r="E499" s="63"/>
      <x:c r="F499" s="63"/>
      <x:c r="G499" s="63"/>
      <x:c r="H499" s="63"/>
      <x:c r="I499" s="63"/>
    </x:row>
    <x:row r="500" ht="30" customHeight="1">
      <x:c r="C500" s="64"/>
      <x:c r="D500" s="63"/>
      <x:c r="E500" s="63"/>
      <x:c r="F500" s="63"/>
      <x:c r="G500" s="63"/>
      <x:c r="H500" s="63"/>
      <x:c r="I500" s="63"/>
    </x:row>
    <x:row r="501" ht="30" customHeight="1">
      <x:c r="C501" s="64"/>
      <x:c r="D501" s="63"/>
      <x:c r="E501" s="63"/>
      <x:c r="F501" s="63"/>
      <x:c r="G501" s="63"/>
      <x:c r="H501" s="63"/>
      <x:c r="I501" s="63"/>
    </x:row>
    <x:row r="502" ht="30" customHeight="1">
      <x:c r="C502" s="64"/>
      <x:c r="D502" s="63"/>
      <x:c r="E502" s="63"/>
      <x:c r="F502" s="63"/>
      <x:c r="G502" s="63"/>
      <x:c r="H502" s="63"/>
      <x:c r="I502" s="63"/>
    </x:row>
    <x:row r="503" ht="30" customHeight="1">
      <x:c r="C503" s="64"/>
      <x:c r="D503" s="63"/>
      <x:c r="E503" s="63"/>
      <x:c r="F503" s="63"/>
      <x:c r="G503" s="63"/>
      <x:c r="H503" s="63"/>
      <x:c r="I503" s="63"/>
    </x:row>
    <x:row r="504" ht="30" customHeight="1">
      <x:c r="C504" s="64"/>
      <x:c r="D504" s="63"/>
      <x:c r="E504" s="63"/>
      <x:c r="F504" s="63"/>
      <x:c r="G504" s="63"/>
      <x:c r="H504" s="63"/>
      <x:c r="I504" s="63"/>
    </x:row>
    <x:row r="505" ht="30" customHeight="1">
      <x:c r="C505" s="64"/>
      <x:c r="D505" s="63"/>
      <x:c r="E505" s="63"/>
      <x:c r="F505" s="63"/>
      <x:c r="G505" s="63"/>
      <x:c r="H505" s="63"/>
      <x:c r="I505" s="63"/>
    </x:row>
    <x:row r="506" ht="30" customHeight="1">
      <x:c r="C506" s="64"/>
      <x:c r="D506" s="63"/>
      <x:c r="E506" s="63"/>
      <x:c r="F506" s="63"/>
      <x:c r="G506" s="63"/>
      <x:c r="H506" s="63"/>
      <x:c r="I506" s="63"/>
    </x:row>
    <x:row r="507" ht="30" customHeight="1">
      <x:c r="C507" s="64"/>
      <x:c r="D507" s="63"/>
      <x:c r="E507" s="63"/>
      <x:c r="F507" s="63"/>
      <x:c r="G507" s="63"/>
      <x:c r="H507" s="63"/>
      <x:c r="I507" s="63"/>
    </x:row>
    <x:row r="508" ht="30" customHeight="1">
      <x:c r="C508" s="64"/>
      <x:c r="D508" s="63"/>
      <x:c r="E508" s="63"/>
      <x:c r="F508" s="63"/>
      <x:c r="G508" s="63"/>
      <x:c r="H508" s="63"/>
      <x:c r="I508" s="63"/>
    </x:row>
    <x:row r="509" ht="30" customHeight="1">
      <x:c r="C509" s="64"/>
      <x:c r="D509" s="63"/>
      <x:c r="E509" s="63"/>
      <x:c r="F509" s="63"/>
      <x:c r="G509" s="63"/>
      <x:c r="H509" s="63"/>
      <x:c r="I509" s="63"/>
    </x:row>
    <x:row r="510" ht="30" customHeight="1">
      <x:c r="C510" s="64"/>
      <x:c r="D510" s="63"/>
      <x:c r="E510" s="63"/>
      <x:c r="F510" s="63"/>
      <x:c r="G510" s="63"/>
      <x:c r="H510" s="63"/>
      <x:c r="I510" s="63"/>
    </x:row>
  </x:sheetData>
  <x:mergeCells>
    <x:mergeCell ref="M2:U2"/>
    <x:mergeCell ref="M9:U9"/>
    <x:mergeCell ref="M10:U10"/>
    <x:mergeCell ref="M30:U30"/>
    <x:mergeCell ref="M43:U44"/>
  </x:mergeCells>
  <x:conditionalFormatting sqref="E89:I89">
    <x:cfRule type="expression" dxfId="60" priority="1">
      <x:formula>ABS(E89)&gt;0.01</x:formula>
    </x:cfRule>
  </x:conditionalFormatting>
  <x:conditionalFormatting sqref="E90:I90">
    <x:cfRule type="expression" dxfId="61" priority="2">
      <x:formula>ABS(E90)&gt;0.01</x:formula>
    </x:cfRule>
  </x:conditionalFormatting>
  <x:conditionalFormatting sqref="E91:I91">
    <x:cfRule type="expression" dxfId="62" priority="3">
      <x:formula>ABS(E91)&gt;0.01</x:formula>
    </x:cfRule>
  </x:conditionalFormatting>
  <x:conditionalFormatting sqref="E92:I92">
    <x:cfRule type="expression" dxfId="63" priority="4">
      <x:formula>ABS(E92)&gt;0.01</x:formula>
    </x:cfRule>
  </x:conditionalFormatting>
  <x:conditionalFormatting sqref="E180:I207">
    <x:cfRule type="cellIs" dxfId="88" priority="5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4ef38a3fc19745fa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88" hidden="0" customWidth="1"/>
    <x:col min="13" max="13" width="3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45" hidden="0" customWidth="1"/>
  </x:cols>
  <x:sheetData>
    <x:row r="1" ht="18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  <x:c r="K1" s="1"/>
    </x:row>
    <x:row r="2" ht="32" customHeight="1">
      <x:c r="A2" s="1"/>
      <x:c r="B2" s="1"/>
      <x:c r="C2" s="3" t="str">
        <x:v>NBFC</x:v>
      </x:c>
      <x:c r="D2" s="2"/>
      <x:c r="E2" s="2"/>
      <x:c r="F2" s="2"/>
      <x:c r="G2" s="2"/>
      <x:c r="H2" s="2"/>
      <x:c r="I2" s="2"/>
      <x:c r="J2" s="1"/>
      <x:c r="K2" s="1"/>
      <x:c r="M2" s="86" t="str">
        <x:v>NBFC | Client summary</x:v>
      </x:c>
      <x:c r="N2" s="86"/>
      <x:c r="O2" s="86"/>
      <x:c r="P2" s="86"/>
      <x:c r="Q2" s="86"/>
      <x:c r="R2" s="86"/>
      <x:c r="S2" s="86"/>
      <x:c r="T2" s="86"/>
      <x:c r="U2" s="86"/>
      <x:c r="V2" s="63"/>
      <x:c r="X2" t="str">
        <x:v>Forecast year</x:v>
      </x:c>
      <x:c r="Y2" t="str">
        <x:v>Income</x:v>
      </x:c>
      <x:c r="Z2" t="str">
        <x:v>Profit after tax</x:v>
      </x:c>
    </x:row>
    <x:row r="3" ht="18" customHeight="1">
      <x:c r="A3" s="1"/>
      <x:c r="B3" s="1"/>
      <x:c r="C3" s="4"/>
      <x:c r="D3" s="5"/>
      <x:c r="E3" s="5"/>
      <x:c r="F3" s="5"/>
      <x:c r="G3" s="5"/>
      <x:c r="H3" s="5"/>
      <x:c r="I3" s="5"/>
      <x:c r="J3" s="1"/>
      <x:c r="K3" s="1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X3" t="n">
        <x:f>'Controls'!$E$17+0</x:f>
        <x:v>2027</x:v>
      </x:c>
      <x:c r="Y3" t="n">
        <x:f>E56</x:f>
        <x:v>2495.8</x:v>
      </x:c>
      <x:c r="Z3" t="n">
        <x:f>E62</x:f>
        <x:v>817.3275000000001</x:v>
      </x:c>
    </x:row>
    <x:row r="4" ht="18" customHeight="1">
      <x:c r="A4" s="1"/>
      <x:c r="B4" s="1"/>
      <x:c r="C4" s="1" t="str">
        <x:v>Illustrative assumptions. Financial amounts in INR crore.</x:v>
      </x:c>
      <x:c r="D4" s="2"/>
      <x:c r="E4" s="2"/>
      <x:c r="F4" s="2"/>
      <x:c r="G4" s="2"/>
      <x:c r="H4" s="2"/>
      <x:c r="I4" s="2"/>
      <x:c r="J4" s="1"/>
      <x:c r="K4" s="1"/>
      <x:c r="M4" s="63" t="str">
        <x:v>Company / model name</x:v>
      </x:c>
      <x:c r="N4" s="63" t="str">
        <x:v>Illustrative company</x:v>
      </x:c>
      <x:c r="O4" s="63"/>
      <x:c r="P4" s="63"/>
      <x:c r="Q4" s="63"/>
      <x:c r="R4" s="63"/>
      <x:c r="S4" s="63"/>
      <x:c r="T4" s="63"/>
      <x:c r="U4" s="63"/>
      <x:c r="V4" s="63"/>
      <x:c r="X4" t="n">
        <x:f>'Controls'!$E$17+1</x:f>
        <x:v>2028</x:v>
      </x:c>
      <x:c r="Y4" t="n">
        <x:f>F56</x:f>
        <x:v>2816.8739999999993</x:v>
      </x:c>
      <x:c r="Z4" t="n">
        <x:f>F62</x:f>
        <x:v>921.9323249999998</x:v>
      </x:c>
    </x:row>
    <x:row r="5" ht="18" customHeight="1">
      <x:c r="A5" s="1"/>
      <x:c r="B5" s="1"/>
      <x:c r="C5" s="1" t="str">
        <x:v>Selected case</x:v>
      </x:c>
      <x:c r="D5" s="2"/>
      <x:c r="E5" s="10" t="str">
        <x:f>'Controls'!E6</x:f>
        <x:v>Base</x:v>
      </x:c>
      <x:c r="F5" s="2"/>
      <x:c r="G5" s="2"/>
      <x:c r="H5" s="2"/>
      <x:c r="I5" s="2"/>
      <x:c r="J5" s="1"/>
      <x:c r="K5" s="1"/>
      <x:c r="M5" s="63" t="str">
        <x:v>Valuation date</x:v>
      </x:c>
      <x:c r="N5" s="87" t="n">
        <x:f>'Controls'!E18</x:f>
        <x:v>46112</x:v>
      </x:c>
      <x:c r="O5" s="63"/>
      <x:c r="P5" s="63"/>
      <x:c r="Q5" s="63"/>
      <x:c r="R5" s="63"/>
      <x:c r="S5" s="63"/>
      <x:c r="T5" s="63"/>
      <x:c r="U5" s="63"/>
      <x:c r="V5" s="63"/>
      <x:c r="X5" t="n">
        <x:f>'Controls'!$E$17+2</x:f>
        <x:v>2029</x:v>
      </x:c>
      <x:c r="Y5" t="n">
        <x:f>G56</x:f>
        <x:v>3179.417219999999</x:v>
      </x:c>
      <x:c r="Z5" t="n">
        <x:f>G62</x:f>
        <x:v>1040.0039572499995</x:v>
      </x:c>
    </x:row>
    <x:row r="6" ht="18" customHeight="1">
      <x:c r="A6" s="1"/>
      <x:c r="B6" s="1"/>
      <x:c r="C6" s="1"/>
      <x:c r="D6" s="2"/>
      <x:c r="E6" s="2"/>
      <x:c r="F6" s="2"/>
      <x:c r="G6" s="2"/>
      <x:c r="H6" s="2"/>
      <x:c r="I6" s="2"/>
      <x:c r="J6" s="1"/>
      <x:c r="K6" s="1"/>
      <x:c r="M6" s="63" t="str">
        <x:v>Selected case</x:v>
      </x:c>
      <x:c r="N6" s="63" t="str">
        <x:f>'Controls'!E6</x:f>
        <x:v>Base</x:v>
      </x:c>
      <x:c r="O6" s="63"/>
      <x:c r="P6" s="63"/>
      <x:c r="Q6" s="63"/>
      <x:c r="R6" s="63"/>
      <x:c r="S6" s="63"/>
      <x:c r="T6" s="63"/>
      <x:c r="U6" s="63"/>
      <x:c r="V6" s="63"/>
      <x:c r="X6" t="n">
        <x:f>'Controls'!$E$17+3</x:f>
        <x:v>2030</x:v>
      </x:c>
      <x:c r="Y6" t="n">
        <x:f>H56</x:f>
        <x:v>3588.7990265999983</x:v>
      </x:c>
      <x:c r="Z6" t="n">
        <x:f>H62</x:f>
        <x:v>1173.2825360924994</x:v>
      </x:c>
    </x:row>
    <x:row r="7" ht="18" customHeight="1">
      <x:c r="A7" s="1"/>
      <x:c r="B7" s="1"/>
      <x:c r="C7" s="15" t="str">
        <x:v>Metric</x:v>
      </x:c>
      <x:c r="D7" s="16" t="str">
        <x:v>Opening / seed</x:v>
      </x:c>
      <x:c r="E7" s="65" t="n">
        <x:f>'Controls'!$E$17+0</x:f>
        <x:v>2027</x:v>
      </x:c>
      <x:c r="F7" s="65" t="n">
        <x:f>'Controls'!$E$17+1</x:f>
        <x:v>2028</x:v>
      </x:c>
      <x:c r="G7" s="65" t="n">
        <x:f>'Controls'!$E$17+2</x:f>
        <x:v>2029</x:v>
      </x:c>
      <x:c r="H7" s="65" t="n">
        <x:f>'Controls'!$E$17+3</x:f>
        <x:v>2030</x:v>
      </x:c>
      <x:c r="I7" s="65" t="n">
        <x:f>'Controls'!$E$17+4</x:f>
        <x:v>2031</x:v>
      </x:c>
      <x:c r="J7" s="1"/>
      <x:c r="K7" s="1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X7" t="n">
        <x:f>'Controls'!$E$17+4</x:f>
        <x:v>2031</x:v>
      </x:c>
      <x:c r="Y7" t="n">
        <x:f>I56</x:f>
        <x:v>4051.085073497996</x:v>
      </x:c>
      <x:c r="Z7" t="n">
        <x:f>I62</x:f>
        <x:v>1323.7335753365237</x:v>
      </x:c>
    </x:row>
    <x:row r="8" ht="18" customHeight="1">
      <x:c r="A8" s="1"/>
      <x:c r="B8" s="1"/>
      <x:c r="C8" s="1"/>
      <x:c r="D8" s="2"/>
      <x:c r="E8" s="2"/>
      <x:c r="F8" s="2"/>
      <x:c r="G8" s="2"/>
      <x:c r="H8" s="2"/>
      <x:c r="I8" s="2"/>
      <x:c r="J8" s="1"/>
      <x:c r="K8" s="1"/>
      <x:c r="M8" s="63" t="str">
        <x:v>Equity value (INR crore)</x:v>
      </x:c>
      <x:c r="N8" s="8" t="n">
        <x:f>E87</x:f>
        <x:v>12398.820175438595</x:v>
      </x:c>
      <x:c r="O8" s="63"/>
      <x:c r="P8" s="63"/>
      <x:c r="Q8" s="63"/>
      <x:c r="R8" s="63"/>
      <x:c r="S8" s="63"/>
      <x:c r="T8" s="63"/>
      <x:c r="U8" s="63"/>
      <x:c r="V8" s="63"/>
    </x:row>
    <x:row r="9" ht="18" customHeight="1">
      <x:c r="A9" s="1"/>
      <x:c r="B9" s="1"/>
      <x:c r="C9" s="19" t="str">
        <x:v>LENDING, FUNDING AND CREDIT ASSUMPTIONS</x:v>
      </x:c>
      <x:c r="D9" s="20"/>
      <x:c r="E9" s="20"/>
      <x:c r="F9" s="20"/>
      <x:c r="G9" s="20"/>
      <x:c r="H9" s="20"/>
      <x:c r="I9" s="20"/>
      <x:c r="J9" s="1"/>
      <x:c r="K9" s="1"/>
      <x:c r="M9" s="63" t="str">
        <x:f>IF(MAX(E89,F89,G89,H89,I89,E90,F90,G90,H90,I90,E91,F91,G91,H91,I91,E92,F92,G92,H92,I92,E180:I207)&gt;0.01,"ATTENTION: model checks contain exceptions",IF(MIN(E89,F89,G89,H89,I89,E90,F90,G90,H90,I90,E91,F91,G91,H91,I91,E92,F92,G92,H92,I92,E180:I207)&lt;-0.01,"ATTENTION: model checks contain exceptions","Model checks clear; review company assumptions"))</x:f>
        <x:v>Model checks clear; review company assumptions</x:v>
      </x:c>
      <x:c r="N9" s="63"/>
      <x:c r="O9" s="63"/>
      <x:c r="P9" s="63"/>
      <x:c r="Q9" s="63"/>
      <x:c r="R9" s="63"/>
      <x:c r="S9" s="63"/>
      <x:c r="T9" s="63"/>
      <x:c r="U9" s="63"/>
      <x:c r="V9" s="63"/>
    </x:row>
    <x:row r="10" ht="18" customHeight="1">
      <x:c r="A10" s="1"/>
      <x:c r="B10" s="1"/>
      <x:c r="C10" s="1" t="str">
        <x:v>Opening gross loans</x:v>
      </x:c>
      <x:c r="D10" s="7" t="n">
        <x:v>20000</x:v>
      </x:c>
      <x:c r="E10" s="2"/>
      <x:c r="F10" s="2"/>
      <x:c r="G10" s="2"/>
      <x:c r="H10" s="2"/>
      <x:c r="I10" s="2"/>
      <x:c r="J10" s="1"/>
      <x:c r="K10" s="1" t="str">
        <x:v>All inputs are illustrative. No bank, NBFC or reported regulatory ratio is represented.</x:v>
      </x:c>
      <x:c r="M10" s="63" t="str">
        <x:v>Illustrative inputs; replace with company evidence.</x:v>
      </x:c>
      <x:c r="N10" s="63"/>
      <x:c r="O10" s="63"/>
      <x:c r="P10" s="63"/>
      <x:c r="Q10" s="63"/>
      <x:c r="R10" s="63"/>
      <x:c r="S10" s="63"/>
      <x:c r="T10" s="63"/>
      <x:c r="U10" s="63"/>
      <x:c r="V10" s="63"/>
    </x:row>
    <x:row r="11" ht="18" customHeight="1">
      <x:c r="A11" s="1"/>
      <x:c r="B11" s="1"/>
      <x:c r="C11" s="1" t="str">
        <x:v>Opening borrowings</x:v>
      </x:c>
      <x:c r="D11" s="7" t="n">
        <x:v>16000</x:v>
      </x:c>
      <x:c r="E11" s="2"/>
      <x:c r="F11" s="2"/>
      <x:c r="G11" s="2"/>
      <x:c r="H11" s="2"/>
      <x:c r="I11" s="2"/>
      <x:c r="J11" s="1"/>
      <x:c r="K11" s="1" t="str">
        <x:v>Closing gross-loan growth is after recoveries and write-offs. Disbursements are not separately forecast.</x:v>
      </x:c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</x:row>
    <x:row r="12" ht="18" customHeight="1">
      <x:c r="A12" s="1"/>
      <x:c r="B12" s="1"/>
      <x:c r="C12" s="1" t="str">
        <x:v>Opening investment assets</x:v>
      </x:c>
      <x:c r="D12" s="7" t="n">
        <x:v>1000</x:v>
      </x:c>
      <x:c r="E12" s="2"/>
      <x:c r="F12" s="2"/>
      <x:c r="G12" s="2"/>
      <x:c r="H12" s="2"/>
      <x:c r="I12" s="2"/>
      <x:c r="J12" s="1"/>
      <x:c r="K12" s="1" t="str">
        <x:v>Simplified spread, credit-loss and liquidity model. No full regulatory cash-flow or ALM statement.</x:v>
      </x:c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</x:row>
    <x:row r="13" ht="18" customHeight="1">
      <x:c r="A13" s="1"/>
      <x:c r="B13" s="1"/>
      <x:c r="C13" s="1" t="str">
        <x:v>Opening equity</x:v>
      </x:c>
      <x:c r="D13" s="7" t="n">
        <x:v>5000</x:v>
      </x:c>
      <x:c r="E13" s="2"/>
      <x:c r="F13" s="2"/>
      <x:c r="G13" s="2"/>
      <x:c r="H13" s="2"/>
      <x:c r="I13" s="2"/>
      <x:c r="J13" s="1"/>
      <x:c r="K13" s="1" t="str">
        <x:v>Cash has zero yield. No wholesale bank funding, securitization, derivatives or off-balance-sheet exposures.</x:v>
      </x:c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</x:row>
    <x:row r="14" ht="18" customHeight="1">
      <x:c r="A14" s="1"/>
      <x:c r="B14" s="1"/>
      <x:c r="C14" s="1" t="str">
        <x:v>Opening credit-loss allowance</x:v>
      </x:c>
      <x:c r="D14" s="7" t="n">
        <x:v>600</x:v>
      </x:c>
      <x:c r="E14" s="2"/>
      <x:c r="F14" s="2"/>
      <x:c r="G14" s="2"/>
      <x:c r="H14" s="2"/>
      <x:c r="I14" s="2"/>
      <x:c r="J14" s="1"/>
      <x:c r="K14" s="1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</x:row>
    <x:row r="15" ht="18" customHeight="1">
      <x:c r="A15" s="1"/>
      <x:c r="B15" s="1"/>
      <x:c r="C15" s="1" t="str">
        <x:v>Opening gross non-performing loans</x:v>
      </x:c>
      <x:c r="D15" s="7" t="n">
        <x:v>900</x:v>
      </x:c>
      <x:c r="E15" s="2"/>
      <x:c r="F15" s="2"/>
      <x:c r="G15" s="2"/>
      <x:c r="H15" s="2"/>
      <x:c r="I15" s="2"/>
      <x:c r="J15" s="1"/>
      <x:c r="K15" s="1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</x:row>
    <x:row r="16" ht="18" customHeight="1">
      <x:c r="A16" s="1"/>
      <x:c r="B16" s="1"/>
      <x:c r="C16" s="1" t="str">
        <x:v>Diluted shares (crore)</x:v>
      </x:c>
      <x:c r="D16" s="7" t="n">
        <x:v>100</x:v>
      </x:c>
      <x:c r="E16" s="2"/>
      <x:c r="F16" s="2"/>
      <x:c r="G16" s="2"/>
      <x:c r="H16" s="2"/>
      <x:c r="I16" s="2"/>
      <x:c r="J16" s="1"/>
      <x:c r="K16" s="1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</x:row>
    <x:row r="17" ht="18" customHeight="1">
      <x:c r="A17" s="1"/>
      <x:c r="B17" s="1"/>
      <x:c r="C17" s="1" t="str">
        <x:v>Forward price / book multiple</x:v>
      </x:c>
      <x:c r="D17" s="55" t="n">
        <x:v>2.5</x:v>
      </x:c>
      <x:c r="E17" s="2"/>
      <x:c r="F17" s="2"/>
      <x:c r="G17" s="2"/>
      <x:c r="H17" s="2"/>
      <x:c r="I17" s="2"/>
      <x:c r="J17" s="1"/>
      <x:c r="K17" s="1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</x:row>
    <x:row r="18" ht="18" customHeight="1">
      <x:c r="A18" s="1"/>
      <x:c r="B18" s="1"/>
      <x:c r="C18" s="1" t="str">
        <x:v>Forward price / earnings multiple</x:v>
      </x:c>
      <x:c r="D18" s="55" t="n">
        <x:v>18</x:v>
      </x:c>
      <x:c r="E18" s="2"/>
      <x:c r="F18" s="2"/>
      <x:c r="G18" s="2"/>
      <x:c r="H18" s="2"/>
      <x:c r="I18" s="2"/>
      <x:c r="J18" s="1"/>
      <x:c r="K18" s="1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</x:row>
    <x:row r="19" ht="18" customHeight="1">
      <x:c r="A19" s="1"/>
      <x:c r="B19" s="1"/>
      <x:c r="C19" s="1" t="str">
        <x:v>Cost of equity for one-year discount</x:v>
      </x:c>
      <x:c r="D19" s="25" t="n">
        <x:v>0.14</x:v>
      </x:c>
      <x:c r="E19" s="2"/>
      <x:c r="F19" s="2"/>
      <x:c r="G19" s="2"/>
      <x:c r="H19" s="2"/>
      <x:c r="I19" s="2"/>
      <x:c r="J19" s="1"/>
      <x:c r="K19" s="1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</x:row>
    <x:row r="20" ht="18" customHeight="1">
      <x:c r="A20" s="1"/>
      <x:c r="B20" s="1"/>
      <x:c r="C20" s="28" t="str">
        <x:v>Loan growth — active</x:v>
      </x:c>
      <x:c r="D20" s="29"/>
      <x:c r="E20" s="30" t="n">
        <x:f>IF(COUNT(INDEX(E21:E23,'Controls'!$E$5))=0,NA(),INDEX(E21:E23,'Controls'!$E$5))</x:f>
        <x:v>0.13</x:v>
      </x:c>
      <x:c r="F20" s="30" t="n">
        <x:f>IF(COUNT(INDEX(F21:F23,'Controls'!$E$5))=0,NA(),INDEX(F21:F23,'Controls'!$E$5))</x:f>
        <x:v>0.13</x:v>
      </x:c>
      <x:c r="G20" s="30" t="n">
        <x:f>IF(COUNT(INDEX(G21:G23,'Controls'!$E$5))=0,NA(),INDEX(G21:G23,'Controls'!$E$5))</x:f>
        <x:v>0.13</x:v>
      </x:c>
      <x:c r="H20" s="30" t="n">
        <x:f>IF(COUNT(INDEX(H21:H23,'Controls'!$E$5))=0,NA(),INDEX(H21:H23,'Controls'!$E$5))</x:f>
        <x:v>0.13</x:v>
      </x:c>
      <x:c r="I20" s="30" t="n">
        <x:f>IF(COUNT(INDEX(I21:I23,'Controls'!$E$5))=0,NA(),INDEX(I21:I23,'Controls'!$E$5))</x:f>
        <x:v>0.13</x:v>
      </x:c>
      <x:c r="J20" s="1"/>
      <x:c r="K20" s="1"/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</x:row>
    <x:row r="21" ht="18" customHeight="1">
      <x:c r="A21" s="1"/>
      <x:c r="B21" s="1"/>
      <x:c r="C21" s="23" t="str">
        <x:v>Base</x:v>
      </x:c>
      <x:c r="D21" s="24"/>
      <x:c r="E21" s="26" t="n">
        <x:v>0.13</x:v>
      </x:c>
      <x:c r="F21" s="26" t="n">
        <x:v>0.13</x:v>
      </x:c>
      <x:c r="G21" s="26" t="n">
        <x:v>0.13</x:v>
      </x:c>
      <x:c r="H21" s="26" t="n">
        <x:v>0.13</x:v>
      </x:c>
      <x:c r="I21" s="26" t="n">
        <x:v>0.13</x:v>
      </x:c>
      <x:c r="J21" s="1"/>
      <x:c r="K21" s="1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</x:row>
    <x:row r="22" ht="18" customHeight="1">
      <x:c r="A22" s="1"/>
      <x:c r="B22" s="1"/>
      <x:c r="C22" s="23" t="str">
        <x:v>Downside</x:v>
      </x:c>
      <x:c r="D22" s="24"/>
      <x:c r="E22" s="26" t="n">
        <x:v>0.07</x:v>
      </x:c>
      <x:c r="F22" s="26" t="n">
        <x:v>0.07</x:v>
      </x:c>
      <x:c r="G22" s="26" t="n">
        <x:v>0.07</x:v>
      </x:c>
      <x:c r="H22" s="26" t="n">
        <x:v>0.07</x:v>
      </x:c>
      <x:c r="I22" s="26" t="n">
        <x:v>0.07</x:v>
      </x:c>
      <x:c r="J22" s="1"/>
      <x:c r="K22" s="1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</x:row>
    <x:row r="23" ht="18" customHeight="1">
      <x:c r="A23" s="1"/>
      <x:c r="B23" s="1"/>
      <x:c r="C23" s="23" t="str">
        <x:v>Upside</x:v>
      </x:c>
      <x:c r="D23" s="24"/>
      <x:c r="E23" s="26" t="n">
        <x:v>0.18</x:v>
      </x:c>
      <x:c r="F23" s="26" t="n">
        <x:v>0.18</x:v>
      </x:c>
      <x:c r="G23" s="26" t="n">
        <x:v>0.18</x:v>
      </x:c>
      <x:c r="H23" s="26" t="n">
        <x:v>0.18</x:v>
      </x:c>
      <x:c r="I23" s="26" t="n">
        <x:v>0.18</x:v>
      </x:c>
      <x:c r="J23" s="1"/>
      <x:c r="K23" s="1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</x:row>
    <x:row r="24" ht="18" customHeight="1">
      <x:c r="A24" s="1"/>
      <x:c r="B24" s="1"/>
      <x:c r="C24" s="28" t="str">
        <x:v>Credit cost / average gross loans — active</x:v>
      </x:c>
      <x:c r="D24" s="29"/>
      <x:c r="E24" s="30" t="n">
        <x:f>IF(COUNT(INDEX(E25:E27,'Controls'!$E$5))=0,NA(),INDEX(E25:E27,'Controls'!$E$5))</x:f>
        <x:v>0.025</x:v>
      </x:c>
      <x:c r="F24" s="30" t="n">
        <x:f>IF(COUNT(INDEX(F25:F27,'Controls'!$E$5))=0,NA(),INDEX(F25:F27,'Controls'!$E$5))</x:f>
        <x:v>0.025</x:v>
      </x:c>
      <x:c r="G24" s="30" t="n">
        <x:f>IF(COUNT(INDEX(G25:G27,'Controls'!$E$5))=0,NA(),INDEX(G25:G27,'Controls'!$E$5))</x:f>
        <x:v>0.025</x:v>
      </x:c>
      <x:c r="H24" s="30" t="n">
        <x:f>IF(COUNT(INDEX(H25:H27,'Controls'!$E$5))=0,NA(),INDEX(H25:H27,'Controls'!$E$5))</x:f>
        <x:v>0.025</x:v>
      </x:c>
      <x:c r="I24" s="30" t="n">
        <x:f>IF(COUNT(INDEX(I25:I27,'Controls'!$E$5))=0,NA(),INDEX(I25:I27,'Controls'!$E$5))</x:f>
        <x:v>0.025</x:v>
      </x:c>
      <x:c r="J24" s="1"/>
      <x:c r="K24" s="1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</x:row>
    <x:row r="25" ht="18" customHeight="1">
      <x:c r="A25" s="1"/>
      <x:c r="B25" s="1"/>
      <x:c r="C25" s="23" t="str">
        <x:v>Base</x:v>
      </x:c>
      <x:c r="D25" s="24"/>
      <x:c r="E25" s="26" t="n">
        <x:v>0.025</x:v>
      </x:c>
      <x:c r="F25" s="26" t="n">
        <x:v>0.025</x:v>
      </x:c>
      <x:c r="G25" s="26" t="n">
        <x:v>0.025</x:v>
      </x:c>
      <x:c r="H25" s="26" t="n">
        <x:v>0.025</x:v>
      </x:c>
      <x:c r="I25" s="26" t="n">
        <x:v>0.025</x:v>
      </x:c>
      <x:c r="J25" s="1"/>
      <x:c r="K25" s="1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</x:row>
    <x:row r="26" ht="18" customHeight="1">
      <x:c r="A26" s="1"/>
      <x:c r="B26" s="1"/>
      <x:c r="C26" s="23" t="str">
        <x:v>Downside</x:v>
      </x:c>
      <x:c r="D26" s="24"/>
      <x:c r="E26" s="26" t="n">
        <x:v>0.04</x:v>
      </x:c>
      <x:c r="F26" s="26" t="n">
        <x:v>0.04</x:v>
      </x:c>
      <x:c r="G26" s="26" t="n">
        <x:v>0.04</x:v>
      </x:c>
      <x:c r="H26" s="26" t="n">
        <x:v>0.04</x:v>
      </x:c>
      <x:c r="I26" s="26" t="n">
        <x:v>0.04</x:v>
      </x:c>
      <x:c r="J26" s="1"/>
      <x:c r="K26" s="1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</x:row>
    <x:row r="27" ht="18" customHeight="1">
      <x:c r="A27" s="1"/>
      <x:c r="B27" s="1"/>
      <x:c r="C27" s="23" t="str">
        <x:v>Upside</x:v>
      </x:c>
      <x:c r="D27" s="24"/>
      <x:c r="E27" s="26" t="n">
        <x:v>0.018</x:v>
      </x:c>
      <x:c r="F27" s="26" t="n">
        <x:v>0.018</x:v>
      </x:c>
      <x:c r="G27" s="26" t="n">
        <x:v>0.018</x:v>
      </x:c>
      <x:c r="H27" s="26" t="n">
        <x:v>0.018</x:v>
      </x:c>
      <x:c r="I27" s="26" t="n">
        <x:v>0.018</x:v>
      </x:c>
      <x:c r="J27" s="1"/>
      <x:c r="K27" s="1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</x:row>
    <x:row r="28" ht="18" customHeight="1">
      <x:c r="A28" s="1"/>
      <x:c r="B28" s="1"/>
      <x:c r="C28" s="23" t="str">
        <x:v>Borrowing growth</x:v>
      </x:c>
      <x:c r="D28" s="24"/>
      <x:c r="E28" s="26" t="n">
        <x:f>E400</x:f>
        <x:v>0.13</x:v>
      </x:c>
      <x:c r="F28" s="26" t="n">
        <x:f>F400</x:f>
        <x:v>0.13</x:v>
      </x:c>
      <x:c r="G28" s="26" t="n">
        <x:f>G400</x:f>
        <x:v>0.13</x:v>
      </x:c>
      <x:c r="H28" s="26" t="n">
        <x:f>H400</x:f>
        <x:v>0.13</x:v>
      </x:c>
      <x:c r="I28" s="26" t="n">
        <x:f>I400</x:f>
        <x:v>0.13</x:v>
      </x:c>
      <x:c r="J28" s="1"/>
      <x:c r="K28" s="1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</x:row>
    <x:row r="29" ht="18" customHeight="1">
      <x:c r="A29" s="1"/>
      <x:c r="B29" s="1"/>
      <x:c r="C29" s="23" t="str">
        <x:v>Investment asset growth</x:v>
      </x:c>
      <x:c r="D29" s="24"/>
      <x:c r="E29" s="26" t="n">
        <x:f>E405</x:f>
        <x:v>0.08</x:v>
      </x:c>
      <x:c r="F29" s="26" t="n">
        <x:f>F405</x:f>
        <x:v>0.08</x:v>
      </x:c>
      <x:c r="G29" s="26" t="n">
        <x:f>G405</x:f>
        <x:v>0.08</x:v>
      </x:c>
      <x:c r="H29" s="26" t="n">
        <x:f>H405</x:f>
        <x:v>0.08</x:v>
      </x:c>
      <x:c r="I29" s="26" t="n">
        <x:f>I405</x:f>
        <x:v>0.08</x:v>
      </x:c>
      <x:c r="J29" s="1"/>
      <x:c r="K29" s="1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</x:row>
    <x:row r="30" ht="18" customHeight="1">
      <x:c r="A30" s="1"/>
      <x:c r="B30" s="1"/>
      <x:c r="C30" s="23" t="str">
        <x:v>Gross-loan yield</x:v>
      </x:c>
      <x:c r="D30" s="24"/>
      <x:c r="E30" s="26" t="n">
        <x:f>E410</x:f>
        <x:v>0.17</x:v>
      </x:c>
      <x:c r="F30" s="26" t="n">
        <x:f>F410</x:f>
        <x:v>0.17</x:v>
      </x:c>
      <x:c r="G30" s="26" t="n">
        <x:f>G410</x:f>
        <x:v>0.17</x:v>
      </x:c>
      <x:c r="H30" s="26" t="n">
        <x:f>H410</x:f>
        <x:v>0.17</x:v>
      </x:c>
      <x:c r="I30" s="26" t="n">
        <x:f>I410</x:f>
        <x:v>0.17</x:v>
      </x:c>
      <x:c r="J30" s="1"/>
      <x:c r="K30" s="1"/>
      <x:c r="M30" s="82" t="str">
        <x:v>Historical actuals and forecast | INR crore</x:v>
      </x:c>
      <x:c r="N30" s="82"/>
      <x:c r="O30" s="82"/>
      <x:c r="P30" s="82"/>
      <x:c r="Q30" s="82"/>
      <x:c r="R30" s="82"/>
      <x:c r="S30" s="82"/>
      <x:c r="T30" s="82"/>
      <x:c r="U30" s="82"/>
      <x:c r="V30" s="63"/>
    </x:row>
    <x:row r="31" ht="18" customHeight="1">
      <x:c r="A31" s="1"/>
      <x:c r="B31" s="1"/>
      <x:c r="C31" s="23" t="str">
        <x:v>Borrowing cost</x:v>
      </x:c>
      <x:c r="D31" s="24"/>
      <x:c r="E31" s="26" t="n">
        <x:f>E415</x:f>
        <x:v>0.085</x:v>
      </x:c>
      <x:c r="F31" s="26" t="n">
        <x:f>F415</x:f>
        <x:v>0.085</x:v>
      </x:c>
      <x:c r="G31" s="26" t="n">
        <x:f>G415</x:f>
        <x:v>0.085</x:v>
      </x:c>
      <x:c r="H31" s="26" t="n">
        <x:f>H415</x:f>
        <x:v>0.085</x:v>
      </x:c>
      <x:c r="I31" s="26" t="n">
        <x:f>I415</x:f>
        <x:v>0.085</x:v>
      </x:c>
      <x:c r="J31" s="1"/>
      <x:c r="K31" s="1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</x:row>
    <x:row r="32" ht="18" customHeight="1">
      <x:c r="A32" s="1"/>
      <x:c r="B32" s="1"/>
      <x:c r="C32" s="23" t="str">
        <x:v>Investment yield</x:v>
      </x:c>
      <x:c r="D32" s="24"/>
      <x:c r="E32" s="26" t="n">
        <x:f>E420</x:f>
        <x:v>0.065</x:v>
      </x:c>
      <x:c r="F32" s="26" t="n">
        <x:f>F420</x:f>
        <x:v>0.065</x:v>
      </x:c>
      <x:c r="G32" s="26" t="n">
        <x:f>G420</x:f>
        <x:v>0.065</x:v>
      </x:c>
      <x:c r="H32" s="26" t="n">
        <x:f>H420</x:f>
        <x:v>0.065</x:v>
      </x:c>
      <x:c r="I32" s="26" t="n">
        <x:f>I420</x:f>
        <x:v>0.065</x:v>
      </x:c>
      <x:c r="J32" s="1"/>
      <x:c r="K32" s="1"/>
      <x:c r="M32" s="63" t="str">
        <x:v>Metric</x:v>
      </x:c>
      <x:c r="N32" s="88" t="n">
        <x:f>'Controls'!$E$17+-3</x:f>
        <x:v>2024</x:v>
      </x:c>
      <x:c r="O32" s="88" t="n">
        <x:f>'Controls'!$E$17+-2</x:f>
        <x:v>2025</x:v>
      </x:c>
      <x:c r="P32" s="88" t="n">
        <x:f>'Controls'!$E$17+-1</x:f>
        <x:v>2026</x:v>
      </x:c>
      <x:c r="Q32" s="89" t="n">
        <x:f>'Controls'!$E$17+0</x:f>
        <x:v>2027</x:v>
      </x:c>
      <x:c r="R32" s="89" t="n">
        <x:f>'Controls'!$E$17+1</x:f>
        <x:v>2028</x:v>
      </x:c>
      <x:c r="S32" s="89" t="n">
        <x:f>'Controls'!$E$17+2</x:f>
        <x:v>2029</x:v>
      </x:c>
      <x:c r="T32" s="89" t="n">
        <x:f>'Controls'!$E$17+3</x:f>
        <x:v>2030</x:v>
      </x:c>
      <x:c r="U32" s="89" t="n">
        <x:f>'Controls'!$E$17+4</x:f>
        <x:v>2031</x:v>
      </x:c>
      <x:c r="V32" s="63" t="str">
        <x:v>Source / reporting date</x:v>
      </x:c>
    </x:row>
    <x:row r="33" ht="18" customHeight="1">
      <x:c r="A33" s="1"/>
      <x:c r="B33" s="1"/>
      <x:c r="C33" s="23" t="str">
        <x:v>Fee income / average gross loans</x:v>
      </x:c>
      <x:c r="D33" s="24"/>
      <x:c r="E33" s="26" t="n">
        <x:f>E425</x:f>
        <x:v>0.012</x:v>
      </x:c>
      <x:c r="F33" s="26" t="n">
        <x:f>F425</x:f>
        <x:v>0.012</x:v>
      </x:c>
      <x:c r="G33" s="26" t="n">
        <x:f>G425</x:f>
        <x:v>0.012</x:v>
      </x:c>
      <x:c r="H33" s="26" t="n">
        <x:f>H425</x:f>
        <x:v>0.012</x:v>
      </x:c>
      <x:c r="I33" s="26" t="n">
        <x:f>I425</x:f>
        <x:v>0.012</x:v>
      </x:c>
      <x:c r="J33" s="1"/>
      <x:c r="K33" s="1"/>
      <x:c r="M33" s="63" t="str">
        <x:v>Income</x:v>
      </x:c>
      <x:c r="N33" s="74"/>
      <x:c r="O33" s="74"/>
      <x:c r="P33" s="74"/>
      <x:c r="Q33" s="8" t="n">
        <x:f>E56</x:f>
        <x:v>2495.8</x:v>
      </x:c>
      <x:c r="R33" s="8" t="n">
        <x:f>F56</x:f>
        <x:v>2816.8739999999993</x:v>
      </x:c>
      <x:c r="S33" s="8" t="n">
        <x:f>G56</x:f>
        <x:v>3179.417219999999</x:v>
      </x:c>
      <x:c r="T33" s="8" t="n">
        <x:f>H56</x:f>
        <x:v>3588.7990265999983</x:v>
      </x:c>
      <x:c r="U33" s="8" t="n">
        <x:f>I56</x:f>
        <x:v>4051.085073497996</x:v>
      </x:c>
      <x:c r="V33" s="63"/>
    </x:row>
    <x:row r="34" ht="18" customHeight="1">
      <x:c r="A34" s="1"/>
      <x:c r="B34" s="1"/>
      <x:c r="C34" s="23" t="str">
        <x:v>Operating cost / net operating income</x:v>
      </x:c>
      <x:c r="D34" s="24"/>
      <x:c r="E34" s="26" t="n">
        <x:f>E430</x:f>
        <x:v>0.35</x:v>
      </x:c>
      <x:c r="F34" s="26" t="n">
        <x:f>F430</x:f>
        <x:v>0.35</x:v>
      </x:c>
      <x:c r="G34" s="26" t="n">
        <x:f>G430</x:f>
        <x:v>0.35</x:v>
      </x:c>
      <x:c r="H34" s="26" t="n">
        <x:f>H430</x:f>
        <x:v>0.35</x:v>
      </x:c>
      <x:c r="I34" s="26" t="n">
        <x:f>I430</x:f>
        <x:v>0.35</x:v>
      </x:c>
      <x:c r="J34" s="1"/>
      <x:c r="K34" s="1"/>
      <x:c r="M34" s="63" t="str">
        <x:v>Profit after tax</x:v>
      </x:c>
      <x:c r="N34" s="74"/>
      <x:c r="O34" s="74"/>
      <x:c r="P34" s="74"/>
      <x:c r="Q34" s="8" t="n">
        <x:f>E62</x:f>
        <x:v>817.3275000000001</x:v>
      </x:c>
      <x:c r="R34" s="8" t="n">
        <x:f>F62</x:f>
        <x:v>921.9323249999998</x:v>
      </x:c>
      <x:c r="S34" s="8" t="n">
        <x:f>G62</x:f>
        <x:v>1040.0039572499995</x:v>
      </x:c>
      <x:c r="T34" s="8" t="n">
        <x:f>H62</x:f>
        <x:v>1173.2825360924994</x:v>
      </x:c>
      <x:c r="U34" s="8" t="n">
        <x:f>I62</x:f>
        <x:v>1323.7335753365237</x:v>
      </x:c>
      <x:c r="V34" s="63"/>
    </x:row>
    <x:row r="35" ht="18" customHeight="1">
      <x:c r="A35" s="1"/>
      <x:c r="B35" s="1"/>
      <x:c r="C35" s="23" t="str">
        <x:v>NPA slippages / opening gross loans</x:v>
      </x:c>
      <x:c r="D35" s="24"/>
      <x:c r="E35" s="26" t="n">
        <x:f>E435</x:f>
        <x:v>0.025</x:v>
      </x:c>
      <x:c r="F35" s="26" t="n">
        <x:f>F435</x:f>
        <x:v>0.025</x:v>
      </x:c>
      <x:c r="G35" s="26" t="n">
        <x:f>G435</x:f>
        <x:v>0.025</x:v>
      </x:c>
      <x:c r="H35" s="26" t="n">
        <x:f>H435</x:f>
        <x:v>0.025</x:v>
      </x:c>
      <x:c r="I35" s="26" t="n">
        <x:f>I435</x:f>
        <x:v>0.025</x:v>
      </x:c>
      <x:c r="J35" s="1"/>
      <x:c r="K35" s="1"/>
      <x:c r="M35" s="63" t="str">
        <x:v>Closing equity</x:v>
      </x:c>
      <x:c r="N35" s="74"/>
      <x:c r="O35" s="74"/>
      <x:c r="P35" s="74"/>
      <x:c r="Q35" s="8" t="n">
        <x:f>E71</x:f>
        <x:v>5653.862</x:v>
      </x:c>
      <x:c r="R35" s="8" t="n">
        <x:f>F71</x:f>
        <x:v>6391.40786</x:v>
      </x:c>
      <x:c r="S35" s="8" t="n">
        <x:f>G71</x:f>
        <x:v>7223.4110258</x:v>
      </x:c>
      <x:c r="T35" s="8" t="n">
        <x:f>H71</x:f>
        <x:v>8162.037054674</x:v>
      </x:c>
      <x:c r="U35" s="8" t="n">
        <x:f>I71</x:f>
        <x:v>9221.023914943218</x:v>
      </x:c>
      <x:c r="V35" s="63"/>
    </x:row>
    <x:row r="36" ht="18" customHeight="1">
      <x:c r="A36" s="1"/>
      <x:c r="B36" s="1"/>
      <x:c r="C36" s="23" t="str">
        <x:v>NPA recovery / opening gross NPA</x:v>
      </x:c>
      <x:c r="D36" s="24"/>
      <x:c r="E36" s="26" t="n">
        <x:f>E440</x:f>
        <x:v>0.2</x:v>
      </x:c>
      <x:c r="F36" s="26" t="n">
        <x:f>F440</x:f>
        <x:v>0.2</x:v>
      </x:c>
      <x:c r="G36" s="26" t="n">
        <x:f>G440</x:f>
        <x:v>0.2</x:v>
      </x:c>
      <x:c r="H36" s="26" t="n">
        <x:f>H440</x:f>
        <x:v>0.2</x:v>
      </x:c>
      <x:c r="I36" s="26" t="n">
        <x:f>I440</x:f>
        <x:v>0.2</x:v>
      </x:c>
      <x:c r="J36" s="1"/>
      <x:c r="K36" s="1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</x:row>
    <x:row r="37" ht="18" customHeight="1">
      <x:c r="A37" s="1"/>
      <x:c r="B37" s="1"/>
      <x:c r="C37" s="23" t="str">
        <x:v>Write-offs / opening gross NPA</x:v>
      </x:c>
      <x:c r="D37" s="24"/>
      <x:c r="E37" s="26" t="n">
        <x:f>E445</x:f>
        <x:v>0.25</x:v>
      </x:c>
      <x:c r="F37" s="26" t="n">
        <x:f>F445</x:f>
        <x:v>0.25</x:v>
      </x:c>
      <x:c r="G37" s="26" t="n">
        <x:f>G445</x:f>
        <x:v>0.25</x:v>
      </x:c>
      <x:c r="H37" s="26" t="n">
        <x:f>H445</x:f>
        <x:v>0.25</x:v>
      </x:c>
      <x:c r="I37" s="26" t="n">
        <x:f>I445</x:f>
        <x:v>0.25</x:v>
      </x:c>
      <x:c r="J37" s="1"/>
      <x:c r="K37" s="1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</x:row>
    <x:row r="38" ht="18" customHeight="1">
      <x:c r="A38" s="1"/>
      <x:c r="B38" s="1"/>
      <x:c r="C38" s="23" t="str">
        <x:v>Effective cash tax rate</x:v>
      </x:c>
      <x:c r="D38" s="24"/>
      <x:c r="E38" s="26" t="n">
        <x:f>E450</x:f>
        <x:v>0.25</x:v>
      </x:c>
      <x:c r="F38" s="26" t="n">
        <x:f>F450</x:f>
        <x:v>0.25</x:v>
      </x:c>
      <x:c r="G38" s="26" t="n">
        <x:f>G450</x:f>
        <x:v>0.25</x:v>
      </x:c>
      <x:c r="H38" s="26" t="n">
        <x:f>H450</x:f>
        <x:v>0.25</x:v>
      </x:c>
      <x:c r="I38" s="26" t="n">
        <x:f>I450</x:f>
        <x:v>0.25</x:v>
      </x:c>
      <x:c r="J38" s="1"/>
      <x:c r="K38" s="1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</x:row>
    <x:row r="39" ht="18" customHeight="1">
      <x:c r="A39" s="1"/>
      <x:c r="B39" s="1"/>
      <x:c r="C39" s="23" t="str">
        <x:v>Dividend payout</x:v>
      </x:c>
      <x:c r="D39" s="24"/>
      <x:c r="E39" s="26" t="n">
        <x:f>E455</x:f>
        <x:v>0.2</x:v>
      </x:c>
      <x:c r="F39" s="26" t="n">
        <x:f>F455</x:f>
        <x:v>0.2</x:v>
      </x:c>
      <x:c r="G39" s="26" t="n">
        <x:f>G455</x:f>
        <x:v>0.2</x:v>
      </x:c>
      <x:c r="H39" s="26" t="n">
        <x:f>H455</x:f>
        <x:v>0.2</x:v>
      </x:c>
      <x:c r="I39" s="26" t="n">
        <x:f>I455</x:f>
        <x:v>0.2</x:v>
      </x:c>
      <x:c r="J39" s="1"/>
      <x:c r="K39" s="1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</x:row>
    <x:row r="40" ht="18" customHeight="1">
      <x:c r="A40" s="1"/>
      <x:c r="B40" s="1"/>
      <x:c r="C40" s="1" t="str">
        <x:v>Fresh equity raised</x:v>
      </x:c>
      <x:c r="D40" s="2"/>
      <x:c r="E40" s="7" t="n">
        <x:f>E460</x:f>
        <x:v>0</x:v>
      </x:c>
      <x:c r="F40" s="7" t="n">
        <x:f>F460</x:f>
        <x:v>0</x:v>
      </x:c>
      <x:c r="G40" s="7" t="n">
        <x:f>G460</x:f>
        <x:v>0</x:v>
      </x:c>
      <x:c r="H40" s="7" t="n">
        <x:f>H460</x:f>
        <x:v>0</x:v>
      </x:c>
      <x:c r="I40" s="7" t="n">
        <x:f>I460</x:f>
        <x:v>0</x:v>
      </x:c>
      <x:c r="J40" s="1"/>
      <x:c r="K40" s="1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</x:row>
    <x:row r="41" ht="18" customHeight="1">
      <x:c r="A41" s="1"/>
      <x:c r="B41" s="1"/>
      <x:c r="C41" s="23" t="str">
        <x:v>Risk-weighted assets / gross loans</x:v>
      </x:c>
      <x:c r="D41" s="24"/>
      <x:c r="E41" s="26" t="n">
        <x:f>E465</x:f>
        <x:v>1</x:v>
      </x:c>
      <x:c r="F41" s="26" t="n">
        <x:f>F465</x:f>
        <x:v>1</x:v>
      </x:c>
      <x:c r="G41" s="26" t="n">
        <x:f>G465</x:f>
        <x:v>1</x:v>
      </x:c>
      <x:c r="H41" s="26" t="n">
        <x:f>H465</x:f>
        <x:v>1</x:v>
      </x:c>
      <x:c r="I41" s="26" t="n">
        <x:f>I465</x:f>
        <x:v>1</x:v>
      </x:c>
      <x:c r="J41" s="1"/>
      <x:c r="K41" s="1" t="str">
        <x:v>Analytical proxy. Not a regulatory risk-weight calculation.</x:v>
      </x:c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</x:row>
    <x:row r="42" ht="18" customHeight="1">
      <x:c r="A42" s="1"/>
      <x:c r="B42" s="1"/>
      <x:c r="C42" s="23" t="str">
        <x:v>Eligible capital / modeled book equity</x:v>
      </x:c>
      <x:c r="D42" s="24"/>
      <x:c r="E42" s="26" t="n">
        <x:f>E470</x:f>
        <x:v>0.9</x:v>
      </x:c>
      <x:c r="F42" s="26" t="n">
        <x:f>F470</x:f>
        <x:v>0.9</x:v>
      </x:c>
      <x:c r="G42" s="26" t="n">
        <x:f>G470</x:f>
        <x:v>0.9</x:v>
      </x:c>
      <x:c r="H42" s="26" t="n">
        <x:f>H470</x:f>
        <x:v>0.9</x:v>
      </x:c>
      <x:c r="I42" s="26" t="n">
        <x:f>I470</x:f>
        <x:v>0.9</x:v>
      </x:c>
      <x:c r="J42" s="1"/>
      <x:c r="K42" s="1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</x:row>
    <x:row r="43" ht="18" customHeight="1">
      <x:c r="A43" s="1"/>
      <x:c r="B43" s="1"/>
      <x:c r="C43" s="23" t="str">
        <x:v>Internal capital ratio target</x:v>
      </x:c>
      <x:c r="D43" s="24"/>
      <x:c r="E43" s="26" t="n">
        <x:f>E475</x:f>
        <x:v>0.15</x:v>
      </x:c>
      <x:c r="F43" s="26" t="n">
        <x:f>F475</x:f>
        <x:v>0.15</x:v>
      </x:c>
      <x:c r="G43" s="26" t="n">
        <x:f>G475</x:f>
        <x:v>0.15</x:v>
      </x:c>
      <x:c r="H43" s="26" t="n">
        <x:f>H475</x:f>
        <x:v>0.15</x:v>
      </x:c>
      <x:c r="I43" s="26" t="n">
        <x:f>I475</x:f>
        <x:v>0.15</x:v>
      </x:c>
      <x:c r="J43" s="1"/>
      <x:c r="K43" s="1" t="str">
        <x:v>Illustrative internal threshold, not a legal minimum.</x:v>
      </x:c>
      <x:c r="M43" s="64" t="str">
        <x:v>Actuals are reference inputs. Calibrate the opening balances and forecast assumptions separately.</x:v>
      </x:c>
      <x:c r="N43" s="64"/>
      <x:c r="O43" s="64"/>
      <x:c r="P43" s="64"/>
      <x:c r="Q43" s="64"/>
      <x:c r="R43" s="64"/>
      <x:c r="S43" s="64"/>
      <x:c r="T43" s="64"/>
      <x:c r="U43" s="64"/>
      <x:c r="V43" s="63"/>
    </x:row>
    <x:row r="44" ht="18" customHeight="1">
      <x:c r="A44" s="1"/>
      <x:c r="B44" s="1"/>
      <x:c r="C44" s="19" t="str">
        <x:v>LENDING AND FUNDING BUILD</x:v>
      </x:c>
      <x:c r="D44" s="20"/>
      <x:c r="E44" s="20"/>
      <x:c r="F44" s="20"/>
      <x:c r="G44" s="20"/>
      <x:c r="H44" s="20"/>
      <x:c r="I44" s="20"/>
      <x:c r="J44" s="1"/>
      <x:c r="K44" s="1"/>
      <x:c r="M44" s="64"/>
      <x:c r="N44" s="64"/>
      <x:c r="O44" s="64"/>
      <x:c r="P44" s="64"/>
      <x:c r="Q44" s="64"/>
      <x:c r="R44" s="64"/>
      <x:c r="S44" s="64"/>
      <x:c r="T44" s="64"/>
      <x:c r="U44" s="64"/>
      <x:c r="V44" s="63"/>
    </x:row>
    <x:row r="45" ht="18" customHeight="1">
      <x:c r="A45" s="1"/>
      <x:c r="B45" s="1"/>
      <x:c r="C45" s="1" t="str">
        <x:v>Closing gross loans</x:v>
      </x:c>
      <x:c r="D45" s="2"/>
      <x:c r="E45" s="8" t="n">
        <x:f>$D10*(1+E20)</x:f>
        <x:v>22599.999999999996</x:v>
      </x:c>
      <x:c r="F45" s="8" t="n">
        <x:f>E45*(1+F20)</x:f>
        <x:v>25537.999999999993</x:v>
      </x:c>
      <x:c r="G45" s="8" t="n">
        <x:f>F45*(1+G20)</x:f>
        <x:v>28857.939999999988</x:v>
      </x:c>
      <x:c r="H45" s="8" t="n">
        <x:f>G45*(1+H20)</x:f>
        <x:v>32609.472199999982</x:v>
      </x:c>
      <x:c r="I45" s="8" t="n">
        <x:f>H45*(1+I20)</x:f>
        <x:v>36848.703585999974</x:v>
      </x:c>
      <x:c r="J45" s="1"/>
      <x:c r="K45" s="1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</x:row>
    <x:row r="46" ht="18" customHeight="1">
      <x:c r="A46" s="1"/>
      <x:c r="B46" s="1"/>
      <x:c r="C46" s="1" t="str">
        <x:v>Average gross loans</x:v>
      </x:c>
      <x:c r="D46" s="2"/>
      <x:c r="E46" s="8" t="n">
        <x:f>($D10+E45)/2</x:f>
        <x:v>21300</x:v>
      </x:c>
      <x:c r="F46" s="8" t="n">
        <x:f>(E45+F45)/2</x:f>
        <x:v>24068.999999999993</x:v>
      </x:c>
      <x:c r="G46" s="8" t="n">
        <x:f>(F45+G45)/2</x:f>
        <x:v>27197.96999999999</x:v>
      </x:c>
      <x:c r="H46" s="8" t="n">
        <x:f>(G45+H45)/2</x:f>
        <x:v>30733.706099999985</x:v>
      </x:c>
      <x:c r="I46" s="8" t="n">
        <x:f>(H45+I45)/2</x:f>
        <x:v>34729.087892999974</x:v>
      </x:c>
      <x:c r="J46" s="1"/>
      <x:c r="K46" s="1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</x:row>
    <x:row r="47" ht="18" customHeight="1">
      <x:c r="A47" s="1"/>
      <x:c r="B47" s="1"/>
      <x:c r="C47" s="1" t="str">
        <x:v>Closing funding balance</x:v>
      </x:c>
      <x:c r="D47" s="2"/>
      <x:c r="E47" s="8" t="n">
        <x:f>$D11*(1+E28)</x:f>
        <x:v>18080</x:v>
      </x:c>
      <x:c r="F47" s="8" t="n">
        <x:f>E47*(1+F28)</x:f>
        <x:v>20430.399999999998</x:v>
      </x:c>
      <x:c r="G47" s="8" t="n">
        <x:f>F47*(1+G28)</x:f>
        <x:v>23086.351999999995</x:v>
      </x:c>
      <x:c r="H47" s="8" t="n">
        <x:f>G47*(1+H28)</x:f>
        <x:v>26087.577759999993</x:v>
      </x:c>
      <x:c r="I47" s="8" t="n">
        <x:f>H47*(1+I28)</x:f>
        <x:v>29478.96286879999</x:v>
      </x:c>
      <x:c r="J47" s="1"/>
      <x:c r="K47" s="1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</x:row>
    <x:row r="48" ht="18" customHeight="1">
      <x:c r="A48" s="1"/>
      <x:c r="B48" s="1"/>
      <x:c r="C48" s="1" t="str">
        <x:v>Average funding balance</x:v>
      </x:c>
      <x:c r="D48" s="2"/>
      <x:c r="E48" s="8" t="n">
        <x:f>($D11+E47)/2</x:f>
        <x:v>17040</x:v>
      </x:c>
      <x:c r="F48" s="8" t="n">
        <x:f>(E47+F47)/2</x:f>
        <x:v>19255.199999999997</x:v>
      </x:c>
      <x:c r="G48" s="8" t="n">
        <x:f>(F47+G47)/2</x:f>
        <x:v>21758.375999999997</x:v>
      </x:c>
      <x:c r="H48" s="8" t="n">
        <x:f>(G47+H47)/2</x:f>
        <x:v>24586.964879999992</x:v>
      </x:c>
      <x:c r="I48" s="8" t="n">
        <x:f>(H47+I47)/2</x:f>
        <x:v>27783.27031439999</x:v>
      </x:c>
      <x:c r="J48" s="1"/>
      <x:c r="K48" s="1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</x:row>
    <x:row r="49" ht="18" customHeight="1">
      <x:c r="A49" s="1"/>
      <x:c r="B49" s="1"/>
      <x:c r="C49" s="1" t="str">
        <x:v>Closing investment assets</x:v>
      </x:c>
      <x:c r="D49" s="2"/>
      <x:c r="E49" s="8" t="n">
        <x:f>$D12*(1+E29)</x:f>
        <x:v>1080</x:v>
      </x:c>
      <x:c r="F49" s="8" t="n">
        <x:f>E49*(1+F29)</x:f>
        <x:v>1166.4</x:v>
      </x:c>
      <x:c r="G49" s="8" t="n">
        <x:f>F49*(1+G29)</x:f>
        <x:v>1259.7120000000002</x:v>
      </x:c>
      <x:c r="H49" s="8" t="n">
        <x:f>G49*(1+H29)</x:f>
        <x:v>1360.4889600000004</x:v>
      </x:c>
      <x:c r="I49" s="8" t="n">
        <x:f>H49*(1+I29)</x:f>
        <x:v>1469.3280768000004</x:v>
      </x:c>
      <x:c r="J49" s="1"/>
      <x:c r="K49" s="1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</x:row>
    <x:row r="50" ht="18" customHeight="1">
      <x:c r="A50" s="1"/>
      <x:c r="B50" s="1"/>
      <x:c r="C50" s="1" t="str">
        <x:v>Average investment assets</x:v>
      </x:c>
      <x:c r="D50" s="2"/>
      <x:c r="E50" s="8" t="n">
        <x:f>($D12+E49)/2</x:f>
        <x:v>1040</x:v>
      </x:c>
      <x:c r="F50" s="8" t="n">
        <x:f>(E49+F49)/2</x:f>
        <x:v>1123.2</x:v>
      </x:c>
      <x:c r="G50" s="8" t="n">
        <x:f>(F49+G49)/2</x:f>
        <x:v>1213.056</x:v>
      </x:c>
      <x:c r="H50" s="8" t="n">
        <x:f>(G49+H49)/2</x:f>
        <x:v>1310.1004800000003</x:v>
      </x:c>
      <x:c r="I50" s="8" t="n">
        <x:f>(H49+I49)/2</x:f>
        <x:v>1414.9085184000005</x:v>
      </x:c>
      <x:c r="J50" s="1"/>
      <x:c r="K50" s="1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</x:row>
    <x:row r="51" ht="18" customHeight="1">
      <x:c r="A51" s="1"/>
      <x:c r="B51" s="1"/>
      <x:c r="C51" s="19" t="str">
        <x:v>INCOME STATEMENT</x:v>
      </x:c>
      <x:c r="D51" s="20"/>
      <x:c r="E51" s="20"/>
      <x:c r="F51" s="20"/>
      <x:c r="G51" s="20"/>
      <x:c r="H51" s="20"/>
      <x:c r="I51" s="20"/>
      <x:c r="J51" s="1"/>
      <x:c r="K51" s="1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</x:row>
    <x:row r="52" ht="18" customHeight="1">
      <x:c r="A52" s="1"/>
      <x:c r="B52" s="1"/>
      <x:c r="C52" s="1" t="str">
        <x:v>Interest income</x:v>
      </x:c>
      <x:c r="D52" s="2"/>
      <x:c r="E52" s="8" t="n">
        <x:f>E46*E30+E50*E32</x:f>
        <x:v>3688.6000000000004</x:v>
      </x:c>
      <x:c r="F52" s="8" t="n">
        <x:f>F46*F30+F50*F32</x:f>
        <x:v>4164.737999999999</x:v>
      </x:c>
      <x:c r="G52" s="8" t="n">
        <x:f>G46*G30+G50*G32</x:f>
        <x:v>4702.503539999999</x:v>
      </x:c>
      <x:c r="H52" s="8" t="n">
        <x:f>H46*H30+H50*H32</x:f>
        <x:v>5309.886568199998</x:v>
      </x:c>
      <x:c r="I52" s="8" t="n">
        <x:f>I46*I30+I50*I32</x:f>
        <x:v>5995.913995505995</x:v>
      </x:c>
      <x:c r="J52" s="1"/>
      <x:c r="K52" s="1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</x:row>
    <x:row r="53" ht="18" customHeight="1">
      <x:c r="A53" s="1"/>
      <x:c r="B53" s="1"/>
      <x:c r="C53" s="1" t="str">
        <x:v>Interest expense</x:v>
      </x:c>
      <x:c r="D53" s="2"/>
      <x:c r="E53" s="8" t="n">
        <x:f>E48*E31</x:f>
        <x:v>1448.4</x:v>
      </x:c>
      <x:c r="F53" s="8" t="n">
        <x:f>F48*F31</x:f>
        <x:v>1636.6919999999998</x:v>
      </x:c>
      <x:c r="G53" s="8" t="n">
        <x:f>G48*G31</x:f>
        <x:v>1849.4619599999999</x:v>
      </x:c>
      <x:c r="H53" s="8" t="n">
        <x:f>H48*H31</x:f>
        <x:v>2089.8920147999993</x:v>
      </x:c>
      <x:c r="I53" s="8" t="n">
        <x:f>I48*I31</x:f>
        <x:v>2361.577976723999</x:v>
      </x:c>
      <x:c r="J53" s="1"/>
      <x:c r="K53" s="1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</x:row>
    <x:row r="54" ht="18" customHeight="1">
      <x:c r="A54" s="1"/>
      <x:c r="B54" s="1"/>
      <x:c r="C54" s="38" t="str">
        <x:v>Net interest income</x:v>
      </x:c>
      <x:c r="D54" s="39"/>
      <x:c r="E54" s="41" t="n">
        <x:f>E52-E53</x:f>
        <x:v>2240.2000000000003</x:v>
      </x:c>
      <x:c r="F54" s="41" t="n">
        <x:f>F52-F53</x:f>
        <x:v>2528.0459999999994</x:v>
      </x:c>
      <x:c r="G54" s="41" t="n">
        <x:f>G52-G53</x:f>
        <x:v>2853.041579999999</x:v>
      </x:c>
      <x:c r="H54" s="41" t="n">
        <x:f>H52-H53</x:f>
        <x:v>3219.9945533999985</x:v>
      </x:c>
      <x:c r="I54" s="41" t="n">
        <x:f>I52-I53</x:f>
        <x:v>3634.3360187819962</x:v>
      </x:c>
      <x:c r="J54" s="1"/>
      <x:c r="K54" s="1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</x:row>
    <x:row r="55" ht="18" customHeight="1">
      <x:c r="A55" s="1"/>
      <x:c r="B55" s="1"/>
      <x:c r="C55" s="1" t="str">
        <x:v>Fee and other income</x:v>
      </x:c>
      <x:c r="D55" s="2"/>
      <x:c r="E55" s="8" t="n">
        <x:f>E46*E33</x:f>
        <x:v>255.6</x:v>
      </x:c>
      <x:c r="F55" s="8" t="n">
        <x:f>F46*F33</x:f>
        <x:v>288.8279999999999</x:v>
      </x:c>
      <x:c r="G55" s="8" t="n">
        <x:f>G46*G33</x:f>
        <x:v>326.37563999999986</x:v>
      </x:c>
      <x:c r="H55" s="8" t="n">
        <x:f>H46*H33</x:f>
        <x:v>368.80447319999985</x:v>
      </x:c>
      <x:c r="I55" s="8" t="n">
        <x:f>I46*I33</x:f>
        <x:v>416.7490547159997</x:v>
      </x:c>
      <x:c r="J55" s="1"/>
      <x:c r="K55" s="1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</x:row>
    <x:row r="56" ht="18" customHeight="1">
      <x:c r="A56" s="1"/>
      <x:c r="B56" s="1"/>
      <x:c r="C56" s="1" t="str">
        <x:v>Net operating income</x:v>
      </x:c>
      <x:c r="D56" s="2"/>
      <x:c r="E56" s="8" t="n">
        <x:f>E54+E55</x:f>
        <x:v>2495.8</x:v>
      </x:c>
      <x:c r="F56" s="8" t="n">
        <x:f>F54+F55</x:f>
        <x:v>2816.8739999999993</x:v>
      </x:c>
      <x:c r="G56" s="8" t="n">
        <x:f>G54+G55</x:f>
        <x:v>3179.417219999999</x:v>
      </x:c>
      <x:c r="H56" s="8" t="n">
        <x:f>H54+H55</x:f>
        <x:v>3588.7990265999983</x:v>
      </x:c>
      <x:c r="I56" s="8" t="n">
        <x:f>I54+I55</x:f>
        <x:v>4051.085073497996</x:v>
      </x:c>
      <x:c r="J56" s="1"/>
      <x:c r="K56" s="1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</x:row>
    <x:row r="57" ht="18" customHeight="1">
      <x:c r="A57" s="1"/>
      <x:c r="B57" s="1"/>
      <x:c r="C57" s="1" t="str">
        <x:v>Operating expenses</x:v>
      </x:c>
      <x:c r="D57" s="2"/>
      <x:c r="E57" s="8" t="n">
        <x:f>E56*E34</x:f>
        <x:v>873.53</x:v>
      </x:c>
      <x:c r="F57" s="8" t="n">
        <x:f>F56*F34</x:f>
        <x:v>985.9058999999997</x:v>
      </x:c>
      <x:c r="G57" s="8" t="n">
        <x:f>G56*G34</x:f>
        <x:v>1112.7960269999996</x:v>
      </x:c>
      <x:c r="H57" s="8" t="n">
        <x:f>H56*H34</x:f>
        <x:v>1256.0796593099994</x:v>
      </x:c>
      <x:c r="I57" s="8" t="n">
        <x:f>I56*I34</x:f>
        <x:v>1417.8797757242985</x:v>
      </x:c>
      <x:c r="J57" s="1"/>
      <x:c r="K57" s="1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</x:row>
    <x:row r="58" ht="18" customHeight="1">
      <x:c r="A58" s="1"/>
      <x:c r="B58" s="1"/>
      <x:c r="C58" s="1" t="str">
        <x:v>Pre-provision operating profit</x:v>
      </x:c>
      <x:c r="D58" s="2"/>
      <x:c r="E58" s="8" t="n">
        <x:f>E56-E57</x:f>
        <x:v>1622.2700000000002</x:v>
      </x:c>
      <x:c r="F58" s="8" t="n">
        <x:f>F56-F57</x:f>
        <x:v>1830.9680999999996</x:v>
      </x:c>
      <x:c r="G58" s="8" t="n">
        <x:f>G56-G57</x:f>
        <x:v>2066.621192999999</x:v>
      </x:c>
      <x:c r="H58" s="8" t="n">
        <x:f>H56-H57</x:f>
        <x:v>2332.719367289999</x:v>
      </x:c>
      <x:c r="I58" s="8" t="n">
        <x:f>I56-I57</x:f>
        <x:v>2633.2052977736976</x:v>
      </x:c>
      <x:c r="J58" s="1"/>
      <x:c r="K58" s="1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</x:row>
    <x:row r="59" ht="18" customHeight="1">
      <x:c r="A59" s="1"/>
      <x:c r="B59" s="1"/>
      <x:c r="C59" s="1" t="str">
        <x:v>Credit-loss expense</x:v>
      </x:c>
      <x:c r="D59" s="2"/>
      <x:c r="E59" s="8" t="n">
        <x:f>E46*E24</x:f>
        <x:v>532.5</x:v>
      </x:c>
      <x:c r="F59" s="8" t="n">
        <x:f>F46*F24</x:f>
        <x:v>601.7249999999998</x:v>
      </x:c>
      <x:c r="G59" s="8" t="n">
        <x:f>G46*G24</x:f>
        <x:v>679.9492499999998</x:v>
      </x:c>
      <x:c r="H59" s="8" t="n">
        <x:f>H46*H24</x:f>
        <x:v>768.3426524999996</x:v>
      </x:c>
      <x:c r="I59" s="8" t="n">
        <x:f>I46*I24</x:f>
        <x:v>868.2271973249995</x:v>
      </x:c>
      <x:c r="J59" s="1"/>
      <x:c r="K59" s="1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</x:row>
    <x:row r="60" ht="18" customHeight="1">
      <x:c r="A60" s="1"/>
      <x:c r="B60" s="1"/>
      <x:c r="C60" s="1" t="str">
        <x:v>Profit before tax</x:v>
      </x:c>
      <x:c r="D60" s="2"/>
      <x:c r="E60" s="8" t="n">
        <x:f>E58-E59</x:f>
        <x:v>1089.7700000000002</x:v>
      </x:c>
      <x:c r="F60" s="8" t="n">
        <x:f>F58-F59</x:f>
        <x:v>1229.2430999999997</x:v>
      </x:c>
      <x:c r="G60" s="8" t="n">
        <x:f>G58-G59</x:f>
        <x:v>1386.6719429999994</x:v>
      </x:c>
      <x:c r="H60" s="8" t="n">
        <x:f>H58-H59</x:f>
        <x:v>1564.3767147899994</x:v>
      </x:c>
      <x:c r="I60" s="8" t="n">
        <x:f>I58-I59</x:f>
        <x:v>1764.9781004486981</x:v>
      </x:c>
      <x:c r="J60" s="1"/>
      <x:c r="K60" s="1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</x:row>
    <x:row r="61" ht="18" customHeight="1">
      <x:c r="A61" s="1"/>
      <x:c r="B61" s="1"/>
      <x:c r="C61" s="1" t="str">
        <x:v>Tax</x:v>
      </x:c>
      <x:c r="D61" s="2"/>
      <x:c r="E61" s="8" t="n">
        <x:f>E144</x:f>
        <x:v>272.44250000000005</x:v>
      </x:c>
      <x:c r="F61" s="8" t="n">
        <x:f>F144</x:f>
        <x:v>307.3107749999999</x:v>
      </x:c>
      <x:c r="G61" s="8" t="n">
        <x:f>G144</x:f>
        <x:v>346.66798574999984</x:v>
      </x:c>
      <x:c r="H61" s="8" t="n">
        <x:f>H144</x:f>
        <x:v>391.09417869749984</x:v>
      </x:c>
      <x:c r="I61" s="8" t="n">
        <x:f>I144</x:f>
        <x:v>441.24452511217453</x:v>
      </x:c>
      <x:c r="J61" s="1"/>
      <x:c r="K61" s="1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</x:row>
    <x:row r="62" ht="18" customHeight="1">
      <x:c r="A62" s="1"/>
      <x:c r="B62" s="1"/>
      <x:c r="C62" s="38" t="str">
        <x:v>Profit after tax</x:v>
      </x:c>
      <x:c r="D62" s="39"/>
      <x:c r="E62" s="41" t="n">
        <x:f>E60-E61</x:f>
        <x:v>817.3275000000001</x:v>
      </x:c>
      <x:c r="F62" s="41" t="n">
        <x:f>F60-F61</x:f>
        <x:v>921.9323249999998</x:v>
      </x:c>
      <x:c r="G62" s="41" t="n">
        <x:f>G60-G61</x:f>
        <x:v>1040.0039572499995</x:v>
      </x:c>
      <x:c r="H62" s="41" t="n">
        <x:f>H60-H61</x:f>
        <x:v>1173.2825360924994</x:v>
      </x:c>
      <x:c r="I62" s="41" t="n">
        <x:f>I60-I61</x:f>
        <x:v>1323.7335753365237</x:v>
      </x:c>
      <x:c r="J62" s="1"/>
      <x:c r="K62" s="1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</x:row>
    <x:row r="63" ht="18" customHeight="1">
      <x:c r="A63" s="1"/>
      <x:c r="B63" s="1"/>
      <x:c r="C63" s="1" t="str">
        <x:v>Dividends</x:v>
      </x:c>
      <x:c r="D63" s="2"/>
      <x:c r="E63" s="8" t="n">
        <x:f>MAX(0,E62)*E39</x:f>
        <x:v>163.46550000000002</x:v>
      </x:c>
      <x:c r="F63" s="8" t="n">
        <x:f>MAX(0,F62)*F39</x:f>
        <x:v>184.38646499999996</x:v>
      </x:c>
      <x:c r="G63" s="8" t="n">
        <x:f>MAX(0,G62)*G39</x:f>
        <x:v>208.00079144999992</x:v>
      </x:c>
      <x:c r="H63" s="8" t="n">
        <x:f>MAX(0,H62)*H39</x:f>
        <x:v>234.65650721849988</x:v>
      </x:c>
      <x:c r="I63" s="8" t="n">
        <x:f>MAX(0,I62)*I39</x:f>
        <x:v>264.74671506730476</x:v>
      </x:c>
      <x:c r="J63" s="1"/>
      <x:c r="K63" s="1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</x:row>
    <x:row r="64" ht="18" customHeight="1">
      <x:c r="A64" s="1"/>
      <x:c r="B64" s="1"/>
      <x:c r="C64" s="19" t="str">
        <x:v>ASSET QUALITY AND BALANCE SHEET</x:v>
      </x:c>
      <x:c r="D64" s="20"/>
      <x:c r="E64" s="20"/>
      <x:c r="F64" s="20"/>
      <x:c r="G64" s="20"/>
      <x:c r="H64" s="20"/>
      <x:c r="I64" s="20"/>
      <x:c r="J64" s="1"/>
      <x:c r="K64" s="1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</x:row>
    <x:row r="65" ht="18" customHeight="1">
      <x:c r="A65" s="1"/>
      <x:c r="B65" s="1"/>
      <x:c r="C65" s="1" t="str">
        <x:v>New non-performing loans</x:v>
      </x:c>
      <x:c r="D65" s="2"/>
      <x:c r="E65" s="8" t="n">
        <x:f>$D10*E35</x:f>
        <x:v>500</x:v>
      </x:c>
      <x:c r="F65" s="8" t="n">
        <x:f>E45*F35</x:f>
        <x:v>564.9999999999999</x:v>
      </x:c>
      <x:c r="G65" s="8" t="n">
        <x:f>F45*G35</x:f>
        <x:v>638.4499999999998</x:v>
      </x:c>
      <x:c r="H65" s="8" t="n">
        <x:f>G45*H35</x:f>
        <x:v>721.4484999999997</x:v>
      </x:c>
      <x:c r="I65" s="8" t="n">
        <x:f>H45*I35</x:f>
        <x:v>815.2368049999995</x:v>
      </x:c>
      <x:c r="J65" s="1"/>
      <x:c r="K65" s="1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</x:row>
    <x:row r="66" ht="18" customHeight="1">
      <x:c r="A66" s="1"/>
      <x:c r="B66" s="1"/>
      <x:c r="C66" s="1" t="str">
        <x:v>NPA recoveries</x:v>
      </x:c>
      <x:c r="D66" s="2"/>
      <x:c r="E66" s="8" t="n">
        <x:f>$D15*E36</x:f>
        <x:v>180</x:v>
      </x:c>
      <x:c r="F66" s="8" t="n">
        <x:f>E68*F36</x:f>
        <x:v>199</x:v>
      </x:c>
      <x:c r="G66" s="8" t="n">
        <x:f>F68*G36</x:f>
        <x:v>222.45000000000002</x:v>
      </x:c>
      <x:c r="H66" s="8" t="n">
        <x:f>G68*H36</x:f>
        <x:v>250.03749999999997</x:v>
      </x:c>
      <x:c r="I66" s="8" t="n">
        <x:f>H68*I36</x:f>
        <x:v>281.8103249999999</x:v>
      </x:c>
      <x:c r="J66" s="1"/>
      <x:c r="K66" s="1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</x:row>
    <x:row r="67" ht="18" customHeight="1">
      <x:c r="A67" s="1"/>
      <x:c r="B67" s="1"/>
      <x:c r="C67" s="1" t="str">
        <x:v>Write-offs</x:v>
      </x:c>
      <x:c r="D67" s="2"/>
      <x:c r="E67" s="8" t="n">
        <x:f>$D15*E37</x:f>
        <x:v>225</x:v>
      </x:c>
      <x:c r="F67" s="8" t="n">
        <x:f>E68*F37</x:f>
        <x:v>248.75</x:v>
      </x:c>
      <x:c r="G67" s="8" t="n">
        <x:f>F68*G37</x:f>
        <x:v>278.0625</x:v>
      </x:c>
      <x:c r="H67" s="8" t="n">
        <x:f>G68*H37</x:f>
        <x:v>312.54687499999994</x:v>
      </x:c>
      <x:c r="I67" s="8" t="n">
        <x:f>H68*I37</x:f>
        <x:v>352.2629062499999</x:v>
      </x:c>
      <x:c r="J67" s="1"/>
      <x:c r="K67" s="1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</x:row>
    <x:row r="68" ht="18" customHeight="1">
      <x:c r="A68" s="1"/>
      <x:c r="B68" s="1"/>
      <x:c r="C68" s="1" t="str">
        <x:v>Closing gross NPA</x:v>
      </x:c>
      <x:c r="D68" s="2"/>
      <x:c r="E68" s="8" t="n">
        <x:f>$D15+E65-E66-E67</x:f>
        <x:v>995</x:v>
      </x:c>
      <x:c r="F68" s="8" t="n">
        <x:f>E68+F65-F66-F67</x:f>
        <x:v>1112.25</x:v>
      </x:c>
      <x:c r="G68" s="8" t="n">
        <x:f>F68+G65-G66-G67</x:f>
        <x:v>1250.1874999999998</x:v>
      </x:c>
      <x:c r="H68" s="8" t="n">
        <x:f>G68+H65-H66-H67</x:f>
        <x:v>1409.0516249999996</x:v>
      </x:c>
      <x:c r="I68" s="8" t="n">
        <x:f>H68+I65-I66-I67</x:f>
        <x:v>1590.2151987499992</x:v>
      </x:c>
      <x:c r="J68" s="1"/>
      <x:c r="K68" s="1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</x:row>
    <x:row r="69" ht="18" customHeight="1">
      <x:c r="A69" s="1"/>
      <x:c r="B69" s="1"/>
      <x:c r="C69" s="1" t="str">
        <x:v>Closing credit-loss allowance</x:v>
      </x:c>
      <x:c r="D69" s="2"/>
      <x:c r="E69" s="8" t="n">
        <x:f>$D14+E59-E67</x:f>
        <x:v>907.5</x:v>
      </x:c>
      <x:c r="F69" s="8" t="n">
        <x:f>E69+F59-F67</x:f>
        <x:v>1260.475</x:v>
      </x:c>
      <x:c r="G69" s="8" t="n">
        <x:f>F69+G59-G67</x:f>
        <x:v>1662.3617499999996</x:v>
      </x:c>
      <x:c r="H69" s="8" t="n">
        <x:f>G69+H59-H67</x:f>
        <x:v>2118.157527499999</x:v>
      </x:c>
      <x:c r="I69" s="8" t="n">
        <x:f>H69+I59-I67</x:f>
        <x:v>2634.1218185749985</x:v>
      </x:c>
      <x:c r="J69" s="1"/>
      <x:c r="K69" s="1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</x:row>
    <x:row r="70" ht="18" customHeight="1">
      <x:c r="A70" s="1"/>
      <x:c r="B70" s="1"/>
      <x:c r="C70" s="1" t="str">
        <x:v>Net loans</x:v>
      </x:c>
      <x:c r="D70" s="2"/>
      <x:c r="E70" s="8" t="n">
        <x:f>E45-E69</x:f>
        <x:v>21692.499999999996</x:v>
      </x:c>
      <x:c r="F70" s="8" t="n">
        <x:f>F45-F69</x:f>
        <x:v>24277.524999999994</x:v>
      </x:c>
      <x:c r="G70" s="8" t="n">
        <x:f>G45-G69</x:f>
        <x:v>27195.578249999988</x:v>
      </x:c>
      <x:c r="H70" s="8" t="n">
        <x:f>H45-H69</x:f>
        <x:v>30491.314672499982</x:v>
      </x:c>
      <x:c r="I70" s="8" t="n">
        <x:f>I45-I69</x:f>
        <x:v>34214.58176742498</x:v>
      </x:c>
      <x:c r="J70" s="1"/>
      <x:c r="K70" s="1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</x:row>
    <x:row r="71" ht="18" customHeight="1">
      <x:c r="A71" s="1"/>
      <x:c r="B71" s="1"/>
      <x:c r="C71" s="38" t="str">
        <x:v>Closing equity</x:v>
      </x:c>
      <x:c r="D71" s="39"/>
      <x:c r="E71" s="41" t="n">
        <x:f>$D13+E62-E63+E40</x:f>
        <x:v>5653.862</x:v>
      </x:c>
      <x:c r="F71" s="41" t="n">
        <x:f>E71+F62-F63+F40</x:f>
        <x:v>6391.40786</x:v>
      </x:c>
      <x:c r="G71" s="41" t="n">
        <x:f>F71+G62-G63+G40</x:f>
        <x:v>7223.4110258</x:v>
      </x:c>
      <x:c r="H71" s="41" t="n">
        <x:f>G71+H62-H63+H40</x:f>
        <x:v>8162.037054674</x:v>
      </x:c>
      <x:c r="I71" s="41" t="n">
        <x:f>H71+I62-I63+I40</x:f>
        <x:v>9221.023914943218</x:v>
      </x:c>
      <x:c r="J71" s="1"/>
      <x:c r="K71" s="1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</x:row>
    <x:row r="72" ht="18" customHeight="1">
      <x:c r="A72" s="1"/>
      <x:c r="B72" s="1"/>
      <x:c r="C72" s="1" t="str">
        <x:v>Residual liquidity / (funding gap)</x:v>
      </x:c>
      <x:c r="D72" s="2"/>
      <x:c r="E72" s="8" t="n">
        <x:f>E47+E71-E70-E49</x:f>
        <x:v>961.3620000000046</x:v>
      </x:c>
      <x:c r="F72" s="8" t="n">
        <x:f>F47+F71-F70-F49</x:f>
        <x:v>1377.882860000003</x:v>
      </x:c>
      <x:c r="G72" s="8" t="n">
        <x:f>G47+G71-G70-G49</x:f>
        <x:v>1854.4727758000074</x:v>
      </x:c>
      <x:c r="H72" s="8" t="n">
        <x:f>H47+H71-H70-H49</x:f>
        <x:v>2397.8111821740113</x:v>
      </x:c>
      <x:c r="I72" s="8" t="n">
        <x:f>I47+I71-I70-I49</x:f>
        <x:v>3016.0769395182324</x:v>
      </x:c>
      <x:c r="J72" s="1"/>
      <x:c r="K72" s="1" t="str">
        <x:v>Funding and equity less net loans and investments. No additional funding is automatically raised.</x:v>
      </x:c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</x:row>
    <x:row r="73" ht="18" customHeight="1">
      <x:c r="A73" s="1"/>
      <x:c r="B73" s="1"/>
      <x:c r="C73" s="1" t="str">
        <x:v>Total assets</x:v>
      </x:c>
      <x:c r="D73" s="2"/>
      <x:c r="E73" s="8" t="n">
        <x:f>E70+E49+E72</x:f>
        <x:v>23733.862</x:v>
      </x:c>
      <x:c r="F73" s="8" t="n">
        <x:f>F70+F49+F72</x:f>
        <x:v>26821.807859999997</x:v>
      </x:c>
      <x:c r="G73" s="8" t="n">
        <x:f>G70+G49+G72</x:f>
        <x:v>30309.763025799995</x:v>
      </x:c>
      <x:c r="H73" s="8" t="n">
        <x:f>H70+H49+H72</x:f>
        <x:v>34249.614814673994</x:v>
      </x:c>
      <x:c r="I73" s="8" t="n">
        <x:f>I70+I49+I72</x:f>
        <x:v>38699.98678374321</x:v>
      </x:c>
      <x:c r="J73" s="1"/>
      <x:c r="K73" s="1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</x:row>
    <x:row r="74" ht="18" customHeight="1">
      <x:c r="A74" s="1"/>
      <x:c r="B74" s="1"/>
      <x:c r="C74" s="1" t="str">
        <x:v>Change in residual liquidity</x:v>
      </x:c>
      <x:c r="D74" s="2"/>
      <x:c r="E74" s="8" t="n">
        <x:f>E72-($D11+$D13-$D10+$D14-$D12)</x:f>
        <x:v>361.3620000000046</x:v>
      </x:c>
      <x:c r="F74" s="8" t="n">
        <x:f>F72-E72</x:f>
        <x:v>416.52085999999827</x:v>
      </x:c>
      <x:c r="G74" s="8" t="n">
        <x:f>G72-F72</x:f>
        <x:v>476.5899158000045</x:v>
      </x:c>
      <x:c r="H74" s="8" t="n">
        <x:f>H72-G72</x:f>
        <x:v>543.3384063740039</x:v>
      </x:c>
      <x:c r="I74" s="8" t="n">
        <x:f>I72-H72</x:f>
        <x:v>618.2657573442211</x:v>
      </x:c>
      <x:c r="J74" s="1"/>
      <x:c r="K74" s="1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</x:row>
    <x:row r="75" ht="18" customHeight="1">
      <x:c r="A75" s="1"/>
      <x:c r="B75" s="1"/>
      <x:c r="C75" s="19" t="str">
        <x:v>LENDING KPIs AND VALUATION</x:v>
      </x:c>
      <x:c r="D75" s="20"/>
      <x:c r="E75" s="20"/>
      <x:c r="F75" s="20"/>
      <x:c r="G75" s="20"/>
      <x:c r="H75" s="20"/>
      <x:c r="I75" s="20"/>
      <x:c r="J75" s="1"/>
      <x:c r="K75" s="1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</x:row>
    <x:row r="76" ht="18" customHeight="1">
      <x:c r="A76" s="1"/>
      <x:c r="B76" s="1"/>
      <x:c r="C76" s="23" t="str">
        <x:v>Net interest margin</x:v>
      </x:c>
      <x:c r="D76" s="24"/>
      <x:c r="E76" s="35" t="n">
        <x:f>E54/(E46+E50)</x:f>
        <x:v>0.10027752909579231</x:v>
      </x:c>
      <x:c r="F76" s="35" t="n">
        <x:f>F54/(F46+F50)</x:f>
        <x:v>0.10035034653583252</x:v>
      </x:c>
      <x:c r="G76" s="35" t="n">
        <x:f>G54/(G46+G50)</x:f>
        <x:v>0.10042022347239414</x:v>
      </x:c>
      <x:c r="H76" s="35" t="n">
        <x:f>H54/(H46+H50)</x:f>
        <x:v>0.10048726718409745</x:v>
      </x:c>
      <x:c r="I76" s="35" t="n">
        <x:f>I54/(I46+I50)</x:f>
        <x:v>0.10055158199483748</x:v>
      </x:c>
      <x:c r="J76" s="1"/>
      <x:c r="K76" s="1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</x:row>
    <x:row r="77" ht="18" customHeight="1">
      <x:c r="A77" s="1"/>
      <x:c r="B77" s="1"/>
      <x:c r="C77" s="23" t="str">
        <x:v>Return on average equity</x:v>
      </x:c>
      <x:c r="D77" s="24"/>
      <x:c r="E77" s="35" t="n">
        <x:f>E62/(($D13+E71)/2)</x:f>
        <x:v>0.15343309308868466</x:v>
      </x:c>
      <x:c r="F77" s="35" t="n">
        <x:f>F62/((E71+F71)/2)</x:f>
        <x:v>0.15307790289722903</x:v>
      </x:c>
      <x:c r="G77" s="35" t="n">
        <x:f>G62/((F71+G71)/2)</x:f>
        <x:v>0.1527752908023924</x:v>
      </x:c>
      <x:c r="H77" s="35" t="n">
        <x:f>H62/((G71+H71)/2)</x:f>
        <x:v>0.15251847459438472</x:v>
      </x:c>
      <x:c r="I77" s="35" t="n">
        <x:f>I62/((H71+I71)/2)</x:f>
        <x:v>0.15230155122279052</x:v>
      </x:c>
      <x:c r="J77" s="1"/>
      <x:c r="K77" s="1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</x:row>
    <x:row r="78" ht="18" customHeight="1">
      <x:c r="A78" s="1"/>
      <x:c r="B78" s="1"/>
      <x:c r="C78" s="23" t="str">
        <x:v>Return on average assets</x:v>
      </x:c>
      <x:c r="D78" s="24"/>
      <x:c r="E78" s="35" t="n">
        <x:f>E62/(($D11+$D13+E73)/2)</x:f>
        <x:v>0.03654178125733924</x:v>
      </x:c>
      <x:c r="F78" s="35" t="n">
        <x:f>F62/((E73+F73)/2)</x:f>
        <x:v>0.03647196556006626</x:v>
      </x:c>
      <x:c r="G78" s="35" t="n">
        <x:f>G62/((F73+G73)/2)</x:f>
        <x:v>0.036407329297101186</x:v>
      </x:c>
      <x:c r="H78" s="35" t="n">
        <x:f>H62/((G73+H73)/2)</x:f>
        <x:v>0.036347392906780386</x:v>
      </x:c>
      <x:c r="I78" s="35" t="n">
        <x:f>I62/((H73+I73)/2)</x:f>
        <x:v>0.036291728709461374</x:v>
      </x:c>
      <x:c r="J78" s="1"/>
      <x:c r="K78" s="1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</x:row>
    <x:row r="79" ht="18" customHeight="1">
      <x:c r="A79" s="1"/>
      <x:c r="B79" s="1"/>
      <x:c r="C79" s="23" t="str">
        <x:v>Gross NPA ratio</x:v>
      </x:c>
      <x:c r="D79" s="24"/>
      <x:c r="E79" s="35" t="n">
        <x:f>E68/E45</x:f>
        <x:v>0.044026548672566376</x:v>
      </x:c>
      <x:c r="F79" s="35" t="n">
        <x:f>F68/F45</x:f>
        <x:v>0.04355274492912524</x:v>
      </x:c>
      <x:c r="G79" s="35" t="n">
        <x:f>G68/G45</x:f>
        <x:v>0.043322132487627334</x:v>
      </x:c>
      <x:c r="H79" s="35" t="n">
        <x:f>H68/H45</x:f>
        <x:v>0.04320988749397791</x:v>
      </x:c>
      <x:c r="I79" s="35" t="n">
        <x:f>I68/I45</x:f>
        <x:v>0.043155254974945004</x:v>
      </x:c>
      <x:c r="J79" s="1"/>
      <x:c r="K79" s="1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</x:row>
    <x:row r="80" ht="18" customHeight="1">
      <x:c r="A80" s="1"/>
      <x:c r="B80" s="1"/>
      <x:c r="C80" s="23" t="str">
        <x:v>Allowance / gross NPA</x:v>
      </x:c>
      <x:c r="D80" s="24"/>
      <x:c r="E80" s="35" t="n">
        <x:f>IF(E68=0,"n.a.",E69/E68)</x:f>
        <x:v>0.9120603015075377</x:v>
      </x:c>
      <x:c r="F80" s="35" t="n">
        <x:f>IF(F68=0,"n.a.",F69/F68)</x:f>
        <x:v>1.1332659024499887</x:v>
      </x:c>
      <x:c r="G80" s="35" t="n">
        <x:f>IF(G68=0,"n.a.",G69/G68)</x:f>
        <x:v>1.3296899465080236</x:v>
      </x:c>
      <x:c r="H80" s="35" t="n">
        <x:f>IF(H68=0,"n.a.",H69/H68)</x:f>
        <x:v>1.5032504770717678</x:v>
      </x:c>
      <x:c r="I80" s="35" t="n">
        <x:f>IF(I68=0,"n.a.",I69/I68)</x:f>
        <x:v>1.6564561957687047</x:v>
      </x:c>
      <x:c r="J80" s="1"/>
      <x:c r="K80" s="1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</x:row>
    <x:row r="81" ht="18" customHeight="1">
      <x:c r="A81" s="1"/>
      <x:c r="B81" s="1"/>
      <x:c r="C81" s="23" t="str">
        <x:v>Gross loans / borrowings</x:v>
      </x:c>
      <x:c r="D81" s="24"/>
      <x:c r="E81" s="35" t="n">
        <x:f>E45/E47</x:f>
        <x:v>1.2499999999999998</x:v>
      </x:c>
      <x:c r="F81" s="35" t="n">
        <x:f>F45/F47</x:f>
        <x:v>1.2499999999999998</x:v>
      </x:c>
      <x:c r="G81" s="35" t="n">
        <x:f>G45/G47</x:f>
        <x:v>1.2499999999999998</x:v>
      </x:c>
      <x:c r="H81" s="35" t="n">
        <x:f>H45/H47</x:f>
        <x:v>1.2499999999999996</x:v>
      </x:c>
      <x:c r="I81" s="35" t="n">
        <x:f>I45/I47</x:f>
        <x:v>1.2499999999999996</x:v>
      </x:c>
      <x:c r="J81" s="1"/>
      <x:c r="K81" s="1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</x:row>
    <x:row r="82" ht="18" customHeight="1">
      <x:c r="A82" s="1"/>
      <x:c r="B82" s="1"/>
      <x:c r="C82" s="23" t="str">
        <x:v>Capital adequacy proxy</x:v>
      </x:c>
      <x:c r="D82" s="24"/>
      <x:c r="E82" s="35" t="n">
        <x:f>E71*E42/(E45*E41)</x:f>
        <x:v>0.22515379646017702</x:v>
      </x:c>
      <x:c r="F82" s="35" t="n">
        <x:f>F71*F42/(F45*F41)</x:f>
        <x:v>0.22524344404416954</x:v>
      </x:c>
      <x:c r="G82" s="35" t="n">
        <x:f>G71*G42/(G45*G41)</x:f>
        <x:v>0.22527837826331343</x:v>
      </x:c>
      <x:c r="H82" s="35" t="n">
        <x:f>H71*H42/(H45*H41)</x:f>
        <x:v>0.22526685817400638</x:v>
      </x:c>
      <x:c r="I82" s="35" t="n">
        <x:f>I71*I42/(I45*I41)</x:f>
        <x:v>0.2252161057465785</x:v>
      </x:c>
      <x:c r="J82" s="1"/>
      <x:c r="K82" s="1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</x:row>
    <x:row r="83" ht="18" customHeight="1">
      <x:c r="A83" s="1"/>
      <x:c r="B83" s="1"/>
      <x:c r="C83" s="1" t="str">
        <x:v>Capital below internal target</x:v>
      </x:c>
      <x:c r="D83" s="2"/>
      <x:c r="E83" s="8" t="n">
        <x:f>MAX(0,E45*E41*E43-E71*E42)</x:f>
        <x:v>0</x:v>
      </x:c>
      <x:c r="F83" s="8" t="n">
        <x:f>MAX(0,F45*F41*F43-F71*F42)</x:f>
        <x:v>0</x:v>
      </x:c>
      <x:c r="G83" s="8" t="n">
        <x:f>MAX(0,G45*G41*G43-G71*G42)</x:f>
        <x:v>0</x:v>
      </x:c>
      <x:c r="H83" s="8" t="n">
        <x:f>MAX(0,H45*H41*H43-H71*H42)</x:f>
        <x:v>0</x:v>
      </x:c>
      <x:c r="I83" s="8" t="n">
        <x:f>MAX(0,I45*I41*I43-I71*I42)</x:f>
        <x:v>0</x:v>
      </x:c>
      <x:c r="J83" s="1"/>
      <x:c r="K83" s="1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</x:row>
    <x:row r="84" ht="18" customHeight="1">
      <x:c r="A84" s="1"/>
      <x:c r="B84" s="1"/>
      <x:c r="C84" s="1" t="str">
        <x:v>Forward book-based equity value</x:v>
      </x:c>
      <x:c r="D84" s="2"/>
      <x:c r="E84" s="8" t="n">
        <x:f>E71*$D17</x:f>
        <x:v>14134.655</x:v>
      </x:c>
      <x:c r="F84" s="8" t="n">
        <x:f>F71*$D17</x:f>
        <x:v>15978.51965</x:v>
      </x:c>
      <x:c r="G84" s="8" t="n">
        <x:f>G71*$D17</x:f>
        <x:v>18058.5275645</x:v>
      </x:c>
      <x:c r="H84" s="8" t="n">
        <x:f>H71*$D17</x:f>
        <x:v>20405.092636685</x:v>
      </x:c>
      <x:c r="I84" s="8" t="n">
        <x:f>I71*$D17</x:f>
        <x:v>23052.559787358045</x:v>
      </x:c>
      <x:c r="J84" s="1"/>
      <x:c r="K84" s="1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</x:row>
    <x:row r="85" ht="18" customHeight="1">
      <x:c r="A85" s="1"/>
      <x:c r="B85" s="1"/>
      <x:c r="C85" s="1" t="str">
        <x:v>Forward earnings-based equity value</x:v>
      </x:c>
      <x:c r="D85" s="2"/>
      <x:c r="E85" s="8" t="n">
        <x:f>E62*$D18</x:f>
        <x:v>14711.895000000002</x:v>
      </x:c>
      <x:c r="F85" s="8" t="n">
        <x:f>F62*$D18</x:f>
        <x:v>16594.781849999996</x:v>
      </x:c>
      <x:c r="G85" s="8" t="n">
        <x:f>G62*$D18</x:f>
        <x:v>18720.07123049999</x:v>
      </x:c>
      <x:c r="H85" s="8" t="n">
        <x:f>H62*$D18</x:f>
        <x:v>21119.08564966499</x:v>
      </x:c>
      <x:c r="I85" s="8" t="n">
        <x:f>I62*$D18</x:f>
        <x:v>23827.204356057428</x:v>
      </x:c>
      <x:c r="J85" s="1"/>
      <x:c r="K85" s="1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</x:row>
    <x:row r="86" ht="18" customHeight="1">
      <x:c r="A86" s="1"/>
      <x:c r="B86" s="1"/>
      <x:c r="C86" s="1" t="str">
        <x:v>Book value per share (INR)</x:v>
      </x:c>
      <x:c r="D86" s="33"/>
      <x:c r="E86" s="34" t="n">
        <x:f>E71/$D16</x:f>
        <x:v>56.53862</x:v>
      </x:c>
      <x:c r="F86" s="34" t="n">
        <x:f>F71/$D16</x:f>
        <x:v>63.9140786</x:v>
      </x:c>
      <x:c r="G86" s="34" t="n">
        <x:f>G71/$D16</x:f>
        <x:v>72.234110258</x:v>
      </x:c>
      <x:c r="H86" s="34" t="n">
        <x:f>H71/$D16</x:f>
        <x:v>81.62037054673999</x:v>
      </x:c>
      <x:c r="I86" s="34" t="n">
        <x:f>I71/$D16</x:f>
        <x:v>92.21023914943218</x:v>
      </x:c>
      <x:c r="J86" s="1"/>
      <x:c r="K86" s="1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</x:row>
    <x:row r="87" ht="18" customHeight="1">
      <x:c r="A87" s="1"/>
      <x:c r="B87" s="1"/>
      <x:c r="C87" s="38" t="str">
        <x:v>PV of first forecast year book-based equity value</x:v>
      </x:c>
      <x:c r="D87" s="39"/>
      <x:c r="E87" s="41" t="n">
        <x:f>E84/(1+$D19)</x:f>
        <x:v>12398.820175438595</x:v>
      </x:c>
      <x:c r="F87" s="39"/>
      <x:c r="G87" s="39"/>
      <x:c r="H87" s="39"/>
      <x:c r="I87" s="39"/>
      <x:c r="J87" s="1"/>
      <x:c r="K87" s="1" t="str">
        <x:v>One-year discount to the opening valuation date. Forward P/B and discount rate are illustrative.</x:v>
      </x:c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</x:row>
    <x:row r="88" ht="18" customHeight="1">
      <x:c r="A88" s="1"/>
      <x:c r="B88" s="1"/>
      <x:c r="C88" s="19" t="str">
        <x:v>MODEL CHECKS</x:v>
      </x:c>
      <x:c r="D88" s="20"/>
      <x:c r="E88" s="20"/>
      <x:c r="F88" s="20"/>
      <x:c r="G88" s="20"/>
      <x:c r="H88" s="20"/>
      <x:c r="I88" s="20"/>
      <x:c r="J88" s="1"/>
      <x:c r="K88" s="1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</x:row>
    <x:row r="89" ht="18" customHeight="1">
      <x:c r="A89" s="1"/>
      <x:c r="B89" s="1"/>
      <x:c r="C89" s="1" t="str">
        <x:v>Assets less funding and equity</x:v>
      </x:c>
      <x:c r="D89" s="33"/>
      <x:c r="E89" s="34" t="n">
        <x:f>E73-E47-E71</x:f>
        <x:v>9.094947017729282e-13</x:v>
      </x:c>
      <x:c r="F89" s="34" t="n">
        <x:f>F73-F47-F71</x:f>
        <x:v>-9.094947017729282e-13</x:v>
      </x:c>
      <x:c r="G89" s="34" t="n">
        <x:f>G73-G47-G71</x:f>
        <x:v>0</x:v>
      </x:c>
      <x:c r="H89" s="34" t="n">
        <x:f>H73-H47-H71</x:f>
        <x:v>1.8189894035458565e-12</x:v>
      </x:c>
      <x:c r="I89" s="34" t="n">
        <x:f>I73-I47-I71</x:f>
        <x:v>1.8189894035458565e-12</x:v>
      </x:c>
      <x:c r="J89" s="1"/>
      <x:c r="K89" s="1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</x:row>
    <x:row r="90" ht="18" customHeight="1">
      <x:c r="A90" s="1"/>
      <x:c r="B90" s="1"/>
      <x:c r="C90" s="1" t="str">
        <x:v>Residual liquidity shortfall</x:v>
      </x:c>
      <x:c r="D90" s="33"/>
      <x:c r="E90" s="34" t="n">
        <x:f>MAX(0,-E72)</x:f>
        <x:v>0</x:v>
      </x:c>
      <x:c r="F90" s="34" t="n">
        <x:f>MAX(0,-F72)</x:f>
        <x:v>0</x:v>
      </x:c>
      <x:c r="G90" s="34" t="n">
        <x:f>MAX(0,-G72)</x:f>
        <x:v>0</x:v>
      </x:c>
      <x:c r="H90" s="34" t="n">
        <x:f>MAX(0,-H72)</x:f>
        <x:v>0</x:v>
      </x:c>
      <x:c r="I90" s="34" t="n">
        <x:f>MAX(0,-I72)</x:f>
        <x:v>0</x:v>
      </x:c>
      <x:c r="J90" s="1"/>
      <x:c r="K90" s="1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</x:row>
    <x:row r="91" ht="18" customHeight="1">
      <x:c r="A91" s="1"/>
      <x:c r="B91" s="1"/>
      <x:c r="C91" s="1" t="str">
        <x:v>Allowance below zero</x:v>
      </x:c>
      <x:c r="D91" s="33"/>
      <x:c r="E91" s="34" t="n">
        <x:f>MAX(0,-E69)</x:f>
        <x:v>0</x:v>
      </x:c>
      <x:c r="F91" s="34" t="n">
        <x:f>MAX(0,-F69)</x:f>
        <x:v>0</x:v>
      </x:c>
      <x:c r="G91" s="34" t="n">
        <x:f>MAX(0,-G69)</x:f>
        <x:v>0</x:v>
      </x:c>
      <x:c r="H91" s="34" t="n">
        <x:f>MAX(0,-H69)</x:f>
        <x:v>0</x:v>
      </x:c>
      <x:c r="I91" s="34" t="n">
        <x:f>MAX(0,-I69)</x:f>
        <x:v>0</x:v>
      </x:c>
      <x:c r="J91" s="1"/>
      <x:c r="K91" s="1"/>
    </x:row>
    <x:row r="92" ht="18" customHeight="1">
      <x:c r="A92" s="1"/>
      <x:c r="B92" s="1"/>
      <x:c r="C92" s="1" t="str">
        <x:v>NPA above gross loans</x:v>
      </x:c>
      <x:c r="D92" s="33"/>
      <x:c r="E92" s="34" t="n">
        <x:f>MAX(0,E68-E45)</x:f>
        <x:v>0</x:v>
      </x:c>
      <x:c r="F92" s="34" t="n">
        <x:f>MAX(0,F68-F45)</x:f>
        <x:v>0</x:v>
      </x:c>
      <x:c r="G92" s="34" t="n">
        <x:f>MAX(0,G68-G45)</x:f>
        <x:v>0</x:v>
      </x:c>
      <x:c r="H92" s="34" t="n">
        <x:f>MAX(0,H68-H45)</x:f>
        <x:v>0</x:v>
      </x:c>
      <x:c r="I92" s="34" t="n">
        <x:f>MAX(0,I68-I45)</x:f>
        <x:v>0</x:v>
      </x:c>
      <x:c r="J92" s="1"/>
      <x:c r="K92" s="1"/>
    </x:row>
    <x:row r="93" ht="18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1"/>
      <x:c r="K93" s="1"/>
    </x:row>
    <x:row r="94" ht="18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1"/>
      <x:c r="K94" s="1"/>
    </x:row>
    <x:row r="95" ht="18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1"/>
      <x:c r="K95" s="1"/>
    </x:row>
    <x:row r="96" ht="18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1"/>
      <x:c r="K96" s="1"/>
    </x:row>
    <x:row r="97" ht="18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1"/>
      <x:c r="K97" s="1"/>
    </x:row>
    <x:row r="98" ht="18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1"/>
      <x:c r="K98" s="1"/>
    </x:row>
    <x:row r="99" ht="18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1"/>
      <x:c r="K99" s="1"/>
    </x:row>
    <x:row r="100" ht="18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1"/>
      <x:c r="K100" s="1"/>
    </x:row>
    <x:row r="101" ht="18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1"/>
      <x:c r="K101" s="1"/>
    </x:row>
    <x:row r="102" ht="18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1"/>
      <x:c r="K102" s="1"/>
    </x:row>
    <x:row r="103" ht="18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1"/>
      <x:c r="K103" s="1"/>
    </x:row>
    <x:row r="104" ht="18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1"/>
      <x:c r="K104" s="1"/>
    </x:row>
    <x:row r="105" ht="18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1"/>
      <x:c r="K105" s="1"/>
    </x:row>
    <x:row r="106" ht="18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1"/>
      <x:c r="K106" s="1"/>
    </x:row>
    <x:row r="107" ht="18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1"/>
      <x:c r="K107" s="1"/>
    </x:row>
    <x:row r="108" ht="18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1"/>
      <x:c r="K108" s="1"/>
    </x:row>
    <x:row r="109" ht="18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1"/>
      <x:c r="K109" s="1"/>
    </x:row>
    <x:row r="110" ht="25" customHeight="1">
      <x:c r="A110" s="1"/>
      <x:c r="B110" s="1"/>
      <x:c r="C110" s="68" t="str">
        <x:v>SUPPORTING SCHEDULE ASSUMPTIONS</x:v>
      </x:c>
      <x:c r="D110" s="69"/>
      <x:c r="E110" s="69"/>
      <x:c r="F110" s="69"/>
      <x:c r="G110" s="69"/>
      <x:c r="H110" s="69"/>
      <x:c r="I110" s="69"/>
      <x:c r="J110" s="1"/>
      <x:c r="K110" s="1"/>
    </x:row>
    <x:row r="111" ht="30" customHeight="1">
      <x:c r="A111" s="1"/>
      <x:c r="B111" s="1"/>
      <x:c r="C111" s="64"/>
      <x:c r="D111" s="8"/>
      <x:c r="E111" s="8"/>
      <x:c r="F111" s="8"/>
      <x:c r="G111" s="8"/>
      <x:c r="H111" s="8"/>
      <x:c r="I111" s="8"/>
      <x:c r="J111" s="1"/>
      <x:c r="K111" s="1"/>
    </x:row>
    <x:row r="112" ht="30" customHeight="1">
      <x:c r="A112" s="1"/>
      <x:c r="B112" s="1"/>
      <x:c r="C112" s="64"/>
      <x:c r="D112" s="8"/>
      <x:c r="E112" s="8"/>
      <x:c r="F112" s="8"/>
      <x:c r="G112" s="8"/>
      <x:c r="H112" s="8"/>
      <x:c r="I112" s="8"/>
      <x:c r="J112" s="1"/>
      <x:c r="K112" s="1"/>
    </x:row>
    <x:row r="113" ht="30" customHeight="1">
      <x:c r="A113" s="1"/>
      <x:c r="B113" s="1"/>
      <x:c r="C113" s="64"/>
      <x:c r="D113" s="8"/>
      <x:c r="E113" s="8"/>
      <x:c r="F113" s="8"/>
      <x:c r="G113" s="8"/>
      <x:c r="H113" s="8"/>
      <x:c r="I113" s="8"/>
      <x:c r="J113" s="1"/>
      <x:c r="K113" s="1"/>
    </x:row>
    <x:row r="114" ht="30" customHeight="1">
      <x:c r="A114" s="1"/>
      <x:c r="B114" s="1"/>
      <x:c r="C114" s="64"/>
      <x:c r="D114" s="8"/>
      <x:c r="E114" s="8"/>
      <x:c r="F114" s="8"/>
      <x:c r="G114" s="8"/>
      <x:c r="H114" s="8"/>
      <x:c r="I114" s="8"/>
      <x:c r="J114" s="1"/>
      <x:c r="K114" s="1"/>
    </x:row>
    <x:row r="115" ht="30" customHeight="1">
      <x:c r="A115" s="1"/>
      <x:c r="B115" s="1"/>
      <x:c r="C115" s="64"/>
      <x:c r="D115" s="8"/>
      <x:c r="E115" s="8"/>
      <x:c r="F115" s="8"/>
      <x:c r="G115" s="8"/>
      <x:c r="H115" s="8"/>
      <x:c r="I115" s="8"/>
      <x:c r="J115" s="1"/>
      <x:c r="K115" s="1"/>
    </x:row>
    <x:row r="116" ht="30" customHeight="1">
      <x:c r="A116" s="1"/>
      <x:c r="B116" s="1"/>
      <x:c r="C116" s="64" t="str">
        <x:v>Opening tax losses available for use</x:v>
      </x:c>
      <x:c r="D116" s="74" t="n">
        <x:v>0</x:v>
      </x:c>
      <x:c r="E116" s="8"/>
      <x:c r="F116" s="8"/>
      <x:c r="G116" s="8"/>
      <x:c r="H116" s="8"/>
      <x:c r="I116" s="8"/>
      <x:c r="J116" s="1"/>
      <x:c r="K116" s="1"/>
    </x:row>
    <x:row r="117" ht="30" customHeight="1">
      <x:c r="A117" s="1"/>
      <x:c r="B117" s="1"/>
      <x:c r="C117" s="64" t="str">
        <x:v>Tax loss utilization share of positive PBT</x:v>
      </x:c>
      <x:c r="D117" s="72" t="n">
        <x:v>1</x:v>
      </x:c>
      <x:c r="E117" s="8"/>
      <x:c r="F117" s="8"/>
      <x:c r="G117" s="8"/>
      <x:c r="H117" s="8"/>
      <x:c r="I117" s="8"/>
      <x:c r="J117" s="1"/>
      <x:c r="K117" s="1" t="str">
        <x:v>Simplified cash tax schedule. Check company-specific eligibility, expiry, MAT and deferred tax separately.</x:v>
      </x:c>
    </x:row>
    <x:row r="118" ht="30" customHeight="1">
      <x:c r="A118" s="1"/>
      <x:c r="B118" s="1"/>
      <x:c r="C118" s="64"/>
      <x:c r="D118" s="8"/>
      <x:c r="E118" s="8"/>
      <x:c r="F118" s="8"/>
      <x:c r="G118" s="8"/>
      <x:c r="H118" s="8"/>
      <x:c r="I118" s="8"/>
      <x:c r="J118" s="1"/>
      <x:c r="K118" s="1"/>
    </x:row>
    <x:row r="119" ht="30" customHeight="1">
      <x:c r="A119" s="1"/>
      <x:c r="B119" s="1"/>
      <x:c r="C119" s="64"/>
      <x:c r="D119" s="8"/>
      <x:c r="E119" s="8"/>
      <x:c r="F119" s="8"/>
      <x:c r="G119" s="8"/>
      <x:c r="H119" s="8"/>
      <x:c r="I119" s="8"/>
      <x:c r="J119" s="1"/>
      <x:c r="K119" s="1"/>
    </x:row>
    <x:row r="120" ht="30" customHeight="1">
      <x:c r="A120" s="1"/>
      <x:c r="B120" s="1"/>
      <x:c r="C120" s="64"/>
      <x:c r="D120" s="8"/>
      <x:c r="E120" s="8"/>
      <x:c r="F120" s="8"/>
      <x:c r="G120" s="8"/>
      <x:c r="H120" s="8"/>
      <x:c r="I120" s="8"/>
      <x:c r="J120" s="1"/>
      <x:c r="K120" s="1"/>
    </x:row>
    <x:row r="121" ht="30" customHeight="1">
      <x:c r="A121" s="1"/>
      <x:c r="B121" s="1"/>
      <x:c r="C121" s="64"/>
      <x:c r="D121" s="8"/>
      <x:c r="E121" s="8"/>
      <x:c r="F121" s="8"/>
      <x:c r="G121" s="8"/>
      <x:c r="H121" s="8"/>
      <x:c r="I121" s="8"/>
      <x:c r="J121" s="1"/>
      <x:c r="K121" s="1"/>
    </x:row>
    <x:row r="122" ht="30" customHeight="1">
      <x:c r="A122" s="1"/>
      <x:c r="B122" s="1"/>
      <x:c r="C122" s="64"/>
      <x:c r="D122" s="8"/>
      <x:c r="E122" s="8"/>
      <x:c r="F122" s="8"/>
      <x:c r="G122" s="8"/>
      <x:c r="H122" s="8"/>
      <x:c r="I122" s="8"/>
      <x:c r="J122" s="1"/>
      <x:c r="K122" s="1"/>
    </x:row>
    <x:row r="123" ht="30" customHeight="1">
      <x:c r="A123" s="1"/>
      <x:c r="B123" s="1"/>
      <x:c r="C123" s="64"/>
      <x:c r="D123" s="8"/>
      <x:c r="E123" s="8"/>
      <x:c r="F123" s="8"/>
      <x:c r="G123" s="8"/>
      <x:c r="H123" s="8"/>
      <x:c r="I123" s="8"/>
      <x:c r="J123" s="1"/>
      <x:c r="K123" s="1"/>
    </x:row>
    <x:row r="124" ht="30" customHeight="1">
      <x:c r="A124" s="1"/>
      <x:c r="B124" s="1"/>
      <x:c r="C124" s="64"/>
      <x:c r="D124" s="8"/>
      <x:c r="E124" s="8"/>
      <x:c r="F124" s="8"/>
      <x:c r="G124" s="8"/>
      <x:c r="H124" s="8"/>
      <x:c r="I124" s="8"/>
      <x:c r="J124" s="1"/>
      <x:c r="K124" s="1"/>
    </x:row>
    <x:row r="125" ht="30" customHeight="1">
      <x:c r="A125" s="1"/>
      <x:c r="B125" s="1"/>
      <x:c r="C125" s="64"/>
      <x:c r="D125" s="8"/>
      <x:c r="E125" s="8"/>
      <x:c r="F125" s="8"/>
      <x:c r="G125" s="8"/>
      <x:c r="H125" s="8"/>
      <x:c r="I125" s="8"/>
      <x:c r="J125" s="1"/>
      <x:c r="K125" s="1"/>
    </x:row>
    <x:row r="126" ht="30" customHeight="1">
      <x:c r="A126" s="1"/>
      <x:c r="B126" s="1"/>
      <x:c r="C126" s="64"/>
      <x:c r="D126" s="8"/>
      <x:c r="E126" s="8"/>
      <x:c r="F126" s="8"/>
      <x:c r="G126" s="8"/>
      <x:c r="H126" s="8"/>
      <x:c r="I126" s="8"/>
      <x:c r="J126" s="1"/>
      <x:c r="K126" s="1"/>
    </x:row>
    <x:row r="127" ht="30" customHeight="1">
      <x:c r="A127" s="1"/>
      <x:c r="B127" s="1"/>
      <x:c r="C127" s="64"/>
      <x:c r="D127" s="8"/>
      <x:c r="E127" s="8"/>
      <x:c r="F127" s="8"/>
      <x:c r="G127" s="8"/>
      <x:c r="H127" s="8"/>
      <x:c r="I127" s="8"/>
      <x:c r="J127" s="1"/>
      <x:c r="K127" s="1"/>
    </x:row>
    <x:row r="128" ht="30" customHeight="1">
      <x:c r="A128" s="1"/>
      <x:c r="B128" s="1"/>
      <x:c r="C128" s="64"/>
      <x:c r="D128" s="8"/>
      <x:c r="E128" s="8"/>
      <x:c r="F128" s="8"/>
      <x:c r="G128" s="8"/>
      <x:c r="H128" s="8"/>
      <x:c r="I128" s="8"/>
      <x:c r="J128" s="1"/>
      <x:c r="K128" s="1"/>
    </x:row>
    <x:row r="129" ht="30" customHeight="1">
      <x:c r="A129" s="1"/>
      <x:c r="B129" s="1"/>
      <x:c r="C129" s="64"/>
      <x:c r="D129" s="8"/>
      <x:c r="E129" s="8"/>
      <x:c r="F129" s="8"/>
      <x:c r="G129" s="8"/>
      <x:c r="H129" s="8"/>
      <x:c r="I129" s="8"/>
      <x:c r="J129" s="1"/>
      <x:c r="K129" s="1"/>
    </x:row>
    <x:row r="130" ht="30" customHeight="1">
      <x:c r="A130" s="1"/>
      <x:c r="B130" s="1"/>
      <x:c r="C130" s="64"/>
      <x:c r="D130" s="8"/>
      <x:c r="E130" s="8"/>
      <x:c r="F130" s="8"/>
      <x:c r="G130" s="8"/>
      <x:c r="H130" s="8"/>
      <x:c r="I130" s="8"/>
      <x:c r="J130" s="1"/>
      <x:c r="K130" s="1"/>
    </x:row>
    <x:row r="131" ht="30" customHeight="1">
      <x:c r="A131" s="1"/>
      <x:c r="B131" s="1"/>
      <x:c r="C131" s="64"/>
      <x:c r="D131" s="8"/>
      <x:c r="E131" s="8"/>
      <x:c r="F131" s="8"/>
      <x:c r="G131" s="8"/>
      <x:c r="H131" s="8"/>
      <x:c r="I131" s="8"/>
      <x:c r="J131" s="1"/>
      <x:c r="K131" s="1"/>
    </x:row>
    <x:row r="132" ht="30" customHeight="1">
      <x:c r="A132" s="1"/>
      <x:c r="B132" s="1"/>
      <x:c r="C132" s="64"/>
      <x:c r="D132" s="8"/>
      <x:c r="E132" s="8"/>
      <x:c r="F132" s="8"/>
      <x:c r="G132" s="8"/>
      <x:c r="H132" s="8"/>
      <x:c r="I132" s="8"/>
      <x:c r="J132" s="1"/>
      <x:c r="K132" s="1"/>
    </x:row>
    <x:row r="133" ht="30" customHeight="1">
      <x:c r="A133" s="1"/>
      <x:c r="B133" s="1"/>
      <x:c r="C133" s="64"/>
      <x:c r="D133" s="8"/>
      <x:c r="E133" s="8"/>
      <x:c r="F133" s="8"/>
      <x:c r="G133" s="8"/>
      <x:c r="H133" s="8"/>
      <x:c r="I133" s="8"/>
      <x:c r="J133" s="1"/>
      <x:c r="K133" s="1"/>
    </x:row>
    <x:row r="134" ht="30" customHeight="1">
      <x:c r="A134" s="1"/>
      <x:c r="B134" s="1"/>
      <x:c r="C134" s="64"/>
      <x:c r="D134" s="8"/>
      <x:c r="E134" s="8"/>
      <x:c r="F134" s="8"/>
      <x:c r="G134" s="8"/>
      <x:c r="H134" s="8"/>
      <x:c r="I134" s="8"/>
      <x:c r="J134" s="1"/>
      <x:c r="K134" s="1"/>
    </x:row>
    <x:row r="135" ht="30" customHeight="1">
      <x:c r="A135" s="1"/>
      <x:c r="B135" s="1"/>
      <x:c r="C135" s="64"/>
      <x:c r="D135" s="8"/>
      <x:c r="E135" s="8"/>
      <x:c r="F135" s="8"/>
      <x:c r="G135" s="8"/>
      <x:c r="H135" s="8"/>
      <x:c r="I135" s="8"/>
      <x:c r="J135" s="1"/>
      <x:c r="K135" s="1"/>
    </x:row>
    <x:row r="136" ht="30" customHeight="1">
      <x:c r="A136" s="1"/>
      <x:c r="B136" s="1"/>
      <x:c r="C136" s="64"/>
      <x:c r="D136" s="8"/>
      <x:c r="E136" s="8"/>
      <x:c r="F136" s="8"/>
      <x:c r="G136" s="8"/>
      <x:c r="H136" s="8"/>
      <x:c r="I136" s="8"/>
      <x:c r="J136" s="1"/>
      <x:c r="K136" s="1"/>
    </x:row>
    <x:row r="137" ht="30" customHeight="1">
      <x:c r="A137" s="1"/>
      <x:c r="B137" s="1"/>
      <x:c r="C137" s="64"/>
      <x:c r="D137" s="8"/>
      <x:c r="E137" s="8"/>
      <x:c r="F137" s="8"/>
      <x:c r="G137" s="8"/>
      <x:c r="H137" s="8"/>
      <x:c r="I137" s="8"/>
      <x:c r="J137" s="1"/>
      <x:c r="K137" s="1"/>
    </x:row>
    <x:row r="138" ht="30" customHeight="1">
      <x:c r="A138" s="1"/>
      <x:c r="B138" s="1"/>
      <x:c r="C138" s="64"/>
      <x:c r="D138" s="8"/>
      <x:c r="E138" s="8"/>
      <x:c r="F138" s="8"/>
      <x:c r="G138" s="8"/>
      <x:c r="H138" s="8"/>
      <x:c r="I138" s="8"/>
      <x:c r="J138" s="1"/>
      <x:c r="K138" s="1"/>
    </x:row>
    <x:row r="139" ht="25" customHeight="1">
      <x:c r="A139" s="1"/>
      <x:c r="B139" s="1"/>
      <x:c r="C139" s="68" t="str">
        <x:v>CASH TAX SCHEDULE</x:v>
      </x:c>
      <x:c r="D139" s="69"/>
      <x:c r="E139" s="69"/>
      <x:c r="F139" s="69"/>
      <x:c r="G139" s="69"/>
      <x:c r="H139" s="69"/>
      <x:c r="I139" s="69"/>
      <x:c r="J139" s="1"/>
      <x:c r="K139" s="1"/>
    </x:row>
    <x:row r="140" ht="30" customHeight="1">
      <x:c r="A140" s="1"/>
      <x:c r="B140" s="1"/>
      <x:c r="C140" s="64" t="str">
        <x:v>Opening usable tax losses</x:v>
      </x:c>
      <x:c r="D140" s="8"/>
      <x:c r="E140" s="8" t="n">
        <x:f>$D$116</x:f>
        <x:v>0</x:v>
      </x:c>
      <x:c r="F140" s="8" t="n">
        <x:f>E145</x:f>
        <x:v>0</x:v>
      </x:c>
      <x:c r="G140" s="8" t="n">
        <x:f>F145</x:f>
        <x:v>0</x:v>
      </x:c>
      <x:c r="H140" s="8" t="n">
        <x:f>G145</x:f>
        <x:v>0</x:v>
      </x:c>
      <x:c r="I140" s="8" t="n">
        <x:f>H145</x:f>
        <x:v>0</x:v>
      </x:c>
      <x:c r="J140" s="1"/>
      <x:c r="K140" s="1"/>
    </x:row>
    <x:row r="141" ht="30" customHeight="1">
      <x:c r="A141" s="1"/>
      <x:c r="B141" s="1"/>
      <x:c r="C141" s="64" t="str">
        <x:v>Profit before tax for loss utilization</x:v>
      </x:c>
      <x:c r="D141" s="8"/>
      <x:c r="E141" s="8" t="n">
        <x:f>E60</x:f>
        <x:v>1089.7700000000002</x:v>
      </x:c>
      <x:c r="F141" s="8" t="n">
        <x:f>F60</x:f>
        <x:v>1229.2430999999997</x:v>
      </x:c>
      <x:c r="G141" s="8" t="n">
        <x:f>G60</x:f>
        <x:v>1386.6719429999994</x:v>
      </x:c>
      <x:c r="H141" s="8" t="n">
        <x:f>H60</x:f>
        <x:v>1564.3767147899994</x:v>
      </x:c>
      <x:c r="I141" s="8" t="n">
        <x:f>I60</x:f>
        <x:v>1764.9781004486981</x:v>
      </x:c>
      <x:c r="J141" s="1"/>
      <x:c r="K141" s="1"/>
    </x:row>
    <x:row r="142" ht="30" customHeight="1">
      <x:c r="A142" s="1"/>
      <x:c r="B142" s="1"/>
      <x:c r="C142" s="64" t="str">
        <x:v>Tax losses utilized</x:v>
      </x:c>
      <x:c r="D142" s="8"/>
      <x:c r="E142" s="8" t="n">
        <x:f>MIN(E140,MAX(0,E141)*$D$117)</x:f>
        <x:v>0</x:v>
      </x:c>
      <x:c r="F142" s="8" t="n">
        <x:f>MIN(F140,MAX(0,F141)*$D$117)</x:f>
        <x:v>0</x:v>
      </x:c>
      <x:c r="G142" s="8" t="n">
        <x:f>MIN(G140,MAX(0,G141)*$D$117)</x:f>
        <x:v>0</x:v>
      </x:c>
      <x:c r="H142" s="8" t="n">
        <x:f>MIN(H140,MAX(0,H141)*$D$117)</x:f>
        <x:v>0</x:v>
      </x:c>
      <x:c r="I142" s="8" t="n">
        <x:f>MIN(I140,MAX(0,I141)*$D$117)</x:f>
        <x:v>0</x:v>
      </x:c>
      <x:c r="J142" s="1"/>
      <x:c r="K142" s="1"/>
    </x:row>
    <x:row r="143" ht="30" customHeight="1">
      <x:c r="A143" s="1"/>
      <x:c r="B143" s="1"/>
      <x:c r="C143" s="64" t="str">
        <x:v>Taxable profit after loss utilization</x:v>
      </x:c>
      <x:c r="D143" s="8"/>
      <x:c r="E143" s="8" t="n">
        <x:f>MAX(0,E141-E142)</x:f>
        <x:v>1089.7700000000002</x:v>
      </x:c>
      <x:c r="F143" s="8" t="n">
        <x:f>MAX(0,F141-F142)</x:f>
        <x:v>1229.2430999999997</x:v>
      </x:c>
      <x:c r="G143" s="8" t="n">
        <x:f>MAX(0,G141-G142)</x:f>
        <x:v>1386.6719429999994</x:v>
      </x:c>
      <x:c r="H143" s="8" t="n">
        <x:f>MAX(0,H141-H142)</x:f>
        <x:v>1564.3767147899994</x:v>
      </x:c>
      <x:c r="I143" s="8" t="n">
        <x:f>MAX(0,I141-I142)</x:f>
        <x:v>1764.9781004486981</x:v>
      </x:c>
      <x:c r="J143" s="1"/>
      <x:c r="K143" s="1"/>
    </x:row>
    <x:row r="144" ht="30" customHeight="1">
      <x:c r="A144" s="1"/>
      <x:c r="B144" s="1"/>
      <x:c r="C144" s="64" t="str">
        <x:v>Cash income tax after loss utilization</x:v>
      </x:c>
      <x:c r="D144" s="8"/>
      <x:c r="E144" s="8" t="n">
        <x:f>E143*E38</x:f>
        <x:v>272.44250000000005</x:v>
      </x:c>
      <x:c r="F144" s="8" t="n">
        <x:f>F143*F38</x:f>
        <x:v>307.3107749999999</x:v>
      </x:c>
      <x:c r="G144" s="8" t="n">
        <x:f>G143*G38</x:f>
        <x:v>346.66798574999984</x:v>
      </x:c>
      <x:c r="H144" s="8" t="n">
        <x:f>H143*H38</x:f>
        <x:v>391.09417869749984</x:v>
      </x:c>
      <x:c r="I144" s="8" t="n">
        <x:f>I143*I38</x:f>
        <x:v>441.24452511217453</x:v>
      </x:c>
      <x:c r="J144" s="1"/>
      <x:c r="K144" s="1"/>
    </x:row>
    <x:row r="145" ht="30" customHeight="1">
      <x:c r="A145" s="1"/>
      <x:c r="B145" s="1"/>
      <x:c r="C145" s="64" t="str">
        <x:v>Closing usable tax losses</x:v>
      </x:c>
      <x:c r="D145" s="8"/>
      <x:c r="E145" s="8" t="n">
        <x:f>E140-E142+MAX(0,-E141)</x:f>
        <x:v>0</x:v>
      </x:c>
      <x:c r="F145" s="8" t="n">
        <x:f>F140-F142+MAX(0,-F141)</x:f>
        <x:v>0</x:v>
      </x:c>
      <x:c r="G145" s="8" t="n">
        <x:f>G140-G142+MAX(0,-G141)</x:f>
        <x:v>0</x:v>
      </x:c>
      <x:c r="H145" s="8" t="n">
        <x:f>H140-H142+MAX(0,-H141)</x:f>
        <x:v>0</x:v>
      </x:c>
      <x:c r="I145" s="8" t="n">
        <x:f>I140-I142+MAX(0,-I141)</x:f>
        <x:v>0</x:v>
      </x:c>
      <x:c r="J145" s="1"/>
      <x:c r="K145" s="1"/>
    </x:row>
    <x:row r="146" ht="30" customHeight="1">
      <x:c r="A146" s="1"/>
      <x:c r="B146" s="1"/>
      <x:c r="C146" s="64"/>
      <x:c r="D146" s="8"/>
      <x:c r="E146" s="8"/>
      <x:c r="F146" s="8"/>
      <x:c r="G146" s="8"/>
      <x:c r="H146" s="8"/>
      <x:c r="I146" s="8"/>
      <x:c r="J146" s="1"/>
      <x:c r="K146" s="1"/>
    </x:row>
    <x:row r="147" ht="30" customHeight="1">
      <x:c r="A147" s="1"/>
      <x:c r="B147" s="1"/>
      <x:c r="C147" s="64"/>
      <x:c r="D147" s="8"/>
      <x:c r="E147" s="8"/>
      <x:c r="F147" s="8"/>
      <x:c r="G147" s="8"/>
      <x:c r="H147" s="8"/>
      <x:c r="I147" s="8"/>
      <x:c r="J147" s="1"/>
      <x:c r="K147" s="1"/>
    </x:row>
    <x:row r="148" ht="30" customHeight="1">
      <x:c r="A148" s="1"/>
      <x:c r="B148" s="1"/>
      <x:c r="C148" s="64"/>
      <x:c r="D148" s="8"/>
      <x:c r="E148" s="8"/>
      <x:c r="F148" s="8"/>
      <x:c r="G148" s="8"/>
      <x:c r="H148" s="8"/>
      <x:c r="I148" s="8"/>
      <x:c r="J148" s="1"/>
      <x:c r="K148" s="1"/>
    </x:row>
    <x:row r="149" ht="30" customHeight="1">
      <x:c r="A149" s="1"/>
      <x:c r="B149" s="1"/>
      <x:c r="C149" s="64"/>
      <x:c r="D149" s="8"/>
      <x:c r="E149" s="8"/>
      <x:c r="F149" s="8"/>
      <x:c r="G149" s="8"/>
      <x:c r="H149" s="8"/>
      <x:c r="I149" s="8"/>
      <x:c r="J149" s="1"/>
      <x:c r="K149" s="1"/>
    </x:row>
    <x:row r="150" ht="30" customHeight="1">
      <x:c r="A150" s="1"/>
      <x:c r="B150" s="1"/>
      <x:c r="C150" s="64"/>
      <x:c r="D150" s="8"/>
      <x:c r="E150" s="8"/>
      <x:c r="F150" s="8"/>
      <x:c r="G150" s="8"/>
      <x:c r="H150" s="8"/>
      <x:c r="I150" s="8"/>
      <x:c r="J150" s="1"/>
      <x:c r="K150" s="1"/>
    </x:row>
    <x:row r="151" ht="30" customHeight="1">
      <x:c r="A151" s="1"/>
      <x:c r="B151" s="1"/>
      <x:c r="C151" s="64"/>
      <x:c r="D151" s="8"/>
      <x:c r="E151" s="8"/>
      <x:c r="F151" s="8"/>
      <x:c r="G151" s="8"/>
      <x:c r="H151" s="8"/>
      <x:c r="I151" s="8"/>
      <x:c r="J151" s="1"/>
      <x:c r="K151" s="1"/>
    </x:row>
    <x:row r="152" ht="30" customHeight="1">
      <x:c r="A152" s="1"/>
      <x:c r="B152" s="1"/>
      <x:c r="C152" s="64"/>
      <x:c r="D152" s="8"/>
      <x:c r="E152" s="8"/>
      <x:c r="F152" s="8"/>
      <x:c r="G152" s="8"/>
      <x:c r="H152" s="8"/>
      <x:c r="I152" s="8"/>
      <x:c r="J152" s="1"/>
      <x:c r="K152" s="1"/>
    </x:row>
    <x:row r="153" ht="30" customHeight="1">
      <x:c r="A153" s="1"/>
      <x:c r="B153" s="1"/>
      <x:c r="C153" s="64"/>
      <x:c r="D153" s="8"/>
      <x:c r="E153" s="8"/>
      <x:c r="F153" s="8"/>
      <x:c r="G153" s="8"/>
      <x:c r="H153" s="8"/>
      <x:c r="I153" s="8"/>
      <x:c r="J153" s="1"/>
      <x:c r="K153" s="1"/>
    </x:row>
    <x:row r="154" ht="30" customHeight="1">
      <x:c r="A154" s="1"/>
      <x:c r="B154" s="1"/>
      <x:c r="C154" s="64"/>
      <x:c r="D154" s="8"/>
      <x:c r="E154" s="8"/>
      <x:c r="F154" s="8"/>
      <x:c r="G154" s="8"/>
      <x:c r="H154" s="8"/>
      <x:c r="I154" s="8"/>
      <x:c r="J154" s="1"/>
      <x:c r="K154" s="1"/>
    </x:row>
    <x:row r="155" ht="30" customHeight="1">
      <x:c r="A155" s="1"/>
      <x:c r="B155" s="1"/>
      <x:c r="C155" s="64"/>
      <x:c r="D155" s="8"/>
      <x:c r="E155" s="8"/>
      <x:c r="F155" s="8"/>
      <x:c r="G155" s="8"/>
      <x:c r="H155" s="8"/>
      <x:c r="I155" s="8"/>
      <x:c r="J155" s="1"/>
      <x:c r="K155" s="1"/>
    </x:row>
    <x:row r="156" ht="30" customHeight="1">
      <x:c r="A156" s="1"/>
      <x:c r="B156" s="1"/>
      <x:c r="C156" s="64"/>
      <x:c r="D156" s="8"/>
      <x:c r="E156" s="8"/>
      <x:c r="F156" s="8"/>
      <x:c r="G156" s="8"/>
      <x:c r="H156" s="8"/>
      <x:c r="I156" s="8"/>
      <x:c r="J156" s="1"/>
      <x:c r="K156" s="1"/>
    </x:row>
    <x:row r="157" ht="30" customHeight="1">
      <x:c r="A157" s="1"/>
      <x:c r="B157" s="1"/>
      <x:c r="C157" s="64"/>
      <x:c r="D157" s="8"/>
      <x:c r="E157" s="8"/>
      <x:c r="F157" s="8"/>
      <x:c r="G157" s="8"/>
      <x:c r="H157" s="8"/>
      <x:c r="I157" s="8"/>
      <x:c r="J157" s="1"/>
      <x:c r="K157" s="1"/>
    </x:row>
    <x:row r="158" ht="30" customHeight="1">
      <x:c r="A158" s="1"/>
      <x:c r="B158" s="1"/>
      <x:c r="C158" s="64"/>
      <x:c r="D158" s="8"/>
      <x:c r="E158" s="8"/>
      <x:c r="F158" s="8"/>
      <x:c r="G158" s="8"/>
      <x:c r="H158" s="8"/>
      <x:c r="I158" s="8"/>
      <x:c r="J158" s="1"/>
      <x:c r="K158" s="1"/>
    </x:row>
    <x:row r="159" ht="30" customHeight="1">
      <x:c r="A159" s="1"/>
      <x:c r="B159" s="1"/>
      <x:c r="C159" s="64"/>
      <x:c r="D159" s="8"/>
      <x:c r="E159" s="8"/>
      <x:c r="F159" s="8"/>
      <x:c r="G159" s="8"/>
      <x:c r="H159" s="8"/>
      <x:c r="I159" s="8"/>
      <x:c r="J159" s="1"/>
      <x:c r="K159" s="1"/>
    </x:row>
    <x:row r="160" ht="30" customHeight="1">
      <x:c r="A160" s="1"/>
      <x:c r="B160" s="1"/>
      <x:c r="C160" s="64"/>
      <x:c r="D160" s="8"/>
      <x:c r="E160" s="8"/>
      <x:c r="F160" s="8"/>
      <x:c r="G160" s="8"/>
      <x:c r="H160" s="8"/>
      <x:c r="I160" s="8"/>
      <x:c r="J160" s="1"/>
      <x:c r="K160" s="1"/>
    </x:row>
    <x:row r="161" ht="30" customHeight="1">
      <x:c r="A161" s="1"/>
      <x:c r="B161" s="1"/>
      <x:c r="C161" s="64"/>
      <x:c r="D161" s="8"/>
      <x:c r="E161" s="8"/>
      <x:c r="F161" s="8"/>
      <x:c r="G161" s="8"/>
      <x:c r="H161" s="8"/>
      <x:c r="I161" s="8"/>
      <x:c r="J161" s="1"/>
      <x:c r="K161" s="1"/>
    </x:row>
    <x:row r="162" ht="30" customHeight="1">
      <x:c r="A162" s="1"/>
      <x:c r="B162" s="1"/>
      <x:c r="C162" s="64"/>
      <x:c r="D162" s="8"/>
      <x:c r="E162" s="8"/>
      <x:c r="F162" s="8"/>
      <x:c r="G162" s="8"/>
      <x:c r="H162" s="8"/>
      <x:c r="I162" s="8"/>
      <x:c r="J162" s="1"/>
      <x:c r="K162" s="1"/>
    </x:row>
    <x:row r="163" ht="30" customHeight="1">
      <x:c r="A163" s="1"/>
      <x:c r="B163" s="1"/>
      <x:c r="C163" s="64"/>
      <x:c r="D163" s="8"/>
      <x:c r="E163" s="8"/>
      <x:c r="F163" s="8"/>
      <x:c r="G163" s="8"/>
      <x:c r="H163" s="8"/>
      <x:c r="I163" s="8"/>
      <x:c r="J163" s="1"/>
      <x:c r="K163" s="1"/>
    </x:row>
    <x:row r="164" ht="30" customHeight="1">
      <x:c r="A164" s="1"/>
      <x:c r="B164" s="1"/>
      <x:c r="C164" s="64"/>
      <x:c r="D164" s="8"/>
      <x:c r="E164" s="8"/>
      <x:c r="F164" s="8"/>
      <x:c r="G164" s="8"/>
      <x:c r="H164" s="8"/>
      <x:c r="I164" s="8"/>
      <x:c r="J164" s="1"/>
      <x:c r="K164" s="1"/>
    </x:row>
    <x:row r="165" ht="30" customHeight="1">
      <x:c r="A165" s="1"/>
      <x:c r="B165" s="1"/>
      <x:c r="C165" s="64"/>
      <x:c r="D165" s="8"/>
      <x:c r="E165" s="8"/>
      <x:c r="F165" s="8"/>
      <x:c r="G165" s="8"/>
      <x:c r="H165" s="8"/>
      <x:c r="I165" s="8"/>
      <x:c r="J165" s="1"/>
      <x:c r="K165" s="1"/>
    </x:row>
    <x:row r="166" ht="30" customHeight="1">
      <x:c r="A166" s="1"/>
      <x:c r="B166" s="1"/>
      <x:c r="C166" s="64"/>
      <x:c r="D166" s="8"/>
      <x:c r="E166" s="8"/>
      <x:c r="F166" s="8"/>
      <x:c r="G166" s="8"/>
      <x:c r="H166" s="8"/>
      <x:c r="I166" s="8"/>
      <x:c r="J166" s="1"/>
      <x:c r="K166" s="1"/>
    </x:row>
    <x:row r="167" ht="30" customHeight="1">
      <x:c r="A167" s="1"/>
      <x:c r="B167" s="1"/>
      <x:c r="C167" s="64"/>
      <x:c r="D167" s="8"/>
      <x:c r="E167" s="8"/>
      <x:c r="F167" s="8"/>
      <x:c r="G167" s="8"/>
      <x:c r="H167" s="8"/>
      <x:c r="I167" s="8"/>
      <x:c r="J167" s="1"/>
      <x:c r="K167" s="1"/>
    </x:row>
    <x:row r="168" ht="30" customHeight="1">
      <x:c r="A168" s="1"/>
      <x:c r="B168" s="1"/>
      <x:c r="C168" s="64"/>
      <x:c r="D168" s="8"/>
      <x:c r="E168" s="8"/>
      <x:c r="F168" s="8"/>
      <x:c r="G168" s="8"/>
      <x:c r="H168" s="8"/>
      <x:c r="I168" s="8"/>
      <x:c r="J168" s="1"/>
      <x:c r="K168" s="1"/>
    </x:row>
    <x:row r="169" ht="30" customHeight="1">
      <x:c r="A169" s="1"/>
      <x:c r="B169" s="1"/>
      <x:c r="C169" s="64"/>
      <x:c r="D169" s="8"/>
      <x:c r="E169" s="8"/>
      <x:c r="F169" s="8"/>
      <x:c r="G169" s="8"/>
      <x:c r="H169" s="8"/>
      <x:c r="I169" s="8"/>
      <x:c r="J169" s="1"/>
      <x:c r="K169" s="1"/>
    </x:row>
    <x:row r="170" ht="30" customHeight="1">
      <x:c r="A170" s="1"/>
      <x:c r="B170" s="1"/>
      <x:c r="C170" s="64"/>
      <x:c r="D170" s="8"/>
      <x:c r="E170" s="8"/>
      <x:c r="F170" s="8"/>
      <x:c r="G170" s="8"/>
      <x:c r="H170" s="8"/>
      <x:c r="I170" s="8"/>
      <x:c r="J170" s="1"/>
      <x:c r="K170" s="1"/>
    </x:row>
    <x:row r="171" ht="30" customHeight="1">
      <x:c r="A171" s="1"/>
      <x:c r="B171" s="1"/>
      <x:c r="C171" s="64"/>
      <x:c r="D171" s="8"/>
      <x:c r="E171" s="8"/>
      <x:c r="F171" s="8"/>
      <x:c r="G171" s="8"/>
      <x:c r="H171" s="8"/>
      <x:c r="I171" s="8"/>
      <x:c r="J171" s="1"/>
      <x:c r="K171" s="1"/>
    </x:row>
    <x:row r="172" ht="30" customHeight="1">
      <x:c r="A172" s="1"/>
      <x:c r="B172" s="1"/>
      <x:c r="C172" s="64"/>
      <x:c r="D172" s="8"/>
      <x:c r="E172" s="8"/>
      <x:c r="F172" s="8"/>
      <x:c r="G172" s="8"/>
      <x:c r="H172" s="8"/>
      <x:c r="I172" s="8"/>
      <x:c r="J172" s="1"/>
      <x:c r="K172" s="1"/>
    </x:row>
    <x:row r="173" ht="30" customHeight="1">
      <x:c r="A173" s="1"/>
      <x:c r="B173" s="1"/>
      <x:c r="C173" s="64"/>
      <x:c r="D173" s="8"/>
      <x:c r="E173" s="8"/>
      <x:c r="F173" s="8"/>
      <x:c r="G173" s="8"/>
      <x:c r="H173" s="8"/>
      <x:c r="I173" s="8"/>
      <x:c r="J173" s="1"/>
      <x:c r="K173" s="1"/>
    </x:row>
    <x:row r="174" ht="30" customHeight="1">
      <x:c r="A174" s="1"/>
      <x:c r="B174" s="1"/>
      <x:c r="C174" s="64"/>
      <x:c r="D174" s="8"/>
      <x:c r="E174" s="8"/>
      <x:c r="F174" s="8"/>
      <x:c r="G174" s="8"/>
      <x:c r="H174" s="8"/>
      <x:c r="I174" s="8"/>
      <x:c r="J174" s="1"/>
      <x:c r="K174" s="1"/>
    </x:row>
    <x:row r="175" ht="30" customHeight="1">
      <x:c r="A175" s="1"/>
      <x:c r="B175" s="1"/>
      <x:c r="C175" s="64"/>
      <x:c r="D175" s="8"/>
      <x:c r="E175" s="8"/>
      <x:c r="F175" s="8"/>
      <x:c r="G175" s="8"/>
      <x:c r="H175" s="8"/>
      <x:c r="I175" s="8"/>
      <x:c r="J175" s="1"/>
      <x:c r="K175" s="1"/>
    </x:row>
    <x:row r="176" ht="30" customHeight="1">
      <x:c r="A176" s="1"/>
      <x:c r="B176" s="1"/>
      <x:c r="C176" s="64"/>
      <x:c r="D176" s="8"/>
      <x:c r="E176" s="8"/>
      <x:c r="F176" s="8"/>
      <x:c r="G176" s="8"/>
      <x:c r="H176" s="8"/>
      <x:c r="I176" s="8"/>
      <x:c r="J176" s="1"/>
      <x:c r="K176" s="1"/>
    </x:row>
    <x:row r="177" ht="30" customHeight="1">
      <x:c r="A177" s="1"/>
      <x:c r="B177" s="1"/>
      <x:c r="C177" s="64"/>
      <x:c r="D177" s="8"/>
      <x:c r="E177" s="8"/>
      <x:c r="F177" s="8"/>
      <x:c r="G177" s="8"/>
      <x:c r="H177" s="8"/>
      <x:c r="I177" s="8"/>
      <x:c r="J177" s="1"/>
      <x:c r="K177" s="1"/>
    </x:row>
    <x:row r="178" ht="30" customHeight="1">
      <x:c r="A178" s="1"/>
      <x:c r="B178" s="1"/>
      <x:c r="C178" s="64"/>
      <x:c r="D178" s="8"/>
      <x:c r="E178" s="8"/>
      <x:c r="F178" s="8"/>
      <x:c r="G178" s="8"/>
      <x:c r="H178" s="8"/>
      <x:c r="I178" s="8"/>
      <x:c r="J178" s="1"/>
      <x:c r="K178" s="1"/>
    </x:row>
    <x:row r="179" ht="25" customHeight="1">
      <x:c r="A179" s="1"/>
      <x:c r="B179" s="1"/>
      <x:c r="C179" s="68" t="str">
        <x:v>MODEL CHECKS</x:v>
      </x:c>
      <x:c r="D179" s="69"/>
      <x:c r="E179" s="69"/>
      <x:c r="F179" s="69"/>
      <x:c r="G179" s="69"/>
      <x:c r="H179" s="69"/>
      <x:c r="I179" s="69"/>
      <x:c r="J179" s="1"/>
      <x:c r="K179" s="1"/>
    </x:row>
    <x:row r="180" ht="30" customHeight="1">
      <x:c r="A180" s="1"/>
      <x:c r="B180" s="1"/>
      <x:c r="C180" s="64" t="str">
        <x:v>Opening gross loans input outside bounds</x:v>
      </x:c>
      <x:c r="D180" s="8"/>
      <x:c r="E180" s="75" t="n">
        <x:f>IF(COUNT(D10)=0,1,IF(D10&lt;0,1,0))</x:f>
        <x:v>0</x:v>
      </x:c>
      <x:c r="F180" s="75" t="n">
        <x:f>IF(COUNT(D10)=0,1,IF(D10&lt;0,1,0))</x:f>
        <x:v>0</x:v>
      </x:c>
      <x:c r="G180" s="75" t="n">
        <x:f>IF(COUNT(D10)=0,1,IF(D10&lt;0,1,0))</x:f>
        <x:v>0</x:v>
      </x:c>
      <x:c r="H180" s="75" t="n">
        <x:f>IF(COUNT(D10)=0,1,IF(D10&lt;0,1,0))</x:f>
        <x:v>0</x:v>
      </x:c>
      <x:c r="I180" s="75" t="n">
        <x:f>IF(COUNT(D10)=0,1,IF(D10&lt;0,1,0))</x:f>
        <x:v>0</x:v>
      </x:c>
      <x:c r="J180" s="1"/>
      <x:c r="K180" s="1"/>
    </x:row>
    <x:row r="181" ht="30" customHeight="1">
      <x:c r="A181" s="1"/>
      <x:c r="B181" s="1"/>
      <x:c r="C181" s="64" t="str">
        <x:v>Opening borrowings input outside bounds</x:v>
      </x:c>
      <x:c r="D181" s="8"/>
      <x:c r="E181" s="75" t="n">
        <x:f>IF(COUNT(D11)=0,1,IF(D11&lt;0,1,0))</x:f>
        <x:v>0</x:v>
      </x:c>
      <x:c r="F181" s="75" t="n">
        <x:f>IF(COUNT(D11)=0,1,IF(D11&lt;0,1,0))</x:f>
        <x:v>0</x:v>
      </x:c>
      <x:c r="G181" s="75" t="n">
        <x:f>IF(COUNT(D11)=0,1,IF(D11&lt;0,1,0))</x:f>
        <x:v>0</x:v>
      </x:c>
      <x:c r="H181" s="75" t="n">
        <x:f>IF(COUNT(D11)=0,1,IF(D11&lt;0,1,0))</x:f>
        <x:v>0</x:v>
      </x:c>
      <x:c r="I181" s="75" t="n">
        <x:f>IF(COUNT(D11)=0,1,IF(D11&lt;0,1,0))</x:f>
        <x:v>0</x:v>
      </x:c>
      <x:c r="J181" s="1"/>
      <x:c r="K181" s="1"/>
    </x:row>
    <x:row r="182" ht="30" customHeight="1">
      <x:c r="A182" s="1"/>
      <x:c r="B182" s="1"/>
      <x:c r="C182" s="64" t="str">
        <x:v>Opening investment assets input outside bounds</x:v>
      </x:c>
      <x:c r="D182" s="8"/>
      <x:c r="E182" s="75" t="n">
        <x:f>IF(COUNT(D12)=0,1,IF(D12&lt;0,1,0))</x:f>
        <x:v>0</x:v>
      </x:c>
      <x:c r="F182" s="75" t="n">
        <x:f>IF(COUNT(D12)=0,1,IF(D12&lt;0,1,0))</x:f>
        <x:v>0</x:v>
      </x:c>
      <x:c r="G182" s="75" t="n">
        <x:f>IF(COUNT(D12)=0,1,IF(D12&lt;0,1,0))</x:f>
        <x:v>0</x:v>
      </x:c>
      <x:c r="H182" s="75" t="n">
        <x:f>IF(COUNT(D12)=0,1,IF(D12&lt;0,1,0))</x:f>
        <x:v>0</x:v>
      </x:c>
      <x:c r="I182" s="75" t="n">
        <x:f>IF(COUNT(D12)=0,1,IF(D12&lt;0,1,0))</x:f>
        <x:v>0</x:v>
      </x:c>
      <x:c r="J182" s="1"/>
      <x:c r="K182" s="1"/>
    </x:row>
    <x:row r="183" ht="30" customHeight="1">
      <x:c r="A183" s="1"/>
      <x:c r="B183" s="1"/>
      <x:c r="C183" s="64" t="str">
        <x:v>Opening equity input outside bounds</x:v>
      </x:c>
      <x:c r="D183" s="8"/>
      <x:c r="E183" s="75" t="n">
        <x:f>IF(COUNT(D13)=0,1,IF(D13&lt;0,1,0))</x:f>
        <x:v>0</x:v>
      </x:c>
      <x:c r="F183" s="75" t="n">
        <x:f>IF(COUNT(D13)=0,1,IF(D13&lt;0,1,0))</x:f>
        <x:v>0</x:v>
      </x:c>
      <x:c r="G183" s="75" t="n">
        <x:f>IF(COUNT(D13)=0,1,IF(D13&lt;0,1,0))</x:f>
        <x:v>0</x:v>
      </x:c>
      <x:c r="H183" s="75" t="n">
        <x:f>IF(COUNT(D13)=0,1,IF(D13&lt;0,1,0))</x:f>
        <x:v>0</x:v>
      </x:c>
      <x:c r="I183" s="75" t="n">
        <x:f>IF(COUNT(D13)=0,1,IF(D13&lt;0,1,0))</x:f>
        <x:v>0</x:v>
      </x:c>
      <x:c r="J183" s="1"/>
      <x:c r="K183" s="1"/>
    </x:row>
    <x:row r="184" ht="30" customHeight="1">
      <x:c r="A184" s="1"/>
      <x:c r="B184" s="1"/>
      <x:c r="C184" s="64" t="str">
        <x:v>Opening credit-loss allowance input outside bounds</x:v>
      </x:c>
      <x:c r="D184" s="8"/>
      <x:c r="E184" s="75" t="n">
        <x:f>IF(COUNT(D14)=0,1,IF(D14&lt;0,1,0))</x:f>
        <x:v>0</x:v>
      </x:c>
      <x:c r="F184" s="75" t="n">
        <x:f>IF(COUNT(D14)=0,1,IF(D14&lt;0,1,0))</x:f>
        <x:v>0</x:v>
      </x:c>
      <x:c r="G184" s="75" t="n">
        <x:f>IF(COUNT(D14)=0,1,IF(D14&lt;0,1,0))</x:f>
        <x:v>0</x:v>
      </x:c>
      <x:c r="H184" s="75" t="n">
        <x:f>IF(COUNT(D14)=0,1,IF(D14&lt;0,1,0))</x:f>
        <x:v>0</x:v>
      </x:c>
      <x:c r="I184" s="75" t="n">
        <x:f>IF(COUNT(D14)=0,1,IF(D14&lt;0,1,0))</x:f>
        <x:v>0</x:v>
      </x:c>
      <x:c r="J184" s="1"/>
      <x:c r="K184" s="1"/>
    </x:row>
    <x:row r="185" ht="30" customHeight="1">
      <x:c r="A185" s="1"/>
      <x:c r="B185" s="1"/>
      <x:c r="C185" s="64" t="str">
        <x:v>Opening gross non-performing loans input outside bounds</x:v>
      </x:c>
      <x:c r="D185" s="8"/>
      <x:c r="E185" s="75" t="n">
        <x:f>IF(COUNT(D15)=0,1,IF(D15&lt;0,1,0))</x:f>
        <x:v>0</x:v>
      </x:c>
      <x:c r="F185" s="75" t="n">
        <x:f>IF(COUNT(D15)=0,1,IF(D15&lt;0,1,0))</x:f>
        <x:v>0</x:v>
      </x:c>
      <x:c r="G185" s="75" t="n">
        <x:f>IF(COUNT(D15)=0,1,IF(D15&lt;0,1,0))</x:f>
        <x:v>0</x:v>
      </x:c>
      <x:c r="H185" s="75" t="n">
        <x:f>IF(COUNT(D15)=0,1,IF(D15&lt;0,1,0))</x:f>
        <x:v>0</x:v>
      </x:c>
      <x:c r="I185" s="75" t="n">
        <x:f>IF(COUNT(D15)=0,1,IF(D15&lt;0,1,0))</x:f>
        <x:v>0</x:v>
      </x:c>
      <x:c r="J185" s="1"/>
      <x:c r="K185" s="1"/>
    </x:row>
    <x:row r="186" ht="30" customHeight="1">
      <x:c r="A186" s="1"/>
      <x:c r="B186" s="1"/>
      <x:c r="C186" s="64" t="str">
        <x:v>Diluted shares (crore) input outside bounds</x:v>
      </x:c>
      <x:c r="D186" s="8"/>
      <x:c r="E186" s="75" t="n">
        <x:f>IF(COUNT(D16)=0,1,IF(D16&lt;0,1,0))</x:f>
        <x:v>0</x:v>
      </x:c>
      <x:c r="F186" s="75" t="n">
        <x:f>IF(COUNT(D16)=0,1,IF(D16&lt;0,1,0))</x:f>
        <x:v>0</x:v>
      </x:c>
      <x:c r="G186" s="75" t="n">
        <x:f>IF(COUNT(D16)=0,1,IF(D16&lt;0,1,0))</x:f>
        <x:v>0</x:v>
      </x:c>
      <x:c r="H186" s="75" t="n">
        <x:f>IF(COUNT(D16)=0,1,IF(D16&lt;0,1,0))</x:f>
        <x:v>0</x:v>
      </x:c>
      <x:c r="I186" s="75" t="n">
        <x:f>IF(COUNT(D16)=0,1,IF(D16&lt;0,1,0))</x:f>
        <x:v>0</x:v>
      </x:c>
      <x:c r="J186" s="1"/>
      <x:c r="K186" s="1"/>
    </x:row>
    <x:row r="187" ht="30" customHeight="1">
      <x:c r="A187" s="1"/>
      <x:c r="B187" s="1"/>
      <x:c r="C187" s="64" t="str">
        <x:v>Forward price / book multiple input outside bounds</x:v>
      </x:c>
      <x:c r="D187" s="8"/>
      <x:c r="E187" s="75" t="n">
        <x:f>IF(COUNT(D17)=0,1,IF(D17&lt;0,1,0))</x:f>
        <x:v>0</x:v>
      </x:c>
      <x:c r="F187" s="75" t="n">
        <x:f>IF(COUNT(D17)=0,1,IF(D17&lt;0,1,0))</x:f>
        <x:v>0</x:v>
      </x:c>
      <x:c r="G187" s="75" t="n">
        <x:f>IF(COUNT(D17)=0,1,IF(D17&lt;0,1,0))</x:f>
        <x:v>0</x:v>
      </x:c>
      <x:c r="H187" s="75" t="n">
        <x:f>IF(COUNT(D17)=0,1,IF(D17&lt;0,1,0))</x:f>
        <x:v>0</x:v>
      </x:c>
      <x:c r="I187" s="75" t="n">
        <x:f>IF(COUNT(D17)=0,1,IF(D17&lt;0,1,0))</x:f>
        <x:v>0</x:v>
      </x:c>
      <x:c r="J187" s="1"/>
      <x:c r="K187" s="1"/>
    </x:row>
    <x:row r="188" ht="30" customHeight="1">
      <x:c r="A188" s="1"/>
      <x:c r="B188" s="1"/>
      <x:c r="C188" s="64" t="str">
        <x:v>Forward price / earnings multiple input outside bounds</x:v>
      </x:c>
      <x:c r="D188" s="8"/>
      <x:c r="E188" s="75" t="n">
        <x:f>IF(COUNT(D18)=0,1,IF(D18&lt;0,1,0))</x:f>
        <x:v>0</x:v>
      </x:c>
      <x:c r="F188" s="75" t="n">
        <x:f>IF(COUNT(D18)=0,1,IF(D18&lt;0,1,0))</x:f>
        <x:v>0</x:v>
      </x:c>
      <x:c r="G188" s="75" t="n">
        <x:f>IF(COUNT(D18)=0,1,IF(D18&lt;0,1,0))</x:f>
        <x:v>0</x:v>
      </x:c>
      <x:c r="H188" s="75" t="n">
        <x:f>IF(COUNT(D18)=0,1,IF(D18&lt;0,1,0))</x:f>
        <x:v>0</x:v>
      </x:c>
      <x:c r="I188" s="75" t="n">
        <x:f>IF(COUNT(D18)=0,1,IF(D18&lt;0,1,0))</x:f>
        <x:v>0</x:v>
      </x:c>
      <x:c r="J188" s="1"/>
      <x:c r="K188" s="1"/>
    </x:row>
    <x:row r="189" ht="30" customHeight="1">
      <x:c r="A189" s="1"/>
      <x:c r="B189" s="1"/>
      <x:c r="C189" s="64" t="str">
        <x:v>Cost of equity for one-year discount input outside bounds</x:v>
      </x:c>
      <x:c r="D189" s="8"/>
      <x:c r="E189" s="75" t="n">
        <x:f>IF(COUNT(D19)=0,1,IF(D19&lt;0,1,0))</x:f>
        <x:v>0</x:v>
      </x:c>
      <x:c r="F189" s="75" t="n">
        <x:f>IF(COUNT(D19)=0,1,IF(D19&lt;0,1,0))</x:f>
        <x:v>0</x:v>
      </x:c>
      <x:c r="G189" s="75" t="n">
        <x:f>IF(COUNT(D19)=0,1,IF(D19&lt;0,1,0))</x:f>
        <x:v>0</x:v>
      </x:c>
      <x:c r="H189" s="75" t="n">
        <x:f>IF(COUNT(D19)=0,1,IF(D19&lt;0,1,0))</x:f>
        <x:v>0</x:v>
      </x:c>
      <x:c r="I189" s="75" t="n">
        <x:f>IF(COUNT(D19)=0,1,IF(D19&lt;0,1,0))</x:f>
        <x:v>0</x:v>
      </x:c>
      <x:c r="J189" s="1"/>
      <x:c r="K189" s="1"/>
    </x:row>
    <x:row r="190" ht="30" customHeight="1">
      <x:c r="A190" s="1"/>
      <x:c r="B190" s="1"/>
      <x:c r="C190" s="64" t="str">
        <x:v>Loan growth input outside bounds</x:v>
      </x:c>
      <x:c r="D190" s="8"/>
      <x:c r="E190" s="75" t="n">
        <x:f>IF(COUNT(E20)=0,1,IF(E20&lt;-1,1,0))</x:f>
        <x:v>0</x:v>
      </x:c>
      <x:c r="F190" s="75" t="n">
        <x:f>IF(COUNT(F20)=0,1,IF(F20&lt;-1,1,0))</x:f>
        <x:v>0</x:v>
      </x:c>
      <x:c r="G190" s="75" t="n">
        <x:f>IF(COUNT(G20)=0,1,IF(G20&lt;-1,1,0))</x:f>
        <x:v>0</x:v>
      </x:c>
      <x:c r="H190" s="75" t="n">
        <x:f>IF(COUNT(H20)=0,1,IF(H20&lt;-1,1,0))</x:f>
        <x:v>0</x:v>
      </x:c>
      <x:c r="I190" s="75" t="n">
        <x:f>IF(COUNT(I20)=0,1,IF(I20&lt;-1,1,0))</x:f>
        <x:v>0</x:v>
      </x:c>
      <x:c r="J190" s="1"/>
      <x:c r="K190" s="1"/>
    </x:row>
    <x:row r="191" ht="30" customHeight="1">
      <x:c r="A191" s="1"/>
      <x:c r="B191" s="1"/>
      <x:c r="C191" s="64" t="str">
        <x:v>Credit cost / average gross loans input outside bounds</x:v>
      </x:c>
      <x:c r="D191" s="8"/>
      <x:c r="E191" s="75" t="n">
        <x:f>IF(COUNT(E24)=0,1,IF(E24&lt;0,1,0))</x:f>
        <x:v>0</x:v>
      </x:c>
      <x:c r="F191" s="75" t="n">
        <x:f>IF(COUNT(F24)=0,1,IF(F24&lt;0,1,0))</x:f>
        <x:v>0</x:v>
      </x:c>
      <x:c r="G191" s="75" t="n">
        <x:f>IF(COUNT(G24)=0,1,IF(G24&lt;0,1,0))</x:f>
        <x:v>0</x:v>
      </x:c>
      <x:c r="H191" s="75" t="n">
        <x:f>IF(COUNT(H24)=0,1,IF(H24&lt;0,1,0))</x:f>
        <x:v>0</x:v>
      </x:c>
      <x:c r="I191" s="75" t="n">
        <x:f>IF(COUNT(I24)=0,1,IF(I24&lt;0,1,0))</x:f>
        <x:v>0</x:v>
      </x:c>
      <x:c r="J191" s="1"/>
      <x:c r="K191" s="1"/>
    </x:row>
    <x:row r="192" ht="30" customHeight="1">
      <x:c r="A192" s="1"/>
      <x:c r="B192" s="1"/>
      <x:c r="C192" s="64" t="str">
        <x:v>Borrowing growth input outside bounds</x:v>
      </x:c>
      <x:c r="D192" s="8"/>
      <x:c r="E192" s="75" t="n">
        <x:f>IF(COUNT(E28)=0,1,IF(E28&lt;-1,1,0))</x:f>
        <x:v>0</x:v>
      </x:c>
      <x:c r="F192" s="75" t="n">
        <x:f>IF(COUNT(F28)=0,1,IF(F28&lt;-1,1,0))</x:f>
        <x:v>0</x:v>
      </x:c>
      <x:c r="G192" s="75" t="n">
        <x:f>IF(COUNT(G28)=0,1,IF(G28&lt;-1,1,0))</x:f>
        <x:v>0</x:v>
      </x:c>
      <x:c r="H192" s="75" t="n">
        <x:f>IF(COUNT(H28)=0,1,IF(H28&lt;-1,1,0))</x:f>
        <x:v>0</x:v>
      </x:c>
      <x:c r="I192" s="75" t="n">
        <x:f>IF(COUNT(I28)=0,1,IF(I28&lt;-1,1,0))</x:f>
        <x:v>0</x:v>
      </x:c>
      <x:c r="J192" s="1"/>
      <x:c r="K192" s="1"/>
    </x:row>
    <x:row r="193" ht="30" customHeight="1">
      <x:c r="A193" s="1"/>
      <x:c r="B193" s="1"/>
      <x:c r="C193" s="64" t="str">
        <x:v>Investment asset growth input outside bounds</x:v>
      </x:c>
      <x:c r="D193" s="8"/>
      <x:c r="E193" s="75" t="n">
        <x:f>IF(COUNT(E29)=0,1,IF(E29&lt;-1,1,0))</x:f>
        <x:v>0</x:v>
      </x:c>
      <x:c r="F193" s="75" t="n">
        <x:f>IF(COUNT(F29)=0,1,IF(F29&lt;-1,1,0))</x:f>
        <x:v>0</x:v>
      </x:c>
      <x:c r="G193" s="75" t="n">
        <x:f>IF(COUNT(G29)=0,1,IF(G29&lt;-1,1,0))</x:f>
        <x:v>0</x:v>
      </x:c>
      <x:c r="H193" s="75" t="n">
        <x:f>IF(COUNT(H29)=0,1,IF(H29&lt;-1,1,0))</x:f>
        <x:v>0</x:v>
      </x:c>
      <x:c r="I193" s="75" t="n">
        <x:f>IF(COUNT(I29)=0,1,IF(I29&lt;-1,1,0))</x:f>
        <x:v>0</x:v>
      </x:c>
      <x:c r="J193" s="1"/>
      <x:c r="K193" s="1"/>
    </x:row>
    <x:row r="194" ht="30" customHeight="1">
      <x:c r="A194" s="1"/>
      <x:c r="B194" s="1"/>
      <x:c r="C194" s="64" t="str">
        <x:v>Gross-loan yield input outside bounds</x:v>
      </x:c>
      <x:c r="D194" s="8"/>
      <x:c r="E194" s="75" t="n">
        <x:f>IF(COUNT(E30)=0,1,IF(E30&lt;0,1,0))</x:f>
        <x:v>0</x:v>
      </x:c>
      <x:c r="F194" s="75" t="n">
        <x:f>IF(COUNT(F30)=0,1,IF(F30&lt;0,1,0))</x:f>
        <x:v>0</x:v>
      </x:c>
      <x:c r="G194" s="75" t="n">
        <x:f>IF(COUNT(G30)=0,1,IF(G30&lt;0,1,0))</x:f>
        <x:v>0</x:v>
      </x:c>
      <x:c r="H194" s="75" t="n">
        <x:f>IF(COUNT(H30)=0,1,IF(H30&lt;0,1,0))</x:f>
        <x:v>0</x:v>
      </x:c>
      <x:c r="I194" s="75" t="n">
        <x:f>IF(COUNT(I30)=0,1,IF(I30&lt;0,1,0))</x:f>
        <x:v>0</x:v>
      </x:c>
      <x:c r="J194" s="1"/>
      <x:c r="K194" s="1"/>
    </x:row>
    <x:row r="195" ht="30" customHeight="1">
      <x:c r="A195" s="1"/>
      <x:c r="B195" s="1"/>
      <x:c r="C195" s="64" t="str">
        <x:v>Borrowing cost input outside bounds</x:v>
      </x:c>
      <x:c r="D195" s="8"/>
      <x:c r="E195" s="75" t="n">
        <x:f>IF(COUNT(E31)=0,1,IF(E31&lt;0,1,0))</x:f>
        <x:v>0</x:v>
      </x:c>
      <x:c r="F195" s="75" t="n">
        <x:f>IF(COUNT(F31)=0,1,IF(F31&lt;0,1,0))</x:f>
        <x:v>0</x:v>
      </x:c>
      <x:c r="G195" s="75" t="n">
        <x:f>IF(COUNT(G31)=0,1,IF(G31&lt;0,1,0))</x:f>
        <x:v>0</x:v>
      </x:c>
      <x:c r="H195" s="75" t="n">
        <x:f>IF(COUNT(H31)=0,1,IF(H31&lt;0,1,0))</x:f>
        <x:v>0</x:v>
      </x:c>
      <x:c r="I195" s="75" t="n">
        <x:f>IF(COUNT(I31)=0,1,IF(I31&lt;0,1,0))</x:f>
        <x:v>0</x:v>
      </x:c>
      <x:c r="J195" s="1"/>
      <x:c r="K195" s="1"/>
    </x:row>
    <x:row r="196" ht="30" customHeight="1">
      <x:c r="A196" s="1"/>
      <x:c r="B196" s="1"/>
      <x:c r="C196" s="64" t="str">
        <x:v>Investment yield input outside bounds</x:v>
      </x:c>
      <x:c r="D196" s="8"/>
      <x:c r="E196" s="75" t="n">
        <x:f>IF(COUNT(E32)=0,1,IF(E32&lt;0,1,0))</x:f>
        <x:v>0</x:v>
      </x:c>
      <x:c r="F196" s="75" t="n">
        <x:f>IF(COUNT(F32)=0,1,IF(F32&lt;0,1,0))</x:f>
        <x:v>0</x:v>
      </x:c>
      <x:c r="G196" s="75" t="n">
        <x:f>IF(COUNT(G32)=0,1,IF(G32&lt;0,1,0))</x:f>
        <x:v>0</x:v>
      </x:c>
      <x:c r="H196" s="75" t="n">
        <x:f>IF(COUNT(H32)=0,1,IF(H32&lt;0,1,0))</x:f>
        <x:v>0</x:v>
      </x:c>
      <x:c r="I196" s="75" t="n">
        <x:f>IF(COUNT(I32)=0,1,IF(I32&lt;0,1,0))</x:f>
        <x:v>0</x:v>
      </x:c>
      <x:c r="J196" s="1"/>
      <x:c r="K196" s="1"/>
    </x:row>
    <x:row r="197" ht="30" customHeight="1">
      <x:c r="A197" s="1"/>
      <x:c r="B197" s="1"/>
      <x:c r="C197" s="64" t="str">
        <x:v>Fee income / average gross loans input outside bounds</x:v>
      </x:c>
      <x:c r="D197" s="8"/>
      <x:c r="E197" s="75" t="n">
        <x:f>IF(COUNT(E33)=0,1,IF(E33&lt;0,1,0))</x:f>
        <x:v>0</x:v>
      </x:c>
      <x:c r="F197" s="75" t="n">
        <x:f>IF(COUNT(F33)=0,1,IF(F33&lt;0,1,0))</x:f>
        <x:v>0</x:v>
      </x:c>
      <x:c r="G197" s="75" t="n">
        <x:f>IF(COUNT(G33)=0,1,IF(G33&lt;0,1,0))</x:f>
        <x:v>0</x:v>
      </x:c>
      <x:c r="H197" s="75" t="n">
        <x:f>IF(COUNT(H33)=0,1,IF(H33&lt;0,1,0))</x:f>
        <x:v>0</x:v>
      </x:c>
      <x:c r="I197" s="75" t="n">
        <x:f>IF(COUNT(I33)=0,1,IF(I33&lt;0,1,0))</x:f>
        <x:v>0</x:v>
      </x:c>
      <x:c r="J197" s="1"/>
      <x:c r="K197" s="1"/>
    </x:row>
    <x:row r="198" ht="30" customHeight="1">
      <x:c r="A198" s="1"/>
      <x:c r="B198" s="1"/>
      <x:c r="C198" s="64" t="str">
        <x:v>Operating cost / net operating income input outside bounds</x:v>
      </x:c>
      <x:c r="D198" s="8"/>
      <x:c r="E198" s="75" t="n">
        <x:f>IF(COUNT(E34)=0,1,IF(E34&lt;0,1,0))</x:f>
        <x:v>0</x:v>
      </x:c>
      <x:c r="F198" s="75" t="n">
        <x:f>IF(COUNT(F34)=0,1,IF(F34&lt;0,1,0))</x:f>
        <x:v>0</x:v>
      </x:c>
      <x:c r="G198" s="75" t="n">
        <x:f>IF(COUNT(G34)=0,1,IF(G34&lt;0,1,0))</x:f>
        <x:v>0</x:v>
      </x:c>
      <x:c r="H198" s="75" t="n">
        <x:f>IF(COUNT(H34)=0,1,IF(H34&lt;0,1,0))</x:f>
        <x:v>0</x:v>
      </x:c>
      <x:c r="I198" s="75" t="n">
        <x:f>IF(COUNT(I34)=0,1,IF(I34&lt;0,1,0))</x:f>
        <x:v>0</x:v>
      </x:c>
      <x:c r="J198" s="1"/>
      <x:c r="K198" s="1"/>
    </x:row>
    <x:row r="199" ht="30" customHeight="1">
      <x:c r="A199" s="1"/>
      <x:c r="B199" s="1"/>
      <x:c r="C199" s="64" t="str">
        <x:v>NPA slippages / opening gross loans input outside bounds</x:v>
      </x:c>
      <x:c r="D199" s="8"/>
      <x:c r="E199" s="75" t="n">
        <x:f>IF(COUNT(E35)=0,1,IF(E35&lt;0,1,0))</x:f>
        <x:v>0</x:v>
      </x:c>
      <x:c r="F199" s="75" t="n">
        <x:f>IF(COUNT(F35)=0,1,IF(F35&lt;0,1,0))</x:f>
        <x:v>0</x:v>
      </x:c>
      <x:c r="G199" s="75" t="n">
        <x:f>IF(COUNT(G35)=0,1,IF(G35&lt;0,1,0))</x:f>
        <x:v>0</x:v>
      </x:c>
      <x:c r="H199" s="75" t="n">
        <x:f>IF(COUNT(H35)=0,1,IF(H35&lt;0,1,0))</x:f>
        <x:v>0</x:v>
      </x:c>
      <x:c r="I199" s="75" t="n">
        <x:f>IF(COUNT(I35)=0,1,IF(I35&lt;0,1,0))</x:f>
        <x:v>0</x:v>
      </x:c>
      <x:c r="J199" s="1"/>
      <x:c r="K199" s="1"/>
    </x:row>
    <x:row r="200" ht="30" customHeight="1">
      <x:c r="A200" s="1"/>
      <x:c r="B200" s="1"/>
      <x:c r="C200" s="64" t="str">
        <x:v>NPA recovery / opening gross NPA input outside bounds</x:v>
      </x:c>
      <x:c r="D200" s="8"/>
      <x:c r="E200" s="75" t="n">
        <x:f>IF(COUNT(E36)=0,1,IF(E36&lt;0,1,IF(E36&gt;1,1,0)))</x:f>
        <x:v>0</x:v>
      </x:c>
      <x:c r="F200" s="75" t="n">
        <x:f>IF(COUNT(F36)=0,1,IF(F36&lt;0,1,IF(F36&gt;1,1,0)))</x:f>
        <x:v>0</x:v>
      </x:c>
      <x:c r="G200" s="75" t="n">
        <x:f>IF(COUNT(G36)=0,1,IF(G36&lt;0,1,IF(G36&gt;1,1,0)))</x:f>
        <x:v>0</x:v>
      </x:c>
      <x:c r="H200" s="75" t="n">
        <x:f>IF(COUNT(H36)=0,1,IF(H36&lt;0,1,IF(H36&gt;1,1,0)))</x:f>
        <x:v>0</x:v>
      </x:c>
      <x:c r="I200" s="75" t="n">
        <x:f>IF(COUNT(I36)=0,1,IF(I36&lt;0,1,IF(I36&gt;1,1,0)))</x:f>
        <x:v>0</x:v>
      </x:c>
      <x:c r="J200" s="1"/>
      <x:c r="K200" s="1"/>
    </x:row>
    <x:row r="201" ht="30" customHeight="1">
      <x:c r="A201" s="1"/>
      <x:c r="B201" s="1"/>
      <x:c r="C201" s="64" t="str">
        <x:v>Write-offs / opening gross NPA input outside bounds</x:v>
      </x:c>
      <x:c r="D201" s="8"/>
      <x:c r="E201" s="75" t="n">
        <x:f>IF(COUNT(E37)=0,1,IF(E37&lt;0,1,IF(E37&gt;1,1,0)))</x:f>
        <x:v>0</x:v>
      </x:c>
      <x:c r="F201" s="75" t="n">
        <x:f>IF(COUNT(F37)=0,1,IF(F37&lt;0,1,IF(F37&gt;1,1,0)))</x:f>
        <x:v>0</x:v>
      </x:c>
      <x:c r="G201" s="75" t="n">
        <x:f>IF(COUNT(G37)=0,1,IF(G37&lt;0,1,IF(G37&gt;1,1,0)))</x:f>
        <x:v>0</x:v>
      </x:c>
      <x:c r="H201" s="75" t="n">
        <x:f>IF(COUNT(H37)=0,1,IF(H37&lt;0,1,IF(H37&gt;1,1,0)))</x:f>
        <x:v>0</x:v>
      </x:c>
      <x:c r="I201" s="75" t="n">
        <x:f>IF(COUNT(I37)=0,1,IF(I37&lt;0,1,IF(I37&gt;1,1,0)))</x:f>
        <x:v>0</x:v>
      </x:c>
      <x:c r="J201" s="1"/>
      <x:c r="K201" s="1"/>
    </x:row>
    <x:row r="202" ht="30" customHeight="1">
      <x:c r="A202" s="1"/>
      <x:c r="B202" s="1"/>
      <x:c r="C202" s="64" t="str">
        <x:v>Effective cash tax rate input outside bounds</x:v>
      </x:c>
      <x:c r="D202" s="8"/>
      <x:c r="E202" s="75" t="n">
        <x:f>IF(COUNT(E38)=0,1,IF(E38&lt;0,1,IF(E38&gt;1,1,0)))</x:f>
        <x:v>0</x:v>
      </x:c>
      <x:c r="F202" s="75" t="n">
        <x:f>IF(COUNT(F38)=0,1,IF(F38&lt;0,1,IF(F38&gt;1,1,0)))</x:f>
        <x:v>0</x:v>
      </x:c>
      <x:c r="G202" s="75" t="n">
        <x:f>IF(COUNT(G38)=0,1,IF(G38&lt;0,1,IF(G38&gt;1,1,0)))</x:f>
        <x:v>0</x:v>
      </x:c>
      <x:c r="H202" s="75" t="n">
        <x:f>IF(COUNT(H38)=0,1,IF(H38&lt;0,1,IF(H38&gt;1,1,0)))</x:f>
        <x:v>0</x:v>
      </x:c>
      <x:c r="I202" s="75" t="n">
        <x:f>IF(COUNT(I38)=0,1,IF(I38&lt;0,1,IF(I38&gt;1,1,0)))</x:f>
        <x:v>0</x:v>
      </x:c>
      <x:c r="J202" s="1"/>
      <x:c r="K202" s="1"/>
    </x:row>
    <x:row r="203" ht="30" customHeight="1">
      <x:c r="A203" s="1"/>
      <x:c r="B203" s="1"/>
      <x:c r="C203" s="64" t="str">
        <x:v>Dividend payout input outside bounds</x:v>
      </x:c>
      <x:c r="D203" s="8"/>
      <x:c r="E203" s="75" t="n">
        <x:f>IF(COUNT(E39)=0,1,IF(E39&lt;0,1,IF(E39&gt;1,1,0)))</x:f>
        <x:v>0</x:v>
      </x:c>
      <x:c r="F203" s="75" t="n">
        <x:f>IF(COUNT(F39)=0,1,IF(F39&lt;0,1,IF(F39&gt;1,1,0)))</x:f>
        <x:v>0</x:v>
      </x:c>
      <x:c r="G203" s="75" t="n">
        <x:f>IF(COUNT(G39)=0,1,IF(G39&lt;0,1,IF(G39&gt;1,1,0)))</x:f>
        <x:v>0</x:v>
      </x:c>
      <x:c r="H203" s="75" t="n">
        <x:f>IF(COUNT(H39)=0,1,IF(H39&lt;0,1,IF(H39&gt;1,1,0)))</x:f>
        <x:v>0</x:v>
      </x:c>
      <x:c r="I203" s="75" t="n">
        <x:f>IF(COUNT(I39)=0,1,IF(I39&lt;0,1,IF(I39&gt;1,1,0)))</x:f>
        <x:v>0</x:v>
      </x:c>
      <x:c r="J203" s="1"/>
      <x:c r="K203" s="1"/>
    </x:row>
    <x:row r="204" ht="30" customHeight="1">
      <x:c r="A204" s="1"/>
      <x:c r="B204" s="1"/>
      <x:c r="C204" s="64" t="str">
        <x:v>Fresh equity raised input outside bounds</x:v>
      </x:c>
      <x:c r="D204" s="8"/>
      <x:c r="E204" s="75" t="n">
        <x:f>IF(COUNT(E40)=0,1,IF(E40&lt;0,1,0))</x:f>
        <x:v>0</x:v>
      </x:c>
      <x:c r="F204" s="75" t="n">
        <x:f>IF(COUNT(F40)=0,1,IF(F40&lt;0,1,0))</x:f>
        <x:v>0</x:v>
      </x:c>
      <x:c r="G204" s="75" t="n">
        <x:f>IF(COUNT(G40)=0,1,IF(G40&lt;0,1,0))</x:f>
        <x:v>0</x:v>
      </x:c>
      <x:c r="H204" s="75" t="n">
        <x:f>IF(COUNT(H40)=0,1,IF(H40&lt;0,1,0))</x:f>
        <x:v>0</x:v>
      </x:c>
      <x:c r="I204" s="75" t="n">
        <x:f>IF(COUNT(I40)=0,1,IF(I40&lt;0,1,0))</x:f>
        <x:v>0</x:v>
      </x:c>
      <x:c r="J204" s="1"/>
      <x:c r="K204" s="1"/>
    </x:row>
    <x:row r="205" ht="30" customHeight="1">
      <x:c r="A205" s="1"/>
      <x:c r="B205" s="1"/>
      <x:c r="C205" s="64" t="str">
        <x:v>Risk-weighted assets / gross loans input outside bounds</x:v>
      </x:c>
      <x:c r="D205" s="8"/>
      <x:c r="E205" s="75" t="n">
        <x:f>IF(COUNT(E41)=0,1,IF(E41&lt;0,1,0))</x:f>
        <x:v>0</x:v>
      </x:c>
      <x:c r="F205" s="75" t="n">
        <x:f>IF(COUNT(F41)=0,1,IF(F41&lt;0,1,0))</x:f>
        <x:v>0</x:v>
      </x:c>
      <x:c r="G205" s="75" t="n">
        <x:f>IF(COUNT(G41)=0,1,IF(G41&lt;0,1,0))</x:f>
        <x:v>0</x:v>
      </x:c>
      <x:c r="H205" s="75" t="n">
        <x:f>IF(COUNT(H41)=0,1,IF(H41&lt;0,1,0))</x:f>
        <x:v>0</x:v>
      </x:c>
      <x:c r="I205" s="75" t="n">
        <x:f>IF(COUNT(I41)=0,1,IF(I41&lt;0,1,0))</x:f>
        <x:v>0</x:v>
      </x:c>
      <x:c r="J205" s="1"/>
      <x:c r="K205" s="1"/>
    </x:row>
    <x:row r="206" ht="30" customHeight="1">
      <x:c r="A206" s="1"/>
      <x:c r="B206" s="1"/>
      <x:c r="C206" s="64" t="str">
        <x:v>Eligible capital / modeled book equity input outside bounds</x:v>
      </x:c>
      <x:c r="D206" s="8"/>
      <x:c r="E206" s="75" t="n">
        <x:f>IF(COUNT(E42)=0,1,IF(E42&lt;0,1,0))</x:f>
        <x:v>0</x:v>
      </x:c>
      <x:c r="F206" s="75" t="n">
        <x:f>IF(COUNT(F42)=0,1,IF(F42&lt;0,1,0))</x:f>
        <x:v>0</x:v>
      </x:c>
      <x:c r="G206" s="75" t="n">
        <x:f>IF(COUNT(G42)=0,1,IF(G42&lt;0,1,0))</x:f>
        <x:v>0</x:v>
      </x:c>
      <x:c r="H206" s="75" t="n">
        <x:f>IF(COUNT(H42)=0,1,IF(H42&lt;0,1,0))</x:f>
        <x:v>0</x:v>
      </x:c>
      <x:c r="I206" s="75" t="n">
        <x:f>IF(COUNT(I42)=0,1,IF(I42&lt;0,1,0))</x:f>
        <x:v>0</x:v>
      </x:c>
      <x:c r="J206" s="1"/>
      <x:c r="K206" s="1"/>
    </x:row>
    <x:row r="207" ht="30" customHeight="1">
      <x:c r="A207" s="1"/>
      <x:c r="B207" s="1"/>
      <x:c r="C207" s="64" t="str">
        <x:v>Internal capital ratio target input outside bounds</x:v>
      </x:c>
      <x:c r="D207" s="8"/>
      <x:c r="E207" s="75" t="n">
        <x:f>IF(COUNT(E43)=0,1,IF(E43&lt;0,1,0))</x:f>
        <x:v>0</x:v>
      </x:c>
      <x:c r="F207" s="75" t="n">
        <x:f>IF(COUNT(F43)=0,1,IF(F43&lt;0,1,0))</x:f>
        <x:v>0</x:v>
      </x:c>
      <x:c r="G207" s="75" t="n">
        <x:f>IF(COUNT(G43)=0,1,IF(G43&lt;0,1,0))</x:f>
        <x:v>0</x:v>
      </x:c>
      <x:c r="H207" s="75" t="n">
        <x:f>IF(COUNT(H43)=0,1,IF(H43&lt;0,1,0))</x:f>
        <x:v>0</x:v>
      </x:c>
      <x:c r="I207" s="75" t="n">
        <x:f>IF(COUNT(I43)=0,1,IF(I43&lt;0,1,0))</x:f>
        <x:v>0</x:v>
      </x:c>
      <x:c r="J207" s="1"/>
      <x:c r="K207" s="1"/>
    </x:row>
    <x:row r="208" ht="30" customHeight="1">
      <x:c r="A208" s="1"/>
      <x:c r="B208" s="1"/>
      <x:c r="C208" s="64"/>
      <x:c r="D208" s="8"/>
      <x:c r="E208" s="8"/>
      <x:c r="F208" s="8"/>
      <x:c r="G208" s="8"/>
      <x:c r="H208" s="8"/>
      <x:c r="I208" s="8"/>
      <x:c r="J208" s="1"/>
      <x:c r="K208" s="1"/>
    </x:row>
    <x:row r="209" ht="30" customHeight="1">
      <x:c r="A209" s="1"/>
      <x:c r="B209" s="1"/>
      <x:c r="C209" s="64"/>
      <x:c r="D209" s="8"/>
      <x:c r="E209" s="8"/>
      <x:c r="F209" s="8"/>
      <x:c r="G209" s="8"/>
      <x:c r="H209" s="8"/>
      <x:c r="I209" s="8"/>
      <x:c r="J209" s="1"/>
      <x:c r="K209" s="1"/>
    </x:row>
    <x:row r="210" ht="30" customHeight="1">
      <x:c r="A210" s="1"/>
      <x:c r="B210" s="1"/>
      <x:c r="C210" s="64"/>
      <x:c r="D210" s="8"/>
      <x:c r="E210" s="8"/>
      <x:c r="F210" s="8"/>
      <x:c r="G210" s="8"/>
      <x:c r="H210" s="8"/>
      <x:c r="I210" s="8"/>
      <x:c r="J210" s="1"/>
      <x:c r="K210" s="1"/>
    </x:row>
    <x:row r="211" ht="30" customHeight="1">
      <x:c r="C211" s="64"/>
      <x:c r="D211" s="63"/>
      <x:c r="E211" s="63"/>
      <x:c r="F211" s="63"/>
      <x:c r="G211" s="63"/>
      <x:c r="H211" s="63"/>
      <x:c r="I211" s="63"/>
    </x:row>
    <x:row r="212" ht="30" customHeight="1">
      <x:c r="C212" s="64"/>
      <x:c r="D212" s="63"/>
      <x:c r="E212" s="63"/>
      <x:c r="F212" s="63"/>
      <x:c r="G212" s="63"/>
      <x:c r="H212" s="63"/>
      <x:c r="I212" s="63"/>
    </x:row>
    <x:row r="213" ht="30" customHeight="1">
      <x:c r="C213" s="64"/>
      <x:c r="D213" s="63"/>
      <x:c r="E213" s="63"/>
      <x:c r="F213" s="63"/>
      <x:c r="G213" s="63"/>
      <x:c r="H213" s="63"/>
      <x:c r="I213" s="63"/>
    </x:row>
    <x:row r="214" ht="30" customHeight="1">
      <x:c r="C214" s="64"/>
      <x:c r="D214" s="63"/>
      <x:c r="E214" s="63"/>
      <x:c r="F214" s="63"/>
      <x:c r="G214" s="63"/>
      <x:c r="H214" s="63"/>
      <x:c r="I214" s="63"/>
    </x:row>
    <x:row r="215" ht="30" customHeight="1">
      <x:c r="C215" s="64"/>
      <x:c r="D215" s="63"/>
      <x:c r="E215" s="63"/>
      <x:c r="F215" s="63"/>
      <x:c r="G215" s="63"/>
      <x:c r="H215" s="63"/>
      <x:c r="I215" s="63"/>
    </x:row>
    <x:row r="216" ht="30" customHeight="1">
      <x:c r="C216" s="64"/>
      <x:c r="D216" s="63"/>
      <x:c r="E216" s="63"/>
      <x:c r="F216" s="63"/>
      <x:c r="G216" s="63"/>
      <x:c r="H216" s="63"/>
      <x:c r="I216" s="63"/>
    </x:row>
    <x:row r="217" ht="30" customHeight="1">
      <x:c r="C217" s="64"/>
      <x:c r="D217" s="63"/>
      <x:c r="E217" s="63"/>
      <x:c r="F217" s="63"/>
      <x:c r="G217" s="63"/>
      <x:c r="H217" s="63"/>
      <x:c r="I217" s="63"/>
    </x:row>
    <x:row r="218" ht="30" customHeight="1">
      <x:c r="C218" s="64"/>
      <x:c r="D218" s="63"/>
      <x:c r="E218" s="63"/>
      <x:c r="F218" s="63"/>
      <x:c r="G218" s="63"/>
      <x:c r="H218" s="63"/>
      <x:c r="I218" s="63"/>
    </x:row>
    <x:row r="219" ht="30" customHeight="1">
      <x:c r="C219" s="64"/>
      <x:c r="D219" s="63"/>
      <x:c r="E219" s="63"/>
      <x:c r="F219" s="63"/>
      <x:c r="G219" s="63"/>
      <x:c r="H219" s="63"/>
      <x:c r="I219" s="63"/>
    </x:row>
    <x:row r="220" ht="30" customHeight="1">
      <x:c r="C220" s="64"/>
      <x:c r="D220" s="63"/>
      <x:c r="E220" s="63"/>
      <x:c r="F220" s="63"/>
      <x:c r="G220" s="63"/>
      <x:c r="H220" s="63"/>
      <x:c r="I220" s="63"/>
    </x:row>
    <x:row r="221" ht="30" customHeight="1">
      <x:c r="C221" s="64"/>
      <x:c r="D221" s="63"/>
      <x:c r="E221" s="63"/>
      <x:c r="F221" s="63"/>
      <x:c r="G221" s="63"/>
      <x:c r="H221" s="63"/>
      <x:c r="I221" s="63"/>
    </x:row>
    <x:row r="222" ht="30" customHeight="1">
      <x:c r="C222" s="64"/>
      <x:c r="D222" s="63"/>
      <x:c r="E222" s="63"/>
      <x:c r="F222" s="63"/>
      <x:c r="G222" s="63"/>
      <x:c r="H222" s="63"/>
      <x:c r="I222" s="63"/>
    </x:row>
    <x:row r="223" ht="30" customHeight="1">
      <x:c r="C223" s="64"/>
      <x:c r="D223" s="63"/>
      <x:c r="E223" s="63"/>
      <x:c r="F223" s="63"/>
      <x:c r="G223" s="63"/>
      <x:c r="H223" s="63"/>
      <x:c r="I223" s="63"/>
    </x:row>
    <x:row r="224" ht="30" customHeight="1">
      <x:c r="C224" s="64"/>
      <x:c r="D224" s="63"/>
      <x:c r="E224" s="63"/>
      <x:c r="F224" s="63"/>
      <x:c r="G224" s="63"/>
      <x:c r="H224" s="63"/>
      <x:c r="I224" s="63"/>
    </x:row>
    <x:row r="225" ht="30" customHeight="1">
      <x:c r="C225" s="64"/>
      <x:c r="D225" s="63"/>
      <x:c r="E225" s="63"/>
      <x:c r="F225" s="63"/>
      <x:c r="G225" s="63"/>
      <x:c r="H225" s="63"/>
      <x:c r="I225" s="63"/>
    </x:row>
    <x:row r="226" ht="30" customHeight="1">
      <x:c r="C226" s="64"/>
      <x:c r="D226" s="63"/>
      <x:c r="E226" s="63"/>
      <x:c r="F226" s="63"/>
      <x:c r="G226" s="63"/>
      <x:c r="H226" s="63"/>
      <x:c r="I226" s="63"/>
    </x:row>
    <x:row r="227" ht="30" customHeight="1">
      <x:c r="C227" s="64"/>
      <x:c r="D227" s="63"/>
      <x:c r="E227" s="63"/>
      <x:c r="F227" s="63"/>
      <x:c r="G227" s="63"/>
      <x:c r="H227" s="63"/>
      <x:c r="I227" s="63"/>
    </x:row>
    <x:row r="228" ht="30" customHeight="1">
      <x:c r="C228" s="64"/>
      <x:c r="D228" s="63"/>
      <x:c r="E228" s="63"/>
      <x:c r="F228" s="63"/>
      <x:c r="G228" s="63"/>
      <x:c r="H228" s="63"/>
      <x:c r="I228" s="63"/>
    </x:row>
    <x:row r="229" ht="30" customHeight="1">
      <x:c r="C229" s="64"/>
      <x:c r="D229" s="63"/>
      <x:c r="E229" s="63"/>
      <x:c r="F229" s="63"/>
      <x:c r="G229" s="63"/>
      <x:c r="H229" s="63"/>
      <x:c r="I229" s="63"/>
    </x:row>
    <x:row r="230" ht="30" customHeight="1">
      <x:c r="C230" s="64"/>
      <x:c r="D230" s="63"/>
      <x:c r="E230" s="63"/>
      <x:c r="F230" s="63"/>
      <x:c r="G230" s="63"/>
      <x:c r="H230" s="63"/>
      <x:c r="I230" s="63"/>
    </x:row>
    <x:row r="231" ht="30" customHeight="1">
      <x:c r="C231" s="64"/>
      <x:c r="D231" s="63"/>
      <x:c r="E231" s="63"/>
      <x:c r="F231" s="63"/>
      <x:c r="G231" s="63"/>
      <x:c r="H231" s="63"/>
      <x:c r="I231" s="63"/>
    </x:row>
    <x:row r="232" ht="30" customHeight="1">
      <x:c r="C232" s="64"/>
      <x:c r="D232" s="63"/>
      <x:c r="E232" s="63"/>
      <x:c r="F232" s="63"/>
      <x:c r="G232" s="63"/>
      <x:c r="H232" s="63"/>
      <x:c r="I232" s="63"/>
    </x:row>
    <x:row r="233" ht="30" customHeight="1">
      <x:c r="C233" s="64"/>
      <x:c r="D233" s="63"/>
      <x:c r="E233" s="63"/>
      <x:c r="F233" s="63"/>
      <x:c r="G233" s="63"/>
      <x:c r="H233" s="63"/>
      <x:c r="I233" s="63"/>
    </x:row>
    <x:row r="234" ht="30" customHeight="1">
      <x:c r="C234" s="64"/>
      <x:c r="D234" s="63"/>
      <x:c r="E234" s="63"/>
      <x:c r="F234" s="63"/>
      <x:c r="G234" s="63"/>
      <x:c r="H234" s="63"/>
      <x:c r="I234" s="63"/>
    </x:row>
    <x:row r="235" ht="30" customHeight="1">
      <x:c r="C235" s="64"/>
      <x:c r="D235" s="63"/>
      <x:c r="E235" s="63"/>
      <x:c r="F235" s="63"/>
      <x:c r="G235" s="63"/>
      <x:c r="H235" s="63"/>
      <x:c r="I235" s="63"/>
    </x:row>
    <x:row r="236" ht="30" customHeight="1">
      <x:c r="C236" s="64"/>
      <x:c r="D236" s="63"/>
      <x:c r="E236" s="63"/>
      <x:c r="F236" s="63"/>
      <x:c r="G236" s="63"/>
      <x:c r="H236" s="63"/>
      <x:c r="I236" s="63"/>
    </x:row>
    <x:row r="237" ht="30" customHeight="1">
      <x:c r="C237" s="64"/>
      <x:c r="D237" s="63"/>
      <x:c r="E237" s="63"/>
      <x:c r="F237" s="63"/>
      <x:c r="G237" s="63"/>
      <x:c r="H237" s="63"/>
      <x:c r="I237" s="63"/>
    </x:row>
    <x:row r="238" ht="30" customHeight="1">
      <x:c r="C238" s="64"/>
      <x:c r="D238" s="63"/>
      <x:c r="E238" s="63"/>
      <x:c r="F238" s="63"/>
      <x:c r="G238" s="63"/>
      <x:c r="H238" s="63"/>
      <x:c r="I238" s="63"/>
    </x:row>
    <x:row r="239" ht="30" customHeight="1">
      <x:c r="C239" s="64"/>
      <x:c r="D239" s="63"/>
      <x:c r="E239" s="63"/>
      <x:c r="F239" s="63"/>
      <x:c r="G239" s="63"/>
      <x:c r="H239" s="63"/>
      <x:c r="I239" s="63"/>
    </x:row>
    <x:row r="240" ht="30" customHeight="1">
      <x:c r="C240" s="64"/>
      <x:c r="D240" s="63"/>
      <x:c r="E240" s="63"/>
      <x:c r="F240" s="63"/>
      <x:c r="G240" s="63"/>
      <x:c r="H240" s="63"/>
      <x:c r="I240" s="63"/>
    </x:row>
    <x:row r="241" ht="30" customHeight="1">
      <x:c r="C241" s="64"/>
      <x:c r="D241" s="63"/>
      <x:c r="E241" s="63"/>
      <x:c r="F241" s="63"/>
      <x:c r="G241" s="63"/>
      <x:c r="H241" s="63"/>
      <x:c r="I241" s="63"/>
    </x:row>
    <x:row r="242" ht="30" customHeight="1">
      <x:c r="C242" s="64"/>
      <x:c r="D242" s="63"/>
      <x:c r="E242" s="63"/>
      <x:c r="F242" s="63"/>
      <x:c r="G242" s="63"/>
      <x:c r="H242" s="63"/>
      <x:c r="I242" s="63"/>
    </x:row>
    <x:row r="243" ht="30" customHeight="1">
      <x:c r="C243" s="64"/>
      <x:c r="D243" s="63"/>
      <x:c r="E243" s="63"/>
      <x:c r="F243" s="63"/>
      <x:c r="G243" s="63"/>
      <x:c r="H243" s="63"/>
      <x:c r="I243" s="63"/>
    </x:row>
    <x:row r="244" ht="30" customHeight="1">
      <x:c r="C244" s="64"/>
      <x:c r="D244" s="63"/>
      <x:c r="E244" s="63"/>
      <x:c r="F244" s="63"/>
      <x:c r="G244" s="63"/>
      <x:c r="H244" s="63"/>
      <x:c r="I244" s="63"/>
    </x:row>
    <x:row r="245" ht="30" customHeight="1">
      <x:c r="C245" s="64"/>
      <x:c r="D245" s="63"/>
      <x:c r="E245" s="63"/>
      <x:c r="F245" s="63"/>
      <x:c r="G245" s="63"/>
      <x:c r="H245" s="63"/>
      <x:c r="I245" s="63"/>
    </x:row>
    <x:row r="246" ht="30" customHeight="1">
      <x:c r="C246" s="64"/>
      <x:c r="D246" s="63"/>
      <x:c r="E246" s="63"/>
      <x:c r="F246" s="63"/>
      <x:c r="G246" s="63"/>
      <x:c r="H246" s="63"/>
      <x:c r="I246" s="63"/>
    </x:row>
    <x:row r="247" ht="30" customHeight="1">
      <x:c r="C247" s="64"/>
      <x:c r="D247" s="63"/>
      <x:c r="E247" s="63"/>
      <x:c r="F247" s="63"/>
      <x:c r="G247" s="63"/>
      <x:c r="H247" s="63"/>
      <x:c r="I247" s="63"/>
    </x:row>
    <x:row r="248" ht="30" customHeight="1">
      <x:c r="C248" s="64"/>
      <x:c r="D248" s="63"/>
      <x:c r="E248" s="63"/>
      <x:c r="F248" s="63"/>
      <x:c r="G248" s="63"/>
      <x:c r="H248" s="63"/>
      <x:c r="I248" s="63"/>
    </x:row>
    <x:row r="249" ht="30" customHeight="1">
      <x:c r="C249" s="64"/>
      <x:c r="D249" s="63"/>
      <x:c r="E249" s="63"/>
      <x:c r="F249" s="63"/>
      <x:c r="G249" s="63"/>
      <x:c r="H249" s="63"/>
      <x:c r="I249" s="63"/>
    </x:row>
    <x:row r="250" ht="30" customHeight="1">
      <x:c r="C250" s="64"/>
      <x:c r="D250" s="63"/>
      <x:c r="E250" s="63"/>
      <x:c r="F250" s="63"/>
      <x:c r="G250" s="63"/>
      <x:c r="H250" s="63"/>
      <x:c r="I250" s="63"/>
    </x:row>
    <x:row r="251" ht="30" customHeight="1">
      <x:c r="C251" s="64"/>
      <x:c r="D251" s="63"/>
      <x:c r="E251" s="63"/>
      <x:c r="F251" s="63"/>
      <x:c r="G251" s="63"/>
      <x:c r="H251" s="63"/>
      <x:c r="I251" s="63"/>
    </x:row>
    <x:row r="252" ht="30" customHeight="1">
      <x:c r="C252" s="64"/>
      <x:c r="D252" s="63"/>
      <x:c r="E252" s="63"/>
      <x:c r="F252" s="63"/>
      <x:c r="G252" s="63"/>
      <x:c r="H252" s="63"/>
      <x:c r="I252" s="63"/>
    </x:row>
    <x:row r="253" ht="30" customHeight="1">
      <x:c r="C253" s="64"/>
      <x:c r="D253" s="63"/>
      <x:c r="E253" s="63"/>
      <x:c r="F253" s="63"/>
      <x:c r="G253" s="63"/>
      <x:c r="H253" s="63"/>
      <x:c r="I253" s="63"/>
    </x:row>
    <x:row r="254" ht="30" customHeight="1">
      <x:c r="C254" s="64"/>
      <x:c r="D254" s="63"/>
      <x:c r="E254" s="63"/>
      <x:c r="F254" s="63"/>
      <x:c r="G254" s="63"/>
      <x:c r="H254" s="63"/>
      <x:c r="I254" s="63"/>
    </x:row>
    <x:row r="255" ht="30" customHeight="1">
      <x:c r="C255" s="64"/>
      <x:c r="D255" s="63"/>
      <x:c r="E255" s="63"/>
      <x:c r="F255" s="63"/>
      <x:c r="G255" s="63"/>
      <x:c r="H255" s="63"/>
      <x:c r="I255" s="63"/>
    </x:row>
    <x:row r="256" ht="30" customHeight="1">
      <x:c r="C256" s="64"/>
      <x:c r="D256" s="63"/>
      <x:c r="E256" s="63"/>
      <x:c r="F256" s="63"/>
      <x:c r="G256" s="63"/>
      <x:c r="H256" s="63"/>
      <x:c r="I256" s="63"/>
    </x:row>
    <x:row r="257" ht="30" customHeight="1">
      <x:c r="C257" s="64"/>
      <x:c r="D257" s="63"/>
      <x:c r="E257" s="63"/>
      <x:c r="F257" s="63"/>
      <x:c r="G257" s="63"/>
      <x:c r="H257" s="63"/>
      <x:c r="I257" s="63"/>
    </x:row>
    <x:row r="258" ht="30" customHeight="1">
      <x:c r="C258" s="64"/>
      <x:c r="D258" s="63"/>
      <x:c r="E258" s="63"/>
      <x:c r="F258" s="63"/>
      <x:c r="G258" s="63"/>
      <x:c r="H258" s="63"/>
      <x:c r="I258" s="63"/>
    </x:row>
    <x:row r="259" ht="30" customHeight="1">
      <x:c r="C259" s="64"/>
      <x:c r="D259" s="63"/>
      <x:c r="E259" s="63"/>
      <x:c r="F259" s="63"/>
      <x:c r="G259" s="63"/>
      <x:c r="H259" s="63"/>
      <x:c r="I259" s="63"/>
    </x:row>
    <x:row r="260" ht="30" customHeight="1">
      <x:c r="C260" s="64"/>
      <x:c r="D260" s="63"/>
      <x:c r="E260" s="63"/>
      <x:c r="F260" s="63"/>
      <x:c r="G260" s="63"/>
      <x:c r="H260" s="63"/>
      <x:c r="I260" s="63"/>
    </x:row>
    <x:row r="261" ht="30" customHeight="1">
      <x:c r="C261" s="64"/>
      <x:c r="D261" s="63"/>
      <x:c r="E261" s="63"/>
      <x:c r="F261" s="63"/>
      <x:c r="G261" s="63"/>
      <x:c r="H261" s="63"/>
      <x:c r="I261" s="63"/>
    </x:row>
    <x:row r="262" ht="30" customHeight="1">
      <x:c r="C262" s="64"/>
      <x:c r="D262" s="63"/>
      <x:c r="E262" s="63"/>
      <x:c r="F262" s="63"/>
      <x:c r="G262" s="63"/>
      <x:c r="H262" s="63"/>
      <x:c r="I262" s="63"/>
    </x:row>
    <x:row r="263" ht="30" customHeight="1">
      <x:c r="C263" s="64"/>
      <x:c r="D263" s="63"/>
      <x:c r="E263" s="63"/>
      <x:c r="F263" s="63"/>
      <x:c r="G263" s="63"/>
      <x:c r="H263" s="63"/>
      <x:c r="I263" s="63"/>
    </x:row>
    <x:row r="264" ht="30" customHeight="1">
      <x:c r="C264" s="64"/>
      <x:c r="D264" s="63"/>
      <x:c r="E264" s="63"/>
      <x:c r="F264" s="63"/>
      <x:c r="G264" s="63"/>
      <x:c r="H264" s="63"/>
      <x:c r="I264" s="63"/>
    </x:row>
    <x:row r="265" ht="30" customHeight="1">
      <x:c r="C265" s="64"/>
      <x:c r="D265" s="63"/>
      <x:c r="E265" s="63"/>
      <x:c r="F265" s="63"/>
      <x:c r="G265" s="63"/>
      <x:c r="H265" s="63"/>
      <x:c r="I265" s="63"/>
    </x:row>
    <x:row r="266" ht="30" customHeight="1">
      <x:c r="C266" s="64"/>
      <x:c r="D266" s="63"/>
      <x:c r="E266" s="63"/>
      <x:c r="F266" s="63"/>
      <x:c r="G266" s="63"/>
      <x:c r="H266" s="63"/>
      <x:c r="I266" s="63"/>
    </x:row>
    <x:row r="267" ht="30" customHeight="1">
      <x:c r="C267" s="64"/>
      <x:c r="D267" s="63"/>
      <x:c r="E267" s="63"/>
      <x:c r="F267" s="63"/>
      <x:c r="G267" s="63"/>
      <x:c r="H267" s="63"/>
      <x:c r="I267" s="63"/>
    </x:row>
    <x:row r="268" ht="30" customHeight="1">
      <x:c r="C268" s="64"/>
      <x:c r="D268" s="63"/>
      <x:c r="E268" s="63"/>
      <x:c r="F268" s="63"/>
      <x:c r="G268" s="63"/>
      <x:c r="H268" s="63"/>
      <x:c r="I268" s="63"/>
    </x:row>
    <x:row r="269" ht="30" customHeight="1">
      <x:c r="C269" s="64"/>
      <x:c r="D269" s="63"/>
      <x:c r="E269" s="63"/>
      <x:c r="F269" s="63"/>
      <x:c r="G269" s="63"/>
      <x:c r="H269" s="63"/>
      <x:c r="I269" s="63"/>
    </x:row>
    <x:row r="270" ht="30" customHeight="1">
      <x:c r="C270" s="64"/>
      <x:c r="D270" s="63"/>
      <x:c r="E270" s="63"/>
      <x:c r="F270" s="63"/>
      <x:c r="G270" s="63"/>
      <x:c r="H270" s="63"/>
      <x:c r="I270" s="63"/>
    </x:row>
    <x:row r="271" ht="30" customHeight="1">
      <x:c r="C271" s="64"/>
      <x:c r="D271" s="63"/>
      <x:c r="E271" s="63"/>
      <x:c r="F271" s="63"/>
      <x:c r="G271" s="63"/>
      <x:c r="H271" s="63"/>
      <x:c r="I271" s="63"/>
    </x:row>
    <x:row r="272" ht="30" customHeight="1">
      <x:c r="C272" s="64"/>
      <x:c r="D272" s="63"/>
      <x:c r="E272" s="63"/>
      <x:c r="F272" s="63"/>
      <x:c r="G272" s="63"/>
      <x:c r="H272" s="63"/>
      <x:c r="I272" s="63"/>
    </x:row>
    <x:row r="273" ht="30" customHeight="1">
      <x:c r="C273" s="64"/>
      <x:c r="D273" s="63"/>
      <x:c r="E273" s="63"/>
      <x:c r="F273" s="63"/>
      <x:c r="G273" s="63"/>
      <x:c r="H273" s="63"/>
      <x:c r="I273" s="63"/>
    </x:row>
    <x:row r="274" ht="30" customHeight="1">
      <x:c r="C274" s="64"/>
      <x:c r="D274" s="63"/>
      <x:c r="E274" s="63"/>
      <x:c r="F274" s="63"/>
      <x:c r="G274" s="63"/>
      <x:c r="H274" s="63"/>
      <x:c r="I274" s="63"/>
    </x:row>
    <x:row r="275" ht="30" customHeight="1">
      <x:c r="C275" s="64"/>
      <x:c r="D275" s="63"/>
      <x:c r="E275" s="63"/>
      <x:c r="F275" s="63"/>
      <x:c r="G275" s="63"/>
      <x:c r="H275" s="63"/>
      <x:c r="I275" s="63"/>
    </x:row>
    <x:row r="276" ht="30" customHeight="1">
      <x:c r="C276" s="64"/>
      <x:c r="D276" s="63"/>
      <x:c r="E276" s="63"/>
      <x:c r="F276" s="63"/>
      <x:c r="G276" s="63"/>
      <x:c r="H276" s="63"/>
      <x:c r="I276" s="63"/>
    </x:row>
    <x:row r="277" ht="30" customHeight="1">
      <x:c r="C277" s="64"/>
      <x:c r="D277" s="63"/>
      <x:c r="E277" s="63"/>
      <x:c r="F277" s="63"/>
      <x:c r="G277" s="63"/>
      <x:c r="H277" s="63"/>
      <x:c r="I277" s="63"/>
    </x:row>
    <x:row r="278" ht="30" customHeight="1">
      <x:c r="C278" s="64"/>
      <x:c r="D278" s="63"/>
      <x:c r="E278" s="63"/>
      <x:c r="F278" s="63"/>
      <x:c r="G278" s="63"/>
      <x:c r="H278" s="63"/>
      <x:c r="I278" s="63"/>
    </x:row>
    <x:row r="279" ht="30" customHeight="1">
      <x:c r="C279" s="64"/>
      <x:c r="D279" s="63"/>
      <x:c r="E279" s="63"/>
      <x:c r="F279" s="63"/>
      <x:c r="G279" s="63"/>
      <x:c r="H279" s="63"/>
      <x:c r="I279" s="63"/>
    </x:row>
    <x:row r="280" ht="30" customHeight="1">
      <x:c r="C280" s="64"/>
      <x:c r="D280" s="63"/>
      <x:c r="E280" s="63"/>
      <x:c r="F280" s="63"/>
      <x:c r="G280" s="63"/>
      <x:c r="H280" s="63"/>
      <x:c r="I280" s="63"/>
    </x:row>
    <x:row r="281" ht="30" customHeight="1">
      <x:c r="C281" s="64"/>
      <x:c r="D281" s="63"/>
      <x:c r="E281" s="63"/>
      <x:c r="F281" s="63"/>
      <x:c r="G281" s="63"/>
      <x:c r="H281" s="63"/>
      <x:c r="I281" s="63"/>
    </x:row>
    <x:row r="282" ht="30" customHeight="1">
      <x:c r="C282" s="64"/>
      <x:c r="D282" s="63"/>
      <x:c r="E282" s="63"/>
      <x:c r="F282" s="63"/>
      <x:c r="G282" s="63"/>
      <x:c r="H282" s="63"/>
      <x:c r="I282" s="63"/>
    </x:row>
    <x:row r="283" ht="30" customHeight="1">
      <x:c r="C283" s="64"/>
      <x:c r="D283" s="63"/>
      <x:c r="E283" s="63"/>
      <x:c r="F283" s="63"/>
      <x:c r="G283" s="63"/>
      <x:c r="H283" s="63"/>
      <x:c r="I283" s="63"/>
    </x:row>
    <x:row r="284" ht="30" customHeight="1">
      <x:c r="C284" s="64"/>
      <x:c r="D284" s="63"/>
      <x:c r="E284" s="63"/>
      <x:c r="F284" s="63"/>
      <x:c r="G284" s="63"/>
      <x:c r="H284" s="63"/>
      <x:c r="I284" s="63"/>
    </x:row>
    <x:row r="285" ht="30" customHeight="1">
      <x:c r="C285" s="64"/>
      <x:c r="D285" s="63"/>
      <x:c r="E285" s="63"/>
      <x:c r="F285" s="63"/>
      <x:c r="G285" s="63"/>
      <x:c r="H285" s="63"/>
      <x:c r="I285" s="63"/>
    </x:row>
    <x:row r="286" ht="30" customHeight="1">
      <x:c r="C286" s="64"/>
      <x:c r="D286" s="63"/>
      <x:c r="E286" s="63"/>
      <x:c r="F286" s="63"/>
      <x:c r="G286" s="63"/>
      <x:c r="H286" s="63"/>
      <x:c r="I286" s="63"/>
    </x:row>
    <x:row r="287" ht="30" customHeight="1">
      <x:c r="C287" s="64"/>
      <x:c r="D287" s="63"/>
      <x:c r="E287" s="63"/>
      <x:c r="F287" s="63"/>
      <x:c r="G287" s="63"/>
      <x:c r="H287" s="63"/>
      <x:c r="I287" s="63"/>
    </x:row>
    <x:row r="288" ht="30" customHeight="1">
      <x:c r="C288" s="64"/>
      <x:c r="D288" s="63"/>
      <x:c r="E288" s="63"/>
      <x:c r="F288" s="63"/>
      <x:c r="G288" s="63"/>
      <x:c r="H288" s="63"/>
      <x:c r="I288" s="63"/>
    </x:row>
    <x:row r="289" ht="30" customHeight="1">
      <x:c r="C289" s="64"/>
      <x:c r="D289" s="63"/>
      <x:c r="E289" s="63"/>
      <x:c r="F289" s="63"/>
      <x:c r="G289" s="63"/>
      <x:c r="H289" s="63"/>
      <x:c r="I289" s="63"/>
    </x:row>
    <x:row r="290" ht="30" customHeight="1">
      <x:c r="C290" s="64"/>
      <x:c r="D290" s="63"/>
      <x:c r="E290" s="63"/>
      <x:c r="F290" s="63"/>
      <x:c r="G290" s="63"/>
      <x:c r="H290" s="63"/>
      <x:c r="I290" s="63"/>
    </x:row>
    <x:row r="291" ht="30" customHeight="1">
      <x:c r="C291" s="64"/>
      <x:c r="D291" s="63"/>
      <x:c r="E291" s="63"/>
      <x:c r="F291" s="63"/>
      <x:c r="G291" s="63"/>
      <x:c r="H291" s="63"/>
      <x:c r="I291" s="63"/>
    </x:row>
    <x:row r="292" ht="30" customHeight="1">
      <x:c r="C292" s="64"/>
      <x:c r="D292" s="63"/>
      <x:c r="E292" s="63"/>
      <x:c r="F292" s="63"/>
      <x:c r="G292" s="63"/>
      <x:c r="H292" s="63"/>
      <x:c r="I292" s="63"/>
    </x:row>
    <x:row r="293" ht="30" customHeight="1">
      <x:c r="C293" s="64"/>
      <x:c r="D293" s="63"/>
      <x:c r="E293" s="63"/>
      <x:c r="F293" s="63"/>
      <x:c r="G293" s="63"/>
      <x:c r="H293" s="63"/>
      <x:c r="I293" s="63"/>
    </x:row>
    <x:row r="294" ht="30" customHeight="1">
      <x:c r="C294" s="64"/>
      <x:c r="D294" s="63"/>
      <x:c r="E294" s="63"/>
      <x:c r="F294" s="63"/>
      <x:c r="G294" s="63"/>
      <x:c r="H294" s="63"/>
      <x:c r="I294" s="63"/>
    </x:row>
    <x:row r="295" ht="30" customHeight="1">
      <x:c r="C295" s="64"/>
      <x:c r="D295" s="63"/>
      <x:c r="E295" s="63"/>
      <x:c r="F295" s="63"/>
      <x:c r="G295" s="63"/>
      <x:c r="H295" s="63"/>
      <x:c r="I295" s="63"/>
    </x:row>
    <x:row r="296" ht="30" customHeight="1">
      <x:c r="C296" s="64"/>
      <x:c r="D296" s="63"/>
      <x:c r="E296" s="63"/>
      <x:c r="F296" s="63"/>
      <x:c r="G296" s="63"/>
      <x:c r="H296" s="63"/>
      <x:c r="I296" s="63"/>
    </x:row>
    <x:row r="297" ht="30" customHeight="1">
      <x:c r="C297" s="64"/>
      <x:c r="D297" s="63"/>
      <x:c r="E297" s="63"/>
      <x:c r="F297" s="63"/>
      <x:c r="G297" s="63"/>
      <x:c r="H297" s="63"/>
      <x:c r="I297" s="63"/>
    </x:row>
    <x:row r="298" ht="30" customHeight="1">
      <x:c r="C298" s="64"/>
      <x:c r="D298" s="63"/>
      <x:c r="E298" s="63"/>
      <x:c r="F298" s="63"/>
      <x:c r="G298" s="63"/>
      <x:c r="H298" s="63"/>
      <x:c r="I298" s="63"/>
    </x:row>
    <x:row r="299" ht="30" customHeight="1">
      <x:c r="C299" s="64"/>
      <x:c r="D299" s="63"/>
      <x:c r="E299" s="63"/>
      <x:c r="F299" s="63"/>
      <x:c r="G299" s="63"/>
      <x:c r="H299" s="63"/>
      <x:c r="I299" s="63"/>
    </x:row>
    <x:row r="300" ht="30" customHeight="1">
      <x:c r="C300" s="64"/>
      <x:c r="D300" s="63"/>
      <x:c r="E300" s="63"/>
      <x:c r="F300" s="63"/>
      <x:c r="G300" s="63"/>
      <x:c r="H300" s="63"/>
      <x:c r="I300" s="63"/>
    </x:row>
    <x:row r="301" ht="30" customHeight="1">
      <x:c r="C301" s="64"/>
      <x:c r="D301" s="63"/>
      <x:c r="E301" s="63"/>
      <x:c r="F301" s="63"/>
      <x:c r="G301" s="63"/>
      <x:c r="H301" s="63"/>
      <x:c r="I301" s="63"/>
    </x:row>
    <x:row r="302" ht="30" customHeight="1">
      <x:c r="C302" s="64"/>
      <x:c r="D302" s="63"/>
      <x:c r="E302" s="63"/>
      <x:c r="F302" s="63"/>
      <x:c r="G302" s="63"/>
      <x:c r="H302" s="63"/>
      <x:c r="I302" s="63"/>
    </x:row>
    <x:row r="303" ht="30" customHeight="1">
      <x:c r="C303" s="64"/>
      <x:c r="D303" s="63"/>
      <x:c r="E303" s="63"/>
      <x:c r="F303" s="63"/>
      <x:c r="G303" s="63"/>
      <x:c r="H303" s="63"/>
      <x:c r="I303" s="63"/>
    </x:row>
    <x:row r="304" ht="30" customHeight="1">
      <x:c r="C304" s="64"/>
      <x:c r="D304" s="63"/>
      <x:c r="E304" s="63"/>
      <x:c r="F304" s="63"/>
      <x:c r="G304" s="63"/>
      <x:c r="H304" s="63"/>
      <x:c r="I304" s="63"/>
    </x:row>
    <x:row r="305" ht="30" customHeight="1">
      <x:c r="C305" s="64"/>
      <x:c r="D305" s="63"/>
      <x:c r="E305" s="63"/>
      <x:c r="F305" s="63"/>
      <x:c r="G305" s="63"/>
      <x:c r="H305" s="63"/>
      <x:c r="I305" s="63"/>
    </x:row>
    <x:row r="306" ht="30" customHeight="1">
      <x:c r="C306" s="64"/>
      <x:c r="D306" s="63"/>
      <x:c r="E306" s="63"/>
      <x:c r="F306" s="63"/>
      <x:c r="G306" s="63"/>
      <x:c r="H306" s="63"/>
      <x:c r="I306" s="63"/>
    </x:row>
    <x:row r="307" ht="30" customHeight="1">
      <x:c r="C307" s="64"/>
      <x:c r="D307" s="63"/>
      <x:c r="E307" s="63"/>
      <x:c r="F307" s="63"/>
      <x:c r="G307" s="63"/>
      <x:c r="H307" s="63"/>
      <x:c r="I307" s="63"/>
    </x:row>
    <x:row r="308" ht="30" customHeight="1">
      <x:c r="C308" s="64"/>
      <x:c r="D308" s="63"/>
      <x:c r="E308" s="63"/>
      <x:c r="F308" s="63"/>
      <x:c r="G308" s="63"/>
      <x:c r="H308" s="63"/>
      <x:c r="I308" s="63"/>
    </x:row>
    <x:row r="309" ht="30" customHeight="1">
      <x:c r="C309" s="64"/>
      <x:c r="D309" s="63"/>
      <x:c r="E309" s="63"/>
      <x:c r="F309" s="63"/>
      <x:c r="G309" s="63"/>
      <x:c r="H309" s="63"/>
      <x:c r="I309" s="63"/>
    </x:row>
    <x:row r="310" ht="30" customHeight="1">
      <x:c r="C310" s="64"/>
      <x:c r="D310" s="63"/>
      <x:c r="E310" s="63"/>
      <x:c r="F310" s="63"/>
      <x:c r="G310" s="63"/>
      <x:c r="H310" s="63"/>
      <x:c r="I310" s="63"/>
    </x:row>
    <x:row r="311" ht="30" customHeight="1">
      <x:c r="C311" s="64"/>
      <x:c r="D311" s="63"/>
      <x:c r="E311" s="63"/>
      <x:c r="F311" s="63"/>
      <x:c r="G311" s="63"/>
      <x:c r="H311" s="63"/>
      <x:c r="I311" s="63"/>
    </x:row>
    <x:row r="312" ht="30" customHeight="1">
      <x:c r="C312" s="64"/>
      <x:c r="D312" s="63"/>
      <x:c r="E312" s="63"/>
      <x:c r="F312" s="63"/>
      <x:c r="G312" s="63"/>
      <x:c r="H312" s="63"/>
      <x:c r="I312" s="63"/>
    </x:row>
    <x:row r="313" ht="30" customHeight="1">
      <x:c r="C313" s="64"/>
      <x:c r="D313" s="63"/>
      <x:c r="E313" s="63"/>
      <x:c r="F313" s="63"/>
      <x:c r="G313" s="63"/>
      <x:c r="H313" s="63"/>
      <x:c r="I313" s="63"/>
    </x:row>
    <x:row r="314" ht="30" customHeight="1">
      <x:c r="C314" s="64"/>
      <x:c r="D314" s="63"/>
      <x:c r="E314" s="63"/>
      <x:c r="F314" s="63"/>
      <x:c r="G314" s="63"/>
      <x:c r="H314" s="63"/>
      <x:c r="I314" s="63"/>
    </x:row>
    <x:row r="315" ht="30" customHeight="1">
      <x:c r="C315" s="64"/>
      <x:c r="D315" s="63"/>
      <x:c r="E315" s="63"/>
      <x:c r="F315" s="63"/>
      <x:c r="G315" s="63"/>
      <x:c r="H315" s="63"/>
      <x:c r="I315" s="63"/>
    </x:row>
    <x:row r="316" ht="30" customHeight="1">
      <x:c r="C316" s="64"/>
      <x:c r="D316" s="63"/>
      <x:c r="E316" s="63"/>
      <x:c r="F316" s="63"/>
      <x:c r="G316" s="63"/>
      <x:c r="H316" s="63"/>
      <x:c r="I316" s="63"/>
    </x:row>
    <x:row r="317" ht="30" customHeight="1">
      <x:c r="C317" s="64"/>
      <x:c r="D317" s="63"/>
      <x:c r="E317" s="63"/>
      <x:c r="F317" s="63"/>
      <x:c r="G317" s="63"/>
      <x:c r="H317" s="63"/>
      <x:c r="I317" s="63"/>
    </x:row>
    <x:row r="318" ht="30" customHeight="1">
      <x:c r="C318" s="64"/>
      <x:c r="D318" s="63"/>
      <x:c r="E318" s="63"/>
      <x:c r="F318" s="63"/>
      <x:c r="G318" s="63"/>
      <x:c r="H318" s="63"/>
      <x:c r="I318" s="63"/>
    </x:row>
    <x:row r="319" ht="30" customHeight="1">
      <x:c r="C319" s="64"/>
      <x:c r="D319" s="63"/>
      <x:c r="E319" s="63"/>
      <x:c r="F319" s="63"/>
      <x:c r="G319" s="63"/>
      <x:c r="H319" s="63"/>
      <x:c r="I319" s="63"/>
    </x:row>
    <x:row r="320" ht="30" customHeight="1">
      <x:c r="C320" s="64"/>
      <x:c r="D320" s="63"/>
      <x:c r="E320" s="63"/>
      <x:c r="F320" s="63"/>
      <x:c r="G320" s="63"/>
      <x:c r="H320" s="63"/>
      <x:c r="I320" s="63"/>
    </x:row>
    <x:row r="321" ht="30" customHeight="1">
      <x:c r="C321" s="64"/>
      <x:c r="D321" s="63"/>
      <x:c r="E321" s="63"/>
      <x:c r="F321" s="63"/>
      <x:c r="G321" s="63"/>
      <x:c r="H321" s="63"/>
      <x:c r="I321" s="63"/>
    </x:row>
    <x:row r="322" ht="30" customHeight="1">
      <x:c r="C322" s="64"/>
      <x:c r="D322" s="63"/>
      <x:c r="E322" s="63"/>
      <x:c r="F322" s="63"/>
      <x:c r="G322" s="63"/>
      <x:c r="H322" s="63"/>
      <x:c r="I322" s="63"/>
    </x:row>
    <x:row r="323" ht="30" customHeight="1">
      <x:c r="C323" s="64"/>
      <x:c r="D323" s="63"/>
      <x:c r="E323" s="63"/>
      <x:c r="F323" s="63"/>
      <x:c r="G323" s="63"/>
      <x:c r="H323" s="63"/>
      <x:c r="I323" s="63"/>
    </x:row>
    <x:row r="324" ht="30" customHeight="1">
      <x:c r="C324" s="64"/>
      <x:c r="D324" s="63"/>
      <x:c r="E324" s="63"/>
      <x:c r="F324" s="63"/>
      <x:c r="G324" s="63"/>
      <x:c r="H324" s="63"/>
      <x:c r="I324" s="63"/>
    </x:row>
    <x:row r="325" ht="30" customHeight="1">
      <x:c r="C325" s="64"/>
      <x:c r="D325" s="63"/>
      <x:c r="E325" s="63"/>
      <x:c r="F325" s="63"/>
      <x:c r="G325" s="63"/>
      <x:c r="H325" s="63"/>
      <x:c r="I325" s="63"/>
    </x:row>
    <x:row r="326" ht="30" customHeight="1">
      <x:c r="C326" s="64"/>
      <x:c r="D326" s="63"/>
      <x:c r="E326" s="63"/>
      <x:c r="F326" s="63"/>
      <x:c r="G326" s="63"/>
      <x:c r="H326" s="63"/>
      <x:c r="I326" s="63"/>
    </x:row>
    <x:row r="327" ht="30" customHeight="1">
      <x:c r="C327" s="64"/>
      <x:c r="D327" s="63"/>
      <x:c r="E327" s="63"/>
      <x:c r="F327" s="63"/>
      <x:c r="G327" s="63"/>
      <x:c r="H327" s="63"/>
      <x:c r="I327" s="63"/>
    </x:row>
    <x:row r="328" ht="30" customHeight="1">
      <x:c r="C328" s="64"/>
      <x:c r="D328" s="63"/>
      <x:c r="E328" s="63"/>
      <x:c r="F328" s="63"/>
      <x:c r="G328" s="63"/>
      <x:c r="H328" s="63"/>
      <x:c r="I328" s="63"/>
    </x:row>
    <x:row r="329" ht="30" customHeight="1">
      <x:c r="C329" s="64"/>
      <x:c r="D329" s="63"/>
      <x:c r="E329" s="63"/>
      <x:c r="F329" s="63"/>
      <x:c r="G329" s="63"/>
      <x:c r="H329" s="63"/>
      <x:c r="I329" s="63"/>
    </x:row>
    <x:row r="330" ht="30" customHeight="1">
      <x:c r="C330" s="64"/>
      <x:c r="D330" s="63"/>
      <x:c r="E330" s="63"/>
      <x:c r="F330" s="63"/>
      <x:c r="G330" s="63"/>
      <x:c r="H330" s="63"/>
      <x:c r="I330" s="63"/>
    </x:row>
    <x:row r="331" ht="30" customHeight="1">
      <x:c r="C331" s="64"/>
      <x:c r="D331" s="63"/>
      <x:c r="E331" s="63"/>
      <x:c r="F331" s="63"/>
      <x:c r="G331" s="63"/>
      <x:c r="H331" s="63"/>
      <x:c r="I331" s="63"/>
    </x:row>
    <x:row r="332" ht="30" customHeight="1">
      <x:c r="C332" s="64"/>
      <x:c r="D332" s="63"/>
      <x:c r="E332" s="63"/>
      <x:c r="F332" s="63"/>
      <x:c r="G332" s="63"/>
      <x:c r="H332" s="63"/>
      <x:c r="I332" s="63"/>
    </x:row>
    <x:row r="333" ht="30" customHeight="1">
      <x:c r="C333" s="64"/>
      <x:c r="D333" s="63"/>
      <x:c r="E333" s="63"/>
      <x:c r="F333" s="63"/>
      <x:c r="G333" s="63"/>
      <x:c r="H333" s="63"/>
      <x:c r="I333" s="63"/>
    </x:row>
    <x:row r="334" ht="30" customHeight="1">
      <x:c r="C334" s="64"/>
      <x:c r="D334" s="63"/>
      <x:c r="E334" s="63"/>
      <x:c r="F334" s="63"/>
      <x:c r="G334" s="63"/>
      <x:c r="H334" s="63"/>
      <x:c r="I334" s="63"/>
    </x:row>
    <x:row r="335" ht="30" customHeight="1">
      <x:c r="C335" s="64"/>
      <x:c r="D335" s="63"/>
      <x:c r="E335" s="63"/>
      <x:c r="F335" s="63"/>
      <x:c r="G335" s="63"/>
      <x:c r="H335" s="63"/>
      <x:c r="I335" s="63"/>
    </x:row>
    <x:row r="336" ht="30" customHeight="1">
      <x:c r="C336" s="64"/>
      <x:c r="D336" s="63"/>
      <x:c r="E336" s="63"/>
      <x:c r="F336" s="63"/>
      <x:c r="G336" s="63"/>
      <x:c r="H336" s="63"/>
      <x:c r="I336" s="63"/>
    </x:row>
    <x:row r="337" ht="30" customHeight="1">
      <x:c r="C337" s="64"/>
      <x:c r="D337" s="63"/>
      <x:c r="E337" s="63"/>
      <x:c r="F337" s="63"/>
      <x:c r="G337" s="63"/>
      <x:c r="H337" s="63"/>
      <x:c r="I337" s="63"/>
    </x:row>
    <x:row r="338" ht="30" customHeight="1">
      <x:c r="C338" s="64"/>
      <x:c r="D338" s="63"/>
      <x:c r="E338" s="63"/>
      <x:c r="F338" s="63"/>
      <x:c r="G338" s="63"/>
      <x:c r="H338" s="63"/>
      <x:c r="I338" s="63"/>
    </x:row>
    <x:row r="339" ht="30" customHeight="1">
      <x:c r="C339" s="64"/>
      <x:c r="D339" s="63"/>
      <x:c r="E339" s="63"/>
      <x:c r="F339" s="63"/>
      <x:c r="G339" s="63"/>
      <x:c r="H339" s="63"/>
      <x:c r="I339" s="63"/>
    </x:row>
    <x:row r="340" ht="30" customHeight="1">
      <x:c r="C340" s="64"/>
      <x:c r="D340" s="63"/>
      <x:c r="E340" s="63"/>
      <x:c r="F340" s="63"/>
      <x:c r="G340" s="63"/>
      <x:c r="H340" s="63"/>
      <x:c r="I340" s="63"/>
    </x:row>
    <x:row r="341" ht="30" customHeight="1">
      <x:c r="C341" s="64"/>
      <x:c r="D341" s="63"/>
      <x:c r="E341" s="63"/>
      <x:c r="F341" s="63"/>
      <x:c r="G341" s="63"/>
      <x:c r="H341" s="63"/>
      <x:c r="I341" s="63"/>
    </x:row>
    <x:row r="342" ht="30" customHeight="1">
      <x:c r="C342" s="64"/>
      <x:c r="D342" s="63"/>
      <x:c r="E342" s="63"/>
      <x:c r="F342" s="63"/>
      <x:c r="G342" s="63"/>
      <x:c r="H342" s="63"/>
      <x:c r="I342" s="63"/>
    </x:row>
    <x:row r="343" ht="30" customHeight="1">
      <x:c r="C343" s="64"/>
      <x:c r="D343" s="63"/>
      <x:c r="E343" s="63"/>
      <x:c r="F343" s="63"/>
      <x:c r="G343" s="63"/>
      <x:c r="H343" s="63"/>
      <x:c r="I343" s="63"/>
    </x:row>
    <x:row r="344" ht="30" customHeight="1">
      <x:c r="C344" s="64"/>
      <x:c r="D344" s="63"/>
      <x:c r="E344" s="63"/>
      <x:c r="F344" s="63"/>
      <x:c r="G344" s="63"/>
      <x:c r="H344" s="63"/>
      <x:c r="I344" s="63"/>
    </x:row>
    <x:row r="345" ht="30" customHeight="1">
      <x:c r="C345" s="64"/>
      <x:c r="D345" s="63"/>
      <x:c r="E345" s="63"/>
      <x:c r="F345" s="63"/>
      <x:c r="G345" s="63"/>
      <x:c r="H345" s="63"/>
      <x:c r="I345" s="63"/>
    </x:row>
    <x:row r="346" ht="30" customHeight="1">
      <x:c r="C346" s="64"/>
      <x:c r="D346" s="63"/>
      <x:c r="E346" s="63"/>
      <x:c r="F346" s="63"/>
      <x:c r="G346" s="63"/>
      <x:c r="H346" s="63"/>
      <x:c r="I346" s="63"/>
    </x:row>
    <x:row r="347" ht="30" customHeight="1">
      <x:c r="C347" s="64"/>
      <x:c r="D347" s="63"/>
      <x:c r="E347" s="63"/>
      <x:c r="F347" s="63"/>
      <x:c r="G347" s="63"/>
      <x:c r="H347" s="63"/>
      <x:c r="I347" s="63"/>
    </x:row>
    <x:row r="348" ht="30" customHeight="1">
      <x:c r="C348" s="64"/>
      <x:c r="D348" s="63"/>
      <x:c r="E348" s="63"/>
      <x:c r="F348" s="63"/>
      <x:c r="G348" s="63"/>
      <x:c r="H348" s="63"/>
      <x:c r="I348" s="63"/>
    </x:row>
    <x:row r="349" ht="30" customHeight="1">
      <x:c r="C349" s="64"/>
      <x:c r="D349" s="63"/>
      <x:c r="E349" s="63"/>
      <x:c r="F349" s="63"/>
      <x:c r="G349" s="63"/>
      <x:c r="H349" s="63"/>
      <x:c r="I349" s="63"/>
    </x:row>
    <x:row r="350" ht="30" customHeight="1">
      <x:c r="C350" s="64"/>
      <x:c r="D350" s="63"/>
      <x:c r="E350" s="63"/>
      <x:c r="F350" s="63"/>
      <x:c r="G350" s="63"/>
      <x:c r="H350" s="63"/>
      <x:c r="I350" s="63"/>
    </x:row>
    <x:row r="351" ht="30" customHeight="1">
      <x:c r="C351" s="64"/>
      <x:c r="D351" s="63"/>
      <x:c r="E351" s="63"/>
      <x:c r="F351" s="63"/>
      <x:c r="G351" s="63"/>
      <x:c r="H351" s="63"/>
      <x:c r="I351" s="63"/>
    </x:row>
    <x:row r="352" ht="30" customHeight="1">
      <x:c r="C352" s="64"/>
      <x:c r="D352" s="63"/>
      <x:c r="E352" s="63"/>
      <x:c r="F352" s="63"/>
      <x:c r="G352" s="63"/>
      <x:c r="H352" s="63"/>
      <x:c r="I352" s="63"/>
    </x:row>
    <x:row r="353" ht="30" customHeight="1">
      <x:c r="C353" s="64"/>
      <x:c r="D353" s="63"/>
      <x:c r="E353" s="63"/>
      <x:c r="F353" s="63"/>
      <x:c r="G353" s="63"/>
      <x:c r="H353" s="63"/>
      <x:c r="I353" s="63"/>
    </x:row>
    <x:row r="354" ht="30" customHeight="1">
      <x:c r="C354" s="64"/>
      <x:c r="D354" s="63"/>
      <x:c r="E354" s="63"/>
      <x:c r="F354" s="63"/>
      <x:c r="G354" s="63"/>
      <x:c r="H354" s="63"/>
      <x:c r="I354" s="63"/>
    </x:row>
    <x:row r="355" ht="30" customHeight="1">
      <x:c r="C355" s="64"/>
      <x:c r="D355" s="63"/>
      <x:c r="E355" s="63"/>
      <x:c r="F355" s="63"/>
      <x:c r="G355" s="63"/>
      <x:c r="H355" s="63"/>
      <x:c r="I355" s="63"/>
    </x:row>
    <x:row r="356" ht="30" customHeight="1">
      <x:c r="C356" s="64"/>
      <x:c r="D356" s="63"/>
      <x:c r="E356" s="63"/>
      <x:c r="F356" s="63"/>
      <x:c r="G356" s="63"/>
      <x:c r="H356" s="63"/>
      <x:c r="I356" s="63"/>
    </x:row>
    <x:row r="357" ht="30" customHeight="1">
      <x:c r="C357" s="64"/>
      <x:c r="D357" s="63"/>
      <x:c r="E357" s="63"/>
      <x:c r="F357" s="63"/>
      <x:c r="G357" s="63"/>
      <x:c r="H357" s="63"/>
      <x:c r="I357" s="63"/>
    </x:row>
    <x:row r="358" ht="30" customHeight="1">
      <x:c r="C358" s="64"/>
      <x:c r="D358" s="63"/>
      <x:c r="E358" s="63"/>
      <x:c r="F358" s="63"/>
      <x:c r="G358" s="63"/>
      <x:c r="H358" s="63"/>
      <x:c r="I358" s="63"/>
    </x:row>
    <x:row r="359" ht="30" customHeight="1">
      <x:c r="C359" s="64"/>
      <x:c r="D359" s="63"/>
      <x:c r="E359" s="63"/>
      <x:c r="F359" s="63"/>
      <x:c r="G359" s="63"/>
      <x:c r="H359" s="63"/>
      <x:c r="I359" s="63"/>
    </x:row>
    <x:row r="360" ht="30" customHeight="1">
      <x:c r="C360" s="64"/>
      <x:c r="D360" s="63"/>
      <x:c r="E360" s="63"/>
      <x:c r="F360" s="63"/>
      <x:c r="G360" s="63"/>
      <x:c r="H360" s="63"/>
      <x:c r="I360" s="63"/>
    </x:row>
    <x:row r="361" ht="30" customHeight="1">
      <x:c r="C361" s="64"/>
      <x:c r="D361" s="63"/>
      <x:c r="E361" s="63"/>
      <x:c r="F361" s="63"/>
      <x:c r="G361" s="63"/>
      <x:c r="H361" s="63"/>
      <x:c r="I361" s="63"/>
    </x:row>
    <x:row r="362" ht="30" customHeight="1">
      <x:c r="C362" s="64"/>
      <x:c r="D362" s="63"/>
      <x:c r="E362" s="63"/>
      <x:c r="F362" s="63"/>
      <x:c r="G362" s="63"/>
      <x:c r="H362" s="63"/>
      <x:c r="I362" s="63"/>
    </x:row>
    <x:row r="363" ht="30" customHeight="1">
      <x:c r="C363" s="64"/>
      <x:c r="D363" s="63"/>
      <x:c r="E363" s="63"/>
      <x:c r="F363" s="63"/>
      <x:c r="G363" s="63"/>
      <x:c r="H363" s="63"/>
      <x:c r="I363" s="63"/>
    </x:row>
    <x:row r="364" ht="30" customHeight="1">
      <x:c r="C364" s="64"/>
      <x:c r="D364" s="63"/>
      <x:c r="E364" s="63"/>
      <x:c r="F364" s="63"/>
      <x:c r="G364" s="63"/>
      <x:c r="H364" s="63"/>
      <x:c r="I364" s="63"/>
    </x:row>
    <x:row r="365" ht="30" customHeight="1">
      <x:c r="C365" s="64"/>
      <x:c r="D365" s="63"/>
      <x:c r="E365" s="63"/>
      <x:c r="F365" s="63"/>
      <x:c r="G365" s="63"/>
      <x:c r="H365" s="63"/>
      <x:c r="I365" s="63"/>
    </x:row>
    <x:row r="366" ht="30" customHeight="1">
      <x:c r="C366" s="64"/>
      <x:c r="D366" s="63"/>
      <x:c r="E366" s="63"/>
      <x:c r="F366" s="63"/>
      <x:c r="G366" s="63"/>
      <x:c r="H366" s="63"/>
      <x:c r="I366" s="63"/>
    </x:row>
    <x:row r="367" ht="30" customHeight="1">
      <x:c r="C367" s="64"/>
      <x:c r="D367" s="63"/>
      <x:c r="E367" s="63"/>
      <x:c r="F367" s="63"/>
      <x:c r="G367" s="63"/>
      <x:c r="H367" s="63"/>
      <x:c r="I367" s="63"/>
    </x:row>
    <x:row r="368" ht="30" customHeight="1">
      <x:c r="C368" s="64"/>
      <x:c r="D368" s="63"/>
      <x:c r="E368" s="63"/>
      <x:c r="F368" s="63"/>
      <x:c r="G368" s="63"/>
      <x:c r="H368" s="63"/>
      <x:c r="I368" s="63"/>
    </x:row>
    <x:row r="369" ht="30" customHeight="1">
      <x:c r="C369" s="64"/>
      <x:c r="D369" s="63"/>
      <x:c r="E369" s="63"/>
      <x:c r="F369" s="63"/>
      <x:c r="G369" s="63"/>
      <x:c r="H369" s="63"/>
      <x:c r="I369" s="63"/>
    </x:row>
    <x:row r="370" ht="30" customHeight="1">
      <x:c r="C370" s="64"/>
      <x:c r="D370" s="63"/>
      <x:c r="E370" s="63"/>
      <x:c r="F370" s="63"/>
      <x:c r="G370" s="63"/>
      <x:c r="H370" s="63"/>
      <x:c r="I370" s="63"/>
    </x:row>
    <x:row r="371" ht="30" customHeight="1">
      <x:c r="C371" s="64"/>
      <x:c r="D371" s="63"/>
      <x:c r="E371" s="63"/>
      <x:c r="F371" s="63"/>
      <x:c r="G371" s="63"/>
      <x:c r="H371" s="63"/>
      <x:c r="I371" s="63"/>
    </x:row>
    <x:row r="372" ht="30" customHeight="1">
      <x:c r="C372" s="64"/>
      <x:c r="D372" s="63"/>
      <x:c r="E372" s="63"/>
      <x:c r="F372" s="63"/>
      <x:c r="G372" s="63"/>
      <x:c r="H372" s="63"/>
      <x:c r="I372" s="63"/>
    </x:row>
    <x:row r="373" ht="30" customHeight="1">
      <x:c r="C373" s="64"/>
      <x:c r="D373" s="63"/>
      <x:c r="E373" s="63"/>
      <x:c r="F373" s="63"/>
      <x:c r="G373" s="63"/>
      <x:c r="H373" s="63"/>
      <x:c r="I373" s="63"/>
    </x:row>
    <x:row r="374" ht="30" customHeight="1">
      <x:c r="C374" s="64"/>
      <x:c r="D374" s="63"/>
      <x:c r="E374" s="63"/>
      <x:c r="F374" s="63"/>
      <x:c r="G374" s="63"/>
      <x:c r="H374" s="63"/>
      <x:c r="I374" s="63"/>
    </x:row>
    <x:row r="375" ht="30" customHeight="1">
      <x:c r="C375" s="64"/>
      <x:c r="D375" s="63"/>
      <x:c r="E375" s="63"/>
      <x:c r="F375" s="63"/>
      <x:c r="G375" s="63"/>
      <x:c r="H375" s="63"/>
      <x:c r="I375" s="63"/>
    </x:row>
    <x:row r="376" ht="30" customHeight="1">
      <x:c r="C376" s="64"/>
      <x:c r="D376" s="63"/>
      <x:c r="E376" s="63"/>
      <x:c r="F376" s="63"/>
      <x:c r="G376" s="63"/>
      <x:c r="H376" s="63"/>
      <x:c r="I376" s="63"/>
    </x:row>
    <x:row r="377" ht="30" customHeight="1">
      <x:c r="C377" s="64"/>
      <x:c r="D377" s="63"/>
      <x:c r="E377" s="63"/>
      <x:c r="F377" s="63"/>
      <x:c r="G377" s="63"/>
      <x:c r="H377" s="63"/>
      <x:c r="I377" s="63"/>
    </x:row>
    <x:row r="378" ht="30" customHeight="1">
      <x:c r="C378" s="64"/>
      <x:c r="D378" s="63"/>
      <x:c r="E378" s="63"/>
      <x:c r="F378" s="63"/>
      <x:c r="G378" s="63"/>
      <x:c r="H378" s="63"/>
      <x:c r="I378" s="63"/>
    </x:row>
    <x:row r="379" ht="30" customHeight="1">
      <x:c r="C379" s="64"/>
      <x:c r="D379" s="63"/>
      <x:c r="E379" s="63"/>
      <x:c r="F379" s="63"/>
      <x:c r="G379" s="63"/>
      <x:c r="H379" s="63"/>
      <x:c r="I379" s="63"/>
    </x:row>
    <x:row r="380" ht="30" customHeight="1">
      <x:c r="C380" s="64"/>
      <x:c r="D380" s="63"/>
      <x:c r="E380" s="63"/>
      <x:c r="F380" s="63"/>
      <x:c r="G380" s="63"/>
      <x:c r="H380" s="63"/>
      <x:c r="I380" s="63"/>
    </x:row>
    <x:row r="381" ht="30" customHeight="1">
      <x:c r="C381" s="64"/>
      <x:c r="D381" s="63"/>
      <x:c r="E381" s="63"/>
      <x:c r="F381" s="63"/>
      <x:c r="G381" s="63"/>
      <x:c r="H381" s="63"/>
      <x:c r="I381" s="63"/>
    </x:row>
    <x:row r="382" ht="30" customHeight="1">
      <x:c r="C382" s="64"/>
      <x:c r="D382" s="63"/>
      <x:c r="E382" s="63"/>
      <x:c r="F382" s="63"/>
      <x:c r="G382" s="63"/>
      <x:c r="H382" s="63"/>
      <x:c r="I382" s="63"/>
    </x:row>
    <x:row r="383" ht="30" customHeight="1">
      <x:c r="C383" s="64"/>
      <x:c r="D383" s="63"/>
      <x:c r="E383" s="63"/>
      <x:c r="F383" s="63"/>
      <x:c r="G383" s="63"/>
      <x:c r="H383" s="63"/>
      <x:c r="I383" s="63"/>
    </x:row>
    <x:row r="384" ht="30" customHeight="1">
      <x:c r="C384" s="64"/>
      <x:c r="D384" s="63"/>
      <x:c r="E384" s="63"/>
      <x:c r="F384" s="63"/>
      <x:c r="G384" s="63"/>
      <x:c r="H384" s="63"/>
      <x:c r="I384" s="63"/>
    </x:row>
    <x:row r="385" ht="30" customHeight="1">
      <x:c r="C385" s="64"/>
      <x:c r="D385" s="63"/>
      <x:c r="E385" s="63"/>
      <x:c r="F385" s="63"/>
      <x:c r="G385" s="63"/>
      <x:c r="H385" s="63"/>
      <x:c r="I385" s="63"/>
    </x:row>
    <x:row r="386" ht="30" customHeight="1">
      <x:c r="C386" s="64"/>
      <x:c r="D386" s="63"/>
      <x:c r="E386" s="63"/>
      <x:c r="F386" s="63"/>
      <x:c r="G386" s="63"/>
      <x:c r="H386" s="63"/>
      <x:c r="I386" s="63"/>
    </x:row>
    <x:row r="387" ht="30" customHeight="1">
      <x:c r="C387" s="64"/>
      <x:c r="D387" s="63"/>
      <x:c r="E387" s="63"/>
      <x:c r="F387" s="63"/>
      <x:c r="G387" s="63"/>
      <x:c r="H387" s="63"/>
      <x:c r="I387" s="63"/>
    </x:row>
    <x:row r="388" ht="30" customHeight="1">
      <x:c r="C388" s="64"/>
      <x:c r="D388" s="63"/>
      <x:c r="E388" s="63"/>
      <x:c r="F388" s="63"/>
      <x:c r="G388" s="63"/>
      <x:c r="H388" s="63"/>
      <x:c r="I388" s="63"/>
    </x:row>
    <x:row r="389" ht="30" customHeight="1">
      <x:c r="C389" s="64"/>
      <x:c r="D389" s="63"/>
      <x:c r="E389" s="63"/>
      <x:c r="F389" s="63"/>
      <x:c r="G389" s="63"/>
      <x:c r="H389" s="63"/>
      <x:c r="I389" s="63"/>
    </x:row>
    <x:row r="390" ht="30" customHeight="1">
      <x:c r="C390" s="64"/>
      <x:c r="D390" s="63"/>
      <x:c r="E390" s="63"/>
      <x:c r="F390" s="63"/>
      <x:c r="G390" s="63"/>
      <x:c r="H390" s="63"/>
      <x:c r="I390" s="63"/>
    </x:row>
    <x:row r="391" ht="30" customHeight="1">
      <x:c r="C391" s="64"/>
      <x:c r="D391" s="63"/>
      <x:c r="E391" s="63"/>
      <x:c r="F391" s="63"/>
      <x:c r="G391" s="63"/>
      <x:c r="H391" s="63"/>
      <x:c r="I391" s="63"/>
    </x:row>
    <x:row r="392" ht="30" customHeight="1">
      <x:c r="C392" s="64"/>
      <x:c r="D392" s="63"/>
      <x:c r="E392" s="63"/>
      <x:c r="F392" s="63"/>
      <x:c r="G392" s="63"/>
      <x:c r="H392" s="63"/>
      <x:c r="I392" s="63"/>
    </x:row>
    <x:row r="393" ht="30" customHeight="1">
      <x:c r="C393" s="64"/>
      <x:c r="D393" s="63"/>
      <x:c r="E393" s="63"/>
      <x:c r="F393" s="63"/>
      <x:c r="G393" s="63"/>
      <x:c r="H393" s="63"/>
      <x:c r="I393" s="63"/>
    </x:row>
    <x:row r="394" ht="30" customHeight="1">
      <x:c r="C394" s="64"/>
      <x:c r="D394" s="63"/>
      <x:c r="E394" s="63"/>
      <x:c r="F394" s="63"/>
      <x:c r="G394" s="63"/>
      <x:c r="H394" s="63"/>
      <x:c r="I394" s="63"/>
    </x:row>
    <x:row r="395" ht="30" customHeight="1">
      <x:c r="C395" s="64"/>
      <x:c r="D395" s="63"/>
      <x:c r="E395" s="63"/>
      <x:c r="F395" s="63"/>
      <x:c r="G395" s="63"/>
      <x:c r="H395" s="63"/>
      <x:c r="I395" s="63"/>
    </x:row>
    <x:row r="396" ht="30" customHeight="1">
      <x:c r="C396" s="64"/>
      <x:c r="D396" s="63"/>
      <x:c r="E396" s="63"/>
      <x:c r="F396" s="63"/>
      <x:c r="G396" s="63"/>
      <x:c r="H396" s="63"/>
      <x:c r="I396" s="63"/>
    </x:row>
    <x:row r="397" ht="30" customHeight="1">
      <x:c r="C397" s="64"/>
      <x:c r="D397" s="63"/>
      <x:c r="E397" s="63"/>
      <x:c r="F397" s="63"/>
      <x:c r="G397" s="63"/>
      <x:c r="H397" s="63"/>
      <x:c r="I397" s="63"/>
    </x:row>
    <x:row r="398" ht="25" customHeight="1">
      <x:c r="C398" s="68" t="str">
        <x:v>SCENARIO ASSUMPTIONS</x:v>
      </x:c>
      <x:c r="D398" s="82"/>
      <x:c r="E398" s="82"/>
      <x:c r="F398" s="82"/>
      <x:c r="G398" s="82"/>
      <x:c r="H398" s="82"/>
      <x:c r="I398" s="82"/>
    </x:row>
    <x:row r="399" ht="30" customHeight="1">
      <x:c r="C399" s="64"/>
      <x:c r="D399" s="63"/>
      <x:c r="E399" s="63"/>
      <x:c r="F399" s="63"/>
      <x:c r="G399" s="63"/>
      <x:c r="H399" s="63"/>
      <x:c r="I399" s="63"/>
    </x:row>
    <x:row r="400" ht="30" customHeight="1">
      <x:c r="C400" s="64" t="str">
        <x:v>Borrowing growth — active</x:v>
      </x:c>
      <x:c r="D400" s="63"/>
      <x:c r="E400" s="83" t="n">
        <x:f>IF(COUNT(CHOOSE('Controls'!$E$5,E401,E402,E403))=1,CHOOSE('Controls'!$E$5,E401,E402,E403),NA())</x:f>
        <x:v>0.13</x:v>
      </x:c>
      <x:c r="F400" s="83" t="n">
        <x:f>IF(COUNT(CHOOSE('Controls'!$E$5,F401,F402,F403))=1,CHOOSE('Controls'!$E$5,F401,F402,F403),NA())</x:f>
        <x:v>0.13</x:v>
      </x:c>
      <x:c r="G400" s="83" t="n">
        <x:f>IF(COUNT(CHOOSE('Controls'!$E$5,G401,G402,G403))=1,CHOOSE('Controls'!$E$5,G401,G402,G403),NA())</x:f>
        <x:v>0.13</x:v>
      </x:c>
      <x:c r="H400" s="83" t="n">
        <x:f>IF(COUNT(CHOOSE('Controls'!$E$5,H401,H402,H403))=1,CHOOSE('Controls'!$E$5,H401,H402,H403),NA())</x:f>
        <x:v>0.13</x:v>
      </x:c>
      <x:c r="I400" s="83" t="n">
        <x:f>IF(COUNT(CHOOSE('Controls'!$E$5,I401,I402,I403))=1,CHOOSE('Controls'!$E$5,I401,I402,I403),NA())</x:f>
        <x:v>0.13</x:v>
      </x:c>
    </x:row>
    <x:row r="401" ht="30" customHeight="1">
      <x:c r="C401" s="64" t="str">
        <x:v>Base</x:v>
      </x:c>
      <x:c r="D401" s="63"/>
      <x:c r="E401" s="85" t="n">
        <x:v>0.13</x:v>
      </x:c>
      <x:c r="F401" s="85" t="n">
        <x:v>0.13</x:v>
      </x:c>
      <x:c r="G401" s="85" t="n">
        <x:v>0.13</x:v>
      </x:c>
      <x:c r="H401" s="85" t="n">
        <x:v>0.13</x:v>
      </x:c>
      <x:c r="I401" s="85" t="n">
        <x:v>0.13</x:v>
      </x:c>
    </x:row>
    <x:row r="402" ht="30" customHeight="1">
      <x:c r="C402" s="64" t="str">
        <x:v>Downside</x:v>
      </x:c>
      <x:c r="D402" s="63"/>
      <x:c r="E402" s="85" t="n">
        <x:v>0.13</x:v>
      </x:c>
      <x:c r="F402" s="85" t="n">
        <x:v>0.13</x:v>
      </x:c>
      <x:c r="G402" s="85" t="n">
        <x:v>0.13</x:v>
      </x:c>
      <x:c r="H402" s="85" t="n">
        <x:v>0.13</x:v>
      </x:c>
      <x:c r="I402" s="85" t="n">
        <x:v>0.13</x:v>
      </x:c>
    </x:row>
    <x:row r="403" ht="30" customHeight="1">
      <x:c r="C403" s="64" t="str">
        <x:v>Upside</x:v>
      </x:c>
      <x:c r="D403" s="63"/>
      <x:c r="E403" s="85" t="n">
        <x:v>0.13</x:v>
      </x:c>
      <x:c r="F403" s="85" t="n">
        <x:v>0.13</x:v>
      </x:c>
      <x:c r="G403" s="85" t="n">
        <x:v>0.13</x:v>
      </x:c>
      <x:c r="H403" s="85" t="n">
        <x:v>0.13</x:v>
      </x:c>
      <x:c r="I403" s="85" t="n">
        <x:v>0.13</x:v>
      </x:c>
    </x:row>
    <x:row r="404" ht="30" customHeight="1">
      <x:c r="C404" s="64"/>
      <x:c r="D404" s="63"/>
      <x:c r="E404" s="63"/>
      <x:c r="F404" s="63"/>
      <x:c r="G404" s="63"/>
      <x:c r="H404" s="63"/>
      <x:c r="I404" s="63"/>
    </x:row>
    <x:row r="405" ht="30" customHeight="1">
      <x:c r="C405" s="64" t="str">
        <x:v>Investment asset growth — active</x:v>
      </x:c>
      <x:c r="D405" s="63"/>
      <x:c r="E405" s="83" t="n">
        <x:f>IF(COUNT(CHOOSE('Controls'!$E$5,E406,E407,E408))=1,CHOOSE('Controls'!$E$5,E406,E407,E408),NA())</x:f>
        <x:v>0.08</x:v>
      </x:c>
      <x:c r="F405" s="83" t="n">
        <x:f>IF(COUNT(CHOOSE('Controls'!$E$5,F406,F407,F408))=1,CHOOSE('Controls'!$E$5,F406,F407,F408),NA())</x:f>
        <x:v>0.08</x:v>
      </x:c>
      <x:c r="G405" s="83" t="n">
        <x:f>IF(COUNT(CHOOSE('Controls'!$E$5,G406,G407,G408))=1,CHOOSE('Controls'!$E$5,G406,G407,G408),NA())</x:f>
        <x:v>0.08</x:v>
      </x:c>
      <x:c r="H405" s="83" t="n">
        <x:f>IF(COUNT(CHOOSE('Controls'!$E$5,H406,H407,H408))=1,CHOOSE('Controls'!$E$5,H406,H407,H408),NA())</x:f>
        <x:v>0.08</x:v>
      </x:c>
      <x:c r="I405" s="83" t="n">
        <x:f>IF(COUNT(CHOOSE('Controls'!$E$5,I406,I407,I408))=1,CHOOSE('Controls'!$E$5,I406,I407,I408),NA())</x:f>
        <x:v>0.08</x:v>
      </x:c>
    </x:row>
    <x:row r="406" ht="30" customHeight="1">
      <x:c r="C406" s="64" t="str">
        <x:v>Base</x:v>
      </x:c>
      <x:c r="D406" s="63"/>
      <x:c r="E406" s="85" t="n">
        <x:v>0.08</x:v>
      </x:c>
      <x:c r="F406" s="85" t="n">
        <x:v>0.08</x:v>
      </x:c>
      <x:c r="G406" s="85" t="n">
        <x:v>0.08</x:v>
      </x:c>
      <x:c r="H406" s="85" t="n">
        <x:v>0.08</x:v>
      </x:c>
      <x:c r="I406" s="85" t="n">
        <x:v>0.08</x:v>
      </x:c>
    </x:row>
    <x:row r="407" ht="30" customHeight="1">
      <x:c r="C407" s="64" t="str">
        <x:v>Downside</x:v>
      </x:c>
      <x:c r="D407" s="63"/>
      <x:c r="E407" s="85" t="n">
        <x:v>0.08</x:v>
      </x:c>
      <x:c r="F407" s="85" t="n">
        <x:v>0.08</x:v>
      </x:c>
      <x:c r="G407" s="85" t="n">
        <x:v>0.08</x:v>
      </x:c>
      <x:c r="H407" s="85" t="n">
        <x:v>0.08</x:v>
      </x:c>
      <x:c r="I407" s="85" t="n">
        <x:v>0.08</x:v>
      </x:c>
    </x:row>
    <x:row r="408" ht="30" customHeight="1">
      <x:c r="C408" s="64" t="str">
        <x:v>Upside</x:v>
      </x:c>
      <x:c r="D408" s="63"/>
      <x:c r="E408" s="85" t="n">
        <x:v>0.08</x:v>
      </x:c>
      <x:c r="F408" s="85" t="n">
        <x:v>0.08</x:v>
      </x:c>
      <x:c r="G408" s="85" t="n">
        <x:v>0.08</x:v>
      </x:c>
      <x:c r="H408" s="85" t="n">
        <x:v>0.08</x:v>
      </x:c>
      <x:c r="I408" s="85" t="n">
        <x:v>0.08</x:v>
      </x:c>
    </x:row>
    <x:row r="409" ht="30" customHeight="1">
      <x:c r="C409" s="64"/>
      <x:c r="D409" s="63"/>
      <x:c r="E409" s="63"/>
      <x:c r="F409" s="63"/>
      <x:c r="G409" s="63"/>
      <x:c r="H409" s="63"/>
      <x:c r="I409" s="63"/>
    </x:row>
    <x:row r="410" ht="30" customHeight="1">
      <x:c r="C410" s="64" t="str">
        <x:v>Gross-loan yield — active</x:v>
      </x:c>
      <x:c r="D410" s="63"/>
      <x:c r="E410" s="83" t="n">
        <x:f>IF(COUNT(CHOOSE('Controls'!$E$5,E411,E412,E413))=1,CHOOSE('Controls'!$E$5,E411,E412,E413),NA())</x:f>
        <x:v>0.17</x:v>
      </x:c>
      <x:c r="F410" s="83" t="n">
        <x:f>IF(COUNT(CHOOSE('Controls'!$E$5,F411,F412,F413))=1,CHOOSE('Controls'!$E$5,F411,F412,F413),NA())</x:f>
        <x:v>0.17</x:v>
      </x:c>
      <x:c r="G410" s="83" t="n">
        <x:f>IF(COUNT(CHOOSE('Controls'!$E$5,G411,G412,G413))=1,CHOOSE('Controls'!$E$5,G411,G412,G413),NA())</x:f>
        <x:v>0.17</x:v>
      </x:c>
      <x:c r="H410" s="83" t="n">
        <x:f>IF(COUNT(CHOOSE('Controls'!$E$5,H411,H412,H413))=1,CHOOSE('Controls'!$E$5,H411,H412,H413),NA())</x:f>
        <x:v>0.17</x:v>
      </x:c>
      <x:c r="I410" s="83" t="n">
        <x:f>IF(COUNT(CHOOSE('Controls'!$E$5,I411,I412,I413))=1,CHOOSE('Controls'!$E$5,I411,I412,I413),NA())</x:f>
        <x:v>0.17</x:v>
      </x:c>
    </x:row>
    <x:row r="411" ht="30" customHeight="1">
      <x:c r="C411" s="64" t="str">
        <x:v>Base</x:v>
      </x:c>
      <x:c r="D411" s="63"/>
      <x:c r="E411" s="85" t="n">
        <x:v>0.17</x:v>
      </x:c>
      <x:c r="F411" s="85" t="n">
        <x:v>0.17</x:v>
      </x:c>
      <x:c r="G411" s="85" t="n">
        <x:v>0.17</x:v>
      </x:c>
      <x:c r="H411" s="85" t="n">
        <x:v>0.17</x:v>
      </x:c>
      <x:c r="I411" s="85" t="n">
        <x:v>0.17</x:v>
      </x:c>
    </x:row>
    <x:row r="412" ht="30" customHeight="1">
      <x:c r="C412" s="64" t="str">
        <x:v>Downside</x:v>
      </x:c>
      <x:c r="D412" s="63"/>
      <x:c r="E412" s="85" t="n">
        <x:v>0.17</x:v>
      </x:c>
      <x:c r="F412" s="85" t="n">
        <x:v>0.17</x:v>
      </x:c>
      <x:c r="G412" s="85" t="n">
        <x:v>0.17</x:v>
      </x:c>
      <x:c r="H412" s="85" t="n">
        <x:v>0.17</x:v>
      </x:c>
      <x:c r="I412" s="85" t="n">
        <x:v>0.17</x:v>
      </x:c>
    </x:row>
    <x:row r="413" ht="30" customHeight="1">
      <x:c r="C413" s="64" t="str">
        <x:v>Upside</x:v>
      </x:c>
      <x:c r="D413" s="63"/>
      <x:c r="E413" s="85" t="n">
        <x:v>0.17</x:v>
      </x:c>
      <x:c r="F413" s="85" t="n">
        <x:v>0.17</x:v>
      </x:c>
      <x:c r="G413" s="85" t="n">
        <x:v>0.17</x:v>
      </x:c>
      <x:c r="H413" s="85" t="n">
        <x:v>0.17</x:v>
      </x:c>
      <x:c r="I413" s="85" t="n">
        <x:v>0.17</x:v>
      </x:c>
    </x:row>
    <x:row r="414" ht="30" customHeight="1">
      <x:c r="C414" s="64"/>
      <x:c r="D414" s="63"/>
      <x:c r="E414" s="63"/>
      <x:c r="F414" s="63"/>
      <x:c r="G414" s="63"/>
      <x:c r="H414" s="63"/>
      <x:c r="I414" s="63"/>
    </x:row>
    <x:row r="415" ht="30" customHeight="1">
      <x:c r="C415" s="64" t="str">
        <x:v>Borrowing cost — active</x:v>
      </x:c>
      <x:c r="D415" s="63"/>
      <x:c r="E415" s="83" t="n">
        <x:f>IF(COUNT(CHOOSE('Controls'!$E$5,E416,E417,E418))=1,CHOOSE('Controls'!$E$5,E416,E417,E418),NA())</x:f>
        <x:v>0.085</x:v>
      </x:c>
      <x:c r="F415" s="83" t="n">
        <x:f>IF(COUNT(CHOOSE('Controls'!$E$5,F416,F417,F418))=1,CHOOSE('Controls'!$E$5,F416,F417,F418),NA())</x:f>
        <x:v>0.085</x:v>
      </x:c>
      <x:c r="G415" s="83" t="n">
        <x:f>IF(COUNT(CHOOSE('Controls'!$E$5,G416,G417,G418))=1,CHOOSE('Controls'!$E$5,G416,G417,G418),NA())</x:f>
        <x:v>0.085</x:v>
      </x:c>
      <x:c r="H415" s="83" t="n">
        <x:f>IF(COUNT(CHOOSE('Controls'!$E$5,H416,H417,H418))=1,CHOOSE('Controls'!$E$5,H416,H417,H418),NA())</x:f>
        <x:v>0.085</x:v>
      </x:c>
      <x:c r="I415" s="83" t="n">
        <x:f>IF(COUNT(CHOOSE('Controls'!$E$5,I416,I417,I418))=1,CHOOSE('Controls'!$E$5,I416,I417,I418),NA())</x:f>
        <x:v>0.085</x:v>
      </x:c>
    </x:row>
    <x:row r="416" ht="30" customHeight="1">
      <x:c r="C416" s="64" t="str">
        <x:v>Base</x:v>
      </x:c>
      <x:c r="D416" s="63"/>
      <x:c r="E416" s="85" t="n">
        <x:v>0.085</x:v>
      </x:c>
      <x:c r="F416" s="85" t="n">
        <x:v>0.085</x:v>
      </x:c>
      <x:c r="G416" s="85" t="n">
        <x:v>0.085</x:v>
      </x:c>
      <x:c r="H416" s="85" t="n">
        <x:v>0.085</x:v>
      </x:c>
      <x:c r="I416" s="85" t="n">
        <x:v>0.085</x:v>
      </x:c>
    </x:row>
    <x:row r="417" ht="30" customHeight="1">
      <x:c r="C417" s="64" t="str">
        <x:v>Downside</x:v>
      </x:c>
      <x:c r="D417" s="63"/>
      <x:c r="E417" s="85" t="n">
        <x:v>0.085</x:v>
      </x:c>
      <x:c r="F417" s="85" t="n">
        <x:v>0.085</x:v>
      </x:c>
      <x:c r="G417" s="85" t="n">
        <x:v>0.085</x:v>
      </x:c>
      <x:c r="H417" s="85" t="n">
        <x:v>0.085</x:v>
      </x:c>
      <x:c r="I417" s="85" t="n">
        <x:v>0.085</x:v>
      </x:c>
    </x:row>
    <x:row r="418" ht="30" customHeight="1">
      <x:c r="C418" s="64" t="str">
        <x:v>Upside</x:v>
      </x:c>
      <x:c r="D418" s="63"/>
      <x:c r="E418" s="85" t="n">
        <x:v>0.085</x:v>
      </x:c>
      <x:c r="F418" s="85" t="n">
        <x:v>0.085</x:v>
      </x:c>
      <x:c r="G418" s="85" t="n">
        <x:v>0.085</x:v>
      </x:c>
      <x:c r="H418" s="85" t="n">
        <x:v>0.085</x:v>
      </x:c>
      <x:c r="I418" s="85" t="n">
        <x:v>0.085</x:v>
      </x:c>
    </x:row>
    <x:row r="419" ht="30" customHeight="1">
      <x:c r="C419" s="64"/>
      <x:c r="D419" s="63"/>
      <x:c r="E419" s="63"/>
      <x:c r="F419" s="63"/>
      <x:c r="G419" s="63"/>
      <x:c r="H419" s="63"/>
      <x:c r="I419" s="63"/>
    </x:row>
    <x:row r="420" ht="30" customHeight="1">
      <x:c r="C420" s="64" t="str">
        <x:v>Investment yield — active</x:v>
      </x:c>
      <x:c r="D420" s="63"/>
      <x:c r="E420" s="83" t="n">
        <x:f>IF(COUNT(CHOOSE('Controls'!$E$5,E421,E422,E423))=1,CHOOSE('Controls'!$E$5,E421,E422,E423),NA())</x:f>
        <x:v>0.065</x:v>
      </x:c>
      <x:c r="F420" s="83" t="n">
        <x:f>IF(COUNT(CHOOSE('Controls'!$E$5,F421,F422,F423))=1,CHOOSE('Controls'!$E$5,F421,F422,F423),NA())</x:f>
        <x:v>0.065</x:v>
      </x:c>
      <x:c r="G420" s="83" t="n">
        <x:f>IF(COUNT(CHOOSE('Controls'!$E$5,G421,G422,G423))=1,CHOOSE('Controls'!$E$5,G421,G422,G423),NA())</x:f>
        <x:v>0.065</x:v>
      </x:c>
      <x:c r="H420" s="83" t="n">
        <x:f>IF(COUNT(CHOOSE('Controls'!$E$5,H421,H422,H423))=1,CHOOSE('Controls'!$E$5,H421,H422,H423),NA())</x:f>
        <x:v>0.065</x:v>
      </x:c>
      <x:c r="I420" s="83" t="n">
        <x:f>IF(COUNT(CHOOSE('Controls'!$E$5,I421,I422,I423))=1,CHOOSE('Controls'!$E$5,I421,I422,I423),NA())</x:f>
        <x:v>0.065</x:v>
      </x:c>
    </x:row>
    <x:row r="421" ht="30" customHeight="1">
      <x:c r="C421" s="64" t="str">
        <x:v>Base</x:v>
      </x:c>
      <x:c r="D421" s="63"/>
      <x:c r="E421" s="85" t="n">
        <x:v>0.065</x:v>
      </x:c>
      <x:c r="F421" s="85" t="n">
        <x:v>0.065</x:v>
      </x:c>
      <x:c r="G421" s="85" t="n">
        <x:v>0.065</x:v>
      </x:c>
      <x:c r="H421" s="85" t="n">
        <x:v>0.065</x:v>
      </x:c>
      <x:c r="I421" s="85" t="n">
        <x:v>0.065</x:v>
      </x:c>
    </x:row>
    <x:row r="422" ht="30" customHeight="1">
      <x:c r="C422" s="64" t="str">
        <x:v>Downside</x:v>
      </x:c>
      <x:c r="D422" s="63"/>
      <x:c r="E422" s="85" t="n">
        <x:v>0.065</x:v>
      </x:c>
      <x:c r="F422" s="85" t="n">
        <x:v>0.065</x:v>
      </x:c>
      <x:c r="G422" s="85" t="n">
        <x:v>0.065</x:v>
      </x:c>
      <x:c r="H422" s="85" t="n">
        <x:v>0.065</x:v>
      </x:c>
      <x:c r="I422" s="85" t="n">
        <x:v>0.065</x:v>
      </x:c>
    </x:row>
    <x:row r="423" ht="30" customHeight="1">
      <x:c r="C423" s="64" t="str">
        <x:v>Upside</x:v>
      </x:c>
      <x:c r="D423" s="63"/>
      <x:c r="E423" s="85" t="n">
        <x:v>0.065</x:v>
      </x:c>
      <x:c r="F423" s="85" t="n">
        <x:v>0.065</x:v>
      </x:c>
      <x:c r="G423" s="85" t="n">
        <x:v>0.065</x:v>
      </x:c>
      <x:c r="H423" s="85" t="n">
        <x:v>0.065</x:v>
      </x:c>
      <x:c r="I423" s="85" t="n">
        <x:v>0.065</x:v>
      </x:c>
    </x:row>
    <x:row r="424" ht="30" customHeight="1">
      <x:c r="C424" s="64"/>
      <x:c r="D424" s="63"/>
      <x:c r="E424" s="63"/>
      <x:c r="F424" s="63"/>
      <x:c r="G424" s="63"/>
      <x:c r="H424" s="63"/>
      <x:c r="I424" s="63"/>
    </x:row>
    <x:row r="425" ht="30" customHeight="1">
      <x:c r="C425" s="64" t="str">
        <x:v>Fee income / average gross loans — active</x:v>
      </x:c>
      <x:c r="D425" s="63"/>
      <x:c r="E425" s="83" t="n">
        <x:f>IF(COUNT(CHOOSE('Controls'!$E$5,E426,E427,E428))=1,CHOOSE('Controls'!$E$5,E426,E427,E428),NA())</x:f>
        <x:v>0.012</x:v>
      </x:c>
      <x:c r="F425" s="83" t="n">
        <x:f>IF(COUNT(CHOOSE('Controls'!$E$5,F426,F427,F428))=1,CHOOSE('Controls'!$E$5,F426,F427,F428),NA())</x:f>
        <x:v>0.012</x:v>
      </x:c>
      <x:c r="G425" s="83" t="n">
        <x:f>IF(COUNT(CHOOSE('Controls'!$E$5,G426,G427,G428))=1,CHOOSE('Controls'!$E$5,G426,G427,G428),NA())</x:f>
        <x:v>0.012</x:v>
      </x:c>
      <x:c r="H425" s="83" t="n">
        <x:f>IF(COUNT(CHOOSE('Controls'!$E$5,H426,H427,H428))=1,CHOOSE('Controls'!$E$5,H426,H427,H428),NA())</x:f>
        <x:v>0.012</x:v>
      </x:c>
      <x:c r="I425" s="83" t="n">
        <x:f>IF(COUNT(CHOOSE('Controls'!$E$5,I426,I427,I428))=1,CHOOSE('Controls'!$E$5,I426,I427,I428),NA())</x:f>
        <x:v>0.012</x:v>
      </x:c>
    </x:row>
    <x:row r="426" ht="30" customHeight="1">
      <x:c r="C426" s="64" t="str">
        <x:v>Base</x:v>
      </x:c>
      <x:c r="D426" s="63"/>
      <x:c r="E426" s="85" t="n">
        <x:v>0.012</x:v>
      </x:c>
      <x:c r="F426" s="85" t="n">
        <x:v>0.012</x:v>
      </x:c>
      <x:c r="G426" s="85" t="n">
        <x:v>0.012</x:v>
      </x:c>
      <x:c r="H426" s="85" t="n">
        <x:v>0.012</x:v>
      </x:c>
      <x:c r="I426" s="85" t="n">
        <x:v>0.012</x:v>
      </x:c>
    </x:row>
    <x:row r="427" ht="30" customHeight="1">
      <x:c r="C427" s="64" t="str">
        <x:v>Downside</x:v>
      </x:c>
      <x:c r="D427" s="63"/>
      <x:c r="E427" s="85" t="n">
        <x:v>0.012</x:v>
      </x:c>
      <x:c r="F427" s="85" t="n">
        <x:v>0.012</x:v>
      </x:c>
      <x:c r="G427" s="85" t="n">
        <x:v>0.012</x:v>
      </x:c>
      <x:c r="H427" s="85" t="n">
        <x:v>0.012</x:v>
      </x:c>
      <x:c r="I427" s="85" t="n">
        <x:v>0.012</x:v>
      </x:c>
    </x:row>
    <x:row r="428" ht="30" customHeight="1">
      <x:c r="C428" s="64" t="str">
        <x:v>Upside</x:v>
      </x:c>
      <x:c r="D428" s="63"/>
      <x:c r="E428" s="85" t="n">
        <x:v>0.012</x:v>
      </x:c>
      <x:c r="F428" s="85" t="n">
        <x:v>0.012</x:v>
      </x:c>
      <x:c r="G428" s="85" t="n">
        <x:v>0.012</x:v>
      </x:c>
      <x:c r="H428" s="85" t="n">
        <x:v>0.012</x:v>
      </x:c>
      <x:c r="I428" s="85" t="n">
        <x:v>0.012</x:v>
      </x:c>
    </x:row>
    <x:row r="429" ht="30" customHeight="1">
      <x:c r="C429" s="64"/>
      <x:c r="D429" s="63"/>
      <x:c r="E429" s="63"/>
      <x:c r="F429" s="63"/>
      <x:c r="G429" s="63"/>
      <x:c r="H429" s="63"/>
      <x:c r="I429" s="63"/>
    </x:row>
    <x:row r="430" ht="30" customHeight="1">
      <x:c r="C430" s="64" t="str">
        <x:v>Operating cost / net operating income — active</x:v>
      </x:c>
      <x:c r="D430" s="63"/>
      <x:c r="E430" s="83" t="n">
        <x:f>IF(COUNT(CHOOSE('Controls'!$E$5,E431,E432,E433))=1,CHOOSE('Controls'!$E$5,E431,E432,E433),NA())</x:f>
        <x:v>0.35</x:v>
      </x:c>
      <x:c r="F430" s="83" t="n">
        <x:f>IF(COUNT(CHOOSE('Controls'!$E$5,F431,F432,F433))=1,CHOOSE('Controls'!$E$5,F431,F432,F433),NA())</x:f>
        <x:v>0.35</x:v>
      </x:c>
      <x:c r="G430" s="83" t="n">
        <x:f>IF(COUNT(CHOOSE('Controls'!$E$5,G431,G432,G433))=1,CHOOSE('Controls'!$E$5,G431,G432,G433),NA())</x:f>
        <x:v>0.35</x:v>
      </x:c>
      <x:c r="H430" s="83" t="n">
        <x:f>IF(COUNT(CHOOSE('Controls'!$E$5,H431,H432,H433))=1,CHOOSE('Controls'!$E$5,H431,H432,H433),NA())</x:f>
        <x:v>0.35</x:v>
      </x:c>
      <x:c r="I430" s="83" t="n">
        <x:f>IF(COUNT(CHOOSE('Controls'!$E$5,I431,I432,I433))=1,CHOOSE('Controls'!$E$5,I431,I432,I433),NA())</x:f>
        <x:v>0.35</x:v>
      </x:c>
    </x:row>
    <x:row r="431" ht="30" customHeight="1">
      <x:c r="C431" s="64" t="str">
        <x:v>Base</x:v>
      </x:c>
      <x:c r="D431" s="63"/>
      <x:c r="E431" s="85" t="n">
        <x:v>0.35</x:v>
      </x:c>
      <x:c r="F431" s="85" t="n">
        <x:v>0.35</x:v>
      </x:c>
      <x:c r="G431" s="85" t="n">
        <x:v>0.35</x:v>
      </x:c>
      <x:c r="H431" s="85" t="n">
        <x:v>0.35</x:v>
      </x:c>
      <x:c r="I431" s="85" t="n">
        <x:v>0.35</x:v>
      </x:c>
    </x:row>
    <x:row r="432" ht="30" customHeight="1">
      <x:c r="C432" s="64" t="str">
        <x:v>Downside</x:v>
      </x:c>
      <x:c r="D432" s="63"/>
      <x:c r="E432" s="85" t="n">
        <x:v>0.35</x:v>
      </x:c>
      <x:c r="F432" s="85" t="n">
        <x:v>0.35</x:v>
      </x:c>
      <x:c r="G432" s="85" t="n">
        <x:v>0.35</x:v>
      </x:c>
      <x:c r="H432" s="85" t="n">
        <x:v>0.35</x:v>
      </x:c>
      <x:c r="I432" s="85" t="n">
        <x:v>0.35</x:v>
      </x:c>
    </x:row>
    <x:row r="433" ht="30" customHeight="1">
      <x:c r="C433" s="64" t="str">
        <x:v>Upside</x:v>
      </x:c>
      <x:c r="D433" s="63"/>
      <x:c r="E433" s="85" t="n">
        <x:v>0.35</x:v>
      </x:c>
      <x:c r="F433" s="85" t="n">
        <x:v>0.35</x:v>
      </x:c>
      <x:c r="G433" s="85" t="n">
        <x:v>0.35</x:v>
      </x:c>
      <x:c r="H433" s="85" t="n">
        <x:v>0.35</x:v>
      </x:c>
      <x:c r="I433" s="85" t="n">
        <x:v>0.35</x:v>
      </x:c>
    </x:row>
    <x:row r="434" ht="30" customHeight="1">
      <x:c r="C434" s="64"/>
      <x:c r="D434" s="63"/>
      <x:c r="E434" s="63"/>
      <x:c r="F434" s="63"/>
      <x:c r="G434" s="63"/>
      <x:c r="H434" s="63"/>
      <x:c r="I434" s="63"/>
    </x:row>
    <x:row r="435" ht="30" customHeight="1">
      <x:c r="C435" s="64" t="str">
        <x:v>NPA slippages / opening gross loans — active</x:v>
      </x:c>
      <x:c r="D435" s="63"/>
      <x:c r="E435" s="83" t="n">
        <x:f>IF(COUNT(CHOOSE('Controls'!$E$5,E436,E437,E438))=1,CHOOSE('Controls'!$E$5,E436,E437,E438),NA())</x:f>
        <x:v>0.025</x:v>
      </x:c>
      <x:c r="F435" s="83" t="n">
        <x:f>IF(COUNT(CHOOSE('Controls'!$E$5,F436,F437,F438))=1,CHOOSE('Controls'!$E$5,F436,F437,F438),NA())</x:f>
        <x:v>0.025</x:v>
      </x:c>
      <x:c r="G435" s="83" t="n">
        <x:f>IF(COUNT(CHOOSE('Controls'!$E$5,G436,G437,G438))=1,CHOOSE('Controls'!$E$5,G436,G437,G438),NA())</x:f>
        <x:v>0.025</x:v>
      </x:c>
      <x:c r="H435" s="83" t="n">
        <x:f>IF(COUNT(CHOOSE('Controls'!$E$5,H436,H437,H438))=1,CHOOSE('Controls'!$E$5,H436,H437,H438),NA())</x:f>
        <x:v>0.025</x:v>
      </x:c>
      <x:c r="I435" s="83" t="n">
        <x:f>IF(COUNT(CHOOSE('Controls'!$E$5,I436,I437,I438))=1,CHOOSE('Controls'!$E$5,I436,I437,I438),NA())</x:f>
        <x:v>0.025</x:v>
      </x:c>
    </x:row>
    <x:row r="436" ht="30" customHeight="1">
      <x:c r="C436" s="64" t="str">
        <x:v>Base</x:v>
      </x:c>
      <x:c r="D436" s="63"/>
      <x:c r="E436" s="85" t="n">
        <x:v>0.025</x:v>
      </x:c>
      <x:c r="F436" s="85" t="n">
        <x:v>0.025</x:v>
      </x:c>
      <x:c r="G436" s="85" t="n">
        <x:v>0.025</x:v>
      </x:c>
      <x:c r="H436" s="85" t="n">
        <x:v>0.025</x:v>
      </x:c>
      <x:c r="I436" s="85" t="n">
        <x:v>0.025</x:v>
      </x:c>
    </x:row>
    <x:row r="437" ht="30" customHeight="1">
      <x:c r="C437" s="64" t="str">
        <x:v>Downside</x:v>
      </x:c>
      <x:c r="D437" s="63"/>
      <x:c r="E437" s="85" t="n">
        <x:v>0.025</x:v>
      </x:c>
      <x:c r="F437" s="85" t="n">
        <x:v>0.025</x:v>
      </x:c>
      <x:c r="G437" s="85" t="n">
        <x:v>0.025</x:v>
      </x:c>
      <x:c r="H437" s="85" t="n">
        <x:v>0.025</x:v>
      </x:c>
      <x:c r="I437" s="85" t="n">
        <x:v>0.025</x:v>
      </x:c>
    </x:row>
    <x:row r="438" ht="30" customHeight="1">
      <x:c r="C438" s="64" t="str">
        <x:v>Upside</x:v>
      </x:c>
      <x:c r="D438" s="63"/>
      <x:c r="E438" s="85" t="n">
        <x:v>0.025</x:v>
      </x:c>
      <x:c r="F438" s="85" t="n">
        <x:v>0.025</x:v>
      </x:c>
      <x:c r="G438" s="85" t="n">
        <x:v>0.025</x:v>
      </x:c>
      <x:c r="H438" s="85" t="n">
        <x:v>0.025</x:v>
      </x:c>
      <x:c r="I438" s="85" t="n">
        <x:v>0.025</x:v>
      </x:c>
    </x:row>
    <x:row r="439" ht="30" customHeight="1">
      <x:c r="C439" s="64"/>
      <x:c r="D439" s="63"/>
      <x:c r="E439" s="63"/>
      <x:c r="F439" s="63"/>
      <x:c r="G439" s="63"/>
      <x:c r="H439" s="63"/>
      <x:c r="I439" s="63"/>
    </x:row>
    <x:row r="440" ht="30" customHeight="1">
      <x:c r="C440" s="64" t="str">
        <x:v>NPA recovery / opening gross NPA — active</x:v>
      </x:c>
      <x:c r="D440" s="63"/>
      <x:c r="E440" s="83" t="n">
        <x:f>IF(COUNT(CHOOSE('Controls'!$E$5,E441,E442,E443))=1,CHOOSE('Controls'!$E$5,E441,E442,E443),NA())</x:f>
        <x:v>0.2</x:v>
      </x:c>
      <x:c r="F440" s="83" t="n">
        <x:f>IF(COUNT(CHOOSE('Controls'!$E$5,F441,F442,F443))=1,CHOOSE('Controls'!$E$5,F441,F442,F443),NA())</x:f>
        <x:v>0.2</x:v>
      </x:c>
      <x:c r="G440" s="83" t="n">
        <x:f>IF(COUNT(CHOOSE('Controls'!$E$5,G441,G442,G443))=1,CHOOSE('Controls'!$E$5,G441,G442,G443),NA())</x:f>
        <x:v>0.2</x:v>
      </x:c>
      <x:c r="H440" s="83" t="n">
        <x:f>IF(COUNT(CHOOSE('Controls'!$E$5,H441,H442,H443))=1,CHOOSE('Controls'!$E$5,H441,H442,H443),NA())</x:f>
        <x:v>0.2</x:v>
      </x:c>
      <x:c r="I440" s="83" t="n">
        <x:f>IF(COUNT(CHOOSE('Controls'!$E$5,I441,I442,I443))=1,CHOOSE('Controls'!$E$5,I441,I442,I443),NA())</x:f>
        <x:v>0.2</x:v>
      </x:c>
    </x:row>
    <x:row r="441" ht="30" customHeight="1">
      <x:c r="C441" s="64" t="str">
        <x:v>Base</x:v>
      </x:c>
      <x:c r="D441" s="63"/>
      <x:c r="E441" s="85" t="n">
        <x:v>0.2</x:v>
      </x:c>
      <x:c r="F441" s="85" t="n">
        <x:v>0.2</x:v>
      </x:c>
      <x:c r="G441" s="85" t="n">
        <x:v>0.2</x:v>
      </x:c>
      <x:c r="H441" s="85" t="n">
        <x:v>0.2</x:v>
      </x:c>
      <x:c r="I441" s="85" t="n">
        <x:v>0.2</x:v>
      </x:c>
    </x:row>
    <x:row r="442" ht="30" customHeight="1">
      <x:c r="C442" s="64" t="str">
        <x:v>Downside</x:v>
      </x:c>
      <x:c r="D442" s="63"/>
      <x:c r="E442" s="85" t="n">
        <x:v>0.2</x:v>
      </x:c>
      <x:c r="F442" s="85" t="n">
        <x:v>0.2</x:v>
      </x:c>
      <x:c r="G442" s="85" t="n">
        <x:v>0.2</x:v>
      </x:c>
      <x:c r="H442" s="85" t="n">
        <x:v>0.2</x:v>
      </x:c>
      <x:c r="I442" s="85" t="n">
        <x:v>0.2</x:v>
      </x:c>
    </x:row>
    <x:row r="443" ht="30" customHeight="1">
      <x:c r="C443" s="64" t="str">
        <x:v>Upside</x:v>
      </x:c>
      <x:c r="D443" s="63"/>
      <x:c r="E443" s="85" t="n">
        <x:v>0.2</x:v>
      </x:c>
      <x:c r="F443" s="85" t="n">
        <x:v>0.2</x:v>
      </x:c>
      <x:c r="G443" s="85" t="n">
        <x:v>0.2</x:v>
      </x:c>
      <x:c r="H443" s="85" t="n">
        <x:v>0.2</x:v>
      </x:c>
      <x:c r="I443" s="85" t="n">
        <x:v>0.2</x:v>
      </x:c>
    </x:row>
    <x:row r="444" ht="30" customHeight="1">
      <x:c r="C444" s="64"/>
      <x:c r="D444" s="63"/>
      <x:c r="E444" s="63"/>
      <x:c r="F444" s="63"/>
      <x:c r="G444" s="63"/>
      <x:c r="H444" s="63"/>
      <x:c r="I444" s="63"/>
    </x:row>
    <x:row r="445" ht="30" customHeight="1">
      <x:c r="C445" s="64" t="str">
        <x:v>Write-offs / opening gross NPA — active</x:v>
      </x:c>
      <x:c r="D445" s="63"/>
      <x:c r="E445" s="83" t="n">
        <x:f>IF(COUNT(CHOOSE('Controls'!$E$5,E446,E447,E448))=1,CHOOSE('Controls'!$E$5,E446,E447,E448),NA())</x:f>
        <x:v>0.25</x:v>
      </x:c>
      <x:c r="F445" s="83" t="n">
        <x:f>IF(COUNT(CHOOSE('Controls'!$E$5,F446,F447,F448))=1,CHOOSE('Controls'!$E$5,F446,F447,F448),NA())</x:f>
        <x:v>0.25</x:v>
      </x:c>
      <x:c r="G445" s="83" t="n">
        <x:f>IF(COUNT(CHOOSE('Controls'!$E$5,G446,G447,G448))=1,CHOOSE('Controls'!$E$5,G446,G447,G448),NA())</x:f>
        <x:v>0.25</x:v>
      </x:c>
      <x:c r="H445" s="83" t="n">
        <x:f>IF(COUNT(CHOOSE('Controls'!$E$5,H446,H447,H448))=1,CHOOSE('Controls'!$E$5,H446,H447,H448),NA())</x:f>
        <x:v>0.25</x:v>
      </x:c>
      <x:c r="I445" s="83" t="n">
        <x:f>IF(COUNT(CHOOSE('Controls'!$E$5,I446,I447,I448))=1,CHOOSE('Controls'!$E$5,I446,I447,I448),NA())</x:f>
        <x:v>0.25</x:v>
      </x:c>
    </x:row>
    <x:row r="446" ht="30" customHeight="1">
      <x:c r="C446" s="64" t="str">
        <x:v>Base</x:v>
      </x:c>
      <x:c r="D446" s="63"/>
      <x:c r="E446" s="85" t="n">
        <x:v>0.25</x:v>
      </x:c>
      <x:c r="F446" s="85" t="n">
        <x:v>0.25</x:v>
      </x:c>
      <x:c r="G446" s="85" t="n">
        <x:v>0.25</x:v>
      </x:c>
      <x:c r="H446" s="85" t="n">
        <x:v>0.25</x:v>
      </x:c>
      <x:c r="I446" s="85" t="n">
        <x:v>0.25</x:v>
      </x:c>
    </x:row>
    <x:row r="447" ht="30" customHeight="1">
      <x:c r="C447" s="64" t="str">
        <x:v>Downside</x:v>
      </x:c>
      <x:c r="D447" s="63"/>
      <x:c r="E447" s="85" t="n">
        <x:v>0.25</x:v>
      </x:c>
      <x:c r="F447" s="85" t="n">
        <x:v>0.25</x:v>
      </x:c>
      <x:c r="G447" s="85" t="n">
        <x:v>0.25</x:v>
      </x:c>
      <x:c r="H447" s="85" t="n">
        <x:v>0.25</x:v>
      </x:c>
      <x:c r="I447" s="85" t="n">
        <x:v>0.25</x:v>
      </x:c>
    </x:row>
    <x:row r="448" ht="30" customHeight="1">
      <x:c r="C448" s="64" t="str">
        <x:v>Upside</x:v>
      </x:c>
      <x:c r="D448" s="63"/>
      <x:c r="E448" s="85" t="n">
        <x:v>0.25</x:v>
      </x:c>
      <x:c r="F448" s="85" t="n">
        <x:v>0.25</x:v>
      </x:c>
      <x:c r="G448" s="85" t="n">
        <x:v>0.25</x:v>
      </x:c>
      <x:c r="H448" s="85" t="n">
        <x:v>0.25</x:v>
      </x:c>
      <x:c r="I448" s="85" t="n">
        <x:v>0.25</x:v>
      </x:c>
    </x:row>
    <x:row r="449" ht="30" customHeight="1">
      <x:c r="C449" s="64"/>
      <x:c r="D449" s="63"/>
      <x:c r="E449" s="63"/>
      <x:c r="F449" s="63"/>
      <x:c r="G449" s="63"/>
      <x:c r="H449" s="63"/>
      <x:c r="I449" s="63"/>
    </x:row>
    <x:row r="450" ht="30" customHeight="1">
      <x:c r="C450" s="64" t="str">
        <x:v>Effective cash tax rate — active</x:v>
      </x:c>
      <x:c r="D450" s="63"/>
      <x:c r="E450" s="83" t="n">
        <x:f>IF(COUNT(CHOOSE('Controls'!$E$5,E451,E452,E453))=1,CHOOSE('Controls'!$E$5,E451,E452,E453),NA())</x:f>
        <x:v>0.25</x:v>
      </x:c>
      <x:c r="F450" s="83" t="n">
        <x:f>IF(COUNT(CHOOSE('Controls'!$E$5,F451,F452,F453))=1,CHOOSE('Controls'!$E$5,F451,F452,F453),NA())</x:f>
        <x:v>0.25</x:v>
      </x:c>
      <x:c r="G450" s="83" t="n">
        <x:f>IF(COUNT(CHOOSE('Controls'!$E$5,G451,G452,G453))=1,CHOOSE('Controls'!$E$5,G451,G452,G453),NA())</x:f>
        <x:v>0.25</x:v>
      </x:c>
      <x:c r="H450" s="83" t="n">
        <x:f>IF(COUNT(CHOOSE('Controls'!$E$5,H451,H452,H453))=1,CHOOSE('Controls'!$E$5,H451,H452,H453),NA())</x:f>
        <x:v>0.25</x:v>
      </x:c>
      <x:c r="I450" s="83" t="n">
        <x:f>IF(COUNT(CHOOSE('Controls'!$E$5,I451,I452,I453))=1,CHOOSE('Controls'!$E$5,I451,I452,I453),NA())</x:f>
        <x:v>0.25</x:v>
      </x:c>
    </x:row>
    <x:row r="451" ht="30" customHeight="1">
      <x:c r="C451" s="64" t="str">
        <x:v>Base</x:v>
      </x:c>
      <x:c r="D451" s="63"/>
      <x:c r="E451" s="85" t="n">
        <x:v>0.25</x:v>
      </x:c>
      <x:c r="F451" s="85" t="n">
        <x:v>0.25</x:v>
      </x:c>
      <x:c r="G451" s="85" t="n">
        <x:v>0.25</x:v>
      </x:c>
      <x:c r="H451" s="85" t="n">
        <x:v>0.25</x:v>
      </x:c>
      <x:c r="I451" s="85" t="n">
        <x:v>0.25</x:v>
      </x:c>
    </x:row>
    <x:row r="452" ht="30" customHeight="1">
      <x:c r="C452" s="64" t="str">
        <x:v>Downside</x:v>
      </x:c>
      <x:c r="D452" s="63"/>
      <x:c r="E452" s="85" t="n">
        <x:v>0.25</x:v>
      </x:c>
      <x:c r="F452" s="85" t="n">
        <x:v>0.25</x:v>
      </x:c>
      <x:c r="G452" s="85" t="n">
        <x:v>0.25</x:v>
      </x:c>
      <x:c r="H452" s="85" t="n">
        <x:v>0.25</x:v>
      </x:c>
      <x:c r="I452" s="85" t="n">
        <x:v>0.25</x:v>
      </x:c>
    </x:row>
    <x:row r="453" ht="30" customHeight="1">
      <x:c r="C453" s="64" t="str">
        <x:v>Upside</x:v>
      </x:c>
      <x:c r="D453" s="63"/>
      <x:c r="E453" s="85" t="n">
        <x:v>0.25</x:v>
      </x:c>
      <x:c r="F453" s="85" t="n">
        <x:v>0.25</x:v>
      </x:c>
      <x:c r="G453" s="85" t="n">
        <x:v>0.25</x:v>
      </x:c>
      <x:c r="H453" s="85" t="n">
        <x:v>0.25</x:v>
      </x:c>
      <x:c r="I453" s="85" t="n">
        <x:v>0.25</x:v>
      </x:c>
    </x:row>
    <x:row r="454" ht="30" customHeight="1">
      <x:c r="C454" s="64"/>
      <x:c r="D454" s="63"/>
      <x:c r="E454" s="63"/>
      <x:c r="F454" s="63"/>
      <x:c r="G454" s="63"/>
      <x:c r="H454" s="63"/>
      <x:c r="I454" s="63"/>
    </x:row>
    <x:row r="455" ht="30" customHeight="1">
      <x:c r="C455" s="64" t="str">
        <x:v>Dividend payout — active</x:v>
      </x:c>
      <x:c r="D455" s="63"/>
      <x:c r="E455" s="83" t="n">
        <x:f>IF(COUNT(CHOOSE('Controls'!$E$5,E456,E457,E458))=1,CHOOSE('Controls'!$E$5,E456,E457,E458),NA())</x:f>
        <x:v>0.2</x:v>
      </x:c>
      <x:c r="F455" s="83" t="n">
        <x:f>IF(COUNT(CHOOSE('Controls'!$E$5,F456,F457,F458))=1,CHOOSE('Controls'!$E$5,F456,F457,F458),NA())</x:f>
        <x:v>0.2</x:v>
      </x:c>
      <x:c r="G455" s="83" t="n">
        <x:f>IF(COUNT(CHOOSE('Controls'!$E$5,G456,G457,G458))=1,CHOOSE('Controls'!$E$5,G456,G457,G458),NA())</x:f>
        <x:v>0.2</x:v>
      </x:c>
      <x:c r="H455" s="83" t="n">
        <x:f>IF(COUNT(CHOOSE('Controls'!$E$5,H456,H457,H458))=1,CHOOSE('Controls'!$E$5,H456,H457,H458),NA())</x:f>
        <x:v>0.2</x:v>
      </x:c>
      <x:c r="I455" s="83" t="n">
        <x:f>IF(COUNT(CHOOSE('Controls'!$E$5,I456,I457,I458))=1,CHOOSE('Controls'!$E$5,I456,I457,I458),NA())</x:f>
        <x:v>0.2</x:v>
      </x:c>
    </x:row>
    <x:row r="456" ht="30" customHeight="1">
      <x:c r="C456" s="64" t="str">
        <x:v>Base</x:v>
      </x:c>
      <x:c r="D456" s="63"/>
      <x:c r="E456" s="85" t="n">
        <x:v>0.2</x:v>
      </x:c>
      <x:c r="F456" s="85" t="n">
        <x:v>0.2</x:v>
      </x:c>
      <x:c r="G456" s="85" t="n">
        <x:v>0.2</x:v>
      </x:c>
      <x:c r="H456" s="85" t="n">
        <x:v>0.2</x:v>
      </x:c>
      <x:c r="I456" s="85" t="n">
        <x:v>0.2</x:v>
      </x:c>
    </x:row>
    <x:row r="457" ht="30" customHeight="1">
      <x:c r="C457" s="64" t="str">
        <x:v>Downside</x:v>
      </x:c>
      <x:c r="D457" s="63"/>
      <x:c r="E457" s="85" t="n">
        <x:v>0.2</x:v>
      </x:c>
      <x:c r="F457" s="85" t="n">
        <x:v>0.2</x:v>
      </x:c>
      <x:c r="G457" s="85" t="n">
        <x:v>0.2</x:v>
      </x:c>
      <x:c r="H457" s="85" t="n">
        <x:v>0.2</x:v>
      </x:c>
      <x:c r="I457" s="85" t="n">
        <x:v>0.2</x:v>
      </x:c>
    </x:row>
    <x:row r="458" ht="30" customHeight="1">
      <x:c r="C458" s="64" t="str">
        <x:v>Upside</x:v>
      </x:c>
      <x:c r="D458" s="63"/>
      <x:c r="E458" s="85" t="n">
        <x:v>0.2</x:v>
      </x:c>
      <x:c r="F458" s="85" t="n">
        <x:v>0.2</x:v>
      </x:c>
      <x:c r="G458" s="85" t="n">
        <x:v>0.2</x:v>
      </x:c>
      <x:c r="H458" s="85" t="n">
        <x:v>0.2</x:v>
      </x:c>
      <x:c r="I458" s="85" t="n">
        <x:v>0.2</x:v>
      </x:c>
    </x:row>
    <x:row r="459" ht="30" customHeight="1">
      <x:c r="C459" s="64"/>
      <x:c r="D459" s="63"/>
      <x:c r="E459" s="63"/>
      <x:c r="F459" s="63"/>
      <x:c r="G459" s="63"/>
      <x:c r="H459" s="63"/>
      <x:c r="I459" s="63"/>
    </x:row>
    <x:row r="460" ht="30" customHeight="1">
      <x:c r="C460" s="64" t="str">
        <x:v>Fresh equity raised — active</x:v>
      </x:c>
      <x:c r="D460" s="63"/>
      <x:c r="E460" s="8" t="n">
        <x:f>IF(COUNT(CHOOSE('Controls'!$E$5,E461,E462,E463))=1,CHOOSE('Controls'!$E$5,E461,E462,E463),NA())</x:f>
        <x:v>0</x:v>
      </x:c>
      <x:c r="F460" s="8" t="n">
        <x:f>IF(COUNT(CHOOSE('Controls'!$E$5,F461,F462,F463))=1,CHOOSE('Controls'!$E$5,F461,F462,F463),NA())</x:f>
        <x:v>0</x:v>
      </x:c>
      <x:c r="G460" s="8" t="n">
        <x:f>IF(COUNT(CHOOSE('Controls'!$E$5,G461,G462,G463))=1,CHOOSE('Controls'!$E$5,G461,G462,G463),NA())</x:f>
        <x:v>0</x:v>
      </x:c>
      <x:c r="H460" s="8" t="n">
        <x:f>IF(COUNT(CHOOSE('Controls'!$E$5,H461,H462,H463))=1,CHOOSE('Controls'!$E$5,H461,H462,H463),NA())</x:f>
        <x:v>0</x:v>
      </x:c>
      <x:c r="I460" s="8" t="n">
        <x:f>IF(COUNT(CHOOSE('Controls'!$E$5,I461,I462,I463))=1,CHOOSE('Controls'!$E$5,I461,I462,I463),NA())</x:f>
        <x:v>0</x:v>
      </x:c>
    </x:row>
    <x:row r="461" ht="30" customHeight="1">
      <x:c r="C461" s="64" t="str">
        <x:v>Base</x:v>
      </x:c>
      <x:c r="D461" s="63"/>
      <x:c r="E461" s="74" t="n">
        <x:v>0</x:v>
      </x:c>
      <x:c r="F461" s="74" t="n">
        <x:v>0</x:v>
      </x:c>
      <x:c r="G461" s="74" t="n">
        <x:v>0</x:v>
      </x:c>
      <x:c r="H461" s="74" t="n">
        <x:v>0</x:v>
      </x:c>
      <x:c r="I461" s="74" t="n">
        <x:v>0</x:v>
      </x:c>
    </x:row>
    <x:row r="462" ht="30" customHeight="1">
      <x:c r="C462" s="64" t="str">
        <x:v>Downside</x:v>
      </x:c>
      <x:c r="D462" s="63"/>
      <x:c r="E462" s="74" t="n">
        <x:v>0</x:v>
      </x:c>
      <x:c r="F462" s="74" t="n">
        <x:v>0</x:v>
      </x:c>
      <x:c r="G462" s="74" t="n">
        <x:v>0</x:v>
      </x:c>
      <x:c r="H462" s="74" t="n">
        <x:v>0</x:v>
      </x:c>
      <x:c r="I462" s="74" t="n">
        <x:v>0</x:v>
      </x:c>
    </x:row>
    <x:row r="463" ht="30" customHeight="1">
      <x:c r="C463" s="64" t="str">
        <x:v>Upside</x:v>
      </x:c>
      <x:c r="D463" s="63"/>
      <x:c r="E463" s="74" t="n">
        <x:v>0</x:v>
      </x:c>
      <x:c r="F463" s="74" t="n">
        <x:v>0</x:v>
      </x:c>
      <x:c r="G463" s="74" t="n">
        <x:v>0</x:v>
      </x:c>
      <x:c r="H463" s="74" t="n">
        <x:v>0</x:v>
      </x:c>
      <x:c r="I463" s="74" t="n">
        <x:v>0</x:v>
      </x:c>
    </x:row>
    <x:row r="464" ht="30" customHeight="1">
      <x:c r="C464" s="64"/>
      <x:c r="D464" s="63"/>
      <x:c r="E464" s="63"/>
      <x:c r="F464" s="63"/>
      <x:c r="G464" s="63"/>
      <x:c r="H464" s="63"/>
      <x:c r="I464" s="63"/>
    </x:row>
    <x:row r="465" ht="30" customHeight="1">
      <x:c r="C465" s="64" t="str">
        <x:v>Risk-weighted assets / gross loans — active</x:v>
      </x:c>
      <x:c r="D465" s="63"/>
      <x:c r="E465" s="83" t="n">
        <x:f>IF(COUNT(CHOOSE('Controls'!$E$5,E466,E467,E468))=1,CHOOSE('Controls'!$E$5,E466,E467,E468),NA())</x:f>
        <x:v>1</x:v>
      </x:c>
      <x:c r="F465" s="83" t="n">
        <x:f>IF(COUNT(CHOOSE('Controls'!$E$5,F466,F467,F468))=1,CHOOSE('Controls'!$E$5,F466,F467,F468),NA())</x:f>
        <x:v>1</x:v>
      </x:c>
      <x:c r="G465" s="83" t="n">
        <x:f>IF(COUNT(CHOOSE('Controls'!$E$5,G466,G467,G468))=1,CHOOSE('Controls'!$E$5,G466,G467,G468),NA())</x:f>
        <x:v>1</x:v>
      </x:c>
      <x:c r="H465" s="83" t="n">
        <x:f>IF(COUNT(CHOOSE('Controls'!$E$5,H466,H467,H468))=1,CHOOSE('Controls'!$E$5,H466,H467,H468),NA())</x:f>
        <x:v>1</x:v>
      </x:c>
      <x:c r="I465" s="83" t="n">
        <x:f>IF(COUNT(CHOOSE('Controls'!$E$5,I466,I467,I468))=1,CHOOSE('Controls'!$E$5,I466,I467,I468),NA())</x:f>
        <x:v>1</x:v>
      </x:c>
    </x:row>
    <x:row r="466" ht="30" customHeight="1">
      <x:c r="C466" s="64" t="str">
        <x:v>Base</x:v>
      </x:c>
      <x:c r="D466" s="63"/>
      <x:c r="E466" s="85" t="n">
        <x:v>1</x:v>
      </x:c>
      <x:c r="F466" s="85" t="n">
        <x:v>1</x:v>
      </x:c>
      <x:c r="G466" s="85" t="n">
        <x:v>1</x:v>
      </x:c>
      <x:c r="H466" s="85" t="n">
        <x:v>1</x:v>
      </x:c>
      <x:c r="I466" s="85" t="n">
        <x:v>1</x:v>
      </x:c>
    </x:row>
    <x:row r="467" ht="30" customHeight="1">
      <x:c r="C467" s="64" t="str">
        <x:v>Downside</x:v>
      </x:c>
      <x:c r="D467" s="63"/>
      <x:c r="E467" s="85" t="n">
        <x:v>1</x:v>
      </x:c>
      <x:c r="F467" s="85" t="n">
        <x:v>1</x:v>
      </x:c>
      <x:c r="G467" s="85" t="n">
        <x:v>1</x:v>
      </x:c>
      <x:c r="H467" s="85" t="n">
        <x:v>1</x:v>
      </x:c>
      <x:c r="I467" s="85" t="n">
        <x:v>1</x:v>
      </x:c>
    </x:row>
    <x:row r="468" ht="30" customHeight="1">
      <x:c r="C468" s="64" t="str">
        <x:v>Upside</x:v>
      </x:c>
      <x:c r="D468" s="63"/>
      <x:c r="E468" s="85" t="n">
        <x:v>1</x:v>
      </x:c>
      <x:c r="F468" s="85" t="n">
        <x:v>1</x:v>
      </x:c>
      <x:c r="G468" s="85" t="n">
        <x:v>1</x:v>
      </x:c>
      <x:c r="H468" s="85" t="n">
        <x:v>1</x:v>
      </x:c>
      <x:c r="I468" s="85" t="n">
        <x:v>1</x:v>
      </x:c>
    </x:row>
    <x:row r="469" ht="30" customHeight="1">
      <x:c r="C469" s="64"/>
      <x:c r="D469" s="63"/>
      <x:c r="E469" s="63"/>
      <x:c r="F469" s="63"/>
      <x:c r="G469" s="63"/>
      <x:c r="H469" s="63"/>
      <x:c r="I469" s="63"/>
    </x:row>
    <x:row r="470" ht="30" customHeight="1">
      <x:c r="C470" s="64" t="str">
        <x:v>Eligible capital / modeled book equity — active</x:v>
      </x:c>
      <x:c r="D470" s="63"/>
      <x:c r="E470" s="83" t="n">
        <x:f>IF(COUNT(CHOOSE('Controls'!$E$5,E471,E472,E473))=1,CHOOSE('Controls'!$E$5,E471,E472,E473),NA())</x:f>
        <x:v>0.9</x:v>
      </x:c>
      <x:c r="F470" s="83" t="n">
        <x:f>IF(COUNT(CHOOSE('Controls'!$E$5,F471,F472,F473))=1,CHOOSE('Controls'!$E$5,F471,F472,F473),NA())</x:f>
        <x:v>0.9</x:v>
      </x:c>
      <x:c r="G470" s="83" t="n">
        <x:f>IF(COUNT(CHOOSE('Controls'!$E$5,G471,G472,G473))=1,CHOOSE('Controls'!$E$5,G471,G472,G473),NA())</x:f>
        <x:v>0.9</x:v>
      </x:c>
      <x:c r="H470" s="83" t="n">
        <x:f>IF(COUNT(CHOOSE('Controls'!$E$5,H471,H472,H473))=1,CHOOSE('Controls'!$E$5,H471,H472,H473),NA())</x:f>
        <x:v>0.9</x:v>
      </x:c>
      <x:c r="I470" s="83" t="n">
        <x:f>IF(COUNT(CHOOSE('Controls'!$E$5,I471,I472,I473))=1,CHOOSE('Controls'!$E$5,I471,I472,I473),NA())</x:f>
        <x:v>0.9</x:v>
      </x:c>
    </x:row>
    <x:row r="471" ht="30" customHeight="1">
      <x:c r="C471" s="64" t="str">
        <x:v>Base</x:v>
      </x:c>
      <x:c r="D471" s="63"/>
      <x:c r="E471" s="85" t="n">
        <x:v>0.9</x:v>
      </x:c>
      <x:c r="F471" s="85" t="n">
        <x:v>0.9</x:v>
      </x:c>
      <x:c r="G471" s="85" t="n">
        <x:v>0.9</x:v>
      </x:c>
      <x:c r="H471" s="85" t="n">
        <x:v>0.9</x:v>
      </x:c>
      <x:c r="I471" s="85" t="n">
        <x:v>0.9</x:v>
      </x:c>
    </x:row>
    <x:row r="472" ht="30" customHeight="1">
      <x:c r="C472" s="64" t="str">
        <x:v>Downside</x:v>
      </x:c>
      <x:c r="D472" s="63"/>
      <x:c r="E472" s="85" t="n">
        <x:v>0.9</x:v>
      </x:c>
      <x:c r="F472" s="85" t="n">
        <x:v>0.9</x:v>
      </x:c>
      <x:c r="G472" s="85" t="n">
        <x:v>0.9</x:v>
      </x:c>
      <x:c r="H472" s="85" t="n">
        <x:v>0.9</x:v>
      </x:c>
      <x:c r="I472" s="85" t="n">
        <x:v>0.9</x:v>
      </x:c>
    </x:row>
    <x:row r="473" ht="30" customHeight="1">
      <x:c r="C473" s="64" t="str">
        <x:v>Upside</x:v>
      </x:c>
      <x:c r="D473" s="63"/>
      <x:c r="E473" s="85" t="n">
        <x:v>0.9</x:v>
      </x:c>
      <x:c r="F473" s="85" t="n">
        <x:v>0.9</x:v>
      </x:c>
      <x:c r="G473" s="85" t="n">
        <x:v>0.9</x:v>
      </x:c>
      <x:c r="H473" s="85" t="n">
        <x:v>0.9</x:v>
      </x:c>
      <x:c r="I473" s="85" t="n">
        <x:v>0.9</x:v>
      </x:c>
    </x:row>
    <x:row r="474" ht="30" customHeight="1">
      <x:c r="C474" s="64"/>
      <x:c r="D474" s="63"/>
      <x:c r="E474" s="63"/>
      <x:c r="F474" s="63"/>
      <x:c r="G474" s="63"/>
      <x:c r="H474" s="63"/>
      <x:c r="I474" s="63"/>
    </x:row>
    <x:row r="475" ht="30" customHeight="1">
      <x:c r="C475" s="64" t="str">
        <x:v>Internal capital ratio target — active</x:v>
      </x:c>
      <x:c r="D475" s="63"/>
      <x:c r="E475" s="83" t="n">
        <x:f>IF(COUNT(CHOOSE('Controls'!$E$5,E476,E477,E478))=1,CHOOSE('Controls'!$E$5,E476,E477,E478),NA())</x:f>
        <x:v>0.15</x:v>
      </x:c>
      <x:c r="F475" s="83" t="n">
        <x:f>IF(COUNT(CHOOSE('Controls'!$E$5,F476,F477,F478))=1,CHOOSE('Controls'!$E$5,F476,F477,F478),NA())</x:f>
        <x:v>0.15</x:v>
      </x:c>
      <x:c r="G475" s="83" t="n">
        <x:f>IF(COUNT(CHOOSE('Controls'!$E$5,G476,G477,G478))=1,CHOOSE('Controls'!$E$5,G476,G477,G478),NA())</x:f>
        <x:v>0.15</x:v>
      </x:c>
      <x:c r="H475" s="83" t="n">
        <x:f>IF(COUNT(CHOOSE('Controls'!$E$5,H476,H477,H478))=1,CHOOSE('Controls'!$E$5,H476,H477,H478),NA())</x:f>
        <x:v>0.15</x:v>
      </x:c>
      <x:c r="I475" s="83" t="n">
        <x:f>IF(COUNT(CHOOSE('Controls'!$E$5,I476,I477,I478))=1,CHOOSE('Controls'!$E$5,I476,I477,I478),NA())</x:f>
        <x:v>0.15</x:v>
      </x:c>
    </x:row>
    <x:row r="476" ht="30" customHeight="1">
      <x:c r="C476" s="64" t="str">
        <x:v>Base</x:v>
      </x:c>
      <x:c r="D476" s="63"/>
      <x:c r="E476" s="85" t="n">
        <x:v>0.15</x:v>
      </x:c>
      <x:c r="F476" s="85" t="n">
        <x:v>0.15</x:v>
      </x:c>
      <x:c r="G476" s="85" t="n">
        <x:v>0.15</x:v>
      </x:c>
      <x:c r="H476" s="85" t="n">
        <x:v>0.15</x:v>
      </x:c>
      <x:c r="I476" s="85" t="n">
        <x:v>0.15</x:v>
      </x:c>
    </x:row>
    <x:row r="477" ht="30" customHeight="1">
      <x:c r="C477" s="64" t="str">
        <x:v>Downside</x:v>
      </x:c>
      <x:c r="D477" s="63"/>
      <x:c r="E477" s="85" t="n">
        <x:v>0.15</x:v>
      </x:c>
      <x:c r="F477" s="85" t="n">
        <x:v>0.15</x:v>
      </x:c>
      <x:c r="G477" s="85" t="n">
        <x:v>0.15</x:v>
      </x:c>
      <x:c r="H477" s="85" t="n">
        <x:v>0.15</x:v>
      </x:c>
      <x:c r="I477" s="85" t="n">
        <x:v>0.15</x:v>
      </x:c>
    </x:row>
    <x:row r="478" ht="30" customHeight="1">
      <x:c r="C478" s="64" t="str">
        <x:v>Upside</x:v>
      </x:c>
      <x:c r="D478" s="63"/>
      <x:c r="E478" s="85" t="n">
        <x:v>0.15</x:v>
      </x:c>
      <x:c r="F478" s="85" t="n">
        <x:v>0.15</x:v>
      </x:c>
      <x:c r="G478" s="85" t="n">
        <x:v>0.15</x:v>
      </x:c>
      <x:c r="H478" s="85" t="n">
        <x:v>0.15</x:v>
      </x:c>
      <x:c r="I478" s="85" t="n">
        <x:v>0.15</x:v>
      </x:c>
    </x:row>
    <x:row r="479" ht="30" customHeight="1">
      <x:c r="C479" s="64"/>
      <x:c r="D479" s="63"/>
      <x:c r="E479" s="63"/>
      <x:c r="F479" s="63"/>
      <x:c r="G479" s="63"/>
      <x:c r="H479" s="63"/>
      <x:c r="I479" s="63"/>
    </x:row>
    <x:row r="480" ht="30" customHeight="1">
      <x:c r="C480" s="64"/>
      <x:c r="D480" s="63"/>
      <x:c r="E480" s="63"/>
      <x:c r="F480" s="63"/>
      <x:c r="G480" s="63"/>
      <x:c r="H480" s="63"/>
      <x:c r="I480" s="63"/>
    </x:row>
    <x:row r="481" ht="30" customHeight="1">
      <x:c r="C481" s="64"/>
      <x:c r="D481" s="63"/>
      <x:c r="E481" s="63"/>
      <x:c r="F481" s="63"/>
      <x:c r="G481" s="63"/>
      <x:c r="H481" s="63"/>
      <x:c r="I481" s="63"/>
    </x:row>
    <x:row r="482" ht="30" customHeight="1">
      <x:c r="C482" s="64"/>
      <x:c r="D482" s="63"/>
      <x:c r="E482" s="63"/>
      <x:c r="F482" s="63"/>
      <x:c r="G482" s="63"/>
      <x:c r="H482" s="63"/>
      <x:c r="I482" s="63"/>
    </x:row>
    <x:row r="483" ht="30" customHeight="1">
      <x:c r="C483" s="64"/>
      <x:c r="D483" s="63"/>
      <x:c r="E483" s="63"/>
      <x:c r="F483" s="63"/>
      <x:c r="G483" s="63"/>
      <x:c r="H483" s="63"/>
      <x:c r="I483" s="63"/>
    </x:row>
    <x:row r="484" ht="30" customHeight="1">
      <x:c r="C484" s="64"/>
      <x:c r="D484" s="63"/>
      <x:c r="E484" s="63"/>
      <x:c r="F484" s="63"/>
      <x:c r="G484" s="63"/>
      <x:c r="H484" s="63"/>
      <x:c r="I484" s="63"/>
    </x:row>
    <x:row r="485" ht="30" customHeight="1">
      <x:c r="C485" s="64"/>
      <x:c r="D485" s="63"/>
      <x:c r="E485" s="63"/>
      <x:c r="F485" s="63"/>
      <x:c r="G485" s="63"/>
      <x:c r="H485" s="63"/>
      <x:c r="I485" s="63"/>
    </x:row>
    <x:row r="486" ht="30" customHeight="1">
      <x:c r="C486" s="64"/>
      <x:c r="D486" s="63"/>
      <x:c r="E486" s="63"/>
      <x:c r="F486" s="63"/>
      <x:c r="G486" s="63"/>
      <x:c r="H486" s="63"/>
      <x:c r="I486" s="63"/>
    </x:row>
    <x:row r="487" ht="30" customHeight="1">
      <x:c r="C487" s="64"/>
      <x:c r="D487" s="63"/>
      <x:c r="E487" s="63"/>
      <x:c r="F487" s="63"/>
      <x:c r="G487" s="63"/>
      <x:c r="H487" s="63"/>
      <x:c r="I487" s="63"/>
    </x:row>
    <x:row r="488" ht="30" customHeight="1">
      <x:c r="C488" s="64"/>
      <x:c r="D488" s="63"/>
      <x:c r="E488" s="63"/>
      <x:c r="F488" s="63"/>
      <x:c r="G488" s="63"/>
      <x:c r="H488" s="63"/>
      <x:c r="I488" s="63"/>
    </x:row>
    <x:row r="489" ht="30" customHeight="1">
      <x:c r="C489" s="64"/>
      <x:c r="D489" s="63"/>
      <x:c r="E489" s="63"/>
      <x:c r="F489" s="63"/>
      <x:c r="G489" s="63"/>
      <x:c r="H489" s="63"/>
      <x:c r="I489" s="63"/>
    </x:row>
    <x:row r="490" ht="30" customHeight="1">
      <x:c r="C490" s="64"/>
      <x:c r="D490" s="63"/>
      <x:c r="E490" s="63"/>
      <x:c r="F490" s="63"/>
      <x:c r="G490" s="63"/>
      <x:c r="H490" s="63"/>
      <x:c r="I490" s="63"/>
    </x:row>
    <x:row r="491" ht="30" customHeight="1">
      <x:c r="C491" s="64"/>
      <x:c r="D491" s="63"/>
      <x:c r="E491" s="63"/>
      <x:c r="F491" s="63"/>
      <x:c r="G491" s="63"/>
      <x:c r="H491" s="63"/>
      <x:c r="I491" s="63"/>
    </x:row>
    <x:row r="492" ht="30" customHeight="1">
      <x:c r="C492" s="64"/>
      <x:c r="D492" s="63"/>
      <x:c r="E492" s="63"/>
      <x:c r="F492" s="63"/>
      <x:c r="G492" s="63"/>
      <x:c r="H492" s="63"/>
      <x:c r="I492" s="63"/>
    </x:row>
    <x:row r="493" ht="30" customHeight="1">
      <x:c r="C493" s="64"/>
      <x:c r="D493" s="63"/>
      <x:c r="E493" s="63"/>
      <x:c r="F493" s="63"/>
      <x:c r="G493" s="63"/>
      <x:c r="H493" s="63"/>
      <x:c r="I493" s="63"/>
    </x:row>
    <x:row r="494" ht="30" customHeight="1">
      <x:c r="C494" s="64"/>
      <x:c r="D494" s="63"/>
      <x:c r="E494" s="63"/>
      <x:c r="F494" s="63"/>
      <x:c r="G494" s="63"/>
      <x:c r="H494" s="63"/>
      <x:c r="I494" s="63"/>
    </x:row>
    <x:row r="495" ht="30" customHeight="1">
      <x:c r="C495" s="64"/>
      <x:c r="D495" s="63"/>
      <x:c r="E495" s="63"/>
      <x:c r="F495" s="63"/>
      <x:c r="G495" s="63"/>
      <x:c r="H495" s="63"/>
      <x:c r="I495" s="63"/>
    </x:row>
    <x:row r="496" ht="30" customHeight="1">
      <x:c r="C496" s="64"/>
      <x:c r="D496" s="63"/>
      <x:c r="E496" s="63"/>
      <x:c r="F496" s="63"/>
      <x:c r="G496" s="63"/>
      <x:c r="H496" s="63"/>
      <x:c r="I496" s="63"/>
    </x:row>
    <x:row r="497" ht="30" customHeight="1">
      <x:c r="C497" s="64"/>
      <x:c r="D497" s="63"/>
      <x:c r="E497" s="63"/>
      <x:c r="F497" s="63"/>
      <x:c r="G497" s="63"/>
      <x:c r="H497" s="63"/>
      <x:c r="I497" s="63"/>
    </x:row>
    <x:row r="498" ht="30" customHeight="1">
      <x:c r="C498" s="64"/>
      <x:c r="D498" s="63"/>
      <x:c r="E498" s="63"/>
      <x:c r="F498" s="63"/>
      <x:c r="G498" s="63"/>
      <x:c r="H498" s="63"/>
      <x:c r="I498" s="63"/>
    </x:row>
    <x:row r="499" ht="30" customHeight="1">
      <x:c r="C499" s="64"/>
      <x:c r="D499" s="63"/>
      <x:c r="E499" s="63"/>
      <x:c r="F499" s="63"/>
      <x:c r="G499" s="63"/>
      <x:c r="H499" s="63"/>
      <x:c r="I499" s="63"/>
    </x:row>
    <x:row r="500" ht="30" customHeight="1">
      <x:c r="C500" s="64"/>
      <x:c r="D500" s="63"/>
      <x:c r="E500" s="63"/>
      <x:c r="F500" s="63"/>
      <x:c r="G500" s="63"/>
      <x:c r="H500" s="63"/>
      <x:c r="I500" s="63"/>
    </x:row>
    <x:row r="501" ht="30" customHeight="1">
      <x:c r="C501" s="64"/>
      <x:c r="D501" s="63"/>
      <x:c r="E501" s="63"/>
      <x:c r="F501" s="63"/>
      <x:c r="G501" s="63"/>
      <x:c r="H501" s="63"/>
      <x:c r="I501" s="63"/>
    </x:row>
    <x:row r="502" ht="30" customHeight="1">
      <x:c r="C502" s="64"/>
      <x:c r="D502" s="63"/>
      <x:c r="E502" s="63"/>
      <x:c r="F502" s="63"/>
      <x:c r="G502" s="63"/>
      <x:c r="H502" s="63"/>
      <x:c r="I502" s="63"/>
    </x:row>
    <x:row r="503" ht="30" customHeight="1">
      <x:c r="C503" s="64"/>
      <x:c r="D503" s="63"/>
      <x:c r="E503" s="63"/>
      <x:c r="F503" s="63"/>
      <x:c r="G503" s="63"/>
      <x:c r="H503" s="63"/>
      <x:c r="I503" s="63"/>
    </x:row>
    <x:row r="504" ht="30" customHeight="1">
      <x:c r="C504" s="64"/>
      <x:c r="D504" s="63"/>
      <x:c r="E504" s="63"/>
      <x:c r="F504" s="63"/>
      <x:c r="G504" s="63"/>
      <x:c r="H504" s="63"/>
      <x:c r="I504" s="63"/>
    </x:row>
    <x:row r="505" ht="30" customHeight="1">
      <x:c r="C505" s="64"/>
      <x:c r="D505" s="63"/>
      <x:c r="E505" s="63"/>
      <x:c r="F505" s="63"/>
      <x:c r="G505" s="63"/>
      <x:c r="H505" s="63"/>
      <x:c r="I505" s="63"/>
    </x:row>
    <x:row r="506" ht="30" customHeight="1">
      <x:c r="C506" s="64"/>
      <x:c r="D506" s="63"/>
      <x:c r="E506" s="63"/>
      <x:c r="F506" s="63"/>
      <x:c r="G506" s="63"/>
      <x:c r="H506" s="63"/>
      <x:c r="I506" s="63"/>
    </x:row>
    <x:row r="507" ht="30" customHeight="1">
      <x:c r="C507" s="64"/>
      <x:c r="D507" s="63"/>
      <x:c r="E507" s="63"/>
      <x:c r="F507" s="63"/>
      <x:c r="G507" s="63"/>
      <x:c r="H507" s="63"/>
      <x:c r="I507" s="63"/>
    </x:row>
    <x:row r="508" ht="30" customHeight="1">
      <x:c r="C508" s="64"/>
      <x:c r="D508" s="63"/>
      <x:c r="E508" s="63"/>
      <x:c r="F508" s="63"/>
      <x:c r="G508" s="63"/>
      <x:c r="H508" s="63"/>
      <x:c r="I508" s="63"/>
    </x:row>
    <x:row r="509" ht="30" customHeight="1">
      <x:c r="C509" s="64"/>
      <x:c r="D509" s="63"/>
      <x:c r="E509" s="63"/>
      <x:c r="F509" s="63"/>
      <x:c r="G509" s="63"/>
      <x:c r="H509" s="63"/>
      <x:c r="I509" s="63"/>
    </x:row>
    <x:row r="510" ht="30" customHeight="1">
      <x:c r="C510" s="64"/>
      <x:c r="D510" s="63"/>
      <x:c r="E510" s="63"/>
      <x:c r="F510" s="63"/>
      <x:c r="G510" s="63"/>
      <x:c r="H510" s="63"/>
      <x:c r="I510" s="63"/>
    </x:row>
  </x:sheetData>
  <x:mergeCells>
    <x:mergeCell ref="M2:U2"/>
    <x:mergeCell ref="M9:U9"/>
    <x:mergeCell ref="M10:U10"/>
    <x:mergeCell ref="M30:U30"/>
    <x:mergeCell ref="M43:U44"/>
  </x:mergeCells>
  <x:conditionalFormatting sqref="E89:I89">
    <x:cfRule type="expression" dxfId="64" priority="1">
      <x:formula>ABS(E89)&gt;0.01</x:formula>
    </x:cfRule>
  </x:conditionalFormatting>
  <x:conditionalFormatting sqref="E90:I90">
    <x:cfRule type="expression" dxfId="65" priority="2">
      <x:formula>ABS(E90)&gt;0.01</x:formula>
    </x:cfRule>
  </x:conditionalFormatting>
  <x:conditionalFormatting sqref="E91:I91">
    <x:cfRule type="expression" dxfId="66" priority="3">
      <x:formula>ABS(E91)&gt;0.01</x:formula>
    </x:cfRule>
  </x:conditionalFormatting>
  <x:conditionalFormatting sqref="E92:I92">
    <x:cfRule type="expression" dxfId="67" priority="4">
      <x:formula>ABS(E92)&gt;0.01</x:formula>
    </x:cfRule>
  </x:conditionalFormatting>
  <x:conditionalFormatting sqref="E180:I207">
    <x:cfRule type="cellIs" dxfId="89" priority="5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d93801a85ea148cf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88" hidden="0" customWidth="1"/>
    <x:col min="13" max="13" width="3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45" hidden="0" customWidth="1"/>
  </x:cols>
  <x:sheetData>
    <x:row r="1" ht="18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  <x:c r="K1" s="1"/>
    </x:row>
    <x:row r="2" ht="32" customHeight="1">
      <x:c r="A2" s="1"/>
      <x:c r="B2" s="1"/>
      <x:c r="C2" s="3" t="str">
        <x:v>General Insurance</x:v>
      </x:c>
      <x:c r="D2" s="2"/>
      <x:c r="E2" s="2"/>
      <x:c r="F2" s="2"/>
      <x:c r="G2" s="2"/>
      <x:c r="H2" s="2"/>
      <x:c r="I2" s="2"/>
      <x:c r="J2" s="1"/>
      <x:c r="K2" s="1"/>
      <x:c r="M2" s="86" t="str">
        <x:v>General Insurance | Client summary</x:v>
      </x:c>
      <x:c r="N2" s="86"/>
      <x:c r="O2" s="86"/>
      <x:c r="P2" s="86"/>
      <x:c r="Q2" s="86"/>
      <x:c r="R2" s="86"/>
      <x:c r="S2" s="86"/>
      <x:c r="T2" s="86"/>
      <x:c r="U2" s="86"/>
      <x:c r="V2" s="63"/>
      <x:c r="X2" t="str">
        <x:v>Forecast year</x:v>
      </x:c>
      <x:c r="Y2" t="str">
        <x:v>Income</x:v>
      </x:c>
      <x:c r="Z2" t="str">
        <x:v>Profit after tax</x:v>
      </x:c>
    </x:row>
    <x:row r="3" ht="18" customHeight="1">
      <x:c r="A3" s="1"/>
      <x:c r="B3" s="1"/>
      <x:c r="C3" s="4"/>
      <x:c r="D3" s="5"/>
      <x:c r="E3" s="5"/>
      <x:c r="F3" s="5"/>
      <x:c r="G3" s="5"/>
      <x:c r="H3" s="5"/>
      <x:c r="I3" s="5"/>
      <x:c r="J3" s="1"/>
      <x:c r="K3" s="1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X3" t="n">
        <x:f>'Controls'!$E$17+0</x:f>
        <x:v>2027</x:v>
      </x:c>
      <x:c r="Y3" t="n">
        <x:f>E36</x:f>
        <x:v>7620.000000000001</x:v>
      </x:c>
      <x:c r="Z3" t="n">
        <x:f>E43</x:f>
        <x:v>535.5</x:v>
      </x:c>
    </x:row>
    <x:row r="4" ht="18" customHeight="1">
      <x:c r="A4" s="1"/>
      <x:c r="B4" s="1"/>
      <x:c r="C4" s="1" t="str">
        <x:v>Illustrative assumptions. Financial amounts in INR crore.</x:v>
      </x:c>
      <x:c r="D4" s="2"/>
      <x:c r="E4" s="2"/>
      <x:c r="F4" s="2"/>
      <x:c r="G4" s="2"/>
      <x:c r="H4" s="2"/>
      <x:c r="I4" s="2"/>
      <x:c r="J4" s="1"/>
      <x:c r="K4" s="1"/>
      <x:c r="M4" s="63" t="str">
        <x:v>Company / model name</x:v>
      </x:c>
      <x:c r="N4" s="63" t="str">
        <x:v>Illustrative company</x:v>
      </x:c>
      <x:c r="O4" s="63"/>
      <x:c r="P4" s="63"/>
      <x:c r="Q4" s="63"/>
      <x:c r="R4" s="63"/>
      <x:c r="S4" s="63"/>
      <x:c r="T4" s="63"/>
      <x:c r="U4" s="63"/>
      <x:c r="V4" s="63"/>
      <x:c r="X4" t="n">
        <x:f>'Controls'!$E$17+1</x:f>
        <x:v>2028</x:v>
      </x:c>
      <x:c r="Y4" t="n">
        <x:f>F36</x:f>
        <x:v>8954.400000000001</x:v>
      </x:c>
      <x:c r="Z4" t="n">
        <x:f>F43</x:f>
        <x:v>707.6674687499997</x:v>
      </x:c>
    </x:row>
    <x:row r="5" ht="18" customHeight="1">
      <x:c r="A5" s="1"/>
      <x:c r="B5" s="1"/>
      <x:c r="C5" s="1" t="str">
        <x:v>Selected case</x:v>
      </x:c>
      <x:c r="D5" s="2"/>
      <x:c r="E5" s="10" t="str">
        <x:f>'Controls'!E6</x:f>
        <x:v>Base</x:v>
      </x:c>
      <x:c r="F5" s="2"/>
      <x:c r="G5" s="2"/>
      <x:c r="H5" s="2"/>
      <x:c r="I5" s="2"/>
      <x:c r="J5" s="1"/>
      <x:c r="K5" s="1"/>
      <x:c r="M5" s="63" t="str">
        <x:v>Valuation date</x:v>
      </x:c>
      <x:c r="N5" s="87" t="n">
        <x:f>'Controls'!E18</x:f>
        <x:v>46112</x:v>
      </x:c>
      <x:c r="O5" s="63"/>
      <x:c r="P5" s="63"/>
      <x:c r="Q5" s="63"/>
      <x:c r="R5" s="63"/>
      <x:c r="S5" s="63"/>
      <x:c r="T5" s="63"/>
      <x:c r="U5" s="63"/>
      <x:c r="V5" s="63"/>
      <x:c r="X5" t="n">
        <x:f>'Controls'!$E$17+2</x:f>
        <x:v>2029</x:v>
      </x:c>
      <x:c r="Y5" t="n">
        <x:f>G36</x:f>
        <x:v>10028.928000000004</x:v>
      </x:c>
      <x:c r="Z5" t="n">
        <x:f>G43</x:f>
        <x:v>790.898650576172</x:v>
      </x:c>
    </x:row>
    <x:row r="6" ht="18" customHeight="1">
      <x:c r="A6" s="1"/>
      <x:c r="B6" s="1"/>
      <x:c r="C6" s="1"/>
      <x:c r="D6" s="2"/>
      <x:c r="E6" s="2"/>
      <x:c r="F6" s="2"/>
      <x:c r="G6" s="2"/>
      <x:c r="H6" s="2"/>
      <x:c r="I6" s="2"/>
      <x:c r="J6" s="1"/>
      <x:c r="K6" s="1"/>
      <x:c r="M6" s="63" t="str">
        <x:v>Selected case</x:v>
      </x:c>
      <x:c r="N6" s="63" t="str">
        <x:f>'Controls'!E6</x:f>
        <x:v>Base</x:v>
      </x:c>
      <x:c r="O6" s="63"/>
      <x:c r="P6" s="63"/>
      <x:c r="Q6" s="63"/>
      <x:c r="R6" s="63"/>
      <x:c r="S6" s="63"/>
      <x:c r="T6" s="63"/>
      <x:c r="U6" s="63"/>
      <x:c r="V6" s="63"/>
      <x:c r="X6" t="n">
        <x:f>'Controls'!$E$17+3</x:f>
        <x:v>2030</x:v>
      </x:c>
      <x:c r="Y6" t="n">
        <x:f>H36</x:f>
        <x:v>11232.399360000005</x:v>
      </x:c>
      <x:c r="Z6" t="n">
        <x:f>H43</x:f>
        <x:v>884.0558232878632</x:v>
      </x:c>
    </x:row>
    <x:row r="7" ht="18" customHeight="1">
      <x:c r="A7" s="1"/>
      <x:c r="B7" s="1"/>
      <x:c r="C7" s="15" t="str">
        <x:v>Metric</x:v>
      </x:c>
      <x:c r="D7" s="16" t="str">
        <x:v>Opening / seed</x:v>
      </x:c>
      <x:c r="E7" s="65" t="n">
        <x:f>'Controls'!$E$17+0</x:f>
        <x:v>2027</x:v>
      </x:c>
      <x:c r="F7" s="65" t="n">
        <x:f>'Controls'!$E$17+1</x:f>
        <x:v>2028</x:v>
      </x:c>
      <x:c r="G7" s="65" t="n">
        <x:f>'Controls'!$E$17+2</x:f>
        <x:v>2029</x:v>
      </x:c>
      <x:c r="H7" s="65" t="n">
        <x:f>'Controls'!$E$17+3</x:f>
        <x:v>2030</x:v>
      </x:c>
      <x:c r="I7" s="65" t="n">
        <x:f>'Controls'!$E$17+4</x:f>
        <x:v>2031</x:v>
      </x:c>
      <x:c r="J7" s="1"/>
      <x:c r="K7" s="1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X7" t="n">
        <x:f>'Controls'!$E$17+4</x:f>
        <x:v>2031</x:v>
      </x:c>
      <x:c r="Y7" t="n">
        <x:f>I36</x:f>
        <x:v>12580.287283200007</x:v>
      </x:c>
      <x:c r="Z7" t="n">
        <x:f>I43</x:f>
        <x:v>988.3278480228257</x:v>
      </x:c>
    </x:row>
    <x:row r="8" ht="18" customHeight="1">
      <x:c r="A8" s="1"/>
      <x:c r="B8" s="1"/>
      <x:c r="C8" s="1"/>
      <x:c r="D8" s="2"/>
      <x:c r="E8" s="2"/>
      <x:c r="F8" s="2"/>
      <x:c r="G8" s="2"/>
      <x:c r="H8" s="2"/>
      <x:c r="I8" s="2"/>
      <x:c r="J8" s="1"/>
      <x:c r="K8" s="1"/>
      <x:c r="M8" s="63" t="str">
        <x:v>Equity value (INR crore)</x:v>
      </x:c>
      <x:c r="N8" s="8" t="n">
        <x:f>E58</x:f>
        <x:v>14214.802631578947</x:v>
      </x:c>
      <x:c r="O8" s="63"/>
      <x:c r="P8" s="63"/>
      <x:c r="Q8" s="63"/>
      <x:c r="R8" s="63"/>
      <x:c r="S8" s="63"/>
      <x:c r="T8" s="63"/>
      <x:c r="U8" s="63"/>
      <x:c r="V8" s="63"/>
    </x:row>
    <x:row r="9" ht="18" customHeight="1">
      <x:c r="A9" s="1"/>
      <x:c r="B9" s="1"/>
      <x:c r="C9" s="19" t="str">
        <x:v>PREMIUM, CLAIMS AND RESERVE ASSUMPTIONS</x:v>
      </x:c>
      <x:c r="D9" s="20"/>
      <x:c r="E9" s="20"/>
      <x:c r="F9" s="20"/>
      <x:c r="G9" s="20"/>
      <x:c r="H9" s="20"/>
      <x:c r="I9" s="20"/>
      <x:c r="J9" s="1"/>
      <x:c r="K9" s="1"/>
      <x:c r="M9" s="63" t="str">
        <x:f>IF(MAX(E60,F60,G60,H60,I60,E61,F61,G61,H61,I61,E62,F62,G62,H62,I62,E180:I195)&gt;0.01,"ATTENTION: model checks contain exceptions",IF(MIN(E60,F60,G60,H60,I60,E61,F61,G61,H61,I61,E62,F62,G62,H62,I62,E180:I195)&lt;-0.01,"ATTENTION: model checks contain exceptions","Model checks clear; review company assumptions"))</x:f>
        <x:v>Model checks clear; review company assumptions</x:v>
      </x:c>
      <x:c r="N9" s="63"/>
      <x:c r="O9" s="63"/>
      <x:c r="P9" s="63"/>
      <x:c r="Q9" s="63"/>
      <x:c r="R9" s="63"/>
      <x:c r="S9" s="63"/>
      <x:c r="T9" s="63"/>
      <x:c r="U9" s="63"/>
      <x:c r="V9" s="63"/>
    </x:row>
    <x:row r="10" ht="18" customHeight="1">
      <x:c r="A10" s="1"/>
      <x:c r="B10" s="1"/>
      <x:c r="C10" s="1" t="str">
        <x:v>Gross written premium — seed</x:v>
      </x:c>
      <x:c r="D10" s="7" t="n">
        <x:v>10000</x:v>
      </x:c>
      <x:c r="E10" s="2"/>
      <x:c r="F10" s="2"/>
      <x:c r="G10" s="2"/>
      <x:c r="H10" s="2"/>
      <x:c r="I10" s="2"/>
      <x:c r="J10" s="1"/>
      <x:c r="K10" s="1" t="str">
        <x:v>All amber inputs are illustrative. General insurance only; not a life insurance embedded-value model.</x:v>
      </x:c>
      <x:c r="M10" s="63" t="str">
        <x:v>Illustrative inputs; replace with company evidence.</x:v>
      </x:c>
      <x:c r="N10" s="63"/>
      <x:c r="O10" s="63"/>
      <x:c r="P10" s="63"/>
      <x:c r="Q10" s="63"/>
      <x:c r="R10" s="63"/>
      <x:c r="S10" s="63"/>
      <x:c r="T10" s="63"/>
      <x:c r="U10" s="63"/>
      <x:c r="V10" s="63"/>
    </x:row>
    <x:row r="11" ht="18" customHeight="1">
      <x:c r="A11" s="1"/>
      <x:c r="B11" s="1"/>
      <x:c r="C11" s="1" t="str">
        <x:v>Opening unearned premium reserve</x:v>
      </x:c>
      <x:c r="D11" s="7" t="n">
        <x:v>3000</x:v>
      </x:c>
      <x:c r="E11" s="2"/>
      <x:c r="F11" s="2"/>
      <x:c r="G11" s="2"/>
      <x:c r="H11" s="2"/>
      <x:c r="I11" s="2"/>
      <x:c r="J11" s="1"/>
      <x:c r="K11" s="1" t="str">
        <x:v>Assumes immediate premium collection, liquid invested assets, no fair-value changes and no fixed assets.</x:v>
      </x:c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</x:row>
    <x:row r="12" ht="18" customHeight="1">
      <x:c r="A12" s="1"/>
      <x:c r="B12" s="1"/>
      <x:c r="C12" s="1" t="str">
        <x:v>Opening outstanding claims reserve</x:v>
      </x:c>
      <x:c r="D12" s="7" t="n">
        <x:v>4000</x:v>
      </x:c>
      <x:c r="E12" s="2"/>
      <x:c r="F12" s="2"/>
      <x:c r="G12" s="2"/>
      <x:c r="H12" s="2"/>
      <x:c r="I12" s="2"/>
      <x:c r="J12" s="1"/>
      <x:c r="K12" s="1" t="str">
        <x:v>Solvency is intentionally not inferred from book equity. Populate actual ASM and RSM in a regulatory extension.</x:v>
      </x:c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</x:row>
    <x:row r="13" ht="18" customHeight="1">
      <x:c r="A13" s="1"/>
      <x:c r="B13" s="1"/>
      <x:c r="C13" s="1" t="str">
        <x:v>Opening equity</x:v>
      </x:c>
      <x:c r="D13" s="7" t="n">
        <x:v>5000</x:v>
      </x:c>
      <x:c r="E13" s="2"/>
      <x:c r="F13" s="2"/>
      <x:c r="G13" s="2"/>
      <x:c r="H13" s="2"/>
      <x:c r="I13" s="2"/>
      <x:c r="J13" s="1"/>
      <x:c r="K13" s="1"/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</x:row>
    <x:row r="14" ht="18" customHeight="1">
      <x:c r="A14" s="1"/>
      <x:c r="B14" s="1"/>
      <x:c r="C14" s="1" t="str">
        <x:v>Diluted shares (crore)</x:v>
      </x:c>
      <x:c r="D14" s="7" t="n">
        <x:v>100</x:v>
      </x:c>
      <x:c r="E14" s="2"/>
      <x:c r="F14" s="2"/>
      <x:c r="G14" s="2"/>
      <x:c r="H14" s="2"/>
      <x:c r="I14" s="2"/>
      <x:c r="J14" s="1"/>
      <x:c r="K14" s="1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</x:row>
    <x:row r="15" ht="18" customHeight="1">
      <x:c r="A15" s="1"/>
      <x:c r="B15" s="1"/>
      <x:c r="C15" s="1" t="str">
        <x:v>Forward price / book</x:v>
      </x:c>
      <x:c r="D15" s="55" t="n">
        <x:v>3</x:v>
      </x:c>
      <x:c r="E15" s="2"/>
      <x:c r="F15" s="2"/>
      <x:c r="G15" s="2"/>
      <x:c r="H15" s="2"/>
      <x:c r="I15" s="2"/>
      <x:c r="J15" s="1"/>
      <x:c r="K15" s="1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</x:row>
    <x:row r="16" ht="18" customHeight="1">
      <x:c r="A16" s="1"/>
      <x:c r="B16" s="1"/>
      <x:c r="C16" s="1" t="str">
        <x:v>Cost of equity</x:v>
      </x:c>
      <x:c r="D16" s="25" t="n">
        <x:v>0.14</x:v>
      </x:c>
      <x:c r="E16" s="2"/>
      <x:c r="F16" s="2"/>
      <x:c r="G16" s="2"/>
      <x:c r="H16" s="2"/>
      <x:c r="I16" s="2"/>
      <x:c r="J16" s="1"/>
      <x:c r="K16" s="1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</x:row>
    <x:row r="17" ht="18" customHeight="1">
      <x:c r="A17" s="1"/>
      <x:c r="B17" s="1"/>
      <x:c r="C17" s="28" t="str">
        <x:v>Gross written premium growth — active</x:v>
      </x:c>
      <x:c r="D17" s="29"/>
      <x:c r="E17" s="30" t="n">
        <x:f>IF(COUNT(INDEX(E18:E20,'Controls'!$E$5))=0,NA(),INDEX(E18:E20,'Controls'!$E$5))</x:f>
        <x:v>0.12</x:v>
      </x:c>
      <x:c r="F17" s="30" t="n">
        <x:f>IF(COUNT(INDEX(F18:F20,'Controls'!$E$5))=0,NA(),INDEX(F18:F20,'Controls'!$E$5))</x:f>
        <x:v>0.12</x:v>
      </x:c>
      <x:c r="G17" s="30" t="n">
        <x:f>IF(COUNT(INDEX(G18:G20,'Controls'!$E$5))=0,NA(),INDEX(G18:G20,'Controls'!$E$5))</x:f>
        <x:v>0.12</x:v>
      </x:c>
      <x:c r="H17" s="30" t="n">
        <x:f>IF(COUNT(INDEX(H18:H20,'Controls'!$E$5))=0,NA(),INDEX(H18:H20,'Controls'!$E$5))</x:f>
        <x:v>0.12</x:v>
      </x:c>
      <x:c r="I17" s="30" t="n">
        <x:f>IF(COUNT(INDEX(I18:I20,'Controls'!$E$5))=0,NA(),INDEX(I18:I20,'Controls'!$E$5))</x:f>
        <x:v>0.12</x:v>
      </x:c>
      <x:c r="J17" s="1"/>
      <x:c r="K17" s="1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</x:row>
    <x:row r="18" ht="18" customHeight="1">
      <x:c r="A18" s="1"/>
      <x:c r="B18" s="1"/>
      <x:c r="C18" s="23" t="str">
        <x:v>Base</x:v>
      </x:c>
      <x:c r="D18" s="24"/>
      <x:c r="E18" s="26" t="n">
        <x:v>0.12</x:v>
      </x:c>
      <x:c r="F18" s="26" t="n">
        <x:v>0.12</x:v>
      </x:c>
      <x:c r="G18" s="26" t="n">
        <x:v>0.12</x:v>
      </x:c>
      <x:c r="H18" s="26" t="n">
        <x:v>0.12</x:v>
      </x:c>
      <x:c r="I18" s="26" t="n">
        <x:v>0.12</x:v>
      </x:c>
      <x:c r="J18" s="1"/>
      <x:c r="K18" s="1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</x:row>
    <x:row r="19" ht="18" customHeight="1">
      <x:c r="A19" s="1"/>
      <x:c r="B19" s="1"/>
      <x:c r="C19" s="23" t="str">
        <x:v>Downside</x:v>
      </x:c>
      <x:c r="D19" s="24"/>
      <x:c r="E19" s="26" t="n">
        <x:v>0.06</x:v>
      </x:c>
      <x:c r="F19" s="26" t="n">
        <x:v>0.06</x:v>
      </x:c>
      <x:c r="G19" s="26" t="n">
        <x:v>0.06</x:v>
      </x:c>
      <x:c r="H19" s="26" t="n">
        <x:v>0.06</x:v>
      </x:c>
      <x:c r="I19" s="26" t="n">
        <x:v>0.06</x:v>
      </x:c>
      <x:c r="J19" s="1"/>
      <x:c r="K19" s="1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</x:row>
    <x:row r="20" ht="18" customHeight="1">
      <x:c r="A20" s="1"/>
      <x:c r="B20" s="1"/>
      <x:c r="C20" s="23" t="str">
        <x:v>Upside</x:v>
      </x:c>
      <x:c r="D20" s="24"/>
      <x:c r="E20" s="26" t="n">
        <x:v>0.17</x:v>
      </x:c>
      <x:c r="F20" s="26" t="n">
        <x:v>0.17</x:v>
      </x:c>
      <x:c r="G20" s="26" t="n">
        <x:v>0.17</x:v>
      </x:c>
      <x:c r="H20" s="26" t="n">
        <x:v>0.17</x:v>
      </x:c>
      <x:c r="I20" s="26" t="n">
        <x:v>0.17</x:v>
      </x:c>
      <x:c r="J20" s="1"/>
      <x:c r="K20" s="1"/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</x:row>
    <x:row r="21" ht="30" customHeight="1">
      <x:c r="A21" s="1"/>
      <x:c r="B21" s="1"/>
      <x:c r="C21" s="58" t="str">
        <x:v>Incurred claims / net earned premium — active</x:v>
      </x:c>
      <x:c r="D21" s="29"/>
      <x:c r="E21" s="30" t="n">
        <x:f>IF(COUNT(INDEX(E22:E24,'Controls'!$E$5))=0,NA(),INDEX(E22:E24,'Controls'!$E$5))</x:f>
        <x:v>0.7</x:v>
      </x:c>
      <x:c r="F21" s="30" t="n">
        <x:f>IF(COUNT(INDEX(F22:F24,'Controls'!$E$5))=0,NA(),INDEX(F22:F24,'Controls'!$E$5))</x:f>
        <x:v>0.7</x:v>
      </x:c>
      <x:c r="G21" s="30" t="n">
        <x:f>IF(COUNT(INDEX(G22:G24,'Controls'!$E$5))=0,NA(),INDEX(G22:G24,'Controls'!$E$5))</x:f>
        <x:v>0.7</x:v>
      </x:c>
      <x:c r="H21" s="30" t="n">
        <x:f>IF(COUNT(INDEX(H22:H24,'Controls'!$E$5))=0,NA(),INDEX(H22:H24,'Controls'!$E$5))</x:f>
        <x:v>0.7</x:v>
      </x:c>
      <x:c r="I21" s="30" t="n">
        <x:f>IF(COUNT(INDEX(I22:I24,'Controls'!$E$5))=0,NA(),INDEX(I22:I24,'Controls'!$E$5))</x:f>
        <x:v>0.7</x:v>
      </x:c>
      <x:c r="J21" s="1"/>
      <x:c r="K21" s="1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</x:row>
    <x:row r="22" ht="18" customHeight="1">
      <x:c r="A22" s="1"/>
      <x:c r="B22" s="1"/>
      <x:c r="C22" s="23" t="str">
        <x:v>Base</x:v>
      </x:c>
      <x:c r="D22" s="24"/>
      <x:c r="E22" s="26" t="n">
        <x:v>0.7</x:v>
      </x:c>
      <x:c r="F22" s="26" t="n">
        <x:v>0.7</x:v>
      </x:c>
      <x:c r="G22" s="26" t="n">
        <x:v>0.7</x:v>
      </x:c>
      <x:c r="H22" s="26" t="n">
        <x:v>0.7</x:v>
      </x:c>
      <x:c r="I22" s="26" t="n">
        <x:v>0.7</x:v>
      </x:c>
      <x:c r="J22" s="1"/>
      <x:c r="K22" s="1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</x:row>
    <x:row r="23" ht="18" customHeight="1">
      <x:c r="A23" s="1"/>
      <x:c r="B23" s="1"/>
      <x:c r="C23" s="23" t="str">
        <x:v>Downside</x:v>
      </x:c>
      <x:c r="D23" s="24"/>
      <x:c r="E23" s="26" t="n">
        <x:v>0.78</x:v>
      </x:c>
      <x:c r="F23" s="26" t="n">
        <x:v>0.78</x:v>
      </x:c>
      <x:c r="G23" s="26" t="n">
        <x:v>0.78</x:v>
      </x:c>
      <x:c r="H23" s="26" t="n">
        <x:v>0.78</x:v>
      </x:c>
      <x:c r="I23" s="26" t="n">
        <x:v>0.78</x:v>
      </x:c>
      <x:c r="J23" s="1"/>
      <x:c r="K23" s="1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</x:row>
    <x:row r="24" ht="18" customHeight="1">
      <x:c r="A24" s="1"/>
      <x:c r="B24" s="1"/>
      <x:c r="C24" s="23" t="str">
        <x:v>Upside</x:v>
      </x:c>
      <x:c r="D24" s="24"/>
      <x:c r="E24" s="26" t="n">
        <x:v>0.66</x:v>
      </x:c>
      <x:c r="F24" s="26" t="n">
        <x:v>0.66</x:v>
      </x:c>
      <x:c r="G24" s="26" t="n">
        <x:v>0.66</x:v>
      </x:c>
      <x:c r="H24" s="26" t="n">
        <x:v>0.66</x:v>
      </x:c>
      <x:c r="I24" s="26" t="n">
        <x:v>0.66</x:v>
      </x:c>
      <x:c r="J24" s="1"/>
      <x:c r="K24" s="1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</x:row>
    <x:row r="25" ht="18" customHeight="1">
      <x:c r="A25" s="1"/>
      <x:c r="B25" s="1"/>
      <x:c r="C25" s="23" t="str">
        <x:v>Net retention</x:v>
      </x:c>
      <x:c r="D25" s="24"/>
      <x:c r="E25" s="26" t="n">
        <x:f>E400</x:f>
        <x:v>0.75</x:v>
      </x:c>
      <x:c r="F25" s="26" t="n">
        <x:f>F400</x:f>
        <x:v>0.75</x:v>
      </x:c>
      <x:c r="G25" s="26" t="n">
        <x:f>G400</x:f>
        <x:v>0.75</x:v>
      </x:c>
      <x:c r="H25" s="26" t="n">
        <x:f>H400</x:f>
        <x:v>0.75</x:v>
      </x:c>
      <x:c r="I25" s="26" t="n">
        <x:f>I400</x:f>
        <x:v>0.75</x:v>
      </x:c>
      <x:c r="J25" s="1"/>
      <x:c r="K25" s="1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</x:row>
    <x:row r="26" ht="18" customHeight="1">
      <x:c r="A26" s="1"/>
      <x:c r="B26" s="1"/>
      <x:c r="C26" s="23" t="str">
        <x:v>Closing UPR / net written premium</x:v>
      </x:c>
      <x:c r="D26" s="24"/>
      <x:c r="E26" s="26" t="n">
        <x:f>E405</x:f>
        <x:v>0.45</x:v>
      </x:c>
      <x:c r="F26" s="26" t="n">
        <x:f>F405</x:f>
        <x:v>0.45</x:v>
      </x:c>
      <x:c r="G26" s="26" t="n">
        <x:f>G405</x:f>
        <x:v>0.45</x:v>
      </x:c>
      <x:c r="H26" s="26" t="n">
        <x:f>H405</x:f>
        <x:v>0.45</x:v>
      </x:c>
      <x:c r="I26" s="26" t="n">
        <x:f>I405</x:f>
        <x:v>0.45</x:v>
      </x:c>
      <x:c r="J26" s="1"/>
      <x:c r="K26" s="1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</x:row>
    <x:row r="27" ht="18" customHeight="1">
      <x:c r="A27" s="1"/>
      <x:c r="B27" s="1"/>
      <x:c r="C27" s="23" t="str">
        <x:v>Net management expense / NWP</x:v>
      </x:c>
      <x:c r="D27" s="24"/>
      <x:c r="E27" s="26" t="n">
        <x:f>E410</x:f>
        <x:v>0.28</x:v>
      </x:c>
      <x:c r="F27" s="26" t="n">
        <x:f>F410</x:f>
        <x:v>0.28</x:v>
      </x:c>
      <x:c r="G27" s="26" t="n">
        <x:f>G410</x:f>
        <x:v>0.28</x:v>
      </x:c>
      <x:c r="H27" s="26" t="n">
        <x:f>H410</x:f>
        <x:v>0.28</x:v>
      </x:c>
      <x:c r="I27" s="26" t="n">
        <x:f>I410</x:f>
        <x:v>0.28</x:v>
      </x:c>
      <x:c r="J27" s="1"/>
      <x:c r="K27" s="1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</x:row>
    <x:row r="28" ht="18" customHeight="1">
      <x:c r="A28" s="1"/>
      <x:c r="B28" s="1"/>
      <x:c r="C28" s="23" t="str">
        <x:v>Claims paid / incurred claims</x:v>
      </x:c>
      <x:c r="D28" s="24"/>
      <x:c r="E28" s="26" t="n">
        <x:f>E415</x:f>
        <x:v>0.9</x:v>
      </x:c>
      <x:c r="F28" s="26" t="n">
        <x:f>F415</x:f>
        <x:v>0.9</x:v>
      </x:c>
      <x:c r="G28" s="26" t="n">
        <x:f>G415</x:f>
        <x:v>0.9</x:v>
      </x:c>
      <x:c r="H28" s="26" t="n">
        <x:f>H415</x:f>
        <x:v>0.9</x:v>
      </x:c>
      <x:c r="I28" s="26" t="n">
        <x:f>I415</x:f>
        <x:v>0.9</x:v>
      </x:c>
      <x:c r="J28" s="1"/>
      <x:c r="K28" s="1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</x:row>
    <x:row r="29" ht="18" customHeight="1">
      <x:c r="A29" s="1"/>
      <x:c r="B29" s="1"/>
      <x:c r="C29" s="23" t="str">
        <x:v>Yield on opening investment assets</x:v>
      </x:c>
      <x:c r="D29" s="24"/>
      <x:c r="E29" s="26" t="n">
        <x:f>E420</x:f>
        <x:v>0.065</x:v>
      </x:c>
      <x:c r="F29" s="26" t="n">
        <x:f>F420</x:f>
        <x:v>0.065</x:v>
      </x:c>
      <x:c r="G29" s="26" t="n">
        <x:f>G420</x:f>
        <x:v>0.065</x:v>
      </x:c>
      <x:c r="H29" s="26" t="n">
        <x:f>H420</x:f>
        <x:v>0.065</x:v>
      </x:c>
      <x:c r="I29" s="26" t="n">
        <x:f>I420</x:f>
        <x:v>0.065</x:v>
      </x:c>
      <x:c r="J29" s="1"/>
      <x:c r="K29" s="1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</x:row>
    <x:row r="30" ht="18" customHeight="1">
      <x:c r="A30" s="1"/>
      <x:c r="B30" s="1"/>
      <x:c r="C30" s="23" t="str">
        <x:v>Effective tax rate</x:v>
      </x:c>
      <x:c r="D30" s="24"/>
      <x:c r="E30" s="26" t="n">
        <x:f>E425</x:f>
        <x:v>0.25</x:v>
      </x:c>
      <x:c r="F30" s="26" t="n">
        <x:f>F425</x:f>
        <x:v>0.25</x:v>
      </x:c>
      <x:c r="G30" s="26" t="n">
        <x:f>G425</x:f>
        <x:v>0.25</x:v>
      </x:c>
      <x:c r="H30" s="26" t="n">
        <x:f>H425</x:f>
        <x:v>0.25</x:v>
      </x:c>
      <x:c r="I30" s="26" t="n">
        <x:f>I425</x:f>
        <x:v>0.25</x:v>
      </x:c>
      <x:c r="J30" s="1"/>
      <x:c r="K30" s="1"/>
      <x:c r="M30" s="82" t="str">
        <x:v>Historical actuals and forecast | INR crore</x:v>
      </x:c>
      <x:c r="N30" s="82"/>
      <x:c r="O30" s="82"/>
      <x:c r="P30" s="82"/>
      <x:c r="Q30" s="82"/>
      <x:c r="R30" s="82"/>
      <x:c r="S30" s="82"/>
      <x:c r="T30" s="82"/>
      <x:c r="U30" s="82"/>
      <x:c r="V30" s="63"/>
    </x:row>
    <x:row r="31" ht="18" customHeight="1">
      <x:c r="A31" s="1"/>
      <x:c r="B31" s="1"/>
      <x:c r="C31" s="23" t="str">
        <x:v>Dividend payout</x:v>
      </x:c>
      <x:c r="D31" s="24"/>
      <x:c r="E31" s="26" t="n">
        <x:f>E430</x:f>
        <x:v>0.25</x:v>
      </x:c>
      <x:c r="F31" s="26" t="n">
        <x:f>F430</x:f>
        <x:v>0.25</x:v>
      </x:c>
      <x:c r="G31" s="26" t="n">
        <x:f>G430</x:f>
        <x:v>0.25</x:v>
      </x:c>
      <x:c r="H31" s="26" t="n">
        <x:f>H430</x:f>
        <x:v>0.25</x:v>
      </x:c>
      <x:c r="I31" s="26" t="n">
        <x:f>I430</x:f>
        <x:v>0.25</x:v>
      </x:c>
      <x:c r="J31" s="1"/>
      <x:c r="K31" s="1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</x:row>
    <x:row r="32" ht="18" customHeight="1">
      <x:c r="A32" s="1"/>
      <x:c r="B32" s="1"/>
      <x:c r="C32" s="19" t="str">
        <x:v>UNDERWRITING AND INVESTMENT BUILD</x:v>
      </x:c>
      <x:c r="D32" s="20"/>
      <x:c r="E32" s="20"/>
      <x:c r="F32" s="20"/>
      <x:c r="G32" s="20"/>
      <x:c r="H32" s="20"/>
      <x:c r="I32" s="20"/>
      <x:c r="J32" s="1"/>
      <x:c r="K32" s="1"/>
      <x:c r="M32" s="63" t="str">
        <x:v>Metric</x:v>
      </x:c>
      <x:c r="N32" s="88" t="n">
        <x:f>'Controls'!$E$17+-3</x:f>
        <x:v>2024</x:v>
      </x:c>
      <x:c r="O32" s="88" t="n">
        <x:f>'Controls'!$E$17+-2</x:f>
        <x:v>2025</x:v>
      </x:c>
      <x:c r="P32" s="88" t="n">
        <x:f>'Controls'!$E$17+-1</x:f>
        <x:v>2026</x:v>
      </x:c>
      <x:c r="Q32" s="89" t="n">
        <x:f>'Controls'!$E$17+0</x:f>
        <x:v>2027</x:v>
      </x:c>
      <x:c r="R32" s="89" t="n">
        <x:f>'Controls'!$E$17+1</x:f>
        <x:v>2028</x:v>
      </x:c>
      <x:c r="S32" s="89" t="n">
        <x:f>'Controls'!$E$17+2</x:f>
        <x:v>2029</x:v>
      </x:c>
      <x:c r="T32" s="89" t="n">
        <x:f>'Controls'!$E$17+3</x:f>
        <x:v>2030</x:v>
      </x:c>
      <x:c r="U32" s="89" t="n">
        <x:f>'Controls'!$E$17+4</x:f>
        <x:v>2031</x:v>
      </x:c>
      <x:c r="V32" s="63" t="str">
        <x:v>Source / reporting date</x:v>
      </x:c>
    </x:row>
    <x:row r="33" ht="18" customHeight="1">
      <x:c r="A33" s="1"/>
      <x:c r="B33" s="1"/>
      <x:c r="C33" s="1" t="str">
        <x:v>Gross written premium</x:v>
      </x:c>
      <x:c r="D33" s="2"/>
      <x:c r="E33" s="8" t="n">
        <x:f>$D10*(1+E17)</x:f>
        <x:v>11200.000000000002</x:v>
      </x:c>
      <x:c r="F33" s="8" t="n">
        <x:f>E33*(1+F17)</x:f>
        <x:v>12544.000000000004</x:v>
      </x:c>
      <x:c r="G33" s="8" t="n">
        <x:f>F33*(1+G17)</x:f>
        <x:v>14049.280000000006</x:v>
      </x:c>
      <x:c r="H33" s="8" t="n">
        <x:f>G33*(1+H17)</x:f>
        <x:v>15735.193600000008</x:v>
      </x:c>
      <x:c r="I33" s="8" t="n">
        <x:f>H33*(1+I17)</x:f>
        <x:v>17623.41683200001</x:v>
      </x:c>
      <x:c r="J33" s="1"/>
      <x:c r="K33" s="1"/>
      <x:c r="M33" s="63" t="str">
        <x:v>Income</x:v>
      </x:c>
      <x:c r="N33" s="74"/>
      <x:c r="O33" s="74"/>
      <x:c r="P33" s="74"/>
      <x:c r="Q33" s="8" t="n">
        <x:f>E36</x:f>
        <x:v>7620.000000000001</x:v>
      </x:c>
      <x:c r="R33" s="8" t="n">
        <x:f>F36</x:f>
        <x:v>8954.400000000001</x:v>
      </x:c>
      <x:c r="S33" s="8" t="n">
        <x:f>G36</x:f>
        <x:v>10028.928000000004</x:v>
      </x:c>
      <x:c r="T33" s="8" t="n">
        <x:f>H36</x:f>
        <x:v>11232.399360000005</x:v>
      </x:c>
      <x:c r="U33" s="8" t="n">
        <x:f>I36</x:f>
        <x:v>12580.287283200007</x:v>
      </x:c>
      <x:c r="V33" s="63"/>
    </x:row>
    <x:row r="34" ht="18" customHeight="1">
      <x:c r="A34" s="1"/>
      <x:c r="B34" s="1"/>
      <x:c r="C34" s="1" t="str">
        <x:v>Net written premium</x:v>
      </x:c>
      <x:c r="D34" s="2"/>
      <x:c r="E34" s="8" t="n">
        <x:f>E33*E25</x:f>
        <x:v>8400.000000000002</x:v>
      </x:c>
      <x:c r="F34" s="8" t="n">
        <x:f>F33*F25</x:f>
        <x:v>9408.000000000004</x:v>
      </x:c>
      <x:c r="G34" s="8" t="n">
        <x:f>G33*G25</x:f>
        <x:v>10536.960000000005</x:v>
      </x:c>
      <x:c r="H34" s="8" t="n">
        <x:f>H33*H25</x:f>
        <x:v>11801.395200000006</x:v>
      </x:c>
      <x:c r="I34" s="8" t="n">
        <x:f>I33*I25</x:f>
        <x:v>13217.562624000007</x:v>
      </x:c>
      <x:c r="J34" s="1"/>
      <x:c r="K34" s="1"/>
      <x:c r="M34" s="63" t="str">
        <x:v>Profit after tax</x:v>
      </x:c>
      <x:c r="N34" s="74"/>
      <x:c r="O34" s="74"/>
      <x:c r="P34" s="74"/>
      <x:c r="Q34" s="8" t="n">
        <x:f>E43</x:f>
        <x:v>535.5</x:v>
      </x:c>
      <x:c r="R34" s="8" t="n">
        <x:f>F43</x:f>
        <x:v>707.6674687499997</x:v>
      </x:c>
      <x:c r="S34" s="8" t="n">
        <x:f>G43</x:f>
        <x:v>790.898650576172</x:v>
      </x:c>
      <x:c r="T34" s="8" t="n">
        <x:f>H43</x:f>
        <x:v>884.0558232878632</x:v>
      </x:c>
      <x:c r="U34" s="8" t="n">
        <x:f>I43</x:f>
        <x:v>988.3278480228257</x:v>
      </x:c>
      <x:c r="V34" s="63"/>
    </x:row>
    <x:row r="35" ht="18" customHeight="1">
      <x:c r="A35" s="1"/>
      <x:c r="B35" s="1"/>
      <x:c r="C35" s="1" t="str">
        <x:v>Closing unearned premium reserve</x:v>
      </x:c>
      <x:c r="D35" s="2"/>
      <x:c r="E35" s="8" t="n">
        <x:f>E34*E26</x:f>
        <x:v>3780.000000000001</x:v>
      </x:c>
      <x:c r="F35" s="8" t="n">
        <x:f>F34*F26</x:f>
        <x:v>4233.600000000002</x:v>
      </x:c>
      <x:c r="G35" s="8" t="n">
        <x:f>G34*G26</x:f>
        <x:v>4741.632000000002</x:v>
      </x:c>
      <x:c r="H35" s="8" t="n">
        <x:f>H34*H26</x:f>
        <x:v>5310.627840000003</x:v>
      </x:c>
      <x:c r="I35" s="8" t="n">
        <x:f>I34*I26</x:f>
        <x:v>5947.903180800004</x:v>
      </x:c>
      <x:c r="J35" s="1"/>
      <x:c r="K35" s="1"/>
      <x:c r="M35" s="63" t="str">
        <x:v>Closing equity</x:v>
      </x:c>
      <x:c r="N35" s="74"/>
      <x:c r="O35" s="74"/>
      <x:c r="P35" s="74"/>
      <x:c r="Q35" s="8" t="n">
        <x:f>E47</x:f>
        <x:v>5401.625</x:v>
      </x:c>
      <x:c r="R35" s="8" t="n">
        <x:f>F47</x:f>
        <x:v>5932.3756015625</x:v>
      </x:c>
      <x:c r="S35" s="8" t="n">
        <x:f>G47</x:f>
        <x:v>6525.54958949463</x:v>
      </x:c>
      <x:c r="T35" s="8" t="n">
        <x:f>H47</x:f>
        <x:v>7188.591456960527</x:v>
      </x:c>
      <x:c r="U35" s="8" t="n">
        <x:f>I47</x:f>
        <x:v>7929.837342977646</x:v>
      </x:c>
      <x:c r="V35" s="63"/>
    </x:row>
    <x:row r="36" ht="18" customHeight="1">
      <x:c r="A36" s="1"/>
      <x:c r="B36" s="1"/>
      <x:c r="C36" s="1" t="str">
        <x:v>Net earned premium</x:v>
      </x:c>
      <x:c r="D36" s="2"/>
      <x:c r="E36" s="8" t="n">
        <x:f>E34+$D11-E35</x:f>
        <x:v>7620.000000000001</x:v>
      </x:c>
      <x:c r="F36" s="8" t="n">
        <x:f>F34+E35-F35</x:f>
        <x:v>8954.400000000001</x:v>
      </x:c>
      <x:c r="G36" s="8" t="n">
        <x:f>G34+F35-G35</x:f>
        <x:v>10028.928000000004</x:v>
      </x:c>
      <x:c r="H36" s="8" t="n">
        <x:f>H34+G35-H35</x:f>
        <x:v>11232.399360000005</x:v>
      </x:c>
      <x:c r="I36" s="8" t="n">
        <x:f>I34+H35-I35</x:f>
        <x:v>12580.287283200007</x:v>
      </x:c>
      <x:c r="J36" s="1"/>
      <x:c r="K36" s="1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</x:row>
    <x:row r="37" ht="18" customHeight="1">
      <x:c r="A37" s="1"/>
      <x:c r="B37" s="1"/>
      <x:c r="C37" s="1" t="str">
        <x:v>Incurred claims</x:v>
      </x:c>
      <x:c r="D37" s="2"/>
      <x:c r="E37" s="8" t="n">
        <x:f>E36*E21</x:f>
        <x:v>5334</x:v>
      </x:c>
      <x:c r="F37" s="8" t="n">
        <x:f>F36*F21</x:f>
        <x:v>6268.080000000001</x:v>
      </x:c>
      <x:c r="G37" s="8" t="n">
        <x:f>G36*G21</x:f>
        <x:v>7020.249600000002</x:v>
      </x:c>
      <x:c r="H37" s="8" t="n">
        <x:f>H36*H21</x:f>
        <x:v>7862.679552000003</x:v>
      </x:c>
      <x:c r="I37" s="8" t="n">
        <x:f>I36*I21</x:f>
        <x:v>8806.201098240004</x:v>
      </x:c>
      <x:c r="J37" s="1"/>
      <x:c r="K37" s="1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</x:row>
    <x:row r="38" ht="18" customHeight="1">
      <x:c r="A38" s="1"/>
      <x:c r="B38" s="1"/>
      <x:c r="C38" s="1" t="str">
        <x:v>Net management expense</x:v>
      </x:c>
      <x:c r="D38" s="2"/>
      <x:c r="E38" s="8" t="n">
        <x:f>E34*E27</x:f>
        <x:v>2352.000000000001</x:v>
      </x:c>
      <x:c r="F38" s="8" t="n">
        <x:f>F34*F27</x:f>
        <x:v>2634.240000000001</x:v>
      </x:c>
      <x:c r="G38" s="8" t="n">
        <x:f>G34*G27</x:f>
        <x:v>2950.3488000000016</x:v>
      </x:c>
      <x:c r="H38" s="8" t="n">
        <x:f>H34*H27</x:f>
        <x:v>3304.390656000002</x:v>
      </x:c>
      <x:c r="I38" s="8" t="n">
        <x:f>I34*I27</x:f>
        <x:v>3700.9175347200025</x:v>
      </x:c>
      <x:c r="J38" s="1"/>
      <x:c r="K38" s="1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</x:row>
    <x:row r="39" ht="18" customHeight="1">
      <x:c r="A39" s="1"/>
      <x:c r="B39" s="1"/>
      <x:c r="C39" s="1" t="str">
        <x:v>Underwriting profit</x:v>
      </x:c>
      <x:c r="D39" s="2"/>
      <x:c r="E39" s="8" t="n">
        <x:f>E36-E37-E38</x:f>
        <x:v>-66</x:v>
      </x:c>
      <x:c r="F39" s="8" t="n">
        <x:f>F36-F37-F38</x:f>
        <x:v>52.07999999999947</x:v>
      </x:c>
      <x:c r="G39" s="8" t="n">
        <x:f>G36-G37-G38</x:f>
        <x:v>58.32960000000003</x:v>
      </x:c>
      <x:c r="H39" s="8" t="n">
        <x:f>H36-H37-H38</x:f>
        <x:v>65.3291519999998</x:v>
      </x:c>
      <x:c r="I39" s="8" t="n">
        <x:f>I36-I37-I38</x:f>
        <x:v>73.1686502399998</x:v>
      </x:c>
      <x:c r="J39" s="1"/>
      <x:c r="K39" s="1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</x:row>
    <x:row r="40" ht="18" customHeight="1">
      <x:c r="A40" s="1"/>
      <x:c r="B40" s="1"/>
      <x:c r="C40" s="1" t="str">
        <x:v>Investment income</x:v>
      </x:c>
      <x:c r="D40" s="2"/>
      <x:c r="E40" s="8" t="n">
        <x:f>($D11+$D12+$D13)*E29</x:f>
        <x:v>780</x:v>
      </x:c>
      <x:c r="F40" s="8" t="n">
        <x:f>E49*F29</x:f>
        <x:v>891.4766250000001</x:v>
      </x:c>
      <x:c r="G40" s="8" t="n">
        <x:f>F49*G29</x:f>
        <x:v>996.2019341015628</x:v>
      </x:c>
      <x:c r="H40" s="8" t="n">
        <x:f>G49*H29</x:f>
        <x:v>1113.4119457171512</x:v>
      </x:c>
      <x:c r="I40" s="8" t="n">
        <x:f>H49*I29</x:f>
        <x:v>1244.6018137904346</x:v>
      </x:c>
      <x:c r="J40" s="1"/>
      <x:c r="K40" s="1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</x:row>
    <x:row r="41" ht="18" customHeight="1">
      <x:c r="A41" s="1"/>
      <x:c r="B41" s="1"/>
      <x:c r="C41" s="1" t="str">
        <x:v>Profit before tax</x:v>
      </x:c>
      <x:c r="D41" s="2"/>
      <x:c r="E41" s="8" t="n">
        <x:f>E39+E40</x:f>
        <x:v>714</x:v>
      </x:c>
      <x:c r="F41" s="8" t="n">
        <x:f>F39+F40</x:f>
        <x:v>943.5566249999996</x:v>
      </x:c>
      <x:c r="G41" s="8" t="n">
        <x:f>G39+G40</x:f>
        <x:v>1054.5315341015628</x:v>
      </x:c>
      <x:c r="H41" s="8" t="n">
        <x:f>H39+H40</x:f>
        <x:v>1178.741097717151</x:v>
      </x:c>
      <x:c r="I41" s="8" t="n">
        <x:f>I39+I40</x:f>
        <x:v>1317.7704640304344</x:v>
      </x:c>
      <x:c r="J41" s="1"/>
      <x:c r="K41" s="1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</x:row>
    <x:row r="42" ht="18" customHeight="1">
      <x:c r="A42" s="1"/>
      <x:c r="B42" s="1"/>
      <x:c r="C42" s="1" t="str">
        <x:v>Tax</x:v>
      </x:c>
      <x:c r="D42" s="2"/>
      <x:c r="E42" s="8" t="n">
        <x:f>E144</x:f>
        <x:v>178.5</x:v>
      </x:c>
      <x:c r="F42" s="8" t="n">
        <x:f>F144</x:f>
        <x:v>235.8891562499999</x:v>
      </x:c>
      <x:c r="G42" s="8" t="n">
        <x:f>G144</x:f>
        <x:v>263.6328835253907</x:v>
      </x:c>
      <x:c r="H42" s="8" t="n">
        <x:f>H144</x:f>
        <x:v>294.68527442928774</x:v>
      </x:c>
      <x:c r="I42" s="8" t="n">
        <x:f>I144</x:f>
        <x:v>329.4426160076086</x:v>
      </x:c>
      <x:c r="J42" s="1"/>
      <x:c r="K42" s="1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</x:row>
    <x:row r="43" ht="18" customHeight="1">
      <x:c r="A43" s="1"/>
      <x:c r="B43" s="1"/>
      <x:c r="C43" s="38" t="str">
        <x:v>Profit after tax</x:v>
      </x:c>
      <x:c r="D43" s="39"/>
      <x:c r="E43" s="41" t="n">
        <x:f>E41-E42</x:f>
        <x:v>535.5</x:v>
      </x:c>
      <x:c r="F43" s="41" t="n">
        <x:f>F41-F42</x:f>
        <x:v>707.6674687499997</x:v>
      </x:c>
      <x:c r="G43" s="41" t="n">
        <x:f>G41-G42</x:f>
        <x:v>790.898650576172</x:v>
      </x:c>
      <x:c r="H43" s="41" t="n">
        <x:f>H41-H42</x:f>
        <x:v>884.0558232878632</x:v>
      </x:c>
      <x:c r="I43" s="41" t="n">
        <x:f>I41-I42</x:f>
        <x:v>988.3278480228257</x:v>
      </x:c>
      <x:c r="J43" s="1"/>
      <x:c r="K43" s="1"/>
      <x:c r="M43" s="64" t="str">
        <x:v>Actuals are reference inputs. Calibrate the opening balances and forecast assumptions separately.</x:v>
      </x:c>
      <x:c r="N43" s="64"/>
      <x:c r="O43" s="64"/>
      <x:c r="P43" s="64"/>
      <x:c r="Q43" s="64"/>
      <x:c r="R43" s="64"/>
      <x:c r="S43" s="64"/>
      <x:c r="T43" s="64"/>
      <x:c r="U43" s="64"/>
      <x:c r="V43" s="63"/>
    </x:row>
    <x:row r="44" ht="18" customHeight="1">
      <x:c r="A44" s="1"/>
      <x:c r="B44" s="1"/>
      <x:c r="C44" s="1" t="str">
        <x:v>Dividends</x:v>
      </x:c>
      <x:c r="D44" s="2"/>
      <x:c r="E44" s="8" t="n">
        <x:f>MAX(0,E43)*E31</x:f>
        <x:v>133.875</x:v>
      </x:c>
      <x:c r="F44" s="8" t="n">
        <x:f>MAX(0,F43)*F31</x:f>
        <x:v>176.91686718749992</x:v>
      </x:c>
      <x:c r="G44" s="8" t="n">
        <x:f>MAX(0,G43)*G31</x:f>
        <x:v>197.724662644043</x:v>
      </x:c>
      <x:c r="H44" s="8" t="n">
        <x:f>MAX(0,H43)*H31</x:f>
        <x:v>221.0139558219658</x:v>
      </x:c>
      <x:c r="I44" s="8" t="n">
        <x:f>MAX(0,I43)*I31</x:f>
        <x:v>247.08196200570643</x:v>
      </x:c>
      <x:c r="J44" s="1"/>
      <x:c r="K44" s="1"/>
      <x:c r="M44" s="64"/>
      <x:c r="N44" s="64"/>
      <x:c r="O44" s="64"/>
      <x:c r="P44" s="64"/>
      <x:c r="Q44" s="64"/>
      <x:c r="R44" s="64"/>
      <x:c r="S44" s="64"/>
      <x:c r="T44" s="64"/>
      <x:c r="U44" s="64"/>
      <x:c r="V44" s="63"/>
    </x:row>
    <x:row r="45" ht="18" customHeight="1">
      <x:c r="A45" s="1"/>
      <x:c r="B45" s="1"/>
      <x:c r="C45" s="1" t="str">
        <x:v>Claims paid</x:v>
      </x:c>
      <x:c r="D45" s="2"/>
      <x:c r="E45" s="8" t="n">
        <x:f>E37*E28</x:f>
        <x:v>4800.6</x:v>
      </x:c>
      <x:c r="F45" s="8" t="n">
        <x:f>F37*F28</x:f>
        <x:v>5641.272000000001</x:v>
      </x:c>
      <x:c r="G45" s="8" t="n">
        <x:f>G37*G28</x:f>
        <x:v>6318.224640000002</x:v>
      </x:c>
      <x:c r="H45" s="8" t="n">
        <x:f>H37*H28</x:f>
        <x:v>7076.411596800003</x:v>
      </x:c>
      <x:c r="I45" s="8" t="n">
        <x:f>I37*I28</x:f>
        <x:v>7925.580988416004</x:v>
      </x:c>
      <x:c r="J45" s="1"/>
      <x:c r="K45" s="1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</x:row>
    <x:row r="46" ht="18" customHeight="1">
      <x:c r="A46" s="1"/>
      <x:c r="B46" s="1"/>
      <x:c r="C46" s="1" t="str">
        <x:v>Closing claims reserve</x:v>
      </x:c>
      <x:c r="D46" s="2"/>
      <x:c r="E46" s="8" t="n">
        <x:f>$D12+E37-E45</x:f>
        <x:v>4533.4</x:v>
      </x:c>
      <x:c r="F46" s="8" t="n">
        <x:f>E46+F37-F45</x:f>
        <x:v>5160.207999999999</x:v>
      </x:c>
      <x:c r="G46" s="8" t="n">
        <x:f>F46+G37-G45</x:f>
        <x:v>5862.232959999999</x:v>
      </x:c>
      <x:c r="H46" s="8" t="n">
        <x:f>G46+H37-H45</x:f>
        <x:v>6648.500915199999</x:v>
      </x:c>
      <x:c r="I46" s="8" t="n">
        <x:f>H46+I37-I45</x:f>
        <x:v>7529.121025024</x:v>
      </x:c>
      <x:c r="J46" s="1"/>
      <x:c r="K46" s="1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</x:row>
    <x:row r="47" ht="18" customHeight="1">
      <x:c r="A47" s="1"/>
      <x:c r="B47" s="1"/>
      <x:c r="C47" s="1" t="str">
        <x:v>Closing equity</x:v>
      </x:c>
      <x:c r="D47" s="2"/>
      <x:c r="E47" s="8" t="n">
        <x:f>$D13+E43-E44</x:f>
        <x:v>5401.625</x:v>
      </x:c>
      <x:c r="F47" s="8" t="n">
        <x:f>E47+F43-F44</x:f>
        <x:v>5932.3756015625</x:v>
      </x:c>
      <x:c r="G47" s="8" t="n">
        <x:f>F47+G43-G44</x:f>
        <x:v>6525.54958949463</x:v>
      </x:c>
      <x:c r="H47" s="8" t="n">
        <x:f>G47+H43-H44</x:f>
        <x:v>7188.591456960527</x:v>
      </x:c>
      <x:c r="I47" s="8" t="n">
        <x:f>H47+I43-I44</x:f>
        <x:v>7929.837342977646</x:v>
      </x:c>
      <x:c r="J47" s="1"/>
      <x:c r="K47" s="1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</x:row>
    <x:row r="48" ht="18" customHeight="1">
      <x:c r="A48" s="1"/>
      <x:c r="B48" s="1"/>
      <x:c r="C48" s="1" t="str">
        <x:v>Cash generated before investment purchases</x:v>
      </x:c>
      <x:c r="D48" s="2"/>
      <x:c r="E48" s="8" t="n">
        <x:f>E34-E45-E38+E40-E42-E44</x:f>
        <x:v>1715.0250000000005</x:v>
      </x:c>
      <x:c r="F48" s="8" t="n">
        <x:f>F34-F45-F38+F40-F42-F44</x:f>
        <x:v>1611.158601562502</x:v>
      </x:c>
      <x:c r="G48" s="8" t="n">
        <x:f>G34-G45-G38+G40-G42-G44</x:f>
        <x:v>1803.23094793213</x:v>
      </x:c>
      <x:c r="H48" s="8" t="n">
        <x:f>H34-H45-H38+H40-H42-H44</x:f>
        <x:v>2018.305662665899</x:v>
      </x:c>
      <x:c r="I48" s="8" t="n">
        <x:f>I34-I45-I38+I40-I42-I44</x:f>
        <x:v>2259.1413366411202</x:v>
      </x:c>
      <x:c r="J48" s="1"/>
      <x:c r="K48" s="1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</x:row>
    <x:row r="49" ht="18" customHeight="1">
      <x:c r="A49" s="1"/>
      <x:c r="B49" s="1"/>
      <x:c r="C49" s="1" t="str">
        <x:v>Closing investment and cash assets</x:v>
      </x:c>
      <x:c r="D49" s="2"/>
      <x:c r="E49" s="8" t="n">
        <x:f>$D11+$D12+$D13+E48</x:f>
        <x:v>13715.025000000001</x:v>
      </x:c>
      <x:c r="F49" s="8" t="n">
        <x:f>E49+F48</x:f>
        <x:v>15326.183601562503</x:v>
      </x:c>
      <x:c r="G49" s="8" t="n">
        <x:f>F49+G48</x:f>
        <x:v>17129.41454949463</x:v>
      </x:c>
      <x:c r="H49" s="8" t="n">
        <x:f>G49+H48</x:f>
        <x:v>19147.72021216053</x:v>
      </x:c>
      <x:c r="I49" s="8" t="n">
        <x:f>H49+I48</x:f>
        <x:v>21406.86154880165</x:v>
      </x:c>
      <x:c r="J49" s="1"/>
      <x:c r="K49" s="1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</x:row>
    <x:row r="50" ht="18" customHeight="1">
      <x:c r="A50" s="1"/>
      <x:c r="B50" s="1"/>
      <x:c r="C50" s="19" t="str">
        <x:v>INSURANCE KPIs AND VALUATION</x:v>
      </x:c>
      <x:c r="D50" s="20"/>
      <x:c r="E50" s="20"/>
      <x:c r="F50" s="20"/>
      <x:c r="G50" s="20"/>
      <x:c r="H50" s="20"/>
      <x:c r="I50" s="20"/>
      <x:c r="J50" s="1"/>
      <x:c r="K50" s="1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</x:row>
    <x:row r="51" ht="18" customHeight="1">
      <x:c r="A51" s="1"/>
      <x:c r="B51" s="1"/>
      <x:c r="C51" s="23" t="str">
        <x:v>Loss ratio</x:v>
      </x:c>
      <x:c r="D51" s="24"/>
      <x:c r="E51" s="35" t="n">
        <x:f>E37/E36</x:f>
        <x:v>0.7</x:v>
      </x:c>
      <x:c r="F51" s="35" t="n">
        <x:f>F37/F36</x:f>
        <x:v>0.7</x:v>
      </x:c>
      <x:c r="G51" s="35" t="n">
        <x:f>G37/G36</x:f>
        <x:v>0.7</x:v>
      </x:c>
      <x:c r="H51" s="35" t="n">
        <x:f>H37/H36</x:f>
        <x:v>0.7</x:v>
      </x:c>
      <x:c r="I51" s="35" t="n">
        <x:f>I37/I36</x:f>
        <x:v>0.7</x:v>
      </x:c>
      <x:c r="J51" s="1"/>
      <x:c r="K51" s="1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</x:row>
    <x:row r="52" ht="18" customHeight="1">
      <x:c r="A52" s="1"/>
      <x:c r="B52" s="1"/>
      <x:c r="C52" s="23" t="str">
        <x:v>Expense ratio on written premium</x:v>
      </x:c>
      <x:c r="D52" s="24"/>
      <x:c r="E52" s="35" t="n">
        <x:f>E38/E34</x:f>
        <x:v>0.28</x:v>
      </x:c>
      <x:c r="F52" s="35" t="n">
        <x:f>F38/F34</x:f>
        <x:v>0.28</x:v>
      </x:c>
      <x:c r="G52" s="35" t="n">
        <x:f>G38/G34</x:f>
        <x:v>0.28</x:v>
      </x:c>
      <x:c r="H52" s="35" t="n">
        <x:f>H38/H34</x:f>
        <x:v>0.28</x:v>
      </x:c>
      <x:c r="I52" s="35" t="n">
        <x:f>I38/I34</x:f>
        <x:v>0.28</x:v>
      </x:c>
      <x:c r="J52" s="1"/>
      <x:c r="K52" s="1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</x:row>
    <x:row r="53" ht="18" customHeight="1">
      <x:c r="A53" s="1"/>
      <x:c r="B53" s="1"/>
      <x:c r="C53" s="23" t="str">
        <x:v>Combined ratio on mixed bases</x:v>
      </x:c>
      <x:c r="D53" s="24"/>
      <x:c r="E53" s="35" t="n">
        <x:f>E51+E52</x:f>
        <x:v>0.98</x:v>
      </x:c>
      <x:c r="F53" s="35" t="n">
        <x:f>F51+F52</x:f>
        <x:v>0.98</x:v>
      </x:c>
      <x:c r="G53" s="35" t="n">
        <x:f>G51+G52</x:f>
        <x:v>0.98</x:v>
      </x:c>
      <x:c r="H53" s="35" t="n">
        <x:f>H51+H52</x:f>
        <x:v>0.98</x:v>
      </x:c>
      <x:c r="I53" s="35" t="n">
        <x:f>I51+I52</x:f>
        <x:v>0.98</x:v>
      </x:c>
      <x:c r="J53" s="1"/>
      <x:c r="K53" s="1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</x:row>
    <x:row r="54" ht="18" customHeight="1">
      <x:c r="A54" s="1"/>
      <x:c r="B54" s="1"/>
      <x:c r="C54" s="23" t="str">
        <x:v>Underwriting margin on earned premium</x:v>
      </x:c>
      <x:c r="D54" s="24"/>
      <x:c r="E54" s="35" t="n">
        <x:f>E39/E36</x:f>
        <x:v>-0.008661417322834644</x:v>
      </x:c>
      <x:c r="F54" s="35" t="n">
        <x:f>F39/F36</x:f>
        <x:v>0.005816135084427707</x:v>
      </x:c>
      <x:c r="G54" s="35" t="n">
        <x:f>G39/G36</x:f>
        <x:v>0.005816135084427768</x:v>
      </x:c>
      <x:c r="H54" s="35" t="n">
        <x:f>H39/H36</x:f>
        <x:v>0.005816135084427746</x:v>
      </x:c>
      <x:c r="I54" s="35" t="n">
        <x:f>I39/I36</x:f>
        <x:v>0.005816135084427749</x:v>
      </x:c>
      <x:c r="J54" s="1"/>
      <x:c r="K54" s="1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</x:row>
    <x:row r="55" ht="18" customHeight="1">
      <x:c r="A55" s="1"/>
      <x:c r="B55" s="1"/>
      <x:c r="C55" s="23" t="str">
        <x:v>Return on average equity</x:v>
      </x:c>
      <x:c r="D55" s="24"/>
      <x:c r="E55" s="35" t="n">
        <x:f>E43/(($D13+E47)/2)</x:f>
        <x:v>0.10296468099936308</x:v>
      </x:c>
      <x:c r="F55" s="35" t="n">
        <x:f>F43/((E47+F47)/2)</x:f>
        <x:v>0.12487514226043732</x:v>
      </x:c>
      <x:c r="G55" s="35" t="n">
        <x:f>G43/((F47+G47)/2)</x:f>
        <x:v>0.1269711670999462</x:v>
      </x:c>
      <x:c r="H55" s="35" t="n">
        <x:f>H43/((G47+H47)/2)</x:f>
        <x:v>0.12892616756575867</x:v>
      </x:c>
      <x:c r="I55" s="35" t="n">
        <x:f>I43/((H47+I47)/2)</x:f>
        <x:v>0.130744783218064</x:v>
      </x:c>
      <x:c r="J55" s="1"/>
      <x:c r="K55" s="1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</x:row>
    <x:row r="56" ht="18" customHeight="1">
      <x:c r="A56" s="1"/>
      <x:c r="B56" s="1"/>
      <x:c r="C56" s="23" t="str">
        <x:v>Technical reserves / equity</x:v>
      </x:c>
      <x:c r="D56" s="32"/>
      <x:c r="E56" s="61" t="n">
        <x:f>(E35+E46)/E47</x:f>
        <x:v>1.5390553768541877</x:v>
      </x:c>
      <x:c r="F56" s="61" t="n">
        <x:f>(F35+F46)/F47</x:f>
        <x:v>1.5834816658483004</x:v>
      </x:c>
      <x:c r="G56" s="61" t="n">
        <x:f>(G35+G46)/G47</x:f>
        <x:v>1.6249765348609078</x:v>
      </x:c>
      <x:c r="H56" s="61" t="n">
        <x:f>(H35+H46)/H47</x:f>
        <x:v>1.6636261535798211</x:v>
      </x:c>
      <x:c r="I56" s="61" t="n">
        <x:f>(I35+I46)/I47</x:f>
        <x:v>1.6995334989763353</x:v>
      </x:c>
      <x:c r="J56" s="1"/>
      <x:c r="K56" s="1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</x:row>
    <x:row r="57" ht="18" customHeight="1">
      <x:c r="A57" s="1"/>
      <x:c r="B57" s="1"/>
      <x:c r="C57" s="1" t="str">
        <x:v>Forward book-based equity value</x:v>
      </x:c>
      <x:c r="D57" s="2"/>
      <x:c r="E57" s="8" t="n">
        <x:f>E47*$D15</x:f>
        <x:v>16204.875</x:v>
      </x:c>
      <x:c r="F57" s="8" t="n">
        <x:f>F47*$D15</x:f>
        <x:v>17797.1268046875</x:v>
      </x:c>
      <x:c r="G57" s="8" t="n">
        <x:f>G47*$D15</x:f>
        <x:v>19576.64876848389</x:v>
      </x:c>
      <x:c r="H57" s="8" t="n">
        <x:f>H47*$D15</x:f>
        <x:v>21565.77437088158</x:v>
      </x:c>
      <x:c r="I57" s="8" t="n">
        <x:f>I47*$D15</x:f>
        <x:v>23789.512028932935</x:v>
      </x:c>
      <x:c r="J57" s="1"/>
      <x:c r="K57" s="1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</x:row>
    <x:row r="58" ht="18" customHeight="1">
      <x:c r="A58" s="1"/>
      <x:c r="B58" s="1"/>
      <x:c r="C58" s="38" t="str">
        <x:v>PV of first forecast year book-based equity value</x:v>
      </x:c>
      <x:c r="D58" s="39"/>
      <x:c r="E58" s="41" t="n">
        <x:f>E57/(1+$D16)</x:f>
        <x:v>14214.802631578947</x:v>
      </x:c>
      <x:c r="F58" s="39"/>
      <x:c r="G58" s="39"/>
      <x:c r="H58" s="39"/>
      <x:c r="I58" s="39"/>
      <x:c r="J58" s="1"/>
      <x:c r="K58" s="1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</x:row>
    <x:row r="59" ht="18" customHeight="1">
      <x:c r="A59" s="1"/>
      <x:c r="B59" s="1"/>
      <x:c r="C59" s="19" t="str">
        <x:v>MODEL CHECKS</x:v>
      </x:c>
      <x:c r="D59" s="20"/>
      <x:c r="E59" s="20"/>
      <x:c r="F59" s="20"/>
      <x:c r="G59" s="20"/>
      <x:c r="H59" s="20"/>
      <x:c r="I59" s="20"/>
      <x:c r="J59" s="1"/>
      <x:c r="K59" s="1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</x:row>
    <x:row r="60" ht="18" customHeight="1">
      <x:c r="A60" s="1"/>
      <x:c r="B60" s="1"/>
      <x:c r="C60" s="1" t="str">
        <x:v>Assets less reserves and equity</x:v>
      </x:c>
      <x:c r="D60" s="33"/>
      <x:c r="E60" s="34" t="n">
        <x:f>E49-E35-E46-E47</x:f>
        <x:v>1.8189894035458565e-12</x:v>
      </x:c>
      <x:c r="F60" s="34" t="n">
        <x:f>F49-F35-F46-F47</x:f>
        <x:v>1.8189894035458565e-12</x:v>
      </x:c>
      <x:c r="G60" s="34" t="n">
        <x:f>G49-G35-G46-G47</x:f>
        <x:v>9.094947017729282e-13</x:v>
      </x:c>
      <x:c r="H60" s="34" t="n">
        <x:f>H49-H35-H46-H47</x:f>
        <x:v>9.094947017729282e-13</x:v>
      </x:c>
      <x:c r="I60" s="34" t="n">
        <x:f>I49-I35-I46-I47</x:f>
        <x:v>1.8189894035458565e-12</x:v>
      </x:c>
      <x:c r="J60" s="1"/>
      <x:c r="K60" s="1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</x:row>
    <x:row r="61" ht="18" customHeight="1">
      <x:c r="A61" s="1"/>
      <x:c r="B61" s="1"/>
      <x:c r="C61" s="1" t="str">
        <x:v>Claims reserve below zero</x:v>
      </x:c>
      <x:c r="D61" s="33"/>
      <x:c r="E61" s="34" t="n">
        <x:f>MAX(0,-E46)</x:f>
        <x:v>0</x:v>
      </x:c>
      <x:c r="F61" s="34" t="n">
        <x:f>MAX(0,-F46)</x:f>
        <x:v>0</x:v>
      </x:c>
      <x:c r="G61" s="34" t="n">
        <x:f>MAX(0,-G46)</x:f>
        <x:v>0</x:v>
      </x:c>
      <x:c r="H61" s="34" t="n">
        <x:f>MAX(0,-H46)</x:f>
        <x:v>0</x:v>
      </x:c>
      <x:c r="I61" s="34" t="n">
        <x:f>MAX(0,-I46)</x:f>
        <x:v>0</x:v>
      </x:c>
      <x:c r="J61" s="1"/>
      <x:c r="K61" s="1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</x:row>
    <x:row r="62" ht="18" customHeight="1">
      <x:c r="A62" s="1"/>
      <x:c r="B62" s="1"/>
      <x:c r="C62" s="1" t="str">
        <x:v>Earned premium below zero</x:v>
      </x:c>
      <x:c r="D62" s="33"/>
      <x:c r="E62" s="34" t="n">
        <x:f>MAX(0,-E36)</x:f>
        <x:v>0</x:v>
      </x:c>
      <x:c r="F62" s="34" t="n">
        <x:f>MAX(0,-F36)</x:f>
        <x:v>0</x:v>
      </x:c>
      <x:c r="G62" s="34" t="n">
        <x:f>MAX(0,-G36)</x:f>
        <x:v>0</x:v>
      </x:c>
      <x:c r="H62" s="34" t="n">
        <x:f>MAX(0,-H36)</x:f>
        <x:v>0</x:v>
      </x:c>
      <x:c r="I62" s="34" t="n">
        <x:f>MAX(0,-I36)</x:f>
        <x:v>0</x:v>
      </x:c>
      <x:c r="J62" s="1"/>
      <x:c r="K62" s="1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</x:row>
    <x:row r="63" ht="18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1"/>
      <x:c r="K63" s="1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</x:row>
    <x:row r="64" ht="18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1"/>
      <x:c r="K64" s="1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</x:row>
    <x:row r="65" ht="18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1"/>
      <x:c r="K65" s="1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</x:row>
    <x:row r="66" ht="18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1"/>
      <x:c r="K66" s="1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</x:row>
    <x:row r="67" ht="18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1"/>
      <x:c r="K67" s="1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</x:row>
    <x:row r="68" ht="18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1"/>
      <x:c r="K68" s="1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</x:row>
    <x:row r="69" ht="18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1"/>
      <x:c r="K69" s="1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</x:row>
    <x:row r="70" ht="18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1"/>
      <x:c r="K70" s="1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</x:row>
    <x:row r="71" ht="18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1"/>
      <x:c r="K71" s="1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</x:row>
    <x:row r="72" ht="18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1"/>
      <x:c r="K72" s="1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</x:row>
    <x:row r="73" ht="18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1"/>
      <x:c r="K73" s="1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</x:row>
    <x:row r="74" ht="18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1"/>
      <x:c r="K74" s="1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</x:row>
    <x:row r="75" ht="18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1"/>
      <x:c r="K75" s="1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</x:row>
    <x:row r="76" ht="18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1"/>
      <x:c r="K76" s="1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</x:row>
    <x:row r="77" ht="18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1"/>
      <x:c r="K77" s="1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</x:row>
    <x:row r="78" ht="18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1"/>
      <x:c r="K78" s="1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</x:row>
    <x:row r="79" ht="18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1"/>
      <x:c r="K79" s="1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</x:row>
    <x:row r="80" ht="18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1"/>
      <x:c r="K80" s="1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</x:row>
    <x:row r="81" ht="18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1"/>
      <x:c r="K81" s="1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</x:row>
    <x:row r="82" ht="18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1"/>
      <x:c r="K82" s="1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</x:row>
    <x:row r="83" ht="18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1"/>
      <x:c r="K83" s="1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</x:row>
    <x:row r="84" ht="18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1"/>
      <x:c r="K84" s="1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</x:row>
    <x:row r="85" ht="18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1"/>
      <x:c r="K85" s="1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</x:row>
    <x:row r="86" ht="18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1"/>
      <x:c r="K86" s="1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</x:row>
    <x:row r="87" ht="18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1"/>
      <x:c r="K87" s="1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</x:row>
    <x:row r="88" ht="18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1"/>
      <x:c r="K88" s="1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</x:row>
    <x:row r="89" ht="18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1"/>
      <x:c r="K89" s="1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</x:row>
    <x:row r="90" ht="18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1"/>
      <x:c r="K90" s="1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</x:row>
    <x:row r="91" ht="18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1"/>
      <x:c r="K91" s="1"/>
    </x:row>
    <x:row r="92" ht="18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1"/>
      <x:c r="K92" s="1"/>
    </x:row>
    <x:row r="93" ht="18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1"/>
      <x:c r="K93" s="1"/>
    </x:row>
    <x:row r="94" ht="18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1"/>
      <x:c r="K94" s="1"/>
    </x:row>
    <x:row r="95" ht="18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1"/>
      <x:c r="K95" s="1"/>
    </x:row>
    <x:row r="96" ht="18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1"/>
      <x:c r="K96" s="1"/>
    </x:row>
    <x:row r="97" ht="18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1"/>
      <x:c r="K97" s="1"/>
    </x:row>
    <x:row r="98" ht="18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1"/>
      <x:c r="K98" s="1"/>
    </x:row>
    <x:row r="99" ht="18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1"/>
      <x:c r="K99" s="1"/>
    </x:row>
    <x:row r="100" ht="18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1"/>
      <x:c r="K100" s="1"/>
    </x:row>
    <x:row r="101" ht="18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1"/>
      <x:c r="K101" s="1"/>
    </x:row>
    <x:row r="102" ht="18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1"/>
      <x:c r="K102" s="1"/>
    </x:row>
    <x:row r="103" ht="18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1"/>
      <x:c r="K103" s="1"/>
    </x:row>
    <x:row r="104" ht="18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1"/>
      <x:c r="K104" s="1"/>
    </x:row>
    <x:row r="105" ht="18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1"/>
      <x:c r="K105" s="1"/>
    </x:row>
    <x:row r="106" ht="18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1"/>
      <x:c r="K106" s="1"/>
    </x:row>
    <x:row r="107" ht="18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1"/>
      <x:c r="K107" s="1"/>
    </x:row>
    <x:row r="108" ht="18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1"/>
      <x:c r="K108" s="1"/>
    </x:row>
    <x:row r="109" ht="18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1"/>
      <x:c r="K109" s="1"/>
    </x:row>
    <x:row r="110" ht="25" customHeight="1">
      <x:c r="A110" s="1"/>
      <x:c r="B110" s="1"/>
      <x:c r="C110" s="68" t="str">
        <x:v>SUPPORTING SCHEDULE ASSUMPTIONS</x:v>
      </x:c>
      <x:c r="D110" s="69"/>
      <x:c r="E110" s="69"/>
      <x:c r="F110" s="69"/>
      <x:c r="G110" s="69"/>
      <x:c r="H110" s="69"/>
      <x:c r="I110" s="69"/>
      <x:c r="J110" s="1"/>
      <x:c r="K110" s="1"/>
    </x:row>
    <x:row r="111" ht="30" customHeight="1">
      <x:c r="A111" s="1"/>
      <x:c r="B111" s="1"/>
      <x:c r="C111" s="64"/>
      <x:c r="D111" s="8"/>
      <x:c r="E111" s="8"/>
      <x:c r="F111" s="8"/>
      <x:c r="G111" s="8"/>
      <x:c r="H111" s="8"/>
      <x:c r="I111" s="8"/>
      <x:c r="J111" s="1"/>
      <x:c r="K111" s="1"/>
    </x:row>
    <x:row r="112" ht="30" customHeight="1">
      <x:c r="A112" s="1"/>
      <x:c r="B112" s="1"/>
      <x:c r="C112" s="64"/>
      <x:c r="D112" s="8"/>
      <x:c r="E112" s="8"/>
      <x:c r="F112" s="8"/>
      <x:c r="G112" s="8"/>
      <x:c r="H112" s="8"/>
      <x:c r="I112" s="8"/>
      <x:c r="J112" s="1"/>
      <x:c r="K112" s="1"/>
    </x:row>
    <x:row r="113" ht="30" customHeight="1">
      <x:c r="A113" s="1"/>
      <x:c r="B113" s="1"/>
      <x:c r="C113" s="64"/>
      <x:c r="D113" s="8"/>
      <x:c r="E113" s="8"/>
      <x:c r="F113" s="8"/>
      <x:c r="G113" s="8"/>
      <x:c r="H113" s="8"/>
      <x:c r="I113" s="8"/>
      <x:c r="J113" s="1"/>
      <x:c r="K113" s="1"/>
    </x:row>
    <x:row r="114" ht="30" customHeight="1">
      <x:c r="A114" s="1"/>
      <x:c r="B114" s="1"/>
      <x:c r="C114" s="64"/>
      <x:c r="D114" s="8"/>
      <x:c r="E114" s="8"/>
      <x:c r="F114" s="8"/>
      <x:c r="G114" s="8"/>
      <x:c r="H114" s="8"/>
      <x:c r="I114" s="8"/>
      <x:c r="J114" s="1"/>
      <x:c r="K114" s="1"/>
    </x:row>
    <x:row r="115" ht="30" customHeight="1">
      <x:c r="A115" s="1"/>
      <x:c r="B115" s="1"/>
      <x:c r="C115" s="64"/>
      <x:c r="D115" s="8"/>
      <x:c r="E115" s="8"/>
      <x:c r="F115" s="8"/>
      <x:c r="G115" s="8"/>
      <x:c r="H115" s="8"/>
      <x:c r="I115" s="8"/>
      <x:c r="J115" s="1"/>
      <x:c r="K115" s="1"/>
    </x:row>
    <x:row r="116" ht="30" customHeight="1">
      <x:c r="A116" s="1"/>
      <x:c r="B116" s="1"/>
      <x:c r="C116" s="64" t="str">
        <x:v>Opening tax losses available for use</x:v>
      </x:c>
      <x:c r="D116" s="74" t="n">
        <x:v>0</x:v>
      </x:c>
      <x:c r="E116" s="8"/>
      <x:c r="F116" s="8"/>
      <x:c r="G116" s="8"/>
      <x:c r="H116" s="8"/>
      <x:c r="I116" s="8"/>
      <x:c r="J116" s="1"/>
      <x:c r="K116" s="1"/>
    </x:row>
    <x:row r="117" ht="30" customHeight="1">
      <x:c r="A117" s="1"/>
      <x:c r="B117" s="1"/>
      <x:c r="C117" s="64" t="str">
        <x:v>Tax loss utilization share of positive PBT</x:v>
      </x:c>
      <x:c r="D117" s="72" t="n">
        <x:v>1</x:v>
      </x:c>
      <x:c r="E117" s="8"/>
      <x:c r="F117" s="8"/>
      <x:c r="G117" s="8"/>
      <x:c r="H117" s="8"/>
      <x:c r="I117" s="8"/>
      <x:c r="J117" s="1"/>
      <x:c r="K117" s="1" t="str">
        <x:v>Simplified cash tax schedule. Check company-specific eligibility, expiry, MAT and deferred tax separately.</x:v>
      </x:c>
    </x:row>
    <x:row r="118" ht="30" customHeight="1">
      <x:c r="A118" s="1"/>
      <x:c r="B118" s="1"/>
      <x:c r="C118" s="64"/>
      <x:c r="D118" s="8"/>
      <x:c r="E118" s="8"/>
      <x:c r="F118" s="8"/>
      <x:c r="G118" s="8"/>
      <x:c r="H118" s="8"/>
      <x:c r="I118" s="8"/>
      <x:c r="J118" s="1"/>
      <x:c r="K118" s="1"/>
    </x:row>
    <x:row r="119" ht="30" customHeight="1">
      <x:c r="A119" s="1"/>
      <x:c r="B119" s="1"/>
      <x:c r="C119" s="64"/>
      <x:c r="D119" s="8"/>
      <x:c r="E119" s="8"/>
      <x:c r="F119" s="8"/>
      <x:c r="G119" s="8"/>
      <x:c r="H119" s="8"/>
      <x:c r="I119" s="8"/>
      <x:c r="J119" s="1"/>
      <x:c r="K119" s="1"/>
    </x:row>
    <x:row r="120" ht="30" customHeight="1">
      <x:c r="A120" s="1"/>
      <x:c r="B120" s="1"/>
      <x:c r="C120" s="64"/>
      <x:c r="D120" s="8"/>
      <x:c r="E120" s="8"/>
      <x:c r="F120" s="8"/>
      <x:c r="G120" s="8"/>
      <x:c r="H120" s="8"/>
      <x:c r="I120" s="8"/>
      <x:c r="J120" s="1"/>
      <x:c r="K120" s="1"/>
    </x:row>
    <x:row r="121" ht="30" customHeight="1">
      <x:c r="A121" s="1"/>
      <x:c r="B121" s="1"/>
      <x:c r="C121" s="64"/>
      <x:c r="D121" s="8"/>
      <x:c r="E121" s="8"/>
      <x:c r="F121" s="8"/>
      <x:c r="G121" s="8"/>
      <x:c r="H121" s="8"/>
      <x:c r="I121" s="8"/>
      <x:c r="J121" s="1"/>
      <x:c r="K121" s="1"/>
    </x:row>
    <x:row r="122" ht="30" customHeight="1">
      <x:c r="A122" s="1"/>
      <x:c r="B122" s="1"/>
      <x:c r="C122" s="64"/>
      <x:c r="D122" s="8"/>
      <x:c r="E122" s="8"/>
      <x:c r="F122" s="8"/>
      <x:c r="G122" s="8"/>
      <x:c r="H122" s="8"/>
      <x:c r="I122" s="8"/>
      <x:c r="J122" s="1"/>
      <x:c r="K122" s="1"/>
    </x:row>
    <x:row r="123" ht="30" customHeight="1">
      <x:c r="A123" s="1"/>
      <x:c r="B123" s="1"/>
      <x:c r="C123" s="64"/>
      <x:c r="D123" s="8"/>
      <x:c r="E123" s="8"/>
      <x:c r="F123" s="8"/>
      <x:c r="G123" s="8"/>
      <x:c r="H123" s="8"/>
      <x:c r="I123" s="8"/>
      <x:c r="J123" s="1"/>
      <x:c r="K123" s="1"/>
    </x:row>
    <x:row r="124" ht="30" customHeight="1">
      <x:c r="A124" s="1"/>
      <x:c r="B124" s="1"/>
      <x:c r="C124" s="64"/>
      <x:c r="D124" s="8"/>
      <x:c r="E124" s="8"/>
      <x:c r="F124" s="8"/>
      <x:c r="G124" s="8"/>
      <x:c r="H124" s="8"/>
      <x:c r="I124" s="8"/>
      <x:c r="J124" s="1"/>
      <x:c r="K124" s="1"/>
    </x:row>
    <x:row r="125" ht="30" customHeight="1">
      <x:c r="A125" s="1"/>
      <x:c r="B125" s="1"/>
      <x:c r="C125" s="64"/>
      <x:c r="D125" s="8"/>
      <x:c r="E125" s="8"/>
      <x:c r="F125" s="8"/>
      <x:c r="G125" s="8"/>
      <x:c r="H125" s="8"/>
      <x:c r="I125" s="8"/>
      <x:c r="J125" s="1"/>
      <x:c r="K125" s="1"/>
    </x:row>
    <x:row r="126" ht="30" customHeight="1">
      <x:c r="A126" s="1"/>
      <x:c r="B126" s="1"/>
      <x:c r="C126" s="64"/>
      <x:c r="D126" s="8"/>
      <x:c r="E126" s="8"/>
      <x:c r="F126" s="8"/>
      <x:c r="G126" s="8"/>
      <x:c r="H126" s="8"/>
      <x:c r="I126" s="8"/>
      <x:c r="J126" s="1"/>
      <x:c r="K126" s="1"/>
    </x:row>
    <x:row r="127" ht="30" customHeight="1">
      <x:c r="A127" s="1"/>
      <x:c r="B127" s="1"/>
      <x:c r="C127" s="64"/>
      <x:c r="D127" s="8"/>
      <x:c r="E127" s="8"/>
      <x:c r="F127" s="8"/>
      <x:c r="G127" s="8"/>
      <x:c r="H127" s="8"/>
      <x:c r="I127" s="8"/>
      <x:c r="J127" s="1"/>
      <x:c r="K127" s="1"/>
    </x:row>
    <x:row r="128" ht="30" customHeight="1">
      <x:c r="A128" s="1"/>
      <x:c r="B128" s="1"/>
      <x:c r="C128" s="64"/>
      <x:c r="D128" s="8"/>
      <x:c r="E128" s="8"/>
      <x:c r="F128" s="8"/>
      <x:c r="G128" s="8"/>
      <x:c r="H128" s="8"/>
      <x:c r="I128" s="8"/>
      <x:c r="J128" s="1"/>
      <x:c r="K128" s="1"/>
    </x:row>
    <x:row r="129" ht="30" customHeight="1">
      <x:c r="A129" s="1"/>
      <x:c r="B129" s="1"/>
      <x:c r="C129" s="64"/>
      <x:c r="D129" s="8"/>
      <x:c r="E129" s="8"/>
      <x:c r="F129" s="8"/>
      <x:c r="G129" s="8"/>
      <x:c r="H129" s="8"/>
      <x:c r="I129" s="8"/>
      <x:c r="J129" s="1"/>
      <x:c r="K129" s="1"/>
    </x:row>
    <x:row r="130" ht="30" customHeight="1">
      <x:c r="A130" s="1"/>
      <x:c r="B130" s="1"/>
      <x:c r="C130" s="64"/>
      <x:c r="D130" s="8"/>
      <x:c r="E130" s="8"/>
      <x:c r="F130" s="8"/>
      <x:c r="G130" s="8"/>
      <x:c r="H130" s="8"/>
      <x:c r="I130" s="8"/>
      <x:c r="J130" s="1"/>
      <x:c r="K130" s="1"/>
    </x:row>
    <x:row r="131" ht="30" customHeight="1">
      <x:c r="A131" s="1"/>
      <x:c r="B131" s="1"/>
      <x:c r="C131" s="64"/>
      <x:c r="D131" s="8"/>
      <x:c r="E131" s="8"/>
      <x:c r="F131" s="8"/>
      <x:c r="G131" s="8"/>
      <x:c r="H131" s="8"/>
      <x:c r="I131" s="8"/>
      <x:c r="J131" s="1"/>
      <x:c r="K131" s="1"/>
    </x:row>
    <x:row r="132" ht="30" customHeight="1">
      <x:c r="A132" s="1"/>
      <x:c r="B132" s="1"/>
      <x:c r="C132" s="64"/>
      <x:c r="D132" s="8"/>
      <x:c r="E132" s="8"/>
      <x:c r="F132" s="8"/>
      <x:c r="G132" s="8"/>
      <x:c r="H132" s="8"/>
      <x:c r="I132" s="8"/>
      <x:c r="J132" s="1"/>
      <x:c r="K132" s="1"/>
    </x:row>
    <x:row r="133" ht="30" customHeight="1">
      <x:c r="A133" s="1"/>
      <x:c r="B133" s="1"/>
      <x:c r="C133" s="64"/>
      <x:c r="D133" s="8"/>
      <x:c r="E133" s="8"/>
      <x:c r="F133" s="8"/>
      <x:c r="G133" s="8"/>
      <x:c r="H133" s="8"/>
      <x:c r="I133" s="8"/>
      <x:c r="J133" s="1"/>
      <x:c r="K133" s="1"/>
    </x:row>
    <x:row r="134" ht="30" customHeight="1">
      <x:c r="A134" s="1"/>
      <x:c r="B134" s="1"/>
      <x:c r="C134" s="64"/>
      <x:c r="D134" s="8"/>
      <x:c r="E134" s="8"/>
      <x:c r="F134" s="8"/>
      <x:c r="G134" s="8"/>
      <x:c r="H134" s="8"/>
      <x:c r="I134" s="8"/>
      <x:c r="J134" s="1"/>
      <x:c r="K134" s="1"/>
    </x:row>
    <x:row r="135" ht="30" customHeight="1">
      <x:c r="A135" s="1"/>
      <x:c r="B135" s="1"/>
      <x:c r="C135" s="64"/>
      <x:c r="D135" s="8"/>
      <x:c r="E135" s="8"/>
      <x:c r="F135" s="8"/>
      <x:c r="G135" s="8"/>
      <x:c r="H135" s="8"/>
      <x:c r="I135" s="8"/>
      <x:c r="J135" s="1"/>
      <x:c r="K135" s="1"/>
    </x:row>
    <x:row r="136" ht="30" customHeight="1">
      <x:c r="A136" s="1"/>
      <x:c r="B136" s="1"/>
      <x:c r="C136" s="64"/>
      <x:c r="D136" s="8"/>
      <x:c r="E136" s="8"/>
      <x:c r="F136" s="8"/>
      <x:c r="G136" s="8"/>
      <x:c r="H136" s="8"/>
      <x:c r="I136" s="8"/>
      <x:c r="J136" s="1"/>
      <x:c r="K136" s="1"/>
    </x:row>
    <x:row r="137" ht="30" customHeight="1">
      <x:c r="A137" s="1"/>
      <x:c r="B137" s="1"/>
      <x:c r="C137" s="64"/>
      <x:c r="D137" s="8"/>
      <x:c r="E137" s="8"/>
      <x:c r="F137" s="8"/>
      <x:c r="G137" s="8"/>
      <x:c r="H137" s="8"/>
      <x:c r="I137" s="8"/>
      <x:c r="J137" s="1"/>
      <x:c r="K137" s="1"/>
    </x:row>
    <x:row r="138" ht="30" customHeight="1">
      <x:c r="A138" s="1"/>
      <x:c r="B138" s="1"/>
      <x:c r="C138" s="64"/>
      <x:c r="D138" s="8"/>
      <x:c r="E138" s="8"/>
      <x:c r="F138" s="8"/>
      <x:c r="G138" s="8"/>
      <x:c r="H138" s="8"/>
      <x:c r="I138" s="8"/>
      <x:c r="J138" s="1"/>
      <x:c r="K138" s="1"/>
    </x:row>
    <x:row r="139" ht="25" customHeight="1">
      <x:c r="A139" s="1"/>
      <x:c r="B139" s="1"/>
      <x:c r="C139" s="68" t="str">
        <x:v>CASH TAX SCHEDULE</x:v>
      </x:c>
      <x:c r="D139" s="69"/>
      <x:c r="E139" s="69"/>
      <x:c r="F139" s="69"/>
      <x:c r="G139" s="69"/>
      <x:c r="H139" s="69"/>
      <x:c r="I139" s="69"/>
      <x:c r="J139" s="1"/>
      <x:c r="K139" s="1"/>
    </x:row>
    <x:row r="140" ht="30" customHeight="1">
      <x:c r="A140" s="1"/>
      <x:c r="B140" s="1"/>
      <x:c r="C140" s="64" t="str">
        <x:v>Opening usable tax losses</x:v>
      </x:c>
      <x:c r="D140" s="8"/>
      <x:c r="E140" s="8" t="n">
        <x:f>$D$116</x:f>
        <x:v>0</x:v>
      </x:c>
      <x:c r="F140" s="8" t="n">
        <x:f>E145</x:f>
        <x:v>0</x:v>
      </x:c>
      <x:c r="G140" s="8" t="n">
        <x:f>F145</x:f>
        <x:v>0</x:v>
      </x:c>
      <x:c r="H140" s="8" t="n">
        <x:f>G145</x:f>
        <x:v>0</x:v>
      </x:c>
      <x:c r="I140" s="8" t="n">
        <x:f>H145</x:f>
        <x:v>0</x:v>
      </x:c>
      <x:c r="J140" s="1"/>
      <x:c r="K140" s="1"/>
    </x:row>
    <x:row r="141" ht="30" customHeight="1">
      <x:c r="A141" s="1"/>
      <x:c r="B141" s="1"/>
      <x:c r="C141" s="64" t="str">
        <x:v>Profit before tax for loss utilization</x:v>
      </x:c>
      <x:c r="D141" s="8"/>
      <x:c r="E141" s="8" t="n">
        <x:f>E41</x:f>
        <x:v>714</x:v>
      </x:c>
      <x:c r="F141" s="8" t="n">
        <x:f>F41</x:f>
        <x:v>943.5566249999996</x:v>
      </x:c>
      <x:c r="G141" s="8" t="n">
        <x:f>G41</x:f>
        <x:v>1054.5315341015628</x:v>
      </x:c>
      <x:c r="H141" s="8" t="n">
        <x:f>H41</x:f>
        <x:v>1178.741097717151</x:v>
      </x:c>
      <x:c r="I141" s="8" t="n">
        <x:f>I41</x:f>
        <x:v>1317.7704640304344</x:v>
      </x:c>
      <x:c r="J141" s="1"/>
      <x:c r="K141" s="1"/>
    </x:row>
    <x:row r="142" ht="30" customHeight="1">
      <x:c r="A142" s="1"/>
      <x:c r="B142" s="1"/>
      <x:c r="C142" s="64" t="str">
        <x:v>Tax losses utilized</x:v>
      </x:c>
      <x:c r="D142" s="8"/>
      <x:c r="E142" s="8" t="n">
        <x:f>MIN(E140,MAX(0,E141)*$D$117)</x:f>
        <x:v>0</x:v>
      </x:c>
      <x:c r="F142" s="8" t="n">
        <x:f>MIN(F140,MAX(0,F141)*$D$117)</x:f>
        <x:v>0</x:v>
      </x:c>
      <x:c r="G142" s="8" t="n">
        <x:f>MIN(G140,MAX(0,G141)*$D$117)</x:f>
        <x:v>0</x:v>
      </x:c>
      <x:c r="H142" s="8" t="n">
        <x:f>MIN(H140,MAX(0,H141)*$D$117)</x:f>
        <x:v>0</x:v>
      </x:c>
      <x:c r="I142" s="8" t="n">
        <x:f>MIN(I140,MAX(0,I141)*$D$117)</x:f>
        <x:v>0</x:v>
      </x:c>
      <x:c r="J142" s="1"/>
      <x:c r="K142" s="1"/>
    </x:row>
    <x:row r="143" ht="30" customHeight="1">
      <x:c r="A143" s="1"/>
      <x:c r="B143" s="1"/>
      <x:c r="C143" s="64" t="str">
        <x:v>Taxable profit after loss utilization</x:v>
      </x:c>
      <x:c r="D143" s="8"/>
      <x:c r="E143" s="8" t="n">
        <x:f>MAX(0,E141-E142)</x:f>
        <x:v>714</x:v>
      </x:c>
      <x:c r="F143" s="8" t="n">
        <x:f>MAX(0,F141-F142)</x:f>
        <x:v>943.5566249999996</x:v>
      </x:c>
      <x:c r="G143" s="8" t="n">
        <x:f>MAX(0,G141-G142)</x:f>
        <x:v>1054.5315341015628</x:v>
      </x:c>
      <x:c r="H143" s="8" t="n">
        <x:f>MAX(0,H141-H142)</x:f>
        <x:v>1178.741097717151</x:v>
      </x:c>
      <x:c r="I143" s="8" t="n">
        <x:f>MAX(0,I141-I142)</x:f>
        <x:v>1317.7704640304344</x:v>
      </x:c>
      <x:c r="J143" s="1"/>
      <x:c r="K143" s="1"/>
    </x:row>
    <x:row r="144" ht="30" customHeight="1">
      <x:c r="A144" s="1"/>
      <x:c r="B144" s="1"/>
      <x:c r="C144" s="64" t="str">
        <x:v>Cash income tax after loss utilization</x:v>
      </x:c>
      <x:c r="D144" s="8"/>
      <x:c r="E144" s="8" t="n">
        <x:f>E143*E30</x:f>
        <x:v>178.5</x:v>
      </x:c>
      <x:c r="F144" s="8" t="n">
        <x:f>F143*F30</x:f>
        <x:v>235.8891562499999</x:v>
      </x:c>
      <x:c r="G144" s="8" t="n">
        <x:f>G143*G30</x:f>
        <x:v>263.6328835253907</x:v>
      </x:c>
      <x:c r="H144" s="8" t="n">
        <x:f>H143*H30</x:f>
        <x:v>294.68527442928774</x:v>
      </x:c>
      <x:c r="I144" s="8" t="n">
        <x:f>I143*I30</x:f>
        <x:v>329.4426160076086</x:v>
      </x:c>
      <x:c r="J144" s="1"/>
      <x:c r="K144" s="1"/>
    </x:row>
    <x:row r="145" ht="30" customHeight="1">
      <x:c r="A145" s="1"/>
      <x:c r="B145" s="1"/>
      <x:c r="C145" s="64" t="str">
        <x:v>Closing usable tax losses</x:v>
      </x:c>
      <x:c r="D145" s="8"/>
      <x:c r="E145" s="8" t="n">
        <x:f>E140-E142+MAX(0,-E141)</x:f>
        <x:v>0</x:v>
      </x:c>
      <x:c r="F145" s="8" t="n">
        <x:f>F140-F142+MAX(0,-F141)</x:f>
        <x:v>0</x:v>
      </x:c>
      <x:c r="G145" s="8" t="n">
        <x:f>G140-G142+MAX(0,-G141)</x:f>
        <x:v>0</x:v>
      </x:c>
      <x:c r="H145" s="8" t="n">
        <x:f>H140-H142+MAX(0,-H141)</x:f>
        <x:v>0</x:v>
      </x:c>
      <x:c r="I145" s="8" t="n">
        <x:f>I140-I142+MAX(0,-I141)</x:f>
        <x:v>0</x:v>
      </x:c>
      <x:c r="J145" s="1"/>
      <x:c r="K145" s="1"/>
    </x:row>
    <x:row r="146" ht="30" customHeight="1">
      <x:c r="A146" s="1"/>
      <x:c r="B146" s="1"/>
      <x:c r="C146" s="64"/>
      <x:c r="D146" s="8"/>
      <x:c r="E146" s="8"/>
      <x:c r="F146" s="8"/>
      <x:c r="G146" s="8"/>
      <x:c r="H146" s="8"/>
      <x:c r="I146" s="8"/>
      <x:c r="J146" s="1"/>
      <x:c r="K146" s="1"/>
    </x:row>
    <x:row r="147" ht="30" customHeight="1">
      <x:c r="A147" s="1"/>
      <x:c r="B147" s="1"/>
      <x:c r="C147" s="64"/>
      <x:c r="D147" s="8"/>
      <x:c r="E147" s="8"/>
      <x:c r="F147" s="8"/>
      <x:c r="G147" s="8"/>
      <x:c r="H147" s="8"/>
      <x:c r="I147" s="8"/>
      <x:c r="J147" s="1"/>
      <x:c r="K147" s="1"/>
    </x:row>
    <x:row r="148" ht="30" customHeight="1">
      <x:c r="A148" s="1"/>
      <x:c r="B148" s="1"/>
      <x:c r="C148" s="64"/>
      <x:c r="D148" s="8"/>
      <x:c r="E148" s="8"/>
      <x:c r="F148" s="8"/>
      <x:c r="G148" s="8"/>
      <x:c r="H148" s="8"/>
      <x:c r="I148" s="8"/>
      <x:c r="J148" s="1"/>
      <x:c r="K148" s="1"/>
    </x:row>
    <x:row r="149" ht="30" customHeight="1">
      <x:c r="A149" s="1"/>
      <x:c r="B149" s="1"/>
      <x:c r="C149" s="64"/>
      <x:c r="D149" s="8"/>
      <x:c r="E149" s="8"/>
      <x:c r="F149" s="8"/>
      <x:c r="G149" s="8"/>
      <x:c r="H149" s="8"/>
      <x:c r="I149" s="8"/>
      <x:c r="J149" s="1"/>
      <x:c r="K149" s="1"/>
    </x:row>
    <x:row r="150" ht="30" customHeight="1">
      <x:c r="A150" s="1"/>
      <x:c r="B150" s="1"/>
      <x:c r="C150" s="64"/>
      <x:c r="D150" s="8"/>
      <x:c r="E150" s="8"/>
      <x:c r="F150" s="8"/>
      <x:c r="G150" s="8"/>
      <x:c r="H150" s="8"/>
      <x:c r="I150" s="8"/>
      <x:c r="J150" s="1"/>
      <x:c r="K150" s="1"/>
    </x:row>
    <x:row r="151" ht="30" customHeight="1">
      <x:c r="A151" s="1"/>
      <x:c r="B151" s="1"/>
      <x:c r="C151" s="64"/>
      <x:c r="D151" s="8"/>
      <x:c r="E151" s="8"/>
      <x:c r="F151" s="8"/>
      <x:c r="G151" s="8"/>
      <x:c r="H151" s="8"/>
      <x:c r="I151" s="8"/>
      <x:c r="J151" s="1"/>
      <x:c r="K151" s="1"/>
    </x:row>
    <x:row r="152" ht="30" customHeight="1">
      <x:c r="A152" s="1"/>
      <x:c r="B152" s="1"/>
      <x:c r="C152" s="64"/>
      <x:c r="D152" s="8"/>
      <x:c r="E152" s="8"/>
      <x:c r="F152" s="8"/>
      <x:c r="G152" s="8"/>
      <x:c r="H152" s="8"/>
      <x:c r="I152" s="8"/>
      <x:c r="J152" s="1"/>
      <x:c r="K152" s="1"/>
    </x:row>
    <x:row r="153" ht="30" customHeight="1">
      <x:c r="A153" s="1"/>
      <x:c r="B153" s="1"/>
      <x:c r="C153" s="64"/>
      <x:c r="D153" s="8"/>
      <x:c r="E153" s="8"/>
      <x:c r="F153" s="8"/>
      <x:c r="G153" s="8"/>
      <x:c r="H153" s="8"/>
      <x:c r="I153" s="8"/>
      <x:c r="J153" s="1"/>
      <x:c r="K153" s="1"/>
    </x:row>
    <x:row r="154" ht="30" customHeight="1">
      <x:c r="A154" s="1"/>
      <x:c r="B154" s="1"/>
      <x:c r="C154" s="64"/>
      <x:c r="D154" s="8"/>
      <x:c r="E154" s="8"/>
      <x:c r="F154" s="8"/>
      <x:c r="G154" s="8"/>
      <x:c r="H154" s="8"/>
      <x:c r="I154" s="8"/>
      <x:c r="J154" s="1"/>
      <x:c r="K154" s="1"/>
    </x:row>
    <x:row r="155" ht="30" customHeight="1">
      <x:c r="A155" s="1"/>
      <x:c r="B155" s="1"/>
      <x:c r="C155" s="64"/>
      <x:c r="D155" s="8"/>
      <x:c r="E155" s="8"/>
      <x:c r="F155" s="8"/>
      <x:c r="G155" s="8"/>
      <x:c r="H155" s="8"/>
      <x:c r="I155" s="8"/>
      <x:c r="J155" s="1"/>
      <x:c r="K155" s="1"/>
    </x:row>
    <x:row r="156" ht="30" customHeight="1">
      <x:c r="A156" s="1"/>
      <x:c r="B156" s="1"/>
      <x:c r="C156" s="64"/>
      <x:c r="D156" s="8"/>
      <x:c r="E156" s="8"/>
      <x:c r="F156" s="8"/>
      <x:c r="G156" s="8"/>
      <x:c r="H156" s="8"/>
      <x:c r="I156" s="8"/>
      <x:c r="J156" s="1"/>
      <x:c r="K156" s="1"/>
    </x:row>
    <x:row r="157" ht="30" customHeight="1">
      <x:c r="A157" s="1"/>
      <x:c r="B157" s="1"/>
      <x:c r="C157" s="64"/>
      <x:c r="D157" s="8"/>
      <x:c r="E157" s="8"/>
      <x:c r="F157" s="8"/>
      <x:c r="G157" s="8"/>
      <x:c r="H157" s="8"/>
      <x:c r="I157" s="8"/>
      <x:c r="J157" s="1"/>
      <x:c r="K157" s="1"/>
    </x:row>
    <x:row r="158" ht="30" customHeight="1">
      <x:c r="A158" s="1"/>
      <x:c r="B158" s="1"/>
      <x:c r="C158" s="64"/>
      <x:c r="D158" s="8"/>
      <x:c r="E158" s="8"/>
      <x:c r="F158" s="8"/>
      <x:c r="G158" s="8"/>
      <x:c r="H158" s="8"/>
      <x:c r="I158" s="8"/>
      <x:c r="J158" s="1"/>
      <x:c r="K158" s="1"/>
    </x:row>
    <x:row r="159" ht="30" customHeight="1">
      <x:c r="A159" s="1"/>
      <x:c r="B159" s="1"/>
      <x:c r="C159" s="64"/>
      <x:c r="D159" s="8"/>
      <x:c r="E159" s="8"/>
      <x:c r="F159" s="8"/>
      <x:c r="G159" s="8"/>
      <x:c r="H159" s="8"/>
      <x:c r="I159" s="8"/>
      <x:c r="J159" s="1"/>
      <x:c r="K159" s="1"/>
    </x:row>
    <x:row r="160" ht="30" customHeight="1">
      <x:c r="A160" s="1"/>
      <x:c r="B160" s="1"/>
      <x:c r="C160" s="64"/>
      <x:c r="D160" s="8"/>
      <x:c r="E160" s="8"/>
      <x:c r="F160" s="8"/>
      <x:c r="G160" s="8"/>
      <x:c r="H160" s="8"/>
      <x:c r="I160" s="8"/>
      <x:c r="J160" s="1"/>
      <x:c r="K160" s="1"/>
    </x:row>
    <x:row r="161" ht="30" customHeight="1">
      <x:c r="A161" s="1"/>
      <x:c r="B161" s="1"/>
      <x:c r="C161" s="64"/>
      <x:c r="D161" s="8"/>
      <x:c r="E161" s="8"/>
      <x:c r="F161" s="8"/>
      <x:c r="G161" s="8"/>
      <x:c r="H161" s="8"/>
      <x:c r="I161" s="8"/>
      <x:c r="J161" s="1"/>
      <x:c r="K161" s="1"/>
    </x:row>
    <x:row r="162" ht="30" customHeight="1">
      <x:c r="A162" s="1"/>
      <x:c r="B162" s="1"/>
      <x:c r="C162" s="64"/>
      <x:c r="D162" s="8"/>
      <x:c r="E162" s="8"/>
      <x:c r="F162" s="8"/>
      <x:c r="G162" s="8"/>
      <x:c r="H162" s="8"/>
      <x:c r="I162" s="8"/>
      <x:c r="J162" s="1"/>
      <x:c r="K162" s="1"/>
    </x:row>
    <x:row r="163" ht="30" customHeight="1">
      <x:c r="A163" s="1"/>
      <x:c r="B163" s="1"/>
      <x:c r="C163" s="64"/>
      <x:c r="D163" s="8"/>
      <x:c r="E163" s="8"/>
      <x:c r="F163" s="8"/>
      <x:c r="G163" s="8"/>
      <x:c r="H163" s="8"/>
      <x:c r="I163" s="8"/>
      <x:c r="J163" s="1"/>
      <x:c r="K163" s="1"/>
    </x:row>
    <x:row r="164" ht="30" customHeight="1">
      <x:c r="A164" s="1"/>
      <x:c r="B164" s="1"/>
      <x:c r="C164" s="64"/>
      <x:c r="D164" s="8"/>
      <x:c r="E164" s="8"/>
      <x:c r="F164" s="8"/>
      <x:c r="G164" s="8"/>
      <x:c r="H164" s="8"/>
      <x:c r="I164" s="8"/>
      <x:c r="J164" s="1"/>
      <x:c r="K164" s="1"/>
    </x:row>
    <x:row r="165" ht="30" customHeight="1">
      <x:c r="A165" s="1"/>
      <x:c r="B165" s="1"/>
      <x:c r="C165" s="64"/>
      <x:c r="D165" s="8"/>
      <x:c r="E165" s="8"/>
      <x:c r="F165" s="8"/>
      <x:c r="G165" s="8"/>
      <x:c r="H165" s="8"/>
      <x:c r="I165" s="8"/>
      <x:c r="J165" s="1"/>
      <x:c r="K165" s="1"/>
    </x:row>
    <x:row r="166" ht="30" customHeight="1">
      <x:c r="A166" s="1"/>
      <x:c r="B166" s="1"/>
      <x:c r="C166" s="64"/>
      <x:c r="D166" s="8"/>
      <x:c r="E166" s="8"/>
      <x:c r="F166" s="8"/>
      <x:c r="G166" s="8"/>
      <x:c r="H166" s="8"/>
      <x:c r="I166" s="8"/>
      <x:c r="J166" s="1"/>
      <x:c r="K166" s="1"/>
    </x:row>
    <x:row r="167" ht="30" customHeight="1">
      <x:c r="A167" s="1"/>
      <x:c r="B167" s="1"/>
      <x:c r="C167" s="64"/>
      <x:c r="D167" s="8"/>
      <x:c r="E167" s="8"/>
      <x:c r="F167" s="8"/>
      <x:c r="G167" s="8"/>
      <x:c r="H167" s="8"/>
      <x:c r="I167" s="8"/>
      <x:c r="J167" s="1"/>
      <x:c r="K167" s="1"/>
    </x:row>
    <x:row r="168" ht="30" customHeight="1">
      <x:c r="A168" s="1"/>
      <x:c r="B168" s="1"/>
      <x:c r="C168" s="64"/>
      <x:c r="D168" s="8"/>
      <x:c r="E168" s="8"/>
      <x:c r="F168" s="8"/>
      <x:c r="G168" s="8"/>
      <x:c r="H168" s="8"/>
      <x:c r="I168" s="8"/>
      <x:c r="J168" s="1"/>
      <x:c r="K168" s="1"/>
    </x:row>
    <x:row r="169" ht="30" customHeight="1">
      <x:c r="A169" s="1"/>
      <x:c r="B169" s="1"/>
      <x:c r="C169" s="64"/>
      <x:c r="D169" s="8"/>
      <x:c r="E169" s="8"/>
      <x:c r="F169" s="8"/>
      <x:c r="G169" s="8"/>
      <x:c r="H169" s="8"/>
      <x:c r="I169" s="8"/>
      <x:c r="J169" s="1"/>
      <x:c r="K169" s="1"/>
    </x:row>
    <x:row r="170" ht="30" customHeight="1">
      <x:c r="A170" s="1"/>
      <x:c r="B170" s="1"/>
      <x:c r="C170" s="64"/>
      <x:c r="D170" s="8"/>
      <x:c r="E170" s="8"/>
      <x:c r="F170" s="8"/>
      <x:c r="G170" s="8"/>
      <x:c r="H170" s="8"/>
      <x:c r="I170" s="8"/>
      <x:c r="J170" s="1"/>
      <x:c r="K170" s="1"/>
    </x:row>
    <x:row r="171" ht="30" customHeight="1">
      <x:c r="A171" s="1"/>
      <x:c r="B171" s="1"/>
      <x:c r="C171" s="64"/>
      <x:c r="D171" s="8"/>
      <x:c r="E171" s="8"/>
      <x:c r="F171" s="8"/>
      <x:c r="G171" s="8"/>
      <x:c r="H171" s="8"/>
      <x:c r="I171" s="8"/>
      <x:c r="J171" s="1"/>
      <x:c r="K171" s="1"/>
    </x:row>
    <x:row r="172" ht="30" customHeight="1">
      <x:c r="A172" s="1"/>
      <x:c r="B172" s="1"/>
      <x:c r="C172" s="64"/>
      <x:c r="D172" s="8"/>
      <x:c r="E172" s="8"/>
      <x:c r="F172" s="8"/>
      <x:c r="G172" s="8"/>
      <x:c r="H172" s="8"/>
      <x:c r="I172" s="8"/>
      <x:c r="J172" s="1"/>
      <x:c r="K172" s="1"/>
    </x:row>
    <x:row r="173" ht="30" customHeight="1">
      <x:c r="A173" s="1"/>
      <x:c r="B173" s="1"/>
      <x:c r="C173" s="64"/>
      <x:c r="D173" s="8"/>
      <x:c r="E173" s="8"/>
      <x:c r="F173" s="8"/>
      <x:c r="G173" s="8"/>
      <x:c r="H173" s="8"/>
      <x:c r="I173" s="8"/>
      <x:c r="J173" s="1"/>
      <x:c r="K173" s="1"/>
    </x:row>
    <x:row r="174" ht="30" customHeight="1">
      <x:c r="A174" s="1"/>
      <x:c r="B174" s="1"/>
      <x:c r="C174" s="64"/>
      <x:c r="D174" s="8"/>
      <x:c r="E174" s="8"/>
      <x:c r="F174" s="8"/>
      <x:c r="G174" s="8"/>
      <x:c r="H174" s="8"/>
      <x:c r="I174" s="8"/>
      <x:c r="J174" s="1"/>
      <x:c r="K174" s="1"/>
    </x:row>
    <x:row r="175" ht="30" customHeight="1">
      <x:c r="A175" s="1"/>
      <x:c r="B175" s="1"/>
      <x:c r="C175" s="64"/>
      <x:c r="D175" s="8"/>
      <x:c r="E175" s="8"/>
      <x:c r="F175" s="8"/>
      <x:c r="G175" s="8"/>
      <x:c r="H175" s="8"/>
      <x:c r="I175" s="8"/>
      <x:c r="J175" s="1"/>
      <x:c r="K175" s="1"/>
    </x:row>
    <x:row r="176" ht="30" customHeight="1">
      <x:c r="A176" s="1"/>
      <x:c r="B176" s="1"/>
      <x:c r="C176" s="64"/>
      <x:c r="D176" s="8"/>
      <x:c r="E176" s="8"/>
      <x:c r="F176" s="8"/>
      <x:c r="G176" s="8"/>
      <x:c r="H176" s="8"/>
      <x:c r="I176" s="8"/>
      <x:c r="J176" s="1"/>
      <x:c r="K176" s="1"/>
    </x:row>
    <x:row r="177" ht="30" customHeight="1">
      <x:c r="A177" s="1"/>
      <x:c r="B177" s="1"/>
      <x:c r="C177" s="64"/>
      <x:c r="D177" s="8"/>
      <x:c r="E177" s="8"/>
      <x:c r="F177" s="8"/>
      <x:c r="G177" s="8"/>
      <x:c r="H177" s="8"/>
      <x:c r="I177" s="8"/>
      <x:c r="J177" s="1"/>
      <x:c r="K177" s="1"/>
    </x:row>
    <x:row r="178" ht="30" customHeight="1">
      <x:c r="A178" s="1"/>
      <x:c r="B178" s="1"/>
      <x:c r="C178" s="64"/>
      <x:c r="D178" s="8"/>
      <x:c r="E178" s="8"/>
      <x:c r="F178" s="8"/>
      <x:c r="G178" s="8"/>
      <x:c r="H178" s="8"/>
      <x:c r="I178" s="8"/>
      <x:c r="J178" s="1"/>
      <x:c r="K178" s="1"/>
    </x:row>
    <x:row r="179" ht="25" customHeight="1">
      <x:c r="A179" s="1"/>
      <x:c r="B179" s="1"/>
      <x:c r="C179" s="68" t="str">
        <x:v>MODEL CHECKS</x:v>
      </x:c>
      <x:c r="D179" s="69"/>
      <x:c r="E179" s="69"/>
      <x:c r="F179" s="69"/>
      <x:c r="G179" s="69"/>
      <x:c r="H179" s="69"/>
      <x:c r="I179" s="69"/>
      <x:c r="J179" s="1"/>
      <x:c r="K179" s="1"/>
    </x:row>
    <x:row r="180" ht="30" customHeight="1">
      <x:c r="A180" s="1"/>
      <x:c r="B180" s="1"/>
      <x:c r="C180" s="64" t="str">
        <x:v>Gross written premium — seed input outside bounds</x:v>
      </x:c>
      <x:c r="D180" s="8"/>
      <x:c r="E180" s="75" t="n">
        <x:f>IF(COUNT(D10)=0,1,IF(D10&lt;0,1,0))</x:f>
        <x:v>0</x:v>
      </x:c>
      <x:c r="F180" s="75" t="n">
        <x:f>IF(COUNT(D10)=0,1,IF(D10&lt;0,1,0))</x:f>
        <x:v>0</x:v>
      </x:c>
      <x:c r="G180" s="75" t="n">
        <x:f>IF(COUNT(D10)=0,1,IF(D10&lt;0,1,0))</x:f>
        <x:v>0</x:v>
      </x:c>
      <x:c r="H180" s="75" t="n">
        <x:f>IF(COUNT(D10)=0,1,IF(D10&lt;0,1,0))</x:f>
        <x:v>0</x:v>
      </x:c>
      <x:c r="I180" s="75" t="n">
        <x:f>IF(COUNT(D10)=0,1,IF(D10&lt;0,1,0))</x:f>
        <x:v>0</x:v>
      </x:c>
      <x:c r="J180" s="1"/>
      <x:c r="K180" s="1"/>
    </x:row>
    <x:row r="181" ht="30" customHeight="1">
      <x:c r="A181" s="1"/>
      <x:c r="B181" s="1"/>
      <x:c r="C181" s="64" t="str">
        <x:v>Opening unearned premium reserve input outside bounds</x:v>
      </x:c>
      <x:c r="D181" s="8"/>
      <x:c r="E181" s="75" t="n">
        <x:f>IF(COUNT(D11)=0,1,IF(D11&lt;0,1,0))</x:f>
        <x:v>0</x:v>
      </x:c>
      <x:c r="F181" s="75" t="n">
        <x:f>IF(COUNT(D11)=0,1,IF(D11&lt;0,1,0))</x:f>
        <x:v>0</x:v>
      </x:c>
      <x:c r="G181" s="75" t="n">
        <x:f>IF(COUNT(D11)=0,1,IF(D11&lt;0,1,0))</x:f>
        <x:v>0</x:v>
      </x:c>
      <x:c r="H181" s="75" t="n">
        <x:f>IF(COUNT(D11)=0,1,IF(D11&lt;0,1,0))</x:f>
        <x:v>0</x:v>
      </x:c>
      <x:c r="I181" s="75" t="n">
        <x:f>IF(COUNT(D11)=0,1,IF(D11&lt;0,1,0))</x:f>
        <x:v>0</x:v>
      </x:c>
      <x:c r="J181" s="1"/>
      <x:c r="K181" s="1"/>
    </x:row>
    <x:row r="182" ht="30" customHeight="1">
      <x:c r="A182" s="1"/>
      <x:c r="B182" s="1"/>
      <x:c r="C182" s="64" t="str">
        <x:v>Opening outstanding claims reserve input outside bounds</x:v>
      </x:c>
      <x:c r="D182" s="8"/>
      <x:c r="E182" s="75" t="n">
        <x:f>IF(COUNT(D12)=0,1,IF(D12&lt;0,1,0))</x:f>
        <x:v>0</x:v>
      </x:c>
      <x:c r="F182" s="75" t="n">
        <x:f>IF(COUNT(D12)=0,1,IF(D12&lt;0,1,0))</x:f>
        <x:v>0</x:v>
      </x:c>
      <x:c r="G182" s="75" t="n">
        <x:f>IF(COUNT(D12)=0,1,IF(D12&lt;0,1,0))</x:f>
        <x:v>0</x:v>
      </x:c>
      <x:c r="H182" s="75" t="n">
        <x:f>IF(COUNT(D12)=0,1,IF(D12&lt;0,1,0))</x:f>
        <x:v>0</x:v>
      </x:c>
      <x:c r="I182" s="75" t="n">
        <x:f>IF(COUNT(D12)=0,1,IF(D12&lt;0,1,0))</x:f>
        <x:v>0</x:v>
      </x:c>
      <x:c r="J182" s="1"/>
      <x:c r="K182" s="1"/>
    </x:row>
    <x:row r="183" ht="30" customHeight="1">
      <x:c r="A183" s="1"/>
      <x:c r="B183" s="1"/>
      <x:c r="C183" s="64" t="str">
        <x:v>Opening equity input outside bounds</x:v>
      </x:c>
      <x:c r="D183" s="8"/>
      <x:c r="E183" s="75" t="n">
        <x:f>IF(COUNT(D13)=0,1,IF(D13&lt;0,1,0))</x:f>
        <x:v>0</x:v>
      </x:c>
      <x:c r="F183" s="75" t="n">
        <x:f>IF(COUNT(D13)=0,1,IF(D13&lt;0,1,0))</x:f>
        <x:v>0</x:v>
      </x:c>
      <x:c r="G183" s="75" t="n">
        <x:f>IF(COUNT(D13)=0,1,IF(D13&lt;0,1,0))</x:f>
        <x:v>0</x:v>
      </x:c>
      <x:c r="H183" s="75" t="n">
        <x:f>IF(COUNT(D13)=0,1,IF(D13&lt;0,1,0))</x:f>
        <x:v>0</x:v>
      </x:c>
      <x:c r="I183" s="75" t="n">
        <x:f>IF(COUNT(D13)=0,1,IF(D13&lt;0,1,0))</x:f>
        <x:v>0</x:v>
      </x:c>
      <x:c r="J183" s="1"/>
      <x:c r="K183" s="1"/>
    </x:row>
    <x:row r="184" ht="30" customHeight="1">
      <x:c r="A184" s="1"/>
      <x:c r="B184" s="1"/>
      <x:c r="C184" s="64" t="str">
        <x:v>Diluted shares (crore) input outside bounds</x:v>
      </x:c>
      <x:c r="D184" s="8"/>
      <x:c r="E184" s="75" t="n">
        <x:f>IF(COUNT(D14)=0,1,IF(D14&lt;0,1,0))</x:f>
        <x:v>0</x:v>
      </x:c>
      <x:c r="F184" s="75" t="n">
        <x:f>IF(COUNT(D14)=0,1,IF(D14&lt;0,1,0))</x:f>
        <x:v>0</x:v>
      </x:c>
      <x:c r="G184" s="75" t="n">
        <x:f>IF(COUNT(D14)=0,1,IF(D14&lt;0,1,0))</x:f>
        <x:v>0</x:v>
      </x:c>
      <x:c r="H184" s="75" t="n">
        <x:f>IF(COUNT(D14)=0,1,IF(D14&lt;0,1,0))</x:f>
        <x:v>0</x:v>
      </x:c>
      <x:c r="I184" s="75" t="n">
        <x:f>IF(COUNT(D14)=0,1,IF(D14&lt;0,1,0))</x:f>
        <x:v>0</x:v>
      </x:c>
      <x:c r="J184" s="1"/>
      <x:c r="K184" s="1"/>
    </x:row>
    <x:row r="185" ht="30" customHeight="1">
      <x:c r="A185" s="1"/>
      <x:c r="B185" s="1"/>
      <x:c r="C185" s="64" t="str">
        <x:v>Forward price / book input outside bounds</x:v>
      </x:c>
      <x:c r="D185" s="8"/>
      <x:c r="E185" s="75" t="n">
        <x:f>IF(COUNT(D15)=0,1,IF(D15&lt;0,1,0))</x:f>
        <x:v>0</x:v>
      </x:c>
      <x:c r="F185" s="75" t="n">
        <x:f>IF(COUNT(D15)=0,1,IF(D15&lt;0,1,0))</x:f>
        <x:v>0</x:v>
      </x:c>
      <x:c r="G185" s="75" t="n">
        <x:f>IF(COUNT(D15)=0,1,IF(D15&lt;0,1,0))</x:f>
        <x:v>0</x:v>
      </x:c>
      <x:c r="H185" s="75" t="n">
        <x:f>IF(COUNT(D15)=0,1,IF(D15&lt;0,1,0))</x:f>
        <x:v>0</x:v>
      </x:c>
      <x:c r="I185" s="75" t="n">
        <x:f>IF(COUNT(D15)=0,1,IF(D15&lt;0,1,0))</x:f>
        <x:v>0</x:v>
      </x:c>
      <x:c r="J185" s="1"/>
      <x:c r="K185" s="1"/>
    </x:row>
    <x:row r="186" ht="30" customHeight="1">
      <x:c r="A186" s="1"/>
      <x:c r="B186" s="1"/>
      <x:c r="C186" s="64" t="str">
        <x:v>Cost of equity input outside bounds</x:v>
      </x:c>
      <x:c r="D186" s="8"/>
      <x:c r="E186" s="75" t="n">
        <x:f>IF(COUNT(D16)=0,1,IF(D16&lt;0,1,0))</x:f>
        <x:v>0</x:v>
      </x:c>
      <x:c r="F186" s="75" t="n">
        <x:f>IF(COUNT(D16)=0,1,IF(D16&lt;0,1,0))</x:f>
        <x:v>0</x:v>
      </x:c>
      <x:c r="G186" s="75" t="n">
        <x:f>IF(COUNT(D16)=0,1,IF(D16&lt;0,1,0))</x:f>
        <x:v>0</x:v>
      </x:c>
      <x:c r="H186" s="75" t="n">
        <x:f>IF(COUNT(D16)=0,1,IF(D16&lt;0,1,0))</x:f>
        <x:v>0</x:v>
      </x:c>
      <x:c r="I186" s="75" t="n">
        <x:f>IF(COUNT(D16)=0,1,IF(D16&lt;0,1,0))</x:f>
        <x:v>0</x:v>
      </x:c>
      <x:c r="J186" s="1"/>
      <x:c r="K186" s="1"/>
    </x:row>
    <x:row r="187" ht="30" customHeight="1">
      <x:c r="A187" s="1"/>
      <x:c r="B187" s="1"/>
      <x:c r="C187" s="64" t="str">
        <x:v>Gross written premium growth input outside bounds</x:v>
      </x:c>
      <x:c r="D187" s="8"/>
      <x:c r="E187" s="75" t="n">
        <x:f>IF(COUNT(E17)=0,1,IF(E17&lt;-1,1,0))</x:f>
        <x:v>0</x:v>
      </x:c>
      <x:c r="F187" s="75" t="n">
        <x:f>IF(COUNT(F17)=0,1,IF(F17&lt;-1,1,0))</x:f>
        <x:v>0</x:v>
      </x:c>
      <x:c r="G187" s="75" t="n">
        <x:f>IF(COUNT(G17)=0,1,IF(G17&lt;-1,1,0))</x:f>
        <x:v>0</x:v>
      </x:c>
      <x:c r="H187" s="75" t="n">
        <x:f>IF(COUNT(H17)=0,1,IF(H17&lt;-1,1,0))</x:f>
        <x:v>0</x:v>
      </x:c>
      <x:c r="I187" s="75" t="n">
        <x:f>IF(COUNT(I17)=0,1,IF(I17&lt;-1,1,0))</x:f>
        <x:v>0</x:v>
      </x:c>
      <x:c r="J187" s="1"/>
      <x:c r="K187" s="1"/>
    </x:row>
    <x:row r="188" ht="30" customHeight="1">
      <x:c r="A188" s="1"/>
      <x:c r="B188" s="1"/>
      <x:c r="C188" s="64" t="str">
        <x:v>Incurred claims / net earned premium input outside bounds</x:v>
      </x:c>
      <x:c r="D188" s="8"/>
      <x:c r="E188" s="75" t="n">
        <x:f>IF(COUNT(E21)=0,1,IF(E21&lt;0,1,0))</x:f>
        <x:v>0</x:v>
      </x:c>
      <x:c r="F188" s="75" t="n">
        <x:f>IF(COUNT(F21)=0,1,IF(F21&lt;0,1,0))</x:f>
        <x:v>0</x:v>
      </x:c>
      <x:c r="G188" s="75" t="n">
        <x:f>IF(COUNT(G21)=0,1,IF(G21&lt;0,1,0))</x:f>
        <x:v>0</x:v>
      </x:c>
      <x:c r="H188" s="75" t="n">
        <x:f>IF(COUNT(H21)=0,1,IF(H21&lt;0,1,0))</x:f>
        <x:v>0</x:v>
      </x:c>
      <x:c r="I188" s="75" t="n">
        <x:f>IF(COUNT(I21)=0,1,IF(I21&lt;0,1,0))</x:f>
        <x:v>0</x:v>
      </x:c>
      <x:c r="J188" s="1"/>
      <x:c r="K188" s="1"/>
    </x:row>
    <x:row r="189" ht="30" customHeight="1">
      <x:c r="A189" s="1"/>
      <x:c r="B189" s="1"/>
      <x:c r="C189" s="64" t="str">
        <x:v>Net retention input outside bounds</x:v>
      </x:c>
      <x:c r="D189" s="8"/>
      <x:c r="E189" s="75" t="n">
        <x:f>IF(COUNT(E25)=0,1,IF(E25&lt;0,1,IF(E25&gt;1,1,0)))</x:f>
        <x:v>0</x:v>
      </x:c>
      <x:c r="F189" s="75" t="n">
        <x:f>IF(COUNT(F25)=0,1,IF(F25&lt;0,1,IF(F25&gt;1,1,0)))</x:f>
        <x:v>0</x:v>
      </x:c>
      <x:c r="G189" s="75" t="n">
        <x:f>IF(COUNT(G25)=0,1,IF(G25&lt;0,1,IF(G25&gt;1,1,0)))</x:f>
        <x:v>0</x:v>
      </x:c>
      <x:c r="H189" s="75" t="n">
        <x:f>IF(COUNT(H25)=0,1,IF(H25&lt;0,1,IF(H25&gt;1,1,0)))</x:f>
        <x:v>0</x:v>
      </x:c>
      <x:c r="I189" s="75" t="n">
        <x:f>IF(COUNT(I25)=0,1,IF(I25&lt;0,1,IF(I25&gt;1,1,0)))</x:f>
        <x:v>0</x:v>
      </x:c>
      <x:c r="J189" s="1"/>
      <x:c r="K189" s="1"/>
    </x:row>
    <x:row r="190" ht="30" customHeight="1">
      <x:c r="A190" s="1"/>
      <x:c r="B190" s="1"/>
      <x:c r="C190" s="64" t="str">
        <x:v>Closing UPR / net written premium input outside bounds</x:v>
      </x:c>
      <x:c r="D190" s="8"/>
      <x:c r="E190" s="75" t="n">
        <x:f>IF(COUNT(E26)=0,1,IF(E26&lt;0,1,0))</x:f>
        <x:v>0</x:v>
      </x:c>
      <x:c r="F190" s="75" t="n">
        <x:f>IF(COUNT(F26)=0,1,IF(F26&lt;0,1,0))</x:f>
        <x:v>0</x:v>
      </x:c>
      <x:c r="G190" s="75" t="n">
        <x:f>IF(COUNT(G26)=0,1,IF(G26&lt;0,1,0))</x:f>
        <x:v>0</x:v>
      </x:c>
      <x:c r="H190" s="75" t="n">
        <x:f>IF(COUNT(H26)=0,1,IF(H26&lt;0,1,0))</x:f>
        <x:v>0</x:v>
      </x:c>
      <x:c r="I190" s="75" t="n">
        <x:f>IF(COUNT(I26)=0,1,IF(I26&lt;0,1,0))</x:f>
        <x:v>0</x:v>
      </x:c>
      <x:c r="J190" s="1"/>
      <x:c r="K190" s="1"/>
    </x:row>
    <x:row r="191" ht="30" customHeight="1">
      <x:c r="A191" s="1"/>
      <x:c r="B191" s="1"/>
      <x:c r="C191" s="64" t="str">
        <x:v>Net management expense / NWP input outside bounds</x:v>
      </x:c>
      <x:c r="D191" s="8"/>
      <x:c r="E191" s="75" t="n">
        <x:f>IF(COUNT(E27)=0,1,IF(E27&lt;0,1,0))</x:f>
        <x:v>0</x:v>
      </x:c>
      <x:c r="F191" s="75" t="n">
        <x:f>IF(COUNT(F27)=0,1,IF(F27&lt;0,1,0))</x:f>
        <x:v>0</x:v>
      </x:c>
      <x:c r="G191" s="75" t="n">
        <x:f>IF(COUNT(G27)=0,1,IF(G27&lt;0,1,0))</x:f>
        <x:v>0</x:v>
      </x:c>
      <x:c r="H191" s="75" t="n">
        <x:f>IF(COUNT(H27)=0,1,IF(H27&lt;0,1,0))</x:f>
        <x:v>0</x:v>
      </x:c>
      <x:c r="I191" s="75" t="n">
        <x:f>IF(COUNT(I27)=0,1,IF(I27&lt;0,1,0))</x:f>
        <x:v>0</x:v>
      </x:c>
      <x:c r="J191" s="1"/>
      <x:c r="K191" s="1"/>
    </x:row>
    <x:row r="192" ht="30" customHeight="1">
      <x:c r="A192" s="1"/>
      <x:c r="B192" s="1"/>
      <x:c r="C192" s="64" t="str">
        <x:v>Claims paid / incurred claims input outside bounds</x:v>
      </x:c>
      <x:c r="D192" s="8"/>
      <x:c r="E192" s="75" t="n">
        <x:f>IF(COUNT(E28)=0,1,IF(E28&lt;0,1,0))</x:f>
        <x:v>0</x:v>
      </x:c>
      <x:c r="F192" s="75" t="n">
        <x:f>IF(COUNT(F28)=0,1,IF(F28&lt;0,1,0))</x:f>
        <x:v>0</x:v>
      </x:c>
      <x:c r="G192" s="75" t="n">
        <x:f>IF(COUNT(G28)=0,1,IF(G28&lt;0,1,0))</x:f>
        <x:v>0</x:v>
      </x:c>
      <x:c r="H192" s="75" t="n">
        <x:f>IF(COUNT(H28)=0,1,IF(H28&lt;0,1,0))</x:f>
        <x:v>0</x:v>
      </x:c>
      <x:c r="I192" s="75" t="n">
        <x:f>IF(COUNT(I28)=0,1,IF(I28&lt;0,1,0))</x:f>
        <x:v>0</x:v>
      </x:c>
      <x:c r="J192" s="1"/>
      <x:c r="K192" s="1"/>
    </x:row>
    <x:row r="193" ht="30" customHeight="1">
      <x:c r="A193" s="1"/>
      <x:c r="B193" s="1"/>
      <x:c r="C193" s="64" t="str">
        <x:v>Yield on opening investment assets input outside bounds</x:v>
      </x:c>
      <x:c r="D193" s="8"/>
      <x:c r="E193" s="75" t="n">
        <x:f>IF(COUNT(E29)=0,1,IF(E29&lt;0,1,0))</x:f>
        <x:v>0</x:v>
      </x:c>
      <x:c r="F193" s="75" t="n">
        <x:f>IF(COUNT(F29)=0,1,IF(F29&lt;0,1,0))</x:f>
        <x:v>0</x:v>
      </x:c>
      <x:c r="G193" s="75" t="n">
        <x:f>IF(COUNT(G29)=0,1,IF(G29&lt;0,1,0))</x:f>
        <x:v>0</x:v>
      </x:c>
      <x:c r="H193" s="75" t="n">
        <x:f>IF(COUNT(H29)=0,1,IF(H29&lt;0,1,0))</x:f>
        <x:v>0</x:v>
      </x:c>
      <x:c r="I193" s="75" t="n">
        <x:f>IF(COUNT(I29)=0,1,IF(I29&lt;0,1,0))</x:f>
        <x:v>0</x:v>
      </x:c>
      <x:c r="J193" s="1"/>
      <x:c r="K193" s="1"/>
    </x:row>
    <x:row r="194" ht="30" customHeight="1">
      <x:c r="A194" s="1"/>
      <x:c r="B194" s="1"/>
      <x:c r="C194" s="64" t="str">
        <x:v>Effective tax rate input outside bounds</x:v>
      </x:c>
      <x:c r="D194" s="8"/>
      <x:c r="E194" s="75" t="n">
        <x:f>IF(COUNT(E30)=0,1,IF(E30&lt;0,1,IF(E30&gt;1,1,0)))</x:f>
        <x:v>0</x:v>
      </x:c>
      <x:c r="F194" s="75" t="n">
        <x:f>IF(COUNT(F30)=0,1,IF(F30&lt;0,1,IF(F30&gt;1,1,0)))</x:f>
        <x:v>0</x:v>
      </x:c>
      <x:c r="G194" s="75" t="n">
        <x:f>IF(COUNT(G30)=0,1,IF(G30&lt;0,1,IF(G30&gt;1,1,0)))</x:f>
        <x:v>0</x:v>
      </x:c>
      <x:c r="H194" s="75" t="n">
        <x:f>IF(COUNT(H30)=0,1,IF(H30&lt;0,1,IF(H30&gt;1,1,0)))</x:f>
        <x:v>0</x:v>
      </x:c>
      <x:c r="I194" s="75" t="n">
        <x:f>IF(COUNT(I30)=0,1,IF(I30&lt;0,1,IF(I30&gt;1,1,0)))</x:f>
        <x:v>0</x:v>
      </x:c>
      <x:c r="J194" s="1"/>
      <x:c r="K194" s="1"/>
    </x:row>
    <x:row r="195" ht="30" customHeight="1">
      <x:c r="A195" s="1"/>
      <x:c r="B195" s="1"/>
      <x:c r="C195" s="64" t="str">
        <x:v>Dividend payout input outside bounds</x:v>
      </x:c>
      <x:c r="D195" s="8"/>
      <x:c r="E195" s="75" t="n">
        <x:f>IF(COUNT(E31)=0,1,IF(E31&lt;0,1,IF(E31&gt;1,1,0)))</x:f>
        <x:v>0</x:v>
      </x:c>
      <x:c r="F195" s="75" t="n">
        <x:f>IF(COUNT(F31)=0,1,IF(F31&lt;0,1,IF(F31&gt;1,1,0)))</x:f>
        <x:v>0</x:v>
      </x:c>
      <x:c r="G195" s="75" t="n">
        <x:f>IF(COUNT(G31)=0,1,IF(G31&lt;0,1,IF(G31&gt;1,1,0)))</x:f>
        <x:v>0</x:v>
      </x:c>
      <x:c r="H195" s="75" t="n">
        <x:f>IF(COUNT(H31)=0,1,IF(H31&lt;0,1,IF(H31&gt;1,1,0)))</x:f>
        <x:v>0</x:v>
      </x:c>
      <x:c r="I195" s="75" t="n">
        <x:f>IF(COUNT(I31)=0,1,IF(I31&lt;0,1,IF(I31&gt;1,1,0)))</x:f>
        <x:v>0</x:v>
      </x:c>
      <x:c r="J195" s="1"/>
      <x:c r="K195" s="1"/>
    </x:row>
    <x:row r="196" ht="30" customHeight="1">
      <x:c r="A196" s="1"/>
      <x:c r="B196" s="1"/>
      <x:c r="C196" s="64"/>
      <x:c r="D196" s="8"/>
      <x:c r="E196" s="8"/>
      <x:c r="F196" s="8"/>
      <x:c r="G196" s="8"/>
      <x:c r="H196" s="8"/>
      <x:c r="I196" s="8"/>
      <x:c r="J196" s="1"/>
      <x:c r="K196" s="1"/>
    </x:row>
    <x:row r="197" ht="30" customHeight="1">
      <x:c r="A197" s="1"/>
      <x:c r="B197" s="1"/>
      <x:c r="C197" s="64"/>
      <x:c r="D197" s="8"/>
      <x:c r="E197" s="8"/>
      <x:c r="F197" s="8"/>
      <x:c r="G197" s="8"/>
      <x:c r="H197" s="8"/>
      <x:c r="I197" s="8"/>
      <x:c r="J197" s="1"/>
      <x:c r="K197" s="1"/>
    </x:row>
    <x:row r="198" ht="30" customHeight="1">
      <x:c r="A198" s="1"/>
      <x:c r="B198" s="1"/>
      <x:c r="C198" s="64"/>
      <x:c r="D198" s="8"/>
      <x:c r="E198" s="8"/>
      <x:c r="F198" s="8"/>
      <x:c r="G198" s="8"/>
      <x:c r="H198" s="8"/>
      <x:c r="I198" s="8"/>
      <x:c r="J198" s="1"/>
      <x:c r="K198" s="1"/>
    </x:row>
    <x:row r="199" ht="30" customHeight="1">
      <x:c r="A199" s="1"/>
      <x:c r="B199" s="1"/>
      <x:c r="C199" s="64"/>
      <x:c r="D199" s="8"/>
      <x:c r="E199" s="8"/>
      <x:c r="F199" s="8"/>
      <x:c r="G199" s="8"/>
      <x:c r="H199" s="8"/>
      <x:c r="I199" s="8"/>
      <x:c r="J199" s="1"/>
      <x:c r="K199" s="1"/>
    </x:row>
    <x:row r="200" ht="30" customHeight="1">
      <x:c r="A200" s="1"/>
      <x:c r="B200" s="1"/>
      <x:c r="C200" s="64"/>
      <x:c r="D200" s="8"/>
      <x:c r="E200" s="8"/>
      <x:c r="F200" s="8"/>
      <x:c r="G200" s="8"/>
      <x:c r="H200" s="8"/>
      <x:c r="I200" s="8"/>
      <x:c r="J200" s="1"/>
      <x:c r="K200" s="1"/>
    </x:row>
    <x:row r="201" ht="30" customHeight="1">
      <x:c r="A201" s="1"/>
      <x:c r="B201" s="1"/>
      <x:c r="C201" s="64"/>
      <x:c r="D201" s="8"/>
      <x:c r="E201" s="8"/>
      <x:c r="F201" s="8"/>
      <x:c r="G201" s="8"/>
      <x:c r="H201" s="8"/>
      <x:c r="I201" s="8"/>
      <x:c r="J201" s="1"/>
      <x:c r="K201" s="1"/>
    </x:row>
    <x:row r="202" ht="30" customHeight="1">
      <x:c r="A202" s="1"/>
      <x:c r="B202" s="1"/>
      <x:c r="C202" s="64"/>
      <x:c r="D202" s="8"/>
      <x:c r="E202" s="8"/>
      <x:c r="F202" s="8"/>
      <x:c r="G202" s="8"/>
      <x:c r="H202" s="8"/>
      <x:c r="I202" s="8"/>
      <x:c r="J202" s="1"/>
      <x:c r="K202" s="1"/>
    </x:row>
    <x:row r="203" ht="30" customHeight="1">
      <x:c r="A203" s="1"/>
      <x:c r="B203" s="1"/>
      <x:c r="C203" s="64"/>
      <x:c r="D203" s="8"/>
      <x:c r="E203" s="8"/>
      <x:c r="F203" s="8"/>
      <x:c r="G203" s="8"/>
      <x:c r="H203" s="8"/>
      <x:c r="I203" s="8"/>
      <x:c r="J203" s="1"/>
      <x:c r="K203" s="1"/>
    </x:row>
    <x:row r="204" ht="30" customHeight="1">
      <x:c r="A204" s="1"/>
      <x:c r="B204" s="1"/>
      <x:c r="C204" s="64"/>
      <x:c r="D204" s="8"/>
      <x:c r="E204" s="8"/>
      <x:c r="F204" s="8"/>
      <x:c r="G204" s="8"/>
      <x:c r="H204" s="8"/>
      <x:c r="I204" s="8"/>
      <x:c r="J204" s="1"/>
      <x:c r="K204" s="1"/>
    </x:row>
    <x:row r="205" ht="30" customHeight="1">
      <x:c r="A205" s="1"/>
      <x:c r="B205" s="1"/>
      <x:c r="C205" s="64"/>
      <x:c r="D205" s="8"/>
      <x:c r="E205" s="8"/>
      <x:c r="F205" s="8"/>
      <x:c r="G205" s="8"/>
      <x:c r="H205" s="8"/>
      <x:c r="I205" s="8"/>
      <x:c r="J205" s="1"/>
      <x:c r="K205" s="1"/>
    </x:row>
    <x:row r="206" ht="30" customHeight="1">
      <x:c r="A206" s="1"/>
      <x:c r="B206" s="1"/>
      <x:c r="C206" s="64"/>
      <x:c r="D206" s="8"/>
      <x:c r="E206" s="8"/>
      <x:c r="F206" s="8"/>
      <x:c r="G206" s="8"/>
      <x:c r="H206" s="8"/>
      <x:c r="I206" s="8"/>
      <x:c r="J206" s="1"/>
      <x:c r="K206" s="1"/>
    </x:row>
    <x:row r="207" ht="30" customHeight="1">
      <x:c r="A207" s="1"/>
      <x:c r="B207" s="1"/>
      <x:c r="C207" s="64"/>
      <x:c r="D207" s="8"/>
      <x:c r="E207" s="8"/>
      <x:c r="F207" s="8"/>
      <x:c r="G207" s="8"/>
      <x:c r="H207" s="8"/>
      <x:c r="I207" s="8"/>
      <x:c r="J207" s="1"/>
      <x:c r="K207" s="1"/>
    </x:row>
    <x:row r="208" ht="30" customHeight="1">
      <x:c r="A208" s="1"/>
      <x:c r="B208" s="1"/>
      <x:c r="C208" s="64"/>
      <x:c r="D208" s="8"/>
      <x:c r="E208" s="8"/>
      <x:c r="F208" s="8"/>
      <x:c r="G208" s="8"/>
      <x:c r="H208" s="8"/>
      <x:c r="I208" s="8"/>
      <x:c r="J208" s="1"/>
      <x:c r="K208" s="1"/>
    </x:row>
    <x:row r="209" ht="30" customHeight="1">
      <x:c r="A209" s="1"/>
      <x:c r="B209" s="1"/>
      <x:c r="C209" s="64"/>
      <x:c r="D209" s="8"/>
      <x:c r="E209" s="8"/>
      <x:c r="F209" s="8"/>
      <x:c r="G209" s="8"/>
      <x:c r="H209" s="8"/>
      <x:c r="I209" s="8"/>
      <x:c r="J209" s="1"/>
      <x:c r="K209" s="1"/>
    </x:row>
    <x:row r="210" ht="30" customHeight="1">
      <x:c r="A210" s="1"/>
      <x:c r="B210" s="1"/>
      <x:c r="C210" s="64"/>
      <x:c r="D210" s="8"/>
      <x:c r="E210" s="8"/>
      <x:c r="F210" s="8"/>
      <x:c r="G210" s="8"/>
      <x:c r="H210" s="8"/>
      <x:c r="I210" s="8"/>
      <x:c r="J210" s="1"/>
      <x:c r="K210" s="1"/>
    </x:row>
    <x:row r="211" ht="30" customHeight="1">
      <x:c r="C211" s="64"/>
      <x:c r="D211" s="63"/>
      <x:c r="E211" s="63"/>
      <x:c r="F211" s="63"/>
      <x:c r="G211" s="63"/>
      <x:c r="H211" s="63"/>
      <x:c r="I211" s="63"/>
    </x:row>
    <x:row r="212" ht="30" customHeight="1">
      <x:c r="C212" s="64"/>
      <x:c r="D212" s="63"/>
      <x:c r="E212" s="63"/>
      <x:c r="F212" s="63"/>
      <x:c r="G212" s="63"/>
      <x:c r="H212" s="63"/>
      <x:c r="I212" s="63"/>
    </x:row>
    <x:row r="213" ht="30" customHeight="1">
      <x:c r="C213" s="64"/>
      <x:c r="D213" s="63"/>
      <x:c r="E213" s="63"/>
      <x:c r="F213" s="63"/>
      <x:c r="G213" s="63"/>
      <x:c r="H213" s="63"/>
      <x:c r="I213" s="63"/>
    </x:row>
    <x:row r="214" ht="30" customHeight="1">
      <x:c r="C214" s="64"/>
      <x:c r="D214" s="63"/>
      <x:c r="E214" s="63"/>
      <x:c r="F214" s="63"/>
      <x:c r="G214" s="63"/>
      <x:c r="H214" s="63"/>
      <x:c r="I214" s="63"/>
    </x:row>
    <x:row r="215" ht="30" customHeight="1">
      <x:c r="C215" s="64"/>
      <x:c r="D215" s="63"/>
      <x:c r="E215" s="63"/>
      <x:c r="F215" s="63"/>
      <x:c r="G215" s="63"/>
      <x:c r="H215" s="63"/>
      <x:c r="I215" s="63"/>
    </x:row>
    <x:row r="216" ht="30" customHeight="1">
      <x:c r="C216" s="64"/>
      <x:c r="D216" s="63"/>
      <x:c r="E216" s="63"/>
      <x:c r="F216" s="63"/>
      <x:c r="G216" s="63"/>
      <x:c r="H216" s="63"/>
      <x:c r="I216" s="63"/>
    </x:row>
    <x:row r="217" ht="30" customHeight="1">
      <x:c r="C217" s="64"/>
      <x:c r="D217" s="63"/>
      <x:c r="E217" s="63"/>
      <x:c r="F217" s="63"/>
      <x:c r="G217" s="63"/>
      <x:c r="H217" s="63"/>
      <x:c r="I217" s="63"/>
    </x:row>
    <x:row r="218" ht="30" customHeight="1">
      <x:c r="C218" s="64"/>
      <x:c r="D218" s="63"/>
      <x:c r="E218" s="63"/>
      <x:c r="F218" s="63"/>
      <x:c r="G218" s="63"/>
      <x:c r="H218" s="63"/>
      <x:c r="I218" s="63"/>
    </x:row>
    <x:row r="219" ht="30" customHeight="1">
      <x:c r="C219" s="64"/>
      <x:c r="D219" s="63"/>
      <x:c r="E219" s="63"/>
      <x:c r="F219" s="63"/>
      <x:c r="G219" s="63"/>
      <x:c r="H219" s="63"/>
      <x:c r="I219" s="63"/>
    </x:row>
    <x:row r="220" ht="30" customHeight="1">
      <x:c r="C220" s="64"/>
      <x:c r="D220" s="63"/>
      <x:c r="E220" s="63"/>
      <x:c r="F220" s="63"/>
      <x:c r="G220" s="63"/>
      <x:c r="H220" s="63"/>
      <x:c r="I220" s="63"/>
    </x:row>
    <x:row r="221" ht="30" customHeight="1">
      <x:c r="C221" s="64"/>
      <x:c r="D221" s="63"/>
      <x:c r="E221" s="63"/>
      <x:c r="F221" s="63"/>
      <x:c r="G221" s="63"/>
      <x:c r="H221" s="63"/>
      <x:c r="I221" s="63"/>
    </x:row>
    <x:row r="222" ht="30" customHeight="1">
      <x:c r="C222" s="64"/>
      <x:c r="D222" s="63"/>
      <x:c r="E222" s="63"/>
      <x:c r="F222" s="63"/>
      <x:c r="G222" s="63"/>
      <x:c r="H222" s="63"/>
      <x:c r="I222" s="63"/>
    </x:row>
    <x:row r="223" ht="30" customHeight="1">
      <x:c r="C223" s="64"/>
      <x:c r="D223" s="63"/>
      <x:c r="E223" s="63"/>
      <x:c r="F223" s="63"/>
      <x:c r="G223" s="63"/>
      <x:c r="H223" s="63"/>
      <x:c r="I223" s="63"/>
    </x:row>
    <x:row r="224" ht="30" customHeight="1">
      <x:c r="C224" s="64"/>
      <x:c r="D224" s="63"/>
      <x:c r="E224" s="63"/>
      <x:c r="F224" s="63"/>
      <x:c r="G224" s="63"/>
      <x:c r="H224" s="63"/>
      <x:c r="I224" s="63"/>
    </x:row>
    <x:row r="225" ht="30" customHeight="1">
      <x:c r="C225" s="64"/>
      <x:c r="D225" s="63"/>
      <x:c r="E225" s="63"/>
      <x:c r="F225" s="63"/>
      <x:c r="G225" s="63"/>
      <x:c r="H225" s="63"/>
      <x:c r="I225" s="63"/>
    </x:row>
    <x:row r="226" ht="30" customHeight="1">
      <x:c r="C226" s="64"/>
      <x:c r="D226" s="63"/>
      <x:c r="E226" s="63"/>
      <x:c r="F226" s="63"/>
      <x:c r="G226" s="63"/>
      <x:c r="H226" s="63"/>
      <x:c r="I226" s="63"/>
    </x:row>
    <x:row r="227" ht="30" customHeight="1">
      <x:c r="C227" s="64"/>
      <x:c r="D227" s="63"/>
      <x:c r="E227" s="63"/>
      <x:c r="F227" s="63"/>
      <x:c r="G227" s="63"/>
      <x:c r="H227" s="63"/>
      <x:c r="I227" s="63"/>
    </x:row>
    <x:row r="228" ht="30" customHeight="1">
      <x:c r="C228" s="64"/>
      <x:c r="D228" s="63"/>
      <x:c r="E228" s="63"/>
      <x:c r="F228" s="63"/>
      <x:c r="G228" s="63"/>
      <x:c r="H228" s="63"/>
      <x:c r="I228" s="63"/>
    </x:row>
    <x:row r="229" ht="30" customHeight="1">
      <x:c r="C229" s="64"/>
      <x:c r="D229" s="63"/>
      <x:c r="E229" s="63"/>
      <x:c r="F229" s="63"/>
      <x:c r="G229" s="63"/>
      <x:c r="H229" s="63"/>
      <x:c r="I229" s="63"/>
    </x:row>
    <x:row r="230" ht="30" customHeight="1">
      <x:c r="C230" s="64"/>
      <x:c r="D230" s="63"/>
      <x:c r="E230" s="63"/>
      <x:c r="F230" s="63"/>
      <x:c r="G230" s="63"/>
      <x:c r="H230" s="63"/>
      <x:c r="I230" s="63"/>
    </x:row>
    <x:row r="231" ht="30" customHeight="1">
      <x:c r="C231" s="64"/>
      <x:c r="D231" s="63"/>
      <x:c r="E231" s="63"/>
      <x:c r="F231" s="63"/>
      <x:c r="G231" s="63"/>
      <x:c r="H231" s="63"/>
      <x:c r="I231" s="63"/>
    </x:row>
    <x:row r="232" ht="30" customHeight="1">
      <x:c r="C232" s="64"/>
      <x:c r="D232" s="63"/>
      <x:c r="E232" s="63"/>
      <x:c r="F232" s="63"/>
      <x:c r="G232" s="63"/>
      <x:c r="H232" s="63"/>
      <x:c r="I232" s="63"/>
    </x:row>
    <x:row r="233" ht="30" customHeight="1">
      <x:c r="C233" s="64"/>
      <x:c r="D233" s="63"/>
      <x:c r="E233" s="63"/>
      <x:c r="F233" s="63"/>
      <x:c r="G233" s="63"/>
      <x:c r="H233" s="63"/>
      <x:c r="I233" s="63"/>
    </x:row>
    <x:row r="234" ht="30" customHeight="1">
      <x:c r="C234" s="64"/>
      <x:c r="D234" s="63"/>
      <x:c r="E234" s="63"/>
      <x:c r="F234" s="63"/>
      <x:c r="G234" s="63"/>
      <x:c r="H234" s="63"/>
      <x:c r="I234" s="63"/>
    </x:row>
    <x:row r="235" ht="30" customHeight="1">
      <x:c r="C235" s="64"/>
      <x:c r="D235" s="63"/>
      <x:c r="E235" s="63"/>
      <x:c r="F235" s="63"/>
      <x:c r="G235" s="63"/>
      <x:c r="H235" s="63"/>
      <x:c r="I235" s="63"/>
    </x:row>
    <x:row r="236" ht="30" customHeight="1">
      <x:c r="C236" s="64"/>
      <x:c r="D236" s="63"/>
      <x:c r="E236" s="63"/>
      <x:c r="F236" s="63"/>
      <x:c r="G236" s="63"/>
      <x:c r="H236" s="63"/>
      <x:c r="I236" s="63"/>
    </x:row>
    <x:row r="237" ht="30" customHeight="1">
      <x:c r="C237" s="64"/>
      <x:c r="D237" s="63"/>
      <x:c r="E237" s="63"/>
      <x:c r="F237" s="63"/>
      <x:c r="G237" s="63"/>
      <x:c r="H237" s="63"/>
      <x:c r="I237" s="63"/>
    </x:row>
    <x:row r="238" ht="30" customHeight="1">
      <x:c r="C238" s="64"/>
      <x:c r="D238" s="63"/>
      <x:c r="E238" s="63"/>
      <x:c r="F238" s="63"/>
      <x:c r="G238" s="63"/>
      <x:c r="H238" s="63"/>
      <x:c r="I238" s="63"/>
    </x:row>
    <x:row r="239" ht="30" customHeight="1">
      <x:c r="C239" s="64"/>
      <x:c r="D239" s="63"/>
      <x:c r="E239" s="63"/>
      <x:c r="F239" s="63"/>
      <x:c r="G239" s="63"/>
      <x:c r="H239" s="63"/>
      <x:c r="I239" s="63"/>
    </x:row>
    <x:row r="240" ht="30" customHeight="1">
      <x:c r="C240" s="64"/>
      <x:c r="D240" s="63"/>
      <x:c r="E240" s="63"/>
      <x:c r="F240" s="63"/>
      <x:c r="G240" s="63"/>
      <x:c r="H240" s="63"/>
      <x:c r="I240" s="63"/>
    </x:row>
    <x:row r="241" ht="30" customHeight="1">
      <x:c r="C241" s="64"/>
      <x:c r="D241" s="63"/>
      <x:c r="E241" s="63"/>
      <x:c r="F241" s="63"/>
      <x:c r="G241" s="63"/>
      <x:c r="H241" s="63"/>
      <x:c r="I241" s="63"/>
    </x:row>
    <x:row r="242" ht="30" customHeight="1">
      <x:c r="C242" s="64"/>
      <x:c r="D242" s="63"/>
      <x:c r="E242" s="63"/>
      <x:c r="F242" s="63"/>
      <x:c r="G242" s="63"/>
      <x:c r="H242" s="63"/>
      <x:c r="I242" s="63"/>
    </x:row>
    <x:row r="243" ht="30" customHeight="1">
      <x:c r="C243" s="64"/>
      <x:c r="D243" s="63"/>
      <x:c r="E243" s="63"/>
      <x:c r="F243" s="63"/>
      <x:c r="G243" s="63"/>
      <x:c r="H243" s="63"/>
      <x:c r="I243" s="63"/>
    </x:row>
    <x:row r="244" ht="30" customHeight="1">
      <x:c r="C244" s="64"/>
      <x:c r="D244" s="63"/>
      <x:c r="E244" s="63"/>
      <x:c r="F244" s="63"/>
      <x:c r="G244" s="63"/>
      <x:c r="H244" s="63"/>
      <x:c r="I244" s="63"/>
    </x:row>
    <x:row r="245" ht="30" customHeight="1">
      <x:c r="C245" s="64"/>
      <x:c r="D245" s="63"/>
      <x:c r="E245" s="63"/>
      <x:c r="F245" s="63"/>
      <x:c r="G245" s="63"/>
      <x:c r="H245" s="63"/>
      <x:c r="I245" s="63"/>
    </x:row>
    <x:row r="246" ht="30" customHeight="1">
      <x:c r="C246" s="64"/>
      <x:c r="D246" s="63"/>
      <x:c r="E246" s="63"/>
      <x:c r="F246" s="63"/>
      <x:c r="G246" s="63"/>
      <x:c r="H246" s="63"/>
      <x:c r="I246" s="63"/>
    </x:row>
    <x:row r="247" ht="30" customHeight="1">
      <x:c r="C247" s="64"/>
      <x:c r="D247" s="63"/>
      <x:c r="E247" s="63"/>
      <x:c r="F247" s="63"/>
      <x:c r="G247" s="63"/>
      <x:c r="H247" s="63"/>
      <x:c r="I247" s="63"/>
    </x:row>
    <x:row r="248" ht="30" customHeight="1">
      <x:c r="C248" s="64"/>
      <x:c r="D248" s="63"/>
      <x:c r="E248" s="63"/>
      <x:c r="F248" s="63"/>
      <x:c r="G248" s="63"/>
      <x:c r="H248" s="63"/>
      <x:c r="I248" s="63"/>
    </x:row>
    <x:row r="249" ht="30" customHeight="1">
      <x:c r="C249" s="64"/>
      <x:c r="D249" s="63"/>
      <x:c r="E249" s="63"/>
      <x:c r="F249" s="63"/>
      <x:c r="G249" s="63"/>
      <x:c r="H249" s="63"/>
      <x:c r="I249" s="63"/>
    </x:row>
    <x:row r="250" ht="30" customHeight="1">
      <x:c r="C250" s="64"/>
      <x:c r="D250" s="63"/>
      <x:c r="E250" s="63"/>
      <x:c r="F250" s="63"/>
      <x:c r="G250" s="63"/>
      <x:c r="H250" s="63"/>
      <x:c r="I250" s="63"/>
    </x:row>
    <x:row r="251" ht="30" customHeight="1">
      <x:c r="C251" s="64"/>
      <x:c r="D251" s="63"/>
      <x:c r="E251" s="63"/>
      <x:c r="F251" s="63"/>
      <x:c r="G251" s="63"/>
      <x:c r="H251" s="63"/>
      <x:c r="I251" s="63"/>
    </x:row>
    <x:row r="252" ht="30" customHeight="1">
      <x:c r="C252" s="64"/>
      <x:c r="D252" s="63"/>
      <x:c r="E252" s="63"/>
      <x:c r="F252" s="63"/>
      <x:c r="G252" s="63"/>
      <x:c r="H252" s="63"/>
      <x:c r="I252" s="63"/>
    </x:row>
    <x:row r="253" ht="30" customHeight="1">
      <x:c r="C253" s="64"/>
      <x:c r="D253" s="63"/>
      <x:c r="E253" s="63"/>
      <x:c r="F253" s="63"/>
      <x:c r="G253" s="63"/>
      <x:c r="H253" s="63"/>
      <x:c r="I253" s="63"/>
    </x:row>
    <x:row r="254" ht="30" customHeight="1">
      <x:c r="C254" s="64"/>
      <x:c r="D254" s="63"/>
      <x:c r="E254" s="63"/>
      <x:c r="F254" s="63"/>
      <x:c r="G254" s="63"/>
      <x:c r="H254" s="63"/>
      <x:c r="I254" s="63"/>
    </x:row>
    <x:row r="255" ht="30" customHeight="1">
      <x:c r="C255" s="64"/>
      <x:c r="D255" s="63"/>
      <x:c r="E255" s="63"/>
      <x:c r="F255" s="63"/>
      <x:c r="G255" s="63"/>
      <x:c r="H255" s="63"/>
      <x:c r="I255" s="63"/>
    </x:row>
    <x:row r="256" ht="30" customHeight="1">
      <x:c r="C256" s="64"/>
      <x:c r="D256" s="63"/>
      <x:c r="E256" s="63"/>
      <x:c r="F256" s="63"/>
      <x:c r="G256" s="63"/>
      <x:c r="H256" s="63"/>
      <x:c r="I256" s="63"/>
    </x:row>
    <x:row r="257" ht="30" customHeight="1">
      <x:c r="C257" s="64"/>
      <x:c r="D257" s="63"/>
      <x:c r="E257" s="63"/>
      <x:c r="F257" s="63"/>
      <x:c r="G257" s="63"/>
      <x:c r="H257" s="63"/>
      <x:c r="I257" s="63"/>
    </x:row>
    <x:row r="258" ht="30" customHeight="1">
      <x:c r="C258" s="64"/>
      <x:c r="D258" s="63"/>
      <x:c r="E258" s="63"/>
      <x:c r="F258" s="63"/>
      <x:c r="G258" s="63"/>
      <x:c r="H258" s="63"/>
      <x:c r="I258" s="63"/>
    </x:row>
    <x:row r="259" ht="30" customHeight="1">
      <x:c r="C259" s="64"/>
      <x:c r="D259" s="63"/>
      <x:c r="E259" s="63"/>
      <x:c r="F259" s="63"/>
      <x:c r="G259" s="63"/>
      <x:c r="H259" s="63"/>
      <x:c r="I259" s="63"/>
    </x:row>
    <x:row r="260" ht="30" customHeight="1">
      <x:c r="C260" s="64"/>
      <x:c r="D260" s="63"/>
      <x:c r="E260" s="63"/>
      <x:c r="F260" s="63"/>
      <x:c r="G260" s="63"/>
      <x:c r="H260" s="63"/>
      <x:c r="I260" s="63"/>
    </x:row>
    <x:row r="261" ht="30" customHeight="1">
      <x:c r="C261" s="64"/>
      <x:c r="D261" s="63"/>
      <x:c r="E261" s="63"/>
      <x:c r="F261" s="63"/>
      <x:c r="G261" s="63"/>
      <x:c r="H261" s="63"/>
      <x:c r="I261" s="63"/>
    </x:row>
    <x:row r="262" ht="30" customHeight="1">
      <x:c r="C262" s="64"/>
      <x:c r="D262" s="63"/>
      <x:c r="E262" s="63"/>
      <x:c r="F262" s="63"/>
      <x:c r="G262" s="63"/>
      <x:c r="H262" s="63"/>
      <x:c r="I262" s="63"/>
    </x:row>
    <x:row r="263" ht="30" customHeight="1">
      <x:c r="C263" s="64"/>
      <x:c r="D263" s="63"/>
      <x:c r="E263" s="63"/>
      <x:c r="F263" s="63"/>
      <x:c r="G263" s="63"/>
      <x:c r="H263" s="63"/>
      <x:c r="I263" s="63"/>
    </x:row>
    <x:row r="264" ht="30" customHeight="1">
      <x:c r="C264" s="64"/>
      <x:c r="D264" s="63"/>
      <x:c r="E264" s="63"/>
      <x:c r="F264" s="63"/>
      <x:c r="G264" s="63"/>
      <x:c r="H264" s="63"/>
      <x:c r="I264" s="63"/>
    </x:row>
    <x:row r="265" ht="30" customHeight="1">
      <x:c r="C265" s="64"/>
      <x:c r="D265" s="63"/>
      <x:c r="E265" s="63"/>
      <x:c r="F265" s="63"/>
      <x:c r="G265" s="63"/>
      <x:c r="H265" s="63"/>
      <x:c r="I265" s="63"/>
    </x:row>
    <x:row r="266" ht="30" customHeight="1">
      <x:c r="C266" s="64"/>
      <x:c r="D266" s="63"/>
      <x:c r="E266" s="63"/>
      <x:c r="F266" s="63"/>
      <x:c r="G266" s="63"/>
      <x:c r="H266" s="63"/>
      <x:c r="I266" s="63"/>
    </x:row>
    <x:row r="267" ht="30" customHeight="1">
      <x:c r="C267" s="64"/>
      <x:c r="D267" s="63"/>
      <x:c r="E267" s="63"/>
      <x:c r="F267" s="63"/>
      <x:c r="G267" s="63"/>
      <x:c r="H267" s="63"/>
      <x:c r="I267" s="63"/>
    </x:row>
    <x:row r="268" ht="30" customHeight="1">
      <x:c r="C268" s="64"/>
      <x:c r="D268" s="63"/>
      <x:c r="E268" s="63"/>
      <x:c r="F268" s="63"/>
      <x:c r="G268" s="63"/>
      <x:c r="H268" s="63"/>
      <x:c r="I268" s="63"/>
    </x:row>
    <x:row r="269" ht="30" customHeight="1">
      <x:c r="C269" s="64"/>
      <x:c r="D269" s="63"/>
      <x:c r="E269" s="63"/>
      <x:c r="F269" s="63"/>
      <x:c r="G269" s="63"/>
      <x:c r="H269" s="63"/>
      <x:c r="I269" s="63"/>
    </x:row>
    <x:row r="270" ht="30" customHeight="1">
      <x:c r="C270" s="64"/>
      <x:c r="D270" s="63"/>
      <x:c r="E270" s="63"/>
      <x:c r="F270" s="63"/>
      <x:c r="G270" s="63"/>
      <x:c r="H270" s="63"/>
      <x:c r="I270" s="63"/>
    </x:row>
    <x:row r="271" ht="30" customHeight="1">
      <x:c r="C271" s="64"/>
      <x:c r="D271" s="63"/>
      <x:c r="E271" s="63"/>
      <x:c r="F271" s="63"/>
      <x:c r="G271" s="63"/>
      <x:c r="H271" s="63"/>
      <x:c r="I271" s="63"/>
    </x:row>
    <x:row r="272" ht="30" customHeight="1">
      <x:c r="C272" s="64"/>
      <x:c r="D272" s="63"/>
      <x:c r="E272" s="63"/>
      <x:c r="F272" s="63"/>
      <x:c r="G272" s="63"/>
      <x:c r="H272" s="63"/>
      <x:c r="I272" s="63"/>
    </x:row>
    <x:row r="273" ht="30" customHeight="1">
      <x:c r="C273" s="64"/>
      <x:c r="D273" s="63"/>
      <x:c r="E273" s="63"/>
      <x:c r="F273" s="63"/>
      <x:c r="G273" s="63"/>
      <x:c r="H273" s="63"/>
      <x:c r="I273" s="63"/>
    </x:row>
    <x:row r="274" ht="30" customHeight="1">
      <x:c r="C274" s="64"/>
      <x:c r="D274" s="63"/>
      <x:c r="E274" s="63"/>
      <x:c r="F274" s="63"/>
      <x:c r="G274" s="63"/>
      <x:c r="H274" s="63"/>
      <x:c r="I274" s="63"/>
    </x:row>
    <x:row r="275" ht="30" customHeight="1">
      <x:c r="C275" s="64"/>
      <x:c r="D275" s="63"/>
      <x:c r="E275" s="63"/>
      <x:c r="F275" s="63"/>
      <x:c r="G275" s="63"/>
      <x:c r="H275" s="63"/>
      <x:c r="I275" s="63"/>
    </x:row>
    <x:row r="276" ht="30" customHeight="1">
      <x:c r="C276" s="64"/>
      <x:c r="D276" s="63"/>
      <x:c r="E276" s="63"/>
      <x:c r="F276" s="63"/>
      <x:c r="G276" s="63"/>
      <x:c r="H276" s="63"/>
      <x:c r="I276" s="63"/>
    </x:row>
    <x:row r="277" ht="30" customHeight="1">
      <x:c r="C277" s="64"/>
      <x:c r="D277" s="63"/>
      <x:c r="E277" s="63"/>
      <x:c r="F277" s="63"/>
      <x:c r="G277" s="63"/>
      <x:c r="H277" s="63"/>
      <x:c r="I277" s="63"/>
    </x:row>
    <x:row r="278" ht="30" customHeight="1">
      <x:c r="C278" s="64"/>
      <x:c r="D278" s="63"/>
      <x:c r="E278" s="63"/>
      <x:c r="F278" s="63"/>
      <x:c r="G278" s="63"/>
      <x:c r="H278" s="63"/>
      <x:c r="I278" s="63"/>
    </x:row>
    <x:row r="279" ht="30" customHeight="1">
      <x:c r="C279" s="64"/>
      <x:c r="D279" s="63"/>
      <x:c r="E279" s="63"/>
      <x:c r="F279" s="63"/>
      <x:c r="G279" s="63"/>
      <x:c r="H279" s="63"/>
      <x:c r="I279" s="63"/>
    </x:row>
    <x:row r="280" ht="30" customHeight="1">
      <x:c r="C280" s="64"/>
      <x:c r="D280" s="63"/>
      <x:c r="E280" s="63"/>
      <x:c r="F280" s="63"/>
      <x:c r="G280" s="63"/>
      <x:c r="H280" s="63"/>
      <x:c r="I280" s="63"/>
    </x:row>
    <x:row r="281" ht="30" customHeight="1">
      <x:c r="C281" s="64"/>
      <x:c r="D281" s="63"/>
      <x:c r="E281" s="63"/>
      <x:c r="F281" s="63"/>
      <x:c r="G281" s="63"/>
      <x:c r="H281" s="63"/>
      <x:c r="I281" s="63"/>
    </x:row>
    <x:row r="282" ht="30" customHeight="1">
      <x:c r="C282" s="64"/>
      <x:c r="D282" s="63"/>
      <x:c r="E282" s="63"/>
      <x:c r="F282" s="63"/>
      <x:c r="G282" s="63"/>
      <x:c r="H282" s="63"/>
      <x:c r="I282" s="63"/>
    </x:row>
    <x:row r="283" ht="30" customHeight="1">
      <x:c r="C283" s="64"/>
      <x:c r="D283" s="63"/>
      <x:c r="E283" s="63"/>
      <x:c r="F283" s="63"/>
      <x:c r="G283" s="63"/>
      <x:c r="H283" s="63"/>
      <x:c r="I283" s="63"/>
    </x:row>
    <x:row r="284" ht="30" customHeight="1">
      <x:c r="C284" s="64"/>
      <x:c r="D284" s="63"/>
      <x:c r="E284" s="63"/>
      <x:c r="F284" s="63"/>
      <x:c r="G284" s="63"/>
      <x:c r="H284" s="63"/>
      <x:c r="I284" s="63"/>
    </x:row>
    <x:row r="285" ht="30" customHeight="1">
      <x:c r="C285" s="64"/>
      <x:c r="D285" s="63"/>
      <x:c r="E285" s="63"/>
      <x:c r="F285" s="63"/>
      <x:c r="G285" s="63"/>
      <x:c r="H285" s="63"/>
      <x:c r="I285" s="63"/>
    </x:row>
    <x:row r="286" ht="30" customHeight="1">
      <x:c r="C286" s="64"/>
      <x:c r="D286" s="63"/>
      <x:c r="E286" s="63"/>
      <x:c r="F286" s="63"/>
      <x:c r="G286" s="63"/>
      <x:c r="H286" s="63"/>
      <x:c r="I286" s="63"/>
    </x:row>
    <x:row r="287" ht="30" customHeight="1">
      <x:c r="C287" s="64"/>
      <x:c r="D287" s="63"/>
      <x:c r="E287" s="63"/>
      <x:c r="F287" s="63"/>
      <x:c r="G287" s="63"/>
      <x:c r="H287" s="63"/>
      <x:c r="I287" s="63"/>
    </x:row>
    <x:row r="288" ht="30" customHeight="1">
      <x:c r="C288" s="64"/>
      <x:c r="D288" s="63"/>
      <x:c r="E288" s="63"/>
      <x:c r="F288" s="63"/>
      <x:c r="G288" s="63"/>
      <x:c r="H288" s="63"/>
      <x:c r="I288" s="63"/>
    </x:row>
    <x:row r="289" ht="30" customHeight="1">
      <x:c r="C289" s="64"/>
      <x:c r="D289" s="63"/>
      <x:c r="E289" s="63"/>
      <x:c r="F289" s="63"/>
      <x:c r="G289" s="63"/>
      <x:c r="H289" s="63"/>
      <x:c r="I289" s="63"/>
    </x:row>
    <x:row r="290" ht="30" customHeight="1">
      <x:c r="C290" s="64"/>
      <x:c r="D290" s="63"/>
      <x:c r="E290" s="63"/>
      <x:c r="F290" s="63"/>
      <x:c r="G290" s="63"/>
      <x:c r="H290" s="63"/>
      <x:c r="I290" s="63"/>
    </x:row>
    <x:row r="291" ht="30" customHeight="1">
      <x:c r="C291" s="64"/>
      <x:c r="D291" s="63"/>
      <x:c r="E291" s="63"/>
      <x:c r="F291" s="63"/>
      <x:c r="G291" s="63"/>
      <x:c r="H291" s="63"/>
      <x:c r="I291" s="63"/>
    </x:row>
    <x:row r="292" ht="30" customHeight="1">
      <x:c r="C292" s="64"/>
      <x:c r="D292" s="63"/>
      <x:c r="E292" s="63"/>
      <x:c r="F292" s="63"/>
      <x:c r="G292" s="63"/>
      <x:c r="H292" s="63"/>
      <x:c r="I292" s="63"/>
    </x:row>
    <x:row r="293" ht="30" customHeight="1">
      <x:c r="C293" s="64"/>
      <x:c r="D293" s="63"/>
      <x:c r="E293" s="63"/>
      <x:c r="F293" s="63"/>
      <x:c r="G293" s="63"/>
      <x:c r="H293" s="63"/>
      <x:c r="I293" s="63"/>
    </x:row>
    <x:row r="294" ht="30" customHeight="1">
      <x:c r="C294" s="64"/>
      <x:c r="D294" s="63"/>
      <x:c r="E294" s="63"/>
      <x:c r="F294" s="63"/>
      <x:c r="G294" s="63"/>
      <x:c r="H294" s="63"/>
      <x:c r="I294" s="63"/>
    </x:row>
    <x:row r="295" ht="30" customHeight="1">
      <x:c r="C295" s="64"/>
      <x:c r="D295" s="63"/>
      <x:c r="E295" s="63"/>
      <x:c r="F295" s="63"/>
      <x:c r="G295" s="63"/>
      <x:c r="H295" s="63"/>
      <x:c r="I295" s="63"/>
    </x:row>
    <x:row r="296" ht="30" customHeight="1">
      <x:c r="C296" s="64"/>
      <x:c r="D296" s="63"/>
      <x:c r="E296" s="63"/>
      <x:c r="F296" s="63"/>
      <x:c r="G296" s="63"/>
      <x:c r="H296" s="63"/>
      <x:c r="I296" s="63"/>
    </x:row>
    <x:row r="297" ht="30" customHeight="1">
      <x:c r="C297" s="64"/>
      <x:c r="D297" s="63"/>
      <x:c r="E297" s="63"/>
      <x:c r="F297" s="63"/>
      <x:c r="G297" s="63"/>
      <x:c r="H297" s="63"/>
      <x:c r="I297" s="63"/>
    </x:row>
    <x:row r="298" ht="30" customHeight="1">
      <x:c r="C298" s="64"/>
      <x:c r="D298" s="63"/>
      <x:c r="E298" s="63"/>
      <x:c r="F298" s="63"/>
      <x:c r="G298" s="63"/>
      <x:c r="H298" s="63"/>
      <x:c r="I298" s="63"/>
    </x:row>
    <x:row r="299" ht="30" customHeight="1">
      <x:c r="C299" s="64"/>
      <x:c r="D299" s="63"/>
      <x:c r="E299" s="63"/>
      <x:c r="F299" s="63"/>
      <x:c r="G299" s="63"/>
      <x:c r="H299" s="63"/>
      <x:c r="I299" s="63"/>
    </x:row>
    <x:row r="300" ht="30" customHeight="1">
      <x:c r="C300" s="64"/>
      <x:c r="D300" s="63"/>
      <x:c r="E300" s="63"/>
      <x:c r="F300" s="63"/>
      <x:c r="G300" s="63"/>
      <x:c r="H300" s="63"/>
      <x:c r="I300" s="63"/>
    </x:row>
    <x:row r="301" ht="30" customHeight="1">
      <x:c r="C301" s="64"/>
      <x:c r="D301" s="63"/>
      <x:c r="E301" s="63"/>
      <x:c r="F301" s="63"/>
      <x:c r="G301" s="63"/>
      <x:c r="H301" s="63"/>
      <x:c r="I301" s="63"/>
    </x:row>
    <x:row r="302" ht="30" customHeight="1">
      <x:c r="C302" s="64"/>
      <x:c r="D302" s="63"/>
      <x:c r="E302" s="63"/>
      <x:c r="F302" s="63"/>
      <x:c r="G302" s="63"/>
      <x:c r="H302" s="63"/>
      <x:c r="I302" s="63"/>
    </x:row>
    <x:row r="303" ht="30" customHeight="1">
      <x:c r="C303" s="64"/>
      <x:c r="D303" s="63"/>
      <x:c r="E303" s="63"/>
      <x:c r="F303" s="63"/>
      <x:c r="G303" s="63"/>
      <x:c r="H303" s="63"/>
      <x:c r="I303" s="63"/>
    </x:row>
    <x:row r="304" ht="30" customHeight="1">
      <x:c r="C304" s="64"/>
      <x:c r="D304" s="63"/>
      <x:c r="E304" s="63"/>
      <x:c r="F304" s="63"/>
      <x:c r="G304" s="63"/>
      <x:c r="H304" s="63"/>
      <x:c r="I304" s="63"/>
    </x:row>
    <x:row r="305" ht="30" customHeight="1">
      <x:c r="C305" s="64"/>
      <x:c r="D305" s="63"/>
      <x:c r="E305" s="63"/>
      <x:c r="F305" s="63"/>
      <x:c r="G305" s="63"/>
      <x:c r="H305" s="63"/>
      <x:c r="I305" s="63"/>
    </x:row>
    <x:row r="306" ht="30" customHeight="1">
      <x:c r="C306" s="64"/>
      <x:c r="D306" s="63"/>
      <x:c r="E306" s="63"/>
      <x:c r="F306" s="63"/>
      <x:c r="G306" s="63"/>
      <x:c r="H306" s="63"/>
      <x:c r="I306" s="63"/>
    </x:row>
    <x:row r="307" ht="30" customHeight="1">
      <x:c r="C307" s="64"/>
      <x:c r="D307" s="63"/>
      <x:c r="E307" s="63"/>
      <x:c r="F307" s="63"/>
      <x:c r="G307" s="63"/>
      <x:c r="H307" s="63"/>
      <x:c r="I307" s="63"/>
    </x:row>
    <x:row r="308" ht="30" customHeight="1">
      <x:c r="C308" s="64"/>
      <x:c r="D308" s="63"/>
      <x:c r="E308" s="63"/>
      <x:c r="F308" s="63"/>
      <x:c r="G308" s="63"/>
      <x:c r="H308" s="63"/>
      <x:c r="I308" s="63"/>
    </x:row>
    <x:row r="309" ht="30" customHeight="1">
      <x:c r="C309" s="64"/>
      <x:c r="D309" s="63"/>
      <x:c r="E309" s="63"/>
      <x:c r="F309" s="63"/>
      <x:c r="G309" s="63"/>
      <x:c r="H309" s="63"/>
      <x:c r="I309" s="63"/>
    </x:row>
    <x:row r="310" ht="30" customHeight="1">
      <x:c r="C310" s="64"/>
      <x:c r="D310" s="63"/>
      <x:c r="E310" s="63"/>
      <x:c r="F310" s="63"/>
      <x:c r="G310" s="63"/>
      <x:c r="H310" s="63"/>
      <x:c r="I310" s="63"/>
    </x:row>
    <x:row r="311" ht="30" customHeight="1">
      <x:c r="C311" s="64"/>
      <x:c r="D311" s="63"/>
      <x:c r="E311" s="63"/>
      <x:c r="F311" s="63"/>
      <x:c r="G311" s="63"/>
      <x:c r="H311" s="63"/>
      <x:c r="I311" s="63"/>
    </x:row>
    <x:row r="312" ht="30" customHeight="1">
      <x:c r="C312" s="64"/>
      <x:c r="D312" s="63"/>
      <x:c r="E312" s="63"/>
      <x:c r="F312" s="63"/>
      <x:c r="G312" s="63"/>
      <x:c r="H312" s="63"/>
      <x:c r="I312" s="63"/>
    </x:row>
    <x:row r="313" ht="30" customHeight="1">
      <x:c r="C313" s="64"/>
      <x:c r="D313" s="63"/>
      <x:c r="E313" s="63"/>
      <x:c r="F313" s="63"/>
      <x:c r="G313" s="63"/>
      <x:c r="H313" s="63"/>
      <x:c r="I313" s="63"/>
    </x:row>
    <x:row r="314" ht="30" customHeight="1">
      <x:c r="C314" s="64"/>
      <x:c r="D314" s="63"/>
      <x:c r="E314" s="63"/>
      <x:c r="F314" s="63"/>
      <x:c r="G314" s="63"/>
      <x:c r="H314" s="63"/>
      <x:c r="I314" s="63"/>
    </x:row>
    <x:row r="315" ht="30" customHeight="1">
      <x:c r="C315" s="64"/>
      <x:c r="D315" s="63"/>
      <x:c r="E315" s="63"/>
      <x:c r="F315" s="63"/>
      <x:c r="G315" s="63"/>
      <x:c r="H315" s="63"/>
      <x:c r="I315" s="63"/>
    </x:row>
    <x:row r="316" ht="30" customHeight="1">
      <x:c r="C316" s="64"/>
      <x:c r="D316" s="63"/>
      <x:c r="E316" s="63"/>
      <x:c r="F316" s="63"/>
      <x:c r="G316" s="63"/>
      <x:c r="H316" s="63"/>
      <x:c r="I316" s="63"/>
    </x:row>
    <x:row r="317" ht="30" customHeight="1">
      <x:c r="C317" s="64"/>
      <x:c r="D317" s="63"/>
      <x:c r="E317" s="63"/>
      <x:c r="F317" s="63"/>
      <x:c r="G317" s="63"/>
      <x:c r="H317" s="63"/>
      <x:c r="I317" s="63"/>
    </x:row>
    <x:row r="318" ht="30" customHeight="1">
      <x:c r="C318" s="64"/>
      <x:c r="D318" s="63"/>
      <x:c r="E318" s="63"/>
      <x:c r="F318" s="63"/>
      <x:c r="G318" s="63"/>
      <x:c r="H318" s="63"/>
      <x:c r="I318" s="63"/>
    </x:row>
    <x:row r="319" ht="30" customHeight="1">
      <x:c r="C319" s="64"/>
      <x:c r="D319" s="63"/>
      <x:c r="E319" s="63"/>
      <x:c r="F319" s="63"/>
      <x:c r="G319" s="63"/>
      <x:c r="H319" s="63"/>
      <x:c r="I319" s="63"/>
    </x:row>
    <x:row r="320" ht="30" customHeight="1">
      <x:c r="C320" s="64"/>
      <x:c r="D320" s="63"/>
      <x:c r="E320" s="63"/>
      <x:c r="F320" s="63"/>
      <x:c r="G320" s="63"/>
      <x:c r="H320" s="63"/>
      <x:c r="I320" s="63"/>
    </x:row>
    <x:row r="321" ht="30" customHeight="1">
      <x:c r="C321" s="64"/>
      <x:c r="D321" s="63"/>
      <x:c r="E321" s="63"/>
      <x:c r="F321" s="63"/>
      <x:c r="G321" s="63"/>
      <x:c r="H321" s="63"/>
      <x:c r="I321" s="63"/>
    </x:row>
    <x:row r="322" ht="30" customHeight="1">
      <x:c r="C322" s="64"/>
      <x:c r="D322" s="63"/>
      <x:c r="E322" s="63"/>
      <x:c r="F322" s="63"/>
      <x:c r="G322" s="63"/>
      <x:c r="H322" s="63"/>
      <x:c r="I322" s="63"/>
    </x:row>
    <x:row r="323" ht="30" customHeight="1">
      <x:c r="C323" s="64"/>
      <x:c r="D323" s="63"/>
      <x:c r="E323" s="63"/>
      <x:c r="F323" s="63"/>
      <x:c r="G323" s="63"/>
      <x:c r="H323" s="63"/>
      <x:c r="I323" s="63"/>
    </x:row>
    <x:row r="324" ht="30" customHeight="1">
      <x:c r="C324" s="64"/>
      <x:c r="D324" s="63"/>
      <x:c r="E324" s="63"/>
      <x:c r="F324" s="63"/>
      <x:c r="G324" s="63"/>
      <x:c r="H324" s="63"/>
      <x:c r="I324" s="63"/>
    </x:row>
    <x:row r="325" ht="30" customHeight="1">
      <x:c r="C325" s="64"/>
      <x:c r="D325" s="63"/>
      <x:c r="E325" s="63"/>
      <x:c r="F325" s="63"/>
      <x:c r="G325" s="63"/>
      <x:c r="H325" s="63"/>
      <x:c r="I325" s="63"/>
    </x:row>
    <x:row r="326" ht="30" customHeight="1">
      <x:c r="C326" s="64"/>
      <x:c r="D326" s="63"/>
      <x:c r="E326" s="63"/>
      <x:c r="F326" s="63"/>
      <x:c r="G326" s="63"/>
      <x:c r="H326" s="63"/>
      <x:c r="I326" s="63"/>
    </x:row>
    <x:row r="327" ht="30" customHeight="1">
      <x:c r="C327" s="64"/>
      <x:c r="D327" s="63"/>
      <x:c r="E327" s="63"/>
      <x:c r="F327" s="63"/>
      <x:c r="G327" s="63"/>
      <x:c r="H327" s="63"/>
      <x:c r="I327" s="63"/>
    </x:row>
    <x:row r="328" ht="30" customHeight="1">
      <x:c r="C328" s="64"/>
      <x:c r="D328" s="63"/>
      <x:c r="E328" s="63"/>
      <x:c r="F328" s="63"/>
      <x:c r="G328" s="63"/>
      <x:c r="H328" s="63"/>
      <x:c r="I328" s="63"/>
    </x:row>
    <x:row r="329" ht="30" customHeight="1">
      <x:c r="C329" s="64"/>
      <x:c r="D329" s="63"/>
      <x:c r="E329" s="63"/>
      <x:c r="F329" s="63"/>
      <x:c r="G329" s="63"/>
      <x:c r="H329" s="63"/>
      <x:c r="I329" s="63"/>
    </x:row>
    <x:row r="330" ht="30" customHeight="1">
      <x:c r="C330" s="64"/>
      <x:c r="D330" s="63"/>
      <x:c r="E330" s="63"/>
      <x:c r="F330" s="63"/>
      <x:c r="G330" s="63"/>
      <x:c r="H330" s="63"/>
      <x:c r="I330" s="63"/>
    </x:row>
    <x:row r="331" ht="30" customHeight="1">
      <x:c r="C331" s="64"/>
      <x:c r="D331" s="63"/>
      <x:c r="E331" s="63"/>
      <x:c r="F331" s="63"/>
      <x:c r="G331" s="63"/>
      <x:c r="H331" s="63"/>
      <x:c r="I331" s="63"/>
    </x:row>
    <x:row r="332" ht="30" customHeight="1">
      <x:c r="C332" s="64"/>
      <x:c r="D332" s="63"/>
      <x:c r="E332" s="63"/>
      <x:c r="F332" s="63"/>
      <x:c r="G332" s="63"/>
      <x:c r="H332" s="63"/>
      <x:c r="I332" s="63"/>
    </x:row>
    <x:row r="333" ht="30" customHeight="1">
      <x:c r="C333" s="64"/>
      <x:c r="D333" s="63"/>
      <x:c r="E333" s="63"/>
      <x:c r="F333" s="63"/>
      <x:c r="G333" s="63"/>
      <x:c r="H333" s="63"/>
      <x:c r="I333" s="63"/>
    </x:row>
    <x:row r="334" ht="30" customHeight="1">
      <x:c r="C334" s="64"/>
      <x:c r="D334" s="63"/>
      <x:c r="E334" s="63"/>
      <x:c r="F334" s="63"/>
      <x:c r="G334" s="63"/>
      <x:c r="H334" s="63"/>
      <x:c r="I334" s="63"/>
    </x:row>
    <x:row r="335" ht="30" customHeight="1">
      <x:c r="C335" s="64"/>
      <x:c r="D335" s="63"/>
      <x:c r="E335" s="63"/>
      <x:c r="F335" s="63"/>
      <x:c r="G335" s="63"/>
      <x:c r="H335" s="63"/>
      <x:c r="I335" s="63"/>
    </x:row>
    <x:row r="336" ht="30" customHeight="1">
      <x:c r="C336" s="64"/>
      <x:c r="D336" s="63"/>
      <x:c r="E336" s="63"/>
      <x:c r="F336" s="63"/>
      <x:c r="G336" s="63"/>
      <x:c r="H336" s="63"/>
      <x:c r="I336" s="63"/>
    </x:row>
    <x:row r="337" ht="30" customHeight="1">
      <x:c r="C337" s="64"/>
      <x:c r="D337" s="63"/>
      <x:c r="E337" s="63"/>
      <x:c r="F337" s="63"/>
      <x:c r="G337" s="63"/>
      <x:c r="H337" s="63"/>
      <x:c r="I337" s="63"/>
    </x:row>
    <x:row r="338" ht="30" customHeight="1">
      <x:c r="C338" s="64"/>
      <x:c r="D338" s="63"/>
      <x:c r="E338" s="63"/>
      <x:c r="F338" s="63"/>
      <x:c r="G338" s="63"/>
      <x:c r="H338" s="63"/>
      <x:c r="I338" s="63"/>
    </x:row>
    <x:row r="339" ht="30" customHeight="1">
      <x:c r="C339" s="64"/>
      <x:c r="D339" s="63"/>
      <x:c r="E339" s="63"/>
      <x:c r="F339" s="63"/>
      <x:c r="G339" s="63"/>
      <x:c r="H339" s="63"/>
      <x:c r="I339" s="63"/>
    </x:row>
    <x:row r="340" ht="30" customHeight="1">
      <x:c r="C340" s="64"/>
      <x:c r="D340" s="63"/>
      <x:c r="E340" s="63"/>
      <x:c r="F340" s="63"/>
      <x:c r="G340" s="63"/>
      <x:c r="H340" s="63"/>
      <x:c r="I340" s="63"/>
    </x:row>
    <x:row r="341" ht="30" customHeight="1">
      <x:c r="C341" s="64"/>
      <x:c r="D341" s="63"/>
      <x:c r="E341" s="63"/>
      <x:c r="F341" s="63"/>
      <x:c r="G341" s="63"/>
      <x:c r="H341" s="63"/>
      <x:c r="I341" s="63"/>
    </x:row>
    <x:row r="342" ht="30" customHeight="1">
      <x:c r="C342" s="64"/>
      <x:c r="D342" s="63"/>
      <x:c r="E342" s="63"/>
      <x:c r="F342" s="63"/>
      <x:c r="G342" s="63"/>
      <x:c r="H342" s="63"/>
      <x:c r="I342" s="63"/>
    </x:row>
    <x:row r="343" ht="30" customHeight="1">
      <x:c r="C343" s="64"/>
      <x:c r="D343" s="63"/>
      <x:c r="E343" s="63"/>
      <x:c r="F343" s="63"/>
      <x:c r="G343" s="63"/>
      <x:c r="H343" s="63"/>
      <x:c r="I343" s="63"/>
    </x:row>
    <x:row r="344" ht="30" customHeight="1">
      <x:c r="C344" s="64"/>
      <x:c r="D344" s="63"/>
      <x:c r="E344" s="63"/>
      <x:c r="F344" s="63"/>
      <x:c r="G344" s="63"/>
      <x:c r="H344" s="63"/>
      <x:c r="I344" s="63"/>
    </x:row>
    <x:row r="345" ht="30" customHeight="1">
      <x:c r="C345" s="64"/>
      <x:c r="D345" s="63"/>
      <x:c r="E345" s="63"/>
      <x:c r="F345" s="63"/>
      <x:c r="G345" s="63"/>
      <x:c r="H345" s="63"/>
      <x:c r="I345" s="63"/>
    </x:row>
    <x:row r="346" ht="30" customHeight="1">
      <x:c r="C346" s="64"/>
      <x:c r="D346" s="63"/>
      <x:c r="E346" s="63"/>
      <x:c r="F346" s="63"/>
      <x:c r="G346" s="63"/>
      <x:c r="H346" s="63"/>
      <x:c r="I346" s="63"/>
    </x:row>
    <x:row r="347" ht="30" customHeight="1">
      <x:c r="C347" s="64"/>
      <x:c r="D347" s="63"/>
      <x:c r="E347" s="63"/>
      <x:c r="F347" s="63"/>
      <x:c r="G347" s="63"/>
      <x:c r="H347" s="63"/>
      <x:c r="I347" s="63"/>
    </x:row>
    <x:row r="348" ht="30" customHeight="1">
      <x:c r="C348" s="64"/>
      <x:c r="D348" s="63"/>
      <x:c r="E348" s="63"/>
      <x:c r="F348" s="63"/>
      <x:c r="G348" s="63"/>
      <x:c r="H348" s="63"/>
      <x:c r="I348" s="63"/>
    </x:row>
    <x:row r="349" ht="30" customHeight="1">
      <x:c r="C349" s="64"/>
      <x:c r="D349" s="63"/>
      <x:c r="E349" s="63"/>
      <x:c r="F349" s="63"/>
      <x:c r="G349" s="63"/>
      <x:c r="H349" s="63"/>
      <x:c r="I349" s="63"/>
    </x:row>
    <x:row r="350" ht="30" customHeight="1">
      <x:c r="C350" s="64"/>
      <x:c r="D350" s="63"/>
      <x:c r="E350" s="63"/>
      <x:c r="F350" s="63"/>
      <x:c r="G350" s="63"/>
      <x:c r="H350" s="63"/>
      <x:c r="I350" s="63"/>
    </x:row>
    <x:row r="351" ht="30" customHeight="1">
      <x:c r="C351" s="64"/>
      <x:c r="D351" s="63"/>
      <x:c r="E351" s="63"/>
      <x:c r="F351" s="63"/>
      <x:c r="G351" s="63"/>
      <x:c r="H351" s="63"/>
      <x:c r="I351" s="63"/>
    </x:row>
    <x:row r="352" ht="30" customHeight="1">
      <x:c r="C352" s="64"/>
      <x:c r="D352" s="63"/>
      <x:c r="E352" s="63"/>
      <x:c r="F352" s="63"/>
      <x:c r="G352" s="63"/>
      <x:c r="H352" s="63"/>
      <x:c r="I352" s="63"/>
    </x:row>
    <x:row r="353" ht="30" customHeight="1">
      <x:c r="C353" s="64"/>
      <x:c r="D353" s="63"/>
      <x:c r="E353" s="63"/>
      <x:c r="F353" s="63"/>
      <x:c r="G353" s="63"/>
      <x:c r="H353" s="63"/>
      <x:c r="I353" s="63"/>
    </x:row>
    <x:row r="354" ht="30" customHeight="1">
      <x:c r="C354" s="64"/>
      <x:c r="D354" s="63"/>
      <x:c r="E354" s="63"/>
      <x:c r="F354" s="63"/>
      <x:c r="G354" s="63"/>
      <x:c r="H354" s="63"/>
      <x:c r="I354" s="63"/>
    </x:row>
    <x:row r="355" ht="30" customHeight="1">
      <x:c r="C355" s="64"/>
      <x:c r="D355" s="63"/>
      <x:c r="E355" s="63"/>
      <x:c r="F355" s="63"/>
      <x:c r="G355" s="63"/>
      <x:c r="H355" s="63"/>
      <x:c r="I355" s="63"/>
    </x:row>
    <x:row r="356" ht="30" customHeight="1">
      <x:c r="C356" s="64"/>
      <x:c r="D356" s="63"/>
      <x:c r="E356" s="63"/>
      <x:c r="F356" s="63"/>
      <x:c r="G356" s="63"/>
      <x:c r="H356" s="63"/>
      <x:c r="I356" s="63"/>
    </x:row>
    <x:row r="357" ht="30" customHeight="1">
      <x:c r="C357" s="64"/>
      <x:c r="D357" s="63"/>
      <x:c r="E357" s="63"/>
      <x:c r="F357" s="63"/>
      <x:c r="G357" s="63"/>
      <x:c r="H357" s="63"/>
      <x:c r="I357" s="63"/>
    </x:row>
    <x:row r="358" ht="30" customHeight="1">
      <x:c r="C358" s="64"/>
      <x:c r="D358" s="63"/>
      <x:c r="E358" s="63"/>
      <x:c r="F358" s="63"/>
      <x:c r="G358" s="63"/>
      <x:c r="H358" s="63"/>
      <x:c r="I358" s="63"/>
    </x:row>
    <x:row r="359" ht="30" customHeight="1">
      <x:c r="C359" s="64"/>
      <x:c r="D359" s="63"/>
      <x:c r="E359" s="63"/>
      <x:c r="F359" s="63"/>
      <x:c r="G359" s="63"/>
      <x:c r="H359" s="63"/>
      <x:c r="I359" s="63"/>
    </x:row>
    <x:row r="360" ht="30" customHeight="1">
      <x:c r="C360" s="64"/>
      <x:c r="D360" s="63"/>
      <x:c r="E360" s="63"/>
      <x:c r="F360" s="63"/>
      <x:c r="G360" s="63"/>
      <x:c r="H360" s="63"/>
      <x:c r="I360" s="63"/>
    </x:row>
    <x:row r="361" ht="30" customHeight="1">
      <x:c r="C361" s="64"/>
      <x:c r="D361" s="63"/>
      <x:c r="E361" s="63"/>
      <x:c r="F361" s="63"/>
      <x:c r="G361" s="63"/>
      <x:c r="H361" s="63"/>
      <x:c r="I361" s="63"/>
    </x:row>
    <x:row r="362" ht="30" customHeight="1">
      <x:c r="C362" s="64"/>
      <x:c r="D362" s="63"/>
      <x:c r="E362" s="63"/>
      <x:c r="F362" s="63"/>
      <x:c r="G362" s="63"/>
      <x:c r="H362" s="63"/>
      <x:c r="I362" s="63"/>
    </x:row>
    <x:row r="363" ht="30" customHeight="1">
      <x:c r="C363" s="64"/>
      <x:c r="D363" s="63"/>
      <x:c r="E363" s="63"/>
      <x:c r="F363" s="63"/>
      <x:c r="G363" s="63"/>
      <x:c r="H363" s="63"/>
      <x:c r="I363" s="63"/>
    </x:row>
    <x:row r="364" ht="30" customHeight="1">
      <x:c r="C364" s="64"/>
      <x:c r="D364" s="63"/>
      <x:c r="E364" s="63"/>
      <x:c r="F364" s="63"/>
      <x:c r="G364" s="63"/>
      <x:c r="H364" s="63"/>
      <x:c r="I364" s="63"/>
    </x:row>
    <x:row r="365" ht="30" customHeight="1">
      <x:c r="C365" s="64"/>
      <x:c r="D365" s="63"/>
      <x:c r="E365" s="63"/>
      <x:c r="F365" s="63"/>
      <x:c r="G365" s="63"/>
      <x:c r="H365" s="63"/>
      <x:c r="I365" s="63"/>
    </x:row>
    <x:row r="366" ht="30" customHeight="1">
      <x:c r="C366" s="64"/>
      <x:c r="D366" s="63"/>
      <x:c r="E366" s="63"/>
      <x:c r="F366" s="63"/>
      <x:c r="G366" s="63"/>
      <x:c r="H366" s="63"/>
      <x:c r="I366" s="63"/>
    </x:row>
    <x:row r="367" ht="30" customHeight="1">
      <x:c r="C367" s="64"/>
      <x:c r="D367" s="63"/>
      <x:c r="E367" s="63"/>
      <x:c r="F367" s="63"/>
      <x:c r="G367" s="63"/>
      <x:c r="H367" s="63"/>
      <x:c r="I367" s="63"/>
    </x:row>
    <x:row r="368" ht="30" customHeight="1">
      <x:c r="C368" s="64"/>
      <x:c r="D368" s="63"/>
      <x:c r="E368" s="63"/>
      <x:c r="F368" s="63"/>
      <x:c r="G368" s="63"/>
      <x:c r="H368" s="63"/>
      <x:c r="I368" s="63"/>
    </x:row>
    <x:row r="369" ht="30" customHeight="1">
      <x:c r="C369" s="64"/>
      <x:c r="D369" s="63"/>
      <x:c r="E369" s="63"/>
      <x:c r="F369" s="63"/>
      <x:c r="G369" s="63"/>
      <x:c r="H369" s="63"/>
      <x:c r="I369" s="63"/>
    </x:row>
    <x:row r="370" ht="30" customHeight="1">
      <x:c r="C370" s="64"/>
      <x:c r="D370" s="63"/>
      <x:c r="E370" s="63"/>
      <x:c r="F370" s="63"/>
      <x:c r="G370" s="63"/>
      <x:c r="H370" s="63"/>
      <x:c r="I370" s="63"/>
    </x:row>
    <x:row r="371" ht="30" customHeight="1">
      <x:c r="C371" s="64"/>
      <x:c r="D371" s="63"/>
      <x:c r="E371" s="63"/>
      <x:c r="F371" s="63"/>
      <x:c r="G371" s="63"/>
      <x:c r="H371" s="63"/>
      <x:c r="I371" s="63"/>
    </x:row>
    <x:row r="372" ht="30" customHeight="1">
      <x:c r="C372" s="64"/>
      <x:c r="D372" s="63"/>
      <x:c r="E372" s="63"/>
      <x:c r="F372" s="63"/>
      <x:c r="G372" s="63"/>
      <x:c r="H372" s="63"/>
      <x:c r="I372" s="63"/>
    </x:row>
    <x:row r="373" ht="30" customHeight="1">
      <x:c r="C373" s="64"/>
      <x:c r="D373" s="63"/>
      <x:c r="E373" s="63"/>
      <x:c r="F373" s="63"/>
      <x:c r="G373" s="63"/>
      <x:c r="H373" s="63"/>
      <x:c r="I373" s="63"/>
    </x:row>
    <x:row r="374" ht="30" customHeight="1">
      <x:c r="C374" s="64"/>
      <x:c r="D374" s="63"/>
      <x:c r="E374" s="63"/>
      <x:c r="F374" s="63"/>
      <x:c r="G374" s="63"/>
      <x:c r="H374" s="63"/>
      <x:c r="I374" s="63"/>
    </x:row>
    <x:row r="375" ht="30" customHeight="1">
      <x:c r="C375" s="64"/>
      <x:c r="D375" s="63"/>
      <x:c r="E375" s="63"/>
      <x:c r="F375" s="63"/>
      <x:c r="G375" s="63"/>
      <x:c r="H375" s="63"/>
      <x:c r="I375" s="63"/>
    </x:row>
    <x:row r="376" ht="30" customHeight="1">
      <x:c r="C376" s="64"/>
      <x:c r="D376" s="63"/>
      <x:c r="E376" s="63"/>
      <x:c r="F376" s="63"/>
      <x:c r="G376" s="63"/>
      <x:c r="H376" s="63"/>
      <x:c r="I376" s="63"/>
    </x:row>
    <x:row r="377" ht="30" customHeight="1">
      <x:c r="C377" s="64"/>
      <x:c r="D377" s="63"/>
      <x:c r="E377" s="63"/>
      <x:c r="F377" s="63"/>
      <x:c r="G377" s="63"/>
      <x:c r="H377" s="63"/>
      <x:c r="I377" s="63"/>
    </x:row>
    <x:row r="378" ht="30" customHeight="1">
      <x:c r="C378" s="64"/>
      <x:c r="D378" s="63"/>
      <x:c r="E378" s="63"/>
      <x:c r="F378" s="63"/>
      <x:c r="G378" s="63"/>
      <x:c r="H378" s="63"/>
      <x:c r="I378" s="63"/>
    </x:row>
    <x:row r="379" ht="30" customHeight="1">
      <x:c r="C379" s="64"/>
      <x:c r="D379" s="63"/>
      <x:c r="E379" s="63"/>
      <x:c r="F379" s="63"/>
      <x:c r="G379" s="63"/>
      <x:c r="H379" s="63"/>
      <x:c r="I379" s="63"/>
    </x:row>
    <x:row r="380" ht="30" customHeight="1">
      <x:c r="C380" s="64"/>
      <x:c r="D380" s="63"/>
      <x:c r="E380" s="63"/>
      <x:c r="F380" s="63"/>
      <x:c r="G380" s="63"/>
      <x:c r="H380" s="63"/>
      <x:c r="I380" s="63"/>
    </x:row>
    <x:row r="381" ht="30" customHeight="1">
      <x:c r="C381" s="64"/>
      <x:c r="D381" s="63"/>
      <x:c r="E381" s="63"/>
      <x:c r="F381" s="63"/>
      <x:c r="G381" s="63"/>
      <x:c r="H381" s="63"/>
      <x:c r="I381" s="63"/>
    </x:row>
    <x:row r="382" ht="30" customHeight="1">
      <x:c r="C382" s="64"/>
      <x:c r="D382" s="63"/>
      <x:c r="E382" s="63"/>
      <x:c r="F382" s="63"/>
      <x:c r="G382" s="63"/>
      <x:c r="H382" s="63"/>
      <x:c r="I382" s="63"/>
    </x:row>
    <x:row r="383" ht="30" customHeight="1">
      <x:c r="C383" s="64"/>
      <x:c r="D383" s="63"/>
      <x:c r="E383" s="63"/>
      <x:c r="F383" s="63"/>
      <x:c r="G383" s="63"/>
      <x:c r="H383" s="63"/>
      <x:c r="I383" s="63"/>
    </x:row>
    <x:row r="384" ht="30" customHeight="1">
      <x:c r="C384" s="64"/>
      <x:c r="D384" s="63"/>
      <x:c r="E384" s="63"/>
      <x:c r="F384" s="63"/>
      <x:c r="G384" s="63"/>
      <x:c r="H384" s="63"/>
      <x:c r="I384" s="63"/>
    </x:row>
    <x:row r="385" ht="30" customHeight="1">
      <x:c r="C385" s="64"/>
      <x:c r="D385" s="63"/>
      <x:c r="E385" s="63"/>
      <x:c r="F385" s="63"/>
      <x:c r="G385" s="63"/>
      <x:c r="H385" s="63"/>
      <x:c r="I385" s="63"/>
    </x:row>
    <x:row r="386" ht="30" customHeight="1">
      <x:c r="C386" s="64"/>
      <x:c r="D386" s="63"/>
      <x:c r="E386" s="63"/>
      <x:c r="F386" s="63"/>
      <x:c r="G386" s="63"/>
      <x:c r="H386" s="63"/>
      <x:c r="I386" s="63"/>
    </x:row>
    <x:row r="387" ht="30" customHeight="1">
      <x:c r="C387" s="64"/>
      <x:c r="D387" s="63"/>
      <x:c r="E387" s="63"/>
      <x:c r="F387" s="63"/>
      <x:c r="G387" s="63"/>
      <x:c r="H387" s="63"/>
      <x:c r="I387" s="63"/>
    </x:row>
    <x:row r="388" ht="30" customHeight="1">
      <x:c r="C388" s="64"/>
      <x:c r="D388" s="63"/>
      <x:c r="E388" s="63"/>
      <x:c r="F388" s="63"/>
      <x:c r="G388" s="63"/>
      <x:c r="H388" s="63"/>
      <x:c r="I388" s="63"/>
    </x:row>
    <x:row r="389" ht="30" customHeight="1">
      <x:c r="C389" s="64"/>
      <x:c r="D389" s="63"/>
      <x:c r="E389" s="63"/>
      <x:c r="F389" s="63"/>
      <x:c r="G389" s="63"/>
      <x:c r="H389" s="63"/>
      <x:c r="I389" s="63"/>
    </x:row>
    <x:row r="390" ht="30" customHeight="1">
      <x:c r="C390" s="64"/>
      <x:c r="D390" s="63"/>
      <x:c r="E390" s="63"/>
      <x:c r="F390" s="63"/>
      <x:c r="G390" s="63"/>
      <x:c r="H390" s="63"/>
      <x:c r="I390" s="63"/>
    </x:row>
    <x:row r="391" ht="30" customHeight="1">
      <x:c r="C391" s="64"/>
      <x:c r="D391" s="63"/>
      <x:c r="E391" s="63"/>
      <x:c r="F391" s="63"/>
      <x:c r="G391" s="63"/>
      <x:c r="H391" s="63"/>
      <x:c r="I391" s="63"/>
    </x:row>
    <x:row r="392" ht="30" customHeight="1">
      <x:c r="C392" s="64"/>
      <x:c r="D392" s="63"/>
      <x:c r="E392" s="63"/>
      <x:c r="F392" s="63"/>
      <x:c r="G392" s="63"/>
      <x:c r="H392" s="63"/>
      <x:c r="I392" s="63"/>
    </x:row>
    <x:row r="393" ht="30" customHeight="1">
      <x:c r="C393" s="64"/>
      <x:c r="D393" s="63"/>
      <x:c r="E393" s="63"/>
      <x:c r="F393" s="63"/>
      <x:c r="G393" s="63"/>
      <x:c r="H393" s="63"/>
      <x:c r="I393" s="63"/>
    </x:row>
    <x:row r="394" ht="30" customHeight="1">
      <x:c r="C394" s="64"/>
      <x:c r="D394" s="63"/>
      <x:c r="E394" s="63"/>
      <x:c r="F394" s="63"/>
      <x:c r="G394" s="63"/>
      <x:c r="H394" s="63"/>
      <x:c r="I394" s="63"/>
    </x:row>
    <x:row r="395" ht="30" customHeight="1">
      <x:c r="C395" s="64"/>
      <x:c r="D395" s="63"/>
      <x:c r="E395" s="63"/>
      <x:c r="F395" s="63"/>
      <x:c r="G395" s="63"/>
      <x:c r="H395" s="63"/>
      <x:c r="I395" s="63"/>
    </x:row>
    <x:row r="396" ht="30" customHeight="1">
      <x:c r="C396" s="64"/>
      <x:c r="D396" s="63"/>
      <x:c r="E396" s="63"/>
      <x:c r="F396" s="63"/>
      <x:c r="G396" s="63"/>
      <x:c r="H396" s="63"/>
      <x:c r="I396" s="63"/>
    </x:row>
    <x:row r="397" ht="30" customHeight="1">
      <x:c r="C397" s="64"/>
      <x:c r="D397" s="63"/>
      <x:c r="E397" s="63"/>
      <x:c r="F397" s="63"/>
      <x:c r="G397" s="63"/>
      <x:c r="H397" s="63"/>
      <x:c r="I397" s="63"/>
    </x:row>
    <x:row r="398" ht="25" customHeight="1">
      <x:c r="C398" s="68" t="str">
        <x:v>SCENARIO ASSUMPTIONS</x:v>
      </x:c>
      <x:c r="D398" s="82"/>
      <x:c r="E398" s="82"/>
      <x:c r="F398" s="82"/>
      <x:c r="G398" s="82"/>
      <x:c r="H398" s="82"/>
      <x:c r="I398" s="82"/>
    </x:row>
    <x:row r="399" ht="30" customHeight="1">
      <x:c r="C399" s="64"/>
      <x:c r="D399" s="63"/>
      <x:c r="E399" s="63"/>
      <x:c r="F399" s="63"/>
      <x:c r="G399" s="63"/>
      <x:c r="H399" s="63"/>
      <x:c r="I399" s="63"/>
    </x:row>
    <x:row r="400" ht="30" customHeight="1">
      <x:c r="C400" s="64" t="str">
        <x:v>Net retention — active</x:v>
      </x:c>
      <x:c r="D400" s="63"/>
      <x:c r="E400" s="83" t="n">
        <x:f>IF(COUNT(CHOOSE('Controls'!$E$5,E401,E402,E403))=1,CHOOSE('Controls'!$E$5,E401,E402,E403),NA())</x:f>
        <x:v>0.75</x:v>
      </x:c>
      <x:c r="F400" s="83" t="n">
        <x:f>IF(COUNT(CHOOSE('Controls'!$E$5,F401,F402,F403))=1,CHOOSE('Controls'!$E$5,F401,F402,F403),NA())</x:f>
        <x:v>0.75</x:v>
      </x:c>
      <x:c r="G400" s="83" t="n">
        <x:f>IF(COUNT(CHOOSE('Controls'!$E$5,G401,G402,G403))=1,CHOOSE('Controls'!$E$5,G401,G402,G403),NA())</x:f>
        <x:v>0.75</x:v>
      </x:c>
      <x:c r="H400" s="83" t="n">
        <x:f>IF(COUNT(CHOOSE('Controls'!$E$5,H401,H402,H403))=1,CHOOSE('Controls'!$E$5,H401,H402,H403),NA())</x:f>
        <x:v>0.75</x:v>
      </x:c>
      <x:c r="I400" s="83" t="n">
        <x:f>IF(COUNT(CHOOSE('Controls'!$E$5,I401,I402,I403))=1,CHOOSE('Controls'!$E$5,I401,I402,I403),NA())</x:f>
        <x:v>0.75</x:v>
      </x:c>
    </x:row>
    <x:row r="401" ht="30" customHeight="1">
      <x:c r="C401" s="64" t="str">
        <x:v>Base</x:v>
      </x:c>
      <x:c r="D401" s="63"/>
      <x:c r="E401" s="85" t="n">
        <x:v>0.75</x:v>
      </x:c>
      <x:c r="F401" s="85" t="n">
        <x:v>0.75</x:v>
      </x:c>
      <x:c r="G401" s="85" t="n">
        <x:v>0.75</x:v>
      </x:c>
      <x:c r="H401" s="85" t="n">
        <x:v>0.75</x:v>
      </x:c>
      <x:c r="I401" s="85" t="n">
        <x:v>0.75</x:v>
      </x:c>
    </x:row>
    <x:row r="402" ht="30" customHeight="1">
      <x:c r="C402" s="64" t="str">
        <x:v>Downside</x:v>
      </x:c>
      <x:c r="D402" s="63"/>
      <x:c r="E402" s="85" t="n">
        <x:v>0.75</x:v>
      </x:c>
      <x:c r="F402" s="85" t="n">
        <x:v>0.75</x:v>
      </x:c>
      <x:c r="G402" s="85" t="n">
        <x:v>0.75</x:v>
      </x:c>
      <x:c r="H402" s="85" t="n">
        <x:v>0.75</x:v>
      </x:c>
      <x:c r="I402" s="85" t="n">
        <x:v>0.75</x:v>
      </x:c>
    </x:row>
    <x:row r="403" ht="30" customHeight="1">
      <x:c r="C403" s="64" t="str">
        <x:v>Upside</x:v>
      </x:c>
      <x:c r="D403" s="63"/>
      <x:c r="E403" s="85" t="n">
        <x:v>0.75</x:v>
      </x:c>
      <x:c r="F403" s="85" t="n">
        <x:v>0.75</x:v>
      </x:c>
      <x:c r="G403" s="85" t="n">
        <x:v>0.75</x:v>
      </x:c>
      <x:c r="H403" s="85" t="n">
        <x:v>0.75</x:v>
      </x:c>
      <x:c r="I403" s="85" t="n">
        <x:v>0.75</x:v>
      </x:c>
    </x:row>
    <x:row r="404" ht="30" customHeight="1">
      <x:c r="C404" s="64"/>
      <x:c r="D404" s="63"/>
      <x:c r="E404" s="63"/>
      <x:c r="F404" s="63"/>
      <x:c r="G404" s="63"/>
      <x:c r="H404" s="63"/>
      <x:c r="I404" s="63"/>
    </x:row>
    <x:row r="405" ht="30" customHeight="1">
      <x:c r="C405" s="64" t="str">
        <x:v>Closing UPR / net written premium — active</x:v>
      </x:c>
      <x:c r="D405" s="63"/>
      <x:c r="E405" s="83" t="n">
        <x:f>IF(COUNT(CHOOSE('Controls'!$E$5,E406,E407,E408))=1,CHOOSE('Controls'!$E$5,E406,E407,E408),NA())</x:f>
        <x:v>0.45</x:v>
      </x:c>
      <x:c r="F405" s="83" t="n">
        <x:f>IF(COUNT(CHOOSE('Controls'!$E$5,F406,F407,F408))=1,CHOOSE('Controls'!$E$5,F406,F407,F408),NA())</x:f>
        <x:v>0.45</x:v>
      </x:c>
      <x:c r="G405" s="83" t="n">
        <x:f>IF(COUNT(CHOOSE('Controls'!$E$5,G406,G407,G408))=1,CHOOSE('Controls'!$E$5,G406,G407,G408),NA())</x:f>
        <x:v>0.45</x:v>
      </x:c>
      <x:c r="H405" s="83" t="n">
        <x:f>IF(COUNT(CHOOSE('Controls'!$E$5,H406,H407,H408))=1,CHOOSE('Controls'!$E$5,H406,H407,H408),NA())</x:f>
        <x:v>0.45</x:v>
      </x:c>
      <x:c r="I405" s="83" t="n">
        <x:f>IF(COUNT(CHOOSE('Controls'!$E$5,I406,I407,I408))=1,CHOOSE('Controls'!$E$5,I406,I407,I408),NA())</x:f>
        <x:v>0.45</x:v>
      </x:c>
    </x:row>
    <x:row r="406" ht="30" customHeight="1">
      <x:c r="C406" s="64" t="str">
        <x:v>Base</x:v>
      </x:c>
      <x:c r="D406" s="63"/>
      <x:c r="E406" s="85" t="n">
        <x:v>0.45</x:v>
      </x:c>
      <x:c r="F406" s="85" t="n">
        <x:v>0.45</x:v>
      </x:c>
      <x:c r="G406" s="85" t="n">
        <x:v>0.45</x:v>
      </x:c>
      <x:c r="H406" s="85" t="n">
        <x:v>0.45</x:v>
      </x:c>
      <x:c r="I406" s="85" t="n">
        <x:v>0.45</x:v>
      </x:c>
    </x:row>
    <x:row r="407" ht="30" customHeight="1">
      <x:c r="C407" s="64" t="str">
        <x:v>Downside</x:v>
      </x:c>
      <x:c r="D407" s="63"/>
      <x:c r="E407" s="85" t="n">
        <x:v>0.45</x:v>
      </x:c>
      <x:c r="F407" s="85" t="n">
        <x:v>0.45</x:v>
      </x:c>
      <x:c r="G407" s="85" t="n">
        <x:v>0.45</x:v>
      </x:c>
      <x:c r="H407" s="85" t="n">
        <x:v>0.45</x:v>
      </x:c>
      <x:c r="I407" s="85" t="n">
        <x:v>0.45</x:v>
      </x:c>
    </x:row>
    <x:row r="408" ht="30" customHeight="1">
      <x:c r="C408" s="64" t="str">
        <x:v>Upside</x:v>
      </x:c>
      <x:c r="D408" s="63"/>
      <x:c r="E408" s="85" t="n">
        <x:v>0.45</x:v>
      </x:c>
      <x:c r="F408" s="85" t="n">
        <x:v>0.45</x:v>
      </x:c>
      <x:c r="G408" s="85" t="n">
        <x:v>0.45</x:v>
      </x:c>
      <x:c r="H408" s="85" t="n">
        <x:v>0.45</x:v>
      </x:c>
      <x:c r="I408" s="85" t="n">
        <x:v>0.45</x:v>
      </x:c>
    </x:row>
    <x:row r="409" ht="30" customHeight="1">
      <x:c r="C409" s="64"/>
      <x:c r="D409" s="63"/>
      <x:c r="E409" s="63"/>
      <x:c r="F409" s="63"/>
      <x:c r="G409" s="63"/>
      <x:c r="H409" s="63"/>
      <x:c r="I409" s="63"/>
    </x:row>
    <x:row r="410" ht="30" customHeight="1">
      <x:c r="C410" s="64" t="str">
        <x:v>Net management expense / NWP — active</x:v>
      </x:c>
      <x:c r="D410" s="63"/>
      <x:c r="E410" s="83" t="n">
        <x:f>IF(COUNT(CHOOSE('Controls'!$E$5,E411,E412,E413))=1,CHOOSE('Controls'!$E$5,E411,E412,E413),NA())</x:f>
        <x:v>0.28</x:v>
      </x:c>
      <x:c r="F410" s="83" t="n">
        <x:f>IF(COUNT(CHOOSE('Controls'!$E$5,F411,F412,F413))=1,CHOOSE('Controls'!$E$5,F411,F412,F413),NA())</x:f>
        <x:v>0.28</x:v>
      </x:c>
      <x:c r="G410" s="83" t="n">
        <x:f>IF(COUNT(CHOOSE('Controls'!$E$5,G411,G412,G413))=1,CHOOSE('Controls'!$E$5,G411,G412,G413),NA())</x:f>
        <x:v>0.28</x:v>
      </x:c>
      <x:c r="H410" s="83" t="n">
        <x:f>IF(COUNT(CHOOSE('Controls'!$E$5,H411,H412,H413))=1,CHOOSE('Controls'!$E$5,H411,H412,H413),NA())</x:f>
        <x:v>0.28</x:v>
      </x:c>
      <x:c r="I410" s="83" t="n">
        <x:f>IF(COUNT(CHOOSE('Controls'!$E$5,I411,I412,I413))=1,CHOOSE('Controls'!$E$5,I411,I412,I413),NA())</x:f>
        <x:v>0.28</x:v>
      </x:c>
    </x:row>
    <x:row r="411" ht="30" customHeight="1">
      <x:c r="C411" s="64" t="str">
        <x:v>Base</x:v>
      </x:c>
      <x:c r="D411" s="63"/>
      <x:c r="E411" s="85" t="n">
        <x:v>0.28</x:v>
      </x:c>
      <x:c r="F411" s="85" t="n">
        <x:v>0.28</x:v>
      </x:c>
      <x:c r="G411" s="85" t="n">
        <x:v>0.28</x:v>
      </x:c>
      <x:c r="H411" s="85" t="n">
        <x:v>0.28</x:v>
      </x:c>
      <x:c r="I411" s="85" t="n">
        <x:v>0.28</x:v>
      </x:c>
    </x:row>
    <x:row r="412" ht="30" customHeight="1">
      <x:c r="C412" s="64" t="str">
        <x:v>Downside</x:v>
      </x:c>
      <x:c r="D412" s="63"/>
      <x:c r="E412" s="85" t="n">
        <x:v>0.28</x:v>
      </x:c>
      <x:c r="F412" s="85" t="n">
        <x:v>0.28</x:v>
      </x:c>
      <x:c r="G412" s="85" t="n">
        <x:v>0.28</x:v>
      </x:c>
      <x:c r="H412" s="85" t="n">
        <x:v>0.28</x:v>
      </x:c>
      <x:c r="I412" s="85" t="n">
        <x:v>0.28</x:v>
      </x:c>
    </x:row>
    <x:row r="413" ht="30" customHeight="1">
      <x:c r="C413" s="64" t="str">
        <x:v>Upside</x:v>
      </x:c>
      <x:c r="D413" s="63"/>
      <x:c r="E413" s="85" t="n">
        <x:v>0.28</x:v>
      </x:c>
      <x:c r="F413" s="85" t="n">
        <x:v>0.28</x:v>
      </x:c>
      <x:c r="G413" s="85" t="n">
        <x:v>0.28</x:v>
      </x:c>
      <x:c r="H413" s="85" t="n">
        <x:v>0.28</x:v>
      </x:c>
      <x:c r="I413" s="85" t="n">
        <x:v>0.28</x:v>
      </x:c>
    </x:row>
    <x:row r="414" ht="30" customHeight="1">
      <x:c r="C414" s="64"/>
      <x:c r="D414" s="63"/>
      <x:c r="E414" s="63"/>
      <x:c r="F414" s="63"/>
      <x:c r="G414" s="63"/>
      <x:c r="H414" s="63"/>
      <x:c r="I414" s="63"/>
    </x:row>
    <x:row r="415" ht="30" customHeight="1">
      <x:c r="C415" s="64" t="str">
        <x:v>Claims paid / incurred claims — active</x:v>
      </x:c>
      <x:c r="D415" s="63"/>
      <x:c r="E415" s="83" t="n">
        <x:f>IF(COUNT(CHOOSE('Controls'!$E$5,E416,E417,E418))=1,CHOOSE('Controls'!$E$5,E416,E417,E418),NA())</x:f>
        <x:v>0.9</x:v>
      </x:c>
      <x:c r="F415" s="83" t="n">
        <x:f>IF(COUNT(CHOOSE('Controls'!$E$5,F416,F417,F418))=1,CHOOSE('Controls'!$E$5,F416,F417,F418),NA())</x:f>
        <x:v>0.9</x:v>
      </x:c>
      <x:c r="G415" s="83" t="n">
        <x:f>IF(COUNT(CHOOSE('Controls'!$E$5,G416,G417,G418))=1,CHOOSE('Controls'!$E$5,G416,G417,G418),NA())</x:f>
        <x:v>0.9</x:v>
      </x:c>
      <x:c r="H415" s="83" t="n">
        <x:f>IF(COUNT(CHOOSE('Controls'!$E$5,H416,H417,H418))=1,CHOOSE('Controls'!$E$5,H416,H417,H418),NA())</x:f>
        <x:v>0.9</x:v>
      </x:c>
      <x:c r="I415" s="83" t="n">
        <x:f>IF(COUNT(CHOOSE('Controls'!$E$5,I416,I417,I418))=1,CHOOSE('Controls'!$E$5,I416,I417,I418),NA())</x:f>
        <x:v>0.9</x:v>
      </x:c>
    </x:row>
    <x:row r="416" ht="30" customHeight="1">
      <x:c r="C416" s="64" t="str">
        <x:v>Base</x:v>
      </x:c>
      <x:c r="D416" s="63"/>
      <x:c r="E416" s="85" t="n">
        <x:v>0.9</x:v>
      </x:c>
      <x:c r="F416" s="85" t="n">
        <x:v>0.9</x:v>
      </x:c>
      <x:c r="G416" s="85" t="n">
        <x:v>0.9</x:v>
      </x:c>
      <x:c r="H416" s="85" t="n">
        <x:v>0.9</x:v>
      </x:c>
      <x:c r="I416" s="85" t="n">
        <x:v>0.9</x:v>
      </x:c>
    </x:row>
    <x:row r="417" ht="30" customHeight="1">
      <x:c r="C417" s="64" t="str">
        <x:v>Downside</x:v>
      </x:c>
      <x:c r="D417" s="63"/>
      <x:c r="E417" s="85" t="n">
        <x:v>0.9</x:v>
      </x:c>
      <x:c r="F417" s="85" t="n">
        <x:v>0.9</x:v>
      </x:c>
      <x:c r="G417" s="85" t="n">
        <x:v>0.9</x:v>
      </x:c>
      <x:c r="H417" s="85" t="n">
        <x:v>0.9</x:v>
      </x:c>
      <x:c r="I417" s="85" t="n">
        <x:v>0.9</x:v>
      </x:c>
    </x:row>
    <x:row r="418" ht="30" customHeight="1">
      <x:c r="C418" s="64" t="str">
        <x:v>Upside</x:v>
      </x:c>
      <x:c r="D418" s="63"/>
      <x:c r="E418" s="85" t="n">
        <x:v>0.9</x:v>
      </x:c>
      <x:c r="F418" s="85" t="n">
        <x:v>0.9</x:v>
      </x:c>
      <x:c r="G418" s="85" t="n">
        <x:v>0.9</x:v>
      </x:c>
      <x:c r="H418" s="85" t="n">
        <x:v>0.9</x:v>
      </x:c>
      <x:c r="I418" s="85" t="n">
        <x:v>0.9</x:v>
      </x:c>
    </x:row>
    <x:row r="419" ht="30" customHeight="1">
      <x:c r="C419" s="64"/>
      <x:c r="D419" s="63"/>
      <x:c r="E419" s="63"/>
      <x:c r="F419" s="63"/>
      <x:c r="G419" s="63"/>
      <x:c r="H419" s="63"/>
      <x:c r="I419" s="63"/>
    </x:row>
    <x:row r="420" ht="30" customHeight="1">
      <x:c r="C420" s="64" t="str">
        <x:v>Yield on opening investment assets — active</x:v>
      </x:c>
      <x:c r="D420" s="63"/>
      <x:c r="E420" s="83" t="n">
        <x:f>IF(COUNT(CHOOSE('Controls'!$E$5,E421,E422,E423))=1,CHOOSE('Controls'!$E$5,E421,E422,E423),NA())</x:f>
        <x:v>0.065</x:v>
      </x:c>
      <x:c r="F420" s="83" t="n">
        <x:f>IF(COUNT(CHOOSE('Controls'!$E$5,F421,F422,F423))=1,CHOOSE('Controls'!$E$5,F421,F422,F423),NA())</x:f>
        <x:v>0.065</x:v>
      </x:c>
      <x:c r="G420" s="83" t="n">
        <x:f>IF(COUNT(CHOOSE('Controls'!$E$5,G421,G422,G423))=1,CHOOSE('Controls'!$E$5,G421,G422,G423),NA())</x:f>
        <x:v>0.065</x:v>
      </x:c>
      <x:c r="H420" s="83" t="n">
        <x:f>IF(COUNT(CHOOSE('Controls'!$E$5,H421,H422,H423))=1,CHOOSE('Controls'!$E$5,H421,H422,H423),NA())</x:f>
        <x:v>0.065</x:v>
      </x:c>
      <x:c r="I420" s="83" t="n">
        <x:f>IF(COUNT(CHOOSE('Controls'!$E$5,I421,I422,I423))=1,CHOOSE('Controls'!$E$5,I421,I422,I423),NA())</x:f>
        <x:v>0.065</x:v>
      </x:c>
    </x:row>
    <x:row r="421" ht="30" customHeight="1">
      <x:c r="C421" s="64" t="str">
        <x:v>Base</x:v>
      </x:c>
      <x:c r="D421" s="63"/>
      <x:c r="E421" s="85" t="n">
        <x:v>0.065</x:v>
      </x:c>
      <x:c r="F421" s="85" t="n">
        <x:v>0.065</x:v>
      </x:c>
      <x:c r="G421" s="85" t="n">
        <x:v>0.065</x:v>
      </x:c>
      <x:c r="H421" s="85" t="n">
        <x:v>0.065</x:v>
      </x:c>
      <x:c r="I421" s="85" t="n">
        <x:v>0.065</x:v>
      </x:c>
    </x:row>
    <x:row r="422" ht="30" customHeight="1">
      <x:c r="C422" s="64" t="str">
        <x:v>Downside</x:v>
      </x:c>
      <x:c r="D422" s="63"/>
      <x:c r="E422" s="85" t="n">
        <x:v>0.065</x:v>
      </x:c>
      <x:c r="F422" s="85" t="n">
        <x:v>0.065</x:v>
      </x:c>
      <x:c r="G422" s="85" t="n">
        <x:v>0.065</x:v>
      </x:c>
      <x:c r="H422" s="85" t="n">
        <x:v>0.065</x:v>
      </x:c>
      <x:c r="I422" s="85" t="n">
        <x:v>0.065</x:v>
      </x:c>
    </x:row>
    <x:row r="423" ht="30" customHeight="1">
      <x:c r="C423" s="64" t="str">
        <x:v>Upside</x:v>
      </x:c>
      <x:c r="D423" s="63"/>
      <x:c r="E423" s="85" t="n">
        <x:v>0.065</x:v>
      </x:c>
      <x:c r="F423" s="85" t="n">
        <x:v>0.065</x:v>
      </x:c>
      <x:c r="G423" s="85" t="n">
        <x:v>0.065</x:v>
      </x:c>
      <x:c r="H423" s="85" t="n">
        <x:v>0.065</x:v>
      </x:c>
      <x:c r="I423" s="85" t="n">
        <x:v>0.065</x:v>
      </x:c>
    </x:row>
    <x:row r="424" ht="30" customHeight="1">
      <x:c r="C424" s="64"/>
      <x:c r="D424" s="63"/>
      <x:c r="E424" s="63"/>
      <x:c r="F424" s="63"/>
      <x:c r="G424" s="63"/>
      <x:c r="H424" s="63"/>
      <x:c r="I424" s="63"/>
    </x:row>
    <x:row r="425" ht="30" customHeight="1">
      <x:c r="C425" s="64" t="str">
        <x:v>Effective tax rate — active</x:v>
      </x:c>
      <x:c r="D425" s="63"/>
      <x:c r="E425" s="83" t="n">
        <x:f>IF(COUNT(CHOOSE('Controls'!$E$5,E426,E427,E428))=1,CHOOSE('Controls'!$E$5,E426,E427,E428),NA())</x:f>
        <x:v>0.25</x:v>
      </x:c>
      <x:c r="F425" s="83" t="n">
        <x:f>IF(COUNT(CHOOSE('Controls'!$E$5,F426,F427,F428))=1,CHOOSE('Controls'!$E$5,F426,F427,F428),NA())</x:f>
        <x:v>0.25</x:v>
      </x:c>
      <x:c r="G425" s="83" t="n">
        <x:f>IF(COUNT(CHOOSE('Controls'!$E$5,G426,G427,G428))=1,CHOOSE('Controls'!$E$5,G426,G427,G428),NA())</x:f>
        <x:v>0.25</x:v>
      </x:c>
      <x:c r="H425" s="83" t="n">
        <x:f>IF(COUNT(CHOOSE('Controls'!$E$5,H426,H427,H428))=1,CHOOSE('Controls'!$E$5,H426,H427,H428),NA())</x:f>
        <x:v>0.25</x:v>
      </x:c>
      <x:c r="I425" s="83" t="n">
        <x:f>IF(COUNT(CHOOSE('Controls'!$E$5,I426,I427,I428))=1,CHOOSE('Controls'!$E$5,I426,I427,I428),NA())</x:f>
        <x:v>0.25</x:v>
      </x:c>
    </x:row>
    <x:row r="426" ht="30" customHeight="1">
      <x:c r="C426" s="64" t="str">
        <x:v>Base</x:v>
      </x:c>
      <x:c r="D426" s="63"/>
      <x:c r="E426" s="85" t="n">
        <x:v>0.25</x:v>
      </x:c>
      <x:c r="F426" s="85" t="n">
        <x:v>0.25</x:v>
      </x:c>
      <x:c r="G426" s="85" t="n">
        <x:v>0.25</x:v>
      </x:c>
      <x:c r="H426" s="85" t="n">
        <x:v>0.25</x:v>
      </x:c>
      <x:c r="I426" s="85" t="n">
        <x:v>0.25</x:v>
      </x:c>
    </x:row>
    <x:row r="427" ht="30" customHeight="1">
      <x:c r="C427" s="64" t="str">
        <x:v>Downside</x:v>
      </x:c>
      <x:c r="D427" s="63"/>
      <x:c r="E427" s="85" t="n">
        <x:v>0.25</x:v>
      </x:c>
      <x:c r="F427" s="85" t="n">
        <x:v>0.25</x:v>
      </x:c>
      <x:c r="G427" s="85" t="n">
        <x:v>0.25</x:v>
      </x:c>
      <x:c r="H427" s="85" t="n">
        <x:v>0.25</x:v>
      </x:c>
      <x:c r="I427" s="85" t="n">
        <x:v>0.25</x:v>
      </x:c>
    </x:row>
    <x:row r="428" ht="30" customHeight="1">
      <x:c r="C428" s="64" t="str">
        <x:v>Upside</x:v>
      </x:c>
      <x:c r="D428" s="63"/>
      <x:c r="E428" s="85" t="n">
        <x:v>0.25</x:v>
      </x:c>
      <x:c r="F428" s="85" t="n">
        <x:v>0.25</x:v>
      </x:c>
      <x:c r="G428" s="85" t="n">
        <x:v>0.25</x:v>
      </x:c>
      <x:c r="H428" s="85" t="n">
        <x:v>0.25</x:v>
      </x:c>
      <x:c r="I428" s="85" t="n">
        <x:v>0.25</x:v>
      </x:c>
    </x:row>
    <x:row r="429" ht="30" customHeight="1">
      <x:c r="C429" s="64"/>
      <x:c r="D429" s="63"/>
      <x:c r="E429" s="63"/>
      <x:c r="F429" s="63"/>
      <x:c r="G429" s="63"/>
      <x:c r="H429" s="63"/>
      <x:c r="I429" s="63"/>
    </x:row>
    <x:row r="430" ht="30" customHeight="1">
      <x:c r="C430" s="64" t="str">
        <x:v>Dividend payout — active</x:v>
      </x:c>
      <x:c r="D430" s="63"/>
      <x:c r="E430" s="83" t="n">
        <x:f>IF(COUNT(CHOOSE('Controls'!$E$5,E431,E432,E433))=1,CHOOSE('Controls'!$E$5,E431,E432,E433),NA())</x:f>
        <x:v>0.25</x:v>
      </x:c>
      <x:c r="F430" s="83" t="n">
        <x:f>IF(COUNT(CHOOSE('Controls'!$E$5,F431,F432,F433))=1,CHOOSE('Controls'!$E$5,F431,F432,F433),NA())</x:f>
        <x:v>0.25</x:v>
      </x:c>
      <x:c r="G430" s="83" t="n">
        <x:f>IF(COUNT(CHOOSE('Controls'!$E$5,G431,G432,G433))=1,CHOOSE('Controls'!$E$5,G431,G432,G433),NA())</x:f>
        <x:v>0.25</x:v>
      </x:c>
      <x:c r="H430" s="83" t="n">
        <x:f>IF(COUNT(CHOOSE('Controls'!$E$5,H431,H432,H433))=1,CHOOSE('Controls'!$E$5,H431,H432,H433),NA())</x:f>
        <x:v>0.25</x:v>
      </x:c>
      <x:c r="I430" s="83" t="n">
        <x:f>IF(COUNT(CHOOSE('Controls'!$E$5,I431,I432,I433))=1,CHOOSE('Controls'!$E$5,I431,I432,I433),NA())</x:f>
        <x:v>0.25</x:v>
      </x:c>
    </x:row>
    <x:row r="431" ht="30" customHeight="1">
      <x:c r="C431" s="64" t="str">
        <x:v>Base</x:v>
      </x:c>
      <x:c r="D431" s="63"/>
      <x:c r="E431" s="85" t="n">
        <x:v>0.25</x:v>
      </x:c>
      <x:c r="F431" s="85" t="n">
        <x:v>0.25</x:v>
      </x:c>
      <x:c r="G431" s="85" t="n">
        <x:v>0.25</x:v>
      </x:c>
      <x:c r="H431" s="85" t="n">
        <x:v>0.25</x:v>
      </x:c>
      <x:c r="I431" s="85" t="n">
        <x:v>0.25</x:v>
      </x:c>
    </x:row>
    <x:row r="432" ht="30" customHeight="1">
      <x:c r="C432" s="64" t="str">
        <x:v>Downside</x:v>
      </x:c>
      <x:c r="D432" s="63"/>
      <x:c r="E432" s="85" t="n">
        <x:v>0.25</x:v>
      </x:c>
      <x:c r="F432" s="85" t="n">
        <x:v>0.25</x:v>
      </x:c>
      <x:c r="G432" s="85" t="n">
        <x:v>0.25</x:v>
      </x:c>
      <x:c r="H432" s="85" t="n">
        <x:v>0.25</x:v>
      </x:c>
      <x:c r="I432" s="85" t="n">
        <x:v>0.25</x:v>
      </x:c>
    </x:row>
    <x:row r="433" ht="30" customHeight="1">
      <x:c r="C433" s="64" t="str">
        <x:v>Upside</x:v>
      </x:c>
      <x:c r="D433" s="63"/>
      <x:c r="E433" s="85" t="n">
        <x:v>0.25</x:v>
      </x:c>
      <x:c r="F433" s="85" t="n">
        <x:v>0.25</x:v>
      </x:c>
      <x:c r="G433" s="85" t="n">
        <x:v>0.25</x:v>
      </x:c>
      <x:c r="H433" s="85" t="n">
        <x:v>0.25</x:v>
      </x:c>
      <x:c r="I433" s="85" t="n">
        <x:v>0.25</x:v>
      </x:c>
    </x:row>
    <x:row r="434" ht="30" customHeight="1">
      <x:c r="C434" s="64"/>
      <x:c r="D434" s="63"/>
      <x:c r="E434" s="63"/>
      <x:c r="F434" s="63"/>
      <x:c r="G434" s="63"/>
      <x:c r="H434" s="63"/>
      <x:c r="I434" s="63"/>
    </x:row>
    <x:row r="435" ht="30" customHeight="1">
      <x:c r="C435" s="64"/>
      <x:c r="D435" s="63"/>
      <x:c r="E435" s="63"/>
      <x:c r="F435" s="63"/>
      <x:c r="G435" s="63"/>
      <x:c r="H435" s="63"/>
      <x:c r="I435" s="63"/>
    </x:row>
    <x:row r="436" ht="30" customHeight="1">
      <x:c r="C436" s="64"/>
      <x:c r="D436" s="63"/>
      <x:c r="E436" s="63"/>
      <x:c r="F436" s="63"/>
      <x:c r="G436" s="63"/>
      <x:c r="H436" s="63"/>
      <x:c r="I436" s="63"/>
    </x:row>
    <x:row r="437" ht="30" customHeight="1">
      <x:c r="C437" s="64"/>
      <x:c r="D437" s="63"/>
      <x:c r="E437" s="63"/>
      <x:c r="F437" s="63"/>
      <x:c r="G437" s="63"/>
      <x:c r="H437" s="63"/>
      <x:c r="I437" s="63"/>
    </x:row>
    <x:row r="438" ht="30" customHeight="1">
      <x:c r="C438" s="64"/>
      <x:c r="D438" s="63"/>
      <x:c r="E438" s="63"/>
      <x:c r="F438" s="63"/>
      <x:c r="G438" s="63"/>
      <x:c r="H438" s="63"/>
      <x:c r="I438" s="63"/>
    </x:row>
    <x:row r="439" ht="30" customHeight="1">
      <x:c r="C439" s="64"/>
      <x:c r="D439" s="63"/>
      <x:c r="E439" s="63"/>
      <x:c r="F439" s="63"/>
      <x:c r="G439" s="63"/>
      <x:c r="H439" s="63"/>
      <x:c r="I439" s="63"/>
    </x:row>
    <x:row r="440" ht="30" customHeight="1">
      <x:c r="C440" s="64"/>
      <x:c r="D440" s="63"/>
      <x:c r="E440" s="63"/>
      <x:c r="F440" s="63"/>
      <x:c r="G440" s="63"/>
      <x:c r="H440" s="63"/>
      <x:c r="I440" s="63"/>
    </x:row>
    <x:row r="441" ht="30" customHeight="1">
      <x:c r="C441" s="64"/>
      <x:c r="D441" s="63"/>
      <x:c r="E441" s="63"/>
      <x:c r="F441" s="63"/>
      <x:c r="G441" s="63"/>
      <x:c r="H441" s="63"/>
      <x:c r="I441" s="63"/>
    </x:row>
    <x:row r="442" ht="30" customHeight="1">
      <x:c r="C442" s="64"/>
      <x:c r="D442" s="63"/>
      <x:c r="E442" s="63"/>
      <x:c r="F442" s="63"/>
      <x:c r="G442" s="63"/>
      <x:c r="H442" s="63"/>
      <x:c r="I442" s="63"/>
    </x:row>
    <x:row r="443" ht="30" customHeight="1">
      <x:c r="C443" s="64"/>
      <x:c r="D443" s="63"/>
      <x:c r="E443" s="63"/>
      <x:c r="F443" s="63"/>
      <x:c r="G443" s="63"/>
      <x:c r="H443" s="63"/>
      <x:c r="I443" s="63"/>
    </x:row>
    <x:row r="444" ht="30" customHeight="1">
      <x:c r="C444" s="64"/>
      <x:c r="D444" s="63"/>
      <x:c r="E444" s="63"/>
      <x:c r="F444" s="63"/>
      <x:c r="G444" s="63"/>
      <x:c r="H444" s="63"/>
      <x:c r="I444" s="63"/>
    </x:row>
    <x:row r="445" ht="30" customHeight="1">
      <x:c r="C445" s="64"/>
      <x:c r="D445" s="63"/>
      <x:c r="E445" s="63"/>
      <x:c r="F445" s="63"/>
      <x:c r="G445" s="63"/>
      <x:c r="H445" s="63"/>
      <x:c r="I445" s="63"/>
    </x:row>
    <x:row r="446" ht="30" customHeight="1">
      <x:c r="C446" s="64"/>
      <x:c r="D446" s="63"/>
      <x:c r="E446" s="63"/>
      <x:c r="F446" s="63"/>
      <x:c r="G446" s="63"/>
      <x:c r="H446" s="63"/>
      <x:c r="I446" s="63"/>
    </x:row>
    <x:row r="447" ht="30" customHeight="1">
      <x:c r="C447" s="64"/>
      <x:c r="D447" s="63"/>
      <x:c r="E447" s="63"/>
      <x:c r="F447" s="63"/>
      <x:c r="G447" s="63"/>
      <x:c r="H447" s="63"/>
      <x:c r="I447" s="63"/>
    </x:row>
    <x:row r="448" ht="30" customHeight="1">
      <x:c r="C448" s="64"/>
      <x:c r="D448" s="63"/>
      <x:c r="E448" s="63"/>
      <x:c r="F448" s="63"/>
      <x:c r="G448" s="63"/>
      <x:c r="H448" s="63"/>
      <x:c r="I448" s="63"/>
    </x:row>
    <x:row r="449" ht="30" customHeight="1">
      <x:c r="C449" s="64"/>
      <x:c r="D449" s="63"/>
      <x:c r="E449" s="63"/>
      <x:c r="F449" s="63"/>
      <x:c r="G449" s="63"/>
      <x:c r="H449" s="63"/>
      <x:c r="I449" s="63"/>
    </x:row>
    <x:row r="450" ht="30" customHeight="1">
      <x:c r="C450" s="64"/>
      <x:c r="D450" s="63"/>
      <x:c r="E450" s="63"/>
      <x:c r="F450" s="63"/>
      <x:c r="G450" s="63"/>
      <x:c r="H450" s="63"/>
      <x:c r="I450" s="63"/>
    </x:row>
    <x:row r="451" ht="30" customHeight="1">
      <x:c r="C451" s="64"/>
      <x:c r="D451" s="63"/>
      <x:c r="E451" s="63"/>
      <x:c r="F451" s="63"/>
      <x:c r="G451" s="63"/>
      <x:c r="H451" s="63"/>
      <x:c r="I451" s="63"/>
    </x:row>
    <x:row r="452" ht="30" customHeight="1">
      <x:c r="C452" s="64"/>
      <x:c r="D452" s="63"/>
      <x:c r="E452" s="63"/>
      <x:c r="F452" s="63"/>
      <x:c r="G452" s="63"/>
      <x:c r="H452" s="63"/>
      <x:c r="I452" s="63"/>
    </x:row>
    <x:row r="453" ht="30" customHeight="1">
      <x:c r="C453" s="64"/>
      <x:c r="D453" s="63"/>
      <x:c r="E453" s="63"/>
      <x:c r="F453" s="63"/>
      <x:c r="G453" s="63"/>
      <x:c r="H453" s="63"/>
      <x:c r="I453" s="63"/>
    </x:row>
    <x:row r="454" ht="30" customHeight="1">
      <x:c r="C454" s="64"/>
      <x:c r="D454" s="63"/>
      <x:c r="E454" s="63"/>
      <x:c r="F454" s="63"/>
      <x:c r="G454" s="63"/>
      <x:c r="H454" s="63"/>
      <x:c r="I454" s="63"/>
    </x:row>
    <x:row r="455" ht="30" customHeight="1">
      <x:c r="C455" s="64"/>
      <x:c r="D455" s="63"/>
      <x:c r="E455" s="63"/>
      <x:c r="F455" s="63"/>
      <x:c r="G455" s="63"/>
      <x:c r="H455" s="63"/>
      <x:c r="I455" s="63"/>
    </x:row>
    <x:row r="456" ht="30" customHeight="1">
      <x:c r="C456" s="64"/>
      <x:c r="D456" s="63"/>
      <x:c r="E456" s="63"/>
      <x:c r="F456" s="63"/>
      <x:c r="G456" s="63"/>
      <x:c r="H456" s="63"/>
      <x:c r="I456" s="63"/>
    </x:row>
    <x:row r="457" ht="30" customHeight="1">
      <x:c r="C457" s="64"/>
      <x:c r="D457" s="63"/>
      <x:c r="E457" s="63"/>
      <x:c r="F457" s="63"/>
      <x:c r="G457" s="63"/>
      <x:c r="H457" s="63"/>
      <x:c r="I457" s="63"/>
    </x:row>
    <x:row r="458" ht="30" customHeight="1">
      <x:c r="C458" s="64"/>
      <x:c r="D458" s="63"/>
      <x:c r="E458" s="63"/>
      <x:c r="F458" s="63"/>
      <x:c r="G458" s="63"/>
      <x:c r="H458" s="63"/>
      <x:c r="I458" s="63"/>
    </x:row>
    <x:row r="459" ht="30" customHeight="1">
      <x:c r="C459" s="64"/>
      <x:c r="D459" s="63"/>
      <x:c r="E459" s="63"/>
      <x:c r="F459" s="63"/>
      <x:c r="G459" s="63"/>
      <x:c r="H459" s="63"/>
      <x:c r="I459" s="63"/>
    </x:row>
    <x:row r="460" ht="30" customHeight="1">
      <x:c r="C460" s="64"/>
      <x:c r="D460" s="63"/>
      <x:c r="E460" s="63"/>
      <x:c r="F460" s="63"/>
      <x:c r="G460" s="63"/>
      <x:c r="H460" s="63"/>
      <x:c r="I460" s="63"/>
    </x:row>
    <x:row r="461" ht="30" customHeight="1">
      <x:c r="C461" s="64"/>
      <x:c r="D461" s="63"/>
      <x:c r="E461" s="63"/>
      <x:c r="F461" s="63"/>
      <x:c r="G461" s="63"/>
      <x:c r="H461" s="63"/>
      <x:c r="I461" s="63"/>
    </x:row>
    <x:row r="462" ht="30" customHeight="1">
      <x:c r="C462" s="64"/>
      <x:c r="D462" s="63"/>
      <x:c r="E462" s="63"/>
      <x:c r="F462" s="63"/>
      <x:c r="G462" s="63"/>
      <x:c r="H462" s="63"/>
      <x:c r="I462" s="63"/>
    </x:row>
    <x:row r="463" ht="30" customHeight="1">
      <x:c r="C463" s="64"/>
      <x:c r="D463" s="63"/>
      <x:c r="E463" s="63"/>
      <x:c r="F463" s="63"/>
      <x:c r="G463" s="63"/>
      <x:c r="H463" s="63"/>
      <x:c r="I463" s="63"/>
    </x:row>
    <x:row r="464" ht="30" customHeight="1">
      <x:c r="C464" s="64"/>
      <x:c r="D464" s="63"/>
      <x:c r="E464" s="63"/>
      <x:c r="F464" s="63"/>
      <x:c r="G464" s="63"/>
      <x:c r="H464" s="63"/>
      <x:c r="I464" s="63"/>
    </x:row>
    <x:row r="465" ht="30" customHeight="1">
      <x:c r="C465" s="64"/>
      <x:c r="D465" s="63"/>
      <x:c r="E465" s="63"/>
      <x:c r="F465" s="63"/>
      <x:c r="G465" s="63"/>
      <x:c r="H465" s="63"/>
      <x:c r="I465" s="63"/>
    </x:row>
    <x:row r="466" ht="30" customHeight="1">
      <x:c r="C466" s="64"/>
      <x:c r="D466" s="63"/>
      <x:c r="E466" s="63"/>
      <x:c r="F466" s="63"/>
      <x:c r="G466" s="63"/>
      <x:c r="H466" s="63"/>
      <x:c r="I466" s="63"/>
    </x:row>
    <x:row r="467" ht="30" customHeight="1">
      <x:c r="C467" s="64"/>
      <x:c r="D467" s="63"/>
      <x:c r="E467" s="63"/>
      <x:c r="F467" s="63"/>
      <x:c r="G467" s="63"/>
      <x:c r="H467" s="63"/>
      <x:c r="I467" s="63"/>
    </x:row>
    <x:row r="468" ht="30" customHeight="1">
      <x:c r="C468" s="64"/>
      <x:c r="D468" s="63"/>
      <x:c r="E468" s="63"/>
      <x:c r="F468" s="63"/>
      <x:c r="G468" s="63"/>
      <x:c r="H468" s="63"/>
      <x:c r="I468" s="63"/>
    </x:row>
    <x:row r="469" ht="30" customHeight="1">
      <x:c r="C469" s="64"/>
      <x:c r="D469" s="63"/>
      <x:c r="E469" s="63"/>
      <x:c r="F469" s="63"/>
      <x:c r="G469" s="63"/>
      <x:c r="H469" s="63"/>
      <x:c r="I469" s="63"/>
    </x:row>
    <x:row r="470" ht="30" customHeight="1">
      <x:c r="C470" s="64"/>
      <x:c r="D470" s="63"/>
      <x:c r="E470" s="63"/>
      <x:c r="F470" s="63"/>
      <x:c r="G470" s="63"/>
      <x:c r="H470" s="63"/>
      <x:c r="I470" s="63"/>
    </x:row>
    <x:row r="471" ht="30" customHeight="1">
      <x:c r="C471" s="64"/>
      <x:c r="D471" s="63"/>
      <x:c r="E471" s="63"/>
      <x:c r="F471" s="63"/>
      <x:c r="G471" s="63"/>
      <x:c r="H471" s="63"/>
      <x:c r="I471" s="63"/>
    </x:row>
    <x:row r="472" ht="30" customHeight="1">
      <x:c r="C472" s="64"/>
      <x:c r="D472" s="63"/>
      <x:c r="E472" s="63"/>
      <x:c r="F472" s="63"/>
      <x:c r="G472" s="63"/>
      <x:c r="H472" s="63"/>
      <x:c r="I472" s="63"/>
    </x:row>
    <x:row r="473" ht="30" customHeight="1">
      <x:c r="C473" s="64"/>
      <x:c r="D473" s="63"/>
      <x:c r="E473" s="63"/>
      <x:c r="F473" s="63"/>
      <x:c r="G473" s="63"/>
      <x:c r="H473" s="63"/>
      <x:c r="I473" s="63"/>
    </x:row>
    <x:row r="474" ht="30" customHeight="1">
      <x:c r="C474" s="64"/>
      <x:c r="D474" s="63"/>
      <x:c r="E474" s="63"/>
      <x:c r="F474" s="63"/>
      <x:c r="G474" s="63"/>
      <x:c r="H474" s="63"/>
      <x:c r="I474" s="63"/>
    </x:row>
    <x:row r="475" ht="30" customHeight="1">
      <x:c r="C475" s="64"/>
      <x:c r="D475" s="63"/>
      <x:c r="E475" s="63"/>
      <x:c r="F475" s="63"/>
      <x:c r="G475" s="63"/>
      <x:c r="H475" s="63"/>
      <x:c r="I475" s="63"/>
    </x:row>
    <x:row r="476" ht="30" customHeight="1">
      <x:c r="C476" s="64"/>
      <x:c r="D476" s="63"/>
      <x:c r="E476" s="63"/>
      <x:c r="F476" s="63"/>
      <x:c r="G476" s="63"/>
      <x:c r="H476" s="63"/>
      <x:c r="I476" s="63"/>
    </x:row>
    <x:row r="477" ht="30" customHeight="1">
      <x:c r="C477" s="64"/>
      <x:c r="D477" s="63"/>
      <x:c r="E477" s="63"/>
      <x:c r="F477" s="63"/>
      <x:c r="G477" s="63"/>
      <x:c r="H477" s="63"/>
      <x:c r="I477" s="63"/>
    </x:row>
    <x:row r="478" ht="30" customHeight="1">
      <x:c r="C478" s="64"/>
      <x:c r="D478" s="63"/>
      <x:c r="E478" s="63"/>
      <x:c r="F478" s="63"/>
      <x:c r="G478" s="63"/>
      <x:c r="H478" s="63"/>
      <x:c r="I478" s="63"/>
    </x:row>
    <x:row r="479" ht="30" customHeight="1">
      <x:c r="C479" s="64"/>
      <x:c r="D479" s="63"/>
      <x:c r="E479" s="63"/>
      <x:c r="F479" s="63"/>
      <x:c r="G479" s="63"/>
      <x:c r="H479" s="63"/>
      <x:c r="I479" s="63"/>
    </x:row>
    <x:row r="480" ht="30" customHeight="1">
      <x:c r="C480" s="64"/>
      <x:c r="D480" s="63"/>
      <x:c r="E480" s="63"/>
      <x:c r="F480" s="63"/>
      <x:c r="G480" s="63"/>
      <x:c r="H480" s="63"/>
      <x:c r="I480" s="63"/>
    </x:row>
    <x:row r="481" ht="30" customHeight="1">
      <x:c r="C481" s="64"/>
      <x:c r="D481" s="63"/>
      <x:c r="E481" s="63"/>
      <x:c r="F481" s="63"/>
      <x:c r="G481" s="63"/>
      <x:c r="H481" s="63"/>
      <x:c r="I481" s="63"/>
    </x:row>
    <x:row r="482" ht="30" customHeight="1">
      <x:c r="C482" s="64"/>
      <x:c r="D482" s="63"/>
      <x:c r="E482" s="63"/>
      <x:c r="F482" s="63"/>
      <x:c r="G482" s="63"/>
      <x:c r="H482" s="63"/>
      <x:c r="I482" s="63"/>
    </x:row>
    <x:row r="483" ht="30" customHeight="1">
      <x:c r="C483" s="64"/>
      <x:c r="D483" s="63"/>
      <x:c r="E483" s="63"/>
      <x:c r="F483" s="63"/>
      <x:c r="G483" s="63"/>
      <x:c r="H483" s="63"/>
      <x:c r="I483" s="63"/>
    </x:row>
    <x:row r="484" ht="30" customHeight="1">
      <x:c r="C484" s="64"/>
      <x:c r="D484" s="63"/>
      <x:c r="E484" s="63"/>
      <x:c r="F484" s="63"/>
      <x:c r="G484" s="63"/>
      <x:c r="H484" s="63"/>
      <x:c r="I484" s="63"/>
    </x:row>
    <x:row r="485" ht="30" customHeight="1">
      <x:c r="C485" s="64"/>
      <x:c r="D485" s="63"/>
      <x:c r="E485" s="63"/>
      <x:c r="F485" s="63"/>
      <x:c r="G485" s="63"/>
      <x:c r="H485" s="63"/>
      <x:c r="I485" s="63"/>
    </x:row>
    <x:row r="486" ht="30" customHeight="1">
      <x:c r="C486" s="64"/>
      <x:c r="D486" s="63"/>
      <x:c r="E486" s="63"/>
      <x:c r="F486" s="63"/>
      <x:c r="G486" s="63"/>
      <x:c r="H486" s="63"/>
      <x:c r="I486" s="63"/>
    </x:row>
    <x:row r="487" ht="30" customHeight="1">
      <x:c r="C487" s="64"/>
      <x:c r="D487" s="63"/>
      <x:c r="E487" s="63"/>
      <x:c r="F487" s="63"/>
      <x:c r="G487" s="63"/>
      <x:c r="H487" s="63"/>
      <x:c r="I487" s="63"/>
    </x:row>
    <x:row r="488" ht="30" customHeight="1">
      <x:c r="C488" s="64"/>
      <x:c r="D488" s="63"/>
      <x:c r="E488" s="63"/>
      <x:c r="F488" s="63"/>
      <x:c r="G488" s="63"/>
      <x:c r="H488" s="63"/>
      <x:c r="I488" s="63"/>
    </x:row>
    <x:row r="489" ht="30" customHeight="1">
      <x:c r="C489" s="64"/>
      <x:c r="D489" s="63"/>
      <x:c r="E489" s="63"/>
      <x:c r="F489" s="63"/>
      <x:c r="G489" s="63"/>
      <x:c r="H489" s="63"/>
      <x:c r="I489" s="63"/>
    </x:row>
    <x:row r="490" ht="30" customHeight="1">
      <x:c r="C490" s="64"/>
      <x:c r="D490" s="63"/>
      <x:c r="E490" s="63"/>
      <x:c r="F490" s="63"/>
      <x:c r="G490" s="63"/>
      <x:c r="H490" s="63"/>
      <x:c r="I490" s="63"/>
    </x:row>
    <x:row r="491" ht="30" customHeight="1">
      <x:c r="C491" s="64"/>
      <x:c r="D491" s="63"/>
      <x:c r="E491" s="63"/>
      <x:c r="F491" s="63"/>
      <x:c r="G491" s="63"/>
      <x:c r="H491" s="63"/>
      <x:c r="I491" s="63"/>
    </x:row>
    <x:row r="492" ht="30" customHeight="1">
      <x:c r="C492" s="64"/>
      <x:c r="D492" s="63"/>
      <x:c r="E492" s="63"/>
      <x:c r="F492" s="63"/>
      <x:c r="G492" s="63"/>
      <x:c r="H492" s="63"/>
      <x:c r="I492" s="63"/>
    </x:row>
    <x:row r="493" ht="30" customHeight="1">
      <x:c r="C493" s="64"/>
      <x:c r="D493" s="63"/>
      <x:c r="E493" s="63"/>
      <x:c r="F493" s="63"/>
      <x:c r="G493" s="63"/>
      <x:c r="H493" s="63"/>
      <x:c r="I493" s="63"/>
    </x:row>
    <x:row r="494" ht="30" customHeight="1">
      <x:c r="C494" s="64"/>
      <x:c r="D494" s="63"/>
      <x:c r="E494" s="63"/>
      <x:c r="F494" s="63"/>
      <x:c r="G494" s="63"/>
      <x:c r="H494" s="63"/>
      <x:c r="I494" s="63"/>
    </x:row>
    <x:row r="495" ht="30" customHeight="1">
      <x:c r="C495" s="64"/>
      <x:c r="D495" s="63"/>
      <x:c r="E495" s="63"/>
      <x:c r="F495" s="63"/>
      <x:c r="G495" s="63"/>
      <x:c r="H495" s="63"/>
      <x:c r="I495" s="63"/>
    </x:row>
    <x:row r="496" ht="30" customHeight="1">
      <x:c r="C496" s="64"/>
      <x:c r="D496" s="63"/>
      <x:c r="E496" s="63"/>
      <x:c r="F496" s="63"/>
      <x:c r="G496" s="63"/>
      <x:c r="H496" s="63"/>
      <x:c r="I496" s="63"/>
    </x:row>
    <x:row r="497" ht="30" customHeight="1">
      <x:c r="C497" s="64"/>
      <x:c r="D497" s="63"/>
      <x:c r="E497" s="63"/>
      <x:c r="F497" s="63"/>
      <x:c r="G497" s="63"/>
      <x:c r="H497" s="63"/>
      <x:c r="I497" s="63"/>
    </x:row>
    <x:row r="498" ht="30" customHeight="1">
      <x:c r="C498" s="64"/>
      <x:c r="D498" s="63"/>
      <x:c r="E498" s="63"/>
      <x:c r="F498" s="63"/>
      <x:c r="G498" s="63"/>
      <x:c r="H498" s="63"/>
      <x:c r="I498" s="63"/>
    </x:row>
    <x:row r="499" ht="30" customHeight="1">
      <x:c r="C499" s="64"/>
      <x:c r="D499" s="63"/>
      <x:c r="E499" s="63"/>
      <x:c r="F499" s="63"/>
      <x:c r="G499" s="63"/>
      <x:c r="H499" s="63"/>
      <x:c r="I499" s="63"/>
    </x:row>
    <x:row r="500" ht="30" customHeight="1">
      <x:c r="C500" s="64"/>
      <x:c r="D500" s="63"/>
      <x:c r="E500" s="63"/>
      <x:c r="F500" s="63"/>
      <x:c r="G500" s="63"/>
      <x:c r="H500" s="63"/>
      <x:c r="I500" s="63"/>
    </x:row>
    <x:row r="501" ht="30" customHeight="1">
      <x:c r="C501" s="64"/>
      <x:c r="D501" s="63"/>
      <x:c r="E501" s="63"/>
      <x:c r="F501" s="63"/>
      <x:c r="G501" s="63"/>
      <x:c r="H501" s="63"/>
      <x:c r="I501" s="63"/>
    </x:row>
    <x:row r="502" ht="30" customHeight="1">
      <x:c r="C502" s="64"/>
      <x:c r="D502" s="63"/>
      <x:c r="E502" s="63"/>
      <x:c r="F502" s="63"/>
      <x:c r="G502" s="63"/>
      <x:c r="H502" s="63"/>
      <x:c r="I502" s="63"/>
    </x:row>
    <x:row r="503" ht="30" customHeight="1">
      <x:c r="C503" s="64"/>
      <x:c r="D503" s="63"/>
      <x:c r="E503" s="63"/>
      <x:c r="F503" s="63"/>
      <x:c r="G503" s="63"/>
      <x:c r="H503" s="63"/>
      <x:c r="I503" s="63"/>
    </x:row>
    <x:row r="504" ht="30" customHeight="1">
      <x:c r="C504" s="64"/>
      <x:c r="D504" s="63"/>
      <x:c r="E504" s="63"/>
      <x:c r="F504" s="63"/>
      <x:c r="G504" s="63"/>
      <x:c r="H504" s="63"/>
      <x:c r="I504" s="63"/>
    </x:row>
    <x:row r="505" ht="30" customHeight="1">
      <x:c r="C505" s="64"/>
      <x:c r="D505" s="63"/>
      <x:c r="E505" s="63"/>
      <x:c r="F505" s="63"/>
      <x:c r="G505" s="63"/>
      <x:c r="H505" s="63"/>
      <x:c r="I505" s="63"/>
    </x:row>
    <x:row r="506" ht="30" customHeight="1">
      <x:c r="C506" s="64"/>
      <x:c r="D506" s="63"/>
      <x:c r="E506" s="63"/>
      <x:c r="F506" s="63"/>
      <x:c r="G506" s="63"/>
      <x:c r="H506" s="63"/>
      <x:c r="I506" s="63"/>
    </x:row>
    <x:row r="507" ht="30" customHeight="1">
      <x:c r="C507" s="64"/>
      <x:c r="D507" s="63"/>
      <x:c r="E507" s="63"/>
      <x:c r="F507" s="63"/>
      <x:c r="G507" s="63"/>
      <x:c r="H507" s="63"/>
      <x:c r="I507" s="63"/>
    </x:row>
    <x:row r="508" ht="30" customHeight="1">
      <x:c r="C508" s="64"/>
      <x:c r="D508" s="63"/>
      <x:c r="E508" s="63"/>
      <x:c r="F508" s="63"/>
      <x:c r="G508" s="63"/>
      <x:c r="H508" s="63"/>
      <x:c r="I508" s="63"/>
    </x:row>
    <x:row r="509" ht="30" customHeight="1">
      <x:c r="C509" s="64"/>
      <x:c r="D509" s="63"/>
      <x:c r="E509" s="63"/>
      <x:c r="F509" s="63"/>
      <x:c r="G509" s="63"/>
      <x:c r="H509" s="63"/>
      <x:c r="I509" s="63"/>
    </x:row>
    <x:row r="510" ht="30" customHeight="1">
      <x:c r="C510" s="64"/>
      <x:c r="D510" s="63"/>
      <x:c r="E510" s="63"/>
      <x:c r="F510" s="63"/>
      <x:c r="G510" s="63"/>
      <x:c r="H510" s="63"/>
      <x:c r="I510" s="63"/>
    </x:row>
  </x:sheetData>
  <x:mergeCells>
    <x:mergeCell ref="M2:U2"/>
    <x:mergeCell ref="M9:U9"/>
    <x:mergeCell ref="M10:U10"/>
    <x:mergeCell ref="M30:U30"/>
    <x:mergeCell ref="M43:U44"/>
  </x:mergeCells>
  <x:conditionalFormatting sqref="E60:I60">
    <x:cfRule type="expression" dxfId="68" priority="1">
      <x:formula>ABS(E60)&gt;0.01</x:formula>
    </x:cfRule>
  </x:conditionalFormatting>
  <x:conditionalFormatting sqref="E61:I61">
    <x:cfRule type="expression" dxfId="69" priority="2">
      <x:formula>ABS(E61)&gt;0.01</x:formula>
    </x:cfRule>
  </x:conditionalFormatting>
  <x:conditionalFormatting sqref="E62:I62">
    <x:cfRule type="expression" dxfId="70" priority="3">
      <x:formula>ABS(E62)&gt;0.01</x:formula>
    </x:cfRule>
  </x:conditionalFormatting>
  <x:conditionalFormatting sqref="E180:I195">
    <x:cfRule type="cellIs" dxfId="90" priority="4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1ec64d33c7404304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88" hidden="0" customWidth="1"/>
    <x:col min="13" max="13" width="3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45" hidden="0" customWidth="1"/>
  </x:cols>
  <x:sheetData>
    <x:row r="1" ht="18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  <x:c r="K1" s="1"/>
    </x:row>
    <x:row r="2" ht="32" customHeight="1">
      <x:c r="A2" s="1"/>
      <x:c r="B2" s="1"/>
      <x:c r="C2" s="3" t="str">
        <x:v>Real Estate</x:v>
      </x:c>
      <x:c r="D2" s="2"/>
      <x:c r="E2" s="2"/>
      <x:c r="F2" s="2"/>
      <x:c r="G2" s="2"/>
      <x:c r="H2" s="2"/>
      <x:c r="I2" s="2"/>
      <x:c r="J2" s="1"/>
      <x:c r="K2" s="1"/>
      <x:c r="M2" s="86" t="str">
        <x:v>Real Estate | Client summary</x:v>
      </x:c>
      <x:c r="N2" s="86"/>
      <x:c r="O2" s="86"/>
      <x:c r="P2" s="86"/>
      <x:c r="Q2" s="86"/>
      <x:c r="R2" s="86"/>
      <x:c r="S2" s="86"/>
      <x:c r="T2" s="86"/>
      <x:c r="U2" s="86"/>
      <x:c r="V2" s="63"/>
      <x:c r="X2" t="str">
        <x:v>Forecast year</x:v>
      </x:c>
      <x:c r="Y2" t="str">
        <x:v>Income</x:v>
      </x:c>
      <x:c r="Z2" t="str">
        <x:v>Profit after tax</x:v>
      </x:c>
    </x:row>
    <x:row r="3" ht="18" customHeight="1">
      <x:c r="A3" s="1"/>
      <x:c r="B3" s="1"/>
      <x:c r="C3" s="4"/>
      <x:c r="D3" s="5"/>
      <x:c r="E3" s="5"/>
      <x:c r="F3" s="5"/>
      <x:c r="G3" s="5"/>
      <x:c r="H3" s="5"/>
      <x:c r="I3" s="5"/>
      <x:c r="J3" s="1"/>
      <x:c r="K3" s="1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X3" t="n">
        <x:f>'Controls'!$E$17+0</x:f>
        <x:v>2027</x:v>
      </x:c>
      <x:c r="Y3" t="n">
        <x:f>E43</x:f>
        <x:v>1500</x:v>
      </x:c>
      <x:c r="Z3" t="n">
        <x:f>E55</x:f>
        <x:v>198.9449999999999</x:v>
      </x:c>
    </x:row>
    <x:row r="4" ht="18" customHeight="1">
      <x:c r="A4" s="1"/>
      <x:c r="B4" s="1"/>
      <x:c r="C4" s="1" t="str">
        <x:v>Illustrative assumptions. Financial amounts in INR crore.</x:v>
      </x:c>
      <x:c r="D4" s="2"/>
      <x:c r="E4" s="2"/>
      <x:c r="F4" s="2"/>
      <x:c r="G4" s="2"/>
      <x:c r="H4" s="2"/>
      <x:c r="I4" s="2"/>
      <x:c r="J4" s="1"/>
      <x:c r="K4" s="1"/>
      <x:c r="M4" s="63" t="str">
        <x:v>Company / model name</x:v>
      </x:c>
      <x:c r="N4" s="63" t="str">
        <x:v>Illustrative company</x:v>
      </x:c>
      <x:c r="O4" s="63"/>
      <x:c r="P4" s="63"/>
      <x:c r="Q4" s="63"/>
      <x:c r="R4" s="63"/>
      <x:c r="S4" s="63"/>
      <x:c r="T4" s="63"/>
      <x:c r="U4" s="63"/>
      <x:c r="V4" s="63"/>
      <x:c r="X4" t="n">
        <x:f>'Controls'!$E$17+1</x:f>
        <x:v>2028</x:v>
      </x:c>
      <x:c r="Y4" t="n">
        <x:f>F43</x:f>
        <x:v>1673.7</x:v>
      </x:c>
      <x:c r="Z4" t="n">
        <x:f>F55</x:f>
        <x:v>226.13197499999987</x:v>
      </x:c>
    </x:row>
    <x:row r="5" ht="18" customHeight="1">
      <x:c r="A5" s="1"/>
      <x:c r="B5" s="1"/>
      <x:c r="C5" s="1" t="str">
        <x:v>Selected case</x:v>
      </x:c>
      <x:c r="D5" s="2"/>
      <x:c r="E5" s="10" t="str">
        <x:f>'Controls'!E6</x:f>
        <x:v>Base</x:v>
      </x:c>
      <x:c r="F5" s="2"/>
      <x:c r="G5" s="2"/>
      <x:c r="H5" s="2"/>
      <x:c r="I5" s="2"/>
      <x:c r="J5" s="1"/>
      <x:c r="K5" s="1"/>
      <x:c r="M5" s="63" t="str">
        <x:v>Valuation date</x:v>
      </x:c>
      <x:c r="N5" s="87" t="n">
        <x:f>'Controls'!E18</x:f>
        <x:v>46112</x:v>
      </x:c>
      <x:c r="O5" s="63"/>
      <x:c r="P5" s="63"/>
      <x:c r="Q5" s="63"/>
      <x:c r="R5" s="63"/>
      <x:c r="S5" s="63"/>
      <x:c r="T5" s="63"/>
      <x:c r="U5" s="63"/>
      <x:c r="V5" s="63"/>
      <x:c r="X5" t="n">
        <x:f>'Controls'!$E$17+2</x:f>
        <x:v>2029</x:v>
      </x:c>
      <x:c r="Y5" t="n">
        <x:f>G43</x:f>
        <x:v>1891.9635000000003</x:v>
      </x:c>
      <x:c r="Z5" t="n">
        <x:f>G55</x:f>
        <x:v>261.7665311249999</x:v>
      </x:c>
    </x:row>
    <x:row r="6" ht="18" customHeight="1">
      <x:c r="A6" s="1"/>
      <x:c r="B6" s="1"/>
      <x:c r="C6" s="1"/>
      <x:c r="D6" s="2"/>
      <x:c r="E6" s="2"/>
      <x:c r="F6" s="2"/>
      <x:c r="G6" s="2"/>
      <x:c r="H6" s="2"/>
      <x:c r="I6" s="2"/>
      <x:c r="J6" s="1"/>
      <x:c r="K6" s="1"/>
      <x:c r="M6" s="63" t="str">
        <x:v>Selected case</x:v>
      </x:c>
      <x:c r="N6" s="63" t="str">
        <x:f>'Controls'!E6</x:f>
        <x:v>Base</x:v>
      </x:c>
      <x:c r="O6" s="63"/>
      <x:c r="P6" s="63"/>
      <x:c r="Q6" s="63"/>
      <x:c r="R6" s="63"/>
      <x:c r="S6" s="63"/>
      <x:c r="T6" s="63"/>
      <x:c r="U6" s="63"/>
      <x:c r="V6" s="63"/>
      <x:c r="X6" t="n">
        <x:f>'Controls'!$E$17+3</x:f>
        <x:v>2030</x:v>
      </x:c>
      <x:c r="Y6" t="n">
        <x:f>H43</x:f>
        <x:v>2156.4058425000007</x:v>
      </x:c>
      <x:c r="Z6" t="n">
        <x:f>H55</x:f>
        <x:v>305.8879634493751</x:v>
      </x:c>
    </x:row>
    <x:row r="7" ht="18" customHeight="1">
      <x:c r="A7" s="1"/>
      <x:c r="B7" s="1"/>
      <x:c r="C7" s="15" t="str">
        <x:v>Metric</x:v>
      </x:c>
      <x:c r="D7" s="16" t="str">
        <x:v>Opening / seed</x:v>
      </x:c>
      <x:c r="E7" s="65" t="n">
        <x:f>'Controls'!$E$17+0</x:f>
        <x:v>2027</x:v>
      </x:c>
      <x:c r="F7" s="65" t="n">
        <x:f>'Controls'!$E$17+1</x:f>
        <x:v>2028</x:v>
      </x:c>
      <x:c r="G7" s="65" t="n">
        <x:f>'Controls'!$E$17+2</x:f>
        <x:v>2029</x:v>
      </x:c>
      <x:c r="H7" s="65" t="n">
        <x:f>'Controls'!$E$17+3</x:f>
        <x:v>2030</x:v>
      </x:c>
      <x:c r="I7" s="65" t="n">
        <x:f>'Controls'!$E$17+4</x:f>
        <x:v>2031</x:v>
      </x:c>
      <x:c r="J7" s="1"/>
      <x:c r="K7" s="1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X7" t="n">
        <x:f>'Controls'!$E$17+4</x:f>
        <x:v>2031</x:v>
      </x:c>
      <x:c r="Y7" t="n">
        <x:f>I43</x:f>
        <x:v>2470.480348087501</x:v>
      </x:c>
      <x:c r="Z7" t="n">
        <x:f>I55</x:f>
        <x:v>358.9226817840282</x:v>
      </x:c>
    </x:row>
    <x:row r="8" ht="18" customHeight="1">
      <x:c r="A8" s="1"/>
      <x:c r="B8" s="1"/>
      <x:c r="C8" s="1"/>
      <x:c r="D8" s="2"/>
      <x:c r="E8" s="2"/>
      <x:c r="F8" s="2"/>
      <x:c r="G8" s="2"/>
      <x:c r="H8" s="2"/>
      <x:c r="I8" s="2"/>
      <x:c r="J8" s="1"/>
      <x:c r="K8" s="1"/>
      <x:c r="M8" s="63" t="str">
        <x:v>Equity value (INR crore)</x:v>
      </x:c>
      <x:c r="N8" s="8" t="n">
        <x:f>E69</x:f>
        <x:v>1398.4190104200998</x:v>
      </x:c>
      <x:c r="O8" s="63"/>
      <x:c r="P8" s="63"/>
      <x:c r="Q8" s="63"/>
      <x:c r="R8" s="63"/>
      <x:c r="S8" s="63"/>
      <x:c r="T8" s="63"/>
      <x:c r="U8" s="63"/>
      <x:c r="V8" s="63"/>
    </x:row>
    <x:row r="9" ht="18" customHeight="1">
      <x:c r="A9" s="1"/>
      <x:c r="B9" s="1"/>
      <x:c r="C9" s="19" t="str">
        <x:v>DEVELOPMENT AND COLLECTION ASSUMPTIONS</x:v>
      </x:c>
      <x:c r="D9" s="20"/>
      <x:c r="E9" s="20"/>
      <x:c r="F9" s="20"/>
      <x:c r="G9" s="20"/>
      <x:c r="H9" s="20"/>
      <x:c r="I9" s="20"/>
      <x:c r="J9" s="1"/>
      <x:c r="K9" s="1"/>
      <x:c r="M9" s="63" t="str">
        <x:f>IF(MAX(E71,F71,G71,H71,I71,E72,F72,G72,H72,I72,E73,F73,G73,H73,I73,E74,F74,G74,H74,I74,E180:I201)&gt;0.01,"ATTENTION: model checks contain exceptions",IF(MIN(E71,F71,G71,H71,I71,E72,F72,G72,H72,I72,E73,F73,G73,H73,I73,E74,F74,G74,H74,I74,E180:I201)&lt;-0.01,"ATTENTION: model checks contain exceptions","Model checks clear; review company assumptions"))</x:f>
        <x:v>Model checks clear; review company assumptions</x:v>
      </x:c>
      <x:c r="N9" s="63"/>
      <x:c r="O9" s="63"/>
      <x:c r="P9" s="63"/>
      <x:c r="Q9" s="63"/>
      <x:c r="R9" s="63"/>
      <x:c r="S9" s="63"/>
      <x:c r="T9" s="63"/>
      <x:c r="U9" s="63"/>
      <x:c r="V9" s="63"/>
    </x:row>
    <x:row r="10" ht="18" customHeight="1">
      <x:c r="A10" s="1"/>
      <x:c r="B10" s="1"/>
      <x:c r="C10" s="1" t="str">
        <x:v>Annual sales area — seed (million sq ft)</x:v>
      </x:c>
      <x:c r="D10" s="7" t="n">
        <x:v>2</x:v>
      </x:c>
      <x:c r="E10" s="2"/>
      <x:c r="F10" s="2"/>
      <x:c r="G10" s="2"/>
      <x:c r="H10" s="2"/>
      <x:c r="I10" s="2"/>
      <x:c r="J10" s="1"/>
      <x:c r="K10" s="1" t="str">
        <x:v>All inputs are illustrative. Project-level approvals, RERA escrow and construction milestones are not modeled.</x:v>
      </x:c>
      <x:c r="M10" s="63" t="str">
        <x:v>Illustrative inputs; replace with company evidence.</x:v>
      </x:c>
      <x:c r="N10" s="63"/>
      <x:c r="O10" s="63"/>
      <x:c r="P10" s="63"/>
      <x:c r="Q10" s="63"/>
      <x:c r="R10" s="63"/>
      <x:c r="S10" s="63"/>
      <x:c r="T10" s="63"/>
      <x:c r="U10" s="63"/>
      <x:c r="V10" s="63"/>
    </x:row>
    <x:row r="11" ht="18" customHeight="1">
      <x:c r="A11" s="1"/>
      <x:c r="B11" s="1"/>
      <x:c r="C11" s="1" t="str">
        <x:v>Selling price — seed (INR / sq ft)</x:v>
      </x:c>
      <x:c r="D11" s="7" t="n">
        <x:v>9000</x:v>
      </x:c>
      <x:c r="E11" s="2"/>
      <x:c r="F11" s="2"/>
      <x:c r="G11" s="2"/>
      <x:c r="H11" s="2"/>
      <x:c r="I11" s="2"/>
      <x:c r="J11" s="1"/>
      <x:c r="K11" s="1" t="str">
        <x:v>Revenue recognition is an assumed completion-based archetype; assess actual contract accounting separately.</x:v>
      </x:c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</x:row>
    <x:row r="12" ht="18" customHeight="1">
      <x:c r="A12" s="1"/>
      <x:c r="B12" s="1"/>
      <x:c r="C12" s="1" t="str">
        <x:v>Opening unrecognized sales value</x:v>
      </x:c>
      <x:c r="D12" s="7" t="n">
        <x:v>5000</x:v>
      </x:c>
      <x:c r="E12" s="2"/>
      <x:c r="F12" s="2"/>
      <x:c r="G12" s="2"/>
      <x:c r="H12" s="2"/>
      <x:c r="I12" s="2"/>
      <x:c r="J12" s="1"/>
      <x:c r="K12" s="1" t="str">
        <x:v>Interest is expensed. Add eligible capitalization, land payments and restricted cash schedules for issuer use.</x:v>
      </x:c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</x:row>
    <x:row r="13" ht="18" customHeight="1">
      <x:c r="A13" s="1"/>
      <x:c r="B13" s="1"/>
      <x:c r="C13" s="1" t="str">
        <x:v>Opening project inventory</x:v>
      </x:c>
      <x:c r="D13" s="7" t="n">
        <x:v>3000</x:v>
      </x:c>
      <x:c r="E13" s="2"/>
      <x:c r="F13" s="2"/>
      <x:c r="G13" s="2"/>
      <x:c r="H13" s="2"/>
      <x:c r="I13" s="2"/>
      <x:c r="J13" s="1"/>
      <x:c r="K13" s="1"/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</x:row>
    <x:row r="14" ht="18" customHeight="1">
      <x:c r="A14" s="1"/>
      <x:c r="B14" s="1"/>
      <x:c r="C14" s="1" t="str">
        <x:v>Opening net contract asset / (advance)</x:v>
      </x:c>
      <x:c r="D14" s="7" t="n">
        <x:v>-1000</x:v>
      </x:c>
      <x:c r="E14" s="2"/>
      <x:c r="F14" s="2"/>
      <x:c r="G14" s="2"/>
      <x:c r="H14" s="2"/>
      <x:c r="I14" s="2"/>
      <x:c r="J14" s="1"/>
      <x:c r="K14" s="1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</x:row>
    <x:row r="15" ht="18" customHeight="1">
      <x:c r="A15" s="1"/>
      <x:c r="B15" s="1"/>
      <x:c r="C15" s="1" t="str">
        <x:v>Opening cash</x:v>
      </x:c>
      <x:c r="D15" s="7" t="n">
        <x:v>500</x:v>
      </x:c>
      <x:c r="E15" s="2"/>
      <x:c r="F15" s="2"/>
      <x:c r="G15" s="2"/>
      <x:c r="H15" s="2"/>
      <x:c r="I15" s="2"/>
      <x:c r="J15" s="1"/>
      <x:c r="K15" s="1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</x:row>
    <x:row r="16" ht="18" customHeight="1">
      <x:c r="A16" s="1"/>
      <x:c r="B16" s="1"/>
      <x:c r="C16" s="1" t="str">
        <x:v>Opening debt</x:v>
      </x:c>
      <x:c r="D16" s="7" t="n">
        <x:v>1000</x:v>
      </x:c>
      <x:c r="E16" s="2"/>
      <x:c r="F16" s="2"/>
      <x:c r="G16" s="2"/>
      <x:c r="H16" s="2"/>
      <x:c r="I16" s="2"/>
      <x:c r="J16" s="1"/>
      <x:c r="K16" s="1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</x:row>
    <x:row r="17" ht="18" customHeight="1">
      <x:c r="A17" s="1"/>
      <x:c r="B17" s="1"/>
      <x:c r="C17" s="1" t="str">
        <x:v>Diluted shares (crore)</x:v>
      </x:c>
      <x:c r="D17" s="7" t="n">
        <x:v>100</x:v>
      </x:c>
      <x:c r="E17" s="2"/>
      <x:c r="F17" s="2"/>
      <x:c r="G17" s="2"/>
      <x:c r="H17" s="2"/>
      <x:c r="I17" s="2"/>
      <x:c r="J17" s="1"/>
      <x:c r="K17" s="1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</x:row>
    <x:row r="18" ht="18" customHeight="1">
      <x:c r="A18" s="1"/>
      <x:c r="B18" s="1"/>
      <x:c r="C18" s="1" t="str">
        <x:v>Cost of equity</x:v>
      </x:c>
      <x:c r="D18" s="25" t="n">
        <x:v>0.16</x:v>
      </x:c>
      <x:c r="E18" s="2"/>
      <x:c r="F18" s="2"/>
      <x:c r="G18" s="2"/>
      <x:c r="H18" s="2"/>
      <x:c r="I18" s="2"/>
      <x:c r="J18" s="1"/>
      <x:c r="K18" s="1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</x:row>
    <x:row r="19" ht="18" customHeight="1">
      <x:c r="A19" s="1"/>
      <x:c r="B19" s="1"/>
      <x:c r="C19" s="1" t="str">
        <x:v>final forecast year residual price / book</x:v>
      </x:c>
      <x:c r="D19" s="55" t="n">
        <x:v>1</x:v>
      </x:c>
      <x:c r="E19" s="2"/>
      <x:c r="F19" s="2"/>
      <x:c r="G19" s="2"/>
      <x:c r="H19" s="2"/>
      <x:c r="I19" s="2"/>
      <x:c r="J19" s="1"/>
      <x:c r="K19" s="1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</x:row>
    <x:row r="20" ht="18" customHeight="1">
      <x:c r="A20" s="1"/>
      <x:c r="B20" s="1"/>
      <x:c r="C20" s="28" t="str">
        <x:v>Sales area growth — active</x:v>
      </x:c>
      <x:c r="D20" s="29"/>
      <x:c r="E20" s="30" t="n">
        <x:f>IF(COUNT(INDEX(E21:E23,'Controls'!$E$5))=0,NA(),INDEX(E21:E23,'Controls'!$E$5))</x:f>
        <x:v>0.1</x:v>
      </x:c>
      <x:c r="F20" s="30" t="n">
        <x:f>IF(COUNT(INDEX(F21:F23,'Controls'!$E$5))=0,NA(),INDEX(F21:F23,'Controls'!$E$5))</x:f>
        <x:v>0.1</x:v>
      </x:c>
      <x:c r="G20" s="30" t="n">
        <x:f>IF(COUNT(INDEX(G21:G23,'Controls'!$E$5))=0,NA(),INDEX(G21:G23,'Controls'!$E$5))</x:f>
        <x:v>0.1</x:v>
      </x:c>
      <x:c r="H20" s="30" t="n">
        <x:f>IF(COUNT(INDEX(H21:H23,'Controls'!$E$5))=0,NA(),INDEX(H21:H23,'Controls'!$E$5))</x:f>
        <x:v>0.1</x:v>
      </x:c>
      <x:c r="I20" s="30" t="n">
        <x:f>IF(COUNT(INDEX(I21:I23,'Controls'!$E$5))=0,NA(),INDEX(I21:I23,'Controls'!$E$5))</x:f>
        <x:v>0.1</x:v>
      </x:c>
      <x:c r="J20" s="1"/>
      <x:c r="K20" s="1"/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</x:row>
    <x:row r="21" ht="18" customHeight="1">
      <x:c r="A21" s="1"/>
      <x:c r="B21" s="1"/>
      <x:c r="C21" s="23" t="str">
        <x:v>Base</x:v>
      </x:c>
      <x:c r="D21" s="24"/>
      <x:c r="E21" s="26" t="n">
        <x:v>0.1</x:v>
      </x:c>
      <x:c r="F21" s="26" t="n">
        <x:v>0.1</x:v>
      </x:c>
      <x:c r="G21" s="26" t="n">
        <x:v>0.1</x:v>
      </x:c>
      <x:c r="H21" s="26" t="n">
        <x:v>0.1</x:v>
      </x:c>
      <x:c r="I21" s="26" t="n">
        <x:v>0.1</x:v>
      </x:c>
      <x:c r="J21" s="1"/>
      <x:c r="K21" s="1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</x:row>
    <x:row r="22" ht="18" customHeight="1">
      <x:c r="A22" s="1"/>
      <x:c r="B22" s="1"/>
      <x:c r="C22" s="23" t="str">
        <x:v>Downside</x:v>
      </x:c>
      <x:c r="D22" s="24"/>
      <x:c r="E22" s="26" t="n">
        <x:v>0.02</x:v>
      </x:c>
      <x:c r="F22" s="26" t="n">
        <x:v>0.02</x:v>
      </x:c>
      <x:c r="G22" s="26" t="n">
        <x:v>0.02</x:v>
      </x:c>
      <x:c r="H22" s="26" t="n">
        <x:v>0.02</x:v>
      </x:c>
      <x:c r="I22" s="26" t="n">
        <x:v>0.02</x:v>
      </x:c>
      <x:c r="J22" s="1"/>
      <x:c r="K22" s="1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</x:row>
    <x:row r="23" ht="18" customHeight="1">
      <x:c r="A23" s="1"/>
      <x:c r="B23" s="1"/>
      <x:c r="C23" s="23" t="str">
        <x:v>Upside</x:v>
      </x:c>
      <x:c r="D23" s="24"/>
      <x:c r="E23" s="26" t="n">
        <x:v>0.16</x:v>
      </x:c>
      <x:c r="F23" s="26" t="n">
        <x:v>0.16</x:v>
      </x:c>
      <x:c r="G23" s="26" t="n">
        <x:v>0.16</x:v>
      </x:c>
      <x:c r="H23" s="26" t="n">
        <x:v>0.16</x:v>
      </x:c>
      <x:c r="I23" s="26" t="n">
        <x:v>0.16</x:v>
      </x:c>
      <x:c r="J23" s="1"/>
      <x:c r="K23" s="1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</x:row>
    <x:row r="24" ht="18" customHeight="1">
      <x:c r="A24" s="1"/>
      <x:c r="B24" s="1"/>
      <x:c r="C24" s="28" t="str">
        <x:v>Selling price growth — active</x:v>
      </x:c>
      <x:c r="D24" s="29"/>
      <x:c r="E24" s="30" t="n">
        <x:f>IF(COUNT(INDEX(E25:E27,'Controls'!$E$5))=0,NA(),INDEX(E25:E27,'Controls'!$E$5))</x:f>
        <x:v>0.05</x:v>
      </x:c>
      <x:c r="F24" s="30" t="n">
        <x:f>IF(COUNT(INDEX(F25:F27,'Controls'!$E$5))=0,NA(),INDEX(F25:F27,'Controls'!$E$5))</x:f>
        <x:v>0.05</x:v>
      </x:c>
      <x:c r="G24" s="30" t="n">
        <x:f>IF(COUNT(INDEX(G25:G27,'Controls'!$E$5))=0,NA(),INDEX(G25:G27,'Controls'!$E$5))</x:f>
        <x:v>0.05</x:v>
      </x:c>
      <x:c r="H24" s="30" t="n">
        <x:f>IF(COUNT(INDEX(H25:H27,'Controls'!$E$5))=0,NA(),INDEX(H25:H27,'Controls'!$E$5))</x:f>
        <x:v>0.05</x:v>
      </x:c>
      <x:c r="I24" s="30" t="n">
        <x:f>IF(COUNT(INDEX(I25:I27,'Controls'!$E$5))=0,NA(),INDEX(I25:I27,'Controls'!$E$5))</x:f>
        <x:v>0.05</x:v>
      </x:c>
      <x:c r="J24" s="1"/>
      <x:c r="K24" s="1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</x:row>
    <x:row r="25" ht="18" customHeight="1">
      <x:c r="A25" s="1"/>
      <x:c r="B25" s="1"/>
      <x:c r="C25" s="23" t="str">
        <x:v>Base</x:v>
      </x:c>
      <x:c r="D25" s="24"/>
      <x:c r="E25" s="26" t="n">
        <x:v>0.05</x:v>
      </x:c>
      <x:c r="F25" s="26" t="n">
        <x:v>0.05</x:v>
      </x:c>
      <x:c r="G25" s="26" t="n">
        <x:v>0.05</x:v>
      </x:c>
      <x:c r="H25" s="26" t="n">
        <x:v>0.05</x:v>
      </x:c>
      <x:c r="I25" s="26" t="n">
        <x:v>0.05</x:v>
      </x:c>
      <x:c r="J25" s="1"/>
      <x:c r="K25" s="1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</x:row>
    <x:row r="26" ht="18" customHeight="1">
      <x:c r="A26" s="1"/>
      <x:c r="B26" s="1"/>
      <x:c r="C26" s="23" t="str">
        <x:v>Downside</x:v>
      </x:c>
      <x:c r="D26" s="24"/>
      <x:c r="E26" s="26" t="n">
        <x:v>-0.02</x:v>
      </x:c>
      <x:c r="F26" s="26" t="n">
        <x:v>-0.02</x:v>
      </x:c>
      <x:c r="G26" s="26" t="n">
        <x:v>-0.02</x:v>
      </x:c>
      <x:c r="H26" s="26" t="n">
        <x:v>-0.02</x:v>
      </x:c>
      <x:c r="I26" s="26" t="n">
        <x:v>-0.02</x:v>
      </x:c>
      <x:c r="J26" s="1"/>
      <x:c r="K26" s="1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</x:row>
    <x:row r="27" ht="18" customHeight="1">
      <x:c r="A27" s="1"/>
      <x:c r="B27" s="1"/>
      <x:c r="C27" s="23" t="str">
        <x:v>Upside</x:v>
      </x:c>
      <x:c r="D27" s="24"/>
      <x:c r="E27" s="26" t="n">
        <x:v>0.08</x:v>
      </x:c>
      <x:c r="F27" s="26" t="n">
        <x:v>0.08</x:v>
      </x:c>
      <x:c r="G27" s="26" t="n">
        <x:v>0.08</x:v>
      </x:c>
      <x:c r="H27" s="26" t="n">
        <x:v>0.08</x:v>
      </x:c>
      <x:c r="I27" s="26" t="n">
        <x:v>0.08</x:v>
      </x:c>
      <x:c r="J27" s="1"/>
      <x:c r="K27" s="1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</x:row>
    <x:row r="28" ht="18" customHeight="1">
      <x:c r="A28" s="1"/>
      <x:c r="B28" s="1"/>
      <x:c r="C28" s="23" t="str">
        <x:v>Opening backlog completed / recognized</x:v>
      </x:c>
      <x:c r="D28" s="24"/>
      <x:c r="E28" s="26" t="n">
        <x:f>E400</x:f>
        <x:v>0.3</x:v>
      </x:c>
      <x:c r="F28" s="26" t="n">
        <x:f>F400</x:f>
        <x:v>0.3</x:v>
      </x:c>
      <x:c r="G28" s="26" t="n">
        <x:f>G400</x:f>
        <x:v>0.3</x:v>
      </x:c>
      <x:c r="H28" s="26" t="n">
        <x:f>H400</x:f>
        <x:v>0.3</x:v>
      </x:c>
      <x:c r="I28" s="26" t="n">
        <x:f>I400</x:f>
        <x:v>0.3</x:v>
      </x:c>
      <x:c r="J28" s="1"/>
      <x:c r="K28" s="1" t="str">
        <x:v>Completed-contract archetype. No current-year booking is recognized until a subsequent year.</x:v>
      </x:c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</x:row>
    <x:row r="29" ht="18" customHeight="1">
      <x:c r="A29" s="1"/>
      <x:c r="B29" s="1"/>
      <x:c r="C29" s="23" t="str">
        <x:v>Collection / current bookings</x:v>
      </x:c>
      <x:c r="D29" s="24"/>
      <x:c r="E29" s="26" t="n">
        <x:f>E405</x:f>
        <x:v>0.4</x:v>
      </x:c>
      <x:c r="F29" s="26" t="n">
        <x:f>F405</x:f>
        <x:v>0.4</x:v>
      </x:c>
      <x:c r="G29" s="26" t="n">
        <x:f>G405</x:f>
        <x:v>0.4</x:v>
      </x:c>
      <x:c r="H29" s="26" t="n">
        <x:f>H405</x:f>
        <x:v>0.4</x:v>
      </x:c>
      <x:c r="I29" s="26" t="n">
        <x:f>I405</x:f>
        <x:v>0.4</x:v>
      </x:c>
      <x:c r="J29" s="1"/>
      <x:c r="K29" s="1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</x:row>
    <x:row r="30" ht="18" customHeight="1">
      <x:c r="A30" s="1"/>
      <x:c r="B30" s="1"/>
      <x:c r="C30" s="23" t="str">
        <x:v>Collection / opening unrecognized bookings</x:v>
      </x:c>
      <x:c r="D30" s="24"/>
      <x:c r="E30" s="26" t="n">
        <x:f>E410</x:f>
        <x:v>0.2</x:v>
      </x:c>
      <x:c r="F30" s="26" t="n">
        <x:f>F410</x:f>
        <x:v>0.2</x:v>
      </x:c>
      <x:c r="G30" s="26" t="n">
        <x:f>G410</x:f>
        <x:v>0.2</x:v>
      </x:c>
      <x:c r="H30" s="26" t="n">
        <x:f>H410</x:f>
        <x:v>0.2</x:v>
      </x:c>
      <x:c r="I30" s="26" t="n">
        <x:f>I410</x:f>
        <x:v>0.2</x:v>
      </x:c>
      <x:c r="J30" s="1"/>
      <x:c r="K30" s="1"/>
      <x:c r="M30" s="82" t="str">
        <x:v>Historical actuals and forecast | INR crore</x:v>
      </x:c>
      <x:c r="N30" s="82"/>
      <x:c r="O30" s="82"/>
      <x:c r="P30" s="82"/>
      <x:c r="Q30" s="82"/>
      <x:c r="R30" s="82"/>
      <x:c r="S30" s="82"/>
      <x:c r="T30" s="82"/>
      <x:c r="U30" s="82"/>
      <x:c r="V30" s="63"/>
    </x:row>
    <x:row r="31" ht="18" customHeight="1">
      <x:c r="A31" s="1"/>
      <x:c r="B31" s="1"/>
      <x:c r="C31" s="23" t="str">
        <x:v>Recognized cost / recognized revenue</x:v>
      </x:c>
      <x:c r="D31" s="24"/>
      <x:c r="E31" s="26" t="n">
        <x:f>E415</x:f>
        <x:v>0.68</x:v>
      </x:c>
      <x:c r="F31" s="26" t="n">
        <x:f>F415</x:f>
        <x:v>0.68</x:v>
      </x:c>
      <x:c r="G31" s="26" t="n">
        <x:f>G415</x:f>
        <x:v>0.68</x:v>
      </x:c>
      <x:c r="H31" s="26" t="n">
        <x:f>H415</x:f>
        <x:v>0.68</x:v>
      </x:c>
      <x:c r="I31" s="26" t="n">
        <x:f>I415</x:f>
        <x:v>0.68</x:v>
      </x:c>
      <x:c r="J31" s="1"/>
      <x:c r="K31" s="1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</x:row>
    <x:row r="32" ht="18" customHeight="1">
      <x:c r="A32" s="1"/>
      <x:c r="B32" s="1"/>
      <x:c r="C32" s="23" t="str">
        <x:v>Cash land and construction / bookings</x:v>
      </x:c>
      <x:c r="D32" s="24"/>
      <x:c r="E32" s="26" t="n">
        <x:f>E420</x:f>
        <x:v>0.55</x:v>
      </x:c>
      <x:c r="F32" s="26" t="n">
        <x:f>F420</x:f>
        <x:v>0.55</x:v>
      </x:c>
      <x:c r="G32" s="26" t="n">
        <x:f>G420</x:f>
        <x:v>0.55</x:v>
      </x:c>
      <x:c r="H32" s="26" t="n">
        <x:f>H420</x:f>
        <x:v>0.55</x:v>
      </x:c>
      <x:c r="I32" s="26" t="n">
        <x:f>I420</x:f>
        <x:v>0.55</x:v>
      </x:c>
      <x:c r="J32" s="1"/>
      <x:c r="K32" s="1"/>
      <x:c r="M32" s="63" t="str">
        <x:v>Metric</x:v>
      </x:c>
      <x:c r="N32" s="88" t="n">
        <x:f>'Controls'!$E$17+-3</x:f>
        <x:v>2024</x:v>
      </x:c>
      <x:c r="O32" s="88" t="n">
        <x:f>'Controls'!$E$17+-2</x:f>
        <x:v>2025</x:v>
      </x:c>
      <x:c r="P32" s="88" t="n">
        <x:f>'Controls'!$E$17+-1</x:f>
        <x:v>2026</x:v>
      </x:c>
      <x:c r="Q32" s="89" t="n">
        <x:f>'Controls'!$E$17+0</x:f>
        <x:v>2027</x:v>
      </x:c>
      <x:c r="R32" s="89" t="n">
        <x:f>'Controls'!$E$17+1</x:f>
        <x:v>2028</x:v>
      </x:c>
      <x:c r="S32" s="89" t="n">
        <x:f>'Controls'!$E$17+2</x:f>
        <x:v>2029</x:v>
      </x:c>
      <x:c r="T32" s="89" t="n">
        <x:f>'Controls'!$E$17+3</x:f>
        <x:v>2030</x:v>
      </x:c>
      <x:c r="U32" s="89" t="n">
        <x:f>'Controls'!$E$17+4</x:f>
        <x:v>2031</x:v>
      </x:c>
      <x:c r="V32" s="63" t="str">
        <x:v>Source / reporting date</x:v>
      </x:c>
    </x:row>
    <x:row r="33" ht="18" customHeight="1">
      <x:c r="A33" s="1"/>
      <x:c r="B33" s="1"/>
      <x:c r="C33" s="23" t="str">
        <x:v>Selling and overhead / bookings</x:v>
      </x:c>
      <x:c r="D33" s="24"/>
      <x:c r="E33" s="26" t="n">
        <x:f>E425</x:f>
        <x:v>0.06</x:v>
      </x:c>
      <x:c r="F33" s="26" t="n">
        <x:f>F425</x:f>
        <x:v>0.06</x:v>
      </x:c>
      <x:c r="G33" s="26" t="n">
        <x:f>G425</x:f>
        <x:v>0.06</x:v>
      </x:c>
      <x:c r="H33" s="26" t="n">
        <x:f>H425</x:f>
        <x:v>0.06</x:v>
      </x:c>
      <x:c r="I33" s="26" t="n">
        <x:f>I425</x:f>
        <x:v>0.06</x:v>
      </x:c>
      <x:c r="J33" s="1"/>
      <x:c r="K33" s="1"/>
      <x:c r="M33" s="63" t="str">
        <x:v>Income</x:v>
      </x:c>
      <x:c r="N33" s="74"/>
      <x:c r="O33" s="74"/>
      <x:c r="P33" s="74"/>
      <x:c r="Q33" s="8" t="n">
        <x:f>E43</x:f>
        <x:v>1500</x:v>
      </x:c>
      <x:c r="R33" s="8" t="n">
        <x:f>F43</x:f>
        <x:v>1673.7</x:v>
      </x:c>
      <x:c r="S33" s="8" t="n">
        <x:f>G43</x:f>
        <x:v>1891.9635000000003</x:v>
      </x:c>
      <x:c r="T33" s="8" t="n">
        <x:f>H43</x:f>
        <x:v>2156.4058425000007</x:v>
      </x:c>
      <x:c r="U33" s="8" t="n">
        <x:f>I43</x:f>
        <x:v>2470.480348087501</x:v>
      </x:c>
      <x:c r="V33" s="63"/>
    </x:row>
    <x:row r="34" ht="18" customHeight="1">
      <x:c r="A34" s="1"/>
      <x:c r="B34" s="1"/>
      <x:c r="C34" s="23" t="str">
        <x:v>Interest on opening debt</x:v>
      </x:c>
      <x:c r="D34" s="24"/>
      <x:c r="E34" s="26" t="n">
        <x:f>E430</x:f>
        <x:v>0.09</x:v>
      </x:c>
      <x:c r="F34" s="26" t="n">
        <x:f>F430</x:f>
        <x:v>0.09</x:v>
      </x:c>
      <x:c r="G34" s="26" t="n">
        <x:f>G430</x:f>
        <x:v>0.09</x:v>
      </x:c>
      <x:c r="H34" s="26" t="n">
        <x:f>H430</x:f>
        <x:v>0.09</x:v>
      </x:c>
      <x:c r="I34" s="26" t="n">
        <x:f>I430</x:f>
        <x:v>0.09</x:v>
      </x:c>
      <x:c r="J34" s="1"/>
      <x:c r="K34" s="1"/>
      <x:c r="M34" s="63" t="str">
        <x:v>Profit after tax</x:v>
      </x:c>
      <x:c r="N34" s="74"/>
      <x:c r="O34" s="74"/>
      <x:c r="P34" s="74"/>
      <x:c r="Q34" s="8" t="n">
        <x:f>E55</x:f>
        <x:v>198.9449999999999</x:v>
      </x:c>
      <x:c r="R34" s="8" t="n">
        <x:f>F55</x:f>
        <x:v>226.13197499999987</x:v>
      </x:c>
      <x:c r="S34" s="8" t="n">
        <x:f>G55</x:f>
        <x:v>261.7665311249999</x:v>
      </x:c>
      <x:c r="T34" s="8" t="n">
        <x:f>H55</x:f>
        <x:v>305.8879634493751</x:v>
      </x:c>
      <x:c r="U34" s="8" t="n">
        <x:f>I55</x:f>
        <x:v>358.9226817840282</x:v>
      </x:c>
      <x:c r="V34" s="63"/>
    </x:row>
    <x:row r="35" ht="18" customHeight="1">
      <x:c r="A35" s="1"/>
      <x:c r="B35" s="1"/>
      <x:c r="C35" s="23" t="str">
        <x:v>Effective tax rate</x:v>
      </x:c>
      <x:c r="D35" s="24"/>
      <x:c r="E35" s="26" t="n">
        <x:f>E435</x:f>
        <x:v>0.25</x:v>
      </x:c>
      <x:c r="F35" s="26" t="n">
        <x:f>F435</x:f>
        <x:v>0.25</x:v>
      </x:c>
      <x:c r="G35" s="26" t="n">
        <x:f>G435</x:f>
        <x:v>0.25</x:v>
      </x:c>
      <x:c r="H35" s="26" t="n">
        <x:f>H435</x:f>
        <x:v>0.25</x:v>
      </x:c>
      <x:c r="I35" s="26" t="n">
        <x:f>I435</x:f>
        <x:v>0.25</x:v>
      </x:c>
      <x:c r="J35" s="1"/>
      <x:c r="K35" s="1"/>
      <x:c r="M35" s="63" t="str">
        <x:v>Closing debt</x:v>
      </x:c>
      <x:c r="N35" s="74"/>
      <x:c r="O35" s="74"/>
      <x:c r="P35" s="74"/>
      <x:c r="Q35" s="8" t="n">
        <x:f>E59</x:f>
        <x:v>1000</x:v>
      </x:c>
      <x:c r="R35" s="8" t="n">
        <x:f>F59</x:f>
        <x:v>1000</x:v>
      </x:c>
      <x:c r="S35" s="8" t="n">
        <x:f>G59</x:f>
        <x:v>1000</x:v>
      </x:c>
      <x:c r="T35" s="8" t="n">
        <x:f>H59</x:f>
        <x:v>1000</x:v>
      </x:c>
      <x:c r="U35" s="8" t="n">
        <x:f>I59</x:f>
        <x:v>1000</x:v>
      </x:c>
      <x:c r="V35" s="63"/>
    </x:row>
    <x:row r="36" ht="18" customHeight="1">
      <x:c r="A36" s="1"/>
      <x:c r="B36" s="1"/>
      <x:c r="C36" s="1" t="str">
        <x:v>New debt</x:v>
      </x:c>
      <x:c r="D36" s="2"/>
      <x:c r="E36" s="7" t="n">
        <x:f>E440</x:f>
        <x:v>100</x:v>
      </x:c>
      <x:c r="F36" s="7" t="n">
        <x:f>F440</x:f>
        <x:v>100</x:v>
      </x:c>
      <x:c r="G36" s="7" t="n">
        <x:f>G440</x:f>
        <x:v>100</x:v>
      </x:c>
      <x:c r="H36" s="7" t="n">
        <x:f>H440</x:f>
        <x:v>100</x:v>
      </x:c>
      <x:c r="I36" s="7" t="n">
        <x:f>I440</x:f>
        <x:v>100</x:v>
      </x:c>
      <x:c r="J36" s="1"/>
      <x:c r="K36" s="1"/>
      <x:c r="M36" s="63" t="str">
        <x:v>Closing cash / (funding gap)</x:v>
      </x:c>
      <x:c r="N36" s="74"/>
      <x:c r="O36" s="74"/>
      <x:c r="P36" s="74"/>
      <x:c r="Q36" s="8" t="n">
        <x:f>E58</x:f>
        <x:v>867.3059999999999</x:v>
      </x:c>
      <x:c r="R36" s="8" t="n">
        <x:f>F58</x:f>
        <x:v>1268.24083</x:v>
      </x:c>
      <x:c r="S36" s="8" t="n">
        <x:f>G58</x:f>
        <x:v>1717.5190386500003</x:v>
      </x:c>
      <x:c r="T36" s="8" t="n">
        <x:f>H58</x:f>
        <x:v>2229.2853056407507</x:v>
      </x:c>
      <x:c r="U36" s="8" t="n">
        <x:f>I58</x:f>
        <x:v>2817.881299215067</x:v>
      </x:c>
      <x:c r="V36" s="63"/>
    </x:row>
    <x:row r="37" ht="18" customHeight="1">
      <x:c r="A37" s="1"/>
      <x:c r="B37" s="1"/>
      <x:c r="C37" s="1" t="str">
        <x:v>Principal repayment</x:v>
      </x:c>
      <x:c r="D37" s="2"/>
      <x:c r="E37" s="7" t="n">
        <x:f>E445</x:f>
        <x:v>100</x:v>
      </x:c>
      <x:c r="F37" s="7" t="n">
        <x:f>F445</x:f>
        <x:v>100</x:v>
      </x:c>
      <x:c r="G37" s="7" t="n">
        <x:f>G445</x:f>
        <x:v>100</x:v>
      </x:c>
      <x:c r="H37" s="7" t="n">
        <x:f>H445</x:f>
        <x:v>100</x:v>
      </x:c>
      <x:c r="I37" s="7" t="n">
        <x:f>I445</x:f>
        <x:v>100</x:v>
      </x:c>
      <x:c r="J37" s="1"/>
      <x:c r="K37" s="1"/>
      <x:c r="M37" s="63" t="str">
        <x:v>Closing equity</x:v>
      </x:c>
      <x:c r="N37" s="74"/>
      <x:c r="O37" s="74"/>
      <x:c r="P37" s="74"/>
      <x:c r="Q37" s="8" t="n">
        <x:f>E60</x:f>
        <x:v>1659.156</x:v>
      </x:c>
      <x:c r="R37" s="8" t="n">
        <x:f>F60</x:f>
        <x:v>1840.0615799999998</x:v>
      </x:c>
      <x:c r="S37" s="8" t="n">
        <x:f>G60</x:f>
        <x:v>2049.4748049</x:v>
      </x:c>
      <x:c r="T37" s="8" t="n">
        <x:f>H60</x:f>
        <x:v>2294.1851756595</x:v>
      </x:c>
      <x:c r="U37" s="8" t="n">
        <x:f>I60</x:f>
        <x:v>2581.3233210867224</x:v>
      </x:c>
      <x:c r="V37" s="63"/>
    </x:row>
    <x:row r="38" ht="18" customHeight="1">
      <x:c r="A38" s="1"/>
      <x:c r="B38" s="1"/>
      <x:c r="C38" s="23" t="str">
        <x:v>Dividend payout on positive PAT</x:v>
      </x:c>
      <x:c r="D38" s="24"/>
      <x:c r="E38" s="26" t="n">
        <x:f>E450</x:f>
        <x:v>0.2</x:v>
      </x:c>
      <x:c r="F38" s="26" t="n">
        <x:f>F450</x:f>
        <x:v>0.2</x:v>
      </x:c>
      <x:c r="G38" s="26" t="n">
        <x:f>G450</x:f>
        <x:v>0.2</x:v>
      </x:c>
      <x:c r="H38" s="26" t="n">
        <x:f>H450</x:f>
        <x:v>0.2</x:v>
      </x:c>
      <x:c r="I38" s="26" t="n">
        <x:f>I450</x:f>
        <x:v>0.2</x:v>
      </x:c>
      <x:c r="J38" s="1"/>
      <x:c r="K38" s="1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</x:row>
    <x:row r="39" ht="18" customHeight="1">
      <x:c r="A39" s="1"/>
      <x:c r="B39" s="1"/>
      <x:c r="C39" s="19" t="str">
        <x:v>BOOKINGS, RECOGNITION AND CASH BUILD</x:v>
      </x:c>
      <x:c r="D39" s="20"/>
      <x:c r="E39" s="20"/>
      <x:c r="F39" s="20"/>
      <x:c r="G39" s="20"/>
      <x:c r="H39" s="20"/>
      <x:c r="I39" s="20"/>
      <x:c r="J39" s="1"/>
      <x:c r="K39" s="1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</x:row>
    <x:row r="40" ht="18" customHeight="1">
      <x:c r="A40" s="1"/>
      <x:c r="B40" s="1"/>
      <x:c r="C40" s="1" t="str">
        <x:v>Area sold (million sq ft)</x:v>
      </x:c>
      <x:c r="D40" s="2"/>
      <x:c r="E40" s="8" t="n">
        <x:f>$D10*(1+E20)</x:f>
        <x:v>2.2</x:v>
      </x:c>
      <x:c r="F40" s="8" t="n">
        <x:f>E40*(1+F20)</x:f>
        <x:v>2.4200000000000004</x:v>
      </x:c>
      <x:c r="G40" s="8" t="n">
        <x:f>F40*(1+G20)</x:f>
        <x:v>2.662000000000001</x:v>
      </x:c>
      <x:c r="H40" s="8" t="n">
        <x:f>G40*(1+H20)</x:f>
        <x:v>2.9282000000000012</x:v>
      </x:c>
      <x:c r="I40" s="8" t="n">
        <x:f>H40*(1+I20)</x:f>
        <x:v>3.2210200000000015</x:v>
      </x:c>
      <x:c r="J40" s="1"/>
      <x:c r="K40" s="1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</x:row>
    <x:row r="41" ht="18" customHeight="1">
      <x:c r="A41" s="1"/>
      <x:c r="B41" s="1"/>
      <x:c r="C41" s="1" t="str">
        <x:v>Selling price (INR / sq ft)</x:v>
      </x:c>
      <x:c r="D41" s="2"/>
      <x:c r="E41" s="8" t="n">
        <x:f>$D11*(1+E24)</x:f>
        <x:v>9450</x:v>
      </x:c>
      <x:c r="F41" s="8" t="n">
        <x:f>E41*(1+F24)</x:f>
        <x:v>9922.5</x:v>
      </x:c>
      <x:c r="G41" s="8" t="n">
        <x:f>F41*(1+G24)</x:f>
        <x:v>10418.625</x:v>
      </x:c>
      <x:c r="H41" s="8" t="n">
        <x:f>G41*(1+H24)</x:f>
        <x:v>10939.55625</x:v>
      </x:c>
      <x:c r="I41" s="8" t="n">
        <x:f>H41*(1+I24)</x:f>
        <x:v>11486.5340625</x:v>
      </x:c>
      <x:c r="J41" s="1"/>
      <x:c r="K41" s="1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</x:row>
    <x:row r="42" ht="18" customHeight="1">
      <x:c r="A42" s="1"/>
      <x:c r="B42" s="1"/>
      <x:c r="C42" s="1" t="str">
        <x:v>Sales bookings</x:v>
      </x:c>
      <x:c r="D42" s="2"/>
      <x:c r="E42" s="10" t="n">
        <x:f>E40*'Controls'!$E$14*E41/'Controls'!$E$9</x:f>
        <x:v>2079</x:v>
      </x:c>
      <x:c r="F42" s="10" t="n">
        <x:f>F40*'Controls'!$E$14*F41/'Controls'!$E$9</x:f>
        <x:v>2401.2450000000003</x:v>
      </x:c>
      <x:c r="G42" s="10" t="n">
        <x:f>G40*'Controls'!$E$14*G41/'Controls'!$E$9</x:f>
        <x:v>2773.437975000001</x:v>
      </x:c>
      <x:c r="H42" s="10" t="n">
        <x:f>H40*'Controls'!$E$14*H41/'Controls'!$E$9</x:f>
        <x:v>3203.3208611250016</x:v>
      </x:c>
      <x:c r="I42" s="10" t="n">
        <x:f>I40*'Controls'!$E$14*I41/'Controls'!$E$9</x:f>
        <x:v>3699.8355945993767</x:v>
      </x:c>
      <x:c r="J42" s="1"/>
      <x:c r="K42" s="1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</x:row>
    <x:row r="43" ht="18" customHeight="1">
      <x:c r="A43" s="1"/>
      <x:c r="B43" s="1"/>
      <x:c r="C43" s="1" t="str">
        <x:v>Recognized revenue</x:v>
      </x:c>
      <x:c r="D43" s="2"/>
      <x:c r="E43" s="8" t="n">
        <x:f>E162</x:f>
        <x:v>1500</x:v>
      </x:c>
      <x:c r="F43" s="8" t="n">
        <x:f>F162</x:f>
        <x:v>1673.7</x:v>
      </x:c>
      <x:c r="G43" s="8" t="n">
        <x:f>G162</x:f>
        <x:v>1891.9635000000003</x:v>
      </x:c>
      <x:c r="H43" s="8" t="n">
        <x:f>H162</x:f>
        <x:v>2156.4058425000007</x:v>
      </x:c>
      <x:c r="I43" s="8" t="n">
        <x:f>I162</x:f>
        <x:v>2470.480348087501</x:v>
      </x:c>
      <x:c r="J43" s="1"/>
      <x:c r="K43" s="1"/>
      <x:c r="M43" s="64" t="str">
        <x:v>Actuals are reference inputs. Calibrate the opening balances and forecast assumptions separately.</x:v>
      </x:c>
      <x:c r="N43" s="64"/>
      <x:c r="O43" s="64"/>
      <x:c r="P43" s="64"/>
      <x:c r="Q43" s="64"/>
      <x:c r="R43" s="64"/>
      <x:c r="S43" s="64"/>
      <x:c r="T43" s="64"/>
      <x:c r="U43" s="64"/>
      <x:c r="V43" s="63"/>
    </x:row>
    <x:row r="44" ht="18" customHeight="1">
      <x:c r="A44" s="1"/>
      <x:c r="B44" s="1"/>
      <x:c r="C44" s="1" t="str">
        <x:v>Closing unrecognized sales</x:v>
      </x:c>
      <x:c r="D44" s="2"/>
      <x:c r="E44" s="8" t="n">
        <x:f>E164</x:f>
        <x:v>5579</x:v>
      </x:c>
      <x:c r="F44" s="8" t="n">
        <x:f>F164</x:f>
        <x:v>6306.545000000001</x:v>
      </x:c>
      <x:c r="G44" s="8" t="n">
        <x:f>G164</x:f>
        <x:v>7188.019475000003</x:v>
      </x:c>
      <x:c r="H44" s="8" t="n">
        <x:f>H164</x:f>
        <x:v>8234.934493625004</x:v>
      </x:c>
      <x:c r="I44" s="8" t="n">
        <x:f>I164</x:f>
        <x:v>9464.28974013688</x:v>
      </x:c>
      <x:c r="J44" s="1"/>
      <x:c r="K44" s="1"/>
      <x:c r="M44" s="64"/>
      <x:c r="N44" s="64"/>
      <x:c r="O44" s="64"/>
      <x:c r="P44" s="64"/>
      <x:c r="Q44" s="64"/>
      <x:c r="R44" s="64"/>
      <x:c r="S44" s="64"/>
      <x:c r="T44" s="64"/>
      <x:c r="U44" s="64"/>
      <x:c r="V44" s="63"/>
    </x:row>
    <x:row r="45" ht="18" customHeight="1">
      <x:c r="A45" s="1"/>
      <x:c r="B45" s="1"/>
      <x:c r="C45" s="1" t="str">
        <x:v>Customer cash collections</x:v>
      </x:c>
      <x:c r="D45" s="2"/>
      <x:c r="E45" s="8" t="n">
        <x:f>E166</x:f>
        <x:v>1831.6</x:v>
      </x:c>
      <x:c r="F45" s="8" t="n">
        <x:f>F166</x:f>
        <x:v>2076.2980000000002</x:v>
      </x:c>
      <x:c r="G45" s="8" t="n">
        <x:f>G166</x:f>
        <x:v>2370.684190000001</x:v>
      </x:c>
      <x:c r="H45" s="8" t="n">
        <x:f>H166</x:f>
        <x:v>2718.9322394500014</x:v>
      </x:c>
      <x:c r="I45" s="8" t="n">
        <x:f>I166</x:f>
        <x:v>3126.9211365647516</x:v>
      </x:c>
      <x:c r="J45" s="1"/>
      <x:c r="K45" s="1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</x:row>
    <x:row r="46" ht="18" customHeight="1">
      <x:c r="A46" s="1"/>
      <x:c r="B46" s="1"/>
      <x:c r="C46" s="1" t="str">
        <x:v>Recognized project cost</x:v>
      </x:c>
      <x:c r="D46" s="2"/>
      <x:c r="E46" s="8" t="n">
        <x:f>E43*E31</x:f>
        <x:v>1020.0000000000001</x:v>
      </x:c>
      <x:c r="F46" s="8" t="n">
        <x:f>F43*F31</x:f>
        <x:v>1138.1160000000002</x:v>
      </x:c>
      <x:c r="G46" s="8" t="n">
        <x:f>G43*G31</x:f>
        <x:v>1286.5351800000003</x:v>
      </x:c>
      <x:c r="H46" s="8" t="n">
        <x:f>H43*H31</x:f>
        <x:v>1466.3559729000006</x:v>
      </x:c>
      <x:c r="I46" s="8" t="n">
        <x:f>I43*I31</x:f>
        <x:v>1679.926636699501</x:v>
      </x:c>
      <x:c r="J46" s="1"/>
      <x:c r="K46" s="1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</x:row>
    <x:row r="47" ht="18" customHeight="1">
      <x:c r="A47" s="1"/>
      <x:c r="B47" s="1"/>
      <x:c r="C47" s="1" t="str">
        <x:v>Cash project expenditure</x:v>
      </x:c>
      <x:c r="D47" s="2"/>
      <x:c r="E47" s="8" t="n">
        <x:f>E167</x:f>
        <x:v>1143.45</x:v>
      </x:c>
      <x:c r="F47" s="8" t="n">
        <x:f>F167</x:f>
        <x:v>1320.6847500000003</x:v>
      </x:c>
      <x:c r="G47" s="8" t="n">
        <x:f>G167</x:f>
        <x:v>1525.3908862500007</x:v>
      </x:c>
      <x:c r="H47" s="8" t="n">
        <x:f>H167</x:f>
        <x:v>1761.826473618751</x:v>
      </x:c>
      <x:c r="I47" s="8" t="n">
        <x:f>I167</x:f>
        <x:v>2034.9095770296574</x:v>
      </x:c>
      <x:c r="J47" s="1"/>
      <x:c r="K47" s="1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</x:row>
    <x:row r="48" ht="18" customHeight="1">
      <x:c r="A48" s="1"/>
      <x:c r="B48" s="1"/>
      <x:c r="C48" s="1" t="str">
        <x:v>Closing project inventory</x:v>
      </x:c>
      <x:c r="D48" s="2"/>
      <x:c r="E48" s="8" t="n">
        <x:f>$D13+E47-E46</x:f>
        <x:v>3123.45</x:v>
      </x:c>
      <x:c r="F48" s="8" t="n">
        <x:f>E48+F47-F46</x:f>
        <x:v>3306.01875</x:v>
      </x:c>
      <x:c r="G48" s="8" t="n">
        <x:f>F48+G47-G46</x:f>
        <x:v>3544.87445625</x:v>
      </x:c>
      <x:c r="H48" s="8" t="n">
        <x:f>G48+H47-H46</x:f>
        <x:v>3840.34495696875</x:v>
      </x:c>
      <x:c r="I48" s="8" t="n">
        <x:f>H48+I47-I46</x:f>
        <x:v>4195.3278972989065</x:v>
      </x:c>
      <x:c r="J48" s="1"/>
      <x:c r="K48" s="1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</x:row>
    <x:row r="49" ht="18" customHeight="1">
      <x:c r="A49" s="1"/>
      <x:c r="B49" s="1"/>
      <x:c r="C49" s="1" t="str">
        <x:v>Net contract asset / (advance)</x:v>
      </x:c>
      <x:c r="D49" s="2"/>
      <x:c r="E49" s="8" t="n">
        <x:f>$D14+E43-E45</x:f>
        <x:v>-1331.6</x:v>
      </x:c>
      <x:c r="F49" s="8" t="n">
        <x:f>E49+F43-F45</x:f>
        <x:v>-1734.198</x:v>
      </x:c>
      <x:c r="G49" s="8" t="n">
        <x:f>F49+G43-G45</x:f>
        <x:v>-2212.9186900000004</x:v>
      </x:c>
      <x:c r="H49" s="8" t="n">
        <x:f>G49+H43-H45</x:f>
        <x:v>-2775.445086950001</x:v>
      </x:c>
      <x:c r="I49" s="8" t="n">
        <x:f>H49+I43-I45</x:f>
        <x:v>-3431.8858754272514</x:v>
      </x:c>
      <x:c r="J49" s="1"/>
      <x:c r="K49" s="1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</x:row>
    <x:row r="50" ht="18" customHeight="1">
      <x:c r="A50" s="1"/>
      <x:c r="B50" s="1"/>
      <x:c r="C50" s="1" t="str">
        <x:v>Selling and overhead cash cost</x:v>
      </x:c>
      <x:c r="D50" s="2"/>
      <x:c r="E50" s="8" t="n">
        <x:f>E42*E33</x:f>
        <x:v>124.74</x:v>
      </x:c>
      <x:c r="F50" s="8" t="n">
        <x:f>F42*F33</x:f>
        <x:v>144.0747</x:v>
      </x:c>
      <x:c r="G50" s="8" t="n">
        <x:f>G42*G33</x:f>
        <x:v>166.40627850000007</x:v>
      </x:c>
      <x:c r="H50" s="8" t="n">
        <x:f>H42*H33</x:f>
        <x:v>192.19925166750008</x:v>
      </x:c>
      <x:c r="I50" s="8" t="n">
        <x:f>I42*I33</x:f>
        <x:v>221.9901356759626</x:v>
      </x:c>
      <x:c r="J50" s="1"/>
      <x:c r="K50" s="1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</x:row>
    <x:row r="51" ht="18" customHeight="1">
      <x:c r="A51" s="1"/>
      <x:c r="B51" s="1"/>
      <x:c r="C51" s="1" t="str">
        <x:v>Operating profit</x:v>
      </x:c>
      <x:c r="D51" s="2"/>
      <x:c r="E51" s="8" t="n">
        <x:f>E43-E46-E50</x:f>
        <x:v>355.2599999999999</x:v>
      </x:c>
      <x:c r="F51" s="8" t="n">
        <x:f>F43-F46-F50</x:f>
        <x:v>391.5092999999998</x:v>
      </x:c>
      <x:c r="G51" s="8" t="n">
        <x:f>G43-G46-G50</x:f>
        <x:v>439.0220414999999</x:v>
      </x:c>
      <x:c r="H51" s="8" t="n">
        <x:f>H43-H46-H50</x:f>
        <x:v>497.8506179325001</x:v>
      </x:c>
      <x:c r="I51" s="8" t="n">
        <x:f>I43-I46-I50</x:f>
        <x:v>568.5635757120376</x:v>
      </x:c>
      <x:c r="J51" s="1"/>
      <x:c r="K51" s="1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</x:row>
    <x:row r="52" ht="18" customHeight="1">
      <x:c r="A52" s="1"/>
      <x:c r="B52" s="1"/>
      <x:c r="C52" s="1" t="str">
        <x:v>Interest expense</x:v>
      </x:c>
      <x:c r="D52" s="2"/>
      <x:c r="E52" s="8" t="n">
        <x:f>E125</x:f>
        <x:v>90</x:v>
      </x:c>
      <x:c r="F52" s="8" t="n">
        <x:f>F125</x:f>
        <x:v>90</x:v>
      </x:c>
      <x:c r="G52" s="8" t="n">
        <x:f>G125</x:f>
        <x:v>90</x:v>
      </x:c>
      <x:c r="H52" s="8" t="n">
        <x:f>H125</x:f>
        <x:v>90</x:v>
      </x:c>
      <x:c r="I52" s="8" t="n">
        <x:f>I125</x:f>
        <x:v>90</x:v>
      </x:c>
      <x:c r="J52" s="1"/>
      <x:c r="K52" s="1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</x:row>
    <x:row r="53" ht="18" customHeight="1">
      <x:c r="A53" s="1"/>
      <x:c r="B53" s="1"/>
      <x:c r="C53" s="1" t="str">
        <x:v>Profit before tax</x:v>
      </x:c>
      <x:c r="D53" s="2"/>
      <x:c r="E53" s="8" t="n">
        <x:f>E51-E52</x:f>
        <x:v>265.2599999999999</x:v>
      </x:c>
      <x:c r="F53" s="8" t="n">
        <x:f>F51-F52</x:f>
        <x:v>301.5092999999998</x:v>
      </x:c>
      <x:c r="G53" s="8" t="n">
        <x:f>G51-G52</x:f>
        <x:v>349.0220414999999</x:v>
      </x:c>
      <x:c r="H53" s="8" t="n">
        <x:f>H51-H52</x:f>
        <x:v>407.8506179325001</x:v>
      </x:c>
      <x:c r="I53" s="8" t="n">
        <x:f>I51-I52</x:f>
        <x:v>478.5635757120376</x:v>
      </x:c>
      <x:c r="J53" s="1"/>
      <x:c r="K53" s="1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</x:row>
    <x:row r="54" ht="18" customHeight="1">
      <x:c r="A54" s="1"/>
      <x:c r="B54" s="1"/>
      <x:c r="C54" s="1" t="str">
        <x:v>Tax</x:v>
      </x:c>
      <x:c r="D54" s="2"/>
      <x:c r="E54" s="8" t="n">
        <x:f>E144</x:f>
        <x:v>66.31499999999997</x:v>
      </x:c>
      <x:c r="F54" s="8" t="n">
        <x:f>F144</x:f>
        <x:v>75.37732499999996</x:v>
      </x:c>
      <x:c r="G54" s="8" t="n">
        <x:f>G144</x:f>
        <x:v>87.25551037499997</x:v>
      </x:c>
      <x:c r="H54" s="8" t="n">
        <x:f>H144</x:f>
        <x:v>101.96265448312502</x:v>
      </x:c>
      <x:c r="I54" s="8" t="n">
        <x:f>I144</x:f>
        <x:v>119.6408939280094</x:v>
      </x:c>
      <x:c r="J54" s="1"/>
      <x:c r="K54" s="1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</x:row>
    <x:row r="55" ht="18" customHeight="1">
      <x:c r="A55" s="1"/>
      <x:c r="B55" s="1"/>
      <x:c r="C55" s="38" t="str">
        <x:v>Profit after tax</x:v>
      </x:c>
      <x:c r="D55" s="39"/>
      <x:c r="E55" s="41" t="n">
        <x:f>E53-E54</x:f>
        <x:v>198.9449999999999</x:v>
      </x:c>
      <x:c r="F55" s="41" t="n">
        <x:f>F53-F54</x:f>
        <x:v>226.13197499999987</x:v>
      </x:c>
      <x:c r="G55" s="41" t="n">
        <x:f>G53-G54</x:f>
        <x:v>261.7665311249999</x:v>
      </x:c>
      <x:c r="H55" s="41" t="n">
        <x:f>H53-H54</x:f>
        <x:v>305.8879634493751</x:v>
      </x:c>
      <x:c r="I55" s="41" t="n">
        <x:f>I53-I54</x:f>
        <x:v>358.9226817840282</x:v>
      </x:c>
      <x:c r="J55" s="1"/>
      <x:c r="K55" s="1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</x:row>
    <x:row r="56" ht="18" customHeight="1">
      <x:c r="A56" s="1"/>
      <x:c r="B56" s="1"/>
      <x:c r="C56" s="1" t="str">
        <x:v>Dividends</x:v>
      </x:c>
      <x:c r="D56" s="2"/>
      <x:c r="E56" s="8" t="n">
        <x:f>MAX(0,E55)*E38</x:f>
        <x:v>39.78899999999999</x:v>
      </x:c>
      <x:c r="F56" s="8" t="n">
        <x:f>MAX(0,F55)*F38</x:f>
        <x:v>45.226394999999975</x:v>
      </x:c>
      <x:c r="G56" s="8" t="n">
        <x:f>MAX(0,G55)*G38</x:f>
        <x:v>52.35330622499998</x:v>
      </x:c>
      <x:c r="H56" s="8" t="n">
        <x:f>MAX(0,H55)*H38</x:f>
        <x:v>61.17759268987502</x:v>
      </x:c>
      <x:c r="I56" s="8" t="n">
        <x:f>MAX(0,I55)*I38</x:f>
        <x:v>71.78453635680565</x:v>
      </x:c>
      <x:c r="J56" s="1"/>
      <x:c r="K56" s="1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</x:row>
    <x:row r="57" ht="18" customHeight="1">
      <x:c r="A57" s="1"/>
      <x:c r="B57" s="1"/>
      <x:c r="C57" s="1" t="str">
        <x:v>Operating cash after project expenditure</x:v>
      </x:c>
      <x:c r="D57" s="2"/>
      <x:c r="E57" s="8" t="n">
        <x:f>E45-E47-E50-E52-E54</x:f>
        <x:v>407.0949999999999</x:v>
      </x:c>
      <x:c r="F57" s="8" t="n">
        <x:f>F45-F47-F50-F52-F54</x:f>
        <x:v>446.16122499999994</x:v>
      </x:c>
      <x:c r="G57" s="8" t="n">
        <x:f>G45-G47-G50-G52-G54</x:f>
        <x:v>501.6315148750001</x:v>
      </x:c>
      <x:c r="H57" s="8" t="n">
        <x:f>H45-H47-H50-H52-H54</x:f>
        <x:v>572.9438596806253</x:v>
      </x:c>
      <x:c r="I57" s="8" t="n">
        <x:f>I45-I47-I50-I52-I54</x:f>
        <x:v>660.3805299311222</x:v>
      </x:c>
      <x:c r="J57" s="1"/>
      <x:c r="K57" s="1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</x:row>
    <x:row r="58" ht="18" customHeight="1">
      <x:c r="A58" s="1"/>
      <x:c r="B58" s="1"/>
      <x:c r="C58" s="1" t="str">
        <x:v>Closing cash / (funding gap)</x:v>
      </x:c>
      <x:c r="D58" s="2"/>
      <x:c r="E58" s="8" t="n">
        <x:f>$D15+E57+E36-E37-E56</x:f>
        <x:v>867.3059999999999</x:v>
      </x:c>
      <x:c r="F58" s="8" t="n">
        <x:f>E58+F57+F36-F37-F56</x:f>
        <x:v>1268.24083</x:v>
      </x:c>
      <x:c r="G58" s="8" t="n">
        <x:f>F58+G57+G36-G37-G56</x:f>
        <x:v>1717.5190386500003</x:v>
      </x:c>
      <x:c r="H58" s="8" t="n">
        <x:f>G58+H57+H36-H37-H56</x:f>
        <x:v>2229.2853056407507</x:v>
      </x:c>
      <x:c r="I58" s="8" t="n">
        <x:f>H58+I57+I36-I37-I56</x:f>
        <x:v>2817.881299215067</x:v>
      </x:c>
      <x:c r="J58" s="1"/>
      <x:c r="K58" s="1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</x:row>
    <x:row r="59" ht="18" customHeight="1">
      <x:c r="A59" s="1"/>
      <x:c r="B59" s="1"/>
      <x:c r="C59" s="1" t="str">
        <x:v>Closing debt</x:v>
      </x:c>
      <x:c r="D59" s="2"/>
      <x:c r="E59" s="8" t="n">
        <x:f>E123</x:f>
        <x:v>1000</x:v>
      </x:c>
      <x:c r="F59" s="8" t="n">
        <x:f>F123</x:f>
        <x:v>1000</x:v>
      </x:c>
      <x:c r="G59" s="8" t="n">
        <x:f>G123</x:f>
        <x:v>1000</x:v>
      </x:c>
      <x:c r="H59" s="8" t="n">
        <x:f>H123</x:f>
        <x:v>1000</x:v>
      </x:c>
      <x:c r="I59" s="8" t="n">
        <x:f>I123</x:f>
        <x:v>1000</x:v>
      </x:c>
      <x:c r="J59" s="1"/>
      <x:c r="K59" s="1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</x:row>
    <x:row r="60" ht="18" customHeight="1">
      <x:c r="A60" s="1"/>
      <x:c r="B60" s="1"/>
      <x:c r="C60" s="1" t="str">
        <x:v>Closing equity</x:v>
      </x:c>
      <x:c r="D60" s="2"/>
      <x:c r="E60" s="8" t="n">
        <x:f>$D13+$D14+$D15-$D16+E55-E56</x:f>
        <x:v>1659.156</x:v>
      </x:c>
      <x:c r="F60" s="8" t="n">
        <x:f>E60+F55-F56</x:f>
        <x:v>1840.0615799999998</x:v>
      </x:c>
      <x:c r="G60" s="8" t="n">
        <x:f>F60+G55-G56</x:f>
        <x:v>2049.4748049</x:v>
      </x:c>
      <x:c r="H60" s="8" t="n">
        <x:f>G60+H55-H56</x:f>
        <x:v>2294.1851756595</x:v>
      </x:c>
      <x:c r="I60" s="8" t="n">
        <x:f>H60+I55-I56</x:f>
        <x:v>2581.3233210867224</x:v>
      </x:c>
      <x:c r="J60" s="1"/>
      <x:c r="K60" s="1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</x:row>
    <x:row r="61" ht="18" customHeight="1">
      <x:c r="A61" s="1"/>
      <x:c r="B61" s="1"/>
      <x:c r="C61" s="1" t="str">
        <x:v>Total assets</x:v>
      </x:c>
      <x:c r="D61" s="2"/>
      <x:c r="E61" s="8" t="n">
        <x:f>E48+MAX(0,E49)+E58</x:f>
        <x:v>3990.756</x:v>
      </x:c>
      <x:c r="F61" s="8" t="n">
        <x:f>F48+MAX(0,F49)+F58</x:f>
        <x:v>4574.25958</x:v>
      </x:c>
      <x:c r="G61" s="8" t="n">
        <x:f>G48+MAX(0,G49)+G58</x:f>
        <x:v>5262.3934949</x:v>
      </x:c>
      <x:c r="H61" s="8" t="n">
        <x:f>H48+MAX(0,H49)+H58</x:f>
        <x:v>6069.6302626095</x:v>
      </x:c>
      <x:c r="I61" s="8" t="n">
        <x:f>I48+MAX(0,I49)+I58</x:f>
        <x:v>7013.209196513973</x:v>
      </x:c>
      <x:c r="J61" s="1"/>
      <x:c r="K61" s="1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</x:row>
    <x:row r="62" ht="18" customHeight="1">
      <x:c r="A62" s="1"/>
      <x:c r="B62" s="1"/>
      <x:c r="C62" s="1" t="str">
        <x:v>Liabilities and equity</x:v>
      </x:c>
      <x:c r="D62" s="2"/>
      <x:c r="E62" s="8" t="n">
        <x:f>E59+MAX(0,-E49)+E60</x:f>
        <x:v>3990.756</x:v>
      </x:c>
      <x:c r="F62" s="8" t="n">
        <x:f>F59+MAX(0,-F49)+F60</x:f>
        <x:v>4574.25958</x:v>
      </x:c>
      <x:c r="G62" s="8" t="n">
        <x:f>G59+MAX(0,-G49)+G60</x:f>
        <x:v>5262.3934949</x:v>
      </x:c>
      <x:c r="H62" s="8" t="n">
        <x:f>H59+MAX(0,-H49)+H60</x:f>
        <x:v>6069.630262609501</x:v>
      </x:c>
      <x:c r="I62" s="8" t="n">
        <x:f>I59+MAX(0,-I49)+I60</x:f>
        <x:v>7013.209196513973</x:v>
      </x:c>
      <x:c r="J62" s="1"/>
      <x:c r="K62" s="1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</x:row>
    <x:row r="63" ht="18" customHeight="1">
      <x:c r="A63" s="1"/>
      <x:c r="B63" s="1"/>
      <x:c r="C63" s="19" t="str">
        <x:v>DEVELOPMENT KPIs AND EQUITY VALUATION</x:v>
      </x:c>
      <x:c r="D63" s="20"/>
      <x:c r="E63" s="20"/>
      <x:c r="F63" s="20"/>
      <x:c r="G63" s="20"/>
      <x:c r="H63" s="20"/>
      <x:c r="I63" s="20"/>
      <x:c r="J63" s="1"/>
      <x:c r="K63" s="1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</x:row>
    <x:row r="64" ht="18" customHeight="1">
      <x:c r="A64" s="1"/>
      <x:c r="B64" s="1"/>
      <x:c r="C64" s="23" t="str">
        <x:v>Collections / bookings</x:v>
      </x:c>
      <x:c r="D64" s="24"/>
      <x:c r="E64" s="35" t="n">
        <x:f>E45/E42</x:f>
        <x:v>0.881000481000481</x:v>
      </x:c>
      <x:c r="F64" s="35" t="n">
        <x:f>F45/F42</x:f>
        <x:v>0.8646756161907677</x:v>
      </x:c>
      <x:c r="G64" s="35" t="n">
        <x:f>G45/G42</x:f>
        <x:v>0.8547817587303354</x:v>
      </x:c>
      <x:c r="H64" s="35" t="n">
        <x:f>H45/H42</x:f>
        <x:v>0.8487854814815886</x:v>
      </x:c>
      <x:c r="I64" s="35" t="n">
        <x:f>I45/I42</x:f>
        <x:v>0.8451513740581057</x:v>
      </x:c>
      <x:c r="J64" s="1"/>
      <x:c r="K64" s="1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</x:row>
    <x:row r="65" ht="18" customHeight="1">
      <x:c r="A65" s="1"/>
      <x:c r="B65" s="1"/>
      <x:c r="C65" s="23" t="str">
        <x:v>Backlog / annual recognized revenue</x:v>
      </x:c>
      <x:c r="D65" s="32"/>
      <x:c r="E65" s="61" t="n">
        <x:f>E44/E43</x:f>
        <x:v>3.719333333333333</x:v>
      </x:c>
      <x:c r="F65" s="61" t="n">
        <x:f>F44/F43</x:f>
        <x:v>3.7680259305729824</x:v>
      </x:c>
      <x:c r="G65" s="61" t="n">
        <x:f>G44/G43</x:f>
        <x:v>3.799237921344678</x:v>
      </x:c>
      <x:c r="H65" s="61" t="n">
        <x:f>H44/H43</x:f>
        <x:v>3.8188240503364344</x:v>
      </x:c>
      <x:c r="I65" s="61" t="n">
        <x:f>I44/I43</x:f>
        <x:v>3.8309512348331647</x:v>
      </x:c>
      <x:c r="J65" s="1"/>
      <x:c r="K65" s="1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</x:row>
    <x:row r="66" ht="18" customHeight="1">
      <x:c r="A66" s="1"/>
      <x:c r="B66" s="1"/>
      <x:c r="C66" s="23" t="str">
        <x:v>Recognized operating margin</x:v>
      </x:c>
      <x:c r="D66" s="24"/>
      <x:c r="E66" s="35" t="n">
        <x:f>E51/E43</x:f>
        <x:v>0.2368399999999999</x:v>
      </x:c>
      <x:c r="F66" s="35" t="n">
        <x:f>F51/F43</x:f>
        <x:v>0.23391844416562096</x:v>
      </x:c>
      <x:c r="G66" s="35" t="n">
        <x:f>G51/G43</x:f>
        <x:v>0.23204572471931928</x:v>
      </x:c>
      <x:c r="H66" s="35" t="n">
        <x:f>H51/H43</x:f>
        <x:v>0.23087055697981393</x:v>
      </x:c>
      <x:c r="I66" s="35" t="n">
        <x:f>I51/I43</x:f>
        <x:v>0.23014292591001004</x:v>
      </x:c>
      <x:c r="J66" s="1"/>
      <x:c r="K66" s="1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</x:row>
    <x:row r="67" ht="18" customHeight="1">
      <x:c r="A67" s="1"/>
      <x:c r="B67" s="1"/>
      <x:c r="C67" s="23" t="str">
        <x:v>Net debt / equity</x:v>
      </x:c>
      <x:c r="D67" s="32"/>
      <x:c r="E67" s="61" t="n">
        <x:f>(E59-E58)/E60</x:f>
        <x:v>0.07997680748525159</x:v>
      </x:c>
      <x:c r="F67" s="61" t="n">
        <x:f>(F59-F58)/F60</x:f>
        <x:v>-0.14577818096718262</x:v>
      </x:c>
      <x:c r="G67" s="61" t="n">
        <x:f>(G59-G58)/G60</x:f>
        <x:v>-0.35009897996038564</x:v>
      </x:c>
      <x:c r="H67" s="61" t="n">
        <x:f>(H59-H58)/H60</x:f>
        <x:v>-0.5358265403695555</x:v>
      </x:c>
      <x:c r="I67" s="61" t="n">
        <x:f>(I59-I58)/I60</x:f>
        <x:v>-0.7042439373498355</x:v>
      </x:c>
      <x:c r="J67" s="1"/>
      <x:c r="K67" s="1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</x:row>
    <x:row r="68" ht="18" customHeight="1">
      <x:c r="A68" s="1"/>
      <x:c r="B68" s="1"/>
      <x:c r="C68" s="1" t="str">
        <x:v>PV of dividends</x:v>
      </x:c>
      <x:c r="D68" s="2"/>
      <x:c r="E68" s="8" t="n">
        <x:f>E56/(1+$D18)^1</x:f>
        <x:v>34.30086206896551</x:v>
      </x:c>
      <x:c r="F68" s="8" t="n">
        <x:f>F56/(1+$D18)^2</x:f>
        <x:v>33.6105789239001</x:v>
      </x:c>
      <x:c r="G68" s="8" t="n">
        <x:f>G56/(1+$D18)^3</x:f>
        <x:v>33.540547368306406</x:v>
      </x:c>
      <x:c r="H68" s="8" t="n">
        <x:f>H56/(1+$D18)^4</x:f>
        <x:v>33.78783983237559</x:v>
      </x:c>
      <x:c r="I68" s="8" t="n">
        <x:f>I56/(1+$D18)^5</x:f>
        <x:v>34.17755206494918</x:v>
      </x:c>
      <x:c r="J68" s="1"/>
      <x:c r="K68" s="1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</x:row>
    <x:row r="69" ht="18" customHeight="1">
      <x:c r="A69" s="1"/>
      <x:c r="B69" s="1"/>
      <x:c r="C69" s="38" t="str">
        <x:v>Dividend plus residual-book equity value</x:v>
      </x:c>
      <x:c r="D69" s="39"/>
      <x:c r="E69" s="41" t="n">
        <x:f>SUM(E68:I68)+I60*$D19/(1+$D18)^5</x:f>
        <x:v>1398.4190104200998</x:v>
      </x:c>
      <x:c r="F69" s="39"/>
      <x:c r="G69" s="39"/>
      <x:c r="H69" s="39"/>
      <x:c r="I69" s="39"/>
      <x:c r="J69" s="1"/>
      <x:c r="K69" s="1" t="str">
        <x:v>PV of dividends + final forecast year equity × exit P/B. Illustrative valuation; not project NAV.</x:v>
      </x:c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</x:row>
    <x:row r="70" ht="18" customHeight="1">
      <x:c r="A70" s="1"/>
      <x:c r="B70" s="1"/>
      <x:c r="C70" s="19" t="str">
        <x:v>MODEL CHECKS</x:v>
      </x:c>
      <x:c r="D70" s="20"/>
      <x:c r="E70" s="20"/>
      <x:c r="F70" s="20"/>
      <x:c r="G70" s="20"/>
      <x:c r="H70" s="20"/>
      <x:c r="I70" s="20"/>
      <x:c r="J70" s="1"/>
      <x:c r="K70" s="1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</x:row>
    <x:row r="71" ht="18" customHeight="1">
      <x:c r="A71" s="1"/>
      <x:c r="B71" s="1"/>
      <x:c r="C71" s="1" t="str">
        <x:v>Assets less liabilities and equity</x:v>
      </x:c>
      <x:c r="D71" s="33"/>
      <x:c r="E71" s="34" t="n">
        <x:f>E61-E62</x:f>
        <x:v>0</x:v>
      </x:c>
      <x:c r="F71" s="34" t="n">
        <x:f>F61-F62</x:f>
        <x:v>0</x:v>
      </x:c>
      <x:c r="G71" s="34" t="n">
        <x:f>G61-G62</x:f>
        <x:v>0</x:v>
      </x:c>
      <x:c r="H71" s="34" t="n">
        <x:f>H61-H62</x:f>
        <x:v>-9.094947017729282e-13</x:v>
      </x:c>
      <x:c r="I71" s="34" t="n">
        <x:f>I61-I62</x:f>
        <x:v>0</x:v>
      </x:c>
      <x:c r="J71" s="1"/>
      <x:c r="K71" s="1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</x:row>
    <x:row r="72" ht="18" customHeight="1">
      <x:c r="A72" s="1"/>
      <x:c r="B72" s="1"/>
      <x:c r="C72" s="1" t="str">
        <x:v>Inventory below zero</x:v>
      </x:c>
      <x:c r="D72" s="33"/>
      <x:c r="E72" s="34" t="n">
        <x:f>MAX(0,-E48)</x:f>
        <x:v>0</x:v>
      </x:c>
      <x:c r="F72" s="34" t="n">
        <x:f>MAX(0,-F48)</x:f>
        <x:v>0</x:v>
      </x:c>
      <x:c r="G72" s="34" t="n">
        <x:f>MAX(0,-G48)</x:f>
        <x:v>0</x:v>
      </x:c>
      <x:c r="H72" s="34" t="n">
        <x:f>MAX(0,-H48)</x:f>
        <x:v>0</x:v>
      </x:c>
      <x:c r="I72" s="34" t="n">
        <x:f>MAX(0,-I48)</x:f>
        <x:v>0</x:v>
      </x:c>
      <x:c r="J72" s="1"/>
      <x:c r="K72" s="1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</x:row>
    <x:row r="73" ht="18" customHeight="1">
      <x:c r="A73" s="1"/>
      <x:c r="B73" s="1"/>
      <x:c r="C73" s="1" t="str">
        <x:v>Backlog below zero</x:v>
      </x:c>
      <x:c r="D73" s="33"/>
      <x:c r="E73" s="34" t="n">
        <x:f>MAX(0,-E44)</x:f>
        <x:v>0</x:v>
      </x:c>
      <x:c r="F73" s="34" t="n">
        <x:f>MAX(0,-F44)</x:f>
        <x:v>0</x:v>
      </x:c>
      <x:c r="G73" s="34" t="n">
        <x:f>MAX(0,-G44)</x:f>
        <x:v>0</x:v>
      </x:c>
      <x:c r="H73" s="34" t="n">
        <x:f>MAX(0,-H44)</x:f>
        <x:v>0</x:v>
      </x:c>
      <x:c r="I73" s="34" t="n">
        <x:f>MAX(0,-I44)</x:f>
        <x:v>0</x:v>
      </x:c>
      <x:c r="J73" s="1"/>
      <x:c r="K73" s="1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</x:row>
    <x:row r="74" ht="18" customHeight="1">
      <x:c r="A74" s="1"/>
      <x:c r="B74" s="1"/>
      <x:c r="C74" s="1" t="str">
        <x:v>Cash funding shortfall</x:v>
      </x:c>
      <x:c r="D74" s="33"/>
      <x:c r="E74" s="34" t="n">
        <x:f>MAX(0,-E58)</x:f>
        <x:v>0</x:v>
      </x:c>
      <x:c r="F74" s="34" t="n">
        <x:f>MAX(0,-F58)</x:f>
        <x:v>0</x:v>
      </x:c>
      <x:c r="G74" s="34" t="n">
        <x:f>MAX(0,-G58)</x:f>
        <x:v>0</x:v>
      </x:c>
      <x:c r="H74" s="34" t="n">
        <x:f>MAX(0,-H58)</x:f>
        <x:v>0</x:v>
      </x:c>
      <x:c r="I74" s="34" t="n">
        <x:f>MAX(0,-I58)</x:f>
        <x:v>0</x:v>
      </x:c>
      <x:c r="J74" s="1"/>
      <x:c r="K74" s="1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</x:row>
    <x:row r="75" ht="18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1"/>
      <x:c r="K75" s="1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</x:row>
    <x:row r="76" ht="18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1"/>
      <x:c r="K76" s="1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</x:row>
    <x:row r="77" ht="18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1"/>
      <x:c r="K77" s="1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</x:row>
    <x:row r="78" ht="18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1"/>
      <x:c r="K78" s="1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</x:row>
    <x:row r="79" ht="18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1"/>
      <x:c r="K79" s="1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</x:row>
    <x:row r="80" ht="18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1"/>
      <x:c r="K80" s="1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</x:row>
    <x:row r="81" ht="18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1"/>
      <x:c r="K81" s="1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</x:row>
    <x:row r="82" ht="18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1"/>
      <x:c r="K82" s="1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</x:row>
    <x:row r="83" ht="18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1"/>
      <x:c r="K83" s="1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</x:row>
    <x:row r="84" ht="18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1"/>
      <x:c r="K84" s="1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</x:row>
    <x:row r="85" ht="18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1"/>
      <x:c r="K85" s="1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</x:row>
    <x:row r="86" ht="18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1"/>
      <x:c r="K86" s="1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</x:row>
    <x:row r="87" ht="18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1"/>
      <x:c r="K87" s="1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</x:row>
    <x:row r="88" ht="18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1"/>
      <x:c r="K88" s="1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</x:row>
    <x:row r="89" ht="18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1"/>
      <x:c r="K89" s="1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</x:row>
    <x:row r="90" ht="18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1"/>
      <x:c r="K90" s="1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</x:row>
    <x:row r="91" ht="18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1"/>
      <x:c r="K91" s="1"/>
    </x:row>
    <x:row r="92" ht="18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1"/>
      <x:c r="K92" s="1"/>
    </x:row>
    <x:row r="93" ht="18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1"/>
      <x:c r="K93" s="1"/>
    </x:row>
    <x:row r="94" ht="18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1"/>
      <x:c r="K94" s="1"/>
    </x:row>
    <x:row r="95" ht="18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1"/>
      <x:c r="K95" s="1"/>
    </x:row>
    <x:row r="96" ht="18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1"/>
      <x:c r="K96" s="1"/>
    </x:row>
    <x:row r="97" ht="18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1"/>
      <x:c r="K97" s="1"/>
    </x:row>
    <x:row r="98" ht="18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1"/>
      <x:c r="K98" s="1"/>
    </x:row>
    <x:row r="99" ht="18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1"/>
      <x:c r="K99" s="1"/>
    </x:row>
    <x:row r="100" ht="18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1"/>
      <x:c r="K100" s="1"/>
    </x:row>
    <x:row r="101" ht="18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1"/>
      <x:c r="K101" s="1"/>
    </x:row>
    <x:row r="102" ht="18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1"/>
      <x:c r="K102" s="1"/>
    </x:row>
    <x:row r="103" ht="18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1"/>
      <x:c r="K103" s="1"/>
    </x:row>
    <x:row r="104" ht="18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1"/>
      <x:c r="K104" s="1"/>
    </x:row>
    <x:row r="105" ht="18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1"/>
      <x:c r="K105" s="1"/>
    </x:row>
    <x:row r="106" ht="18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1"/>
      <x:c r="K106" s="1"/>
    </x:row>
    <x:row r="107" ht="18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1"/>
      <x:c r="K107" s="1"/>
    </x:row>
    <x:row r="108" ht="18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1"/>
      <x:c r="K108" s="1"/>
    </x:row>
    <x:row r="109" ht="18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1"/>
      <x:c r="K109" s="1"/>
    </x:row>
    <x:row r="110" ht="25" customHeight="1">
      <x:c r="A110" s="1"/>
      <x:c r="B110" s="1"/>
      <x:c r="C110" s="68" t="str">
        <x:v>SUPPORTING SCHEDULE ASSUMPTIONS</x:v>
      </x:c>
      <x:c r="D110" s="69"/>
      <x:c r="E110" s="69"/>
      <x:c r="F110" s="69"/>
      <x:c r="G110" s="69"/>
      <x:c r="H110" s="69"/>
      <x:c r="I110" s="69"/>
      <x:c r="J110" s="1"/>
      <x:c r="K110" s="1"/>
    </x:row>
    <x:row r="111" ht="30" customHeight="1">
      <x:c r="A111" s="1"/>
      <x:c r="B111" s="1"/>
      <x:c r="C111" s="64"/>
      <x:c r="D111" s="8"/>
      <x:c r="E111" s="8"/>
      <x:c r="F111" s="8"/>
      <x:c r="G111" s="8"/>
      <x:c r="H111" s="8"/>
      <x:c r="I111" s="8"/>
      <x:c r="J111" s="1"/>
      <x:c r="K111" s="1"/>
    </x:row>
    <x:row r="112" ht="30" customHeight="1">
      <x:c r="A112" s="1"/>
      <x:c r="B112" s="1"/>
      <x:c r="C112" s="64"/>
      <x:c r="D112" s="8"/>
      <x:c r="E112" s="8"/>
      <x:c r="F112" s="8"/>
      <x:c r="G112" s="8"/>
      <x:c r="H112" s="8"/>
      <x:c r="I112" s="8"/>
      <x:c r="J112" s="1"/>
      <x:c r="K112" s="1"/>
    </x:row>
    <x:row r="113" ht="30" customHeight="1">
      <x:c r="A113" s="1"/>
      <x:c r="B113" s="1"/>
      <x:c r="C113" s="64"/>
      <x:c r="D113" s="8"/>
      <x:c r="E113" s="8"/>
      <x:c r="F113" s="8"/>
      <x:c r="G113" s="8"/>
      <x:c r="H113" s="8"/>
      <x:c r="I113" s="8"/>
      <x:c r="J113" s="1"/>
      <x:c r="K113" s="1"/>
    </x:row>
    <x:row r="114" ht="30" customHeight="1">
      <x:c r="A114" s="1"/>
      <x:c r="B114" s="1"/>
      <x:c r="C114" s="64"/>
      <x:c r="D114" s="8"/>
      <x:c r="E114" s="8"/>
      <x:c r="F114" s="8"/>
      <x:c r="G114" s="8"/>
      <x:c r="H114" s="8"/>
      <x:c r="I114" s="8"/>
      <x:c r="J114" s="1"/>
      <x:c r="K114" s="1"/>
    </x:row>
    <x:row r="115" ht="30" customHeight="1">
      <x:c r="A115" s="1"/>
      <x:c r="B115" s="1"/>
      <x:c r="C115" s="64" t="str">
        <x:v>Debt movement interest weighting</x:v>
      </x:c>
      <x:c r="D115" s="72" t="n">
        <x:v>0</x:v>
      </x:c>
      <x:c r="E115" s="8"/>
      <x:c r="F115" s="8"/>
      <x:c r="G115" s="8"/>
      <x:c r="H115" s="8"/>
      <x:c r="I115" s="8"/>
      <x:c r="J115" s="1"/>
      <x:c r="K115" s="1" t="str">
        <x:v>0 = opening debt interest; 0.5 = mid-year movements; 1 = full-year movements.</x:v>
      </x:c>
    </x:row>
    <x:row r="116" ht="30" customHeight="1">
      <x:c r="A116" s="1"/>
      <x:c r="B116" s="1"/>
      <x:c r="C116" s="64" t="str">
        <x:v>Opening tax losses available for use</x:v>
      </x:c>
      <x:c r="D116" s="74" t="n">
        <x:v>0</x:v>
      </x:c>
      <x:c r="E116" s="8"/>
      <x:c r="F116" s="8"/>
      <x:c r="G116" s="8"/>
      <x:c r="H116" s="8"/>
      <x:c r="I116" s="8"/>
      <x:c r="J116" s="1"/>
      <x:c r="K116" s="1"/>
    </x:row>
    <x:row r="117" ht="30" customHeight="1">
      <x:c r="A117" s="1"/>
      <x:c r="B117" s="1"/>
      <x:c r="C117" s="64" t="str">
        <x:v>Tax loss utilization share of positive PBT</x:v>
      </x:c>
      <x:c r="D117" s="72" t="n">
        <x:v>1</x:v>
      </x:c>
      <x:c r="E117" s="8"/>
      <x:c r="F117" s="8"/>
      <x:c r="G117" s="8"/>
      <x:c r="H117" s="8"/>
      <x:c r="I117" s="8"/>
      <x:c r="J117" s="1"/>
      <x:c r="K117" s="1" t="str">
        <x:v>Simplified cash tax schedule. Check company-specific eligibility, expiry, MAT and deferred tax separately.</x:v>
      </x:c>
    </x:row>
    <x:row r="118" ht="30" customHeight="1">
      <x:c r="A118" s="1"/>
      <x:c r="B118" s="1"/>
      <x:c r="C118" s="64"/>
      <x:c r="D118" s="8"/>
      <x:c r="E118" s="8"/>
      <x:c r="F118" s="8"/>
      <x:c r="G118" s="8"/>
      <x:c r="H118" s="8"/>
      <x:c r="I118" s="8"/>
      <x:c r="J118" s="1"/>
      <x:c r="K118" s="1"/>
    </x:row>
    <x:row r="119" ht="25" customHeight="1">
      <x:c r="A119" s="1"/>
      <x:c r="B119" s="1"/>
      <x:c r="C119" s="68" t="str">
        <x:v>DEBT AND INTEREST SCHEDULE</x:v>
      </x:c>
      <x:c r="D119" s="69"/>
      <x:c r="E119" s="69"/>
      <x:c r="F119" s="69"/>
      <x:c r="G119" s="69"/>
      <x:c r="H119" s="69"/>
      <x:c r="I119" s="69"/>
      <x:c r="J119" s="1"/>
      <x:c r="K119" s="1"/>
    </x:row>
    <x:row r="120" ht="30" customHeight="1">
      <x:c r="A120" s="1"/>
      <x:c r="B120" s="1"/>
      <x:c r="C120" s="64" t="str">
        <x:v>Opening debt balance</x:v>
      </x:c>
      <x:c r="D120" s="8"/>
      <x:c r="E120" s="8" t="n">
        <x:f>D16</x:f>
        <x:v>1000</x:v>
      </x:c>
      <x:c r="F120" s="8" t="n">
        <x:f>E123</x:f>
        <x:v>1000</x:v>
      </x:c>
      <x:c r="G120" s="8" t="n">
        <x:f>F123</x:f>
        <x:v>1000</x:v>
      </x:c>
      <x:c r="H120" s="8" t="n">
        <x:f>G123</x:f>
        <x:v>1000</x:v>
      </x:c>
      <x:c r="I120" s="8" t="n">
        <x:f>H123</x:f>
        <x:v>1000</x:v>
      </x:c>
      <x:c r="J120" s="1"/>
      <x:c r="K120" s="1"/>
    </x:row>
    <x:row r="121" ht="30" customHeight="1">
      <x:c r="A121" s="1"/>
      <x:c r="B121" s="1"/>
      <x:c r="C121" s="64" t="str">
        <x:v>Debt drawn</x:v>
      </x:c>
      <x:c r="D121" s="8"/>
      <x:c r="E121" s="8" t="n">
        <x:f>E36</x:f>
        <x:v>100</x:v>
      </x:c>
      <x:c r="F121" s="8" t="n">
        <x:f>F36</x:f>
        <x:v>100</x:v>
      </x:c>
      <x:c r="G121" s="8" t="n">
        <x:f>G36</x:f>
        <x:v>100</x:v>
      </x:c>
      <x:c r="H121" s="8" t="n">
        <x:f>H36</x:f>
        <x:v>100</x:v>
      </x:c>
      <x:c r="I121" s="8" t="n">
        <x:f>I36</x:f>
        <x:v>100</x:v>
      </x:c>
      <x:c r="J121" s="1"/>
      <x:c r="K121" s="1"/>
    </x:row>
    <x:row r="122" ht="30" customHeight="1">
      <x:c r="A122" s="1"/>
      <x:c r="B122" s="1"/>
      <x:c r="C122" s="64" t="str">
        <x:v>Debt principal repaid</x:v>
      </x:c>
      <x:c r="D122" s="8"/>
      <x:c r="E122" s="8" t="n">
        <x:f>E37</x:f>
        <x:v>100</x:v>
      </x:c>
      <x:c r="F122" s="8" t="n">
        <x:f>F37</x:f>
        <x:v>100</x:v>
      </x:c>
      <x:c r="G122" s="8" t="n">
        <x:f>G37</x:f>
        <x:v>100</x:v>
      </x:c>
      <x:c r="H122" s="8" t="n">
        <x:f>H37</x:f>
        <x:v>100</x:v>
      </x:c>
      <x:c r="I122" s="8" t="n">
        <x:f>I37</x:f>
        <x:v>100</x:v>
      </x:c>
      <x:c r="J122" s="1"/>
      <x:c r="K122" s="1"/>
    </x:row>
    <x:row r="123" ht="30" customHeight="1">
      <x:c r="A123" s="1"/>
      <x:c r="B123" s="1"/>
      <x:c r="C123" s="64" t="str">
        <x:v>Closing debt balance</x:v>
      </x:c>
      <x:c r="D123" s="8"/>
      <x:c r="E123" s="8" t="n">
        <x:f>E120+E121-E122</x:f>
        <x:v>1000</x:v>
      </x:c>
      <x:c r="F123" s="8" t="n">
        <x:f>F120+F121-F122</x:f>
        <x:v>1000</x:v>
      </x:c>
      <x:c r="G123" s="8" t="n">
        <x:f>G120+G121-G122</x:f>
        <x:v>1000</x:v>
      </x:c>
      <x:c r="H123" s="8" t="n">
        <x:f>H120+H121-H122</x:f>
        <x:v>1000</x:v>
      </x:c>
      <x:c r="I123" s="8" t="n">
        <x:f>I120+I121-I122</x:f>
        <x:v>1000</x:v>
      </x:c>
      <x:c r="J123" s="1"/>
      <x:c r="K123" s="1"/>
    </x:row>
    <x:row r="124" ht="30" customHeight="1">
      <x:c r="A124" s="1"/>
      <x:c r="B124" s="1"/>
      <x:c r="C124" s="64" t="str">
        <x:v>Interest-bearing debt base</x:v>
      </x:c>
      <x:c r="D124" s="8"/>
      <x:c r="E124" s="8" t="n">
        <x:f>E120+(E121-E122)*$D$115</x:f>
        <x:v>1000</x:v>
      </x:c>
      <x:c r="F124" s="8" t="n">
        <x:f>F120+(F121-F122)*$D$115</x:f>
        <x:v>1000</x:v>
      </x:c>
      <x:c r="G124" s="8" t="n">
        <x:f>G120+(G121-G122)*$D$115</x:f>
        <x:v>1000</x:v>
      </x:c>
      <x:c r="H124" s="8" t="n">
        <x:f>H120+(H121-H122)*$D$115</x:f>
        <x:v>1000</x:v>
      </x:c>
      <x:c r="I124" s="8" t="n">
        <x:f>I120+(I121-I122)*$D$115</x:f>
        <x:v>1000</x:v>
      </x:c>
      <x:c r="J124" s="1"/>
      <x:c r="K124" s="1"/>
    </x:row>
    <x:row r="125" ht="30" customHeight="1">
      <x:c r="A125" s="1"/>
      <x:c r="B125" s="1"/>
      <x:c r="C125" s="64" t="str">
        <x:v>Scheduled interest expense</x:v>
      </x:c>
      <x:c r="D125" s="8"/>
      <x:c r="E125" s="8" t="n">
        <x:f>E124*E34</x:f>
        <x:v>90</x:v>
      </x:c>
      <x:c r="F125" s="8" t="n">
        <x:f>F124*F34</x:f>
        <x:v>90</x:v>
      </x:c>
      <x:c r="G125" s="8" t="n">
        <x:f>G124*G34</x:f>
        <x:v>90</x:v>
      </x:c>
      <x:c r="H125" s="8" t="n">
        <x:f>H124*H34</x:f>
        <x:v>90</x:v>
      </x:c>
      <x:c r="I125" s="8" t="n">
        <x:f>I124*I34</x:f>
        <x:v>90</x:v>
      </x:c>
      <x:c r="J125" s="1"/>
      <x:c r="K125" s="1"/>
    </x:row>
    <x:row r="126" ht="30" customHeight="1">
      <x:c r="A126" s="1"/>
      <x:c r="B126" s="1"/>
      <x:c r="C126" s="64"/>
      <x:c r="D126" s="8"/>
      <x:c r="E126" s="8"/>
      <x:c r="F126" s="8"/>
      <x:c r="G126" s="8"/>
      <x:c r="H126" s="8"/>
      <x:c r="I126" s="8"/>
      <x:c r="J126" s="1"/>
      <x:c r="K126" s="1"/>
    </x:row>
    <x:row r="127" ht="30" customHeight="1">
      <x:c r="A127" s="1"/>
      <x:c r="B127" s="1"/>
      <x:c r="C127" s="64"/>
      <x:c r="D127" s="8"/>
      <x:c r="E127" s="8"/>
      <x:c r="F127" s="8"/>
      <x:c r="G127" s="8"/>
      <x:c r="H127" s="8"/>
      <x:c r="I127" s="8"/>
      <x:c r="J127" s="1"/>
      <x:c r="K127" s="1"/>
    </x:row>
    <x:row r="128" ht="30" customHeight="1">
      <x:c r="A128" s="1"/>
      <x:c r="B128" s="1"/>
      <x:c r="C128" s="64"/>
      <x:c r="D128" s="8"/>
      <x:c r="E128" s="8"/>
      <x:c r="F128" s="8"/>
      <x:c r="G128" s="8"/>
      <x:c r="H128" s="8"/>
      <x:c r="I128" s="8"/>
      <x:c r="J128" s="1"/>
      <x:c r="K128" s="1"/>
    </x:row>
    <x:row r="129" ht="30" customHeight="1">
      <x:c r="A129" s="1"/>
      <x:c r="B129" s="1"/>
      <x:c r="C129" s="64"/>
      <x:c r="D129" s="8"/>
      <x:c r="E129" s="8"/>
      <x:c r="F129" s="8"/>
      <x:c r="G129" s="8"/>
      <x:c r="H129" s="8"/>
      <x:c r="I129" s="8"/>
      <x:c r="J129" s="1"/>
      <x:c r="K129" s="1"/>
    </x:row>
    <x:row r="130" ht="30" customHeight="1">
      <x:c r="A130" s="1"/>
      <x:c r="B130" s="1"/>
      <x:c r="C130" s="64"/>
      <x:c r="D130" s="8"/>
      <x:c r="E130" s="8"/>
      <x:c r="F130" s="8"/>
      <x:c r="G130" s="8"/>
      <x:c r="H130" s="8"/>
      <x:c r="I130" s="8"/>
      <x:c r="J130" s="1"/>
      <x:c r="K130" s="1"/>
    </x:row>
    <x:row r="131" ht="30" customHeight="1">
      <x:c r="A131" s="1"/>
      <x:c r="B131" s="1"/>
      <x:c r="C131" s="64"/>
      <x:c r="D131" s="8"/>
      <x:c r="E131" s="8"/>
      <x:c r="F131" s="8"/>
      <x:c r="G131" s="8"/>
      <x:c r="H131" s="8"/>
      <x:c r="I131" s="8"/>
      <x:c r="J131" s="1"/>
      <x:c r="K131" s="1"/>
    </x:row>
    <x:row r="132" ht="30" customHeight="1">
      <x:c r="A132" s="1"/>
      <x:c r="B132" s="1"/>
      <x:c r="C132" s="64"/>
      <x:c r="D132" s="8"/>
      <x:c r="E132" s="8"/>
      <x:c r="F132" s="8"/>
      <x:c r="G132" s="8"/>
      <x:c r="H132" s="8"/>
      <x:c r="I132" s="8"/>
      <x:c r="J132" s="1"/>
      <x:c r="K132" s="1"/>
    </x:row>
    <x:row r="133" ht="30" customHeight="1">
      <x:c r="A133" s="1"/>
      <x:c r="B133" s="1"/>
      <x:c r="C133" s="64"/>
      <x:c r="D133" s="8"/>
      <x:c r="E133" s="8"/>
      <x:c r="F133" s="8"/>
      <x:c r="G133" s="8"/>
      <x:c r="H133" s="8"/>
      <x:c r="I133" s="8"/>
      <x:c r="J133" s="1"/>
      <x:c r="K133" s="1"/>
    </x:row>
    <x:row r="134" ht="30" customHeight="1">
      <x:c r="A134" s="1"/>
      <x:c r="B134" s="1"/>
      <x:c r="C134" s="64"/>
      <x:c r="D134" s="8"/>
      <x:c r="E134" s="8"/>
      <x:c r="F134" s="8"/>
      <x:c r="G134" s="8"/>
      <x:c r="H134" s="8"/>
      <x:c r="I134" s="8"/>
      <x:c r="J134" s="1"/>
      <x:c r="K134" s="1"/>
    </x:row>
    <x:row r="135" ht="30" customHeight="1">
      <x:c r="A135" s="1"/>
      <x:c r="B135" s="1"/>
      <x:c r="C135" s="64"/>
      <x:c r="D135" s="8"/>
      <x:c r="E135" s="8"/>
      <x:c r="F135" s="8"/>
      <x:c r="G135" s="8"/>
      <x:c r="H135" s="8"/>
      <x:c r="I135" s="8"/>
      <x:c r="J135" s="1"/>
      <x:c r="K135" s="1"/>
    </x:row>
    <x:row r="136" ht="30" customHeight="1">
      <x:c r="A136" s="1"/>
      <x:c r="B136" s="1"/>
      <x:c r="C136" s="64"/>
      <x:c r="D136" s="8"/>
      <x:c r="E136" s="8"/>
      <x:c r="F136" s="8"/>
      <x:c r="G136" s="8"/>
      <x:c r="H136" s="8"/>
      <x:c r="I136" s="8"/>
      <x:c r="J136" s="1"/>
      <x:c r="K136" s="1"/>
    </x:row>
    <x:row r="137" ht="30" customHeight="1">
      <x:c r="A137" s="1"/>
      <x:c r="B137" s="1"/>
      <x:c r="C137" s="64"/>
      <x:c r="D137" s="8"/>
      <x:c r="E137" s="8"/>
      <x:c r="F137" s="8"/>
      <x:c r="G137" s="8"/>
      <x:c r="H137" s="8"/>
      <x:c r="I137" s="8"/>
      <x:c r="J137" s="1"/>
      <x:c r="K137" s="1"/>
    </x:row>
    <x:row r="138" ht="30" customHeight="1">
      <x:c r="A138" s="1"/>
      <x:c r="B138" s="1"/>
      <x:c r="C138" s="64"/>
      <x:c r="D138" s="8"/>
      <x:c r="E138" s="8"/>
      <x:c r="F138" s="8"/>
      <x:c r="G138" s="8"/>
      <x:c r="H138" s="8"/>
      <x:c r="I138" s="8"/>
      <x:c r="J138" s="1"/>
      <x:c r="K138" s="1"/>
    </x:row>
    <x:row r="139" ht="25" customHeight="1">
      <x:c r="A139" s="1"/>
      <x:c r="B139" s="1"/>
      <x:c r="C139" s="68" t="str">
        <x:v>CASH TAX SCHEDULE</x:v>
      </x:c>
      <x:c r="D139" s="69"/>
      <x:c r="E139" s="69"/>
      <x:c r="F139" s="69"/>
      <x:c r="G139" s="69"/>
      <x:c r="H139" s="69"/>
      <x:c r="I139" s="69"/>
      <x:c r="J139" s="1"/>
      <x:c r="K139" s="1"/>
    </x:row>
    <x:row r="140" ht="30" customHeight="1">
      <x:c r="A140" s="1"/>
      <x:c r="B140" s="1"/>
      <x:c r="C140" s="64" t="str">
        <x:v>Opening usable tax losses</x:v>
      </x:c>
      <x:c r="D140" s="8"/>
      <x:c r="E140" s="8" t="n">
        <x:f>$D$116</x:f>
        <x:v>0</x:v>
      </x:c>
      <x:c r="F140" s="8" t="n">
        <x:f>E145</x:f>
        <x:v>0</x:v>
      </x:c>
      <x:c r="G140" s="8" t="n">
        <x:f>F145</x:f>
        <x:v>0</x:v>
      </x:c>
      <x:c r="H140" s="8" t="n">
        <x:f>G145</x:f>
        <x:v>0</x:v>
      </x:c>
      <x:c r="I140" s="8" t="n">
        <x:f>H145</x:f>
        <x:v>0</x:v>
      </x:c>
      <x:c r="J140" s="1"/>
      <x:c r="K140" s="1"/>
    </x:row>
    <x:row r="141" ht="30" customHeight="1">
      <x:c r="A141" s="1"/>
      <x:c r="B141" s="1"/>
      <x:c r="C141" s="64" t="str">
        <x:v>Profit before tax for loss utilization</x:v>
      </x:c>
      <x:c r="D141" s="8"/>
      <x:c r="E141" s="8" t="n">
        <x:f>E53</x:f>
        <x:v>265.2599999999999</x:v>
      </x:c>
      <x:c r="F141" s="8" t="n">
        <x:f>F53</x:f>
        <x:v>301.5092999999998</x:v>
      </x:c>
      <x:c r="G141" s="8" t="n">
        <x:f>G53</x:f>
        <x:v>349.0220414999999</x:v>
      </x:c>
      <x:c r="H141" s="8" t="n">
        <x:f>H53</x:f>
        <x:v>407.8506179325001</x:v>
      </x:c>
      <x:c r="I141" s="8" t="n">
        <x:f>I53</x:f>
        <x:v>478.5635757120376</x:v>
      </x:c>
      <x:c r="J141" s="1"/>
      <x:c r="K141" s="1"/>
    </x:row>
    <x:row r="142" ht="30" customHeight="1">
      <x:c r="A142" s="1"/>
      <x:c r="B142" s="1"/>
      <x:c r="C142" s="64" t="str">
        <x:v>Tax losses utilized</x:v>
      </x:c>
      <x:c r="D142" s="8"/>
      <x:c r="E142" s="8" t="n">
        <x:f>MIN(E140,MAX(0,E141)*$D$117)</x:f>
        <x:v>0</x:v>
      </x:c>
      <x:c r="F142" s="8" t="n">
        <x:f>MIN(F140,MAX(0,F141)*$D$117)</x:f>
        <x:v>0</x:v>
      </x:c>
      <x:c r="G142" s="8" t="n">
        <x:f>MIN(G140,MAX(0,G141)*$D$117)</x:f>
        <x:v>0</x:v>
      </x:c>
      <x:c r="H142" s="8" t="n">
        <x:f>MIN(H140,MAX(0,H141)*$D$117)</x:f>
        <x:v>0</x:v>
      </x:c>
      <x:c r="I142" s="8" t="n">
        <x:f>MIN(I140,MAX(0,I141)*$D$117)</x:f>
        <x:v>0</x:v>
      </x:c>
      <x:c r="J142" s="1"/>
      <x:c r="K142" s="1"/>
    </x:row>
    <x:row r="143" ht="30" customHeight="1">
      <x:c r="A143" s="1"/>
      <x:c r="B143" s="1"/>
      <x:c r="C143" s="64" t="str">
        <x:v>Taxable profit after loss utilization</x:v>
      </x:c>
      <x:c r="D143" s="8"/>
      <x:c r="E143" s="8" t="n">
        <x:f>MAX(0,E141-E142)</x:f>
        <x:v>265.2599999999999</x:v>
      </x:c>
      <x:c r="F143" s="8" t="n">
        <x:f>MAX(0,F141-F142)</x:f>
        <x:v>301.5092999999998</x:v>
      </x:c>
      <x:c r="G143" s="8" t="n">
        <x:f>MAX(0,G141-G142)</x:f>
        <x:v>349.0220414999999</x:v>
      </x:c>
      <x:c r="H143" s="8" t="n">
        <x:f>MAX(0,H141-H142)</x:f>
        <x:v>407.8506179325001</x:v>
      </x:c>
      <x:c r="I143" s="8" t="n">
        <x:f>MAX(0,I141-I142)</x:f>
        <x:v>478.5635757120376</x:v>
      </x:c>
      <x:c r="J143" s="1"/>
      <x:c r="K143" s="1"/>
    </x:row>
    <x:row r="144" ht="30" customHeight="1">
      <x:c r="A144" s="1"/>
      <x:c r="B144" s="1"/>
      <x:c r="C144" s="64" t="str">
        <x:v>Cash income tax after loss utilization</x:v>
      </x:c>
      <x:c r="D144" s="8"/>
      <x:c r="E144" s="8" t="n">
        <x:f>E143*E35</x:f>
        <x:v>66.31499999999997</x:v>
      </x:c>
      <x:c r="F144" s="8" t="n">
        <x:f>F143*F35</x:f>
        <x:v>75.37732499999996</x:v>
      </x:c>
      <x:c r="G144" s="8" t="n">
        <x:f>G143*G35</x:f>
        <x:v>87.25551037499997</x:v>
      </x:c>
      <x:c r="H144" s="8" t="n">
        <x:f>H143*H35</x:f>
        <x:v>101.96265448312502</x:v>
      </x:c>
      <x:c r="I144" s="8" t="n">
        <x:f>I143*I35</x:f>
        <x:v>119.6408939280094</x:v>
      </x:c>
      <x:c r="J144" s="1"/>
      <x:c r="K144" s="1"/>
    </x:row>
    <x:row r="145" ht="30" customHeight="1">
      <x:c r="A145" s="1"/>
      <x:c r="B145" s="1"/>
      <x:c r="C145" s="64" t="str">
        <x:v>Closing usable tax losses</x:v>
      </x:c>
      <x:c r="D145" s="8"/>
      <x:c r="E145" s="8" t="n">
        <x:f>E140-E142+MAX(0,-E141)</x:f>
        <x:v>0</x:v>
      </x:c>
      <x:c r="F145" s="8" t="n">
        <x:f>F140-F142+MAX(0,-F141)</x:f>
        <x:v>0</x:v>
      </x:c>
      <x:c r="G145" s="8" t="n">
        <x:f>G140-G142+MAX(0,-G141)</x:f>
        <x:v>0</x:v>
      </x:c>
      <x:c r="H145" s="8" t="n">
        <x:f>H140-H142+MAX(0,-H141)</x:f>
        <x:v>0</x:v>
      </x:c>
      <x:c r="I145" s="8" t="n">
        <x:f>I140-I142+MAX(0,-I141)</x:f>
        <x:v>0</x:v>
      </x:c>
      <x:c r="J145" s="1"/>
      <x:c r="K145" s="1"/>
    </x:row>
    <x:row r="146" ht="30" customHeight="1">
      <x:c r="A146" s="1"/>
      <x:c r="B146" s="1"/>
      <x:c r="C146" s="64"/>
      <x:c r="D146" s="8"/>
      <x:c r="E146" s="8"/>
      <x:c r="F146" s="8"/>
      <x:c r="G146" s="8"/>
      <x:c r="H146" s="8"/>
      <x:c r="I146" s="8"/>
      <x:c r="J146" s="1"/>
      <x:c r="K146" s="1"/>
    </x:row>
    <x:row r="147" ht="25" customHeight="1">
      <x:c r="A147" s="1"/>
      <x:c r="B147" s="1"/>
      <x:c r="C147" s="68" t="str">
        <x:v>MODEL CHECKS</x:v>
      </x:c>
      <x:c r="D147" s="69"/>
      <x:c r="E147" s="69"/>
      <x:c r="F147" s="69"/>
      <x:c r="G147" s="69"/>
      <x:c r="H147" s="69"/>
      <x:c r="I147" s="69"/>
      <x:c r="J147" s="1"/>
      <x:c r="K147" s="1"/>
    </x:row>
    <x:row r="148" ht="30" customHeight="1">
      <x:c r="A148" s="1"/>
      <x:c r="B148" s="1"/>
      <x:c r="C148" s="64" t="str">
        <x:v>Debt below zero</x:v>
      </x:c>
      <x:c r="D148" s="8"/>
      <x:c r="E148" s="8" t="n">
        <x:f>MAX(0,-E123)</x:f>
        <x:v>0</x:v>
      </x:c>
      <x:c r="F148" s="8" t="n">
        <x:f>MAX(0,-F123)</x:f>
        <x:v>0</x:v>
      </x:c>
      <x:c r="G148" s="8" t="n">
        <x:f>MAX(0,-G123)</x:f>
        <x:v>0</x:v>
      </x:c>
      <x:c r="H148" s="8" t="n">
        <x:f>MAX(0,-H123)</x:f>
        <x:v>0</x:v>
      </x:c>
      <x:c r="I148" s="8" t="n">
        <x:f>MAX(0,-I123)</x:f>
        <x:v>0</x:v>
      </x:c>
      <x:c r="J148" s="1"/>
      <x:c r="K148" s="1"/>
    </x:row>
    <x:row r="149" ht="30" customHeight="1">
      <x:c r="A149" s="1"/>
      <x:c r="B149" s="1"/>
      <x:c r="C149" s="64"/>
      <x:c r="D149" s="8"/>
      <x:c r="E149" s="8"/>
      <x:c r="F149" s="8"/>
      <x:c r="G149" s="8"/>
      <x:c r="H149" s="8"/>
      <x:c r="I149" s="8"/>
      <x:c r="J149" s="1"/>
      <x:c r="K149" s="1"/>
    </x:row>
    <x:row r="150" ht="30" customHeight="1">
      <x:c r="A150" s="1"/>
      <x:c r="B150" s="1"/>
      <x:c r="C150" s="64"/>
      <x:c r="D150" s="8"/>
      <x:c r="E150" s="8"/>
      <x:c r="F150" s="8"/>
      <x:c r="G150" s="8"/>
      <x:c r="H150" s="8"/>
      <x:c r="I150" s="8"/>
      <x:c r="J150" s="1"/>
      <x:c r="K150" s="1"/>
    </x:row>
    <x:row r="151" ht="30" customHeight="1">
      <x:c r="A151" s="1"/>
      <x:c r="B151" s="1"/>
      <x:c r="C151" s="64"/>
      <x:c r="D151" s="8"/>
      <x:c r="E151" s="8"/>
      <x:c r="F151" s="8"/>
      <x:c r="G151" s="8"/>
      <x:c r="H151" s="8"/>
      <x:c r="I151" s="8"/>
      <x:c r="J151" s="1"/>
      <x:c r="K151" s="1"/>
    </x:row>
    <x:row r="152" ht="30" customHeight="1">
      <x:c r="A152" s="1"/>
      <x:c r="B152" s="1"/>
      <x:c r="C152" s="64"/>
      <x:c r="D152" s="8"/>
      <x:c r="E152" s="8"/>
      <x:c r="F152" s="8"/>
      <x:c r="G152" s="8"/>
      <x:c r="H152" s="8"/>
      <x:c r="I152" s="8"/>
      <x:c r="J152" s="1"/>
      <x:c r="K152" s="1"/>
    </x:row>
    <x:row r="153" ht="30" customHeight="1">
      <x:c r="A153" s="1"/>
      <x:c r="B153" s="1"/>
      <x:c r="C153" s="64"/>
      <x:c r="D153" s="8"/>
      <x:c r="E153" s="8"/>
      <x:c r="F153" s="8"/>
      <x:c r="G153" s="8"/>
      <x:c r="H153" s="8"/>
      <x:c r="I153" s="8"/>
      <x:c r="J153" s="1"/>
      <x:c r="K153" s="1"/>
    </x:row>
    <x:row r="154" ht="30" customHeight="1">
      <x:c r="A154" s="1"/>
      <x:c r="B154" s="1"/>
      <x:c r="C154" s="64"/>
      <x:c r="D154" s="8"/>
      <x:c r="E154" s="8"/>
      <x:c r="F154" s="8"/>
      <x:c r="G154" s="8"/>
      <x:c r="H154" s="8"/>
      <x:c r="I154" s="8"/>
      <x:c r="J154" s="1"/>
      <x:c r="K154" s="1"/>
    </x:row>
    <x:row r="155" ht="30" customHeight="1">
      <x:c r="A155" s="1"/>
      <x:c r="B155" s="1"/>
      <x:c r="C155" s="64"/>
      <x:c r="D155" s="8"/>
      <x:c r="E155" s="8"/>
      <x:c r="F155" s="8"/>
      <x:c r="G155" s="8"/>
      <x:c r="H155" s="8"/>
      <x:c r="I155" s="8"/>
      <x:c r="J155" s="1"/>
      <x:c r="K155" s="1"/>
    </x:row>
    <x:row r="156" ht="30" customHeight="1">
      <x:c r="A156" s="1"/>
      <x:c r="B156" s="1"/>
      <x:c r="C156" s="64"/>
      <x:c r="D156" s="8"/>
      <x:c r="E156" s="8"/>
      <x:c r="F156" s="8"/>
      <x:c r="G156" s="8"/>
      <x:c r="H156" s="8"/>
      <x:c r="I156" s="8"/>
      <x:c r="J156" s="1"/>
      <x:c r="K156" s="1"/>
    </x:row>
    <x:row r="157" ht="30" customHeight="1">
      <x:c r="A157" s="1"/>
      <x:c r="B157" s="1"/>
      <x:c r="C157" s="64"/>
      <x:c r="D157" s="8"/>
      <x:c r="E157" s="8"/>
      <x:c r="F157" s="8"/>
      <x:c r="G157" s="8"/>
      <x:c r="H157" s="8"/>
      <x:c r="I157" s="8"/>
      <x:c r="J157" s="1"/>
      <x:c r="K157" s="1"/>
    </x:row>
    <x:row r="158" ht="30" customHeight="1">
      <x:c r="A158" s="1"/>
      <x:c r="B158" s="1"/>
      <x:c r="C158" s="64"/>
      <x:c r="D158" s="8"/>
      <x:c r="E158" s="8"/>
      <x:c r="F158" s="8"/>
      <x:c r="G158" s="8"/>
      <x:c r="H158" s="8"/>
      <x:c r="I158" s="8"/>
      <x:c r="J158" s="1"/>
      <x:c r="K158" s="1"/>
    </x:row>
    <x:row r="159" ht="25" customHeight="1">
      <x:c r="A159" s="1"/>
      <x:c r="B159" s="1"/>
      <x:c r="C159" s="68" t="str">
        <x:v>PROJECT COLLECTIONS AND COST ROLLFORWARD</x:v>
      </x:c>
      <x:c r="D159" s="69"/>
      <x:c r="E159" s="69"/>
      <x:c r="F159" s="69"/>
      <x:c r="G159" s="69"/>
      <x:c r="H159" s="69"/>
      <x:c r="I159" s="69"/>
      <x:c r="J159" s="1"/>
      <x:c r="K159" s="1"/>
    </x:row>
    <x:row r="160" ht="30" customHeight="1">
      <x:c r="A160" s="1"/>
      <x:c r="B160" s="1"/>
      <x:c r="C160" s="64" t="str">
        <x:v>Opening sold but unrecognized project value</x:v>
      </x:c>
      <x:c r="D160" s="8"/>
      <x:c r="E160" s="8" t="n">
        <x:f>$D$12</x:f>
        <x:v>5000</x:v>
      </x:c>
      <x:c r="F160" s="8" t="n">
        <x:f>E164</x:f>
        <x:v>5579</x:v>
      </x:c>
      <x:c r="G160" s="8" t="n">
        <x:f>F164</x:f>
        <x:v>6306.545000000001</x:v>
      </x:c>
      <x:c r="H160" s="8" t="n">
        <x:f>G164</x:f>
        <x:v>7188.019475000003</x:v>
      </x:c>
      <x:c r="I160" s="8" t="n">
        <x:f>H164</x:f>
        <x:v>8234.934493625004</x:v>
      </x:c>
      <x:c r="J160" s="1"/>
      <x:c r="K160" s="1" t="str">
        <x:v>Aggregate project portfolio rollforward, not a project-by-project construction model. Recognition requires company-specific accounting review.</x:v>
      </x:c>
    </x:row>
    <x:row r="161" ht="30" customHeight="1">
      <x:c r="A161" s="1"/>
      <x:c r="B161" s="1"/>
      <x:c r="C161" s="64" t="str">
        <x:v>New project sales booked</x:v>
      </x:c>
      <x:c r="D161" s="8"/>
      <x:c r="E161" s="8" t="n">
        <x:f>E42</x:f>
        <x:v>2079</x:v>
      </x:c>
      <x:c r="F161" s="8" t="n">
        <x:f>F42</x:f>
        <x:v>2401.2450000000003</x:v>
      </x:c>
      <x:c r="G161" s="8" t="n">
        <x:f>G42</x:f>
        <x:v>2773.437975000001</x:v>
      </x:c>
      <x:c r="H161" s="8" t="n">
        <x:f>H42</x:f>
        <x:v>3203.3208611250016</x:v>
      </x:c>
      <x:c r="I161" s="8" t="n">
        <x:f>I42</x:f>
        <x:v>3699.8355945993767</x:v>
      </x:c>
      <x:c r="J161" s="1"/>
      <x:c r="K161" s="1"/>
    </x:row>
    <x:row r="162" ht="30" customHeight="1">
      <x:c r="A162" s="1"/>
      <x:c r="B162" s="1"/>
      <x:c r="C162" s="64" t="str">
        <x:v>Opening sold value recognized</x:v>
      </x:c>
      <x:c r="D162" s="8"/>
      <x:c r="E162" s="8" t="n">
        <x:f>E160*E28</x:f>
        <x:v>1500</x:v>
      </x:c>
      <x:c r="F162" s="8" t="n">
        <x:f>F160*F28</x:f>
        <x:v>1673.7</x:v>
      </x:c>
      <x:c r="G162" s="8" t="n">
        <x:f>G160*G28</x:f>
        <x:v>1891.9635000000003</x:v>
      </x:c>
      <x:c r="H162" s="8" t="n">
        <x:f>H160*H28</x:f>
        <x:v>2156.4058425000007</x:v>
      </x:c>
      <x:c r="I162" s="8" t="n">
        <x:f>I160*I28</x:f>
        <x:v>2470.480348087501</x:v>
      </x:c>
      <x:c r="J162" s="1"/>
      <x:c r="K162" s="1"/>
    </x:row>
    <x:row r="163" ht="30" customHeight="1">
      <x:c r="A163" s="1"/>
      <x:c r="B163" s="1"/>
      <x:c r="C163" s="64" t="str">
        <x:v>New sales collections</x:v>
      </x:c>
      <x:c r="D163" s="8"/>
      <x:c r="E163" s="8" t="n">
        <x:f>E161*E29</x:f>
        <x:v>831.6</x:v>
      </x:c>
      <x:c r="F163" s="8" t="n">
        <x:f>F161*F29</x:f>
        <x:v>960.4980000000002</x:v>
      </x:c>
      <x:c r="G163" s="8" t="n">
        <x:f>G161*G29</x:f>
        <x:v>1109.3751900000004</x:v>
      </x:c>
      <x:c r="H163" s="8" t="n">
        <x:f>H161*H29</x:f>
        <x:v>1281.3283444500007</x:v>
      </x:c>
      <x:c r="I163" s="8" t="n">
        <x:f>I161*I29</x:f>
        <x:v>1479.9342378397507</x:v>
      </x:c>
      <x:c r="J163" s="1"/>
      <x:c r="K163" s="1"/>
    </x:row>
    <x:row r="164" ht="30" customHeight="1">
      <x:c r="A164" s="1"/>
      <x:c r="B164" s="1"/>
      <x:c r="C164" s="64" t="str">
        <x:v>Closing sold but unrecognized project value</x:v>
      </x:c>
      <x:c r="D164" s="8"/>
      <x:c r="E164" s="8" t="n">
        <x:f>E160+E161-E162</x:f>
        <x:v>5579</x:v>
      </x:c>
      <x:c r="F164" s="8" t="n">
        <x:f>F160+F161-F162</x:f>
        <x:v>6306.545000000001</x:v>
      </x:c>
      <x:c r="G164" s="8" t="n">
        <x:f>G160+G161-G162</x:f>
        <x:v>7188.019475000003</x:v>
      </x:c>
      <x:c r="H164" s="8" t="n">
        <x:f>H160+H161-H162</x:f>
        <x:v>8234.934493625004</x:v>
      </x:c>
      <x:c r="I164" s="8" t="n">
        <x:f>I160+I161-I162</x:f>
        <x:v>9464.28974013688</x:v>
      </x:c>
      <x:c r="J164" s="1"/>
      <x:c r="K164" s="1"/>
    </x:row>
    <x:row r="165" ht="30" customHeight="1">
      <x:c r="A165" s="1"/>
      <x:c r="B165" s="1"/>
      <x:c r="C165" s="64" t="str">
        <x:v>Opening backlog collections</x:v>
      </x:c>
      <x:c r="D165" s="8"/>
      <x:c r="E165" s="8" t="n">
        <x:f>E160*E30</x:f>
        <x:v>1000</x:v>
      </x:c>
      <x:c r="F165" s="8" t="n">
        <x:f>F160*F30</x:f>
        <x:v>1115.8</x:v>
      </x:c>
      <x:c r="G165" s="8" t="n">
        <x:f>G160*G30</x:f>
        <x:v>1261.3090000000002</x:v>
      </x:c>
      <x:c r="H165" s="8" t="n">
        <x:f>H160*H30</x:f>
        <x:v>1437.6038950000006</x:v>
      </x:c>
      <x:c r="I165" s="8" t="n">
        <x:f>I160*I30</x:f>
        <x:v>1646.9868987250009</x:v>
      </x:c>
      <x:c r="J165" s="1"/>
      <x:c r="K165" s="1"/>
    </x:row>
    <x:row r="166" ht="30" customHeight="1">
      <x:c r="A166" s="1"/>
      <x:c r="B166" s="1"/>
      <x:c r="C166" s="64" t="str">
        <x:v>Total project collections</x:v>
      </x:c>
      <x:c r="D166" s="8"/>
      <x:c r="E166" s="8" t="n">
        <x:f>E163+E165</x:f>
        <x:v>1831.6</x:v>
      </x:c>
      <x:c r="F166" s="8" t="n">
        <x:f>F163+F165</x:f>
        <x:v>2076.2980000000002</x:v>
      </x:c>
      <x:c r="G166" s="8" t="n">
        <x:f>G163+G165</x:f>
        <x:v>2370.684190000001</x:v>
      </x:c>
      <x:c r="H166" s="8" t="n">
        <x:f>H163+H165</x:f>
        <x:v>2718.9322394500014</x:v>
      </x:c>
      <x:c r="I166" s="8" t="n">
        <x:f>I163+I165</x:f>
        <x:v>3126.9211365647516</x:v>
      </x:c>
      <x:c r="J166" s="1"/>
      <x:c r="K166" s="1"/>
    </x:row>
    <x:row r="167" ht="30" customHeight="1">
      <x:c r="A167" s="1"/>
      <x:c r="B167" s="1"/>
      <x:c r="C167" s="64" t="str">
        <x:v>Project cash construction and land cost</x:v>
      </x:c>
      <x:c r="D167" s="8"/>
      <x:c r="E167" s="8" t="n">
        <x:f>E161*E32</x:f>
        <x:v>1143.45</x:v>
      </x:c>
      <x:c r="F167" s="8" t="n">
        <x:f>F161*F32</x:f>
        <x:v>1320.6847500000003</x:v>
      </x:c>
      <x:c r="G167" s="8" t="n">
        <x:f>G161*G32</x:f>
        <x:v>1525.3908862500007</x:v>
      </x:c>
      <x:c r="H167" s="8" t="n">
        <x:f>H161*H32</x:f>
        <x:v>1761.826473618751</x:v>
      </x:c>
      <x:c r="I167" s="8" t="n">
        <x:f>I161*I32</x:f>
        <x:v>2034.9095770296574</x:v>
      </x:c>
      <x:c r="J167" s="1"/>
      <x:c r="K167" s="1"/>
    </x:row>
    <x:row r="168" ht="30" customHeight="1">
      <x:c r="A168" s="1"/>
      <x:c r="B168" s="1"/>
      <x:c r="C168" s="64"/>
      <x:c r="D168" s="8"/>
      <x:c r="E168" s="8"/>
      <x:c r="F168" s="8"/>
      <x:c r="G168" s="8"/>
      <x:c r="H168" s="8"/>
      <x:c r="I168" s="8"/>
      <x:c r="J168" s="1"/>
      <x:c r="K168" s="1"/>
    </x:row>
    <x:row r="169" ht="30" customHeight="1">
      <x:c r="A169" s="1"/>
      <x:c r="B169" s="1"/>
      <x:c r="C169" s="64"/>
      <x:c r="D169" s="8"/>
      <x:c r="E169" s="8"/>
      <x:c r="F169" s="8"/>
      <x:c r="G169" s="8"/>
      <x:c r="H169" s="8"/>
      <x:c r="I169" s="8"/>
      <x:c r="J169" s="1"/>
      <x:c r="K169" s="1"/>
    </x:row>
    <x:row r="170" ht="30" customHeight="1">
      <x:c r="A170" s="1"/>
      <x:c r="B170" s="1"/>
      <x:c r="C170" s="64"/>
      <x:c r="D170" s="8"/>
      <x:c r="E170" s="8"/>
      <x:c r="F170" s="8"/>
      <x:c r="G170" s="8"/>
      <x:c r="H170" s="8"/>
      <x:c r="I170" s="8"/>
      <x:c r="J170" s="1"/>
      <x:c r="K170" s="1"/>
    </x:row>
    <x:row r="171" ht="30" customHeight="1">
      <x:c r="A171" s="1"/>
      <x:c r="B171" s="1"/>
      <x:c r="C171" s="64"/>
      <x:c r="D171" s="8"/>
      <x:c r="E171" s="8"/>
      <x:c r="F171" s="8"/>
      <x:c r="G171" s="8"/>
      <x:c r="H171" s="8"/>
      <x:c r="I171" s="8"/>
      <x:c r="J171" s="1"/>
      <x:c r="K171" s="1"/>
    </x:row>
    <x:row r="172" ht="30" customHeight="1">
      <x:c r="A172" s="1"/>
      <x:c r="B172" s="1"/>
      <x:c r="C172" s="64"/>
      <x:c r="D172" s="8"/>
      <x:c r="E172" s="8"/>
      <x:c r="F172" s="8"/>
      <x:c r="G172" s="8"/>
      <x:c r="H172" s="8"/>
      <x:c r="I172" s="8"/>
      <x:c r="J172" s="1"/>
      <x:c r="K172" s="1"/>
    </x:row>
    <x:row r="173" ht="30" customHeight="1">
      <x:c r="A173" s="1"/>
      <x:c r="B173" s="1"/>
      <x:c r="C173" s="64"/>
      <x:c r="D173" s="8"/>
      <x:c r="E173" s="8"/>
      <x:c r="F173" s="8"/>
      <x:c r="G173" s="8"/>
      <x:c r="H173" s="8"/>
      <x:c r="I173" s="8"/>
      <x:c r="J173" s="1"/>
      <x:c r="K173" s="1"/>
    </x:row>
    <x:row r="174" ht="30" customHeight="1">
      <x:c r="A174" s="1"/>
      <x:c r="B174" s="1"/>
      <x:c r="C174" s="64"/>
      <x:c r="D174" s="8"/>
      <x:c r="E174" s="8"/>
      <x:c r="F174" s="8"/>
      <x:c r="G174" s="8"/>
      <x:c r="H174" s="8"/>
      <x:c r="I174" s="8"/>
      <x:c r="J174" s="1"/>
      <x:c r="K174" s="1"/>
    </x:row>
    <x:row r="175" ht="30" customHeight="1">
      <x:c r="A175" s="1"/>
      <x:c r="B175" s="1"/>
      <x:c r="C175" s="64"/>
      <x:c r="D175" s="8"/>
      <x:c r="E175" s="8"/>
      <x:c r="F175" s="8"/>
      <x:c r="G175" s="8"/>
      <x:c r="H175" s="8"/>
      <x:c r="I175" s="8"/>
      <x:c r="J175" s="1"/>
      <x:c r="K175" s="1"/>
    </x:row>
    <x:row r="176" ht="30" customHeight="1">
      <x:c r="A176" s="1"/>
      <x:c r="B176" s="1"/>
      <x:c r="C176" s="64"/>
      <x:c r="D176" s="8"/>
      <x:c r="E176" s="8"/>
      <x:c r="F176" s="8"/>
      <x:c r="G176" s="8"/>
      <x:c r="H176" s="8"/>
      <x:c r="I176" s="8"/>
      <x:c r="J176" s="1"/>
      <x:c r="K176" s="1"/>
    </x:row>
    <x:row r="177" ht="30" customHeight="1">
      <x:c r="A177" s="1"/>
      <x:c r="B177" s="1"/>
      <x:c r="C177" s="64"/>
      <x:c r="D177" s="8"/>
      <x:c r="E177" s="8"/>
      <x:c r="F177" s="8"/>
      <x:c r="G177" s="8"/>
      <x:c r="H177" s="8"/>
      <x:c r="I177" s="8"/>
      <x:c r="J177" s="1"/>
      <x:c r="K177" s="1"/>
    </x:row>
    <x:row r="178" ht="30" customHeight="1">
      <x:c r="A178" s="1"/>
      <x:c r="B178" s="1"/>
      <x:c r="C178" s="64"/>
      <x:c r="D178" s="8"/>
      <x:c r="E178" s="8"/>
      <x:c r="F178" s="8"/>
      <x:c r="G178" s="8"/>
      <x:c r="H178" s="8"/>
      <x:c r="I178" s="8"/>
      <x:c r="J178" s="1"/>
      <x:c r="K178" s="1"/>
    </x:row>
    <x:row r="179" ht="25" customHeight="1">
      <x:c r="A179" s="1"/>
      <x:c r="B179" s="1"/>
      <x:c r="C179" s="68" t="str">
        <x:v>MODEL CHECKS</x:v>
      </x:c>
      <x:c r="D179" s="69"/>
      <x:c r="E179" s="69"/>
      <x:c r="F179" s="69"/>
      <x:c r="G179" s="69"/>
      <x:c r="H179" s="69"/>
      <x:c r="I179" s="69"/>
      <x:c r="J179" s="1"/>
      <x:c r="K179" s="1"/>
    </x:row>
    <x:row r="180" ht="30" customHeight="1">
      <x:c r="A180" s="1"/>
      <x:c r="B180" s="1"/>
      <x:c r="C180" s="64" t="str">
        <x:v>Annual sales area — seed (million sq ft) input outside bounds</x:v>
      </x:c>
      <x:c r="D180" s="8"/>
      <x:c r="E180" s="75" t="n">
        <x:f>IF(COUNT(D10)=0,1,IF(D10&lt;0,1,0))</x:f>
        <x:v>0</x:v>
      </x:c>
      <x:c r="F180" s="75" t="n">
        <x:f>IF(COUNT(D10)=0,1,IF(D10&lt;0,1,0))</x:f>
        <x:v>0</x:v>
      </x:c>
      <x:c r="G180" s="75" t="n">
        <x:f>IF(COUNT(D10)=0,1,IF(D10&lt;0,1,0))</x:f>
        <x:v>0</x:v>
      </x:c>
      <x:c r="H180" s="75" t="n">
        <x:f>IF(COUNT(D10)=0,1,IF(D10&lt;0,1,0))</x:f>
        <x:v>0</x:v>
      </x:c>
      <x:c r="I180" s="75" t="n">
        <x:f>IF(COUNT(D10)=0,1,IF(D10&lt;0,1,0))</x:f>
        <x:v>0</x:v>
      </x:c>
      <x:c r="J180" s="1"/>
      <x:c r="K180" s="1"/>
    </x:row>
    <x:row r="181" ht="30" customHeight="1">
      <x:c r="A181" s="1"/>
      <x:c r="B181" s="1"/>
      <x:c r="C181" s="64" t="str">
        <x:v>Selling price — seed (INR / sq ft) input outside bounds</x:v>
      </x:c>
      <x:c r="D181" s="8"/>
      <x:c r="E181" s="75" t="n">
        <x:f>IF(COUNT(D11)=0,1,IF(D11&lt;0,1,0))</x:f>
        <x:v>0</x:v>
      </x:c>
      <x:c r="F181" s="75" t="n">
        <x:f>IF(COUNT(D11)=0,1,IF(D11&lt;0,1,0))</x:f>
        <x:v>0</x:v>
      </x:c>
      <x:c r="G181" s="75" t="n">
        <x:f>IF(COUNT(D11)=0,1,IF(D11&lt;0,1,0))</x:f>
        <x:v>0</x:v>
      </x:c>
      <x:c r="H181" s="75" t="n">
        <x:f>IF(COUNT(D11)=0,1,IF(D11&lt;0,1,0))</x:f>
        <x:v>0</x:v>
      </x:c>
      <x:c r="I181" s="75" t="n">
        <x:f>IF(COUNT(D11)=0,1,IF(D11&lt;0,1,0))</x:f>
        <x:v>0</x:v>
      </x:c>
      <x:c r="J181" s="1"/>
      <x:c r="K181" s="1"/>
    </x:row>
    <x:row r="182" ht="30" customHeight="1">
      <x:c r="A182" s="1"/>
      <x:c r="B182" s="1"/>
      <x:c r="C182" s="64" t="str">
        <x:v>Opening unrecognized sales value input outside bounds</x:v>
      </x:c>
      <x:c r="D182" s="8"/>
      <x:c r="E182" s="75" t="n">
        <x:f>IF(COUNT(D12)=0,1,IF(D12&lt;0,1,0))</x:f>
        <x:v>0</x:v>
      </x:c>
      <x:c r="F182" s="75" t="n">
        <x:f>IF(COUNT(D12)=0,1,IF(D12&lt;0,1,0))</x:f>
        <x:v>0</x:v>
      </x:c>
      <x:c r="G182" s="75" t="n">
        <x:f>IF(COUNT(D12)=0,1,IF(D12&lt;0,1,0))</x:f>
        <x:v>0</x:v>
      </x:c>
      <x:c r="H182" s="75" t="n">
        <x:f>IF(COUNT(D12)=0,1,IF(D12&lt;0,1,0))</x:f>
        <x:v>0</x:v>
      </x:c>
      <x:c r="I182" s="75" t="n">
        <x:f>IF(COUNT(D12)=0,1,IF(D12&lt;0,1,0))</x:f>
        <x:v>0</x:v>
      </x:c>
      <x:c r="J182" s="1"/>
      <x:c r="K182" s="1"/>
    </x:row>
    <x:row r="183" ht="30" customHeight="1">
      <x:c r="A183" s="1"/>
      <x:c r="B183" s="1"/>
      <x:c r="C183" s="64" t="str">
        <x:v>Opening project inventory input outside bounds</x:v>
      </x:c>
      <x:c r="D183" s="8"/>
      <x:c r="E183" s="75" t="n">
        <x:f>IF(COUNT(D13)=0,1,IF(D13&lt;0,1,0))</x:f>
        <x:v>0</x:v>
      </x:c>
      <x:c r="F183" s="75" t="n">
        <x:f>IF(COUNT(D13)=0,1,IF(D13&lt;0,1,0))</x:f>
        <x:v>0</x:v>
      </x:c>
      <x:c r="G183" s="75" t="n">
        <x:f>IF(COUNT(D13)=0,1,IF(D13&lt;0,1,0))</x:f>
        <x:v>0</x:v>
      </x:c>
      <x:c r="H183" s="75" t="n">
        <x:f>IF(COUNT(D13)=0,1,IF(D13&lt;0,1,0))</x:f>
        <x:v>0</x:v>
      </x:c>
      <x:c r="I183" s="75" t="n">
        <x:f>IF(COUNT(D13)=0,1,IF(D13&lt;0,1,0))</x:f>
        <x:v>0</x:v>
      </x:c>
      <x:c r="J183" s="1"/>
      <x:c r="K183" s="1"/>
    </x:row>
    <x:row r="184" ht="30" customHeight="1">
      <x:c r="A184" s="1"/>
      <x:c r="B184" s="1"/>
      <x:c r="C184" s="64" t="str">
        <x:v>Opening cash input outside bounds</x:v>
      </x:c>
      <x:c r="D184" s="8"/>
      <x:c r="E184" s="75" t="n">
        <x:f>IF(COUNT(D15)=0,1,IF(D15&lt;0,1,0))</x:f>
        <x:v>0</x:v>
      </x:c>
      <x:c r="F184" s="75" t="n">
        <x:f>IF(COUNT(D15)=0,1,IF(D15&lt;0,1,0))</x:f>
        <x:v>0</x:v>
      </x:c>
      <x:c r="G184" s="75" t="n">
        <x:f>IF(COUNT(D15)=0,1,IF(D15&lt;0,1,0))</x:f>
        <x:v>0</x:v>
      </x:c>
      <x:c r="H184" s="75" t="n">
        <x:f>IF(COUNT(D15)=0,1,IF(D15&lt;0,1,0))</x:f>
        <x:v>0</x:v>
      </x:c>
      <x:c r="I184" s="75" t="n">
        <x:f>IF(COUNT(D15)=0,1,IF(D15&lt;0,1,0))</x:f>
        <x:v>0</x:v>
      </x:c>
      <x:c r="J184" s="1"/>
      <x:c r="K184" s="1"/>
    </x:row>
    <x:row r="185" ht="30" customHeight="1">
      <x:c r="A185" s="1"/>
      <x:c r="B185" s="1"/>
      <x:c r="C185" s="64" t="str">
        <x:v>Opening debt input outside bounds</x:v>
      </x:c>
      <x:c r="D185" s="8"/>
      <x:c r="E185" s="75" t="n">
        <x:f>IF(COUNT(D16)=0,1,IF(D16&lt;0,1,0))</x:f>
        <x:v>0</x:v>
      </x:c>
      <x:c r="F185" s="75" t="n">
        <x:f>IF(COUNT(D16)=0,1,IF(D16&lt;0,1,0))</x:f>
        <x:v>0</x:v>
      </x:c>
      <x:c r="G185" s="75" t="n">
        <x:f>IF(COUNT(D16)=0,1,IF(D16&lt;0,1,0))</x:f>
        <x:v>0</x:v>
      </x:c>
      <x:c r="H185" s="75" t="n">
        <x:f>IF(COUNT(D16)=0,1,IF(D16&lt;0,1,0))</x:f>
        <x:v>0</x:v>
      </x:c>
      <x:c r="I185" s="75" t="n">
        <x:f>IF(COUNT(D16)=0,1,IF(D16&lt;0,1,0))</x:f>
        <x:v>0</x:v>
      </x:c>
      <x:c r="J185" s="1"/>
      <x:c r="K185" s="1"/>
    </x:row>
    <x:row r="186" ht="30" customHeight="1">
      <x:c r="A186" s="1"/>
      <x:c r="B186" s="1"/>
      <x:c r="C186" s="64" t="str">
        <x:v>Diluted shares (crore) input outside bounds</x:v>
      </x:c>
      <x:c r="D186" s="8"/>
      <x:c r="E186" s="75" t="n">
        <x:f>IF(COUNT(D17)=0,1,IF(D17&lt;0,1,0))</x:f>
        <x:v>0</x:v>
      </x:c>
      <x:c r="F186" s="75" t="n">
        <x:f>IF(COUNT(D17)=0,1,IF(D17&lt;0,1,0))</x:f>
        <x:v>0</x:v>
      </x:c>
      <x:c r="G186" s="75" t="n">
        <x:f>IF(COUNT(D17)=0,1,IF(D17&lt;0,1,0))</x:f>
        <x:v>0</x:v>
      </x:c>
      <x:c r="H186" s="75" t="n">
        <x:f>IF(COUNT(D17)=0,1,IF(D17&lt;0,1,0))</x:f>
        <x:v>0</x:v>
      </x:c>
      <x:c r="I186" s="75" t="n">
        <x:f>IF(COUNT(D17)=0,1,IF(D17&lt;0,1,0))</x:f>
        <x:v>0</x:v>
      </x:c>
      <x:c r="J186" s="1"/>
      <x:c r="K186" s="1"/>
    </x:row>
    <x:row r="187" ht="30" customHeight="1">
      <x:c r="A187" s="1"/>
      <x:c r="B187" s="1"/>
      <x:c r="C187" s="64" t="str">
        <x:v>Cost of equity input outside bounds</x:v>
      </x:c>
      <x:c r="D187" s="8"/>
      <x:c r="E187" s="75" t="n">
        <x:f>IF(COUNT(D18)=0,1,IF(D18&lt;0,1,0))</x:f>
        <x:v>0</x:v>
      </x:c>
      <x:c r="F187" s="75" t="n">
        <x:f>IF(COUNT(D18)=0,1,IF(D18&lt;0,1,0))</x:f>
        <x:v>0</x:v>
      </x:c>
      <x:c r="G187" s="75" t="n">
        <x:f>IF(COUNT(D18)=0,1,IF(D18&lt;0,1,0))</x:f>
        <x:v>0</x:v>
      </x:c>
      <x:c r="H187" s="75" t="n">
        <x:f>IF(COUNT(D18)=0,1,IF(D18&lt;0,1,0))</x:f>
        <x:v>0</x:v>
      </x:c>
      <x:c r="I187" s="75" t="n">
        <x:f>IF(COUNT(D18)=0,1,IF(D18&lt;0,1,0))</x:f>
        <x:v>0</x:v>
      </x:c>
      <x:c r="J187" s="1"/>
      <x:c r="K187" s="1"/>
    </x:row>
    <x:row r="188" ht="30" customHeight="1">
      <x:c r="A188" s="1"/>
      <x:c r="B188" s="1"/>
      <x:c r="C188" s="64" t="str">
        <x:v>FY:31 residual price / book input outside bounds</x:v>
      </x:c>
      <x:c r="D188" s="8"/>
      <x:c r="E188" s="75" t="n">
        <x:f>IF(COUNT(D19)=0,1,IF(D19&lt;0,1,0))</x:f>
        <x:v>0</x:v>
      </x:c>
      <x:c r="F188" s="75" t="n">
        <x:f>IF(COUNT(D19)=0,1,IF(D19&lt;0,1,0))</x:f>
        <x:v>0</x:v>
      </x:c>
      <x:c r="G188" s="75" t="n">
        <x:f>IF(COUNT(D19)=0,1,IF(D19&lt;0,1,0))</x:f>
        <x:v>0</x:v>
      </x:c>
      <x:c r="H188" s="75" t="n">
        <x:f>IF(COUNT(D19)=0,1,IF(D19&lt;0,1,0))</x:f>
        <x:v>0</x:v>
      </x:c>
      <x:c r="I188" s="75" t="n">
        <x:f>IF(COUNT(D19)=0,1,IF(D19&lt;0,1,0))</x:f>
        <x:v>0</x:v>
      </x:c>
      <x:c r="J188" s="1"/>
      <x:c r="K188" s="1"/>
    </x:row>
    <x:row r="189" ht="30" customHeight="1">
      <x:c r="A189" s="1"/>
      <x:c r="B189" s="1"/>
      <x:c r="C189" s="64" t="str">
        <x:v>Sales area growth input outside bounds</x:v>
      </x:c>
      <x:c r="D189" s="8"/>
      <x:c r="E189" s="75" t="n">
        <x:f>IF(COUNT(E20)=0,1,IF(E20&lt;-1,1,0))</x:f>
        <x:v>0</x:v>
      </x:c>
      <x:c r="F189" s="75" t="n">
        <x:f>IF(COUNT(F20)=0,1,IF(F20&lt;-1,1,0))</x:f>
        <x:v>0</x:v>
      </x:c>
      <x:c r="G189" s="75" t="n">
        <x:f>IF(COUNT(G20)=0,1,IF(G20&lt;-1,1,0))</x:f>
        <x:v>0</x:v>
      </x:c>
      <x:c r="H189" s="75" t="n">
        <x:f>IF(COUNT(H20)=0,1,IF(H20&lt;-1,1,0))</x:f>
        <x:v>0</x:v>
      </x:c>
      <x:c r="I189" s="75" t="n">
        <x:f>IF(COUNT(I20)=0,1,IF(I20&lt;-1,1,0))</x:f>
        <x:v>0</x:v>
      </x:c>
      <x:c r="J189" s="1"/>
      <x:c r="K189" s="1"/>
    </x:row>
    <x:row r="190" ht="30" customHeight="1">
      <x:c r="A190" s="1"/>
      <x:c r="B190" s="1"/>
      <x:c r="C190" s="64" t="str">
        <x:v>Selling price growth input outside bounds</x:v>
      </x:c>
      <x:c r="D190" s="8"/>
      <x:c r="E190" s="75" t="n">
        <x:f>IF(COUNT(E24)=0,1,IF(E24&lt;-1,1,0))</x:f>
        <x:v>0</x:v>
      </x:c>
      <x:c r="F190" s="75" t="n">
        <x:f>IF(COUNT(F24)=0,1,IF(F24&lt;-1,1,0))</x:f>
        <x:v>0</x:v>
      </x:c>
      <x:c r="G190" s="75" t="n">
        <x:f>IF(COUNT(G24)=0,1,IF(G24&lt;-1,1,0))</x:f>
        <x:v>0</x:v>
      </x:c>
      <x:c r="H190" s="75" t="n">
        <x:f>IF(COUNT(H24)=0,1,IF(H24&lt;-1,1,0))</x:f>
        <x:v>0</x:v>
      </x:c>
      <x:c r="I190" s="75" t="n">
        <x:f>IF(COUNT(I24)=0,1,IF(I24&lt;-1,1,0))</x:f>
        <x:v>0</x:v>
      </x:c>
      <x:c r="J190" s="1"/>
      <x:c r="K190" s="1"/>
    </x:row>
    <x:row r="191" ht="30" customHeight="1">
      <x:c r="A191" s="1"/>
      <x:c r="B191" s="1"/>
      <x:c r="C191" s="64" t="str">
        <x:v>Opening backlog completed / recognized input outside bounds</x:v>
      </x:c>
      <x:c r="D191" s="8"/>
      <x:c r="E191" s="75" t="n">
        <x:f>IF(COUNT(E28)=0,1,IF(E28&lt;0,1,IF(E28&gt;1,1,0)))</x:f>
        <x:v>0</x:v>
      </x:c>
      <x:c r="F191" s="75" t="n">
        <x:f>IF(COUNT(F28)=0,1,IF(F28&lt;0,1,IF(F28&gt;1,1,0)))</x:f>
        <x:v>0</x:v>
      </x:c>
      <x:c r="G191" s="75" t="n">
        <x:f>IF(COUNT(G28)=0,1,IF(G28&lt;0,1,IF(G28&gt;1,1,0)))</x:f>
        <x:v>0</x:v>
      </x:c>
      <x:c r="H191" s="75" t="n">
        <x:f>IF(COUNT(H28)=0,1,IF(H28&lt;0,1,IF(H28&gt;1,1,0)))</x:f>
        <x:v>0</x:v>
      </x:c>
      <x:c r="I191" s="75" t="n">
        <x:f>IF(COUNT(I28)=0,1,IF(I28&lt;0,1,IF(I28&gt;1,1,0)))</x:f>
        <x:v>0</x:v>
      </x:c>
      <x:c r="J191" s="1"/>
      <x:c r="K191" s="1"/>
    </x:row>
    <x:row r="192" ht="30" customHeight="1">
      <x:c r="A192" s="1"/>
      <x:c r="B192" s="1"/>
      <x:c r="C192" s="64" t="str">
        <x:v>Collection / current bookings input outside bounds</x:v>
      </x:c>
      <x:c r="D192" s="8"/>
      <x:c r="E192" s="75" t="n">
        <x:f>IF(COUNT(E29)=0,1,IF(E29&lt;0,1,IF(E29&gt;1,1,0)))</x:f>
        <x:v>0</x:v>
      </x:c>
      <x:c r="F192" s="75" t="n">
        <x:f>IF(COUNT(F29)=0,1,IF(F29&lt;0,1,IF(F29&gt;1,1,0)))</x:f>
        <x:v>0</x:v>
      </x:c>
      <x:c r="G192" s="75" t="n">
        <x:f>IF(COUNT(G29)=0,1,IF(G29&lt;0,1,IF(G29&gt;1,1,0)))</x:f>
        <x:v>0</x:v>
      </x:c>
      <x:c r="H192" s="75" t="n">
        <x:f>IF(COUNT(H29)=0,1,IF(H29&lt;0,1,IF(H29&gt;1,1,0)))</x:f>
        <x:v>0</x:v>
      </x:c>
      <x:c r="I192" s="75" t="n">
        <x:f>IF(COUNT(I29)=0,1,IF(I29&lt;0,1,IF(I29&gt;1,1,0)))</x:f>
        <x:v>0</x:v>
      </x:c>
      <x:c r="J192" s="1"/>
      <x:c r="K192" s="1"/>
    </x:row>
    <x:row r="193" ht="30" customHeight="1">
      <x:c r="A193" s="1"/>
      <x:c r="B193" s="1"/>
      <x:c r="C193" s="64" t="str">
        <x:v>Collection / opening unrecognized bookings input outside bounds</x:v>
      </x:c>
      <x:c r="D193" s="8"/>
      <x:c r="E193" s="75" t="n">
        <x:f>IF(COUNT(E30)=0,1,IF(E30&lt;0,1,IF(E30&gt;1,1,0)))</x:f>
        <x:v>0</x:v>
      </x:c>
      <x:c r="F193" s="75" t="n">
        <x:f>IF(COUNT(F30)=0,1,IF(F30&lt;0,1,IF(F30&gt;1,1,0)))</x:f>
        <x:v>0</x:v>
      </x:c>
      <x:c r="G193" s="75" t="n">
        <x:f>IF(COUNT(G30)=0,1,IF(G30&lt;0,1,IF(G30&gt;1,1,0)))</x:f>
        <x:v>0</x:v>
      </x:c>
      <x:c r="H193" s="75" t="n">
        <x:f>IF(COUNT(H30)=0,1,IF(H30&lt;0,1,IF(H30&gt;1,1,0)))</x:f>
        <x:v>0</x:v>
      </x:c>
      <x:c r="I193" s="75" t="n">
        <x:f>IF(COUNT(I30)=0,1,IF(I30&lt;0,1,IF(I30&gt;1,1,0)))</x:f>
        <x:v>0</x:v>
      </x:c>
      <x:c r="J193" s="1"/>
      <x:c r="K193" s="1"/>
    </x:row>
    <x:row r="194" ht="30" customHeight="1">
      <x:c r="A194" s="1"/>
      <x:c r="B194" s="1"/>
      <x:c r="C194" s="64" t="str">
        <x:v>Recognized cost / recognized revenue input outside bounds</x:v>
      </x:c>
      <x:c r="D194" s="8"/>
      <x:c r="E194" s="75" t="n">
        <x:f>IF(COUNT(E31)=0,1,IF(E31&lt;0,1,0))</x:f>
        <x:v>0</x:v>
      </x:c>
      <x:c r="F194" s="75" t="n">
        <x:f>IF(COUNT(F31)=0,1,IF(F31&lt;0,1,0))</x:f>
        <x:v>0</x:v>
      </x:c>
      <x:c r="G194" s="75" t="n">
        <x:f>IF(COUNT(G31)=0,1,IF(G31&lt;0,1,0))</x:f>
        <x:v>0</x:v>
      </x:c>
      <x:c r="H194" s="75" t="n">
        <x:f>IF(COUNT(H31)=0,1,IF(H31&lt;0,1,0))</x:f>
        <x:v>0</x:v>
      </x:c>
      <x:c r="I194" s="75" t="n">
        <x:f>IF(COUNT(I31)=0,1,IF(I31&lt;0,1,0))</x:f>
        <x:v>0</x:v>
      </x:c>
      <x:c r="J194" s="1"/>
      <x:c r="K194" s="1"/>
    </x:row>
    <x:row r="195" ht="30" customHeight="1">
      <x:c r="A195" s="1"/>
      <x:c r="B195" s="1"/>
      <x:c r="C195" s="64" t="str">
        <x:v>Cash land and construction / bookings input outside bounds</x:v>
      </x:c>
      <x:c r="D195" s="8"/>
      <x:c r="E195" s="75" t="n">
        <x:f>IF(COUNT(E32)=0,1,IF(E32&lt;0,1,0))</x:f>
        <x:v>0</x:v>
      </x:c>
      <x:c r="F195" s="75" t="n">
        <x:f>IF(COUNT(F32)=0,1,IF(F32&lt;0,1,0))</x:f>
        <x:v>0</x:v>
      </x:c>
      <x:c r="G195" s="75" t="n">
        <x:f>IF(COUNT(G32)=0,1,IF(G32&lt;0,1,0))</x:f>
        <x:v>0</x:v>
      </x:c>
      <x:c r="H195" s="75" t="n">
        <x:f>IF(COUNT(H32)=0,1,IF(H32&lt;0,1,0))</x:f>
        <x:v>0</x:v>
      </x:c>
      <x:c r="I195" s="75" t="n">
        <x:f>IF(COUNT(I32)=0,1,IF(I32&lt;0,1,0))</x:f>
        <x:v>0</x:v>
      </x:c>
      <x:c r="J195" s="1"/>
      <x:c r="K195" s="1"/>
    </x:row>
    <x:row r="196" ht="30" customHeight="1">
      <x:c r="A196" s="1"/>
      <x:c r="B196" s="1"/>
      <x:c r="C196" s="64" t="str">
        <x:v>Selling and overhead / bookings input outside bounds</x:v>
      </x:c>
      <x:c r="D196" s="8"/>
      <x:c r="E196" s="75" t="n">
        <x:f>IF(COUNT(E33)=0,1,IF(E33&lt;0,1,0))</x:f>
        <x:v>0</x:v>
      </x:c>
      <x:c r="F196" s="75" t="n">
        <x:f>IF(COUNT(F33)=0,1,IF(F33&lt;0,1,0))</x:f>
        <x:v>0</x:v>
      </x:c>
      <x:c r="G196" s="75" t="n">
        <x:f>IF(COUNT(G33)=0,1,IF(G33&lt;0,1,0))</x:f>
        <x:v>0</x:v>
      </x:c>
      <x:c r="H196" s="75" t="n">
        <x:f>IF(COUNT(H33)=0,1,IF(H33&lt;0,1,0))</x:f>
        <x:v>0</x:v>
      </x:c>
      <x:c r="I196" s="75" t="n">
        <x:f>IF(COUNT(I33)=0,1,IF(I33&lt;0,1,0))</x:f>
        <x:v>0</x:v>
      </x:c>
      <x:c r="J196" s="1"/>
      <x:c r="K196" s="1"/>
    </x:row>
    <x:row r="197" ht="30" customHeight="1">
      <x:c r="A197" s="1"/>
      <x:c r="B197" s="1"/>
      <x:c r="C197" s="64" t="str">
        <x:v>Interest on opening debt input outside bounds</x:v>
      </x:c>
      <x:c r="D197" s="8"/>
      <x:c r="E197" s="75" t="n">
        <x:f>IF(COUNT(E34)=0,1,IF(E34&lt;0,1,0))</x:f>
        <x:v>0</x:v>
      </x:c>
      <x:c r="F197" s="75" t="n">
        <x:f>IF(COUNT(F34)=0,1,IF(F34&lt;0,1,0))</x:f>
        <x:v>0</x:v>
      </x:c>
      <x:c r="G197" s="75" t="n">
        <x:f>IF(COUNT(G34)=0,1,IF(G34&lt;0,1,0))</x:f>
        <x:v>0</x:v>
      </x:c>
      <x:c r="H197" s="75" t="n">
        <x:f>IF(COUNT(H34)=0,1,IF(H34&lt;0,1,0))</x:f>
        <x:v>0</x:v>
      </x:c>
      <x:c r="I197" s="75" t="n">
        <x:f>IF(COUNT(I34)=0,1,IF(I34&lt;0,1,0))</x:f>
        <x:v>0</x:v>
      </x:c>
      <x:c r="J197" s="1"/>
      <x:c r="K197" s="1"/>
    </x:row>
    <x:row r="198" ht="30" customHeight="1">
      <x:c r="A198" s="1"/>
      <x:c r="B198" s="1"/>
      <x:c r="C198" s="64" t="str">
        <x:v>Effective tax rate input outside bounds</x:v>
      </x:c>
      <x:c r="D198" s="8"/>
      <x:c r="E198" s="75" t="n">
        <x:f>IF(COUNT(E35)=0,1,IF(E35&lt;0,1,IF(E35&gt;1,1,0)))</x:f>
        <x:v>0</x:v>
      </x:c>
      <x:c r="F198" s="75" t="n">
        <x:f>IF(COUNT(F35)=0,1,IF(F35&lt;0,1,IF(F35&gt;1,1,0)))</x:f>
        <x:v>0</x:v>
      </x:c>
      <x:c r="G198" s="75" t="n">
        <x:f>IF(COUNT(G35)=0,1,IF(G35&lt;0,1,IF(G35&gt;1,1,0)))</x:f>
        <x:v>0</x:v>
      </x:c>
      <x:c r="H198" s="75" t="n">
        <x:f>IF(COUNT(H35)=0,1,IF(H35&lt;0,1,IF(H35&gt;1,1,0)))</x:f>
        <x:v>0</x:v>
      </x:c>
      <x:c r="I198" s="75" t="n">
        <x:f>IF(COUNT(I35)=0,1,IF(I35&lt;0,1,IF(I35&gt;1,1,0)))</x:f>
        <x:v>0</x:v>
      </x:c>
      <x:c r="J198" s="1"/>
      <x:c r="K198" s="1"/>
    </x:row>
    <x:row r="199" ht="30" customHeight="1">
      <x:c r="A199" s="1"/>
      <x:c r="B199" s="1"/>
      <x:c r="C199" s="64" t="str">
        <x:v>New debt input outside bounds</x:v>
      </x:c>
      <x:c r="D199" s="8"/>
      <x:c r="E199" s="75" t="n">
        <x:f>IF(COUNT(E36)=0,1,IF(E36&lt;0,1,0))</x:f>
        <x:v>0</x:v>
      </x:c>
      <x:c r="F199" s="75" t="n">
        <x:f>IF(COUNT(F36)=0,1,IF(F36&lt;0,1,0))</x:f>
        <x:v>0</x:v>
      </x:c>
      <x:c r="G199" s="75" t="n">
        <x:f>IF(COUNT(G36)=0,1,IF(G36&lt;0,1,0))</x:f>
        <x:v>0</x:v>
      </x:c>
      <x:c r="H199" s="75" t="n">
        <x:f>IF(COUNT(H36)=0,1,IF(H36&lt;0,1,0))</x:f>
        <x:v>0</x:v>
      </x:c>
      <x:c r="I199" s="75" t="n">
        <x:f>IF(COUNT(I36)=0,1,IF(I36&lt;0,1,0))</x:f>
        <x:v>0</x:v>
      </x:c>
      <x:c r="J199" s="1"/>
      <x:c r="K199" s="1"/>
    </x:row>
    <x:row r="200" ht="30" customHeight="1">
      <x:c r="A200" s="1"/>
      <x:c r="B200" s="1"/>
      <x:c r="C200" s="64" t="str">
        <x:v>Principal repayment input outside bounds</x:v>
      </x:c>
      <x:c r="D200" s="8"/>
      <x:c r="E200" s="75" t="n">
        <x:f>IF(COUNT(E37)=0,1,IF(E37&lt;0,1,0))</x:f>
        <x:v>0</x:v>
      </x:c>
      <x:c r="F200" s="75" t="n">
        <x:f>IF(COUNT(F37)=0,1,IF(F37&lt;0,1,0))</x:f>
        <x:v>0</x:v>
      </x:c>
      <x:c r="G200" s="75" t="n">
        <x:f>IF(COUNT(G37)=0,1,IF(G37&lt;0,1,0))</x:f>
        <x:v>0</x:v>
      </x:c>
      <x:c r="H200" s="75" t="n">
        <x:f>IF(COUNT(H37)=0,1,IF(H37&lt;0,1,0))</x:f>
        <x:v>0</x:v>
      </x:c>
      <x:c r="I200" s="75" t="n">
        <x:f>IF(COUNT(I37)=0,1,IF(I37&lt;0,1,0))</x:f>
        <x:v>0</x:v>
      </x:c>
      <x:c r="J200" s="1"/>
      <x:c r="K200" s="1"/>
    </x:row>
    <x:row r="201" ht="30" customHeight="1">
      <x:c r="A201" s="1"/>
      <x:c r="B201" s="1"/>
      <x:c r="C201" s="64" t="str">
        <x:v>Dividend payout on positive PAT input outside bounds</x:v>
      </x:c>
      <x:c r="D201" s="8"/>
      <x:c r="E201" s="75" t="n">
        <x:f>IF(COUNT(E38)=0,1,IF(E38&lt;0,1,IF(E38&gt;1,1,0)))</x:f>
        <x:v>0</x:v>
      </x:c>
      <x:c r="F201" s="75" t="n">
        <x:f>IF(COUNT(F38)=0,1,IF(F38&lt;0,1,IF(F38&gt;1,1,0)))</x:f>
        <x:v>0</x:v>
      </x:c>
      <x:c r="G201" s="75" t="n">
        <x:f>IF(COUNT(G38)=0,1,IF(G38&lt;0,1,IF(G38&gt;1,1,0)))</x:f>
        <x:v>0</x:v>
      </x:c>
      <x:c r="H201" s="75" t="n">
        <x:f>IF(COUNT(H38)=0,1,IF(H38&lt;0,1,IF(H38&gt;1,1,0)))</x:f>
        <x:v>0</x:v>
      </x:c>
      <x:c r="I201" s="75" t="n">
        <x:f>IF(COUNT(I38)=0,1,IF(I38&lt;0,1,IF(I38&gt;1,1,0)))</x:f>
        <x:v>0</x:v>
      </x:c>
      <x:c r="J201" s="1"/>
      <x:c r="K201" s="1"/>
    </x:row>
    <x:row r="202" ht="30" customHeight="1">
      <x:c r="A202" s="1"/>
      <x:c r="B202" s="1"/>
      <x:c r="C202" s="64"/>
      <x:c r="D202" s="8"/>
      <x:c r="E202" s="8"/>
      <x:c r="F202" s="8"/>
      <x:c r="G202" s="8"/>
      <x:c r="H202" s="8"/>
      <x:c r="I202" s="8"/>
      <x:c r="J202" s="1"/>
      <x:c r="K202" s="1"/>
    </x:row>
    <x:row r="203" ht="30" customHeight="1">
      <x:c r="A203" s="1"/>
      <x:c r="B203" s="1"/>
      <x:c r="C203" s="64"/>
      <x:c r="D203" s="8"/>
      <x:c r="E203" s="8"/>
      <x:c r="F203" s="8"/>
      <x:c r="G203" s="8"/>
      <x:c r="H203" s="8"/>
      <x:c r="I203" s="8"/>
      <x:c r="J203" s="1"/>
      <x:c r="K203" s="1"/>
    </x:row>
    <x:row r="204" ht="30" customHeight="1">
      <x:c r="A204" s="1"/>
      <x:c r="B204" s="1"/>
      <x:c r="C204" s="64"/>
      <x:c r="D204" s="8"/>
      <x:c r="E204" s="8"/>
      <x:c r="F204" s="8"/>
      <x:c r="G204" s="8"/>
      <x:c r="H204" s="8"/>
      <x:c r="I204" s="8"/>
      <x:c r="J204" s="1"/>
      <x:c r="K204" s="1"/>
    </x:row>
    <x:row r="205" ht="30" customHeight="1">
      <x:c r="A205" s="1"/>
      <x:c r="B205" s="1"/>
      <x:c r="C205" s="64"/>
      <x:c r="D205" s="8"/>
      <x:c r="E205" s="8"/>
      <x:c r="F205" s="8"/>
      <x:c r="G205" s="8"/>
      <x:c r="H205" s="8"/>
      <x:c r="I205" s="8"/>
      <x:c r="J205" s="1"/>
      <x:c r="K205" s="1"/>
    </x:row>
    <x:row r="206" ht="30" customHeight="1">
      <x:c r="A206" s="1"/>
      <x:c r="B206" s="1"/>
      <x:c r="C206" s="64"/>
      <x:c r="D206" s="8"/>
      <x:c r="E206" s="8"/>
      <x:c r="F206" s="8"/>
      <x:c r="G206" s="8"/>
      <x:c r="H206" s="8"/>
      <x:c r="I206" s="8"/>
      <x:c r="J206" s="1"/>
      <x:c r="K206" s="1"/>
    </x:row>
    <x:row r="207" ht="30" customHeight="1">
      <x:c r="A207" s="1"/>
      <x:c r="B207" s="1"/>
      <x:c r="C207" s="64"/>
      <x:c r="D207" s="8"/>
      <x:c r="E207" s="8"/>
      <x:c r="F207" s="8"/>
      <x:c r="G207" s="8"/>
      <x:c r="H207" s="8"/>
      <x:c r="I207" s="8"/>
      <x:c r="J207" s="1"/>
      <x:c r="K207" s="1"/>
    </x:row>
    <x:row r="208" ht="30" customHeight="1">
      <x:c r="A208" s="1"/>
      <x:c r="B208" s="1"/>
      <x:c r="C208" s="64"/>
      <x:c r="D208" s="8"/>
      <x:c r="E208" s="8"/>
      <x:c r="F208" s="8"/>
      <x:c r="G208" s="8"/>
      <x:c r="H208" s="8"/>
      <x:c r="I208" s="8"/>
      <x:c r="J208" s="1"/>
      <x:c r="K208" s="1"/>
    </x:row>
    <x:row r="209" ht="30" customHeight="1">
      <x:c r="A209" s="1"/>
      <x:c r="B209" s="1"/>
      <x:c r="C209" s="64"/>
      <x:c r="D209" s="8"/>
      <x:c r="E209" s="8"/>
      <x:c r="F209" s="8"/>
      <x:c r="G209" s="8"/>
      <x:c r="H209" s="8"/>
      <x:c r="I209" s="8"/>
      <x:c r="J209" s="1"/>
      <x:c r="K209" s="1"/>
    </x:row>
    <x:row r="210" ht="30" customHeight="1">
      <x:c r="A210" s="1"/>
      <x:c r="B210" s="1"/>
      <x:c r="C210" s="64"/>
      <x:c r="D210" s="8"/>
      <x:c r="E210" s="8"/>
      <x:c r="F210" s="8"/>
      <x:c r="G210" s="8"/>
      <x:c r="H210" s="8"/>
      <x:c r="I210" s="8"/>
      <x:c r="J210" s="1"/>
      <x:c r="K210" s="1"/>
    </x:row>
    <x:row r="211" ht="30" customHeight="1">
      <x:c r="C211" s="64"/>
      <x:c r="D211" s="63"/>
      <x:c r="E211" s="63"/>
      <x:c r="F211" s="63"/>
      <x:c r="G211" s="63"/>
      <x:c r="H211" s="63"/>
      <x:c r="I211" s="63"/>
    </x:row>
    <x:row r="212" ht="30" customHeight="1">
      <x:c r="C212" s="64"/>
      <x:c r="D212" s="63"/>
      <x:c r="E212" s="63"/>
      <x:c r="F212" s="63"/>
      <x:c r="G212" s="63"/>
      <x:c r="H212" s="63"/>
      <x:c r="I212" s="63"/>
    </x:row>
    <x:row r="213" ht="30" customHeight="1">
      <x:c r="C213" s="64"/>
      <x:c r="D213" s="63"/>
      <x:c r="E213" s="63"/>
      <x:c r="F213" s="63"/>
      <x:c r="G213" s="63"/>
      <x:c r="H213" s="63"/>
      <x:c r="I213" s="63"/>
    </x:row>
    <x:row r="214" ht="30" customHeight="1">
      <x:c r="C214" s="64"/>
      <x:c r="D214" s="63"/>
      <x:c r="E214" s="63"/>
      <x:c r="F214" s="63"/>
      <x:c r="G214" s="63"/>
      <x:c r="H214" s="63"/>
      <x:c r="I214" s="63"/>
    </x:row>
    <x:row r="215" ht="30" customHeight="1">
      <x:c r="C215" s="64"/>
      <x:c r="D215" s="63"/>
      <x:c r="E215" s="63"/>
      <x:c r="F215" s="63"/>
      <x:c r="G215" s="63"/>
      <x:c r="H215" s="63"/>
      <x:c r="I215" s="63"/>
    </x:row>
    <x:row r="216" ht="30" customHeight="1">
      <x:c r="C216" s="64"/>
      <x:c r="D216" s="63"/>
      <x:c r="E216" s="63"/>
      <x:c r="F216" s="63"/>
      <x:c r="G216" s="63"/>
      <x:c r="H216" s="63"/>
      <x:c r="I216" s="63"/>
    </x:row>
    <x:row r="217" ht="30" customHeight="1">
      <x:c r="C217" s="64"/>
      <x:c r="D217" s="63"/>
      <x:c r="E217" s="63"/>
      <x:c r="F217" s="63"/>
      <x:c r="G217" s="63"/>
      <x:c r="H217" s="63"/>
      <x:c r="I217" s="63"/>
    </x:row>
    <x:row r="218" ht="30" customHeight="1">
      <x:c r="C218" s="64"/>
      <x:c r="D218" s="63"/>
      <x:c r="E218" s="63"/>
      <x:c r="F218" s="63"/>
      <x:c r="G218" s="63"/>
      <x:c r="H218" s="63"/>
      <x:c r="I218" s="63"/>
    </x:row>
    <x:row r="219" ht="30" customHeight="1">
      <x:c r="C219" s="64"/>
      <x:c r="D219" s="63"/>
      <x:c r="E219" s="63"/>
      <x:c r="F219" s="63"/>
      <x:c r="G219" s="63"/>
      <x:c r="H219" s="63"/>
      <x:c r="I219" s="63"/>
    </x:row>
    <x:row r="220" ht="30" customHeight="1">
      <x:c r="C220" s="64"/>
      <x:c r="D220" s="63"/>
      <x:c r="E220" s="63"/>
      <x:c r="F220" s="63"/>
      <x:c r="G220" s="63"/>
      <x:c r="H220" s="63"/>
      <x:c r="I220" s="63"/>
    </x:row>
    <x:row r="221" ht="30" customHeight="1">
      <x:c r="C221" s="64"/>
      <x:c r="D221" s="63"/>
      <x:c r="E221" s="63"/>
      <x:c r="F221" s="63"/>
      <x:c r="G221" s="63"/>
      <x:c r="H221" s="63"/>
      <x:c r="I221" s="63"/>
    </x:row>
    <x:row r="222" ht="30" customHeight="1">
      <x:c r="C222" s="64"/>
      <x:c r="D222" s="63"/>
      <x:c r="E222" s="63"/>
      <x:c r="F222" s="63"/>
      <x:c r="G222" s="63"/>
      <x:c r="H222" s="63"/>
      <x:c r="I222" s="63"/>
    </x:row>
    <x:row r="223" ht="30" customHeight="1">
      <x:c r="C223" s="64"/>
      <x:c r="D223" s="63"/>
      <x:c r="E223" s="63"/>
      <x:c r="F223" s="63"/>
      <x:c r="G223" s="63"/>
      <x:c r="H223" s="63"/>
      <x:c r="I223" s="63"/>
    </x:row>
    <x:row r="224" ht="30" customHeight="1">
      <x:c r="C224" s="64"/>
      <x:c r="D224" s="63"/>
      <x:c r="E224" s="63"/>
      <x:c r="F224" s="63"/>
      <x:c r="G224" s="63"/>
      <x:c r="H224" s="63"/>
      <x:c r="I224" s="63"/>
    </x:row>
    <x:row r="225" ht="30" customHeight="1">
      <x:c r="C225" s="64"/>
      <x:c r="D225" s="63"/>
      <x:c r="E225" s="63"/>
      <x:c r="F225" s="63"/>
      <x:c r="G225" s="63"/>
      <x:c r="H225" s="63"/>
      <x:c r="I225" s="63"/>
    </x:row>
    <x:row r="226" ht="30" customHeight="1">
      <x:c r="C226" s="64"/>
      <x:c r="D226" s="63"/>
      <x:c r="E226" s="63"/>
      <x:c r="F226" s="63"/>
      <x:c r="G226" s="63"/>
      <x:c r="H226" s="63"/>
      <x:c r="I226" s="63"/>
    </x:row>
    <x:row r="227" ht="30" customHeight="1">
      <x:c r="C227" s="64"/>
      <x:c r="D227" s="63"/>
      <x:c r="E227" s="63"/>
      <x:c r="F227" s="63"/>
      <x:c r="G227" s="63"/>
      <x:c r="H227" s="63"/>
      <x:c r="I227" s="63"/>
    </x:row>
    <x:row r="228" ht="30" customHeight="1">
      <x:c r="C228" s="64"/>
      <x:c r="D228" s="63"/>
      <x:c r="E228" s="63"/>
      <x:c r="F228" s="63"/>
      <x:c r="G228" s="63"/>
      <x:c r="H228" s="63"/>
      <x:c r="I228" s="63"/>
    </x:row>
    <x:row r="229" ht="30" customHeight="1">
      <x:c r="C229" s="64"/>
      <x:c r="D229" s="63"/>
      <x:c r="E229" s="63"/>
      <x:c r="F229" s="63"/>
      <x:c r="G229" s="63"/>
      <x:c r="H229" s="63"/>
      <x:c r="I229" s="63"/>
    </x:row>
    <x:row r="230" ht="30" customHeight="1">
      <x:c r="C230" s="64"/>
      <x:c r="D230" s="63"/>
      <x:c r="E230" s="63"/>
      <x:c r="F230" s="63"/>
      <x:c r="G230" s="63"/>
      <x:c r="H230" s="63"/>
      <x:c r="I230" s="63"/>
    </x:row>
    <x:row r="231" ht="30" customHeight="1">
      <x:c r="C231" s="64"/>
      <x:c r="D231" s="63"/>
      <x:c r="E231" s="63"/>
      <x:c r="F231" s="63"/>
      <x:c r="G231" s="63"/>
      <x:c r="H231" s="63"/>
      <x:c r="I231" s="63"/>
    </x:row>
    <x:row r="232" ht="30" customHeight="1">
      <x:c r="C232" s="64"/>
      <x:c r="D232" s="63"/>
      <x:c r="E232" s="63"/>
      <x:c r="F232" s="63"/>
      <x:c r="G232" s="63"/>
      <x:c r="H232" s="63"/>
      <x:c r="I232" s="63"/>
    </x:row>
    <x:row r="233" ht="30" customHeight="1">
      <x:c r="C233" s="64"/>
      <x:c r="D233" s="63"/>
      <x:c r="E233" s="63"/>
      <x:c r="F233" s="63"/>
      <x:c r="G233" s="63"/>
      <x:c r="H233" s="63"/>
      <x:c r="I233" s="63"/>
    </x:row>
    <x:row r="234" ht="30" customHeight="1">
      <x:c r="C234" s="64"/>
      <x:c r="D234" s="63"/>
      <x:c r="E234" s="63"/>
      <x:c r="F234" s="63"/>
      <x:c r="G234" s="63"/>
      <x:c r="H234" s="63"/>
      <x:c r="I234" s="63"/>
    </x:row>
    <x:row r="235" ht="30" customHeight="1">
      <x:c r="C235" s="64"/>
      <x:c r="D235" s="63"/>
      <x:c r="E235" s="63"/>
      <x:c r="F235" s="63"/>
      <x:c r="G235" s="63"/>
      <x:c r="H235" s="63"/>
      <x:c r="I235" s="63"/>
    </x:row>
    <x:row r="236" ht="30" customHeight="1">
      <x:c r="C236" s="64"/>
      <x:c r="D236" s="63"/>
      <x:c r="E236" s="63"/>
      <x:c r="F236" s="63"/>
      <x:c r="G236" s="63"/>
      <x:c r="H236" s="63"/>
      <x:c r="I236" s="63"/>
    </x:row>
    <x:row r="237" ht="30" customHeight="1">
      <x:c r="C237" s="64"/>
      <x:c r="D237" s="63"/>
      <x:c r="E237" s="63"/>
      <x:c r="F237" s="63"/>
      <x:c r="G237" s="63"/>
      <x:c r="H237" s="63"/>
      <x:c r="I237" s="63"/>
    </x:row>
    <x:row r="238" ht="30" customHeight="1">
      <x:c r="C238" s="64"/>
      <x:c r="D238" s="63"/>
      <x:c r="E238" s="63"/>
      <x:c r="F238" s="63"/>
      <x:c r="G238" s="63"/>
      <x:c r="H238" s="63"/>
      <x:c r="I238" s="63"/>
    </x:row>
    <x:row r="239" ht="30" customHeight="1">
      <x:c r="C239" s="64"/>
      <x:c r="D239" s="63"/>
      <x:c r="E239" s="63"/>
      <x:c r="F239" s="63"/>
      <x:c r="G239" s="63"/>
      <x:c r="H239" s="63"/>
      <x:c r="I239" s="63"/>
    </x:row>
    <x:row r="240" ht="30" customHeight="1">
      <x:c r="C240" s="64"/>
      <x:c r="D240" s="63"/>
      <x:c r="E240" s="63"/>
      <x:c r="F240" s="63"/>
      <x:c r="G240" s="63"/>
      <x:c r="H240" s="63"/>
      <x:c r="I240" s="63"/>
    </x:row>
    <x:row r="241" ht="30" customHeight="1">
      <x:c r="C241" s="64"/>
      <x:c r="D241" s="63"/>
      <x:c r="E241" s="63"/>
      <x:c r="F241" s="63"/>
      <x:c r="G241" s="63"/>
      <x:c r="H241" s="63"/>
      <x:c r="I241" s="63"/>
    </x:row>
    <x:row r="242" ht="30" customHeight="1">
      <x:c r="C242" s="64"/>
      <x:c r="D242" s="63"/>
      <x:c r="E242" s="63"/>
      <x:c r="F242" s="63"/>
      <x:c r="G242" s="63"/>
      <x:c r="H242" s="63"/>
      <x:c r="I242" s="63"/>
    </x:row>
    <x:row r="243" ht="30" customHeight="1">
      <x:c r="C243" s="64"/>
      <x:c r="D243" s="63"/>
      <x:c r="E243" s="63"/>
      <x:c r="F243" s="63"/>
      <x:c r="G243" s="63"/>
      <x:c r="H243" s="63"/>
      <x:c r="I243" s="63"/>
    </x:row>
    <x:row r="244" ht="30" customHeight="1">
      <x:c r="C244" s="64"/>
      <x:c r="D244" s="63"/>
      <x:c r="E244" s="63"/>
      <x:c r="F244" s="63"/>
      <x:c r="G244" s="63"/>
      <x:c r="H244" s="63"/>
      <x:c r="I244" s="63"/>
    </x:row>
    <x:row r="245" ht="30" customHeight="1">
      <x:c r="C245" s="64"/>
      <x:c r="D245" s="63"/>
      <x:c r="E245" s="63"/>
      <x:c r="F245" s="63"/>
      <x:c r="G245" s="63"/>
      <x:c r="H245" s="63"/>
      <x:c r="I245" s="63"/>
    </x:row>
    <x:row r="246" ht="30" customHeight="1">
      <x:c r="C246" s="64"/>
      <x:c r="D246" s="63"/>
      <x:c r="E246" s="63"/>
      <x:c r="F246" s="63"/>
      <x:c r="G246" s="63"/>
      <x:c r="H246" s="63"/>
      <x:c r="I246" s="63"/>
    </x:row>
    <x:row r="247" ht="30" customHeight="1">
      <x:c r="C247" s="64"/>
      <x:c r="D247" s="63"/>
      <x:c r="E247" s="63"/>
      <x:c r="F247" s="63"/>
      <x:c r="G247" s="63"/>
      <x:c r="H247" s="63"/>
      <x:c r="I247" s="63"/>
    </x:row>
    <x:row r="248" ht="30" customHeight="1">
      <x:c r="C248" s="64"/>
      <x:c r="D248" s="63"/>
      <x:c r="E248" s="63"/>
      <x:c r="F248" s="63"/>
      <x:c r="G248" s="63"/>
      <x:c r="H248" s="63"/>
      <x:c r="I248" s="63"/>
    </x:row>
    <x:row r="249" ht="30" customHeight="1">
      <x:c r="C249" s="64"/>
      <x:c r="D249" s="63"/>
      <x:c r="E249" s="63"/>
      <x:c r="F249" s="63"/>
      <x:c r="G249" s="63"/>
      <x:c r="H249" s="63"/>
      <x:c r="I249" s="63"/>
    </x:row>
    <x:row r="250" ht="30" customHeight="1">
      <x:c r="C250" s="64"/>
      <x:c r="D250" s="63"/>
      <x:c r="E250" s="63"/>
      <x:c r="F250" s="63"/>
      <x:c r="G250" s="63"/>
      <x:c r="H250" s="63"/>
      <x:c r="I250" s="63"/>
    </x:row>
    <x:row r="251" ht="30" customHeight="1">
      <x:c r="C251" s="64"/>
      <x:c r="D251" s="63"/>
      <x:c r="E251" s="63"/>
      <x:c r="F251" s="63"/>
      <x:c r="G251" s="63"/>
      <x:c r="H251" s="63"/>
      <x:c r="I251" s="63"/>
    </x:row>
    <x:row r="252" ht="30" customHeight="1">
      <x:c r="C252" s="64"/>
      <x:c r="D252" s="63"/>
      <x:c r="E252" s="63"/>
      <x:c r="F252" s="63"/>
      <x:c r="G252" s="63"/>
      <x:c r="H252" s="63"/>
      <x:c r="I252" s="63"/>
    </x:row>
    <x:row r="253" ht="30" customHeight="1">
      <x:c r="C253" s="64"/>
      <x:c r="D253" s="63"/>
      <x:c r="E253" s="63"/>
      <x:c r="F253" s="63"/>
      <x:c r="G253" s="63"/>
      <x:c r="H253" s="63"/>
      <x:c r="I253" s="63"/>
    </x:row>
    <x:row r="254" ht="30" customHeight="1">
      <x:c r="C254" s="64"/>
      <x:c r="D254" s="63"/>
      <x:c r="E254" s="63"/>
      <x:c r="F254" s="63"/>
      <x:c r="G254" s="63"/>
      <x:c r="H254" s="63"/>
      <x:c r="I254" s="63"/>
    </x:row>
    <x:row r="255" ht="30" customHeight="1">
      <x:c r="C255" s="64"/>
      <x:c r="D255" s="63"/>
      <x:c r="E255" s="63"/>
      <x:c r="F255" s="63"/>
      <x:c r="G255" s="63"/>
      <x:c r="H255" s="63"/>
      <x:c r="I255" s="63"/>
    </x:row>
    <x:row r="256" ht="30" customHeight="1">
      <x:c r="C256" s="64"/>
      <x:c r="D256" s="63"/>
      <x:c r="E256" s="63"/>
      <x:c r="F256" s="63"/>
      <x:c r="G256" s="63"/>
      <x:c r="H256" s="63"/>
      <x:c r="I256" s="63"/>
    </x:row>
    <x:row r="257" ht="30" customHeight="1">
      <x:c r="C257" s="64"/>
      <x:c r="D257" s="63"/>
      <x:c r="E257" s="63"/>
      <x:c r="F257" s="63"/>
      <x:c r="G257" s="63"/>
      <x:c r="H257" s="63"/>
      <x:c r="I257" s="63"/>
    </x:row>
    <x:row r="258" ht="30" customHeight="1">
      <x:c r="C258" s="64"/>
      <x:c r="D258" s="63"/>
      <x:c r="E258" s="63"/>
      <x:c r="F258" s="63"/>
      <x:c r="G258" s="63"/>
      <x:c r="H258" s="63"/>
      <x:c r="I258" s="63"/>
    </x:row>
    <x:row r="259" ht="30" customHeight="1">
      <x:c r="C259" s="64"/>
      <x:c r="D259" s="63"/>
      <x:c r="E259" s="63"/>
      <x:c r="F259" s="63"/>
      <x:c r="G259" s="63"/>
      <x:c r="H259" s="63"/>
      <x:c r="I259" s="63"/>
    </x:row>
    <x:row r="260" ht="30" customHeight="1">
      <x:c r="C260" s="64"/>
      <x:c r="D260" s="63"/>
      <x:c r="E260" s="63"/>
      <x:c r="F260" s="63"/>
      <x:c r="G260" s="63"/>
      <x:c r="H260" s="63"/>
      <x:c r="I260" s="63"/>
    </x:row>
    <x:row r="261" ht="30" customHeight="1">
      <x:c r="C261" s="64"/>
      <x:c r="D261" s="63"/>
      <x:c r="E261" s="63"/>
      <x:c r="F261" s="63"/>
      <x:c r="G261" s="63"/>
      <x:c r="H261" s="63"/>
      <x:c r="I261" s="63"/>
    </x:row>
    <x:row r="262" ht="30" customHeight="1">
      <x:c r="C262" s="64"/>
      <x:c r="D262" s="63"/>
      <x:c r="E262" s="63"/>
      <x:c r="F262" s="63"/>
      <x:c r="G262" s="63"/>
      <x:c r="H262" s="63"/>
      <x:c r="I262" s="63"/>
    </x:row>
    <x:row r="263" ht="30" customHeight="1">
      <x:c r="C263" s="64"/>
      <x:c r="D263" s="63"/>
      <x:c r="E263" s="63"/>
      <x:c r="F263" s="63"/>
      <x:c r="G263" s="63"/>
      <x:c r="H263" s="63"/>
      <x:c r="I263" s="63"/>
    </x:row>
    <x:row r="264" ht="30" customHeight="1">
      <x:c r="C264" s="64"/>
      <x:c r="D264" s="63"/>
      <x:c r="E264" s="63"/>
      <x:c r="F264" s="63"/>
      <x:c r="G264" s="63"/>
      <x:c r="H264" s="63"/>
      <x:c r="I264" s="63"/>
    </x:row>
    <x:row r="265" ht="30" customHeight="1">
      <x:c r="C265" s="64"/>
      <x:c r="D265" s="63"/>
      <x:c r="E265" s="63"/>
      <x:c r="F265" s="63"/>
      <x:c r="G265" s="63"/>
      <x:c r="H265" s="63"/>
      <x:c r="I265" s="63"/>
    </x:row>
    <x:row r="266" ht="30" customHeight="1">
      <x:c r="C266" s="64"/>
      <x:c r="D266" s="63"/>
      <x:c r="E266" s="63"/>
      <x:c r="F266" s="63"/>
      <x:c r="G266" s="63"/>
      <x:c r="H266" s="63"/>
      <x:c r="I266" s="63"/>
    </x:row>
    <x:row r="267" ht="30" customHeight="1">
      <x:c r="C267" s="64"/>
      <x:c r="D267" s="63"/>
      <x:c r="E267" s="63"/>
      <x:c r="F267" s="63"/>
      <x:c r="G267" s="63"/>
      <x:c r="H267" s="63"/>
      <x:c r="I267" s="63"/>
    </x:row>
    <x:row r="268" ht="30" customHeight="1">
      <x:c r="C268" s="64"/>
      <x:c r="D268" s="63"/>
      <x:c r="E268" s="63"/>
      <x:c r="F268" s="63"/>
      <x:c r="G268" s="63"/>
      <x:c r="H268" s="63"/>
      <x:c r="I268" s="63"/>
    </x:row>
    <x:row r="269" ht="30" customHeight="1">
      <x:c r="C269" s="64"/>
      <x:c r="D269" s="63"/>
      <x:c r="E269" s="63"/>
      <x:c r="F269" s="63"/>
      <x:c r="G269" s="63"/>
      <x:c r="H269" s="63"/>
      <x:c r="I269" s="63"/>
    </x:row>
    <x:row r="270" ht="30" customHeight="1">
      <x:c r="C270" s="64"/>
      <x:c r="D270" s="63"/>
      <x:c r="E270" s="63"/>
      <x:c r="F270" s="63"/>
      <x:c r="G270" s="63"/>
      <x:c r="H270" s="63"/>
      <x:c r="I270" s="63"/>
    </x:row>
    <x:row r="271" ht="30" customHeight="1">
      <x:c r="C271" s="64"/>
      <x:c r="D271" s="63"/>
      <x:c r="E271" s="63"/>
      <x:c r="F271" s="63"/>
      <x:c r="G271" s="63"/>
      <x:c r="H271" s="63"/>
      <x:c r="I271" s="63"/>
    </x:row>
    <x:row r="272" ht="30" customHeight="1">
      <x:c r="C272" s="64"/>
      <x:c r="D272" s="63"/>
      <x:c r="E272" s="63"/>
      <x:c r="F272" s="63"/>
      <x:c r="G272" s="63"/>
      <x:c r="H272" s="63"/>
      <x:c r="I272" s="63"/>
    </x:row>
    <x:row r="273" ht="30" customHeight="1">
      <x:c r="C273" s="64"/>
      <x:c r="D273" s="63"/>
      <x:c r="E273" s="63"/>
      <x:c r="F273" s="63"/>
      <x:c r="G273" s="63"/>
      <x:c r="H273" s="63"/>
      <x:c r="I273" s="63"/>
    </x:row>
    <x:row r="274" ht="30" customHeight="1">
      <x:c r="C274" s="64"/>
      <x:c r="D274" s="63"/>
      <x:c r="E274" s="63"/>
      <x:c r="F274" s="63"/>
      <x:c r="G274" s="63"/>
      <x:c r="H274" s="63"/>
      <x:c r="I274" s="63"/>
    </x:row>
    <x:row r="275" ht="30" customHeight="1">
      <x:c r="C275" s="64"/>
      <x:c r="D275" s="63"/>
      <x:c r="E275" s="63"/>
      <x:c r="F275" s="63"/>
      <x:c r="G275" s="63"/>
      <x:c r="H275" s="63"/>
      <x:c r="I275" s="63"/>
    </x:row>
    <x:row r="276" ht="30" customHeight="1">
      <x:c r="C276" s="64"/>
      <x:c r="D276" s="63"/>
      <x:c r="E276" s="63"/>
      <x:c r="F276" s="63"/>
      <x:c r="G276" s="63"/>
      <x:c r="H276" s="63"/>
      <x:c r="I276" s="63"/>
    </x:row>
    <x:row r="277" ht="30" customHeight="1">
      <x:c r="C277" s="64"/>
      <x:c r="D277" s="63"/>
      <x:c r="E277" s="63"/>
      <x:c r="F277" s="63"/>
      <x:c r="G277" s="63"/>
      <x:c r="H277" s="63"/>
      <x:c r="I277" s="63"/>
    </x:row>
    <x:row r="278" ht="30" customHeight="1">
      <x:c r="C278" s="64"/>
      <x:c r="D278" s="63"/>
      <x:c r="E278" s="63"/>
      <x:c r="F278" s="63"/>
      <x:c r="G278" s="63"/>
      <x:c r="H278" s="63"/>
      <x:c r="I278" s="63"/>
    </x:row>
    <x:row r="279" ht="30" customHeight="1">
      <x:c r="C279" s="64"/>
      <x:c r="D279" s="63"/>
      <x:c r="E279" s="63"/>
      <x:c r="F279" s="63"/>
      <x:c r="G279" s="63"/>
      <x:c r="H279" s="63"/>
      <x:c r="I279" s="63"/>
    </x:row>
    <x:row r="280" ht="30" customHeight="1">
      <x:c r="C280" s="64"/>
      <x:c r="D280" s="63"/>
      <x:c r="E280" s="63"/>
      <x:c r="F280" s="63"/>
      <x:c r="G280" s="63"/>
      <x:c r="H280" s="63"/>
      <x:c r="I280" s="63"/>
    </x:row>
    <x:row r="281" ht="30" customHeight="1">
      <x:c r="C281" s="64"/>
      <x:c r="D281" s="63"/>
      <x:c r="E281" s="63"/>
      <x:c r="F281" s="63"/>
      <x:c r="G281" s="63"/>
      <x:c r="H281" s="63"/>
      <x:c r="I281" s="63"/>
    </x:row>
    <x:row r="282" ht="30" customHeight="1">
      <x:c r="C282" s="64"/>
      <x:c r="D282" s="63"/>
      <x:c r="E282" s="63"/>
      <x:c r="F282" s="63"/>
      <x:c r="G282" s="63"/>
      <x:c r="H282" s="63"/>
      <x:c r="I282" s="63"/>
    </x:row>
    <x:row r="283" ht="30" customHeight="1">
      <x:c r="C283" s="64"/>
      <x:c r="D283" s="63"/>
      <x:c r="E283" s="63"/>
      <x:c r="F283" s="63"/>
      <x:c r="G283" s="63"/>
      <x:c r="H283" s="63"/>
      <x:c r="I283" s="63"/>
    </x:row>
    <x:row r="284" ht="30" customHeight="1">
      <x:c r="C284" s="64"/>
      <x:c r="D284" s="63"/>
      <x:c r="E284" s="63"/>
      <x:c r="F284" s="63"/>
      <x:c r="G284" s="63"/>
      <x:c r="H284" s="63"/>
      <x:c r="I284" s="63"/>
    </x:row>
    <x:row r="285" ht="30" customHeight="1">
      <x:c r="C285" s="64"/>
      <x:c r="D285" s="63"/>
      <x:c r="E285" s="63"/>
      <x:c r="F285" s="63"/>
      <x:c r="G285" s="63"/>
      <x:c r="H285" s="63"/>
      <x:c r="I285" s="63"/>
    </x:row>
    <x:row r="286" ht="30" customHeight="1">
      <x:c r="C286" s="64"/>
      <x:c r="D286" s="63"/>
      <x:c r="E286" s="63"/>
      <x:c r="F286" s="63"/>
      <x:c r="G286" s="63"/>
      <x:c r="H286" s="63"/>
      <x:c r="I286" s="63"/>
    </x:row>
    <x:row r="287" ht="30" customHeight="1">
      <x:c r="C287" s="64"/>
      <x:c r="D287" s="63"/>
      <x:c r="E287" s="63"/>
      <x:c r="F287" s="63"/>
      <x:c r="G287" s="63"/>
      <x:c r="H287" s="63"/>
      <x:c r="I287" s="63"/>
    </x:row>
    <x:row r="288" ht="30" customHeight="1">
      <x:c r="C288" s="64"/>
      <x:c r="D288" s="63"/>
      <x:c r="E288" s="63"/>
      <x:c r="F288" s="63"/>
      <x:c r="G288" s="63"/>
      <x:c r="H288" s="63"/>
      <x:c r="I288" s="63"/>
    </x:row>
    <x:row r="289" ht="30" customHeight="1">
      <x:c r="C289" s="64"/>
      <x:c r="D289" s="63"/>
      <x:c r="E289" s="63"/>
      <x:c r="F289" s="63"/>
      <x:c r="G289" s="63"/>
      <x:c r="H289" s="63"/>
      <x:c r="I289" s="63"/>
    </x:row>
    <x:row r="290" ht="30" customHeight="1">
      <x:c r="C290" s="64"/>
      <x:c r="D290" s="63"/>
      <x:c r="E290" s="63"/>
      <x:c r="F290" s="63"/>
      <x:c r="G290" s="63"/>
      <x:c r="H290" s="63"/>
      <x:c r="I290" s="63"/>
    </x:row>
    <x:row r="291" ht="30" customHeight="1">
      <x:c r="C291" s="64"/>
      <x:c r="D291" s="63"/>
      <x:c r="E291" s="63"/>
      <x:c r="F291" s="63"/>
      <x:c r="G291" s="63"/>
      <x:c r="H291" s="63"/>
      <x:c r="I291" s="63"/>
    </x:row>
    <x:row r="292" ht="30" customHeight="1">
      <x:c r="C292" s="64"/>
      <x:c r="D292" s="63"/>
      <x:c r="E292" s="63"/>
      <x:c r="F292" s="63"/>
      <x:c r="G292" s="63"/>
      <x:c r="H292" s="63"/>
      <x:c r="I292" s="63"/>
    </x:row>
    <x:row r="293" ht="30" customHeight="1">
      <x:c r="C293" s="64"/>
      <x:c r="D293" s="63"/>
      <x:c r="E293" s="63"/>
      <x:c r="F293" s="63"/>
      <x:c r="G293" s="63"/>
      <x:c r="H293" s="63"/>
      <x:c r="I293" s="63"/>
    </x:row>
    <x:row r="294" ht="30" customHeight="1">
      <x:c r="C294" s="64"/>
      <x:c r="D294" s="63"/>
      <x:c r="E294" s="63"/>
      <x:c r="F294" s="63"/>
      <x:c r="G294" s="63"/>
      <x:c r="H294" s="63"/>
      <x:c r="I294" s="63"/>
    </x:row>
    <x:row r="295" ht="30" customHeight="1">
      <x:c r="C295" s="64"/>
      <x:c r="D295" s="63"/>
      <x:c r="E295" s="63"/>
      <x:c r="F295" s="63"/>
      <x:c r="G295" s="63"/>
      <x:c r="H295" s="63"/>
      <x:c r="I295" s="63"/>
    </x:row>
    <x:row r="296" ht="30" customHeight="1">
      <x:c r="C296" s="64"/>
      <x:c r="D296" s="63"/>
      <x:c r="E296" s="63"/>
      <x:c r="F296" s="63"/>
      <x:c r="G296" s="63"/>
      <x:c r="H296" s="63"/>
      <x:c r="I296" s="63"/>
    </x:row>
    <x:row r="297" ht="30" customHeight="1">
      <x:c r="C297" s="64"/>
      <x:c r="D297" s="63"/>
      <x:c r="E297" s="63"/>
      <x:c r="F297" s="63"/>
      <x:c r="G297" s="63"/>
      <x:c r="H297" s="63"/>
      <x:c r="I297" s="63"/>
    </x:row>
    <x:row r="298" ht="30" customHeight="1">
      <x:c r="C298" s="64"/>
      <x:c r="D298" s="63"/>
      <x:c r="E298" s="63"/>
      <x:c r="F298" s="63"/>
      <x:c r="G298" s="63"/>
      <x:c r="H298" s="63"/>
      <x:c r="I298" s="63"/>
    </x:row>
    <x:row r="299" ht="30" customHeight="1">
      <x:c r="C299" s="64"/>
      <x:c r="D299" s="63"/>
      <x:c r="E299" s="63"/>
      <x:c r="F299" s="63"/>
      <x:c r="G299" s="63"/>
      <x:c r="H299" s="63"/>
      <x:c r="I299" s="63"/>
    </x:row>
    <x:row r="300" ht="30" customHeight="1">
      <x:c r="C300" s="64"/>
      <x:c r="D300" s="63"/>
      <x:c r="E300" s="63"/>
      <x:c r="F300" s="63"/>
      <x:c r="G300" s="63"/>
      <x:c r="H300" s="63"/>
      <x:c r="I300" s="63"/>
    </x:row>
    <x:row r="301" ht="30" customHeight="1">
      <x:c r="C301" s="64"/>
      <x:c r="D301" s="63"/>
      <x:c r="E301" s="63"/>
      <x:c r="F301" s="63"/>
      <x:c r="G301" s="63"/>
      <x:c r="H301" s="63"/>
      <x:c r="I301" s="63"/>
    </x:row>
    <x:row r="302" ht="30" customHeight="1">
      <x:c r="C302" s="64"/>
      <x:c r="D302" s="63"/>
      <x:c r="E302" s="63"/>
      <x:c r="F302" s="63"/>
      <x:c r="G302" s="63"/>
      <x:c r="H302" s="63"/>
      <x:c r="I302" s="63"/>
    </x:row>
    <x:row r="303" ht="30" customHeight="1">
      <x:c r="C303" s="64"/>
      <x:c r="D303" s="63"/>
      <x:c r="E303" s="63"/>
      <x:c r="F303" s="63"/>
      <x:c r="G303" s="63"/>
      <x:c r="H303" s="63"/>
      <x:c r="I303" s="63"/>
    </x:row>
    <x:row r="304" ht="30" customHeight="1">
      <x:c r="C304" s="64"/>
      <x:c r="D304" s="63"/>
      <x:c r="E304" s="63"/>
      <x:c r="F304" s="63"/>
      <x:c r="G304" s="63"/>
      <x:c r="H304" s="63"/>
      <x:c r="I304" s="63"/>
    </x:row>
    <x:row r="305" ht="30" customHeight="1">
      <x:c r="C305" s="64"/>
      <x:c r="D305" s="63"/>
      <x:c r="E305" s="63"/>
      <x:c r="F305" s="63"/>
      <x:c r="G305" s="63"/>
      <x:c r="H305" s="63"/>
      <x:c r="I305" s="63"/>
    </x:row>
    <x:row r="306" ht="30" customHeight="1">
      <x:c r="C306" s="64"/>
      <x:c r="D306" s="63"/>
      <x:c r="E306" s="63"/>
      <x:c r="F306" s="63"/>
      <x:c r="G306" s="63"/>
      <x:c r="H306" s="63"/>
      <x:c r="I306" s="63"/>
    </x:row>
    <x:row r="307" ht="30" customHeight="1">
      <x:c r="C307" s="64"/>
      <x:c r="D307" s="63"/>
      <x:c r="E307" s="63"/>
      <x:c r="F307" s="63"/>
      <x:c r="G307" s="63"/>
      <x:c r="H307" s="63"/>
      <x:c r="I307" s="63"/>
    </x:row>
    <x:row r="308" ht="30" customHeight="1">
      <x:c r="C308" s="64"/>
      <x:c r="D308" s="63"/>
      <x:c r="E308" s="63"/>
      <x:c r="F308" s="63"/>
      <x:c r="G308" s="63"/>
      <x:c r="H308" s="63"/>
      <x:c r="I308" s="63"/>
    </x:row>
    <x:row r="309" ht="30" customHeight="1">
      <x:c r="C309" s="64"/>
      <x:c r="D309" s="63"/>
      <x:c r="E309" s="63"/>
      <x:c r="F309" s="63"/>
      <x:c r="G309" s="63"/>
      <x:c r="H309" s="63"/>
      <x:c r="I309" s="63"/>
    </x:row>
    <x:row r="310" ht="30" customHeight="1">
      <x:c r="C310" s="64"/>
      <x:c r="D310" s="63"/>
      <x:c r="E310" s="63"/>
      <x:c r="F310" s="63"/>
      <x:c r="G310" s="63"/>
      <x:c r="H310" s="63"/>
      <x:c r="I310" s="63"/>
    </x:row>
    <x:row r="311" ht="30" customHeight="1">
      <x:c r="C311" s="64"/>
      <x:c r="D311" s="63"/>
      <x:c r="E311" s="63"/>
      <x:c r="F311" s="63"/>
      <x:c r="G311" s="63"/>
      <x:c r="H311" s="63"/>
      <x:c r="I311" s="63"/>
    </x:row>
    <x:row r="312" ht="30" customHeight="1">
      <x:c r="C312" s="64"/>
      <x:c r="D312" s="63"/>
      <x:c r="E312" s="63"/>
      <x:c r="F312" s="63"/>
      <x:c r="G312" s="63"/>
      <x:c r="H312" s="63"/>
      <x:c r="I312" s="63"/>
    </x:row>
    <x:row r="313" ht="30" customHeight="1">
      <x:c r="C313" s="64"/>
      <x:c r="D313" s="63"/>
      <x:c r="E313" s="63"/>
      <x:c r="F313" s="63"/>
      <x:c r="G313" s="63"/>
      <x:c r="H313" s="63"/>
      <x:c r="I313" s="63"/>
    </x:row>
    <x:row r="314" ht="30" customHeight="1">
      <x:c r="C314" s="64"/>
      <x:c r="D314" s="63"/>
      <x:c r="E314" s="63"/>
      <x:c r="F314" s="63"/>
      <x:c r="G314" s="63"/>
      <x:c r="H314" s="63"/>
      <x:c r="I314" s="63"/>
    </x:row>
    <x:row r="315" ht="30" customHeight="1">
      <x:c r="C315" s="64"/>
      <x:c r="D315" s="63"/>
      <x:c r="E315" s="63"/>
      <x:c r="F315" s="63"/>
      <x:c r="G315" s="63"/>
      <x:c r="H315" s="63"/>
      <x:c r="I315" s="63"/>
    </x:row>
    <x:row r="316" ht="30" customHeight="1">
      <x:c r="C316" s="64"/>
      <x:c r="D316" s="63"/>
      <x:c r="E316" s="63"/>
      <x:c r="F316" s="63"/>
      <x:c r="G316" s="63"/>
      <x:c r="H316" s="63"/>
      <x:c r="I316" s="63"/>
    </x:row>
    <x:row r="317" ht="30" customHeight="1">
      <x:c r="C317" s="64"/>
      <x:c r="D317" s="63"/>
      <x:c r="E317" s="63"/>
      <x:c r="F317" s="63"/>
      <x:c r="G317" s="63"/>
      <x:c r="H317" s="63"/>
      <x:c r="I317" s="63"/>
    </x:row>
    <x:row r="318" ht="30" customHeight="1">
      <x:c r="C318" s="64"/>
      <x:c r="D318" s="63"/>
      <x:c r="E318" s="63"/>
      <x:c r="F318" s="63"/>
      <x:c r="G318" s="63"/>
      <x:c r="H318" s="63"/>
      <x:c r="I318" s="63"/>
    </x:row>
    <x:row r="319" ht="30" customHeight="1">
      <x:c r="C319" s="64"/>
      <x:c r="D319" s="63"/>
      <x:c r="E319" s="63"/>
      <x:c r="F319" s="63"/>
      <x:c r="G319" s="63"/>
      <x:c r="H319" s="63"/>
      <x:c r="I319" s="63"/>
    </x:row>
    <x:row r="320" ht="30" customHeight="1">
      <x:c r="C320" s="64"/>
      <x:c r="D320" s="63"/>
      <x:c r="E320" s="63"/>
      <x:c r="F320" s="63"/>
      <x:c r="G320" s="63"/>
      <x:c r="H320" s="63"/>
      <x:c r="I320" s="63"/>
    </x:row>
    <x:row r="321" ht="30" customHeight="1">
      <x:c r="C321" s="64"/>
      <x:c r="D321" s="63"/>
      <x:c r="E321" s="63"/>
      <x:c r="F321" s="63"/>
      <x:c r="G321" s="63"/>
      <x:c r="H321" s="63"/>
      <x:c r="I321" s="63"/>
    </x:row>
    <x:row r="322" ht="30" customHeight="1">
      <x:c r="C322" s="64"/>
      <x:c r="D322" s="63"/>
      <x:c r="E322" s="63"/>
      <x:c r="F322" s="63"/>
      <x:c r="G322" s="63"/>
      <x:c r="H322" s="63"/>
      <x:c r="I322" s="63"/>
    </x:row>
    <x:row r="323" ht="30" customHeight="1">
      <x:c r="C323" s="64"/>
      <x:c r="D323" s="63"/>
      <x:c r="E323" s="63"/>
      <x:c r="F323" s="63"/>
      <x:c r="G323" s="63"/>
      <x:c r="H323" s="63"/>
      <x:c r="I323" s="63"/>
    </x:row>
    <x:row r="324" ht="30" customHeight="1">
      <x:c r="C324" s="64"/>
      <x:c r="D324" s="63"/>
      <x:c r="E324" s="63"/>
      <x:c r="F324" s="63"/>
      <x:c r="G324" s="63"/>
      <x:c r="H324" s="63"/>
      <x:c r="I324" s="63"/>
    </x:row>
    <x:row r="325" ht="30" customHeight="1">
      <x:c r="C325" s="64"/>
      <x:c r="D325" s="63"/>
      <x:c r="E325" s="63"/>
      <x:c r="F325" s="63"/>
      <x:c r="G325" s="63"/>
      <x:c r="H325" s="63"/>
      <x:c r="I325" s="63"/>
    </x:row>
    <x:row r="326" ht="30" customHeight="1">
      <x:c r="C326" s="64"/>
      <x:c r="D326" s="63"/>
      <x:c r="E326" s="63"/>
      <x:c r="F326" s="63"/>
      <x:c r="G326" s="63"/>
      <x:c r="H326" s="63"/>
      <x:c r="I326" s="63"/>
    </x:row>
    <x:row r="327" ht="30" customHeight="1">
      <x:c r="C327" s="64"/>
      <x:c r="D327" s="63"/>
      <x:c r="E327" s="63"/>
      <x:c r="F327" s="63"/>
      <x:c r="G327" s="63"/>
      <x:c r="H327" s="63"/>
      <x:c r="I327" s="63"/>
    </x:row>
    <x:row r="328" ht="30" customHeight="1">
      <x:c r="C328" s="64"/>
      <x:c r="D328" s="63"/>
      <x:c r="E328" s="63"/>
      <x:c r="F328" s="63"/>
      <x:c r="G328" s="63"/>
      <x:c r="H328" s="63"/>
      <x:c r="I328" s="63"/>
    </x:row>
    <x:row r="329" ht="30" customHeight="1">
      <x:c r="C329" s="64"/>
      <x:c r="D329" s="63"/>
      <x:c r="E329" s="63"/>
      <x:c r="F329" s="63"/>
      <x:c r="G329" s="63"/>
      <x:c r="H329" s="63"/>
      <x:c r="I329" s="63"/>
    </x:row>
    <x:row r="330" ht="30" customHeight="1">
      <x:c r="C330" s="64"/>
      <x:c r="D330" s="63"/>
      <x:c r="E330" s="63"/>
      <x:c r="F330" s="63"/>
      <x:c r="G330" s="63"/>
      <x:c r="H330" s="63"/>
      <x:c r="I330" s="63"/>
    </x:row>
    <x:row r="331" ht="30" customHeight="1">
      <x:c r="C331" s="64"/>
      <x:c r="D331" s="63"/>
      <x:c r="E331" s="63"/>
      <x:c r="F331" s="63"/>
      <x:c r="G331" s="63"/>
      <x:c r="H331" s="63"/>
      <x:c r="I331" s="63"/>
    </x:row>
    <x:row r="332" ht="30" customHeight="1">
      <x:c r="C332" s="64"/>
      <x:c r="D332" s="63"/>
      <x:c r="E332" s="63"/>
      <x:c r="F332" s="63"/>
      <x:c r="G332" s="63"/>
      <x:c r="H332" s="63"/>
      <x:c r="I332" s="63"/>
    </x:row>
    <x:row r="333" ht="30" customHeight="1">
      <x:c r="C333" s="64"/>
      <x:c r="D333" s="63"/>
      <x:c r="E333" s="63"/>
      <x:c r="F333" s="63"/>
      <x:c r="G333" s="63"/>
      <x:c r="H333" s="63"/>
      <x:c r="I333" s="63"/>
    </x:row>
    <x:row r="334" ht="30" customHeight="1">
      <x:c r="C334" s="64"/>
      <x:c r="D334" s="63"/>
      <x:c r="E334" s="63"/>
      <x:c r="F334" s="63"/>
      <x:c r="G334" s="63"/>
      <x:c r="H334" s="63"/>
      <x:c r="I334" s="63"/>
    </x:row>
    <x:row r="335" ht="30" customHeight="1">
      <x:c r="C335" s="64"/>
      <x:c r="D335" s="63"/>
      <x:c r="E335" s="63"/>
      <x:c r="F335" s="63"/>
      <x:c r="G335" s="63"/>
      <x:c r="H335" s="63"/>
      <x:c r="I335" s="63"/>
    </x:row>
    <x:row r="336" ht="30" customHeight="1">
      <x:c r="C336" s="64"/>
      <x:c r="D336" s="63"/>
      <x:c r="E336" s="63"/>
      <x:c r="F336" s="63"/>
      <x:c r="G336" s="63"/>
      <x:c r="H336" s="63"/>
      <x:c r="I336" s="63"/>
    </x:row>
    <x:row r="337" ht="30" customHeight="1">
      <x:c r="C337" s="64"/>
      <x:c r="D337" s="63"/>
      <x:c r="E337" s="63"/>
      <x:c r="F337" s="63"/>
      <x:c r="G337" s="63"/>
      <x:c r="H337" s="63"/>
      <x:c r="I337" s="63"/>
    </x:row>
    <x:row r="338" ht="30" customHeight="1">
      <x:c r="C338" s="64"/>
      <x:c r="D338" s="63"/>
      <x:c r="E338" s="63"/>
      <x:c r="F338" s="63"/>
      <x:c r="G338" s="63"/>
      <x:c r="H338" s="63"/>
      <x:c r="I338" s="63"/>
    </x:row>
    <x:row r="339" ht="30" customHeight="1">
      <x:c r="C339" s="64"/>
      <x:c r="D339" s="63"/>
      <x:c r="E339" s="63"/>
      <x:c r="F339" s="63"/>
      <x:c r="G339" s="63"/>
      <x:c r="H339" s="63"/>
      <x:c r="I339" s="63"/>
    </x:row>
    <x:row r="340" ht="30" customHeight="1">
      <x:c r="C340" s="64"/>
      <x:c r="D340" s="63"/>
      <x:c r="E340" s="63"/>
      <x:c r="F340" s="63"/>
      <x:c r="G340" s="63"/>
      <x:c r="H340" s="63"/>
      <x:c r="I340" s="63"/>
    </x:row>
    <x:row r="341" ht="30" customHeight="1">
      <x:c r="C341" s="64"/>
      <x:c r="D341" s="63"/>
      <x:c r="E341" s="63"/>
      <x:c r="F341" s="63"/>
      <x:c r="G341" s="63"/>
      <x:c r="H341" s="63"/>
      <x:c r="I341" s="63"/>
    </x:row>
    <x:row r="342" ht="30" customHeight="1">
      <x:c r="C342" s="64"/>
      <x:c r="D342" s="63"/>
      <x:c r="E342" s="63"/>
      <x:c r="F342" s="63"/>
      <x:c r="G342" s="63"/>
      <x:c r="H342" s="63"/>
      <x:c r="I342" s="63"/>
    </x:row>
    <x:row r="343" ht="30" customHeight="1">
      <x:c r="C343" s="64"/>
      <x:c r="D343" s="63"/>
      <x:c r="E343" s="63"/>
      <x:c r="F343" s="63"/>
      <x:c r="G343" s="63"/>
      <x:c r="H343" s="63"/>
      <x:c r="I343" s="63"/>
    </x:row>
    <x:row r="344" ht="30" customHeight="1">
      <x:c r="C344" s="64"/>
      <x:c r="D344" s="63"/>
      <x:c r="E344" s="63"/>
      <x:c r="F344" s="63"/>
      <x:c r="G344" s="63"/>
      <x:c r="H344" s="63"/>
      <x:c r="I344" s="63"/>
    </x:row>
    <x:row r="345" ht="30" customHeight="1">
      <x:c r="C345" s="64"/>
      <x:c r="D345" s="63"/>
      <x:c r="E345" s="63"/>
      <x:c r="F345" s="63"/>
      <x:c r="G345" s="63"/>
      <x:c r="H345" s="63"/>
      <x:c r="I345" s="63"/>
    </x:row>
    <x:row r="346" ht="30" customHeight="1">
      <x:c r="C346" s="64"/>
      <x:c r="D346" s="63"/>
      <x:c r="E346" s="63"/>
      <x:c r="F346" s="63"/>
      <x:c r="G346" s="63"/>
      <x:c r="H346" s="63"/>
      <x:c r="I346" s="63"/>
    </x:row>
    <x:row r="347" ht="30" customHeight="1">
      <x:c r="C347" s="64"/>
      <x:c r="D347" s="63"/>
      <x:c r="E347" s="63"/>
      <x:c r="F347" s="63"/>
      <x:c r="G347" s="63"/>
      <x:c r="H347" s="63"/>
      <x:c r="I347" s="63"/>
    </x:row>
    <x:row r="348" ht="30" customHeight="1">
      <x:c r="C348" s="64"/>
      <x:c r="D348" s="63"/>
      <x:c r="E348" s="63"/>
      <x:c r="F348" s="63"/>
      <x:c r="G348" s="63"/>
      <x:c r="H348" s="63"/>
      <x:c r="I348" s="63"/>
    </x:row>
    <x:row r="349" ht="30" customHeight="1">
      <x:c r="C349" s="64"/>
      <x:c r="D349" s="63"/>
      <x:c r="E349" s="63"/>
      <x:c r="F349" s="63"/>
      <x:c r="G349" s="63"/>
      <x:c r="H349" s="63"/>
      <x:c r="I349" s="63"/>
    </x:row>
    <x:row r="350" ht="30" customHeight="1">
      <x:c r="C350" s="64"/>
      <x:c r="D350" s="63"/>
      <x:c r="E350" s="63"/>
      <x:c r="F350" s="63"/>
      <x:c r="G350" s="63"/>
      <x:c r="H350" s="63"/>
      <x:c r="I350" s="63"/>
    </x:row>
    <x:row r="351" ht="30" customHeight="1">
      <x:c r="C351" s="64"/>
      <x:c r="D351" s="63"/>
      <x:c r="E351" s="63"/>
      <x:c r="F351" s="63"/>
      <x:c r="G351" s="63"/>
      <x:c r="H351" s="63"/>
      <x:c r="I351" s="63"/>
    </x:row>
    <x:row r="352" ht="30" customHeight="1">
      <x:c r="C352" s="64"/>
      <x:c r="D352" s="63"/>
      <x:c r="E352" s="63"/>
      <x:c r="F352" s="63"/>
      <x:c r="G352" s="63"/>
      <x:c r="H352" s="63"/>
      <x:c r="I352" s="63"/>
    </x:row>
    <x:row r="353" ht="30" customHeight="1">
      <x:c r="C353" s="64"/>
      <x:c r="D353" s="63"/>
      <x:c r="E353" s="63"/>
      <x:c r="F353" s="63"/>
      <x:c r="G353" s="63"/>
      <x:c r="H353" s="63"/>
      <x:c r="I353" s="63"/>
    </x:row>
    <x:row r="354" ht="30" customHeight="1">
      <x:c r="C354" s="64"/>
      <x:c r="D354" s="63"/>
      <x:c r="E354" s="63"/>
      <x:c r="F354" s="63"/>
      <x:c r="G354" s="63"/>
      <x:c r="H354" s="63"/>
      <x:c r="I354" s="63"/>
    </x:row>
    <x:row r="355" ht="30" customHeight="1">
      <x:c r="C355" s="64"/>
      <x:c r="D355" s="63"/>
      <x:c r="E355" s="63"/>
      <x:c r="F355" s="63"/>
      <x:c r="G355" s="63"/>
      <x:c r="H355" s="63"/>
      <x:c r="I355" s="63"/>
    </x:row>
    <x:row r="356" ht="30" customHeight="1">
      <x:c r="C356" s="64"/>
      <x:c r="D356" s="63"/>
      <x:c r="E356" s="63"/>
      <x:c r="F356" s="63"/>
      <x:c r="G356" s="63"/>
      <x:c r="H356" s="63"/>
      <x:c r="I356" s="63"/>
    </x:row>
    <x:row r="357" ht="30" customHeight="1">
      <x:c r="C357" s="64"/>
      <x:c r="D357" s="63"/>
      <x:c r="E357" s="63"/>
      <x:c r="F357" s="63"/>
      <x:c r="G357" s="63"/>
      <x:c r="H357" s="63"/>
      <x:c r="I357" s="63"/>
    </x:row>
    <x:row r="358" ht="30" customHeight="1">
      <x:c r="C358" s="64"/>
      <x:c r="D358" s="63"/>
      <x:c r="E358" s="63"/>
      <x:c r="F358" s="63"/>
      <x:c r="G358" s="63"/>
      <x:c r="H358" s="63"/>
      <x:c r="I358" s="63"/>
    </x:row>
    <x:row r="359" ht="30" customHeight="1">
      <x:c r="C359" s="64"/>
      <x:c r="D359" s="63"/>
      <x:c r="E359" s="63"/>
      <x:c r="F359" s="63"/>
      <x:c r="G359" s="63"/>
      <x:c r="H359" s="63"/>
      <x:c r="I359" s="63"/>
    </x:row>
    <x:row r="360" ht="30" customHeight="1">
      <x:c r="C360" s="64"/>
      <x:c r="D360" s="63"/>
      <x:c r="E360" s="63"/>
      <x:c r="F360" s="63"/>
      <x:c r="G360" s="63"/>
      <x:c r="H360" s="63"/>
      <x:c r="I360" s="63"/>
    </x:row>
    <x:row r="361" ht="30" customHeight="1">
      <x:c r="C361" s="64"/>
      <x:c r="D361" s="63"/>
      <x:c r="E361" s="63"/>
      <x:c r="F361" s="63"/>
      <x:c r="G361" s="63"/>
      <x:c r="H361" s="63"/>
      <x:c r="I361" s="63"/>
    </x:row>
    <x:row r="362" ht="30" customHeight="1">
      <x:c r="C362" s="64"/>
      <x:c r="D362" s="63"/>
      <x:c r="E362" s="63"/>
      <x:c r="F362" s="63"/>
      <x:c r="G362" s="63"/>
      <x:c r="H362" s="63"/>
      <x:c r="I362" s="63"/>
    </x:row>
    <x:row r="363" ht="30" customHeight="1">
      <x:c r="C363" s="64"/>
      <x:c r="D363" s="63"/>
      <x:c r="E363" s="63"/>
      <x:c r="F363" s="63"/>
      <x:c r="G363" s="63"/>
      <x:c r="H363" s="63"/>
      <x:c r="I363" s="63"/>
    </x:row>
    <x:row r="364" ht="30" customHeight="1">
      <x:c r="C364" s="64"/>
      <x:c r="D364" s="63"/>
      <x:c r="E364" s="63"/>
      <x:c r="F364" s="63"/>
      <x:c r="G364" s="63"/>
      <x:c r="H364" s="63"/>
      <x:c r="I364" s="63"/>
    </x:row>
    <x:row r="365" ht="30" customHeight="1">
      <x:c r="C365" s="64"/>
      <x:c r="D365" s="63"/>
      <x:c r="E365" s="63"/>
      <x:c r="F365" s="63"/>
      <x:c r="G365" s="63"/>
      <x:c r="H365" s="63"/>
      <x:c r="I365" s="63"/>
    </x:row>
    <x:row r="366" ht="30" customHeight="1">
      <x:c r="C366" s="64"/>
      <x:c r="D366" s="63"/>
      <x:c r="E366" s="63"/>
      <x:c r="F366" s="63"/>
      <x:c r="G366" s="63"/>
      <x:c r="H366" s="63"/>
      <x:c r="I366" s="63"/>
    </x:row>
    <x:row r="367" ht="30" customHeight="1">
      <x:c r="C367" s="64"/>
      <x:c r="D367" s="63"/>
      <x:c r="E367" s="63"/>
      <x:c r="F367" s="63"/>
      <x:c r="G367" s="63"/>
      <x:c r="H367" s="63"/>
      <x:c r="I367" s="63"/>
    </x:row>
    <x:row r="368" ht="30" customHeight="1">
      <x:c r="C368" s="64"/>
      <x:c r="D368" s="63"/>
      <x:c r="E368" s="63"/>
      <x:c r="F368" s="63"/>
      <x:c r="G368" s="63"/>
      <x:c r="H368" s="63"/>
      <x:c r="I368" s="63"/>
    </x:row>
    <x:row r="369" ht="30" customHeight="1">
      <x:c r="C369" s="64"/>
      <x:c r="D369" s="63"/>
      <x:c r="E369" s="63"/>
      <x:c r="F369" s="63"/>
      <x:c r="G369" s="63"/>
      <x:c r="H369" s="63"/>
      <x:c r="I369" s="63"/>
    </x:row>
    <x:row r="370" ht="30" customHeight="1">
      <x:c r="C370" s="64"/>
      <x:c r="D370" s="63"/>
      <x:c r="E370" s="63"/>
      <x:c r="F370" s="63"/>
      <x:c r="G370" s="63"/>
      <x:c r="H370" s="63"/>
      <x:c r="I370" s="63"/>
    </x:row>
    <x:row r="371" ht="30" customHeight="1">
      <x:c r="C371" s="64"/>
      <x:c r="D371" s="63"/>
      <x:c r="E371" s="63"/>
      <x:c r="F371" s="63"/>
      <x:c r="G371" s="63"/>
      <x:c r="H371" s="63"/>
      <x:c r="I371" s="63"/>
    </x:row>
    <x:row r="372" ht="30" customHeight="1">
      <x:c r="C372" s="64"/>
      <x:c r="D372" s="63"/>
      <x:c r="E372" s="63"/>
      <x:c r="F372" s="63"/>
      <x:c r="G372" s="63"/>
      <x:c r="H372" s="63"/>
      <x:c r="I372" s="63"/>
    </x:row>
    <x:row r="373" ht="30" customHeight="1">
      <x:c r="C373" s="64"/>
      <x:c r="D373" s="63"/>
      <x:c r="E373" s="63"/>
      <x:c r="F373" s="63"/>
      <x:c r="G373" s="63"/>
      <x:c r="H373" s="63"/>
      <x:c r="I373" s="63"/>
    </x:row>
    <x:row r="374" ht="30" customHeight="1">
      <x:c r="C374" s="64"/>
      <x:c r="D374" s="63"/>
      <x:c r="E374" s="63"/>
      <x:c r="F374" s="63"/>
      <x:c r="G374" s="63"/>
      <x:c r="H374" s="63"/>
      <x:c r="I374" s="63"/>
    </x:row>
    <x:row r="375" ht="30" customHeight="1">
      <x:c r="C375" s="64"/>
      <x:c r="D375" s="63"/>
      <x:c r="E375" s="63"/>
      <x:c r="F375" s="63"/>
      <x:c r="G375" s="63"/>
      <x:c r="H375" s="63"/>
      <x:c r="I375" s="63"/>
    </x:row>
    <x:row r="376" ht="30" customHeight="1">
      <x:c r="C376" s="64"/>
      <x:c r="D376" s="63"/>
      <x:c r="E376" s="63"/>
      <x:c r="F376" s="63"/>
      <x:c r="G376" s="63"/>
      <x:c r="H376" s="63"/>
      <x:c r="I376" s="63"/>
    </x:row>
    <x:row r="377" ht="30" customHeight="1">
      <x:c r="C377" s="64"/>
      <x:c r="D377" s="63"/>
      <x:c r="E377" s="63"/>
      <x:c r="F377" s="63"/>
      <x:c r="G377" s="63"/>
      <x:c r="H377" s="63"/>
      <x:c r="I377" s="63"/>
    </x:row>
    <x:row r="378" ht="30" customHeight="1">
      <x:c r="C378" s="64"/>
      <x:c r="D378" s="63"/>
      <x:c r="E378" s="63"/>
      <x:c r="F378" s="63"/>
      <x:c r="G378" s="63"/>
      <x:c r="H378" s="63"/>
      <x:c r="I378" s="63"/>
    </x:row>
    <x:row r="379" ht="30" customHeight="1">
      <x:c r="C379" s="64"/>
      <x:c r="D379" s="63"/>
      <x:c r="E379" s="63"/>
      <x:c r="F379" s="63"/>
      <x:c r="G379" s="63"/>
      <x:c r="H379" s="63"/>
      <x:c r="I379" s="63"/>
    </x:row>
    <x:row r="380" ht="30" customHeight="1">
      <x:c r="C380" s="64"/>
      <x:c r="D380" s="63"/>
      <x:c r="E380" s="63"/>
      <x:c r="F380" s="63"/>
      <x:c r="G380" s="63"/>
      <x:c r="H380" s="63"/>
      <x:c r="I380" s="63"/>
    </x:row>
    <x:row r="381" ht="30" customHeight="1">
      <x:c r="C381" s="64"/>
      <x:c r="D381" s="63"/>
      <x:c r="E381" s="63"/>
      <x:c r="F381" s="63"/>
      <x:c r="G381" s="63"/>
      <x:c r="H381" s="63"/>
      <x:c r="I381" s="63"/>
    </x:row>
    <x:row r="382" ht="30" customHeight="1">
      <x:c r="C382" s="64"/>
      <x:c r="D382" s="63"/>
      <x:c r="E382" s="63"/>
      <x:c r="F382" s="63"/>
      <x:c r="G382" s="63"/>
      <x:c r="H382" s="63"/>
      <x:c r="I382" s="63"/>
    </x:row>
    <x:row r="383" ht="30" customHeight="1">
      <x:c r="C383" s="64"/>
      <x:c r="D383" s="63"/>
      <x:c r="E383" s="63"/>
      <x:c r="F383" s="63"/>
      <x:c r="G383" s="63"/>
      <x:c r="H383" s="63"/>
      <x:c r="I383" s="63"/>
    </x:row>
    <x:row r="384" ht="30" customHeight="1">
      <x:c r="C384" s="64"/>
      <x:c r="D384" s="63"/>
      <x:c r="E384" s="63"/>
      <x:c r="F384" s="63"/>
      <x:c r="G384" s="63"/>
      <x:c r="H384" s="63"/>
      <x:c r="I384" s="63"/>
    </x:row>
    <x:row r="385" ht="30" customHeight="1">
      <x:c r="C385" s="64"/>
      <x:c r="D385" s="63"/>
      <x:c r="E385" s="63"/>
      <x:c r="F385" s="63"/>
      <x:c r="G385" s="63"/>
      <x:c r="H385" s="63"/>
      <x:c r="I385" s="63"/>
    </x:row>
    <x:row r="386" ht="30" customHeight="1">
      <x:c r="C386" s="64"/>
      <x:c r="D386" s="63"/>
      <x:c r="E386" s="63"/>
      <x:c r="F386" s="63"/>
      <x:c r="G386" s="63"/>
      <x:c r="H386" s="63"/>
      <x:c r="I386" s="63"/>
    </x:row>
    <x:row r="387" ht="30" customHeight="1">
      <x:c r="C387" s="64"/>
      <x:c r="D387" s="63"/>
      <x:c r="E387" s="63"/>
      <x:c r="F387" s="63"/>
      <x:c r="G387" s="63"/>
      <x:c r="H387" s="63"/>
      <x:c r="I387" s="63"/>
    </x:row>
    <x:row r="388" ht="30" customHeight="1">
      <x:c r="C388" s="64"/>
      <x:c r="D388" s="63"/>
      <x:c r="E388" s="63"/>
      <x:c r="F388" s="63"/>
      <x:c r="G388" s="63"/>
      <x:c r="H388" s="63"/>
      <x:c r="I388" s="63"/>
    </x:row>
    <x:row r="389" ht="30" customHeight="1">
      <x:c r="C389" s="64"/>
      <x:c r="D389" s="63"/>
      <x:c r="E389" s="63"/>
      <x:c r="F389" s="63"/>
      <x:c r="G389" s="63"/>
      <x:c r="H389" s="63"/>
      <x:c r="I389" s="63"/>
    </x:row>
    <x:row r="390" ht="30" customHeight="1">
      <x:c r="C390" s="64"/>
      <x:c r="D390" s="63"/>
      <x:c r="E390" s="63"/>
      <x:c r="F390" s="63"/>
      <x:c r="G390" s="63"/>
      <x:c r="H390" s="63"/>
      <x:c r="I390" s="63"/>
    </x:row>
    <x:row r="391" ht="30" customHeight="1">
      <x:c r="C391" s="64"/>
      <x:c r="D391" s="63"/>
      <x:c r="E391" s="63"/>
      <x:c r="F391" s="63"/>
      <x:c r="G391" s="63"/>
      <x:c r="H391" s="63"/>
      <x:c r="I391" s="63"/>
    </x:row>
    <x:row r="392" ht="30" customHeight="1">
      <x:c r="C392" s="64"/>
      <x:c r="D392" s="63"/>
      <x:c r="E392" s="63"/>
      <x:c r="F392" s="63"/>
      <x:c r="G392" s="63"/>
      <x:c r="H392" s="63"/>
      <x:c r="I392" s="63"/>
    </x:row>
    <x:row r="393" ht="30" customHeight="1">
      <x:c r="C393" s="64"/>
      <x:c r="D393" s="63"/>
      <x:c r="E393" s="63"/>
      <x:c r="F393" s="63"/>
      <x:c r="G393" s="63"/>
      <x:c r="H393" s="63"/>
      <x:c r="I393" s="63"/>
    </x:row>
    <x:row r="394" ht="30" customHeight="1">
      <x:c r="C394" s="64"/>
      <x:c r="D394" s="63"/>
      <x:c r="E394" s="63"/>
      <x:c r="F394" s="63"/>
      <x:c r="G394" s="63"/>
      <x:c r="H394" s="63"/>
      <x:c r="I394" s="63"/>
    </x:row>
    <x:row r="395" ht="30" customHeight="1">
      <x:c r="C395" s="64"/>
      <x:c r="D395" s="63"/>
      <x:c r="E395" s="63"/>
      <x:c r="F395" s="63"/>
      <x:c r="G395" s="63"/>
      <x:c r="H395" s="63"/>
      <x:c r="I395" s="63"/>
    </x:row>
    <x:row r="396" ht="30" customHeight="1">
      <x:c r="C396" s="64"/>
      <x:c r="D396" s="63"/>
      <x:c r="E396" s="63"/>
      <x:c r="F396" s="63"/>
      <x:c r="G396" s="63"/>
      <x:c r="H396" s="63"/>
      <x:c r="I396" s="63"/>
    </x:row>
    <x:row r="397" ht="30" customHeight="1">
      <x:c r="C397" s="64"/>
      <x:c r="D397" s="63"/>
      <x:c r="E397" s="63"/>
      <x:c r="F397" s="63"/>
      <x:c r="G397" s="63"/>
      <x:c r="H397" s="63"/>
      <x:c r="I397" s="63"/>
    </x:row>
    <x:row r="398" ht="25" customHeight="1">
      <x:c r="C398" s="68" t="str">
        <x:v>SCENARIO ASSUMPTIONS</x:v>
      </x:c>
      <x:c r="D398" s="82"/>
      <x:c r="E398" s="82"/>
      <x:c r="F398" s="82"/>
      <x:c r="G398" s="82"/>
      <x:c r="H398" s="82"/>
      <x:c r="I398" s="82"/>
    </x:row>
    <x:row r="399" ht="30" customHeight="1">
      <x:c r="C399" s="64"/>
      <x:c r="D399" s="63"/>
      <x:c r="E399" s="63"/>
      <x:c r="F399" s="63"/>
      <x:c r="G399" s="63"/>
      <x:c r="H399" s="63"/>
      <x:c r="I399" s="63"/>
    </x:row>
    <x:row r="400" ht="30" customHeight="1">
      <x:c r="C400" s="64" t="str">
        <x:v>Opening backlog completed / recognized — active</x:v>
      </x:c>
      <x:c r="D400" s="63"/>
      <x:c r="E400" s="83" t="n">
        <x:f>IF(COUNT(CHOOSE('Controls'!$E$5,E401,E402,E403))=1,CHOOSE('Controls'!$E$5,E401,E402,E403),NA())</x:f>
        <x:v>0.3</x:v>
      </x:c>
      <x:c r="F400" s="83" t="n">
        <x:f>IF(COUNT(CHOOSE('Controls'!$E$5,F401,F402,F403))=1,CHOOSE('Controls'!$E$5,F401,F402,F403),NA())</x:f>
        <x:v>0.3</x:v>
      </x:c>
      <x:c r="G400" s="83" t="n">
        <x:f>IF(COUNT(CHOOSE('Controls'!$E$5,G401,G402,G403))=1,CHOOSE('Controls'!$E$5,G401,G402,G403),NA())</x:f>
        <x:v>0.3</x:v>
      </x:c>
      <x:c r="H400" s="83" t="n">
        <x:f>IF(COUNT(CHOOSE('Controls'!$E$5,H401,H402,H403))=1,CHOOSE('Controls'!$E$5,H401,H402,H403),NA())</x:f>
        <x:v>0.3</x:v>
      </x:c>
      <x:c r="I400" s="83" t="n">
        <x:f>IF(COUNT(CHOOSE('Controls'!$E$5,I401,I402,I403))=1,CHOOSE('Controls'!$E$5,I401,I402,I403),NA())</x:f>
        <x:v>0.3</x:v>
      </x:c>
    </x:row>
    <x:row r="401" ht="30" customHeight="1">
      <x:c r="C401" s="64" t="str">
        <x:v>Base</x:v>
      </x:c>
      <x:c r="D401" s="63"/>
      <x:c r="E401" s="85" t="n">
        <x:v>0.3</x:v>
      </x:c>
      <x:c r="F401" s="85" t="n">
        <x:v>0.3</x:v>
      </x:c>
      <x:c r="G401" s="85" t="n">
        <x:v>0.3</x:v>
      </x:c>
      <x:c r="H401" s="85" t="n">
        <x:v>0.3</x:v>
      </x:c>
      <x:c r="I401" s="85" t="n">
        <x:v>0.3</x:v>
      </x:c>
    </x:row>
    <x:row r="402" ht="30" customHeight="1">
      <x:c r="C402" s="64" t="str">
        <x:v>Downside</x:v>
      </x:c>
      <x:c r="D402" s="63"/>
      <x:c r="E402" s="85" t="n">
        <x:v>0.3</x:v>
      </x:c>
      <x:c r="F402" s="85" t="n">
        <x:v>0.3</x:v>
      </x:c>
      <x:c r="G402" s="85" t="n">
        <x:v>0.3</x:v>
      </x:c>
      <x:c r="H402" s="85" t="n">
        <x:v>0.3</x:v>
      </x:c>
      <x:c r="I402" s="85" t="n">
        <x:v>0.3</x:v>
      </x:c>
    </x:row>
    <x:row r="403" ht="30" customHeight="1">
      <x:c r="C403" s="64" t="str">
        <x:v>Upside</x:v>
      </x:c>
      <x:c r="D403" s="63"/>
      <x:c r="E403" s="85" t="n">
        <x:v>0.3</x:v>
      </x:c>
      <x:c r="F403" s="85" t="n">
        <x:v>0.3</x:v>
      </x:c>
      <x:c r="G403" s="85" t="n">
        <x:v>0.3</x:v>
      </x:c>
      <x:c r="H403" s="85" t="n">
        <x:v>0.3</x:v>
      </x:c>
      <x:c r="I403" s="85" t="n">
        <x:v>0.3</x:v>
      </x:c>
    </x:row>
    <x:row r="404" ht="30" customHeight="1">
      <x:c r="C404" s="64"/>
      <x:c r="D404" s="63"/>
      <x:c r="E404" s="63"/>
      <x:c r="F404" s="63"/>
      <x:c r="G404" s="63"/>
      <x:c r="H404" s="63"/>
      <x:c r="I404" s="63"/>
    </x:row>
    <x:row r="405" ht="30" customHeight="1">
      <x:c r="C405" s="64" t="str">
        <x:v>Collection / current bookings — active</x:v>
      </x:c>
      <x:c r="D405" s="63"/>
      <x:c r="E405" s="83" t="n">
        <x:f>IF(COUNT(CHOOSE('Controls'!$E$5,E406,E407,E408))=1,CHOOSE('Controls'!$E$5,E406,E407,E408),NA())</x:f>
        <x:v>0.4</x:v>
      </x:c>
      <x:c r="F405" s="83" t="n">
        <x:f>IF(COUNT(CHOOSE('Controls'!$E$5,F406,F407,F408))=1,CHOOSE('Controls'!$E$5,F406,F407,F408),NA())</x:f>
        <x:v>0.4</x:v>
      </x:c>
      <x:c r="G405" s="83" t="n">
        <x:f>IF(COUNT(CHOOSE('Controls'!$E$5,G406,G407,G408))=1,CHOOSE('Controls'!$E$5,G406,G407,G408),NA())</x:f>
        <x:v>0.4</x:v>
      </x:c>
      <x:c r="H405" s="83" t="n">
        <x:f>IF(COUNT(CHOOSE('Controls'!$E$5,H406,H407,H408))=1,CHOOSE('Controls'!$E$5,H406,H407,H408),NA())</x:f>
        <x:v>0.4</x:v>
      </x:c>
      <x:c r="I405" s="83" t="n">
        <x:f>IF(COUNT(CHOOSE('Controls'!$E$5,I406,I407,I408))=1,CHOOSE('Controls'!$E$5,I406,I407,I408),NA())</x:f>
        <x:v>0.4</x:v>
      </x:c>
    </x:row>
    <x:row r="406" ht="30" customHeight="1">
      <x:c r="C406" s="64" t="str">
        <x:v>Base</x:v>
      </x:c>
      <x:c r="D406" s="63"/>
      <x:c r="E406" s="85" t="n">
        <x:v>0.4</x:v>
      </x:c>
      <x:c r="F406" s="85" t="n">
        <x:v>0.4</x:v>
      </x:c>
      <x:c r="G406" s="85" t="n">
        <x:v>0.4</x:v>
      </x:c>
      <x:c r="H406" s="85" t="n">
        <x:v>0.4</x:v>
      </x:c>
      <x:c r="I406" s="85" t="n">
        <x:v>0.4</x:v>
      </x:c>
    </x:row>
    <x:row r="407" ht="30" customHeight="1">
      <x:c r="C407" s="64" t="str">
        <x:v>Downside</x:v>
      </x:c>
      <x:c r="D407" s="63"/>
      <x:c r="E407" s="85" t="n">
        <x:v>0.4</x:v>
      </x:c>
      <x:c r="F407" s="85" t="n">
        <x:v>0.4</x:v>
      </x:c>
      <x:c r="G407" s="85" t="n">
        <x:v>0.4</x:v>
      </x:c>
      <x:c r="H407" s="85" t="n">
        <x:v>0.4</x:v>
      </x:c>
      <x:c r="I407" s="85" t="n">
        <x:v>0.4</x:v>
      </x:c>
    </x:row>
    <x:row r="408" ht="30" customHeight="1">
      <x:c r="C408" s="64" t="str">
        <x:v>Upside</x:v>
      </x:c>
      <x:c r="D408" s="63"/>
      <x:c r="E408" s="85" t="n">
        <x:v>0.4</x:v>
      </x:c>
      <x:c r="F408" s="85" t="n">
        <x:v>0.4</x:v>
      </x:c>
      <x:c r="G408" s="85" t="n">
        <x:v>0.4</x:v>
      </x:c>
      <x:c r="H408" s="85" t="n">
        <x:v>0.4</x:v>
      </x:c>
      <x:c r="I408" s="85" t="n">
        <x:v>0.4</x:v>
      </x:c>
    </x:row>
    <x:row r="409" ht="30" customHeight="1">
      <x:c r="C409" s="64"/>
      <x:c r="D409" s="63"/>
      <x:c r="E409" s="63"/>
      <x:c r="F409" s="63"/>
      <x:c r="G409" s="63"/>
      <x:c r="H409" s="63"/>
      <x:c r="I409" s="63"/>
    </x:row>
    <x:row r="410" ht="30" customHeight="1">
      <x:c r="C410" s="64" t="str">
        <x:v>Collection / opening unrecognized bookings — active</x:v>
      </x:c>
      <x:c r="D410" s="63"/>
      <x:c r="E410" s="83" t="n">
        <x:f>IF(COUNT(CHOOSE('Controls'!$E$5,E411,E412,E413))=1,CHOOSE('Controls'!$E$5,E411,E412,E413),NA())</x:f>
        <x:v>0.2</x:v>
      </x:c>
      <x:c r="F410" s="83" t="n">
        <x:f>IF(COUNT(CHOOSE('Controls'!$E$5,F411,F412,F413))=1,CHOOSE('Controls'!$E$5,F411,F412,F413),NA())</x:f>
        <x:v>0.2</x:v>
      </x:c>
      <x:c r="G410" s="83" t="n">
        <x:f>IF(COUNT(CHOOSE('Controls'!$E$5,G411,G412,G413))=1,CHOOSE('Controls'!$E$5,G411,G412,G413),NA())</x:f>
        <x:v>0.2</x:v>
      </x:c>
      <x:c r="H410" s="83" t="n">
        <x:f>IF(COUNT(CHOOSE('Controls'!$E$5,H411,H412,H413))=1,CHOOSE('Controls'!$E$5,H411,H412,H413),NA())</x:f>
        <x:v>0.2</x:v>
      </x:c>
      <x:c r="I410" s="83" t="n">
        <x:f>IF(COUNT(CHOOSE('Controls'!$E$5,I411,I412,I413))=1,CHOOSE('Controls'!$E$5,I411,I412,I413),NA())</x:f>
        <x:v>0.2</x:v>
      </x:c>
    </x:row>
    <x:row r="411" ht="30" customHeight="1">
      <x:c r="C411" s="64" t="str">
        <x:v>Base</x:v>
      </x:c>
      <x:c r="D411" s="63"/>
      <x:c r="E411" s="85" t="n">
        <x:v>0.2</x:v>
      </x:c>
      <x:c r="F411" s="85" t="n">
        <x:v>0.2</x:v>
      </x:c>
      <x:c r="G411" s="85" t="n">
        <x:v>0.2</x:v>
      </x:c>
      <x:c r="H411" s="85" t="n">
        <x:v>0.2</x:v>
      </x:c>
      <x:c r="I411" s="85" t="n">
        <x:v>0.2</x:v>
      </x:c>
    </x:row>
    <x:row r="412" ht="30" customHeight="1">
      <x:c r="C412" s="64" t="str">
        <x:v>Downside</x:v>
      </x:c>
      <x:c r="D412" s="63"/>
      <x:c r="E412" s="85" t="n">
        <x:v>0.2</x:v>
      </x:c>
      <x:c r="F412" s="85" t="n">
        <x:v>0.2</x:v>
      </x:c>
      <x:c r="G412" s="85" t="n">
        <x:v>0.2</x:v>
      </x:c>
      <x:c r="H412" s="85" t="n">
        <x:v>0.2</x:v>
      </x:c>
      <x:c r="I412" s="85" t="n">
        <x:v>0.2</x:v>
      </x:c>
    </x:row>
    <x:row r="413" ht="30" customHeight="1">
      <x:c r="C413" s="64" t="str">
        <x:v>Upside</x:v>
      </x:c>
      <x:c r="D413" s="63"/>
      <x:c r="E413" s="85" t="n">
        <x:v>0.2</x:v>
      </x:c>
      <x:c r="F413" s="85" t="n">
        <x:v>0.2</x:v>
      </x:c>
      <x:c r="G413" s="85" t="n">
        <x:v>0.2</x:v>
      </x:c>
      <x:c r="H413" s="85" t="n">
        <x:v>0.2</x:v>
      </x:c>
      <x:c r="I413" s="85" t="n">
        <x:v>0.2</x:v>
      </x:c>
    </x:row>
    <x:row r="414" ht="30" customHeight="1">
      <x:c r="C414" s="64"/>
      <x:c r="D414" s="63"/>
      <x:c r="E414" s="63"/>
      <x:c r="F414" s="63"/>
      <x:c r="G414" s="63"/>
      <x:c r="H414" s="63"/>
      <x:c r="I414" s="63"/>
    </x:row>
    <x:row r="415" ht="30" customHeight="1">
      <x:c r="C415" s="64" t="str">
        <x:v>Recognized cost / recognized revenue — active</x:v>
      </x:c>
      <x:c r="D415" s="63"/>
      <x:c r="E415" s="83" t="n">
        <x:f>IF(COUNT(CHOOSE('Controls'!$E$5,E416,E417,E418))=1,CHOOSE('Controls'!$E$5,E416,E417,E418),NA())</x:f>
        <x:v>0.68</x:v>
      </x:c>
      <x:c r="F415" s="83" t="n">
        <x:f>IF(COUNT(CHOOSE('Controls'!$E$5,F416,F417,F418))=1,CHOOSE('Controls'!$E$5,F416,F417,F418),NA())</x:f>
        <x:v>0.68</x:v>
      </x:c>
      <x:c r="G415" s="83" t="n">
        <x:f>IF(COUNT(CHOOSE('Controls'!$E$5,G416,G417,G418))=1,CHOOSE('Controls'!$E$5,G416,G417,G418),NA())</x:f>
        <x:v>0.68</x:v>
      </x:c>
      <x:c r="H415" s="83" t="n">
        <x:f>IF(COUNT(CHOOSE('Controls'!$E$5,H416,H417,H418))=1,CHOOSE('Controls'!$E$5,H416,H417,H418),NA())</x:f>
        <x:v>0.68</x:v>
      </x:c>
      <x:c r="I415" s="83" t="n">
        <x:f>IF(COUNT(CHOOSE('Controls'!$E$5,I416,I417,I418))=1,CHOOSE('Controls'!$E$5,I416,I417,I418),NA())</x:f>
        <x:v>0.68</x:v>
      </x:c>
    </x:row>
    <x:row r="416" ht="30" customHeight="1">
      <x:c r="C416" s="64" t="str">
        <x:v>Base</x:v>
      </x:c>
      <x:c r="D416" s="63"/>
      <x:c r="E416" s="85" t="n">
        <x:v>0.68</x:v>
      </x:c>
      <x:c r="F416" s="85" t="n">
        <x:v>0.68</x:v>
      </x:c>
      <x:c r="G416" s="85" t="n">
        <x:v>0.68</x:v>
      </x:c>
      <x:c r="H416" s="85" t="n">
        <x:v>0.68</x:v>
      </x:c>
      <x:c r="I416" s="85" t="n">
        <x:v>0.68</x:v>
      </x:c>
    </x:row>
    <x:row r="417" ht="30" customHeight="1">
      <x:c r="C417" s="64" t="str">
        <x:v>Downside</x:v>
      </x:c>
      <x:c r="D417" s="63"/>
      <x:c r="E417" s="85" t="n">
        <x:v>0.68</x:v>
      </x:c>
      <x:c r="F417" s="85" t="n">
        <x:v>0.68</x:v>
      </x:c>
      <x:c r="G417" s="85" t="n">
        <x:v>0.68</x:v>
      </x:c>
      <x:c r="H417" s="85" t="n">
        <x:v>0.68</x:v>
      </x:c>
      <x:c r="I417" s="85" t="n">
        <x:v>0.68</x:v>
      </x:c>
    </x:row>
    <x:row r="418" ht="30" customHeight="1">
      <x:c r="C418" s="64" t="str">
        <x:v>Upside</x:v>
      </x:c>
      <x:c r="D418" s="63"/>
      <x:c r="E418" s="85" t="n">
        <x:v>0.68</x:v>
      </x:c>
      <x:c r="F418" s="85" t="n">
        <x:v>0.68</x:v>
      </x:c>
      <x:c r="G418" s="85" t="n">
        <x:v>0.68</x:v>
      </x:c>
      <x:c r="H418" s="85" t="n">
        <x:v>0.68</x:v>
      </x:c>
      <x:c r="I418" s="85" t="n">
        <x:v>0.68</x:v>
      </x:c>
    </x:row>
    <x:row r="419" ht="30" customHeight="1">
      <x:c r="C419" s="64"/>
      <x:c r="D419" s="63"/>
      <x:c r="E419" s="63"/>
      <x:c r="F419" s="63"/>
      <x:c r="G419" s="63"/>
      <x:c r="H419" s="63"/>
      <x:c r="I419" s="63"/>
    </x:row>
    <x:row r="420" ht="30" customHeight="1">
      <x:c r="C420" s="64" t="str">
        <x:v>Cash land and construction / bookings — active</x:v>
      </x:c>
      <x:c r="D420" s="63"/>
      <x:c r="E420" s="83" t="n">
        <x:f>IF(COUNT(CHOOSE('Controls'!$E$5,E421,E422,E423))=1,CHOOSE('Controls'!$E$5,E421,E422,E423),NA())</x:f>
        <x:v>0.55</x:v>
      </x:c>
      <x:c r="F420" s="83" t="n">
        <x:f>IF(COUNT(CHOOSE('Controls'!$E$5,F421,F422,F423))=1,CHOOSE('Controls'!$E$5,F421,F422,F423),NA())</x:f>
        <x:v>0.55</x:v>
      </x:c>
      <x:c r="G420" s="83" t="n">
        <x:f>IF(COUNT(CHOOSE('Controls'!$E$5,G421,G422,G423))=1,CHOOSE('Controls'!$E$5,G421,G422,G423),NA())</x:f>
        <x:v>0.55</x:v>
      </x:c>
      <x:c r="H420" s="83" t="n">
        <x:f>IF(COUNT(CHOOSE('Controls'!$E$5,H421,H422,H423))=1,CHOOSE('Controls'!$E$5,H421,H422,H423),NA())</x:f>
        <x:v>0.55</x:v>
      </x:c>
      <x:c r="I420" s="83" t="n">
        <x:f>IF(COUNT(CHOOSE('Controls'!$E$5,I421,I422,I423))=1,CHOOSE('Controls'!$E$5,I421,I422,I423),NA())</x:f>
        <x:v>0.55</x:v>
      </x:c>
    </x:row>
    <x:row r="421" ht="30" customHeight="1">
      <x:c r="C421" s="64" t="str">
        <x:v>Base</x:v>
      </x:c>
      <x:c r="D421" s="63"/>
      <x:c r="E421" s="85" t="n">
        <x:v>0.55</x:v>
      </x:c>
      <x:c r="F421" s="85" t="n">
        <x:v>0.55</x:v>
      </x:c>
      <x:c r="G421" s="85" t="n">
        <x:v>0.55</x:v>
      </x:c>
      <x:c r="H421" s="85" t="n">
        <x:v>0.55</x:v>
      </x:c>
      <x:c r="I421" s="85" t="n">
        <x:v>0.55</x:v>
      </x:c>
    </x:row>
    <x:row r="422" ht="30" customHeight="1">
      <x:c r="C422" s="64" t="str">
        <x:v>Downside</x:v>
      </x:c>
      <x:c r="D422" s="63"/>
      <x:c r="E422" s="85" t="n">
        <x:v>0.55</x:v>
      </x:c>
      <x:c r="F422" s="85" t="n">
        <x:v>0.55</x:v>
      </x:c>
      <x:c r="G422" s="85" t="n">
        <x:v>0.55</x:v>
      </x:c>
      <x:c r="H422" s="85" t="n">
        <x:v>0.55</x:v>
      </x:c>
      <x:c r="I422" s="85" t="n">
        <x:v>0.55</x:v>
      </x:c>
    </x:row>
    <x:row r="423" ht="30" customHeight="1">
      <x:c r="C423" s="64" t="str">
        <x:v>Upside</x:v>
      </x:c>
      <x:c r="D423" s="63"/>
      <x:c r="E423" s="85" t="n">
        <x:v>0.55</x:v>
      </x:c>
      <x:c r="F423" s="85" t="n">
        <x:v>0.55</x:v>
      </x:c>
      <x:c r="G423" s="85" t="n">
        <x:v>0.55</x:v>
      </x:c>
      <x:c r="H423" s="85" t="n">
        <x:v>0.55</x:v>
      </x:c>
      <x:c r="I423" s="85" t="n">
        <x:v>0.55</x:v>
      </x:c>
    </x:row>
    <x:row r="424" ht="30" customHeight="1">
      <x:c r="C424" s="64"/>
      <x:c r="D424" s="63"/>
      <x:c r="E424" s="63"/>
      <x:c r="F424" s="63"/>
      <x:c r="G424" s="63"/>
      <x:c r="H424" s="63"/>
      <x:c r="I424" s="63"/>
    </x:row>
    <x:row r="425" ht="30" customHeight="1">
      <x:c r="C425" s="64" t="str">
        <x:v>Selling and overhead / bookings — active</x:v>
      </x:c>
      <x:c r="D425" s="63"/>
      <x:c r="E425" s="83" t="n">
        <x:f>IF(COUNT(CHOOSE('Controls'!$E$5,E426,E427,E428))=1,CHOOSE('Controls'!$E$5,E426,E427,E428),NA())</x:f>
        <x:v>0.06</x:v>
      </x:c>
      <x:c r="F425" s="83" t="n">
        <x:f>IF(COUNT(CHOOSE('Controls'!$E$5,F426,F427,F428))=1,CHOOSE('Controls'!$E$5,F426,F427,F428),NA())</x:f>
        <x:v>0.06</x:v>
      </x:c>
      <x:c r="G425" s="83" t="n">
        <x:f>IF(COUNT(CHOOSE('Controls'!$E$5,G426,G427,G428))=1,CHOOSE('Controls'!$E$5,G426,G427,G428),NA())</x:f>
        <x:v>0.06</x:v>
      </x:c>
      <x:c r="H425" s="83" t="n">
        <x:f>IF(COUNT(CHOOSE('Controls'!$E$5,H426,H427,H428))=1,CHOOSE('Controls'!$E$5,H426,H427,H428),NA())</x:f>
        <x:v>0.06</x:v>
      </x:c>
      <x:c r="I425" s="83" t="n">
        <x:f>IF(COUNT(CHOOSE('Controls'!$E$5,I426,I427,I428))=1,CHOOSE('Controls'!$E$5,I426,I427,I428),NA())</x:f>
        <x:v>0.06</x:v>
      </x:c>
    </x:row>
    <x:row r="426" ht="30" customHeight="1">
      <x:c r="C426" s="64" t="str">
        <x:v>Base</x:v>
      </x:c>
      <x:c r="D426" s="63"/>
      <x:c r="E426" s="85" t="n">
        <x:v>0.06</x:v>
      </x:c>
      <x:c r="F426" s="85" t="n">
        <x:v>0.06</x:v>
      </x:c>
      <x:c r="G426" s="85" t="n">
        <x:v>0.06</x:v>
      </x:c>
      <x:c r="H426" s="85" t="n">
        <x:v>0.06</x:v>
      </x:c>
      <x:c r="I426" s="85" t="n">
        <x:v>0.06</x:v>
      </x:c>
    </x:row>
    <x:row r="427" ht="30" customHeight="1">
      <x:c r="C427" s="64" t="str">
        <x:v>Downside</x:v>
      </x:c>
      <x:c r="D427" s="63"/>
      <x:c r="E427" s="85" t="n">
        <x:v>0.06</x:v>
      </x:c>
      <x:c r="F427" s="85" t="n">
        <x:v>0.06</x:v>
      </x:c>
      <x:c r="G427" s="85" t="n">
        <x:v>0.06</x:v>
      </x:c>
      <x:c r="H427" s="85" t="n">
        <x:v>0.06</x:v>
      </x:c>
      <x:c r="I427" s="85" t="n">
        <x:v>0.06</x:v>
      </x:c>
    </x:row>
    <x:row r="428" ht="30" customHeight="1">
      <x:c r="C428" s="64" t="str">
        <x:v>Upside</x:v>
      </x:c>
      <x:c r="D428" s="63"/>
      <x:c r="E428" s="85" t="n">
        <x:v>0.06</x:v>
      </x:c>
      <x:c r="F428" s="85" t="n">
        <x:v>0.06</x:v>
      </x:c>
      <x:c r="G428" s="85" t="n">
        <x:v>0.06</x:v>
      </x:c>
      <x:c r="H428" s="85" t="n">
        <x:v>0.06</x:v>
      </x:c>
      <x:c r="I428" s="85" t="n">
        <x:v>0.06</x:v>
      </x:c>
    </x:row>
    <x:row r="429" ht="30" customHeight="1">
      <x:c r="C429" s="64"/>
      <x:c r="D429" s="63"/>
      <x:c r="E429" s="63"/>
      <x:c r="F429" s="63"/>
      <x:c r="G429" s="63"/>
      <x:c r="H429" s="63"/>
      <x:c r="I429" s="63"/>
    </x:row>
    <x:row r="430" ht="30" customHeight="1">
      <x:c r="C430" s="64" t="str">
        <x:v>Interest on opening debt — active</x:v>
      </x:c>
      <x:c r="D430" s="63"/>
      <x:c r="E430" s="83" t="n">
        <x:f>IF(COUNT(CHOOSE('Controls'!$E$5,E431,E432,E433))=1,CHOOSE('Controls'!$E$5,E431,E432,E433),NA())</x:f>
        <x:v>0.09</x:v>
      </x:c>
      <x:c r="F430" s="83" t="n">
        <x:f>IF(COUNT(CHOOSE('Controls'!$E$5,F431,F432,F433))=1,CHOOSE('Controls'!$E$5,F431,F432,F433),NA())</x:f>
        <x:v>0.09</x:v>
      </x:c>
      <x:c r="G430" s="83" t="n">
        <x:f>IF(COUNT(CHOOSE('Controls'!$E$5,G431,G432,G433))=1,CHOOSE('Controls'!$E$5,G431,G432,G433),NA())</x:f>
        <x:v>0.09</x:v>
      </x:c>
      <x:c r="H430" s="83" t="n">
        <x:f>IF(COUNT(CHOOSE('Controls'!$E$5,H431,H432,H433))=1,CHOOSE('Controls'!$E$5,H431,H432,H433),NA())</x:f>
        <x:v>0.09</x:v>
      </x:c>
      <x:c r="I430" s="83" t="n">
        <x:f>IF(COUNT(CHOOSE('Controls'!$E$5,I431,I432,I433))=1,CHOOSE('Controls'!$E$5,I431,I432,I433),NA())</x:f>
        <x:v>0.09</x:v>
      </x:c>
    </x:row>
    <x:row r="431" ht="30" customHeight="1">
      <x:c r="C431" s="64" t="str">
        <x:v>Base</x:v>
      </x:c>
      <x:c r="D431" s="63"/>
      <x:c r="E431" s="85" t="n">
        <x:v>0.09</x:v>
      </x:c>
      <x:c r="F431" s="85" t="n">
        <x:v>0.09</x:v>
      </x:c>
      <x:c r="G431" s="85" t="n">
        <x:v>0.09</x:v>
      </x:c>
      <x:c r="H431" s="85" t="n">
        <x:v>0.09</x:v>
      </x:c>
      <x:c r="I431" s="85" t="n">
        <x:v>0.09</x:v>
      </x:c>
    </x:row>
    <x:row r="432" ht="30" customHeight="1">
      <x:c r="C432" s="64" t="str">
        <x:v>Downside</x:v>
      </x:c>
      <x:c r="D432" s="63"/>
      <x:c r="E432" s="85" t="n">
        <x:v>0.09</x:v>
      </x:c>
      <x:c r="F432" s="85" t="n">
        <x:v>0.09</x:v>
      </x:c>
      <x:c r="G432" s="85" t="n">
        <x:v>0.09</x:v>
      </x:c>
      <x:c r="H432" s="85" t="n">
        <x:v>0.09</x:v>
      </x:c>
      <x:c r="I432" s="85" t="n">
        <x:v>0.09</x:v>
      </x:c>
    </x:row>
    <x:row r="433" ht="30" customHeight="1">
      <x:c r="C433" s="64" t="str">
        <x:v>Upside</x:v>
      </x:c>
      <x:c r="D433" s="63"/>
      <x:c r="E433" s="85" t="n">
        <x:v>0.09</x:v>
      </x:c>
      <x:c r="F433" s="85" t="n">
        <x:v>0.09</x:v>
      </x:c>
      <x:c r="G433" s="85" t="n">
        <x:v>0.09</x:v>
      </x:c>
      <x:c r="H433" s="85" t="n">
        <x:v>0.09</x:v>
      </x:c>
      <x:c r="I433" s="85" t="n">
        <x:v>0.09</x:v>
      </x:c>
    </x:row>
    <x:row r="434" ht="30" customHeight="1">
      <x:c r="C434" s="64"/>
      <x:c r="D434" s="63"/>
      <x:c r="E434" s="63"/>
      <x:c r="F434" s="63"/>
      <x:c r="G434" s="63"/>
      <x:c r="H434" s="63"/>
      <x:c r="I434" s="63"/>
    </x:row>
    <x:row r="435" ht="30" customHeight="1">
      <x:c r="C435" s="64" t="str">
        <x:v>Effective tax rate — active</x:v>
      </x:c>
      <x:c r="D435" s="63"/>
      <x:c r="E435" s="83" t="n">
        <x:f>IF(COUNT(CHOOSE('Controls'!$E$5,E436,E437,E438))=1,CHOOSE('Controls'!$E$5,E436,E437,E438),NA())</x:f>
        <x:v>0.25</x:v>
      </x:c>
      <x:c r="F435" s="83" t="n">
        <x:f>IF(COUNT(CHOOSE('Controls'!$E$5,F436,F437,F438))=1,CHOOSE('Controls'!$E$5,F436,F437,F438),NA())</x:f>
        <x:v>0.25</x:v>
      </x:c>
      <x:c r="G435" s="83" t="n">
        <x:f>IF(COUNT(CHOOSE('Controls'!$E$5,G436,G437,G438))=1,CHOOSE('Controls'!$E$5,G436,G437,G438),NA())</x:f>
        <x:v>0.25</x:v>
      </x:c>
      <x:c r="H435" s="83" t="n">
        <x:f>IF(COUNT(CHOOSE('Controls'!$E$5,H436,H437,H438))=1,CHOOSE('Controls'!$E$5,H436,H437,H438),NA())</x:f>
        <x:v>0.25</x:v>
      </x:c>
      <x:c r="I435" s="83" t="n">
        <x:f>IF(COUNT(CHOOSE('Controls'!$E$5,I436,I437,I438))=1,CHOOSE('Controls'!$E$5,I436,I437,I438),NA())</x:f>
        <x:v>0.25</x:v>
      </x:c>
    </x:row>
    <x:row r="436" ht="30" customHeight="1">
      <x:c r="C436" s="64" t="str">
        <x:v>Base</x:v>
      </x:c>
      <x:c r="D436" s="63"/>
      <x:c r="E436" s="85" t="n">
        <x:v>0.25</x:v>
      </x:c>
      <x:c r="F436" s="85" t="n">
        <x:v>0.25</x:v>
      </x:c>
      <x:c r="G436" s="85" t="n">
        <x:v>0.25</x:v>
      </x:c>
      <x:c r="H436" s="85" t="n">
        <x:v>0.25</x:v>
      </x:c>
      <x:c r="I436" s="85" t="n">
        <x:v>0.25</x:v>
      </x:c>
    </x:row>
    <x:row r="437" ht="30" customHeight="1">
      <x:c r="C437" s="64" t="str">
        <x:v>Downside</x:v>
      </x:c>
      <x:c r="D437" s="63"/>
      <x:c r="E437" s="85" t="n">
        <x:v>0.25</x:v>
      </x:c>
      <x:c r="F437" s="85" t="n">
        <x:v>0.25</x:v>
      </x:c>
      <x:c r="G437" s="85" t="n">
        <x:v>0.25</x:v>
      </x:c>
      <x:c r="H437" s="85" t="n">
        <x:v>0.25</x:v>
      </x:c>
      <x:c r="I437" s="85" t="n">
        <x:v>0.25</x:v>
      </x:c>
    </x:row>
    <x:row r="438" ht="30" customHeight="1">
      <x:c r="C438" s="64" t="str">
        <x:v>Upside</x:v>
      </x:c>
      <x:c r="D438" s="63"/>
      <x:c r="E438" s="85" t="n">
        <x:v>0.25</x:v>
      </x:c>
      <x:c r="F438" s="85" t="n">
        <x:v>0.25</x:v>
      </x:c>
      <x:c r="G438" s="85" t="n">
        <x:v>0.25</x:v>
      </x:c>
      <x:c r="H438" s="85" t="n">
        <x:v>0.25</x:v>
      </x:c>
      <x:c r="I438" s="85" t="n">
        <x:v>0.25</x:v>
      </x:c>
    </x:row>
    <x:row r="439" ht="30" customHeight="1">
      <x:c r="C439" s="64"/>
      <x:c r="D439" s="63"/>
      <x:c r="E439" s="63"/>
      <x:c r="F439" s="63"/>
      <x:c r="G439" s="63"/>
      <x:c r="H439" s="63"/>
      <x:c r="I439" s="63"/>
    </x:row>
    <x:row r="440" ht="30" customHeight="1">
      <x:c r="C440" s="64" t="str">
        <x:v>New debt — active</x:v>
      </x:c>
      <x:c r="D440" s="63"/>
      <x:c r="E440" s="8" t="n">
        <x:f>IF(COUNT(CHOOSE('Controls'!$E$5,E441,E442,E443))=1,CHOOSE('Controls'!$E$5,E441,E442,E443),NA())</x:f>
        <x:v>100</x:v>
      </x:c>
      <x:c r="F440" s="8" t="n">
        <x:f>IF(COUNT(CHOOSE('Controls'!$E$5,F441,F442,F443))=1,CHOOSE('Controls'!$E$5,F441,F442,F443),NA())</x:f>
        <x:v>100</x:v>
      </x:c>
      <x:c r="G440" s="8" t="n">
        <x:f>IF(COUNT(CHOOSE('Controls'!$E$5,G441,G442,G443))=1,CHOOSE('Controls'!$E$5,G441,G442,G443),NA())</x:f>
        <x:v>100</x:v>
      </x:c>
      <x:c r="H440" s="8" t="n">
        <x:f>IF(COUNT(CHOOSE('Controls'!$E$5,H441,H442,H443))=1,CHOOSE('Controls'!$E$5,H441,H442,H443),NA())</x:f>
        <x:v>100</x:v>
      </x:c>
      <x:c r="I440" s="8" t="n">
        <x:f>IF(COUNT(CHOOSE('Controls'!$E$5,I441,I442,I443))=1,CHOOSE('Controls'!$E$5,I441,I442,I443),NA())</x:f>
        <x:v>100</x:v>
      </x:c>
    </x:row>
    <x:row r="441" ht="30" customHeight="1">
      <x:c r="C441" s="64" t="str">
        <x:v>Base</x:v>
      </x:c>
      <x:c r="D441" s="63"/>
      <x:c r="E441" s="74" t="n">
        <x:v>100</x:v>
      </x:c>
      <x:c r="F441" s="74" t="n">
        <x:v>100</x:v>
      </x:c>
      <x:c r="G441" s="74" t="n">
        <x:v>100</x:v>
      </x:c>
      <x:c r="H441" s="74" t="n">
        <x:v>100</x:v>
      </x:c>
      <x:c r="I441" s="74" t="n">
        <x:v>100</x:v>
      </x:c>
    </x:row>
    <x:row r="442" ht="30" customHeight="1">
      <x:c r="C442" s="64" t="str">
        <x:v>Downside</x:v>
      </x:c>
      <x:c r="D442" s="63"/>
      <x:c r="E442" s="74" t="n">
        <x:v>100</x:v>
      </x:c>
      <x:c r="F442" s="74" t="n">
        <x:v>100</x:v>
      </x:c>
      <x:c r="G442" s="74" t="n">
        <x:v>100</x:v>
      </x:c>
      <x:c r="H442" s="74" t="n">
        <x:v>100</x:v>
      </x:c>
      <x:c r="I442" s="74" t="n">
        <x:v>100</x:v>
      </x:c>
    </x:row>
    <x:row r="443" ht="30" customHeight="1">
      <x:c r="C443" s="64" t="str">
        <x:v>Upside</x:v>
      </x:c>
      <x:c r="D443" s="63"/>
      <x:c r="E443" s="74" t="n">
        <x:v>100</x:v>
      </x:c>
      <x:c r="F443" s="74" t="n">
        <x:v>100</x:v>
      </x:c>
      <x:c r="G443" s="74" t="n">
        <x:v>100</x:v>
      </x:c>
      <x:c r="H443" s="74" t="n">
        <x:v>100</x:v>
      </x:c>
      <x:c r="I443" s="74" t="n">
        <x:v>100</x:v>
      </x:c>
    </x:row>
    <x:row r="444" ht="30" customHeight="1">
      <x:c r="C444" s="64"/>
      <x:c r="D444" s="63"/>
      <x:c r="E444" s="63"/>
      <x:c r="F444" s="63"/>
      <x:c r="G444" s="63"/>
      <x:c r="H444" s="63"/>
      <x:c r="I444" s="63"/>
    </x:row>
    <x:row r="445" ht="30" customHeight="1">
      <x:c r="C445" s="64" t="str">
        <x:v>Principal repayment — active</x:v>
      </x:c>
      <x:c r="D445" s="63"/>
      <x:c r="E445" s="8" t="n">
        <x:f>IF(COUNT(CHOOSE('Controls'!$E$5,E446,E447,E448))=1,CHOOSE('Controls'!$E$5,E446,E447,E448),NA())</x:f>
        <x:v>100</x:v>
      </x:c>
      <x:c r="F445" s="8" t="n">
        <x:f>IF(COUNT(CHOOSE('Controls'!$E$5,F446,F447,F448))=1,CHOOSE('Controls'!$E$5,F446,F447,F448),NA())</x:f>
        <x:v>100</x:v>
      </x:c>
      <x:c r="G445" s="8" t="n">
        <x:f>IF(COUNT(CHOOSE('Controls'!$E$5,G446,G447,G448))=1,CHOOSE('Controls'!$E$5,G446,G447,G448),NA())</x:f>
        <x:v>100</x:v>
      </x:c>
      <x:c r="H445" s="8" t="n">
        <x:f>IF(COUNT(CHOOSE('Controls'!$E$5,H446,H447,H448))=1,CHOOSE('Controls'!$E$5,H446,H447,H448),NA())</x:f>
        <x:v>100</x:v>
      </x:c>
      <x:c r="I445" s="8" t="n">
        <x:f>IF(COUNT(CHOOSE('Controls'!$E$5,I446,I447,I448))=1,CHOOSE('Controls'!$E$5,I446,I447,I448),NA())</x:f>
        <x:v>100</x:v>
      </x:c>
    </x:row>
    <x:row r="446" ht="30" customHeight="1">
      <x:c r="C446" s="64" t="str">
        <x:v>Base</x:v>
      </x:c>
      <x:c r="D446" s="63"/>
      <x:c r="E446" s="74" t="n">
        <x:v>100</x:v>
      </x:c>
      <x:c r="F446" s="74" t="n">
        <x:v>100</x:v>
      </x:c>
      <x:c r="G446" s="74" t="n">
        <x:v>100</x:v>
      </x:c>
      <x:c r="H446" s="74" t="n">
        <x:v>100</x:v>
      </x:c>
      <x:c r="I446" s="74" t="n">
        <x:v>100</x:v>
      </x:c>
    </x:row>
    <x:row r="447" ht="30" customHeight="1">
      <x:c r="C447" s="64" t="str">
        <x:v>Downside</x:v>
      </x:c>
      <x:c r="D447" s="63"/>
      <x:c r="E447" s="74" t="n">
        <x:v>100</x:v>
      </x:c>
      <x:c r="F447" s="74" t="n">
        <x:v>100</x:v>
      </x:c>
      <x:c r="G447" s="74" t="n">
        <x:v>100</x:v>
      </x:c>
      <x:c r="H447" s="74" t="n">
        <x:v>100</x:v>
      </x:c>
      <x:c r="I447" s="74" t="n">
        <x:v>100</x:v>
      </x:c>
    </x:row>
    <x:row r="448" ht="30" customHeight="1">
      <x:c r="C448" s="64" t="str">
        <x:v>Upside</x:v>
      </x:c>
      <x:c r="D448" s="63"/>
      <x:c r="E448" s="74" t="n">
        <x:v>100</x:v>
      </x:c>
      <x:c r="F448" s="74" t="n">
        <x:v>100</x:v>
      </x:c>
      <x:c r="G448" s="74" t="n">
        <x:v>100</x:v>
      </x:c>
      <x:c r="H448" s="74" t="n">
        <x:v>100</x:v>
      </x:c>
      <x:c r="I448" s="74" t="n">
        <x:v>100</x:v>
      </x:c>
    </x:row>
    <x:row r="449" ht="30" customHeight="1">
      <x:c r="C449" s="64"/>
      <x:c r="D449" s="63"/>
      <x:c r="E449" s="63"/>
      <x:c r="F449" s="63"/>
      <x:c r="G449" s="63"/>
      <x:c r="H449" s="63"/>
      <x:c r="I449" s="63"/>
    </x:row>
    <x:row r="450" ht="30" customHeight="1">
      <x:c r="C450" s="64" t="str">
        <x:v>Dividend payout on positive PAT — active</x:v>
      </x:c>
      <x:c r="D450" s="63"/>
      <x:c r="E450" s="83" t="n">
        <x:f>IF(COUNT(CHOOSE('Controls'!$E$5,E451,E452,E453))=1,CHOOSE('Controls'!$E$5,E451,E452,E453),NA())</x:f>
        <x:v>0.2</x:v>
      </x:c>
      <x:c r="F450" s="83" t="n">
        <x:f>IF(COUNT(CHOOSE('Controls'!$E$5,F451,F452,F453))=1,CHOOSE('Controls'!$E$5,F451,F452,F453),NA())</x:f>
        <x:v>0.2</x:v>
      </x:c>
      <x:c r="G450" s="83" t="n">
        <x:f>IF(COUNT(CHOOSE('Controls'!$E$5,G451,G452,G453))=1,CHOOSE('Controls'!$E$5,G451,G452,G453),NA())</x:f>
        <x:v>0.2</x:v>
      </x:c>
      <x:c r="H450" s="83" t="n">
        <x:f>IF(COUNT(CHOOSE('Controls'!$E$5,H451,H452,H453))=1,CHOOSE('Controls'!$E$5,H451,H452,H453),NA())</x:f>
        <x:v>0.2</x:v>
      </x:c>
      <x:c r="I450" s="83" t="n">
        <x:f>IF(COUNT(CHOOSE('Controls'!$E$5,I451,I452,I453))=1,CHOOSE('Controls'!$E$5,I451,I452,I453),NA())</x:f>
        <x:v>0.2</x:v>
      </x:c>
    </x:row>
    <x:row r="451" ht="30" customHeight="1">
      <x:c r="C451" s="64" t="str">
        <x:v>Base</x:v>
      </x:c>
      <x:c r="D451" s="63"/>
      <x:c r="E451" s="85" t="n">
        <x:v>0.2</x:v>
      </x:c>
      <x:c r="F451" s="85" t="n">
        <x:v>0.2</x:v>
      </x:c>
      <x:c r="G451" s="85" t="n">
        <x:v>0.2</x:v>
      </x:c>
      <x:c r="H451" s="85" t="n">
        <x:v>0.2</x:v>
      </x:c>
      <x:c r="I451" s="85" t="n">
        <x:v>0.2</x:v>
      </x:c>
    </x:row>
    <x:row r="452" ht="30" customHeight="1">
      <x:c r="C452" s="64" t="str">
        <x:v>Downside</x:v>
      </x:c>
      <x:c r="D452" s="63"/>
      <x:c r="E452" s="85" t="n">
        <x:v>0.2</x:v>
      </x:c>
      <x:c r="F452" s="85" t="n">
        <x:v>0.2</x:v>
      </x:c>
      <x:c r="G452" s="85" t="n">
        <x:v>0.2</x:v>
      </x:c>
      <x:c r="H452" s="85" t="n">
        <x:v>0.2</x:v>
      </x:c>
      <x:c r="I452" s="85" t="n">
        <x:v>0.2</x:v>
      </x:c>
    </x:row>
    <x:row r="453" ht="30" customHeight="1">
      <x:c r="C453" s="64" t="str">
        <x:v>Upside</x:v>
      </x:c>
      <x:c r="D453" s="63"/>
      <x:c r="E453" s="85" t="n">
        <x:v>0.2</x:v>
      </x:c>
      <x:c r="F453" s="85" t="n">
        <x:v>0.2</x:v>
      </x:c>
      <x:c r="G453" s="85" t="n">
        <x:v>0.2</x:v>
      </x:c>
      <x:c r="H453" s="85" t="n">
        <x:v>0.2</x:v>
      </x:c>
      <x:c r="I453" s="85" t="n">
        <x:v>0.2</x:v>
      </x:c>
    </x:row>
    <x:row r="454" ht="30" customHeight="1">
      <x:c r="C454" s="64"/>
      <x:c r="D454" s="63"/>
      <x:c r="E454" s="63"/>
      <x:c r="F454" s="63"/>
      <x:c r="G454" s="63"/>
      <x:c r="H454" s="63"/>
      <x:c r="I454" s="63"/>
    </x:row>
    <x:row r="455" ht="30" customHeight="1">
      <x:c r="C455" s="64"/>
      <x:c r="D455" s="63"/>
      <x:c r="E455" s="63"/>
      <x:c r="F455" s="63"/>
      <x:c r="G455" s="63"/>
      <x:c r="H455" s="63"/>
      <x:c r="I455" s="63"/>
    </x:row>
    <x:row r="456" ht="30" customHeight="1">
      <x:c r="C456" s="64"/>
      <x:c r="D456" s="63"/>
      <x:c r="E456" s="63"/>
      <x:c r="F456" s="63"/>
      <x:c r="G456" s="63"/>
      <x:c r="H456" s="63"/>
      <x:c r="I456" s="63"/>
    </x:row>
    <x:row r="457" ht="30" customHeight="1">
      <x:c r="C457" s="64"/>
      <x:c r="D457" s="63"/>
      <x:c r="E457" s="63"/>
      <x:c r="F457" s="63"/>
      <x:c r="G457" s="63"/>
      <x:c r="H457" s="63"/>
      <x:c r="I457" s="63"/>
    </x:row>
    <x:row r="458" ht="30" customHeight="1">
      <x:c r="C458" s="64"/>
      <x:c r="D458" s="63"/>
      <x:c r="E458" s="63"/>
      <x:c r="F458" s="63"/>
      <x:c r="G458" s="63"/>
      <x:c r="H458" s="63"/>
      <x:c r="I458" s="63"/>
    </x:row>
    <x:row r="459" ht="30" customHeight="1">
      <x:c r="C459" s="64"/>
      <x:c r="D459" s="63"/>
      <x:c r="E459" s="63"/>
      <x:c r="F459" s="63"/>
      <x:c r="G459" s="63"/>
      <x:c r="H459" s="63"/>
      <x:c r="I459" s="63"/>
    </x:row>
    <x:row r="460" ht="30" customHeight="1">
      <x:c r="C460" s="64"/>
      <x:c r="D460" s="63"/>
      <x:c r="E460" s="63"/>
      <x:c r="F460" s="63"/>
      <x:c r="G460" s="63"/>
      <x:c r="H460" s="63"/>
      <x:c r="I460" s="63"/>
    </x:row>
    <x:row r="461" ht="30" customHeight="1">
      <x:c r="C461" s="64"/>
      <x:c r="D461" s="63"/>
      <x:c r="E461" s="63"/>
      <x:c r="F461" s="63"/>
      <x:c r="G461" s="63"/>
      <x:c r="H461" s="63"/>
      <x:c r="I461" s="63"/>
    </x:row>
    <x:row r="462" ht="30" customHeight="1">
      <x:c r="C462" s="64"/>
      <x:c r="D462" s="63"/>
      <x:c r="E462" s="63"/>
      <x:c r="F462" s="63"/>
      <x:c r="G462" s="63"/>
      <x:c r="H462" s="63"/>
      <x:c r="I462" s="63"/>
    </x:row>
    <x:row r="463" ht="30" customHeight="1">
      <x:c r="C463" s="64"/>
      <x:c r="D463" s="63"/>
      <x:c r="E463" s="63"/>
      <x:c r="F463" s="63"/>
      <x:c r="G463" s="63"/>
      <x:c r="H463" s="63"/>
      <x:c r="I463" s="63"/>
    </x:row>
    <x:row r="464" ht="30" customHeight="1">
      <x:c r="C464" s="64"/>
      <x:c r="D464" s="63"/>
      <x:c r="E464" s="63"/>
      <x:c r="F464" s="63"/>
      <x:c r="G464" s="63"/>
      <x:c r="H464" s="63"/>
      <x:c r="I464" s="63"/>
    </x:row>
    <x:row r="465" ht="30" customHeight="1">
      <x:c r="C465" s="64"/>
      <x:c r="D465" s="63"/>
      <x:c r="E465" s="63"/>
      <x:c r="F465" s="63"/>
      <x:c r="G465" s="63"/>
      <x:c r="H465" s="63"/>
      <x:c r="I465" s="63"/>
    </x:row>
    <x:row r="466" ht="30" customHeight="1">
      <x:c r="C466" s="64"/>
      <x:c r="D466" s="63"/>
      <x:c r="E466" s="63"/>
      <x:c r="F466" s="63"/>
      <x:c r="G466" s="63"/>
      <x:c r="H466" s="63"/>
      <x:c r="I466" s="63"/>
    </x:row>
    <x:row r="467" ht="30" customHeight="1">
      <x:c r="C467" s="64"/>
      <x:c r="D467" s="63"/>
      <x:c r="E467" s="63"/>
      <x:c r="F467" s="63"/>
      <x:c r="G467" s="63"/>
      <x:c r="H467" s="63"/>
      <x:c r="I467" s="63"/>
    </x:row>
    <x:row r="468" ht="30" customHeight="1">
      <x:c r="C468" s="64"/>
      <x:c r="D468" s="63"/>
      <x:c r="E468" s="63"/>
      <x:c r="F468" s="63"/>
      <x:c r="G468" s="63"/>
      <x:c r="H468" s="63"/>
      <x:c r="I468" s="63"/>
    </x:row>
    <x:row r="469" ht="30" customHeight="1">
      <x:c r="C469" s="64"/>
      <x:c r="D469" s="63"/>
      <x:c r="E469" s="63"/>
      <x:c r="F469" s="63"/>
      <x:c r="G469" s="63"/>
      <x:c r="H469" s="63"/>
      <x:c r="I469" s="63"/>
    </x:row>
    <x:row r="470" ht="30" customHeight="1">
      <x:c r="C470" s="64"/>
      <x:c r="D470" s="63"/>
      <x:c r="E470" s="63"/>
      <x:c r="F470" s="63"/>
      <x:c r="G470" s="63"/>
      <x:c r="H470" s="63"/>
      <x:c r="I470" s="63"/>
    </x:row>
    <x:row r="471" ht="30" customHeight="1">
      <x:c r="C471" s="64"/>
      <x:c r="D471" s="63"/>
      <x:c r="E471" s="63"/>
      <x:c r="F471" s="63"/>
      <x:c r="G471" s="63"/>
      <x:c r="H471" s="63"/>
      <x:c r="I471" s="63"/>
    </x:row>
    <x:row r="472" ht="30" customHeight="1">
      <x:c r="C472" s="64"/>
      <x:c r="D472" s="63"/>
      <x:c r="E472" s="63"/>
      <x:c r="F472" s="63"/>
      <x:c r="G472" s="63"/>
      <x:c r="H472" s="63"/>
      <x:c r="I472" s="63"/>
    </x:row>
    <x:row r="473" ht="30" customHeight="1">
      <x:c r="C473" s="64"/>
      <x:c r="D473" s="63"/>
      <x:c r="E473" s="63"/>
      <x:c r="F473" s="63"/>
      <x:c r="G473" s="63"/>
      <x:c r="H473" s="63"/>
      <x:c r="I473" s="63"/>
    </x:row>
    <x:row r="474" ht="30" customHeight="1">
      <x:c r="C474" s="64"/>
      <x:c r="D474" s="63"/>
      <x:c r="E474" s="63"/>
      <x:c r="F474" s="63"/>
      <x:c r="G474" s="63"/>
      <x:c r="H474" s="63"/>
      <x:c r="I474" s="63"/>
    </x:row>
    <x:row r="475" ht="30" customHeight="1">
      <x:c r="C475" s="64"/>
      <x:c r="D475" s="63"/>
      <x:c r="E475" s="63"/>
      <x:c r="F475" s="63"/>
      <x:c r="G475" s="63"/>
      <x:c r="H475" s="63"/>
      <x:c r="I475" s="63"/>
    </x:row>
    <x:row r="476" ht="30" customHeight="1">
      <x:c r="C476" s="64"/>
      <x:c r="D476" s="63"/>
      <x:c r="E476" s="63"/>
      <x:c r="F476" s="63"/>
      <x:c r="G476" s="63"/>
      <x:c r="H476" s="63"/>
      <x:c r="I476" s="63"/>
    </x:row>
    <x:row r="477" ht="30" customHeight="1">
      <x:c r="C477" s="64"/>
      <x:c r="D477" s="63"/>
      <x:c r="E477" s="63"/>
      <x:c r="F477" s="63"/>
      <x:c r="G477" s="63"/>
      <x:c r="H477" s="63"/>
      <x:c r="I477" s="63"/>
    </x:row>
    <x:row r="478" ht="30" customHeight="1">
      <x:c r="C478" s="64"/>
      <x:c r="D478" s="63"/>
      <x:c r="E478" s="63"/>
      <x:c r="F478" s="63"/>
      <x:c r="G478" s="63"/>
      <x:c r="H478" s="63"/>
      <x:c r="I478" s="63"/>
    </x:row>
    <x:row r="479" ht="30" customHeight="1">
      <x:c r="C479" s="64"/>
      <x:c r="D479" s="63"/>
      <x:c r="E479" s="63"/>
      <x:c r="F479" s="63"/>
      <x:c r="G479" s="63"/>
      <x:c r="H479" s="63"/>
      <x:c r="I479" s="63"/>
    </x:row>
    <x:row r="480" ht="30" customHeight="1">
      <x:c r="C480" s="64"/>
      <x:c r="D480" s="63"/>
      <x:c r="E480" s="63"/>
      <x:c r="F480" s="63"/>
      <x:c r="G480" s="63"/>
      <x:c r="H480" s="63"/>
      <x:c r="I480" s="63"/>
    </x:row>
    <x:row r="481" ht="30" customHeight="1">
      <x:c r="C481" s="64"/>
      <x:c r="D481" s="63"/>
      <x:c r="E481" s="63"/>
      <x:c r="F481" s="63"/>
      <x:c r="G481" s="63"/>
      <x:c r="H481" s="63"/>
      <x:c r="I481" s="63"/>
    </x:row>
    <x:row r="482" ht="30" customHeight="1">
      <x:c r="C482" s="64"/>
      <x:c r="D482" s="63"/>
      <x:c r="E482" s="63"/>
      <x:c r="F482" s="63"/>
      <x:c r="G482" s="63"/>
      <x:c r="H482" s="63"/>
      <x:c r="I482" s="63"/>
    </x:row>
    <x:row r="483" ht="30" customHeight="1">
      <x:c r="C483" s="64"/>
      <x:c r="D483" s="63"/>
      <x:c r="E483" s="63"/>
      <x:c r="F483" s="63"/>
      <x:c r="G483" s="63"/>
      <x:c r="H483" s="63"/>
      <x:c r="I483" s="63"/>
    </x:row>
    <x:row r="484" ht="30" customHeight="1">
      <x:c r="C484" s="64"/>
      <x:c r="D484" s="63"/>
      <x:c r="E484" s="63"/>
      <x:c r="F484" s="63"/>
      <x:c r="G484" s="63"/>
      <x:c r="H484" s="63"/>
      <x:c r="I484" s="63"/>
    </x:row>
    <x:row r="485" ht="30" customHeight="1">
      <x:c r="C485" s="64"/>
      <x:c r="D485" s="63"/>
      <x:c r="E485" s="63"/>
      <x:c r="F485" s="63"/>
      <x:c r="G485" s="63"/>
      <x:c r="H485" s="63"/>
      <x:c r="I485" s="63"/>
    </x:row>
    <x:row r="486" ht="30" customHeight="1">
      <x:c r="C486" s="64"/>
      <x:c r="D486" s="63"/>
      <x:c r="E486" s="63"/>
      <x:c r="F486" s="63"/>
      <x:c r="G486" s="63"/>
      <x:c r="H486" s="63"/>
      <x:c r="I486" s="63"/>
    </x:row>
    <x:row r="487" ht="30" customHeight="1">
      <x:c r="C487" s="64"/>
      <x:c r="D487" s="63"/>
      <x:c r="E487" s="63"/>
      <x:c r="F487" s="63"/>
      <x:c r="G487" s="63"/>
      <x:c r="H487" s="63"/>
      <x:c r="I487" s="63"/>
    </x:row>
    <x:row r="488" ht="30" customHeight="1">
      <x:c r="C488" s="64"/>
      <x:c r="D488" s="63"/>
      <x:c r="E488" s="63"/>
      <x:c r="F488" s="63"/>
      <x:c r="G488" s="63"/>
      <x:c r="H488" s="63"/>
      <x:c r="I488" s="63"/>
    </x:row>
    <x:row r="489" ht="30" customHeight="1">
      <x:c r="C489" s="64"/>
      <x:c r="D489" s="63"/>
      <x:c r="E489" s="63"/>
      <x:c r="F489" s="63"/>
      <x:c r="G489" s="63"/>
      <x:c r="H489" s="63"/>
      <x:c r="I489" s="63"/>
    </x:row>
    <x:row r="490" ht="30" customHeight="1">
      <x:c r="C490" s="64"/>
      <x:c r="D490" s="63"/>
      <x:c r="E490" s="63"/>
      <x:c r="F490" s="63"/>
      <x:c r="G490" s="63"/>
      <x:c r="H490" s="63"/>
      <x:c r="I490" s="63"/>
    </x:row>
    <x:row r="491" ht="30" customHeight="1">
      <x:c r="C491" s="64"/>
      <x:c r="D491" s="63"/>
      <x:c r="E491" s="63"/>
      <x:c r="F491" s="63"/>
      <x:c r="G491" s="63"/>
      <x:c r="H491" s="63"/>
      <x:c r="I491" s="63"/>
    </x:row>
    <x:row r="492" ht="30" customHeight="1">
      <x:c r="C492" s="64"/>
      <x:c r="D492" s="63"/>
      <x:c r="E492" s="63"/>
      <x:c r="F492" s="63"/>
      <x:c r="G492" s="63"/>
      <x:c r="H492" s="63"/>
      <x:c r="I492" s="63"/>
    </x:row>
    <x:row r="493" ht="30" customHeight="1">
      <x:c r="C493" s="64"/>
      <x:c r="D493" s="63"/>
      <x:c r="E493" s="63"/>
      <x:c r="F493" s="63"/>
      <x:c r="G493" s="63"/>
      <x:c r="H493" s="63"/>
      <x:c r="I493" s="63"/>
    </x:row>
    <x:row r="494" ht="30" customHeight="1">
      <x:c r="C494" s="64"/>
      <x:c r="D494" s="63"/>
      <x:c r="E494" s="63"/>
      <x:c r="F494" s="63"/>
      <x:c r="G494" s="63"/>
      <x:c r="H494" s="63"/>
      <x:c r="I494" s="63"/>
    </x:row>
    <x:row r="495" ht="30" customHeight="1">
      <x:c r="C495" s="64"/>
      <x:c r="D495" s="63"/>
      <x:c r="E495" s="63"/>
      <x:c r="F495" s="63"/>
      <x:c r="G495" s="63"/>
      <x:c r="H495" s="63"/>
      <x:c r="I495" s="63"/>
    </x:row>
    <x:row r="496" ht="30" customHeight="1">
      <x:c r="C496" s="64"/>
      <x:c r="D496" s="63"/>
      <x:c r="E496" s="63"/>
      <x:c r="F496" s="63"/>
      <x:c r="G496" s="63"/>
      <x:c r="H496" s="63"/>
      <x:c r="I496" s="63"/>
    </x:row>
    <x:row r="497" ht="30" customHeight="1">
      <x:c r="C497" s="64"/>
      <x:c r="D497" s="63"/>
      <x:c r="E497" s="63"/>
      <x:c r="F497" s="63"/>
      <x:c r="G497" s="63"/>
      <x:c r="H497" s="63"/>
      <x:c r="I497" s="63"/>
    </x:row>
    <x:row r="498" ht="30" customHeight="1">
      <x:c r="C498" s="64"/>
      <x:c r="D498" s="63"/>
      <x:c r="E498" s="63"/>
      <x:c r="F498" s="63"/>
      <x:c r="G498" s="63"/>
      <x:c r="H498" s="63"/>
      <x:c r="I498" s="63"/>
    </x:row>
    <x:row r="499" ht="30" customHeight="1">
      <x:c r="C499" s="64"/>
      <x:c r="D499" s="63"/>
      <x:c r="E499" s="63"/>
      <x:c r="F499" s="63"/>
      <x:c r="G499" s="63"/>
      <x:c r="H499" s="63"/>
      <x:c r="I499" s="63"/>
    </x:row>
    <x:row r="500" ht="30" customHeight="1">
      <x:c r="C500" s="64"/>
      <x:c r="D500" s="63"/>
      <x:c r="E500" s="63"/>
      <x:c r="F500" s="63"/>
      <x:c r="G500" s="63"/>
      <x:c r="H500" s="63"/>
      <x:c r="I500" s="63"/>
    </x:row>
    <x:row r="501" ht="30" customHeight="1">
      <x:c r="C501" s="64"/>
      <x:c r="D501" s="63"/>
      <x:c r="E501" s="63"/>
      <x:c r="F501" s="63"/>
      <x:c r="G501" s="63"/>
      <x:c r="H501" s="63"/>
      <x:c r="I501" s="63"/>
    </x:row>
    <x:row r="502" ht="30" customHeight="1">
      <x:c r="C502" s="64"/>
      <x:c r="D502" s="63"/>
      <x:c r="E502" s="63"/>
      <x:c r="F502" s="63"/>
      <x:c r="G502" s="63"/>
      <x:c r="H502" s="63"/>
      <x:c r="I502" s="63"/>
    </x:row>
    <x:row r="503" ht="30" customHeight="1">
      <x:c r="C503" s="64"/>
      <x:c r="D503" s="63"/>
      <x:c r="E503" s="63"/>
      <x:c r="F503" s="63"/>
      <x:c r="G503" s="63"/>
      <x:c r="H503" s="63"/>
      <x:c r="I503" s="63"/>
    </x:row>
    <x:row r="504" ht="30" customHeight="1">
      <x:c r="C504" s="64"/>
      <x:c r="D504" s="63"/>
      <x:c r="E504" s="63"/>
      <x:c r="F504" s="63"/>
      <x:c r="G504" s="63"/>
      <x:c r="H504" s="63"/>
      <x:c r="I504" s="63"/>
    </x:row>
    <x:row r="505" ht="30" customHeight="1">
      <x:c r="C505" s="64"/>
      <x:c r="D505" s="63"/>
      <x:c r="E505" s="63"/>
      <x:c r="F505" s="63"/>
      <x:c r="G505" s="63"/>
      <x:c r="H505" s="63"/>
      <x:c r="I505" s="63"/>
    </x:row>
    <x:row r="506" ht="30" customHeight="1">
      <x:c r="C506" s="64"/>
      <x:c r="D506" s="63"/>
      <x:c r="E506" s="63"/>
      <x:c r="F506" s="63"/>
      <x:c r="G506" s="63"/>
      <x:c r="H506" s="63"/>
      <x:c r="I506" s="63"/>
    </x:row>
    <x:row r="507" ht="30" customHeight="1">
      <x:c r="C507" s="64"/>
      <x:c r="D507" s="63"/>
      <x:c r="E507" s="63"/>
      <x:c r="F507" s="63"/>
      <x:c r="G507" s="63"/>
      <x:c r="H507" s="63"/>
      <x:c r="I507" s="63"/>
    </x:row>
    <x:row r="508" ht="30" customHeight="1">
      <x:c r="C508" s="64"/>
      <x:c r="D508" s="63"/>
      <x:c r="E508" s="63"/>
      <x:c r="F508" s="63"/>
      <x:c r="G508" s="63"/>
      <x:c r="H508" s="63"/>
      <x:c r="I508" s="63"/>
    </x:row>
    <x:row r="509" ht="30" customHeight="1">
      <x:c r="C509" s="64"/>
      <x:c r="D509" s="63"/>
      <x:c r="E509" s="63"/>
      <x:c r="F509" s="63"/>
      <x:c r="G509" s="63"/>
      <x:c r="H509" s="63"/>
      <x:c r="I509" s="63"/>
    </x:row>
    <x:row r="510" ht="30" customHeight="1">
      <x:c r="C510" s="64"/>
      <x:c r="D510" s="63"/>
      <x:c r="E510" s="63"/>
      <x:c r="F510" s="63"/>
      <x:c r="G510" s="63"/>
      <x:c r="H510" s="63"/>
      <x:c r="I510" s="63"/>
    </x:row>
  </x:sheetData>
  <x:mergeCells>
    <x:mergeCell ref="M2:U2"/>
    <x:mergeCell ref="M9:U9"/>
    <x:mergeCell ref="M10:U10"/>
    <x:mergeCell ref="M30:U30"/>
    <x:mergeCell ref="M43:U44"/>
  </x:mergeCells>
  <x:conditionalFormatting sqref="E71:I71">
    <x:cfRule type="expression" dxfId="71" priority="1">
      <x:formula>ABS(E71)&gt;0.01</x:formula>
    </x:cfRule>
  </x:conditionalFormatting>
  <x:conditionalFormatting sqref="E72:I72">
    <x:cfRule type="expression" dxfId="72" priority="2">
      <x:formula>ABS(E72)&gt;0.01</x:formula>
    </x:cfRule>
  </x:conditionalFormatting>
  <x:conditionalFormatting sqref="E73:I73">
    <x:cfRule type="expression" dxfId="73" priority="3">
      <x:formula>ABS(E73)&gt;0.01</x:formula>
    </x:cfRule>
  </x:conditionalFormatting>
  <x:conditionalFormatting sqref="E74:I74">
    <x:cfRule type="expression" dxfId="74" priority="4">
      <x:formula>ABS(E74)&gt;0.01</x:formula>
    </x:cfRule>
  </x:conditionalFormatting>
  <x:conditionalFormatting sqref="E180:I201">
    <x:cfRule type="cellIs" dxfId="91" priority="5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aab870826c6a4fdb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3" hidden="0" customWidth="1"/>
    <x:col min="4" max="4" width="40" hidden="0" customWidth="1"/>
    <x:col min="5" max="5" width="62" hidden="0" customWidth="1"/>
    <x:col min="6" max="6" width="72" hidden="0" customWidth="1"/>
    <x:col min="7" max="7" width="34" hidden="0" customWidth="1"/>
    <x:col min="8" max="8" width="15" hidden="0" customWidth="1"/>
    <x:col min="9" max="9" width="15" hidden="0" customWidth="1"/>
    <x:col min="10" max="10" width="3" hidden="0" customWidth="1"/>
    <x:col min="11" max="11" width="88" hidden="0" customWidth="1"/>
  </x:cols>
  <x:sheetData>
    <x:row r="1" ht="18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  <x:c r="K1" s="1"/>
    </x:row>
    <x:row r="2" ht="18" customHeight="1">
      <x:c r="A2" s="1"/>
      <x:c r="B2" s="1"/>
      <x:c r="C2" s="3" t="str">
        <x:v>Sector KPI definitions and interpretation</x:v>
      </x:c>
      <x:c r="D2" s="2"/>
      <x:c r="E2" s="2"/>
      <x:c r="F2" s="2"/>
      <x:c r="G2" s="2"/>
      <x:c r="H2" s="2"/>
      <x:c r="I2" s="2"/>
      <x:c r="J2" s="1"/>
      <x:c r="K2" s="1"/>
    </x:row>
    <x:row r="3" ht="18" customHeight="1">
      <x:c r="A3" s="1"/>
      <x:c r="B3" s="1"/>
      <x:c r="C3" s="4"/>
      <x:c r="D3" s="5"/>
      <x:c r="E3" s="5"/>
      <x:c r="F3" s="5"/>
      <x:c r="G3" s="5"/>
      <x:c r="H3" s="5"/>
      <x:c r="I3" s="5"/>
      <x:c r="J3" s="1"/>
      <x:c r="K3" s="1"/>
    </x:row>
    <x:row r="4" ht="18" customHeight="1">
      <x:c r="A4" s="1"/>
      <x:c r="B4" s="1"/>
      <x:c r="C4" s="1"/>
      <x:c r="D4" s="2"/>
      <x:c r="E4" s="2"/>
      <x:c r="F4" s="2"/>
      <x:c r="G4" s="2"/>
      <x:c r="H4" s="2"/>
      <x:c r="I4" s="2"/>
      <x:c r="J4" s="1"/>
      <x:c r="K4" s="1"/>
    </x:row>
    <x:row r="5" ht="18" customHeight="1">
      <x:c r="A5" s="1"/>
      <x:c r="B5" s="1"/>
      <x:c r="C5" s="1"/>
      <x:c r="D5" s="2"/>
      <x:c r="E5" s="2"/>
      <x:c r="F5" s="2"/>
      <x:c r="G5" s="2"/>
      <x:c r="H5" s="2"/>
      <x:c r="I5" s="2"/>
      <x:c r="J5" s="1"/>
      <x:c r="K5" s="1"/>
    </x:row>
    <x:row r="6" ht="18" customHeight="1">
      <x:c r="A6" s="1"/>
      <x:c r="B6" s="1"/>
      <x:c r="C6" s="42" t="str">
        <x:v>Sector</x:v>
      </x:c>
      <x:c r="D6" s="43" t="str">
        <x:v>KPI</x:v>
      </x:c>
      <x:c r="E6" s="43" t="str">
        <x:v>Definition used in workbook</x:v>
      </x:c>
      <x:c r="F6" s="43" t="str">
        <x:v>Interpretation and comparability</x:v>
      </x:c>
      <x:c r="G6" s="43" t="str">
        <x:v>Calculation range</x:v>
      </x:c>
      <x:c r="H6" s="2"/>
      <x:c r="I6" s="2"/>
      <x:c r="J6" s="1"/>
      <x:c r="K6" s="1"/>
    </x:row>
    <x:row r="7" ht="32" customHeight="1">
      <x:c r="A7" s="1"/>
      <x:c r="B7" s="1"/>
      <x:c r="C7" s="1" t="str">
        <x:v>IT Services</x:v>
      </x:c>
      <x:c r="D7" s="54" t="str">
        <x:v>Gross margin</x:v>
      </x:c>
      <x:c r="E7" s="54" t="str">
        <x:v>Gross profit / revenue</x:v>
      </x:c>
      <x:c r="F7" s="54" t="str">
        <x:v>Compare cost definitions before using peer benchmarks.</x:v>
      </x:c>
      <x:c r="G7" s="2" t="str">
        <x:v>IT Services!E79:I79</x:v>
      </x:c>
      <x:c r="H7" s="2"/>
      <x:c r="I7" s="2"/>
      <x:c r="J7" s="1"/>
      <x:c r="K7" s="1"/>
    </x:row>
    <x:row r="8" ht="32" customHeight="1">
      <x:c r="A8" s="1"/>
      <x:c r="B8" s="1"/>
      <x:c r="C8" s="1" t="str">
        <x:v>IT Services</x:v>
      </x:c>
      <x:c r="D8" s="54" t="str">
        <x:v>EBITDA margin</x:v>
      </x:c>
      <x:c r="E8" s="54" t="str">
        <x:v>EBITDA / revenue</x:v>
      </x:c>
      <x:c r="F8" s="54" t="str">
        <x:v>Pre-lease capitalization where rent is an operating expense.</x:v>
      </x:c>
      <x:c r="G8" s="2" t="str">
        <x:v>IT Services!E80:I80</x:v>
      </x:c>
      <x:c r="H8" s="2"/>
      <x:c r="I8" s="2"/>
      <x:c r="J8" s="1"/>
      <x:c r="K8" s="1"/>
    </x:row>
    <x:row r="9" ht="32" customHeight="1">
      <x:c r="A9" s="1"/>
      <x:c r="B9" s="1"/>
      <x:c r="C9" s="1" t="str">
        <x:v>IT Services</x:v>
      </x:c>
      <x:c r="D9" s="54" t="str">
        <x:v>Net margin</x:v>
      </x:c>
      <x:c r="E9" s="54" t="str">
        <x:v>PAT / revenue</x:v>
      </x:c>
      <x:c r="F9" s="54" t="str">
        <x:v>Includes modeled financing cost.</x:v>
      </x:c>
      <x:c r="G9" s="2" t="str">
        <x:v>IT Services!E81:I81</x:v>
      </x:c>
      <x:c r="H9" s="2"/>
      <x:c r="I9" s="2"/>
      <x:c r="J9" s="1"/>
      <x:c r="K9" s="1"/>
    </x:row>
    <x:row r="10" ht="32" customHeight="1">
      <x:c r="A10" s="1"/>
      <x:c r="B10" s="1"/>
      <x:c r="C10" s="1" t="str">
        <x:v>IT Services</x:v>
      </x:c>
      <x:c r="D10" s="54" t="str">
        <x:v>Operating cash conversion</x:v>
      </x:c>
      <x:c r="E10" s="54" t="str">
        <x:v>Operating cash flow after interest / EBITDA</x:v>
      </x:c>
      <x:c r="F10" s="54" t="str">
        <x:v>Tax, interest and working capital cause divergence.</x:v>
      </x:c>
      <x:c r="G10" s="2" t="str">
        <x:v>IT Services!E82:I82</x:v>
      </x:c>
      <x:c r="H10" s="2"/>
      <x:c r="I10" s="2"/>
      <x:c r="J10" s="1"/>
      <x:c r="K10" s="1"/>
    </x:row>
    <x:row r="11" ht="32" customHeight="1">
      <x:c r="A11" s="1"/>
      <x:c r="B11" s="1"/>
      <x:c r="C11" s="1" t="str">
        <x:v>IT Services</x:v>
      </x:c>
      <x:c r="D11" s="54" t="str">
        <x:v>Cash conversion cycle (days)</x:v>
      </x:c>
      <x:c r="E11" s="54" t="str">
        <x:v>Receivable days + inventory days − payable days</x:v>
      </x:c>
      <x:c r="F11" s="54" t="str">
        <x:v>Inventory and payable days use direct cost.</x:v>
      </x:c>
      <x:c r="G11" s="2" t="str">
        <x:v>IT Services!E83:I83</x:v>
      </x:c>
      <x:c r="H11" s="2"/>
      <x:c r="I11" s="2"/>
      <x:c r="J11" s="1"/>
      <x:c r="K11" s="1"/>
    </x:row>
    <x:row r="12" ht="32" customHeight="1">
      <x:c r="A12" s="1"/>
      <x:c r="B12" s="1"/>
      <x:c r="C12" s="1" t="str">
        <x:v>IT Services</x:v>
      </x:c>
      <x:c r="D12" s="54" t="str">
        <x:v>Net debt / EBITDA</x:v>
      </x:c>
      <x:c r="E12" s="54" t="str">
        <x:v>(Debt − cash) / EBITDA</x:v>
      </x:c>
      <x:c r="F12" s="54" t="str">
        <x:v>Negative ratio indicates net cash; negative cash is a funding gap.</x:v>
      </x:c>
      <x:c r="G12" s="2" t="str">
        <x:v>IT Services!E84:I84</x:v>
      </x:c>
      <x:c r="H12" s="2"/>
      <x:c r="I12" s="2"/>
      <x:c r="J12" s="1"/>
      <x:c r="K12" s="1"/>
    </x:row>
    <x:row r="13" ht="32" customHeight="1">
      <x:c r="A13" s="1"/>
      <x:c r="B13" s="1"/>
      <x:c r="C13" s="1" t="str">
        <x:v>IT Services</x:v>
      </x:c>
      <x:c r="D13" s="54" t="str">
        <x:v>EBIT / interest</x:v>
      </x:c>
      <x:c r="E13" s="54" t="str">
        <x:v>EBIT / interest expense</x:v>
      </x:c>
      <x:c r="F13" s="54" t="str">
        <x:v>Does not measure principal repayment capacity.</x:v>
      </x:c>
      <x:c r="G13" s="2" t="str">
        <x:v>IT Services!E85:I85</x:v>
      </x:c>
      <x:c r="H13" s="2"/>
      <x:c r="I13" s="2"/>
      <x:c r="J13" s="1"/>
      <x:c r="K13" s="1"/>
    </x:row>
    <x:row r="14" ht="32" customHeight="1">
      <x:c r="A14" s="1"/>
      <x:c r="B14" s="1"/>
      <x:c r="C14" s="1" t="str">
        <x:v>IT Services</x:v>
      </x:c>
      <x:c r="D14" s="54" t="str">
        <x:v>ROIC on average invested capital</x:v>
      </x:c>
      <x:c r="E14" s="54" t="str">
        <x:v>NOPAT / average (net PP&amp;E + net working capital)</x:v>
      </x:c>
      <x:c r="F14" s="54" t="str">
        <x:v>Excludes goodwill, leases and non-operating assets.</x:v>
      </x:c>
      <x:c r="G14" s="2" t="str">
        <x:v>IT Services!E86:I86</x:v>
      </x:c>
      <x:c r="H14" s="2"/>
      <x:c r="I14" s="2"/>
      <x:c r="J14" s="1"/>
      <x:c r="K14" s="1"/>
    </x:row>
    <x:row r="15" ht="32" customHeight="1">
      <x:c r="A15" s="1"/>
      <x:c r="B15" s="1"/>
      <x:c r="C15" s="1" t="str">
        <x:v>IT Services</x:v>
      </x:c>
      <x:c r="D15" s="54" t="str">
        <x:v>Revenue per delivery FTE (INR lakh)</x:v>
      </x:c>
      <x:c r="E15" s="54" t="str">
        <x:v>Revenue / average delivery FTE</x:v>
      </x:c>
      <x:c r="F15" s="54" t="str">
        <x:v>Excludes non-delivery employees from denominator.</x:v>
      </x:c>
      <x:c r="G15" s="2" t="str">
        <x:v>IT Services!E87:I87</x:v>
      </x:c>
      <x:c r="H15" s="2"/>
      <x:c r="I15" s="2"/>
      <x:c r="J15" s="1"/>
      <x:c r="K15" s="1"/>
    </x:row>
    <x:row r="16" ht="32" customHeight="1">
      <x:c r="A16" s="1"/>
      <x:c r="B16" s="1"/>
      <x:c r="C16" s="1" t="str">
        <x:v>FMCG</x:v>
      </x:c>
      <x:c r="D16" s="54" t="str">
        <x:v>Gross margin</x:v>
      </x:c>
      <x:c r="E16" s="54" t="str">
        <x:v>Gross profit / revenue</x:v>
      </x:c>
      <x:c r="F16" s="54" t="str">
        <x:v>Compare cost definitions before using peer benchmarks.</x:v>
      </x:c>
      <x:c r="G16" s="2" t="str">
        <x:v>FMCG!E79:I79</x:v>
      </x:c>
      <x:c r="H16" s="2"/>
      <x:c r="I16" s="2"/>
      <x:c r="J16" s="1"/>
      <x:c r="K16" s="1"/>
    </x:row>
    <x:row r="17" ht="32" customHeight="1">
      <x:c r="A17" s="1"/>
      <x:c r="B17" s="1"/>
      <x:c r="C17" s="1" t="str">
        <x:v>FMCG</x:v>
      </x:c>
      <x:c r="D17" s="54" t="str">
        <x:v>EBITDA margin</x:v>
      </x:c>
      <x:c r="E17" s="54" t="str">
        <x:v>EBITDA / revenue</x:v>
      </x:c>
      <x:c r="F17" s="54" t="str">
        <x:v>Pre-lease capitalization where rent is an operating expense.</x:v>
      </x:c>
      <x:c r="G17" s="2" t="str">
        <x:v>FMCG!E80:I80</x:v>
      </x:c>
      <x:c r="H17" s="2"/>
      <x:c r="I17" s="2"/>
      <x:c r="J17" s="1"/>
      <x:c r="K17" s="1"/>
    </x:row>
    <x:row r="18" ht="32" customHeight="1">
      <x:c r="A18" s="1"/>
      <x:c r="B18" s="1"/>
      <x:c r="C18" s="1" t="str">
        <x:v>FMCG</x:v>
      </x:c>
      <x:c r="D18" s="54" t="str">
        <x:v>Net margin</x:v>
      </x:c>
      <x:c r="E18" s="54" t="str">
        <x:v>PAT / revenue</x:v>
      </x:c>
      <x:c r="F18" s="54" t="str">
        <x:v>Includes modeled financing cost.</x:v>
      </x:c>
      <x:c r="G18" s="2" t="str">
        <x:v>FMCG!E81:I81</x:v>
      </x:c>
      <x:c r="H18" s="2"/>
      <x:c r="I18" s="2"/>
      <x:c r="J18" s="1"/>
      <x:c r="K18" s="1"/>
    </x:row>
    <x:row r="19" ht="32" customHeight="1">
      <x:c r="A19" s="1"/>
      <x:c r="B19" s="1"/>
      <x:c r="C19" s="1" t="str">
        <x:v>FMCG</x:v>
      </x:c>
      <x:c r="D19" s="54" t="str">
        <x:v>Operating cash conversion</x:v>
      </x:c>
      <x:c r="E19" s="54" t="str">
        <x:v>Operating cash flow after interest / EBITDA</x:v>
      </x:c>
      <x:c r="F19" s="54" t="str">
        <x:v>Tax, interest and working capital cause divergence.</x:v>
      </x:c>
      <x:c r="G19" s="2" t="str">
        <x:v>FMCG!E82:I82</x:v>
      </x:c>
      <x:c r="H19" s="2"/>
      <x:c r="I19" s="2"/>
      <x:c r="J19" s="1"/>
      <x:c r="K19" s="1"/>
    </x:row>
    <x:row r="20" ht="32" customHeight="1">
      <x:c r="A20" s="1"/>
      <x:c r="B20" s="1"/>
      <x:c r="C20" s="1" t="str">
        <x:v>FMCG</x:v>
      </x:c>
      <x:c r="D20" s="54" t="str">
        <x:v>Cash conversion cycle (days)</x:v>
      </x:c>
      <x:c r="E20" s="54" t="str">
        <x:v>Receivable days + inventory days − payable days</x:v>
      </x:c>
      <x:c r="F20" s="54" t="str">
        <x:v>Inventory and payable days use direct cost.</x:v>
      </x:c>
      <x:c r="G20" s="2" t="str">
        <x:v>FMCG!E83:I83</x:v>
      </x:c>
      <x:c r="H20" s="2"/>
      <x:c r="I20" s="2"/>
      <x:c r="J20" s="1"/>
      <x:c r="K20" s="1"/>
    </x:row>
    <x:row r="21" ht="32" customHeight="1">
      <x:c r="A21" s="1"/>
      <x:c r="B21" s="1"/>
      <x:c r="C21" s="1" t="str">
        <x:v>FMCG</x:v>
      </x:c>
      <x:c r="D21" s="54" t="str">
        <x:v>Net debt / EBITDA</x:v>
      </x:c>
      <x:c r="E21" s="54" t="str">
        <x:v>(Debt − cash) / EBITDA</x:v>
      </x:c>
      <x:c r="F21" s="54" t="str">
        <x:v>Negative ratio indicates net cash; negative cash is a funding gap.</x:v>
      </x:c>
      <x:c r="G21" s="2" t="str">
        <x:v>FMCG!E84:I84</x:v>
      </x:c>
      <x:c r="H21" s="2"/>
      <x:c r="I21" s="2"/>
      <x:c r="J21" s="1"/>
      <x:c r="K21" s="1"/>
    </x:row>
    <x:row r="22" ht="32" customHeight="1">
      <x:c r="A22" s="1"/>
      <x:c r="B22" s="1"/>
      <x:c r="C22" s="1" t="str">
        <x:v>FMCG</x:v>
      </x:c>
      <x:c r="D22" s="54" t="str">
        <x:v>EBIT / interest</x:v>
      </x:c>
      <x:c r="E22" s="54" t="str">
        <x:v>EBIT / interest expense</x:v>
      </x:c>
      <x:c r="F22" s="54" t="str">
        <x:v>Does not measure principal repayment capacity.</x:v>
      </x:c>
      <x:c r="G22" s="2" t="str">
        <x:v>FMCG!E85:I85</x:v>
      </x:c>
      <x:c r="H22" s="2"/>
      <x:c r="I22" s="2"/>
      <x:c r="J22" s="1"/>
      <x:c r="K22" s="1"/>
    </x:row>
    <x:row r="23" ht="32" customHeight="1">
      <x:c r="A23" s="1"/>
      <x:c r="B23" s="1"/>
      <x:c r="C23" s="1" t="str">
        <x:v>FMCG</x:v>
      </x:c>
      <x:c r="D23" s="54" t="str">
        <x:v>ROIC on average invested capital</x:v>
      </x:c>
      <x:c r="E23" s="54" t="str">
        <x:v>NOPAT / average (net PP&amp;E + net working capital)</x:v>
      </x:c>
      <x:c r="F23" s="54" t="str">
        <x:v>Excludes goodwill, leases and non-operating assets.</x:v>
      </x:c>
      <x:c r="G23" s="2" t="str">
        <x:v>FMCG!E86:I86</x:v>
      </x:c>
      <x:c r="H23" s="2"/>
      <x:c r="I23" s="2"/>
      <x:c r="J23" s="1"/>
      <x:c r="K23" s="1"/>
    </x:row>
    <x:row r="24" ht="32" customHeight="1">
      <x:c r="A24" s="1"/>
      <x:c r="B24" s="1"/>
      <x:c r="C24" s="1" t="str">
        <x:v>FMCG</x:v>
      </x:c>
      <x:c r="D24" s="54" t="str">
        <x:v>Gross profit per unit (INR)</x:v>
      </x:c>
      <x:c r="E24" s="54" t="str">
        <x:v>Gross profit / equivalent units sold</x:v>
      </x:c>
      <x:c r="F24" s="54" t="str">
        <x:v>Reconcile pack sizes and product mix before peer comparison.</x:v>
      </x:c>
      <x:c r="G24" s="2" t="str">
        <x:v>FMCG!E87:I87</x:v>
      </x:c>
      <x:c r="H24" s="2"/>
      <x:c r="I24" s="2"/>
      <x:c r="J24" s="1"/>
      <x:c r="K24" s="1"/>
    </x:row>
    <x:row r="25" ht="32" customHeight="1">
      <x:c r="A25" s="1"/>
      <x:c r="B25" s="1"/>
      <x:c r="C25" s="1" t="str">
        <x:v>FMCG</x:v>
      </x:c>
      <x:c r="D25" s="54" t="str">
        <x:v>Inventory turns</x:v>
      </x:c>
      <x:c r="E25" s="54" t="str">
        <x:v>Annual direct cost / closing inventory</x:v>
      </x:c>
      <x:c r="F25" s="54" t="str">
        <x:v>Uses closing inventory, not average inventory.</x:v>
      </x:c>
      <x:c r="G25" s="2" t="str">
        <x:v>FMCG!E88:I88</x:v>
      </x:c>
      <x:c r="H25" s="2"/>
      <x:c r="I25" s="2"/>
      <x:c r="J25" s="1"/>
      <x:c r="K25" s="1"/>
    </x:row>
    <x:row r="26" ht="32" customHeight="1">
      <x:c r="A26" s="1"/>
      <x:c r="B26" s="1"/>
      <x:c r="C26" s="1" t="str">
        <x:v>Automobiles</x:v>
      </x:c>
      <x:c r="D26" s="54" t="str">
        <x:v>Gross margin</x:v>
      </x:c>
      <x:c r="E26" s="54" t="str">
        <x:v>Gross profit / revenue</x:v>
      </x:c>
      <x:c r="F26" s="54" t="str">
        <x:v>Compare cost definitions before using peer benchmarks.</x:v>
      </x:c>
      <x:c r="G26" s="2" t="str">
        <x:v>Automobiles!E79:I79</x:v>
      </x:c>
      <x:c r="H26" s="2"/>
      <x:c r="I26" s="2"/>
      <x:c r="J26" s="1"/>
      <x:c r="K26" s="1"/>
    </x:row>
    <x:row r="27" ht="32" customHeight="1">
      <x:c r="A27" s="1"/>
      <x:c r="B27" s="1"/>
      <x:c r="C27" s="1" t="str">
        <x:v>Automobiles</x:v>
      </x:c>
      <x:c r="D27" s="54" t="str">
        <x:v>EBITDA margin</x:v>
      </x:c>
      <x:c r="E27" s="54" t="str">
        <x:v>EBITDA / revenue</x:v>
      </x:c>
      <x:c r="F27" s="54" t="str">
        <x:v>Pre-lease capitalization where rent is an operating expense.</x:v>
      </x:c>
      <x:c r="G27" s="2" t="str">
        <x:v>Automobiles!E80:I80</x:v>
      </x:c>
      <x:c r="H27" s="2"/>
      <x:c r="I27" s="2"/>
      <x:c r="J27" s="1"/>
      <x:c r="K27" s="1"/>
    </x:row>
    <x:row r="28" ht="32" customHeight="1">
      <x:c r="A28" s="1"/>
      <x:c r="B28" s="1"/>
      <x:c r="C28" s="1" t="str">
        <x:v>Automobiles</x:v>
      </x:c>
      <x:c r="D28" s="54" t="str">
        <x:v>Net margin</x:v>
      </x:c>
      <x:c r="E28" s="54" t="str">
        <x:v>PAT / revenue</x:v>
      </x:c>
      <x:c r="F28" s="54" t="str">
        <x:v>Includes modeled financing cost.</x:v>
      </x:c>
      <x:c r="G28" s="2" t="str">
        <x:v>Automobiles!E81:I81</x:v>
      </x:c>
      <x:c r="H28" s="2"/>
      <x:c r="I28" s="2"/>
      <x:c r="J28" s="1"/>
      <x:c r="K28" s="1"/>
    </x:row>
    <x:row r="29" ht="32" customHeight="1">
      <x:c r="A29" s="1"/>
      <x:c r="B29" s="1"/>
      <x:c r="C29" s="1" t="str">
        <x:v>Automobiles</x:v>
      </x:c>
      <x:c r="D29" s="54" t="str">
        <x:v>Operating cash conversion</x:v>
      </x:c>
      <x:c r="E29" s="54" t="str">
        <x:v>Operating cash flow after interest / EBITDA</x:v>
      </x:c>
      <x:c r="F29" s="54" t="str">
        <x:v>Tax, interest and working capital cause divergence.</x:v>
      </x:c>
      <x:c r="G29" s="2" t="str">
        <x:v>Automobiles!E82:I82</x:v>
      </x:c>
      <x:c r="H29" s="2"/>
      <x:c r="I29" s="2"/>
      <x:c r="J29" s="1"/>
      <x:c r="K29" s="1"/>
    </x:row>
    <x:row r="30" ht="32" customHeight="1">
      <x:c r="A30" s="1"/>
      <x:c r="B30" s="1"/>
      <x:c r="C30" s="1" t="str">
        <x:v>Automobiles</x:v>
      </x:c>
      <x:c r="D30" s="54" t="str">
        <x:v>Cash conversion cycle (days)</x:v>
      </x:c>
      <x:c r="E30" s="54" t="str">
        <x:v>Receivable days + inventory days − payable days</x:v>
      </x:c>
      <x:c r="F30" s="54" t="str">
        <x:v>Inventory and payable days use direct cost.</x:v>
      </x:c>
      <x:c r="G30" s="2" t="str">
        <x:v>Automobiles!E83:I83</x:v>
      </x:c>
      <x:c r="H30" s="2"/>
      <x:c r="I30" s="2"/>
      <x:c r="J30" s="1"/>
      <x:c r="K30" s="1"/>
    </x:row>
    <x:row r="31" ht="32" customHeight="1">
      <x:c r="A31" s="1"/>
      <x:c r="B31" s="1"/>
      <x:c r="C31" s="1" t="str">
        <x:v>Automobiles</x:v>
      </x:c>
      <x:c r="D31" s="54" t="str">
        <x:v>Net debt / EBITDA</x:v>
      </x:c>
      <x:c r="E31" s="54" t="str">
        <x:v>(Debt − cash) / EBITDA</x:v>
      </x:c>
      <x:c r="F31" s="54" t="str">
        <x:v>Negative ratio indicates net cash; negative cash is a funding gap.</x:v>
      </x:c>
      <x:c r="G31" s="2" t="str">
        <x:v>Automobiles!E84:I84</x:v>
      </x:c>
      <x:c r="H31" s="2"/>
      <x:c r="I31" s="2"/>
      <x:c r="J31" s="1"/>
      <x:c r="K31" s="1"/>
    </x:row>
    <x:row r="32" ht="32" customHeight="1">
      <x:c r="A32" s="1"/>
      <x:c r="B32" s="1"/>
      <x:c r="C32" s="1" t="str">
        <x:v>Automobiles</x:v>
      </x:c>
      <x:c r="D32" s="54" t="str">
        <x:v>EBIT / interest</x:v>
      </x:c>
      <x:c r="E32" s="54" t="str">
        <x:v>EBIT / interest expense</x:v>
      </x:c>
      <x:c r="F32" s="54" t="str">
        <x:v>Does not measure principal repayment capacity.</x:v>
      </x:c>
      <x:c r="G32" s="2" t="str">
        <x:v>Automobiles!E85:I85</x:v>
      </x:c>
      <x:c r="H32" s="2"/>
      <x:c r="I32" s="2"/>
      <x:c r="J32" s="1"/>
      <x:c r="K32" s="1"/>
    </x:row>
    <x:row r="33" ht="32" customHeight="1">
      <x:c r="A33" s="1"/>
      <x:c r="B33" s="1"/>
      <x:c r="C33" s="1" t="str">
        <x:v>Automobiles</x:v>
      </x:c>
      <x:c r="D33" s="54" t="str">
        <x:v>ROIC on average invested capital</x:v>
      </x:c>
      <x:c r="E33" s="54" t="str">
        <x:v>NOPAT / average (net PP&amp;E + net working capital)</x:v>
      </x:c>
      <x:c r="F33" s="54" t="str">
        <x:v>Excludes goodwill, leases and non-operating assets.</x:v>
      </x:c>
      <x:c r="G33" s="2" t="str">
        <x:v>Automobiles!E86:I86</x:v>
      </x:c>
      <x:c r="H33" s="2"/>
      <x:c r="I33" s="2"/>
      <x:c r="J33" s="1"/>
      <x:c r="K33" s="1"/>
    </x:row>
    <x:row r="34" ht="32" customHeight="1">
      <x:c r="A34" s="1"/>
      <x:c r="B34" s="1"/>
      <x:c r="C34" s="1" t="str">
        <x:v>Automobiles</x:v>
      </x:c>
      <x:c r="D34" s="54" t="str">
        <x:v>EBITDA per vehicle (INR)</x:v>
      </x:c>
      <x:c r="E34" s="54" t="str">
        <x:v>EBITDA / wholesale vehicle units</x:v>
      </x:c>
      <x:c r="F34" s="54" t="str">
        <x:v>A higher realization can be offset by materials and mix costs.</x:v>
      </x:c>
      <x:c r="G34" s="2" t="str">
        <x:v>Automobiles!E87:I87</x:v>
      </x:c>
      <x:c r="H34" s="2"/>
      <x:c r="I34" s="2"/>
      <x:c r="J34" s="1"/>
      <x:c r="K34" s="1"/>
    </x:row>
    <x:row r="35" ht="32" customHeight="1">
      <x:c r="A35" s="1"/>
      <x:c r="B35" s="1"/>
      <x:c r="C35" s="1" t="str">
        <x:v>Automobiles</x:v>
      </x:c>
      <x:c r="D35" s="54" t="str">
        <x:v>Capex per vehicle (INR)</x:v>
      </x:c>
      <x:c r="E35" s="54" t="str">
        <x:v>Cash capital expenditure / wholesale units</x:v>
      </x:c>
      <x:c r="F35" s="54" t="str">
        <x:v>Capacity capex and product development are combined.</x:v>
      </x:c>
      <x:c r="G35" s="2" t="str">
        <x:v>Automobiles!E88:I88</x:v>
      </x:c>
      <x:c r="H35" s="2"/>
      <x:c r="I35" s="2"/>
      <x:c r="J35" s="1"/>
      <x:c r="K35" s="1"/>
    </x:row>
    <x:row r="36" ht="32" customHeight="1">
      <x:c r="A36" s="1"/>
      <x:c r="B36" s="1"/>
      <x:c r="C36" s="1" t="str">
        <x:v>Cement</x:v>
      </x:c>
      <x:c r="D36" s="54" t="str">
        <x:v>Gross margin</x:v>
      </x:c>
      <x:c r="E36" s="54" t="str">
        <x:v>Gross profit / revenue</x:v>
      </x:c>
      <x:c r="F36" s="54" t="str">
        <x:v>Compare cost definitions before using peer benchmarks.</x:v>
      </x:c>
      <x:c r="G36" s="2" t="str">
        <x:v>Cement!E79:I79</x:v>
      </x:c>
      <x:c r="H36" s="2"/>
      <x:c r="I36" s="2"/>
      <x:c r="J36" s="1"/>
      <x:c r="K36" s="1"/>
    </x:row>
    <x:row r="37" ht="32" customHeight="1">
      <x:c r="A37" s="1"/>
      <x:c r="B37" s="1"/>
      <x:c r="C37" s="1" t="str">
        <x:v>Cement</x:v>
      </x:c>
      <x:c r="D37" s="54" t="str">
        <x:v>EBITDA margin</x:v>
      </x:c>
      <x:c r="E37" s="54" t="str">
        <x:v>EBITDA / revenue</x:v>
      </x:c>
      <x:c r="F37" s="54" t="str">
        <x:v>Pre-lease capitalization where rent is an operating expense.</x:v>
      </x:c>
      <x:c r="G37" s="2" t="str">
        <x:v>Cement!E80:I80</x:v>
      </x:c>
      <x:c r="H37" s="2"/>
      <x:c r="I37" s="2"/>
      <x:c r="J37" s="1"/>
      <x:c r="K37" s="1"/>
    </x:row>
    <x:row r="38" ht="32" customHeight="1">
      <x:c r="A38" s="1"/>
      <x:c r="B38" s="1"/>
      <x:c r="C38" s="1" t="str">
        <x:v>Cement</x:v>
      </x:c>
      <x:c r="D38" s="54" t="str">
        <x:v>Net margin</x:v>
      </x:c>
      <x:c r="E38" s="54" t="str">
        <x:v>PAT / revenue</x:v>
      </x:c>
      <x:c r="F38" s="54" t="str">
        <x:v>Includes modeled financing cost.</x:v>
      </x:c>
      <x:c r="G38" s="2" t="str">
        <x:v>Cement!E81:I81</x:v>
      </x:c>
      <x:c r="H38" s="2"/>
      <x:c r="I38" s="2"/>
      <x:c r="J38" s="1"/>
      <x:c r="K38" s="1"/>
    </x:row>
    <x:row r="39" ht="32" customHeight="1">
      <x:c r="A39" s="1"/>
      <x:c r="B39" s="1"/>
      <x:c r="C39" s="1" t="str">
        <x:v>Cement</x:v>
      </x:c>
      <x:c r="D39" s="54" t="str">
        <x:v>Operating cash conversion</x:v>
      </x:c>
      <x:c r="E39" s="54" t="str">
        <x:v>Operating cash flow after interest / EBITDA</x:v>
      </x:c>
      <x:c r="F39" s="54" t="str">
        <x:v>Tax, interest and working capital cause divergence.</x:v>
      </x:c>
      <x:c r="G39" s="2" t="str">
        <x:v>Cement!E82:I82</x:v>
      </x:c>
      <x:c r="H39" s="2"/>
      <x:c r="I39" s="2"/>
      <x:c r="J39" s="1"/>
      <x:c r="K39" s="1"/>
    </x:row>
    <x:row r="40" ht="32" customHeight="1">
      <x:c r="A40" s="1"/>
      <x:c r="B40" s="1"/>
      <x:c r="C40" s="1" t="str">
        <x:v>Cement</x:v>
      </x:c>
      <x:c r="D40" s="54" t="str">
        <x:v>Cash conversion cycle (days)</x:v>
      </x:c>
      <x:c r="E40" s="54" t="str">
        <x:v>Receivable days + inventory days − payable days</x:v>
      </x:c>
      <x:c r="F40" s="54" t="str">
        <x:v>Inventory and payable days use direct cost.</x:v>
      </x:c>
      <x:c r="G40" s="2" t="str">
        <x:v>Cement!E83:I83</x:v>
      </x:c>
      <x:c r="H40" s="2"/>
      <x:c r="I40" s="2"/>
      <x:c r="J40" s="1"/>
      <x:c r="K40" s="1"/>
    </x:row>
    <x:row r="41" ht="32" customHeight="1">
      <x:c r="A41" s="1"/>
      <x:c r="B41" s="1"/>
      <x:c r="C41" s="1" t="str">
        <x:v>Cement</x:v>
      </x:c>
      <x:c r="D41" s="54" t="str">
        <x:v>Net debt / EBITDA</x:v>
      </x:c>
      <x:c r="E41" s="54" t="str">
        <x:v>(Debt − cash) / EBITDA</x:v>
      </x:c>
      <x:c r="F41" s="54" t="str">
        <x:v>Negative ratio indicates net cash; negative cash is a funding gap.</x:v>
      </x:c>
      <x:c r="G41" s="2" t="str">
        <x:v>Cement!E84:I84</x:v>
      </x:c>
      <x:c r="H41" s="2"/>
      <x:c r="I41" s="2"/>
      <x:c r="J41" s="1"/>
      <x:c r="K41" s="1"/>
    </x:row>
    <x:row r="42" ht="32" customHeight="1">
      <x:c r="A42" s="1"/>
      <x:c r="B42" s="1"/>
      <x:c r="C42" s="1" t="str">
        <x:v>Cement</x:v>
      </x:c>
      <x:c r="D42" s="54" t="str">
        <x:v>EBIT / interest</x:v>
      </x:c>
      <x:c r="E42" s="54" t="str">
        <x:v>EBIT / interest expense</x:v>
      </x:c>
      <x:c r="F42" s="54" t="str">
        <x:v>Does not measure principal repayment capacity.</x:v>
      </x:c>
      <x:c r="G42" s="2" t="str">
        <x:v>Cement!E85:I85</x:v>
      </x:c>
      <x:c r="H42" s="2"/>
      <x:c r="I42" s="2"/>
      <x:c r="J42" s="1"/>
      <x:c r="K42" s="1"/>
    </x:row>
    <x:row r="43" ht="32" customHeight="1">
      <x:c r="A43" s="1"/>
      <x:c r="B43" s="1"/>
      <x:c r="C43" s="1" t="str">
        <x:v>Cement</x:v>
      </x:c>
      <x:c r="D43" s="54" t="str">
        <x:v>ROIC on average invested capital</x:v>
      </x:c>
      <x:c r="E43" s="54" t="str">
        <x:v>NOPAT / average (net PP&amp;E + net working capital)</x:v>
      </x:c>
      <x:c r="F43" s="54" t="str">
        <x:v>Excludes goodwill, leases and non-operating assets.</x:v>
      </x:c>
      <x:c r="G43" s="2" t="str">
        <x:v>Cement!E86:I86</x:v>
      </x:c>
      <x:c r="H43" s="2"/>
      <x:c r="I43" s="2"/>
      <x:c r="J43" s="1"/>
      <x:c r="K43" s="1"/>
    </x:row>
    <x:row r="44" ht="32" customHeight="1">
      <x:c r="A44" s="1"/>
      <x:c r="B44" s="1"/>
      <x:c r="C44" s="1" t="str">
        <x:v>Cement</x:v>
      </x:c>
      <x:c r="D44" s="54" t="str">
        <x:v>EBITDA per tonne (INR)</x:v>
      </x:c>
      <x:c r="E44" s="54" t="str">
        <x:v>EBITDA / saleable tonnes</x:v>
      </x:c>
      <x:c r="F44" s="54" t="str">
        <x:v>Separates unit profitability from capacity additions.</x:v>
      </x:c>
      <x:c r="G44" s="2" t="str">
        <x:v>Cement!E87:I87</x:v>
      </x:c>
      <x:c r="H44" s="2"/>
      <x:c r="I44" s="2"/>
      <x:c r="J44" s="1"/>
      <x:c r="K44" s="1"/>
    </x:row>
    <x:row r="45" ht="32" customHeight="1">
      <x:c r="A45" s="1"/>
      <x:c r="B45" s="1"/>
      <x:c r="C45" s="1" t="str">
        <x:v>Cement</x:v>
      </x:c>
      <x:c r="D45" s="54" t="str">
        <x:v>Direct cost per tonne (INR)</x:v>
      </x:c>
      <x:c r="E45" s="54" t="str">
        <x:v>Direct cash costs / saleable tonnes</x:v>
      </x:c>
      <x:c r="F45" s="54" t="str">
        <x:v>Freight and raw material definitions affect comparability.</x:v>
      </x:c>
      <x:c r="G45" s="2" t="str">
        <x:v>Cement!E88:I88</x:v>
      </x:c>
      <x:c r="H45" s="2"/>
      <x:c r="I45" s="2"/>
      <x:c r="J45" s="1"/>
      <x:c r="K45" s="1"/>
    </x:row>
    <x:row r="46" ht="32" customHeight="1">
      <x:c r="A46" s="1"/>
      <x:c r="B46" s="1"/>
      <x:c r="C46" s="1" t="str">
        <x:v>Steel</x:v>
      </x:c>
      <x:c r="D46" s="54" t="str">
        <x:v>Gross margin</x:v>
      </x:c>
      <x:c r="E46" s="54" t="str">
        <x:v>Gross profit / revenue</x:v>
      </x:c>
      <x:c r="F46" s="54" t="str">
        <x:v>Compare cost definitions before using peer benchmarks.</x:v>
      </x:c>
      <x:c r="G46" s="2" t="str">
        <x:v>Steel!E79:I79</x:v>
      </x:c>
      <x:c r="H46" s="2"/>
      <x:c r="I46" s="2"/>
      <x:c r="J46" s="1"/>
      <x:c r="K46" s="1"/>
    </x:row>
    <x:row r="47" ht="32" customHeight="1">
      <x:c r="A47" s="1"/>
      <x:c r="B47" s="1"/>
      <x:c r="C47" s="1" t="str">
        <x:v>Steel</x:v>
      </x:c>
      <x:c r="D47" s="54" t="str">
        <x:v>EBITDA margin</x:v>
      </x:c>
      <x:c r="E47" s="54" t="str">
        <x:v>EBITDA / revenue</x:v>
      </x:c>
      <x:c r="F47" s="54" t="str">
        <x:v>Pre-lease capitalization where rent is an operating expense.</x:v>
      </x:c>
      <x:c r="G47" s="2" t="str">
        <x:v>Steel!E80:I80</x:v>
      </x:c>
      <x:c r="H47" s="2"/>
      <x:c r="I47" s="2"/>
      <x:c r="J47" s="1"/>
      <x:c r="K47" s="1"/>
    </x:row>
    <x:row r="48" ht="32" customHeight="1">
      <x:c r="A48" s="1"/>
      <x:c r="B48" s="1"/>
      <x:c r="C48" s="1" t="str">
        <x:v>Steel</x:v>
      </x:c>
      <x:c r="D48" s="54" t="str">
        <x:v>Net margin</x:v>
      </x:c>
      <x:c r="E48" s="54" t="str">
        <x:v>PAT / revenue</x:v>
      </x:c>
      <x:c r="F48" s="54" t="str">
        <x:v>Includes modeled financing cost.</x:v>
      </x:c>
      <x:c r="G48" s="2" t="str">
        <x:v>Steel!E81:I81</x:v>
      </x:c>
      <x:c r="H48" s="2"/>
      <x:c r="I48" s="2"/>
      <x:c r="J48" s="1"/>
      <x:c r="K48" s="1"/>
    </x:row>
    <x:row r="49" ht="32" customHeight="1">
      <x:c r="A49" s="1"/>
      <x:c r="B49" s="1"/>
      <x:c r="C49" s="1" t="str">
        <x:v>Steel</x:v>
      </x:c>
      <x:c r="D49" s="54" t="str">
        <x:v>Operating cash conversion</x:v>
      </x:c>
      <x:c r="E49" s="54" t="str">
        <x:v>Operating cash flow after interest / EBITDA</x:v>
      </x:c>
      <x:c r="F49" s="54" t="str">
        <x:v>Tax, interest and working capital cause divergence.</x:v>
      </x:c>
      <x:c r="G49" s="2" t="str">
        <x:v>Steel!E82:I82</x:v>
      </x:c>
      <x:c r="H49" s="2"/>
      <x:c r="I49" s="2"/>
      <x:c r="J49" s="1"/>
      <x:c r="K49" s="1"/>
    </x:row>
    <x:row r="50" ht="32" customHeight="1">
      <x:c r="A50" s="1"/>
      <x:c r="B50" s="1"/>
      <x:c r="C50" s="1" t="str">
        <x:v>Steel</x:v>
      </x:c>
      <x:c r="D50" s="54" t="str">
        <x:v>Cash conversion cycle (days)</x:v>
      </x:c>
      <x:c r="E50" s="54" t="str">
        <x:v>Receivable days + inventory days − payable days</x:v>
      </x:c>
      <x:c r="F50" s="54" t="str">
        <x:v>Inventory and payable days use direct cost.</x:v>
      </x:c>
      <x:c r="G50" s="2" t="str">
        <x:v>Steel!E83:I83</x:v>
      </x:c>
      <x:c r="H50" s="2"/>
      <x:c r="I50" s="2"/>
      <x:c r="J50" s="1"/>
      <x:c r="K50" s="1"/>
    </x:row>
    <x:row r="51" ht="32" customHeight="1">
      <x:c r="A51" s="1"/>
      <x:c r="B51" s="1"/>
      <x:c r="C51" s="1" t="str">
        <x:v>Steel</x:v>
      </x:c>
      <x:c r="D51" s="54" t="str">
        <x:v>Net debt / EBITDA</x:v>
      </x:c>
      <x:c r="E51" s="54" t="str">
        <x:v>(Debt − cash) / EBITDA</x:v>
      </x:c>
      <x:c r="F51" s="54" t="str">
        <x:v>Negative ratio indicates net cash; negative cash is a funding gap.</x:v>
      </x:c>
      <x:c r="G51" s="2" t="str">
        <x:v>Steel!E84:I84</x:v>
      </x:c>
      <x:c r="H51" s="2"/>
      <x:c r="I51" s="2"/>
      <x:c r="J51" s="1"/>
      <x:c r="K51" s="1"/>
    </x:row>
    <x:row r="52" ht="32" customHeight="1">
      <x:c r="A52" s="1"/>
      <x:c r="B52" s="1"/>
      <x:c r="C52" s="1" t="str">
        <x:v>Steel</x:v>
      </x:c>
      <x:c r="D52" s="54" t="str">
        <x:v>EBIT / interest</x:v>
      </x:c>
      <x:c r="E52" s="54" t="str">
        <x:v>EBIT / interest expense</x:v>
      </x:c>
      <x:c r="F52" s="54" t="str">
        <x:v>Does not measure principal repayment capacity.</x:v>
      </x:c>
      <x:c r="G52" s="2" t="str">
        <x:v>Steel!E85:I85</x:v>
      </x:c>
      <x:c r="H52" s="2"/>
      <x:c r="I52" s="2"/>
      <x:c r="J52" s="1"/>
      <x:c r="K52" s="1"/>
    </x:row>
    <x:row r="53" ht="32" customHeight="1">
      <x:c r="A53" s="1"/>
      <x:c r="B53" s="1"/>
      <x:c r="C53" s="1" t="str">
        <x:v>Steel</x:v>
      </x:c>
      <x:c r="D53" s="54" t="str">
        <x:v>ROIC on average invested capital</x:v>
      </x:c>
      <x:c r="E53" s="54" t="str">
        <x:v>NOPAT / average (net PP&amp;E + net working capital)</x:v>
      </x:c>
      <x:c r="F53" s="54" t="str">
        <x:v>Excludes goodwill, leases and non-operating assets.</x:v>
      </x:c>
      <x:c r="G53" s="2" t="str">
        <x:v>Steel!E86:I86</x:v>
      </x:c>
      <x:c r="H53" s="2"/>
      <x:c r="I53" s="2"/>
      <x:c r="J53" s="1"/>
      <x:c r="K53" s="1"/>
    </x:row>
    <x:row r="54" ht="32" customHeight="1">
      <x:c r="A54" s="1"/>
      <x:c r="B54" s="1"/>
      <x:c r="C54" s="1" t="str">
        <x:v>Steel</x:v>
      </x:c>
      <x:c r="D54" s="54" t="str">
        <x:v>EBITDA per tonne (INR)</x:v>
      </x:c>
      <x:c r="E54" s="54" t="str">
        <x:v>EBITDA / saleable tonnes</x:v>
      </x:c>
      <x:c r="F54" s="54" t="str">
        <x:v>Separates unit profitability from capacity additions.</x:v>
      </x:c>
      <x:c r="G54" s="2" t="str">
        <x:v>Steel!E87:I87</x:v>
      </x:c>
      <x:c r="H54" s="2"/>
      <x:c r="I54" s="2"/>
      <x:c r="J54" s="1"/>
      <x:c r="K54" s="1"/>
    </x:row>
    <x:row r="55" ht="32" customHeight="1">
      <x:c r="A55" s="1"/>
      <x:c r="B55" s="1"/>
      <x:c r="C55" s="1" t="str">
        <x:v>Steel</x:v>
      </x:c>
      <x:c r="D55" s="54" t="str">
        <x:v>Direct cost per tonne (INR)</x:v>
      </x:c>
      <x:c r="E55" s="54" t="str">
        <x:v>Direct cash costs / saleable tonnes</x:v>
      </x:c>
      <x:c r="F55" s="54" t="str">
        <x:v>Freight and raw material definitions affect comparability.</x:v>
      </x:c>
      <x:c r="G55" s="2" t="str">
        <x:v>Steel!E88:I88</x:v>
      </x:c>
      <x:c r="H55" s="2"/>
      <x:c r="I55" s="2"/>
      <x:c r="J55" s="1"/>
      <x:c r="K55" s="1"/>
    </x:row>
    <x:row r="56" ht="32" customHeight="1">
      <x:c r="A56" s="1"/>
      <x:c r="B56" s="1"/>
      <x:c r="C56" s="1" t="str">
        <x:v>Pharma</x:v>
      </x:c>
      <x:c r="D56" s="54" t="str">
        <x:v>Gross margin</x:v>
      </x:c>
      <x:c r="E56" s="54" t="str">
        <x:v>Gross profit / revenue</x:v>
      </x:c>
      <x:c r="F56" s="54" t="str">
        <x:v>Compare cost definitions before using peer benchmarks.</x:v>
      </x:c>
      <x:c r="G56" s="2" t="str">
        <x:v>Pharma!E79:I79</x:v>
      </x:c>
      <x:c r="H56" s="2"/>
      <x:c r="I56" s="2"/>
      <x:c r="J56" s="1"/>
      <x:c r="K56" s="1"/>
    </x:row>
    <x:row r="57" ht="32" customHeight="1">
      <x:c r="A57" s="1"/>
      <x:c r="B57" s="1"/>
      <x:c r="C57" s="1" t="str">
        <x:v>Pharma</x:v>
      </x:c>
      <x:c r="D57" s="54" t="str">
        <x:v>EBITDA margin</x:v>
      </x:c>
      <x:c r="E57" s="54" t="str">
        <x:v>EBITDA / revenue</x:v>
      </x:c>
      <x:c r="F57" s="54" t="str">
        <x:v>Pre-lease capitalization where rent is an operating expense.</x:v>
      </x:c>
      <x:c r="G57" s="2" t="str">
        <x:v>Pharma!E80:I80</x:v>
      </x:c>
      <x:c r="H57" s="2"/>
      <x:c r="I57" s="2"/>
      <x:c r="J57" s="1"/>
      <x:c r="K57" s="1"/>
    </x:row>
    <x:row r="58" ht="32" customHeight="1">
      <x:c r="A58" s="1"/>
      <x:c r="B58" s="1"/>
      <x:c r="C58" s="1" t="str">
        <x:v>Pharma</x:v>
      </x:c>
      <x:c r="D58" s="54" t="str">
        <x:v>Net margin</x:v>
      </x:c>
      <x:c r="E58" s="54" t="str">
        <x:v>PAT / revenue</x:v>
      </x:c>
      <x:c r="F58" s="54" t="str">
        <x:v>Includes modeled financing cost.</x:v>
      </x:c>
      <x:c r="G58" s="2" t="str">
        <x:v>Pharma!E81:I81</x:v>
      </x:c>
      <x:c r="H58" s="2"/>
      <x:c r="I58" s="2"/>
      <x:c r="J58" s="1"/>
      <x:c r="K58" s="1"/>
    </x:row>
    <x:row r="59" ht="32" customHeight="1">
      <x:c r="A59" s="1"/>
      <x:c r="B59" s="1"/>
      <x:c r="C59" s="1" t="str">
        <x:v>Pharma</x:v>
      </x:c>
      <x:c r="D59" s="54" t="str">
        <x:v>Operating cash conversion</x:v>
      </x:c>
      <x:c r="E59" s="54" t="str">
        <x:v>Operating cash flow after interest / EBITDA</x:v>
      </x:c>
      <x:c r="F59" s="54" t="str">
        <x:v>Tax, interest and working capital cause divergence.</x:v>
      </x:c>
      <x:c r="G59" s="2" t="str">
        <x:v>Pharma!E82:I82</x:v>
      </x:c>
      <x:c r="H59" s="2"/>
      <x:c r="I59" s="2"/>
      <x:c r="J59" s="1"/>
      <x:c r="K59" s="1"/>
    </x:row>
    <x:row r="60" ht="32" customHeight="1">
      <x:c r="A60" s="1"/>
      <x:c r="B60" s="1"/>
      <x:c r="C60" s="1" t="str">
        <x:v>Pharma</x:v>
      </x:c>
      <x:c r="D60" s="54" t="str">
        <x:v>Cash conversion cycle (days)</x:v>
      </x:c>
      <x:c r="E60" s="54" t="str">
        <x:v>Receivable days + inventory days − payable days</x:v>
      </x:c>
      <x:c r="F60" s="54" t="str">
        <x:v>Inventory and payable days use direct cost.</x:v>
      </x:c>
      <x:c r="G60" s="2" t="str">
        <x:v>Pharma!E83:I83</x:v>
      </x:c>
      <x:c r="H60" s="2"/>
      <x:c r="I60" s="2"/>
      <x:c r="J60" s="1"/>
      <x:c r="K60" s="1"/>
    </x:row>
    <x:row r="61" ht="32" customHeight="1">
      <x:c r="A61" s="1"/>
      <x:c r="B61" s="1"/>
      <x:c r="C61" s="1" t="str">
        <x:v>Pharma</x:v>
      </x:c>
      <x:c r="D61" s="54" t="str">
        <x:v>Net debt / EBITDA</x:v>
      </x:c>
      <x:c r="E61" s="54" t="str">
        <x:v>(Debt − cash) / EBITDA</x:v>
      </x:c>
      <x:c r="F61" s="54" t="str">
        <x:v>Negative ratio indicates net cash; negative cash is a funding gap.</x:v>
      </x:c>
      <x:c r="G61" s="2" t="str">
        <x:v>Pharma!E84:I84</x:v>
      </x:c>
      <x:c r="H61" s="2"/>
      <x:c r="I61" s="2"/>
      <x:c r="J61" s="1"/>
      <x:c r="K61" s="1"/>
    </x:row>
    <x:row r="62" ht="32" customHeight="1">
      <x:c r="A62" s="1"/>
      <x:c r="B62" s="1"/>
      <x:c r="C62" s="1" t="str">
        <x:v>Pharma</x:v>
      </x:c>
      <x:c r="D62" s="54" t="str">
        <x:v>EBIT / interest</x:v>
      </x:c>
      <x:c r="E62" s="54" t="str">
        <x:v>EBIT / interest expense</x:v>
      </x:c>
      <x:c r="F62" s="54" t="str">
        <x:v>Does not measure principal repayment capacity.</x:v>
      </x:c>
      <x:c r="G62" s="2" t="str">
        <x:v>Pharma!E85:I85</x:v>
      </x:c>
      <x:c r="H62" s="2"/>
      <x:c r="I62" s="2"/>
      <x:c r="J62" s="1"/>
      <x:c r="K62" s="1"/>
    </x:row>
    <x:row r="63" ht="32" customHeight="1">
      <x:c r="A63" s="1"/>
      <x:c r="B63" s="1"/>
      <x:c r="C63" s="1" t="str">
        <x:v>Pharma</x:v>
      </x:c>
      <x:c r="D63" s="54" t="str">
        <x:v>ROIC on average invested capital</x:v>
      </x:c>
      <x:c r="E63" s="54" t="str">
        <x:v>NOPAT / average (net PP&amp;E + net working capital)</x:v>
      </x:c>
      <x:c r="F63" s="54" t="str">
        <x:v>Excludes goodwill, leases and non-operating assets.</x:v>
      </x:c>
      <x:c r="G63" s="2" t="str">
        <x:v>Pharma!E86:I86</x:v>
      </x:c>
      <x:c r="H63" s="2"/>
      <x:c r="I63" s="2"/>
      <x:c r="J63" s="1"/>
      <x:c r="K63" s="1"/>
    </x:row>
    <x:row r="64" ht="32" customHeight="1">
      <x:c r="A64" s="1"/>
      <x:c r="B64" s="1"/>
      <x:c r="C64" s="1" t="str">
        <x:v>Pharma</x:v>
      </x:c>
      <x:c r="D64" s="54" t="str">
        <x:v>Gross profit per dose (INR)</x:v>
      </x:c>
      <x:c r="E64" s="54" t="str">
        <x:v>Gross profit / equivalent doses</x:v>
      </x:c>
      <x:c r="F64" s="54" t="str">
        <x:v>Does not capture product patent life or geography-specific economics.</x:v>
      </x:c>
      <x:c r="G64" s="2" t="str">
        <x:v>Pharma!E87:I87</x:v>
      </x:c>
      <x:c r="H64" s="2"/>
      <x:c r="I64" s="2"/>
      <x:c r="J64" s="1"/>
      <x:c r="K64" s="1"/>
    </x:row>
    <x:row r="65" ht="32" customHeight="1">
      <x:c r="A65" s="1"/>
      <x:c r="B65" s="1"/>
      <x:c r="C65" s="1" t="str">
        <x:v>Pharma</x:v>
      </x:c>
      <x:c r="D65" s="54" t="str">
        <x:v>Other operating costs per dose (INR)</x:v>
      </x:c>
      <x:c r="E65" s="54" t="str">
        <x:v>Other operating cost, including R&amp;D / equivalent doses</x:v>
      </x:c>
      <x:c r="F65" s="54" t="str">
        <x:v>R&amp;D is included in the operating-cost assumption, not separately forecast.</x:v>
      </x:c>
      <x:c r="G65" s="2" t="str">
        <x:v>Pharma!E88:I88</x:v>
      </x:c>
      <x:c r="H65" s="2"/>
      <x:c r="I65" s="2"/>
      <x:c r="J65" s="1"/>
      <x:c r="K65" s="1"/>
    </x:row>
    <x:row r="66" ht="32" customHeight="1">
      <x:c r="A66" s="1"/>
      <x:c r="B66" s="1"/>
      <x:c r="C66" s="1" t="str">
        <x:v>Hospitals</x:v>
      </x:c>
      <x:c r="D66" s="54" t="str">
        <x:v>Gross margin</x:v>
      </x:c>
      <x:c r="E66" s="54" t="str">
        <x:v>Gross profit / revenue</x:v>
      </x:c>
      <x:c r="F66" s="54" t="str">
        <x:v>Compare cost definitions before using peer benchmarks.</x:v>
      </x:c>
      <x:c r="G66" s="2" t="str">
        <x:v>Hospitals!E80:I80</x:v>
      </x:c>
      <x:c r="H66" s="2"/>
      <x:c r="I66" s="2"/>
      <x:c r="J66" s="1"/>
      <x:c r="K66" s="1"/>
    </x:row>
    <x:row r="67" ht="32" customHeight="1">
      <x:c r="A67" s="1"/>
      <x:c r="B67" s="1"/>
      <x:c r="C67" s="1" t="str">
        <x:v>Hospitals</x:v>
      </x:c>
      <x:c r="D67" s="54" t="str">
        <x:v>EBITDA margin</x:v>
      </x:c>
      <x:c r="E67" s="54" t="str">
        <x:v>EBITDA / revenue</x:v>
      </x:c>
      <x:c r="F67" s="54" t="str">
        <x:v>Pre-lease capitalization where rent is an operating expense.</x:v>
      </x:c>
      <x:c r="G67" s="2" t="str">
        <x:v>Hospitals!E81:I81</x:v>
      </x:c>
      <x:c r="H67" s="2"/>
      <x:c r="I67" s="2"/>
      <x:c r="J67" s="1"/>
      <x:c r="K67" s="1"/>
    </x:row>
    <x:row r="68" ht="32" customHeight="1">
      <x:c r="A68" s="1"/>
      <x:c r="B68" s="1"/>
      <x:c r="C68" s="1" t="str">
        <x:v>Hospitals</x:v>
      </x:c>
      <x:c r="D68" s="54" t="str">
        <x:v>Net margin</x:v>
      </x:c>
      <x:c r="E68" s="54" t="str">
        <x:v>PAT / revenue</x:v>
      </x:c>
      <x:c r="F68" s="54" t="str">
        <x:v>Includes modeled financing cost.</x:v>
      </x:c>
      <x:c r="G68" s="2" t="str">
        <x:v>Hospitals!E82:I82</x:v>
      </x:c>
      <x:c r="H68" s="2"/>
      <x:c r="I68" s="2"/>
      <x:c r="J68" s="1"/>
      <x:c r="K68" s="1"/>
    </x:row>
    <x:row r="69" ht="32" customHeight="1">
      <x:c r="A69" s="1"/>
      <x:c r="B69" s="1"/>
      <x:c r="C69" s="1" t="str">
        <x:v>Hospitals</x:v>
      </x:c>
      <x:c r="D69" s="54" t="str">
        <x:v>Operating cash conversion</x:v>
      </x:c>
      <x:c r="E69" s="54" t="str">
        <x:v>Operating cash flow after interest / EBITDA</x:v>
      </x:c>
      <x:c r="F69" s="54" t="str">
        <x:v>Tax, interest and working capital cause divergence.</x:v>
      </x:c>
      <x:c r="G69" s="2" t="str">
        <x:v>Hospitals!E83:I83</x:v>
      </x:c>
      <x:c r="H69" s="2"/>
      <x:c r="I69" s="2"/>
      <x:c r="J69" s="1"/>
      <x:c r="K69" s="1"/>
    </x:row>
    <x:row r="70" ht="32" customHeight="1">
      <x:c r="A70" s="1"/>
      <x:c r="B70" s="1"/>
      <x:c r="C70" s="1" t="str">
        <x:v>Hospitals</x:v>
      </x:c>
      <x:c r="D70" s="54" t="str">
        <x:v>Cash conversion cycle (days)</x:v>
      </x:c>
      <x:c r="E70" s="54" t="str">
        <x:v>Receivable days + inventory days − payable days</x:v>
      </x:c>
      <x:c r="F70" s="54" t="str">
        <x:v>Inventory and payable days use direct cost.</x:v>
      </x:c>
      <x:c r="G70" s="2" t="str">
        <x:v>Hospitals!E84:I84</x:v>
      </x:c>
      <x:c r="H70" s="2"/>
      <x:c r="I70" s="2"/>
      <x:c r="J70" s="1"/>
      <x:c r="K70" s="1"/>
    </x:row>
    <x:row r="71" ht="32" customHeight="1">
      <x:c r="A71" s="1"/>
      <x:c r="B71" s="1"/>
      <x:c r="C71" s="1" t="str">
        <x:v>Hospitals</x:v>
      </x:c>
      <x:c r="D71" s="54" t="str">
        <x:v>Net debt / EBITDA</x:v>
      </x:c>
      <x:c r="E71" s="54" t="str">
        <x:v>(Debt − cash) / EBITDA</x:v>
      </x:c>
      <x:c r="F71" s="54" t="str">
        <x:v>Negative ratio indicates net cash; negative cash is a funding gap.</x:v>
      </x:c>
      <x:c r="G71" s="2" t="str">
        <x:v>Hospitals!E85:I85</x:v>
      </x:c>
      <x:c r="H71" s="2"/>
      <x:c r="I71" s="2"/>
      <x:c r="J71" s="1"/>
      <x:c r="K71" s="1"/>
    </x:row>
    <x:row r="72" ht="32" customHeight="1">
      <x:c r="A72" s="1"/>
      <x:c r="B72" s="1"/>
      <x:c r="C72" s="1" t="str">
        <x:v>Hospitals</x:v>
      </x:c>
      <x:c r="D72" s="54" t="str">
        <x:v>EBIT / interest</x:v>
      </x:c>
      <x:c r="E72" s="54" t="str">
        <x:v>EBIT / interest expense</x:v>
      </x:c>
      <x:c r="F72" s="54" t="str">
        <x:v>Does not measure principal repayment capacity.</x:v>
      </x:c>
      <x:c r="G72" s="2" t="str">
        <x:v>Hospitals!E86:I86</x:v>
      </x:c>
      <x:c r="H72" s="2"/>
      <x:c r="I72" s="2"/>
      <x:c r="J72" s="1"/>
      <x:c r="K72" s="1"/>
    </x:row>
    <x:row r="73" ht="32" customHeight="1">
      <x:c r="A73" s="1"/>
      <x:c r="B73" s="1"/>
      <x:c r="C73" s="1" t="str">
        <x:v>Hospitals</x:v>
      </x:c>
      <x:c r="D73" s="54" t="str">
        <x:v>ROIC on average invested capital</x:v>
      </x:c>
      <x:c r="E73" s="54" t="str">
        <x:v>NOPAT / average (net PP&amp;E + net working capital)</x:v>
      </x:c>
      <x:c r="F73" s="54" t="str">
        <x:v>Excludes goodwill, leases and non-operating assets.</x:v>
      </x:c>
      <x:c r="G73" s="2" t="str">
        <x:v>Hospitals!E87:I87</x:v>
      </x:c>
      <x:c r="H73" s="2"/>
      <x:c r="I73" s="2"/>
      <x:c r="J73" s="1"/>
      <x:c r="K73" s="1"/>
    </x:row>
    <x:row r="74" ht="32" customHeight="1">
      <x:c r="A74" s="1"/>
      <x:c r="B74" s="1"/>
      <x:c r="C74" s="1" t="str">
        <x:v>Hospitals</x:v>
      </x:c>
      <x:c r="D74" s="54" t="str">
        <x:v>Estimated inpatient discharges</x:v>
      </x:c>
      <x:c r="E74" s="54" t="str">
        <x:v>Occupied bed-days / average length of stay</x:v>
      </x:c>
      <x:c r="F74" s="54" t="str">
        <x:v>Assumes modeled bed-days relate to inpatient stays.</x:v>
      </x:c>
      <x:c r="G74" s="2" t="str">
        <x:v>Hospitals!E88:I88</x:v>
      </x:c>
      <x:c r="H74" s="2"/>
      <x:c r="I74" s="2"/>
      <x:c r="J74" s="1"/>
      <x:c r="K74" s="1"/>
    </x:row>
    <x:row r="75" ht="32" customHeight="1">
      <x:c r="A75" s="1"/>
      <x:c r="B75" s="1"/>
      <x:c r="C75" s="1" t="str">
        <x:v>Hospitals</x:v>
      </x:c>
      <x:c r="D75" s="54" t="str">
        <x:v>EBITDA per operational bed (INR lakh)</x:v>
      </x:c>
      <x:c r="E75" s="54" t="str">
        <x:v>EBITDA / average operational beds</x:v>
      </x:c>
      <x:c r="F75" s="54" t="str">
        <x:v>Expansion beds may have lower initial utilization.</x:v>
      </x:c>
      <x:c r="G75" s="2" t="str">
        <x:v>Hospitals!E89:I89</x:v>
      </x:c>
      <x:c r="H75" s="2"/>
      <x:c r="I75" s="2"/>
      <x:c r="J75" s="1"/>
      <x:c r="K75" s="1"/>
    </x:row>
    <x:row r="76" ht="32" customHeight="1">
      <x:c r="A76" s="1"/>
      <x:c r="B76" s="1"/>
      <x:c r="C76" s="1" t="str">
        <x:v>Telecom</x:v>
      </x:c>
      <x:c r="D76" s="54" t="str">
        <x:v>Gross margin</x:v>
      </x:c>
      <x:c r="E76" s="54" t="str">
        <x:v>Gross profit / revenue</x:v>
      </x:c>
      <x:c r="F76" s="54" t="str">
        <x:v>Compare cost definitions before using peer benchmarks.</x:v>
      </x:c>
      <x:c r="G76" s="2" t="str">
        <x:v>Telecom!E79:I79</x:v>
      </x:c>
      <x:c r="H76" s="2"/>
      <x:c r="I76" s="2"/>
      <x:c r="J76" s="1"/>
      <x:c r="K76" s="1"/>
    </x:row>
    <x:row r="77" ht="32" customHeight="1">
      <x:c r="A77" s="1"/>
      <x:c r="B77" s="1"/>
      <x:c r="C77" s="1" t="str">
        <x:v>Telecom</x:v>
      </x:c>
      <x:c r="D77" s="54" t="str">
        <x:v>EBITDA margin</x:v>
      </x:c>
      <x:c r="E77" s="54" t="str">
        <x:v>EBITDA / revenue</x:v>
      </x:c>
      <x:c r="F77" s="54" t="str">
        <x:v>Pre-lease capitalization where rent is an operating expense.</x:v>
      </x:c>
      <x:c r="G77" s="2" t="str">
        <x:v>Telecom!E80:I80</x:v>
      </x:c>
      <x:c r="H77" s="2"/>
      <x:c r="I77" s="2"/>
      <x:c r="J77" s="1"/>
      <x:c r="K77" s="1"/>
    </x:row>
    <x:row r="78" ht="32" customHeight="1">
      <x:c r="A78" s="1"/>
      <x:c r="B78" s="1"/>
      <x:c r="C78" s="1" t="str">
        <x:v>Telecom</x:v>
      </x:c>
      <x:c r="D78" s="54" t="str">
        <x:v>Net margin</x:v>
      </x:c>
      <x:c r="E78" s="54" t="str">
        <x:v>PAT / revenue</x:v>
      </x:c>
      <x:c r="F78" s="54" t="str">
        <x:v>Includes modeled financing cost.</x:v>
      </x:c>
      <x:c r="G78" s="2" t="str">
        <x:v>Telecom!E81:I81</x:v>
      </x:c>
      <x:c r="H78" s="2"/>
      <x:c r="I78" s="2"/>
      <x:c r="J78" s="1"/>
      <x:c r="K78" s="1"/>
    </x:row>
    <x:row r="79" ht="32" customHeight="1">
      <x:c r="A79" s="1"/>
      <x:c r="B79" s="1"/>
      <x:c r="C79" s="1" t="str">
        <x:v>Telecom</x:v>
      </x:c>
      <x:c r="D79" s="54" t="str">
        <x:v>Operating cash conversion</x:v>
      </x:c>
      <x:c r="E79" s="54" t="str">
        <x:v>Operating cash flow after interest / EBITDA</x:v>
      </x:c>
      <x:c r="F79" s="54" t="str">
        <x:v>Tax, interest and working capital cause divergence.</x:v>
      </x:c>
      <x:c r="G79" s="2" t="str">
        <x:v>Telecom!E82:I82</x:v>
      </x:c>
      <x:c r="H79" s="2"/>
      <x:c r="I79" s="2"/>
      <x:c r="J79" s="1"/>
      <x:c r="K79" s="1"/>
    </x:row>
    <x:row r="80" ht="32" customHeight="1">
      <x:c r="A80" s="1"/>
      <x:c r="B80" s="1"/>
      <x:c r="C80" s="1" t="str">
        <x:v>Telecom</x:v>
      </x:c>
      <x:c r="D80" s="54" t="str">
        <x:v>Cash conversion cycle (days)</x:v>
      </x:c>
      <x:c r="E80" s="54" t="str">
        <x:v>Receivable days + inventory days − payable days</x:v>
      </x:c>
      <x:c r="F80" s="54" t="str">
        <x:v>Inventory and payable days use direct cost.</x:v>
      </x:c>
      <x:c r="G80" s="2" t="str">
        <x:v>Telecom!E83:I83</x:v>
      </x:c>
      <x:c r="H80" s="2"/>
      <x:c r="I80" s="2"/>
      <x:c r="J80" s="1"/>
      <x:c r="K80" s="1"/>
    </x:row>
    <x:row r="81" ht="32" customHeight="1">
      <x:c r="A81" s="1"/>
      <x:c r="B81" s="1"/>
      <x:c r="C81" s="1" t="str">
        <x:v>Telecom</x:v>
      </x:c>
      <x:c r="D81" s="54" t="str">
        <x:v>Net debt / EBITDA</x:v>
      </x:c>
      <x:c r="E81" s="54" t="str">
        <x:v>(Debt − cash) / EBITDA</x:v>
      </x:c>
      <x:c r="F81" s="54" t="str">
        <x:v>Negative ratio indicates net cash; negative cash is a funding gap.</x:v>
      </x:c>
      <x:c r="G81" s="2" t="str">
        <x:v>Telecom!E84:I84</x:v>
      </x:c>
      <x:c r="H81" s="2"/>
      <x:c r="I81" s="2"/>
      <x:c r="J81" s="1"/>
      <x:c r="K81" s="1"/>
    </x:row>
    <x:row r="82" ht="32" customHeight="1">
      <x:c r="A82" s="1"/>
      <x:c r="B82" s="1"/>
      <x:c r="C82" s="1" t="str">
        <x:v>Telecom</x:v>
      </x:c>
      <x:c r="D82" s="54" t="str">
        <x:v>EBIT / interest</x:v>
      </x:c>
      <x:c r="E82" s="54" t="str">
        <x:v>EBIT / interest expense</x:v>
      </x:c>
      <x:c r="F82" s="54" t="str">
        <x:v>Does not measure principal repayment capacity.</x:v>
      </x:c>
      <x:c r="G82" s="2" t="str">
        <x:v>Telecom!E85:I85</x:v>
      </x:c>
      <x:c r="H82" s="2"/>
      <x:c r="I82" s="2"/>
      <x:c r="J82" s="1"/>
      <x:c r="K82" s="1"/>
    </x:row>
    <x:row r="83" ht="32" customHeight="1">
      <x:c r="A83" s="1"/>
      <x:c r="B83" s="1"/>
      <x:c r="C83" s="1" t="str">
        <x:v>Telecom</x:v>
      </x:c>
      <x:c r="D83" s="54" t="str">
        <x:v>ROIC on average invested capital</x:v>
      </x:c>
      <x:c r="E83" s="54" t="str">
        <x:v>NOPAT / average (net PP&amp;E + net working capital)</x:v>
      </x:c>
      <x:c r="F83" s="54" t="str">
        <x:v>Excludes goodwill, leases and non-operating assets.</x:v>
      </x:c>
      <x:c r="G83" s="2" t="str">
        <x:v>Telecom!E86:I86</x:v>
      </x:c>
      <x:c r="H83" s="2"/>
      <x:c r="I83" s="2"/>
      <x:c r="J83" s="1"/>
      <x:c r="K83" s="1"/>
    </x:row>
    <x:row r="84" ht="32" customHeight="1">
      <x:c r="A84" s="1"/>
      <x:c r="B84" s="1"/>
      <x:c r="C84" s="1" t="str">
        <x:v>Telecom</x:v>
      </x:c>
      <x:c r="D84" s="54" t="str">
        <x:v>Monthly EBITDA per subscriber (INR)</x:v>
      </x:c>
      <x:c r="E84" s="54" t="str">
        <x:v>EBITDA / average subscribers / 12</x:v>
      </x:c>
      <x:c r="F84" s="54" t="str">
        <x:v>Mobile-only blended measure.</x:v>
      </x:c>
      <x:c r="G84" s="2" t="str">
        <x:v>Telecom!E87:I87</x:v>
      </x:c>
      <x:c r="H84" s="2"/>
      <x:c r="I84" s="2"/>
      <x:c r="J84" s="1"/>
      <x:c r="K84" s="1"/>
    </x:row>
    <x:row r="85" ht="32" customHeight="1">
      <x:c r="A85" s="1"/>
      <x:c r="B85" s="1"/>
      <x:c r="C85" s="1" t="str">
        <x:v>Renewable Power</x:v>
      </x:c>
      <x:c r="D85" s="54" t="str">
        <x:v>Gross margin</x:v>
      </x:c>
      <x:c r="E85" s="54" t="str">
        <x:v>Gross profit / revenue</x:v>
      </x:c>
      <x:c r="F85" s="54" t="str">
        <x:v>Compare cost definitions before using peer benchmarks.</x:v>
      </x:c>
      <x:c r="G85" s="2" t="str">
        <x:v>Renewable Power!E79:I79</x:v>
      </x:c>
      <x:c r="H85" s="2"/>
      <x:c r="I85" s="2"/>
      <x:c r="J85" s="1"/>
      <x:c r="K85" s="1"/>
    </x:row>
    <x:row r="86" ht="32" customHeight="1">
      <x:c r="A86" s="1"/>
      <x:c r="B86" s="1"/>
      <x:c r="C86" s="1" t="str">
        <x:v>Renewable Power</x:v>
      </x:c>
      <x:c r="D86" s="54" t="str">
        <x:v>EBITDA margin</x:v>
      </x:c>
      <x:c r="E86" s="54" t="str">
        <x:v>EBITDA / revenue</x:v>
      </x:c>
      <x:c r="F86" s="54" t="str">
        <x:v>Pre-lease capitalization where rent is an operating expense.</x:v>
      </x:c>
      <x:c r="G86" s="2" t="str">
        <x:v>Renewable Power!E80:I80</x:v>
      </x:c>
      <x:c r="H86" s="2"/>
      <x:c r="I86" s="2"/>
      <x:c r="J86" s="1"/>
      <x:c r="K86" s="1"/>
    </x:row>
    <x:row r="87" ht="32" customHeight="1">
      <x:c r="A87" s="1"/>
      <x:c r="B87" s="1"/>
      <x:c r="C87" s="1" t="str">
        <x:v>Renewable Power</x:v>
      </x:c>
      <x:c r="D87" s="54" t="str">
        <x:v>Net margin</x:v>
      </x:c>
      <x:c r="E87" s="54" t="str">
        <x:v>PAT / revenue</x:v>
      </x:c>
      <x:c r="F87" s="54" t="str">
        <x:v>Includes modeled financing cost.</x:v>
      </x:c>
      <x:c r="G87" s="2" t="str">
        <x:v>Renewable Power!E81:I81</x:v>
      </x:c>
      <x:c r="H87" s="2"/>
      <x:c r="I87" s="2"/>
      <x:c r="J87" s="1"/>
      <x:c r="K87" s="1"/>
    </x:row>
    <x:row r="88" ht="32" customHeight="1">
      <x:c r="A88" s="1"/>
      <x:c r="B88" s="1"/>
      <x:c r="C88" s="1" t="str">
        <x:v>Renewable Power</x:v>
      </x:c>
      <x:c r="D88" s="54" t="str">
        <x:v>Operating cash conversion</x:v>
      </x:c>
      <x:c r="E88" s="54" t="str">
        <x:v>Operating cash flow after interest / EBITDA</x:v>
      </x:c>
      <x:c r="F88" s="54" t="str">
        <x:v>Tax, interest and working capital cause divergence.</x:v>
      </x:c>
      <x:c r="G88" s="2" t="str">
        <x:v>Renewable Power!E82:I82</x:v>
      </x:c>
      <x:c r="H88" s="2"/>
      <x:c r="I88" s="2"/>
      <x:c r="J88" s="1"/>
      <x:c r="K88" s="1"/>
    </x:row>
    <x:row r="89" ht="32" customHeight="1">
      <x:c r="A89" s="1"/>
      <x:c r="B89" s="1"/>
      <x:c r="C89" s="1" t="str">
        <x:v>Renewable Power</x:v>
      </x:c>
      <x:c r="D89" s="54" t="str">
        <x:v>Cash conversion cycle (days)</x:v>
      </x:c>
      <x:c r="E89" s="54" t="str">
        <x:v>Receivable days + inventory days − payable days</x:v>
      </x:c>
      <x:c r="F89" s="54" t="str">
        <x:v>Inventory and payable days use direct cost.</x:v>
      </x:c>
      <x:c r="G89" s="2" t="str">
        <x:v>Renewable Power!E83:I83</x:v>
      </x:c>
      <x:c r="H89" s="2"/>
      <x:c r="I89" s="2"/>
      <x:c r="J89" s="1"/>
      <x:c r="K89" s="1"/>
    </x:row>
    <x:row r="90" ht="32" customHeight="1">
      <x:c r="A90" s="1"/>
      <x:c r="B90" s="1"/>
      <x:c r="C90" s="1" t="str">
        <x:v>Renewable Power</x:v>
      </x:c>
      <x:c r="D90" s="54" t="str">
        <x:v>Net debt / EBITDA</x:v>
      </x:c>
      <x:c r="E90" s="54" t="str">
        <x:v>(Debt − cash) / EBITDA</x:v>
      </x:c>
      <x:c r="F90" s="54" t="str">
        <x:v>Negative ratio indicates net cash; negative cash is a funding gap.</x:v>
      </x:c>
      <x:c r="G90" s="2" t="str">
        <x:v>Renewable Power!E84:I84</x:v>
      </x:c>
      <x:c r="H90" s="2"/>
      <x:c r="I90" s="2"/>
      <x:c r="J90" s="1"/>
      <x:c r="K90" s="1"/>
    </x:row>
    <x:row r="91" ht="32" customHeight="1">
      <x:c r="A91" s="1"/>
      <x:c r="B91" s="1"/>
      <x:c r="C91" s="1" t="str">
        <x:v>Renewable Power</x:v>
      </x:c>
      <x:c r="D91" s="54" t="str">
        <x:v>EBIT / interest</x:v>
      </x:c>
      <x:c r="E91" s="54" t="str">
        <x:v>EBIT / interest expense</x:v>
      </x:c>
      <x:c r="F91" s="54" t="str">
        <x:v>Does not measure principal repayment capacity.</x:v>
      </x:c>
      <x:c r="G91" s="2" t="str">
        <x:v>Renewable Power!E85:I85</x:v>
      </x:c>
      <x:c r="H91" s="2"/>
      <x:c r="I91" s="2"/>
      <x:c r="J91" s="1"/>
      <x:c r="K91" s="1"/>
    </x:row>
    <x:row r="92" ht="32" customHeight="1">
      <x:c r="A92" s="1"/>
      <x:c r="B92" s="1"/>
      <x:c r="C92" s="1" t="str">
        <x:v>Renewable Power</x:v>
      </x:c>
      <x:c r="D92" s="54" t="str">
        <x:v>ROIC on average invested capital</x:v>
      </x:c>
      <x:c r="E92" s="54" t="str">
        <x:v>NOPAT / average (net PP&amp;E + net working capital)</x:v>
      </x:c>
      <x:c r="F92" s="54" t="str">
        <x:v>Excludes goodwill, leases and non-operating assets.</x:v>
      </x:c>
      <x:c r="G92" s="2" t="str">
        <x:v>Renewable Power!E86:I86</x:v>
      </x:c>
      <x:c r="H92" s="2"/>
      <x:c r="I92" s="2"/>
      <x:c r="J92" s="1"/>
      <x:c r="K92" s="1"/>
    </x:row>
    <x:row r="93" ht="32" customHeight="1">
      <x:c r="A93" s="1"/>
      <x:c r="B93" s="1"/>
      <x:c r="C93" s="1" t="str">
        <x:v>Renewable Power</x:v>
      </x:c>
      <x:c r="D93" s="54" t="str">
        <x:v>EBITDA / generated kWh (INR)</x:v>
      </x:c>
      <x:c r="E93" s="54" t="str">
        <x:v>EBITDA / generation</x:v>
      </x:c>
      <x:c r="F93" s="54" t="str">
        <x:v>Check curtailment, auxiliary use and collection lags.</x:v>
      </x:c>
      <x:c r="G93" s="2" t="str">
        <x:v>Renewable Power!E87:I87</x:v>
      </x:c>
      <x:c r="H93" s="2"/>
      <x:c r="I93" s="2"/>
      <x:c r="J93" s="1"/>
      <x:c r="K93" s="1"/>
    </x:row>
    <x:row r="94" ht="32" customHeight="1">
      <x:c r="A94" s="1"/>
      <x:c r="B94" s="1"/>
      <x:c r="C94" s="1" t="str">
        <x:v>Hotels</x:v>
      </x:c>
      <x:c r="D94" s="54" t="str">
        <x:v>Gross margin</x:v>
      </x:c>
      <x:c r="E94" s="54" t="str">
        <x:v>Gross profit / revenue</x:v>
      </x:c>
      <x:c r="F94" s="54" t="str">
        <x:v>Compare cost definitions before using peer benchmarks.</x:v>
      </x:c>
      <x:c r="G94" s="2" t="str">
        <x:v>Hotels!E80:I80</x:v>
      </x:c>
      <x:c r="H94" s="2"/>
      <x:c r="I94" s="2"/>
      <x:c r="J94" s="1"/>
      <x:c r="K94" s="1"/>
    </x:row>
    <x:row r="95" ht="32" customHeight="1">
      <x:c r="A95" s="1"/>
      <x:c r="B95" s="1"/>
      <x:c r="C95" s="1" t="str">
        <x:v>Hotels</x:v>
      </x:c>
      <x:c r="D95" s="54" t="str">
        <x:v>EBITDA margin</x:v>
      </x:c>
      <x:c r="E95" s="54" t="str">
        <x:v>EBITDA / revenue</x:v>
      </x:c>
      <x:c r="F95" s="54" t="str">
        <x:v>Pre-lease capitalization where rent is an operating expense.</x:v>
      </x:c>
      <x:c r="G95" s="2" t="str">
        <x:v>Hotels!E81:I81</x:v>
      </x:c>
      <x:c r="H95" s="2"/>
      <x:c r="I95" s="2"/>
      <x:c r="J95" s="1"/>
      <x:c r="K95" s="1"/>
    </x:row>
    <x:row r="96" ht="32" customHeight="1">
      <x:c r="A96" s="1"/>
      <x:c r="B96" s="1"/>
      <x:c r="C96" s="1" t="str">
        <x:v>Hotels</x:v>
      </x:c>
      <x:c r="D96" s="54" t="str">
        <x:v>Net margin</x:v>
      </x:c>
      <x:c r="E96" s="54" t="str">
        <x:v>PAT / revenue</x:v>
      </x:c>
      <x:c r="F96" s="54" t="str">
        <x:v>Includes modeled financing cost.</x:v>
      </x:c>
      <x:c r="G96" s="2" t="str">
        <x:v>Hotels!E82:I82</x:v>
      </x:c>
      <x:c r="H96" s="2"/>
      <x:c r="I96" s="2"/>
      <x:c r="J96" s="1"/>
      <x:c r="K96" s="1"/>
    </x:row>
    <x:row r="97" ht="32" customHeight="1">
      <x:c r="A97" s="1"/>
      <x:c r="B97" s="1"/>
      <x:c r="C97" s="1" t="str">
        <x:v>Hotels</x:v>
      </x:c>
      <x:c r="D97" s="54" t="str">
        <x:v>Operating cash conversion</x:v>
      </x:c>
      <x:c r="E97" s="54" t="str">
        <x:v>Operating cash flow after interest / EBITDA</x:v>
      </x:c>
      <x:c r="F97" s="54" t="str">
        <x:v>Tax, interest and working capital cause divergence.</x:v>
      </x:c>
      <x:c r="G97" s="2" t="str">
        <x:v>Hotels!E83:I83</x:v>
      </x:c>
      <x:c r="H97" s="2"/>
      <x:c r="I97" s="2"/>
      <x:c r="J97" s="1"/>
      <x:c r="K97" s="1"/>
    </x:row>
    <x:row r="98" ht="32" customHeight="1">
      <x:c r="A98" s="1"/>
      <x:c r="B98" s="1"/>
      <x:c r="C98" s="1" t="str">
        <x:v>Hotels</x:v>
      </x:c>
      <x:c r="D98" s="54" t="str">
        <x:v>Cash conversion cycle (days)</x:v>
      </x:c>
      <x:c r="E98" s="54" t="str">
        <x:v>Receivable days + inventory days − payable days</x:v>
      </x:c>
      <x:c r="F98" s="54" t="str">
        <x:v>Inventory and payable days use direct cost.</x:v>
      </x:c>
      <x:c r="G98" s="2" t="str">
        <x:v>Hotels!E84:I84</x:v>
      </x:c>
      <x:c r="H98" s="2"/>
      <x:c r="I98" s="2"/>
      <x:c r="J98" s="1"/>
      <x:c r="K98" s="1"/>
    </x:row>
    <x:row r="99" ht="32" customHeight="1">
      <x:c r="A99" s="1"/>
      <x:c r="B99" s="1"/>
      <x:c r="C99" s="1" t="str">
        <x:v>Hotels</x:v>
      </x:c>
      <x:c r="D99" s="54" t="str">
        <x:v>Net debt / EBITDA</x:v>
      </x:c>
      <x:c r="E99" s="54" t="str">
        <x:v>(Debt − cash) / EBITDA</x:v>
      </x:c>
      <x:c r="F99" s="54" t="str">
        <x:v>Negative ratio indicates net cash; negative cash is a funding gap.</x:v>
      </x:c>
      <x:c r="G99" s="2" t="str">
        <x:v>Hotels!E85:I85</x:v>
      </x:c>
      <x:c r="H99" s="2"/>
      <x:c r="I99" s="2"/>
      <x:c r="J99" s="1"/>
      <x:c r="K99" s="1"/>
    </x:row>
    <x:row r="100" ht="32" customHeight="1">
      <x:c r="A100" s="1"/>
      <x:c r="B100" s="1"/>
      <x:c r="C100" s="1" t="str">
        <x:v>Hotels</x:v>
      </x:c>
      <x:c r="D100" s="54" t="str">
        <x:v>EBIT / interest</x:v>
      </x:c>
      <x:c r="E100" s="54" t="str">
        <x:v>EBIT / interest expense</x:v>
      </x:c>
      <x:c r="F100" s="54" t="str">
        <x:v>Does not measure principal repayment capacity.</x:v>
      </x:c>
      <x:c r="G100" s="2" t="str">
        <x:v>Hotels!E86:I86</x:v>
      </x:c>
      <x:c r="H100" s="2"/>
      <x:c r="I100" s="2"/>
      <x:c r="J100" s="1"/>
      <x:c r="K100" s="1"/>
    </x:row>
    <x:row r="101" ht="32" customHeight="1">
      <x:c r="A101" s="1"/>
      <x:c r="B101" s="1"/>
      <x:c r="C101" s="1" t="str">
        <x:v>Hotels</x:v>
      </x:c>
      <x:c r="D101" s="54" t="str">
        <x:v>ROIC on average invested capital</x:v>
      </x:c>
      <x:c r="E101" s="54" t="str">
        <x:v>NOPAT / average (net PP&amp;E + net working capital)</x:v>
      </x:c>
      <x:c r="F101" s="54" t="str">
        <x:v>Excludes goodwill, leases and non-operating assets.</x:v>
      </x:c>
      <x:c r="G101" s="2" t="str">
        <x:v>Hotels!E87:I87</x:v>
      </x:c>
      <x:c r="H101" s="2"/>
      <x:c r="I101" s="2"/>
      <x:c r="J101" s="1"/>
      <x:c r="K101" s="1"/>
    </x:row>
    <x:row r="102" ht="32" customHeight="1">
      <x:c r="A102" s="1"/>
      <x:c r="B102" s="1"/>
      <x:c r="C102" s="1" t="str">
        <x:v>Hotels</x:v>
      </x:c>
      <x:c r="D102" s="54" t="str">
        <x:v>Room RevPAR (INR)</x:v>
      </x:c>
      <x:c r="E102" s="54" t="str">
        <x:v>Room ADR × occupancy</x:v>
      </x:c>
      <x:c r="F102" s="54" t="str">
        <x:v>Excludes food, beverage and other revenue.</x:v>
      </x:c>
      <x:c r="G102" s="2" t="str">
        <x:v>Hotels!E88:I88</x:v>
      </x:c>
      <x:c r="H102" s="2"/>
      <x:c r="I102" s="2"/>
      <x:c r="J102" s="1"/>
      <x:c r="K102" s="1"/>
    </x:row>
    <x:row r="103" ht="32" customHeight="1">
      <x:c r="A103" s="1"/>
      <x:c r="B103" s="1"/>
      <x:c r="C103" s="1" t="str">
        <x:v>Hotels</x:v>
      </x:c>
      <x:c r="D103" s="54" t="str">
        <x:v>Total revenue per available room-day (INR)</x:v>
      </x:c>
      <x:c r="E103" s="54" t="str">
        <x:v>Total hotel revenue / available room-days</x:v>
      </x:c>
      <x:c r="F103" s="54" t="str">
        <x:v>Includes ancillary revenue, unlike room RevPAR.</x:v>
      </x:c>
      <x:c r="G103" s="2" t="str">
        <x:v>Hotels!E89:I89</x:v>
      </x:c>
      <x:c r="H103" s="2"/>
      <x:c r="I103" s="2"/>
      <x:c r="J103" s="1"/>
      <x:c r="K103" s="1"/>
    </x:row>
    <x:row r="104" ht="32" customHeight="1">
      <x:c r="A104" s="1"/>
      <x:c r="B104" s="1"/>
      <x:c r="C104" s="1" t="str">
        <x:v>Retail</x:v>
      </x:c>
      <x:c r="D104" s="54" t="str">
        <x:v>Gross margin</x:v>
      </x:c>
      <x:c r="E104" s="54" t="str">
        <x:v>Gross profit / revenue</x:v>
      </x:c>
      <x:c r="F104" s="54" t="str">
        <x:v>Compare cost definitions before using peer benchmarks.</x:v>
      </x:c>
      <x:c r="G104" s="2" t="str">
        <x:v>Retail!E79:I79</x:v>
      </x:c>
      <x:c r="H104" s="2"/>
      <x:c r="I104" s="2"/>
      <x:c r="J104" s="1"/>
      <x:c r="K104" s="1"/>
    </x:row>
    <x:row r="105" ht="32" customHeight="1">
      <x:c r="A105" s="1"/>
      <x:c r="B105" s="1"/>
      <x:c r="C105" s="1" t="str">
        <x:v>Retail</x:v>
      </x:c>
      <x:c r="D105" s="54" t="str">
        <x:v>EBITDA margin</x:v>
      </x:c>
      <x:c r="E105" s="54" t="str">
        <x:v>EBITDA / revenue</x:v>
      </x:c>
      <x:c r="F105" s="54" t="str">
        <x:v>Pre-lease capitalization where rent is an operating expense.</x:v>
      </x:c>
      <x:c r="G105" s="2" t="str">
        <x:v>Retail!E80:I80</x:v>
      </x:c>
      <x:c r="H105" s="2"/>
      <x:c r="I105" s="2"/>
      <x:c r="J105" s="1"/>
      <x:c r="K105" s="1"/>
    </x:row>
    <x:row r="106" ht="32" customHeight="1">
      <x:c r="A106" s="1"/>
      <x:c r="B106" s="1"/>
      <x:c r="C106" s="1" t="str">
        <x:v>Retail</x:v>
      </x:c>
      <x:c r="D106" s="54" t="str">
        <x:v>Net margin</x:v>
      </x:c>
      <x:c r="E106" s="54" t="str">
        <x:v>PAT / revenue</x:v>
      </x:c>
      <x:c r="F106" s="54" t="str">
        <x:v>Includes modeled financing cost.</x:v>
      </x:c>
      <x:c r="G106" s="2" t="str">
        <x:v>Retail!E81:I81</x:v>
      </x:c>
      <x:c r="H106" s="2"/>
      <x:c r="I106" s="2"/>
      <x:c r="J106" s="1"/>
      <x:c r="K106" s="1"/>
    </x:row>
    <x:row r="107" ht="32" customHeight="1">
      <x:c r="A107" s="1"/>
      <x:c r="B107" s="1"/>
      <x:c r="C107" s="1" t="str">
        <x:v>Retail</x:v>
      </x:c>
      <x:c r="D107" s="54" t="str">
        <x:v>Operating cash conversion</x:v>
      </x:c>
      <x:c r="E107" s="54" t="str">
        <x:v>Operating cash flow after interest / EBITDA</x:v>
      </x:c>
      <x:c r="F107" s="54" t="str">
        <x:v>Tax, interest and working capital cause divergence.</x:v>
      </x:c>
      <x:c r="G107" s="2" t="str">
        <x:v>Retail!E82:I82</x:v>
      </x:c>
      <x:c r="H107" s="2"/>
      <x:c r="I107" s="2"/>
      <x:c r="J107" s="1"/>
      <x:c r="K107" s="1"/>
    </x:row>
    <x:row r="108" ht="32" customHeight="1">
      <x:c r="A108" s="1"/>
      <x:c r="B108" s="1"/>
      <x:c r="C108" s="1" t="str">
        <x:v>Retail</x:v>
      </x:c>
      <x:c r="D108" s="54" t="str">
        <x:v>Cash conversion cycle (days)</x:v>
      </x:c>
      <x:c r="E108" s="54" t="str">
        <x:v>Receivable days + inventory days − payable days</x:v>
      </x:c>
      <x:c r="F108" s="54" t="str">
        <x:v>Inventory and payable days use direct cost.</x:v>
      </x:c>
      <x:c r="G108" s="2" t="str">
        <x:v>Retail!E83:I83</x:v>
      </x:c>
      <x:c r="H108" s="2"/>
      <x:c r="I108" s="2"/>
      <x:c r="J108" s="1"/>
      <x:c r="K108" s="1"/>
    </x:row>
    <x:row r="109" ht="32" customHeight="1">
      <x:c r="A109" s="1"/>
      <x:c r="B109" s="1"/>
      <x:c r="C109" s="1" t="str">
        <x:v>Retail</x:v>
      </x:c>
      <x:c r="D109" s="54" t="str">
        <x:v>Net debt / EBITDA</x:v>
      </x:c>
      <x:c r="E109" s="54" t="str">
        <x:v>(Debt − cash) / EBITDA</x:v>
      </x:c>
      <x:c r="F109" s="54" t="str">
        <x:v>Negative ratio indicates net cash; negative cash is a funding gap.</x:v>
      </x:c>
      <x:c r="G109" s="2" t="str">
        <x:v>Retail!E84:I84</x:v>
      </x:c>
      <x:c r="H109" s="2"/>
      <x:c r="I109" s="2"/>
      <x:c r="J109" s="1"/>
      <x:c r="K109" s="1"/>
    </x:row>
    <x:row r="110" ht="32" customHeight="1">
      <x:c r="A110" s="1"/>
      <x:c r="B110" s="1"/>
      <x:c r="C110" s="1" t="str">
        <x:v>Retail</x:v>
      </x:c>
      <x:c r="D110" s="54" t="str">
        <x:v>EBIT / interest</x:v>
      </x:c>
      <x:c r="E110" s="54" t="str">
        <x:v>EBIT / interest expense</x:v>
      </x:c>
      <x:c r="F110" s="54" t="str">
        <x:v>Does not measure principal repayment capacity.</x:v>
      </x:c>
      <x:c r="G110" s="2" t="str">
        <x:v>Retail!E85:I85</x:v>
      </x:c>
      <x:c r="H110" s="2"/>
      <x:c r="I110" s="2"/>
      <x:c r="J110" s="1"/>
      <x:c r="K110" s="1"/>
    </x:row>
    <x:row r="111" ht="32" customHeight="1">
      <x:c r="A111" s="1"/>
      <x:c r="B111" s="1"/>
      <x:c r="C111" s="1" t="str">
        <x:v>Retail</x:v>
      </x:c>
      <x:c r="D111" s="54" t="str">
        <x:v>ROIC on average invested capital</x:v>
      </x:c>
      <x:c r="E111" s="54" t="str">
        <x:v>NOPAT / average (net PP&amp;E + net working capital)</x:v>
      </x:c>
      <x:c r="F111" s="54" t="str">
        <x:v>Excludes goodwill, leases and non-operating assets.</x:v>
      </x:c>
      <x:c r="G111" s="2" t="str">
        <x:v>Retail!E86:I86</x:v>
      </x:c>
      <x:c r="H111" s="2"/>
      <x:c r="I111" s="2"/>
      <x:c r="J111" s="1"/>
      <x:c r="K111" s="1"/>
    </x:row>
    <x:row r="112" ht="32" customHeight="1">
      <x:c r="A112" s="1"/>
      <x:c r="B112" s="1"/>
      <x:c r="C112" s="1" t="str">
        <x:v>Retail</x:v>
      </x:c>
      <x:c r="D112" s="54" t="str">
        <x:v>Merchandise inventory turns</x:v>
      </x:c>
      <x:c r="E112" s="54" t="str">
        <x:v>Merchandise cost / closing inventory</x:v>
      </x:c>
      <x:c r="F112" s="54" t="str">
        <x:v>Uses closing stock. Add markdowns, shrinkage and average inventory for issuer work.</x:v>
      </x:c>
      <x:c r="G112" s="2" t="str">
        <x:v>Retail!E87:I87</x:v>
      </x:c>
      <x:c r="H112" s="2"/>
      <x:c r="I112" s="2"/>
      <x:c r="J112" s="1"/>
      <x:c r="K112" s="1"/>
    </x:row>
    <x:row r="113" ht="32" customHeight="1">
      <x:c r="A113" s="1"/>
      <x:c r="B113" s="1"/>
      <x:c r="C113" s="1" t="str">
        <x:v>Retail</x:v>
      </x:c>
      <x:c r="D113" s="54" t="str">
        <x:v>EBITDA per sq ft (INR)</x:v>
      </x:c>
      <x:c r="E113" s="54" t="str">
        <x:v>EBITDA / average selling area</x:v>
      </x:c>
      <x:c r="F113" s="54" t="str">
        <x:v>Align selling area with revenue-generating time.</x:v>
      </x:c>
      <x:c r="G113" s="2" t="str">
        <x:v>Retail!E88:I88</x:v>
      </x:c>
      <x:c r="H113" s="2"/>
      <x:c r="I113" s="2"/>
      <x:c r="J113" s="1"/>
      <x:c r="K113" s="1"/>
    </x:row>
    <x:row r="114" ht="32" customHeight="1">
      <x:c r="A114" s="1"/>
      <x:c r="B114" s="1"/>
      <x:c r="C114" s="1" t="str">
        <x:v>EPC</x:v>
      </x:c>
      <x:c r="D114" s="54" t="str">
        <x:v>Gross margin</x:v>
      </x:c>
      <x:c r="E114" s="54" t="str">
        <x:v>Gross profit / revenue</x:v>
      </x:c>
      <x:c r="F114" s="54" t="str">
        <x:v>Compare cost definitions before using peer benchmarks.</x:v>
      </x:c>
      <x:c r="G114" s="2" t="str">
        <x:v>EPC!E82:I82</x:v>
      </x:c>
      <x:c r="H114" s="2"/>
      <x:c r="I114" s="2"/>
      <x:c r="J114" s="1"/>
      <x:c r="K114" s="1"/>
    </x:row>
    <x:row r="115" ht="32" customHeight="1">
      <x:c r="A115" s="1"/>
      <x:c r="B115" s="1"/>
      <x:c r="C115" s="1" t="str">
        <x:v>EPC</x:v>
      </x:c>
      <x:c r="D115" s="54" t="str">
        <x:v>EBITDA margin</x:v>
      </x:c>
      <x:c r="E115" s="54" t="str">
        <x:v>EBITDA / revenue</x:v>
      </x:c>
      <x:c r="F115" s="54" t="str">
        <x:v>Pre-lease capitalization where rent is an operating expense.</x:v>
      </x:c>
      <x:c r="G115" s="2" t="str">
        <x:v>EPC!E83:I83</x:v>
      </x:c>
      <x:c r="H115" s="2"/>
      <x:c r="I115" s="2"/>
      <x:c r="J115" s="1"/>
      <x:c r="K115" s="1"/>
    </x:row>
    <x:row r="116" ht="32" customHeight="1">
      <x:c r="A116" s="1"/>
      <x:c r="B116" s="1"/>
      <x:c r="C116" s="1" t="str">
        <x:v>EPC</x:v>
      </x:c>
      <x:c r="D116" s="54" t="str">
        <x:v>Net margin</x:v>
      </x:c>
      <x:c r="E116" s="54" t="str">
        <x:v>PAT / revenue</x:v>
      </x:c>
      <x:c r="F116" s="54" t="str">
        <x:v>Includes modeled financing cost.</x:v>
      </x:c>
      <x:c r="G116" s="2" t="str">
        <x:v>EPC!E84:I84</x:v>
      </x:c>
      <x:c r="H116" s="2"/>
      <x:c r="I116" s="2"/>
      <x:c r="J116" s="1"/>
      <x:c r="K116" s="1"/>
    </x:row>
    <x:row r="117" ht="32" customHeight="1">
      <x:c r="A117" s="1"/>
      <x:c r="B117" s="1"/>
      <x:c r="C117" s="1" t="str">
        <x:v>EPC</x:v>
      </x:c>
      <x:c r="D117" s="54" t="str">
        <x:v>Operating cash conversion</x:v>
      </x:c>
      <x:c r="E117" s="54" t="str">
        <x:v>Operating cash flow after interest / EBITDA</x:v>
      </x:c>
      <x:c r="F117" s="54" t="str">
        <x:v>Tax, interest and working capital cause divergence.</x:v>
      </x:c>
      <x:c r="G117" s="2" t="str">
        <x:v>EPC!E85:I85</x:v>
      </x:c>
      <x:c r="H117" s="2"/>
      <x:c r="I117" s="2"/>
      <x:c r="J117" s="1"/>
      <x:c r="K117" s="1"/>
    </x:row>
    <x:row r="118" ht="32" customHeight="1">
      <x:c r="A118" s="1"/>
      <x:c r="B118" s="1"/>
      <x:c r="C118" s="1" t="str">
        <x:v>EPC</x:v>
      </x:c>
      <x:c r="D118" s="54" t="str">
        <x:v>Cash conversion cycle (days)</x:v>
      </x:c>
      <x:c r="E118" s="54" t="str">
        <x:v>Receivable days + inventory days − payable days</x:v>
      </x:c>
      <x:c r="F118" s="54" t="str">
        <x:v>Inventory and payable days use direct cost.</x:v>
      </x:c>
      <x:c r="G118" s="2" t="str">
        <x:v>EPC!E86:I86</x:v>
      </x:c>
      <x:c r="H118" s="2"/>
      <x:c r="I118" s="2"/>
      <x:c r="J118" s="1"/>
      <x:c r="K118" s="1"/>
    </x:row>
    <x:row r="119" ht="32" customHeight="1">
      <x:c r="A119" s="1"/>
      <x:c r="B119" s="1"/>
      <x:c r="C119" s="1" t="str">
        <x:v>EPC</x:v>
      </x:c>
      <x:c r="D119" s="54" t="str">
        <x:v>Net debt / EBITDA</x:v>
      </x:c>
      <x:c r="E119" s="54" t="str">
        <x:v>(Debt − cash) / EBITDA</x:v>
      </x:c>
      <x:c r="F119" s="54" t="str">
        <x:v>Negative ratio indicates net cash; negative cash is a funding gap.</x:v>
      </x:c>
      <x:c r="G119" s="2" t="str">
        <x:v>EPC!E87:I87</x:v>
      </x:c>
      <x:c r="H119" s="2"/>
      <x:c r="I119" s="2"/>
      <x:c r="J119" s="1"/>
      <x:c r="K119" s="1"/>
    </x:row>
    <x:row r="120" ht="32" customHeight="1">
      <x:c r="A120" s="1"/>
      <x:c r="B120" s="1"/>
      <x:c r="C120" s="1" t="str">
        <x:v>EPC</x:v>
      </x:c>
      <x:c r="D120" s="54" t="str">
        <x:v>EBIT / interest</x:v>
      </x:c>
      <x:c r="E120" s="54" t="str">
        <x:v>EBIT / interest expense</x:v>
      </x:c>
      <x:c r="F120" s="54" t="str">
        <x:v>Does not measure principal repayment capacity.</x:v>
      </x:c>
      <x:c r="G120" s="2" t="str">
        <x:v>EPC!E88:I88</x:v>
      </x:c>
      <x:c r="H120" s="2"/>
      <x:c r="I120" s="2"/>
      <x:c r="J120" s="1"/>
      <x:c r="K120" s="1"/>
    </x:row>
    <x:row r="121" ht="32" customHeight="1">
      <x:c r="A121" s="1"/>
      <x:c r="B121" s="1"/>
      <x:c r="C121" s="1" t="str">
        <x:v>EPC</x:v>
      </x:c>
      <x:c r="D121" s="54" t="str">
        <x:v>ROIC on average invested capital</x:v>
      </x:c>
      <x:c r="E121" s="54" t="str">
        <x:v>NOPAT / average (net PP&amp;E + net working capital)</x:v>
      </x:c>
      <x:c r="F121" s="54" t="str">
        <x:v>Excludes goodwill, leases and non-operating assets.</x:v>
      </x:c>
      <x:c r="G121" s="2" t="str">
        <x:v>EPC!E89:I89</x:v>
      </x:c>
      <x:c r="H121" s="2"/>
      <x:c r="I121" s="2"/>
      <x:c r="J121" s="1"/>
      <x:c r="K121" s="1"/>
    </x:row>
    <x:row r="122" ht="32" customHeight="1">
      <x:c r="A122" s="1"/>
      <x:c r="B122" s="1"/>
      <x:c r="C122" s="1" t="str">
        <x:v>EPC</x:v>
      </x:c>
      <x:c r="D122" s="54" t="str">
        <x:v>Closing order book / revenue</x:v>
      </x:c>
      <x:c r="E122" s="54" t="str">
        <x:v>Closing executable book / annual revenue</x:v>
      </x:c>
      <x:c r="F122" s="54" t="str">
        <x:v>Not equivalent to guaranteed years of revenue.</x:v>
      </x:c>
      <x:c r="G122" s="2" t="str">
        <x:v>EPC!E90:I90</x:v>
      </x:c>
      <x:c r="H122" s="2"/>
      <x:c r="I122" s="2"/>
      <x:c r="J122" s="1"/>
      <x:c r="K122" s="1"/>
    </x:row>
    <x:row r="123" ht="32" customHeight="1">
      <x:c r="A123" s="1"/>
      <x:c r="B123" s="1"/>
      <x:c r="C123" s="1" t="str">
        <x:v>EPC</x:v>
      </x:c>
      <x:c r="D123" s="54" t="str">
        <x:v>Book-to-bill ratio</x:v>
      </x:c>
      <x:c r="E123" s="54" t="str">
        <x:v>New orders won / recognized revenue</x:v>
      </x:c>
      <x:c r="F123" s="54" t="str">
        <x:v>Above 1x expands the backlog before cancellations.</x:v>
      </x:c>
      <x:c r="G123" s="2" t="str">
        <x:v>EPC!E91:I91</x:v>
      </x:c>
      <x:c r="H123" s="2"/>
      <x:c r="I123" s="2"/>
      <x:c r="J123" s="1"/>
      <x:c r="K123" s="1"/>
    </x:row>
    <x:row r="124" ht="32" customHeight="1">
      <x:c r="A124" s="1"/>
      <x:c r="B124" s="1"/>
      <x:c r="C124" s="1" t="str">
        <x:v>Banking</x:v>
      </x:c>
      <x:c r="D124" s="54" t="str">
        <x:v>Net interest margin</x:v>
      </x:c>
      <x:c r="E124" s="54" t="str">
        <x:v>NII / average loans plus investments</x:v>
      </x:c>
      <x:c r="F124" s="54" t="str">
        <x:v>Earning assets exclude residual non-interest-bearing cash.</x:v>
      </x:c>
      <x:c r="G124" s="2" t="str">
        <x:v>Banking!E76:I76</x:v>
      </x:c>
      <x:c r="H124" s="2"/>
      <x:c r="I124" s="2"/>
      <x:c r="J124" s="1"/>
      <x:c r="K124" s="1"/>
    </x:row>
    <x:row r="125" ht="32" customHeight="1">
      <x:c r="A125" s="1"/>
      <x:c r="B125" s="1"/>
      <x:c r="C125" s="1" t="str">
        <x:v>Banking</x:v>
      </x:c>
      <x:c r="D125" s="54" t="str">
        <x:v>Return on average equity</x:v>
      </x:c>
      <x:c r="E125" s="54" t="str">
        <x:v>PAT / average book equity</x:v>
      </x:c>
      <x:c r="F125" s="54" t="str">
        <x:v>New equity timing is approximated by average balances.</x:v>
      </x:c>
      <x:c r="G125" s="2" t="str">
        <x:v>Banking!E77:I77</x:v>
      </x:c>
      <x:c r="H125" s="2"/>
      <x:c r="I125" s="2"/>
      <x:c r="J125" s="1"/>
      <x:c r="K125" s="1"/>
    </x:row>
    <x:row r="126" ht="32" customHeight="1">
      <x:c r="A126" s="1"/>
      <x:c r="B126" s="1"/>
      <x:c r="C126" s="1" t="str">
        <x:v>Banking</x:v>
      </x:c>
      <x:c r="D126" s="54" t="str">
        <x:v>Return on average assets</x:v>
      </x:c>
      <x:c r="E126" s="54" t="str">
        <x:v>PAT / average total assets</x:v>
      </x:c>
      <x:c r="F126" s="54" t="str">
        <x:v>Balance-sheet proxy excludes other liabilities.</x:v>
      </x:c>
      <x:c r="G126" s="2" t="str">
        <x:v>Banking!E78:I78</x:v>
      </x:c>
      <x:c r="H126" s="2"/>
      <x:c r="I126" s="2"/>
      <x:c r="J126" s="1"/>
      <x:c r="K126" s="1"/>
    </x:row>
    <x:row r="127" ht="32" customHeight="1">
      <x:c r="A127" s="1"/>
      <x:c r="B127" s="1"/>
      <x:c r="C127" s="1" t="str">
        <x:v>Banking</x:v>
      </x:c>
      <x:c r="D127" s="54" t="str">
        <x:v>Gross NPA ratio</x:v>
      </x:c>
      <x:c r="E127" s="54" t="str">
        <x:v>Gross NPA / gross loans</x:v>
      </x:c>
      <x:c r="F127" s="54" t="str">
        <x:v>Regulatory recognition and issuer stage definitions need reconciliation.</x:v>
      </x:c>
      <x:c r="G127" s="2" t="str">
        <x:v>Banking!E79:I79</x:v>
      </x:c>
      <x:c r="H127" s="2"/>
      <x:c r="I127" s="2"/>
      <x:c r="J127" s="1"/>
      <x:c r="K127" s="1"/>
    </x:row>
    <x:row r="128" ht="32" customHeight="1">
      <x:c r="A128" s="1"/>
      <x:c r="B128" s="1"/>
      <x:c r="C128" s="1" t="str">
        <x:v>Banking</x:v>
      </x:c>
      <x:c r="D128" s="54" t="str">
        <x:v>Allowance / gross NPA</x:v>
      </x:c>
      <x:c r="E128" s="54" t="str">
        <x:v>Total allowance / gross NPA</x:v>
      </x:c>
      <x:c r="F128" s="54" t="str">
        <x:v>Not a reported provision coverage ratio; includes performing-loan allowance.</x:v>
      </x:c>
      <x:c r="G128" s="2" t="str">
        <x:v>Banking!E80:I80</x:v>
      </x:c>
      <x:c r="H128" s="2"/>
      <x:c r="I128" s="2"/>
      <x:c r="J128" s="1"/>
      <x:c r="K128" s="1"/>
    </x:row>
    <x:row r="129" ht="32" customHeight="1">
      <x:c r="A129" s="1"/>
      <x:c r="B129" s="1"/>
      <x:c r="C129" s="1" t="str">
        <x:v>Banking</x:v>
      </x:c>
      <x:c r="D129" s="54" t="str">
        <x:v>Loan / deposit ratio</x:v>
      </x:c>
      <x:c r="E129" s="54" t="str">
        <x:v>Gross loans / funding balance</x:v>
      </x:c>
      <x:c r="F129" s="54" t="str">
        <x:v>Funding composition and maturities are not modeled.</x:v>
      </x:c>
      <x:c r="G129" s="2" t="str">
        <x:v>Banking!E81:I81</x:v>
      </x:c>
      <x:c r="H129" s="2"/>
      <x:c r="I129" s="2"/>
      <x:c r="J129" s="1"/>
      <x:c r="K129" s="1"/>
    </x:row>
    <x:row r="130" ht="32" customHeight="1">
      <x:c r="A130" s="1"/>
      <x:c r="B130" s="1"/>
      <x:c r="C130" s="1" t="str">
        <x:v>Banking</x:v>
      </x:c>
      <x:c r="D130" s="54" t="str">
        <x:v>Capital adequacy proxy</x:v>
      </x:c>
      <x:c r="E130" s="54" t="str">
        <x:v>Eligible modeled capital / estimated RWA</x:v>
      </x:c>
      <x:c r="F130" s="54" t="str">
        <x:v>Proxy only. Not CET1, CRAR or a regulatory solvency conclusion.</x:v>
      </x:c>
      <x:c r="G130" s="2" t="str">
        <x:v>Banking!E82:I82</x:v>
      </x:c>
      <x:c r="H130" s="2"/>
      <x:c r="I130" s="2"/>
      <x:c r="J130" s="1"/>
      <x:c r="K130" s="1"/>
    </x:row>
    <x:row r="131" ht="32" customHeight="1">
      <x:c r="A131" s="1"/>
      <x:c r="B131" s="1"/>
      <x:c r="C131" s="1" t="str">
        <x:v>NBFC</x:v>
      </x:c>
      <x:c r="D131" s="54" t="str">
        <x:v>Net interest margin</x:v>
      </x:c>
      <x:c r="E131" s="54" t="str">
        <x:v>NII / average loans plus investments</x:v>
      </x:c>
      <x:c r="F131" s="54" t="str">
        <x:v>Earning assets exclude residual non-interest-bearing cash.</x:v>
      </x:c>
      <x:c r="G131" s="2" t="str">
        <x:v>NBFC!E76:I76</x:v>
      </x:c>
      <x:c r="H131" s="2"/>
      <x:c r="I131" s="2"/>
      <x:c r="J131" s="1"/>
      <x:c r="K131" s="1"/>
    </x:row>
    <x:row r="132" ht="32" customHeight="1">
      <x:c r="A132" s="1"/>
      <x:c r="B132" s="1"/>
      <x:c r="C132" s="1" t="str">
        <x:v>NBFC</x:v>
      </x:c>
      <x:c r="D132" s="54" t="str">
        <x:v>Return on average equity</x:v>
      </x:c>
      <x:c r="E132" s="54" t="str">
        <x:v>PAT / average book equity</x:v>
      </x:c>
      <x:c r="F132" s="54" t="str">
        <x:v>New equity timing is approximated by average balances.</x:v>
      </x:c>
      <x:c r="G132" s="2" t="str">
        <x:v>NBFC!E77:I77</x:v>
      </x:c>
      <x:c r="H132" s="2"/>
      <x:c r="I132" s="2"/>
      <x:c r="J132" s="1"/>
      <x:c r="K132" s="1"/>
    </x:row>
    <x:row r="133" ht="32" customHeight="1">
      <x:c r="A133" s="1"/>
      <x:c r="B133" s="1"/>
      <x:c r="C133" s="1" t="str">
        <x:v>NBFC</x:v>
      </x:c>
      <x:c r="D133" s="54" t="str">
        <x:v>Return on average assets</x:v>
      </x:c>
      <x:c r="E133" s="54" t="str">
        <x:v>PAT / average total assets</x:v>
      </x:c>
      <x:c r="F133" s="54" t="str">
        <x:v>Balance-sheet proxy excludes other liabilities.</x:v>
      </x:c>
      <x:c r="G133" s="2" t="str">
        <x:v>NBFC!E78:I78</x:v>
      </x:c>
      <x:c r="H133" s="2"/>
      <x:c r="I133" s="2"/>
      <x:c r="J133" s="1"/>
      <x:c r="K133" s="1"/>
    </x:row>
    <x:row r="134" ht="32" customHeight="1">
      <x:c r="A134" s="1"/>
      <x:c r="B134" s="1"/>
      <x:c r="C134" s="1" t="str">
        <x:v>NBFC</x:v>
      </x:c>
      <x:c r="D134" s="54" t="str">
        <x:v>Gross NPA ratio</x:v>
      </x:c>
      <x:c r="E134" s="54" t="str">
        <x:v>Gross NPA / gross loans</x:v>
      </x:c>
      <x:c r="F134" s="54" t="str">
        <x:v>Regulatory recognition and issuer stage definitions need reconciliation.</x:v>
      </x:c>
      <x:c r="G134" s="2" t="str">
        <x:v>NBFC!E79:I79</x:v>
      </x:c>
      <x:c r="H134" s="2"/>
      <x:c r="I134" s="2"/>
      <x:c r="J134" s="1"/>
      <x:c r="K134" s="1"/>
    </x:row>
    <x:row r="135" ht="32" customHeight="1">
      <x:c r="A135" s="1"/>
      <x:c r="B135" s="1"/>
      <x:c r="C135" s="1" t="str">
        <x:v>NBFC</x:v>
      </x:c>
      <x:c r="D135" s="54" t="str">
        <x:v>Allowance / gross NPA</x:v>
      </x:c>
      <x:c r="E135" s="54" t="str">
        <x:v>Total allowance / gross NPA</x:v>
      </x:c>
      <x:c r="F135" s="54" t="str">
        <x:v>Not a reported provision coverage ratio; includes performing-loan allowance.</x:v>
      </x:c>
      <x:c r="G135" s="2" t="str">
        <x:v>NBFC!E80:I80</x:v>
      </x:c>
      <x:c r="H135" s="2"/>
      <x:c r="I135" s="2"/>
      <x:c r="J135" s="1"/>
      <x:c r="K135" s="1"/>
    </x:row>
    <x:row r="136" ht="32" customHeight="1">
      <x:c r="A136" s="1"/>
      <x:c r="B136" s="1"/>
      <x:c r="C136" s="1" t="str">
        <x:v>NBFC</x:v>
      </x:c>
      <x:c r="D136" s="54" t="str">
        <x:v>Gross loans / borrowings</x:v>
      </x:c>
      <x:c r="E136" s="54" t="str">
        <x:v>Gross loans / funding balance</x:v>
      </x:c>
      <x:c r="F136" s="54" t="str">
        <x:v>Funding composition and maturities are not modeled.</x:v>
      </x:c>
      <x:c r="G136" s="2" t="str">
        <x:v>NBFC!E81:I81</x:v>
      </x:c>
      <x:c r="H136" s="2"/>
      <x:c r="I136" s="2"/>
      <x:c r="J136" s="1"/>
      <x:c r="K136" s="1"/>
    </x:row>
    <x:row r="137" ht="32" customHeight="1">
      <x:c r="A137" s="1"/>
      <x:c r="B137" s="1"/>
      <x:c r="C137" s="1" t="str">
        <x:v>NBFC</x:v>
      </x:c>
      <x:c r="D137" s="54" t="str">
        <x:v>Capital adequacy proxy</x:v>
      </x:c>
      <x:c r="E137" s="54" t="str">
        <x:v>Eligible modeled capital / estimated RWA</x:v>
      </x:c>
      <x:c r="F137" s="54" t="str">
        <x:v>Proxy only. Not CET1, CRAR or a regulatory solvency conclusion.</x:v>
      </x:c>
      <x:c r="G137" s="2" t="str">
        <x:v>NBFC!E82:I82</x:v>
      </x:c>
      <x:c r="H137" s="2"/>
      <x:c r="I137" s="2"/>
      <x:c r="J137" s="1"/>
      <x:c r="K137" s="1"/>
    </x:row>
    <x:row r="138" ht="32" customHeight="1">
      <x:c r="A138" s="1"/>
      <x:c r="B138" s="1"/>
      <x:c r="C138" s="1" t="str">
        <x:v>General Insurance</x:v>
      </x:c>
      <x:c r="D138" s="54" t="str">
        <x:v>Loss ratio</x:v>
      </x:c>
      <x:c r="E138" s="54" t="str">
        <x:v>Net incurred claims / net earned premium</x:v>
      </x:c>
      <x:c r="F138" s="54" t="str">
        <x:v>Separate catastrophe and prior-year development for real insurers.</x:v>
      </x:c>
      <x:c r="G138" s="2" t="str">
        <x:v>General Insurance!E51:I51</x:v>
      </x:c>
      <x:c r="H138" s="2"/>
      <x:c r="I138" s="2"/>
      <x:c r="J138" s="1"/>
      <x:c r="K138" s="1"/>
    </x:row>
    <x:row r="139" ht="32" customHeight="1">
      <x:c r="A139" s="1"/>
      <x:c r="B139" s="1"/>
      <x:c r="C139" s="1" t="str">
        <x:v>General Insurance</x:v>
      </x:c>
      <x:c r="D139" s="54" t="str">
        <x:v>Expense ratio on written premium</x:v>
      </x:c>
      <x:c r="E139" s="54" t="str">
        <x:v>Net management expense / net written premium</x:v>
      </x:c>
      <x:c r="F139" s="54" t="str">
        <x:v>Net expense includes reinsurance commission offsets.</x:v>
      </x:c>
      <x:c r="G139" s="2" t="str">
        <x:v>General Insurance!E52:I52</x:v>
      </x:c>
      <x:c r="H139" s="2"/>
      <x:c r="I139" s="2"/>
      <x:c r="J139" s="1"/>
      <x:c r="K139" s="1"/>
    </x:row>
    <x:row r="140" ht="32" customHeight="1">
      <x:c r="A140" s="1"/>
      <x:c r="B140" s="1"/>
      <x:c r="C140" s="1" t="str">
        <x:v>General Insurance</x:v>
      </x:c>
      <x:c r="D140" s="54" t="str">
        <x:v>Combined ratio on mixed bases</x:v>
      </x:c>
      <x:c r="E140" s="54" t="str">
        <x:v>Claims / NEP + net expenses / NWP</x:v>
      </x:c>
      <x:c r="F140" s="54" t="str">
        <x:v>Matches the cited Indian issuer convention; not exactly 1 − underwriting margin when NWP differs from NEP.</x:v>
      </x:c>
      <x:c r="G140" s="2" t="str">
        <x:v>General Insurance!E53:I53</x:v>
      </x:c>
      <x:c r="H140" s="2"/>
      <x:c r="I140" s="2"/>
      <x:c r="J140" s="1"/>
      <x:c r="K140" s="1"/>
    </x:row>
    <x:row r="141" ht="32" customHeight="1">
      <x:c r="A141" s="1"/>
      <x:c r="B141" s="1"/>
      <x:c r="C141" s="1" t="str">
        <x:v>General Insurance</x:v>
      </x:c>
      <x:c r="D141" s="54" t="str">
        <x:v>Underwriting margin on earned premium</x:v>
      </x:c>
      <x:c r="E141" s="54" t="str">
        <x:v>Underwriting profit / NEP</x:v>
      </x:c>
      <x:c r="F141" s="54" t="str">
        <x:v>Direct measure of modeled underwriting profitability.</x:v>
      </x:c>
      <x:c r="G141" s="2" t="str">
        <x:v>General Insurance!E54:I54</x:v>
      </x:c>
      <x:c r="H141" s="2"/>
      <x:c r="I141" s="2"/>
      <x:c r="J141" s="1"/>
      <x:c r="K141" s="1"/>
    </x:row>
    <x:row r="142" ht="32" customHeight="1">
      <x:c r="A142" s="1"/>
      <x:c r="B142" s="1"/>
      <x:c r="C142" s="1" t="str">
        <x:v>General Insurance</x:v>
      </x:c>
      <x:c r="D142" s="54" t="str">
        <x:v>Return on average equity</x:v>
      </x:c>
      <x:c r="E142" s="54" t="str">
        <x:v>PAT / average equity</x:v>
      </x:c>
      <x:c r="F142" s="54" t="str">
        <x:v>Investment income can mask underwriting losses.</x:v>
      </x:c>
      <x:c r="G142" s="2" t="str">
        <x:v>General Insurance!E55:I55</x:v>
      </x:c>
      <x:c r="H142" s="2"/>
      <x:c r="I142" s="2"/>
      <x:c r="J142" s="1"/>
      <x:c r="K142" s="1"/>
    </x:row>
    <x:row r="143" ht="32" customHeight="1">
      <x:c r="A143" s="1"/>
      <x:c r="B143" s="1"/>
      <x:c r="C143" s="1" t="str">
        <x:v>General Insurance</x:v>
      </x:c>
      <x:c r="D143" s="54" t="str">
        <x:v>Technical reserves / equity</x:v>
      </x:c>
      <x:c r="E143" s="54" t="str">
        <x:v>(UPR + outstanding claims reserve) / equity</x:v>
      </x:c>
      <x:c r="F143" s="54" t="str">
        <x:v>Not regulatory solvency. No actuarial risk-margin model.</x:v>
      </x:c>
      <x:c r="G143" s="2" t="str">
        <x:v>General Insurance!E56:I56</x:v>
      </x:c>
      <x:c r="H143" s="2"/>
      <x:c r="I143" s="2"/>
      <x:c r="J143" s="1"/>
      <x:c r="K143" s="1"/>
    </x:row>
    <x:row r="144" ht="32" customHeight="1">
      <x:c r="A144" s="1"/>
      <x:c r="B144" s="1"/>
      <x:c r="C144" s="1" t="str">
        <x:v>Real Estate</x:v>
      </x:c>
      <x:c r="D144" s="54" t="str">
        <x:v>Collections / bookings</x:v>
      </x:c>
      <x:c r="E144" s="54" t="str">
        <x:v>Customer collections / current sales bookings</x:v>
      </x:c>
      <x:c r="F144" s="54" t="str">
        <x:v>Can exceed 100% due to collections from earlier bookings.</x:v>
      </x:c>
      <x:c r="G144" s="2" t="str">
        <x:v>Real Estate!E64:I64</x:v>
      </x:c>
      <x:c r="H144" s="2"/>
      <x:c r="I144" s="2"/>
      <x:c r="J144" s="1"/>
      <x:c r="K144" s="1"/>
    </x:row>
    <x:row r="145" ht="32" customHeight="1">
      <x:c r="A145" s="1"/>
      <x:c r="B145" s="1"/>
      <x:c r="C145" s="1" t="str">
        <x:v>Real Estate</x:v>
      </x:c>
      <x:c r="D145" s="54" t="str">
        <x:v>Backlog / annual recognized revenue</x:v>
      </x:c>
      <x:c r="E145" s="54" t="str">
        <x:v>Closing unrecognized sales / current recognized revenue</x:v>
      </x:c>
      <x:c r="F145" s="54" t="str">
        <x:v>Depends on project completion timing.</x:v>
      </x:c>
      <x:c r="G145" s="2" t="str">
        <x:v>Real Estate!E65:I65</x:v>
      </x:c>
      <x:c r="H145" s="2"/>
      <x:c r="I145" s="2"/>
      <x:c r="J145" s="1"/>
      <x:c r="K145" s="1"/>
    </x:row>
    <x:row r="146" ht="32" customHeight="1">
      <x:c r="A146" s="1"/>
      <x:c r="B146" s="1"/>
      <x:c r="C146" s="1" t="str">
        <x:v>Real Estate</x:v>
      </x:c>
      <x:c r="D146" s="54" t="str">
        <x:v>Recognized operating margin</x:v>
      </x:c>
      <x:c r="E146" s="54" t="str">
        <x:v>Recognized EBIT / recognized revenue</x:v>
      </x:c>
      <x:c r="F146" s="54" t="str">
        <x:v>Bookings are not accounting revenue.</x:v>
      </x:c>
      <x:c r="G146" s="2" t="str">
        <x:v>Real Estate!E66:I66</x:v>
      </x:c>
      <x:c r="H146" s="2"/>
      <x:c r="I146" s="2"/>
      <x:c r="J146" s="1"/>
      <x:c r="K146" s="1"/>
    </x:row>
    <x:row r="147" ht="32" customHeight="1">
      <x:c r="A147" s="1"/>
      <x:c r="B147" s="1"/>
      <x:c r="C147" s="1" t="str">
        <x:v>Real Estate</x:v>
      </x:c>
      <x:c r="D147" s="54" t="str">
        <x:v>Net debt / equity</x:v>
      </x:c>
      <x:c r="E147" s="54" t="str">
        <x:v>Debt minus cash / equity</x:v>
      </x:c>
      <x:c r="F147" s="54" t="str">
        <x:v>Restricted RERA cash must be separated before company use.</x:v>
      </x:c>
      <x:c r="G147" s="2" t="str">
        <x:v>Real Estate!E67:I67</x:v>
      </x:c>
      <x:c r="H147" s="2"/>
      <x:c r="I147" s="2"/>
      <x:c r="J147" s="1"/>
      <x:c r="K147" s="1"/>
    </x:row>
    <x:row r="148" ht="18" customHeight="1">
      <x:c r="A148" s="1"/>
      <x:c r="B148" s="1"/>
      <x:c r="C148" s="1"/>
      <x:c r="D148" s="2"/>
      <x:c r="E148" s="2"/>
      <x:c r="F148" s="2"/>
      <x:c r="G148" s="2"/>
      <x:c r="H148" s="2"/>
      <x:c r="I148" s="2"/>
      <x:c r="J148" s="1"/>
      <x:c r="K148" s="1"/>
    </x:row>
    <x:row r="149" ht="18" customHeight="1">
      <x:c r="A149" s="1"/>
      <x:c r="B149" s="1"/>
      <x:c r="C149" s="1"/>
      <x:c r="D149" s="2"/>
      <x:c r="E149" s="2"/>
      <x:c r="F149" s="2"/>
      <x:c r="G149" s="2"/>
      <x:c r="H149" s="2"/>
      <x:c r="I149" s="2"/>
      <x:c r="J149" s="1"/>
      <x:c r="K149" s="1"/>
    </x:row>
    <x:row r="150" ht="18" customHeight="1">
      <x:c r="A150" s="1"/>
      <x:c r="B150" s="1"/>
      <x:c r="C150" s="1"/>
      <x:c r="D150" s="2"/>
      <x:c r="E150" s="2"/>
      <x:c r="F150" s="2"/>
      <x:c r="G150" s="2"/>
      <x:c r="H150" s="2"/>
      <x:c r="I150" s="2"/>
      <x:c r="J150" s="1"/>
      <x:c r="K150" s="1"/>
    </x:row>
    <x:row r="151" ht="18" customHeight="1">
      <x:c r="A151" s="1"/>
      <x:c r="B151" s="1"/>
      <x:c r="C151" s="1"/>
      <x:c r="D151" s="2"/>
      <x:c r="E151" s="2"/>
      <x:c r="F151" s="2"/>
      <x:c r="G151" s="2"/>
      <x:c r="H151" s="2"/>
      <x:c r="I151" s="2"/>
      <x:c r="J151" s="1"/>
      <x:c r="K151" s="1"/>
    </x:row>
    <x:row r="152" ht="18" customHeight="1">
      <x:c r="A152" s="1"/>
      <x:c r="B152" s="1"/>
      <x:c r="C152" s="1"/>
      <x:c r="D152" s="2"/>
      <x:c r="E152" s="2"/>
      <x:c r="F152" s="2"/>
      <x:c r="G152" s="2"/>
      <x:c r="H152" s="2"/>
      <x:c r="I152" s="2"/>
      <x:c r="J152" s="1"/>
      <x:c r="K152" s="1"/>
    </x:row>
    <x:row r="153" ht="18" customHeight="1">
      <x:c r="A153" s="1"/>
      <x:c r="B153" s="1"/>
      <x:c r="C153" s="1"/>
      <x:c r="D153" s="2"/>
      <x:c r="E153" s="2"/>
      <x:c r="F153" s="2"/>
      <x:c r="G153" s="2"/>
      <x:c r="H153" s="2"/>
      <x:c r="I153" s="2"/>
      <x:c r="J153" s="1"/>
      <x:c r="K153" s="1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4" hidden="0" customWidth="1"/>
    <x:col min="4" max="4" width="4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88" hidden="0" customWidth="1"/>
  </x:cols>
  <x:sheetData>
    <x:row r="1" ht="18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  <x:c r="K1" s="1"/>
    </x:row>
    <x:row r="2" ht="18" customHeight="1">
      <x:c r="A2" s="1"/>
      <x:c r="B2" s="1"/>
      <x:c r="C2" s="3" t="str">
        <x:v>Financial reconciliations and input checks</x:v>
      </x:c>
      <x:c r="D2" s="2"/>
      <x:c r="E2" s="2"/>
      <x:c r="F2" s="2"/>
      <x:c r="G2" s="2"/>
      <x:c r="H2" s="2"/>
      <x:c r="I2" s="2"/>
      <x:c r="J2" s="1"/>
      <x:c r="K2" s="1"/>
    </x:row>
    <x:row r="3" ht="18" customHeight="1">
      <x:c r="A3" s="1"/>
      <x:c r="B3" s="1"/>
      <x:c r="C3" s="4"/>
      <x:c r="D3" s="5"/>
      <x:c r="E3" s="5"/>
      <x:c r="F3" s="5"/>
      <x:c r="G3" s="5"/>
      <x:c r="H3" s="5"/>
      <x:c r="I3" s="5"/>
      <x:c r="J3" s="1"/>
      <x:c r="K3" s="1"/>
    </x:row>
    <x:row r="4" ht="18" customHeight="1">
      <x:c r="A4" s="1"/>
      <x:c r="B4" s="1"/>
      <x:c r="C4" s="1" t="str">
        <x:v>Zero = no exception. Positive shortfalls require funding or assumption changes. Values in INR crore unless named otherwise.</x:v>
      </x:c>
      <x:c r="D4" s="2"/>
      <x:c r="E4" s="2"/>
      <x:c r="F4" s="2"/>
      <x:c r="G4" s="2"/>
      <x:c r="H4" s="2"/>
      <x:c r="I4" s="2"/>
      <x:c r="J4" s="1"/>
      <x:c r="K4" s="1"/>
    </x:row>
    <x:row r="5" ht="18" customHeight="1">
      <x:c r="A5" s="1"/>
      <x:c r="B5" s="1"/>
      <x:c r="C5" s="1" t="str">
        <x:v>Selected case</x:v>
      </x:c>
      <x:c r="D5" s="2"/>
      <x:c r="E5" s="2"/>
      <x:c r="F5" s="10" t="str">
        <x:f>'Controls'!E6</x:f>
        <x:v>Base</x:v>
      </x:c>
      <x:c r="G5" s="2"/>
      <x:c r="H5" s="2"/>
      <x:c r="I5" s="2"/>
      <x:c r="J5" s="1"/>
      <x:c r="K5" s="1"/>
    </x:row>
    <x:row r="6" ht="18" customHeight="1">
      <x:c r="A6" s="1"/>
      <x:c r="B6" s="1"/>
      <x:c r="C6" s="1"/>
      <x:c r="D6" s="2"/>
      <x:c r="E6" s="2"/>
      <x:c r="F6" s="2"/>
      <x:c r="G6" s="2"/>
      <x:c r="H6" s="2"/>
      <x:c r="I6" s="2"/>
      <x:c r="J6" s="1"/>
      <x:c r="K6" s="1"/>
    </x:row>
    <x:row r="7" ht="18" customHeight="1">
      <x:c r="A7" s="1"/>
      <x:c r="B7" s="1"/>
      <x:c r="C7" s="42" t="str">
        <x:v>Sector</x:v>
      </x:c>
      <x:c r="D7" s="43" t="str">
        <x:v>Review item</x:v>
      </x:c>
      <x:c r="E7" s="43" t="str">
        <x:v>FY:27E</x:v>
      </x:c>
      <x:c r="F7" s="43" t="str">
        <x:v>FY:28E</x:v>
      </x:c>
      <x:c r="G7" s="43" t="str">
        <x:v>FY:29E</x:v>
      </x:c>
      <x:c r="H7" s="43" t="str">
        <x:v>FY:30E</x:v>
      </x:c>
      <x:c r="I7" s="43" t="str">
        <x:v>FY:31E</x:v>
      </x:c>
      <x:c r="J7" s="1"/>
      <x:c r="K7" s="1"/>
    </x:row>
    <x:row r="8" ht="18" customHeight="1">
      <x:c r="A8" s="1"/>
      <x:c r="B8" s="1"/>
      <x:c r="C8" s="1" t="str">
        <x:v>IT Services</x:v>
      </x:c>
      <x:c r="D8" s="2" t="str">
        <x:v>Assets less liabilities and equity</x:v>
      </x:c>
      <x:c r="E8" s="33" t="n">
        <x:f>'IT Services'!E99</x:f>
        <x:v>0</x:v>
      </x:c>
      <x:c r="F8" s="33" t="n">
        <x:f>'IT Services'!F99</x:f>
        <x:v>-4.547473508864641e-13</x:v>
      </x:c>
      <x:c r="G8" s="33" t="n">
        <x:f>'IT Services'!G99</x:f>
        <x:v>0</x:v>
      </x:c>
      <x:c r="H8" s="33" t="n">
        <x:f>'IT Services'!H99</x:f>
        <x:v>0</x:v>
      </x:c>
      <x:c r="I8" s="33" t="n">
        <x:f>'IT Services'!I99</x:f>
        <x:v>-9.094947017729282e-13</x:v>
      </x:c>
      <x:c r="J8" s="1"/>
      <x:c r="K8" s="1"/>
    </x:row>
    <x:row r="9" ht="18" customHeight="1">
      <x:c r="A9" s="1"/>
      <x:c r="B9" s="1"/>
      <x:c r="C9" s="1" t="str">
        <x:v>IT Services</x:v>
      </x:c>
      <x:c r="D9" s="2" t="str">
        <x:v>Cash funding shortfall</x:v>
      </x:c>
      <x:c r="E9" s="33" t="n">
        <x:f>'IT Services'!E100</x:f>
        <x:v>0</x:v>
      </x:c>
      <x:c r="F9" s="33" t="n">
        <x:f>'IT Services'!F100</x:f>
        <x:v>0</x:v>
      </x:c>
      <x:c r="G9" s="33" t="n">
        <x:f>'IT Services'!G100</x:f>
        <x:v>0</x:v>
      </x:c>
      <x:c r="H9" s="33" t="n">
        <x:f>'IT Services'!H100</x:f>
        <x:v>0</x:v>
      </x:c>
      <x:c r="I9" s="33" t="n">
        <x:f>'IT Services'!I100</x:f>
        <x:v>0</x:v>
      </x:c>
      <x:c r="J9" s="1"/>
      <x:c r="K9" s="1"/>
    </x:row>
    <x:row r="10" ht="18" customHeight="1">
      <x:c r="A10" s="1"/>
      <x:c r="B10" s="1"/>
      <x:c r="C10" s="1" t="str">
        <x:v>IT Services</x:v>
      </x:c>
      <x:c r="D10" s="2" t="str">
        <x:v>Debt below zero</x:v>
      </x:c>
      <x:c r="E10" s="33" t="n">
        <x:f>'IT Services'!E101</x:f>
        <x:v>0</x:v>
      </x:c>
      <x:c r="F10" s="33" t="n">
        <x:f>'IT Services'!F101</x:f>
        <x:v>0</x:v>
      </x:c>
      <x:c r="G10" s="33" t="n">
        <x:f>'IT Services'!G101</x:f>
        <x:v>0</x:v>
      </x:c>
      <x:c r="H10" s="33" t="n">
        <x:f>'IT Services'!H101</x:f>
        <x:v>0</x:v>
      </x:c>
      <x:c r="I10" s="33" t="n">
        <x:f>'IT Services'!I101</x:f>
        <x:v>0</x:v>
      </x:c>
      <x:c r="J10" s="1"/>
      <x:c r="K10" s="1"/>
    </x:row>
    <x:row r="11" ht="18" customHeight="1">
      <x:c r="A11" s="1"/>
      <x:c r="B11" s="1"/>
      <x:c r="C11" s="1" t="str">
        <x:v>IT Services</x:v>
      </x:c>
      <x:c r="D11" s="2" t="str">
        <x:v>Utilization above 100%</x:v>
      </x:c>
      <x:c r="E11" s="33" t="n">
        <x:f>'IT Services'!E102</x:f>
        <x:v>0</x:v>
      </x:c>
      <x:c r="F11" s="33" t="n">
        <x:f>'IT Services'!F102</x:f>
        <x:v>0</x:v>
      </x:c>
      <x:c r="G11" s="33" t="n">
        <x:f>'IT Services'!G102</x:f>
        <x:v>0</x:v>
      </x:c>
      <x:c r="H11" s="33" t="n">
        <x:f>'IT Services'!H102</x:f>
        <x:v>0</x:v>
      </x:c>
      <x:c r="I11" s="33" t="n">
        <x:f>'IT Services'!I102</x:f>
        <x:v>0</x:v>
      </x:c>
      <x:c r="J11" s="1"/>
      <x:c r="K11" s="1"/>
    </x:row>
    <x:row r="12" ht="18" customHeight="1">
      <x:c r="A12" s="1"/>
      <x:c r="B12" s="1"/>
      <x:c r="C12" s="1" t="str">
        <x:v>IT Services</x:v>
      </x:c>
      <x:c r="D12" s="2" t="str">
        <x:v>Net PP&amp;E below zero</x:v>
      </x:c>
      <x:c r="E12" s="33" t="n">
        <x:f>'IT Services'!E103</x:f>
        <x:v>0</x:v>
      </x:c>
      <x:c r="F12" s="33" t="n">
        <x:f>'IT Services'!F103</x:f>
        <x:v>0</x:v>
      </x:c>
      <x:c r="G12" s="33" t="n">
        <x:f>'IT Services'!G103</x:f>
        <x:v>0</x:v>
      </x:c>
      <x:c r="H12" s="33" t="n">
        <x:f>'IT Services'!H103</x:f>
        <x:v>0</x:v>
      </x:c>
      <x:c r="I12" s="33" t="n">
        <x:f>'IT Services'!I103</x:f>
        <x:v>0</x:v>
      </x:c>
      <x:c r="J12" s="1"/>
      <x:c r="K12" s="1"/>
    </x:row>
    <x:row r="13" ht="18" customHeight="1">
      <x:c r="A13" s="1"/>
      <x:c r="B13" s="1"/>
      <x:c r="C13" s="1" t="str">
        <x:v>FMCG</x:v>
      </x:c>
      <x:c r="D13" s="2" t="str">
        <x:v>Assets less liabilities and equity</x:v>
      </x:c>
      <x:c r="E13" s="33" t="n">
        <x:f>'FMCG'!E100</x:f>
        <x:v>0</x:v>
      </x:c>
      <x:c r="F13" s="33" t="n">
        <x:f>'FMCG'!F100</x:f>
        <x:v>-2.2737367544323206e-13</x:v>
      </x:c>
      <x:c r="G13" s="33" t="n">
        <x:f>'FMCG'!G100</x:f>
        <x:v>-4.547473508864641e-13</x:v>
      </x:c>
      <x:c r="H13" s="33" t="n">
        <x:f>'FMCG'!H100</x:f>
        <x:v>2.2737367544323206e-13</x:v>
      </x:c>
      <x:c r="I13" s="33" t="n">
        <x:f>'FMCG'!I100</x:f>
        <x:v>-2.2737367544323206e-13</x:v>
      </x:c>
      <x:c r="J13" s="1"/>
      <x:c r="K13" s="1"/>
    </x:row>
    <x:row r="14" ht="18" customHeight="1">
      <x:c r="A14" s="1"/>
      <x:c r="B14" s="1"/>
      <x:c r="C14" s="1" t="str">
        <x:v>FMCG</x:v>
      </x:c>
      <x:c r="D14" s="2" t="str">
        <x:v>Cash funding shortfall</x:v>
      </x:c>
      <x:c r="E14" s="33" t="n">
        <x:f>'FMCG'!E101</x:f>
        <x:v>0</x:v>
      </x:c>
      <x:c r="F14" s="33" t="n">
        <x:f>'FMCG'!F101</x:f>
        <x:v>0</x:v>
      </x:c>
      <x:c r="G14" s="33" t="n">
        <x:f>'FMCG'!G101</x:f>
        <x:v>0</x:v>
      </x:c>
      <x:c r="H14" s="33" t="n">
        <x:f>'FMCG'!H101</x:f>
        <x:v>0</x:v>
      </x:c>
      <x:c r="I14" s="33" t="n">
        <x:f>'FMCG'!I101</x:f>
        <x:v>0</x:v>
      </x:c>
      <x:c r="J14" s="1"/>
      <x:c r="K14" s="1"/>
    </x:row>
    <x:row r="15" ht="18" customHeight="1">
      <x:c r="A15" s="1"/>
      <x:c r="B15" s="1"/>
      <x:c r="C15" s="1" t="str">
        <x:v>FMCG</x:v>
      </x:c>
      <x:c r="D15" s="2" t="str">
        <x:v>Debt below zero</x:v>
      </x:c>
      <x:c r="E15" s="33" t="n">
        <x:f>'FMCG'!E102</x:f>
        <x:v>0</x:v>
      </x:c>
      <x:c r="F15" s="33" t="n">
        <x:f>'FMCG'!F102</x:f>
        <x:v>0</x:v>
      </x:c>
      <x:c r="G15" s="33" t="n">
        <x:f>'FMCG'!G102</x:f>
        <x:v>0</x:v>
      </x:c>
      <x:c r="H15" s="33" t="n">
        <x:f>'FMCG'!H102</x:f>
        <x:v>0</x:v>
      </x:c>
      <x:c r="I15" s="33" t="n">
        <x:f>'FMCG'!I102</x:f>
        <x:v>0</x:v>
      </x:c>
      <x:c r="J15" s="1"/>
      <x:c r="K15" s="1"/>
    </x:row>
    <x:row r="16" ht="18" customHeight="1">
      <x:c r="A16" s="1"/>
      <x:c r="B16" s="1"/>
      <x:c r="C16" s="1" t="str">
        <x:v>FMCG</x:v>
      </x:c>
      <x:c r="D16" s="2" t="str">
        <x:v>Utilization above 100%</x:v>
      </x:c>
      <x:c r="E16" s="33" t="n">
        <x:f>'FMCG'!E103</x:f>
        <x:v>0</x:v>
      </x:c>
      <x:c r="F16" s="33" t="n">
        <x:f>'FMCG'!F103</x:f>
        <x:v>0</x:v>
      </x:c>
      <x:c r="G16" s="33" t="n">
        <x:f>'FMCG'!G103</x:f>
        <x:v>0</x:v>
      </x:c>
      <x:c r="H16" s="33" t="n">
        <x:f>'FMCG'!H103</x:f>
        <x:v>0</x:v>
      </x:c>
      <x:c r="I16" s="33" t="n">
        <x:f>'FMCG'!I103</x:f>
        <x:v>0</x:v>
      </x:c>
      <x:c r="J16" s="1"/>
      <x:c r="K16" s="1"/>
    </x:row>
    <x:row r="17" ht="18" customHeight="1">
      <x:c r="A17" s="1"/>
      <x:c r="B17" s="1"/>
      <x:c r="C17" s="1" t="str">
        <x:v>FMCG</x:v>
      </x:c>
      <x:c r="D17" s="2" t="str">
        <x:v>Net PP&amp;E below zero</x:v>
      </x:c>
      <x:c r="E17" s="33" t="n">
        <x:f>'FMCG'!E104</x:f>
        <x:v>0</x:v>
      </x:c>
      <x:c r="F17" s="33" t="n">
        <x:f>'FMCG'!F104</x:f>
        <x:v>0</x:v>
      </x:c>
      <x:c r="G17" s="33" t="n">
        <x:f>'FMCG'!G104</x:f>
        <x:v>0</x:v>
      </x:c>
      <x:c r="H17" s="33" t="n">
        <x:f>'FMCG'!H104</x:f>
        <x:v>0</x:v>
      </x:c>
      <x:c r="I17" s="33" t="n">
        <x:f>'FMCG'!I104</x:f>
        <x:v>0</x:v>
      </x:c>
      <x:c r="J17" s="1"/>
      <x:c r="K17" s="1"/>
    </x:row>
    <x:row r="18" ht="18" customHeight="1">
      <x:c r="A18" s="1"/>
      <x:c r="B18" s="1"/>
      <x:c r="C18" s="1" t="str">
        <x:v>Automobiles</x:v>
      </x:c>
      <x:c r="D18" s="2" t="str">
        <x:v>Assets less liabilities and equity</x:v>
      </x:c>
      <x:c r="E18" s="33" t="n">
        <x:f>'Automobiles'!E100</x:f>
        <x:v>-1.8189894035458565e-12</x:v>
      </x:c>
      <x:c r="F18" s="33" t="n">
        <x:f>'Automobiles'!F100</x:f>
        <x:v>0</x:v>
      </x:c>
      <x:c r="G18" s="33" t="n">
        <x:f>'Automobiles'!G100</x:f>
        <x:v>0</x:v>
      </x:c>
      <x:c r="H18" s="33" t="n">
        <x:f>'Automobiles'!H100</x:f>
        <x:v>0</x:v>
      </x:c>
      <x:c r="I18" s="33" t="n">
        <x:f>'Automobiles'!I100</x:f>
        <x:v>-3.637978807091713e-12</x:v>
      </x:c>
      <x:c r="J18" s="1"/>
      <x:c r="K18" s="1"/>
    </x:row>
    <x:row r="19" ht="18" customHeight="1">
      <x:c r="A19" s="1"/>
      <x:c r="B19" s="1"/>
      <x:c r="C19" s="1" t="str">
        <x:v>Automobiles</x:v>
      </x:c>
      <x:c r="D19" s="2" t="str">
        <x:v>Cash funding shortfall</x:v>
      </x:c>
      <x:c r="E19" s="33" t="n">
        <x:f>'Automobiles'!E101</x:f>
        <x:v>0</x:v>
      </x:c>
      <x:c r="F19" s="33" t="n">
        <x:f>'Automobiles'!F101</x:f>
        <x:v>0</x:v>
      </x:c>
      <x:c r="G19" s="33" t="n">
        <x:f>'Automobiles'!G101</x:f>
        <x:v>0</x:v>
      </x:c>
      <x:c r="H19" s="33" t="n">
        <x:f>'Automobiles'!H101</x:f>
        <x:v>0</x:v>
      </x:c>
      <x:c r="I19" s="33" t="n">
        <x:f>'Automobiles'!I101</x:f>
        <x:v>0</x:v>
      </x:c>
      <x:c r="J19" s="1"/>
      <x:c r="K19" s="1"/>
    </x:row>
    <x:row r="20" ht="18" customHeight="1">
      <x:c r="A20" s="1"/>
      <x:c r="B20" s="1"/>
      <x:c r="C20" s="1" t="str">
        <x:v>Automobiles</x:v>
      </x:c>
      <x:c r="D20" s="2" t="str">
        <x:v>Debt below zero</x:v>
      </x:c>
      <x:c r="E20" s="33" t="n">
        <x:f>'Automobiles'!E102</x:f>
        <x:v>0</x:v>
      </x:c>
      <x:c r="F20" s="33" t="n">
        <x:f>'Automobiles'!F102</x:f>
        <x:v>0</x:v>
      </x:c>
      <x:c r="G20" s="33" t="n">
        <x:f>'Automobiles'!G102</x:f>
        <x:v>0</x:v>
      </x:c>
      <x:c r="H20" s="33" t="n">
        <x:f>'Automobiles'!H102</x:f>
        <x:v>0</x:v>
      </x:c>
      <x:c r="I20" s="33" t="n">
        <x:f>'Automobiles'!I102</x:f>
        <x:v>0</x:v>
      </x:c>
      <x:c r="J20" s="1"/>
      <x:c r="K20" s="1"/>
    </x:row>
    <x:row r="21" ht="18" customHeight="1">
      <x:c r="A21" s="1"/>
      <x:c r="B21" s="1"/>
      <x:c r="C21" s="1" t="str">
        <x:v>Automobiles</x:v>
      </x:c>
      <x:c r="D21" s="2" t="str">
        <x:v>Utilization above 100%</x:v>
      </x:c>
      <x:c r="E21" s="33" t="n">
        <x:f>'Automobiles'!E103</x:f>
        <x:v>0</x:v>
      </x:c>
      <x:c r="F21" s="33" t="n">
        <x:f>'Automobiles'!F103</x:f>
        <x:v>0</x:v>
      </x:c>
      <x:c r="G21" s="33" t="n">
        <x:f>'Automobiles'!G103</x:f>
        <x:v>0</x:v>
      </x:c>
      <x:c r="H21" s="33" t="n">
        <x:f>'Automobiles'!H103</x:f>
        <x:v>0</x:v>
      </x:c>
      <x:c r="I21" s="33" t="n">
        <x:f>'Automobiles'!I103</x:f>
        <x:v>0</x:v>
      </x:c>
      <x:c r="J21" s="1"/>
      <x:c r="K21" s="1"/>
    </x:row>
    <x:row r="22" ht="18" customHeight="1">
      <x:c r="A22" s="1"/>
      <x:c r="B22" s="1"/>
      <x:c r="C22" s="1" t="str">
        <x:v>Automobiles</x:v>
      </x:c>
      <x:c r="D22" s="2" t="str">
        <x:v>Net PP&amp;E below zero</x:v>
      </x:c>
      <x:c r="E22" s="33" t="n">
        <x:f>'Automobiles'!E104</x:f>
        <x:v>0</x:v>
      </x:c>
      <x:c r="F22" s="33" t="n">
        <x:f>'Automobiles'!F104</x:f>
        <x:v>0</x:v>
      </x:c>
      <x:c r="G22" s="33" t="n">
        <x:f>'Automobiles'!G104</x:f>
        <x:v>0</x:v>
      </x:c>
      <x:c r="H22" s="33" t="n">
        <x:f>'Automobiles'!H104</x:f>
        <x:v>0</x:v>
      </x:c>
      <x:c r="I22" s="33" t="n">
        <x:f>'Automobiles'!I104</x:f>
        <x:v>0</x:v>
      </x:c>
      <x:c r="J22" s="1"/>
      <x:c r="K22" s="1"/>
    </x:row>
    <x:row r="23" ht="18" customHeight="1">
      <x:c r="A23" s="1"/>
      <x:c r="B23" s="1"/>
      <x:c r="C23" s="1" t="str">
        <x:v>Cement</x:v>
      </x:c>
      <x:c r="D23" s="2" t="str">
        <x:v>Assets less liabilities and equity</x:v>
      </x:c>
      <x:c r="E23" s="33" t="n">
        <x:f>'Cement'!E100</x:f>
        <x:v>0</x:v>
      </x:c>
      <x:c r="F23" s="33" t="n">
        <x:f>'Cement'!F100</x:f>
        <x:v>1.8189894035458565e-12</x:v>
      </x:c>
      <x:c r="G23" s="33" t="n">
        <x:f>'Cement'!G100</x:f>
        <x:v>0</x:v>
      </x:c>
      <x:c r="H23" s="33" t="n">
        <x:f>'Cement'!H100</x:f>
        <x:v>-1.8189894035458565e-12</x:v>
      </x:c>
      <x:c r="I23" s="33" t="n">
        <x:f>'Cement'!I100</x:f>
        <x:v>-1.8189894035458565e-12</x:v>
      </x:c>
      <x:c r="J23" s="1"/>
      <x:c r="K23" s="1"/>
    </x:row>
    <x:row r="24" ht="18" customHeight="1">
      <x:c r="A24" s="1"/>
      <x:c r="B24" s="1"/>
      <x:c r="C24" s="1" t="str">
        <x:v>Cement</x:v>
      </x:c>
      <x:c r="D24" s="2" t="str">
        <x:v>Cash funding shortfall</x:v>
      </x:c>
      <x:c r="E24" s="33" t="n">
        <x:f>'Cement'!E101</x:f>
        <x:v>0</x:v>
      </x:c>
      <x:c r="F24" s="33" t="n">
        <x:f>'Cement'!F101</x:f>
        <x:v>0</x:v>
      </x:c>
      <x:c r="G24" s="33" t="n">
        <x:f>'Cement'!G101</x:f>
        <x:v>0</x:v>
      </x:c>
      <x:c r="H24" s="33" t="n">
        <x:f>'Cement'!H101</x:f>
        <x:v>0</x:v>
      </x:c>
      <x:c r="I24" s="33" t="n">
        <x:f>'Cement'!I101</x:f>
        <x:v>0</x:v>
      </x:c>
      <x:c r="J24" s="1"/>
      <x:c r="K24" s="1"/>
    </x:row>
    <x:row r="25" ht="18" customHeight="1">
      <x:c r="A25" s="1"/>
      <x:c r="B25" s="1"/>
      <x:c r="C25" s="1" t="str">
        <x:v>Cement</x:v>
      </x:c>
      <x:c r="D25" s="2" t="str">
        <x:v>Debt below zero</x:v>
      </x:c>
      <x:c r="E25" s="33" t="n">
        <x:f>'Cement'!E102</x:f>
        <x:v>0</x:v>
      </x:c>
      <x:c r="F25" s="33" t="n">
        <x:f>'Cement'!F102</x:f>
        <x:v>0</x:v>
      </x:c>
      <x:c r="G25" s="33" t="n">
        <x:f>'Cement'!G102</x:f>
        <x:v>0</x:v>
      </x:c>
      <x:c r="H25" s="33" t="n">
        <x:f>'Cement'!H102</x:f>
        <x:v>0</x:v>
      </x:c>
      <x:c r="I25" s="33" t="n">
        <x:f>'Cement'!I102</x:f>
        <x:v>0</x:v>
      </x:c>
      <x:c r="J25" s="1"/>
      <x:c r="K25" s="1"/>
    </x:row>
    <x:row r="26" ht="18" customHeight="1">
      <x:c r="A26" s="1"/>
      <x:c r="B26" s="1"/>
      <x:c r="C26" s="1" t="str">
        <x:v>Cement</x:v>
      </x:c>
      <x:c r="D26" s="2" t="str">
        <x:v>Utilization above 100%</x:v>
      </x:c>
      <x:c r="E26" s="33" t="n">
        <x:f>'Cement'!E103</x:f>
        <x:v>0</x:v>
      </x:c>
      <x:c r="F26" s="33" t="n">
        <x:f>'Cement'!F103</x:f>
        <x:v>0</x:v>
      </x:c>
      <x:c r="G26" s="33" t="n">
        <x:f>'Cement'!G103</x:f>
        <x:v>0</x:v>
      </x:c>
      <x:c r="H26" s="33" t="n">
        <x:f>'Cement'!H103</x:f>
        <x:v>0</x:v>
      </x:c>
      <x:c r="I26" s="33" t="n">
        <x:f>'Cement'!I103</x:f>
        <x:v>0</x:v>
      </x:c>
      <x:c r="J26" s="1"/>
      <x:c r="K26" s="1"/>
    </x:row>
    <x:row r="27" ht="18" customHeight="1">
      <x:c r="A27" s="1"/>
      <x:c r="B27" s="1"/>
      <x:c r="C27" s="1" t="str">
        <x:v>Cement</x:v>
      </x:c>
      <x:c r="D27" s="2" t="str">
        <x:v>Net PP&amp;E below zero</x:v>
      </x:c>
      <x:c r="E27" s="33" t="n">
        <x:f>'Cement'!E104</x:f>
        <x:v>0</x:v>
      </x:c>
      <x:c r="F27" s="33" t="n">
        <x:f>'Cement'!F104</x:f>
        <x:v>0</x:v>
      </x:c>
      <x:c r="G27" s="33" t="n">
        <x:f>'Cement'!G104</x:f>
        <x:v>0</x:v>
      </x:c>
      <x:c r="H27" s="33" t="n">
        <x:f>'Cement'!H104</x:f>
        <x:v>0</x:v>
      </x:c>
      <x:c r="I27" s="33" t="n">
        <x:f>'Cement'!I104</x:f>
        <x:v>0</x:v>
      </x:c>
      <x:c r="J27" s="1"/>
      <x:c r="K27" s="1"/>
    </x:row>
    <x:row r="28" ht="18" customHeight="1">
      <x:c r="A28" s="1"/>
      <x:c r="B28" s="1"/>
      <x:c r="C28" s="1" t="str">
        <x:v>Steel</x:v>
      </x:c>
      <x:c r="D28" s="2" t="str">
        <x:v>Assets less liabilities and equity</x:v>
      </x:c>
      <x:c r="E28" s="33" t="n">
        <x:f>'Steel'!E100</x:f>
        <x:v>-3.637978807091713e-12</x:v>
      </x:c>
      <x:c r="F28" s="33" t="n">
        <x:f>'Steel'!F100</x:f>
        <x:v>-7.275957614183426e-12</x:v>
      </x:c>
      <x:c r="G28" s="33" t="n">
        <x:f>'Steel'!G100</x:f>
        <x:v>-7.275957614183426e-12</x:v>
      </x:c>
      <x:c r="H28" s="33" t="n">
        <x:f>'Steel'!H100</x:f>
        <x:v>0</x:v>
      </x:c>
      <x:c r="I28" s="33" t="n">
        <x:f>'Steel'!I100</x:f>
        <x:v>0</x:v>
      </x:c>
      <x:c r="J28" s="1"/>
      <x:c r="K28" s="1"/>
    </x:row>
    <x:row r="29" ht="18" customHeight="1">
      <x:c r="A29" s="1"/>
      <x:c r="B29" s="1"/>
      <x:c r="C29" s="1" t="str">
        <x:v>Steel</x:v>
      </x:c>
      <x:c r="D29" s="2" t="str">
        <x:v>Cash funding shortfall</x:v>
      </x:c>
      <x:c r="E29" s="33" t="n">
        <x:f>'Steel'!E101</x:f>
        <x:v>0</x:v>
      </x:c>
      <x:c r="F29" s="33" t="n">
        <x:f>'Steel'!F101</x:f>
        <x:v>0</x:v>
      </x:c>
      <x:c r="G29" s="33" t="n">
        <x:f>'Steel'!G101</x:f>
        <x:v>0</x:v>
      </x:c>
      <x:c r="H29" s="33" t="n">
        <x:f>'Steel'!H101</x:f>
        <x:v>0</x:v>
      </x:c>
      <x:c r="I29" s="33" t="n">
        <x:f>'Steel'!I101</x:f>
        <x:v>0</x:v>
      </x:c>
      <x:c r="J29" s="1"/>
      <x:c r="K29" s="1"/>
    </x:row>
    <x:row r="30" ht="18" customHeight="1">
      <x:c r="A30" s="1"/>
      <x:c r="B30" s="1"/>
      <x:c r="C30" s="1" t="str">
        <x:v>Steel</x:v>
      </x:c>
      <x:c r="D30" s="2" t="str">
        <x:v>Debt below zero</x:v>
      </x:c>
      <x:c r="E30" s="33" t="n">
        <x:f>'Steel'!E102</x:f>
        <x:v>0</x:v>
      </x:c>
      <x:c r="F30" s="33" t="n">
        <x:f>'Steel'!F102</x:f>
        <x:v>0</x:v>
      </x:c>
      <x:c r="G30" s="33" t="n">
        <x:f>'Steel'!G102</x:f>
        <x:v>0</x:v>
      </x:c>
      <x:c r="H30" s="33" t="n">
        <x:f>'Steel'!H102</x:f>
        <x:v>0</x:v>
      </x:c>
      <x:c r="I30" s="33" t="n">
        <x:f>'Steel'!I102</x:f>
        <x:v>0</x:v>
      </x:c>
      <x:c r="J30" s="1"/>
      <x:c r="K30" s="1"/>
    </x:row>
    <x:row r="31" ht="18" customHeight="1">
      <x:c r="A31" s="1"/>
      <x:c r="B31" s="1"/>
      <x:c r="C31" s="1" t="str">
        <x:v>Steel</x:v>
      </x:c>
      <x:c r="D31" s="2" t="str">
        <x:v>Utilization above 100%</x:v>
      </x:c>
      <x:c r="E31" s="33" t="n">
        <x:f>'Steel'!E103</x:f>
        <x:v>0</x:v>
      </x:c>
      <x:c r="F31" s="33" t="n">
        <x:f>'Steel'!F103</x:f>
        <x:v>0</x:v>
      </x:c>
      <x:c r="G31" s="33" t="n">
        <x:f>'Steel'!G103</x:f>
        <x:v>0</x:v>
      </x:c>
      <x:c r="H31" s="33" t="n">
        <x:f>'Steel'!H103</x:f>
        <x:v>0</x:v>
      </x:c>
      <x:c r="I31" s="33" t="n">
        <x:f>'Steel'!I103</x:f>
        <x:v>0</x:v>
      </x:c>
      <x:c r="J31" s="1"/>
      <x:c r="K31" s="1"/>
    </x:row>
    <x:row r="32" ht="18" customHeight="1">
      <x:c r="A32" s="1"/>
      <x:c r="B32" s="1"/>
      <x:c r="C32" s="1" t="str">
        <x:v>Steel</x:v>
      </x:c>
      <x:c r="D32" s="2" t="str">
        <x:v>Net PP&amp;E below zero</x:v>
      </x:c>
      <x:c r="E32" s="33" t="n">
        <x:f>'Steel'!E104</x:f>
        <x:v>0</x:v>
      </x:c>
      <x:c r="F32" s="33" t="n">
        <x:f>'Steel'!F104</x:f>
        <x:v>0</x:v>
      </x:c>
      <x:c r="G32" s="33" t="n">
        <x:f>'Steel'!G104</x:f>
        <x:v>0</x:v>
      </x:c>
      <x:c r="H32" s="33" t="n">
        <x:f>'Steel'!H104</x:f>
        <x:v>0</x:v>
      </x:c>
      <x:c r="I32" s="33" t="n">
        <x:f>'Steel'!I104</x:f>
        <x:v>0</x:v>
      </x:c>
      <x:c r="J32" s="1"/>
      <x:c r="K32" s="1"/>
    </x:row>
    <x:row r="33" ht="18" customHeight="1">
      <x:c r="A33" s="1"/>
      <x:c r="B33" s="1"/>
      <x:c r="C33" s="1" t="str">
        <x:v>Pharma</x:v>
      </x:c>
      <x:c r="D33" s="2" t="str">
        <x:v>Assets less liabilities and equity</x:v>
      </x:c>
      <x:c r="E33" s="33" t="n">
        <x:f>'Pharma'!E100</x:f>
        <x:v>-9.094947017729282e-13</x:v>
      </x:c>
      <x:c r="F33" s="33" t="n">
        <x:f>'Pharma'!F100</x:f>
        <x:v>-9.094947017729282e-13</x:v>
      </x:c>
      <x:c r="G33" s="33" t="n">
        <x:f>'Pharma'!G100</x:f>
        <x:v>-1.8189894035458565e-12</x:v>
      </x:c>
      <x:c r="H33" s="33" t="n">
        <x:f>'Pharma'!H100</x:f>
        <x:v>0</x:v>
      </x:c>
      <x:c r="I33" s="33" t="n">
        <x:f>'Pharma'!I100</x:f>
        <x:v>1.8189894035458565e-12</x:v>
      </x:c>
      <x:c r="J33" s="1"/>
      <x:c r="K33" s="1"/>
    </x:row>
    <x:row r="34" ht="18" customHeight="1">
      <x:c r="A34" s="1"/>
      <x:c r="B34" s="1"/>
      <x:c r="C34" s="1" t="str">
        <x:v>Pharma</x:v>
      </x:c>
      <x:c r="D34" s="2" t="str">
        <x:v>Cash funding shortfall</x:v>
      </x:c>
      <x:c r="E34" s="33" t="n">
        <x:f>'Pharma'!E101</x:f>
        <x:v>0</x:v>
      </x:c>
      <x:c r="F34" s="33" t="n">
        <x:f>'Pharma'!F101</x:f>
        <x:v>0</x:v>
      </x:c>
      <x:c r="G34" s="33" t="n">
        <x:f>'Pharma'!G101</x:f>
        <x:v>0</x:v>
      </x:c>
      <x:c r="H34" s="33" t="n">
        <x:f>'Pharma'!H101</x:f>
        <x:v>0</x:v>
      </x:c>
      <x:c r="I34" s="33" t="n">
        <x:f>'Pharma'!I101</x:f>
        <x:v>0</x:v>
      </x:c>
      <x:c r="J34" s="1"/>
      <x:c r="K34" s="1"/>
    </x:row>
    <x:row r="35" ht="18" customHeight="1">
      <x:c r="A35" s="1"/>
      <x:c r="B35" s="1"/>
      <x:c r="C35" s="1" t="str">
        <x:v>Pharma</x:v>
      </x:c>
      <x:c r="D35" s="2" t="str">
        <x:v>Debt below zero</x:v>
      </x:c>
      <x:c r="E35" s="33" t="n">
        <x:f>'Pharma'!E102</x:f>
        <x:v>0</x:v>
      </x:c>
      <x:c r="F35" s="33" t="n">
        <x:f>'Pharma'!F102</x:f>
        <x:v>0</x:v>
      </x:c>
      <x:c r="G35" s="33" t="n">
        <x:f>'Pharma'!G102</x:f>
        <x:v>0</x:v>
      </x:c>
      <x:c r="H35" s="33" t="n">
        <x:f>'Pharma'!H102</x:f>
        <x:v>0</x:v>
      </x:c>
      <x:c r="I35" s="33" t="n">
        <x:f>'Pharma'!I102</x:f>
        <x:v>0</x:v>
      </x:c>
      <x:c r="J35" s="1"/>
      <x:c r="K35" s="1"/>
    </x:row>
    <x:row r="36" ht="18" customHeight="1">
      <x:c r="A36" s="1"/>
      <x:c r="B36" s="1"/>
      <x:c r="C36" s="1" t="str">
        <x:v>Pharma</x:v>
      </x:c>
      <x:c r="D36" s="2" t="str">
        <x:v>Utilization above 100%</x:v>
      </x:c>
      <x:c r="E36" s="33" t="n">
        <x:f>'Pharma'!E103</x:f>
        <x:v>0</x:v>
      </x:c>
      <x:c r="F36" s="33" t="n">
        <x:f>'Pharma'!F103</x:f>
        <x:v>0</x:v>
      </x:c>
      <x:c r="G36" s="33" t="n">
        <x:f>'Pharma'!G103</x:f>
        <x:v>0</x:v>
      </x:c>
      <x:c r="H36" s="33" t="n">
        <x:f>'Pharma'!H103</x:f>
        <x:v>0</x:v>
      </x:c>
      <x:c r="I36" s="33" t="n">
        <x:f>'Pharma'!I103</x:f>
        <x:v>0</x:v>
      </x:c>
      <x:c r="J36" s="1"/>
      <x:c r="K36" s="1"/>
    </x:row>
    <x:row r="37" ht="18" customHeight="1">
      <x:c r="A37" s="1"/>
      <x:c r="B37" s="1"/>
      <x:c r="C37" s="1" t="str">
        <x:v>Pharma</x:v>
      </x:c>
      <x:c r="D37" s="2" t="str">
        <x:v>Net PP&amp;E below zero</x:v>
      </x:c>
      <x:c r="E37" s="33" t="n">
        <x:f>'Pharma'!E104</x:f>
        <x:v>0</x:v>
      </x:c>
      <x:c r="F37" s="33" t="n">
        <x:f>'Pharma'!F104</x:f>
        <x:v>0</x:v>
      </x:c>
      <x:c r="G37" s="33" t="n">
        <x:f>'Pharma'!G104</x:f>
        <x:v>0</x:v>
      </x:c>
      <x:c r="H37" s="33" t="n">
        <x:f>'Pharma'!H104</x:f>
        <x:v>0</x:v>
      </x:c>
      <x:c r="I37" s="33" t="n">
        <x:f>'Pharma'!I104</x:f>
        <x:v>0</x:v>
      </x:c>
      <x:c r="J37" s="1"/>
      <x:c r="K37" s="1"/>
    </x:row>
    <x:row r="38" ht="18" customHeight="1">
      <x:c r="A38" s="1"/>
      <x:c r="B38" s="1"/>
      <x:c r="C38" s="1" t="str">
        <x:v>Hospitals</x:v>
      </x:c>
      <x:c r="D38" s="2" t="str">
        <x:v>Assets less liabilities and equity</x:v>
      </x:c>
      <x:c r="E38" s="33" t="n">
        <x:f>'Hospitals'!E101</x:f>
        <x:v>0</x:v>
      </x:c>
      <x:c r="F38" s="33" t="n">
        <x:f>'Hospitals'!F101</x:f>
        <x:v>4.547473508864641e-13</x:v>
      </x:c>
      <x:c r="G38" s="33" t="n">
        <x:f>'Hospitals'!G101</x:f>
        <x:v>9.094947017729282e-13</x:v>
      </x:c>
      <x:c r="H38" s="33" t="n">
        <x:f>'Hospitals'!H101</x:f>
        <x:v>0</x:v>
      </x:c>
      <x:c r="I38" s="33" t="n">
        <x:f>'Hospitals'!I101</x:f>
        <x:v>0</x:v>
      </x:c>
      <x:c r="J38" s="1"/>
      <x:c r="K38" s="1"/>
    </x:row>
    <x:row r="39" ht="18" customHeight="1">
      <x:c r="A39" s="1"/>
      <x:c r="B39" s="1"/>
      <x:c r="C39" s="1" t="str">
        <x:v>Hospitals</x:v>
      </x:c>
      <x:c r="D39" s="2" t="str">
        <x:v>Cash funding shortfall</x:v>
      </x:c>
      <x:c r="E39" s="33" t="n">
        <x:f>'Hospitals'!E102</x:f>
        <x:v>0</x:v>
      </x:c>
      <x:c r="F39" s="33" t="n">
        <x:f>'Hospitals'!F102</x:f>
        <x:v>0</x:v>
      </x:c>
      <x:c r="G39" s="33" t="n">
        <x:f>'Hospitals'!G102</x:f>
        <x:v>0</x:v>
      </x:c>
      <x:c r="H39" s="33" t="n">
        <x:f>'Hospitals'!H102</x:f>
        <x:v>0</x:v>
      </x:c>
      <x:c r="I39" s="33" t="n">
        <x:f>'Hospitals'!I102</x:f>
        <x:v>0</x:v>
      </x:c>
      <x:c r="J39" s="1"/>
      <x:c r="K39" s="1"/>
    </x:row>
    <x:row r="40" ht="18" customHeight="1">
      <x:c r="A40" s="1"/>
      <x:c r="B40" s="1"/>
      <x:c r="C40" s="1" t="str">
        <x:v>Hospitals</x:v>
      </x:c>
      <x:c r="D40" s="2" t="str">
        <x:v>Debt below zero</x:v>
      </x:c>
      <x:c r="E40" s="33" t="n">
        <x:f>'Hospitals'!E103</x:f>
        <x:v>0</x:v>
      </x:c>
      <x:c r="F40" s="33" t="n">
        <x:f>'Hospitals'!F103</x:f>
        <x:v>0</x:v>
      </x:c>
      <x:c r="G40" s="33" t="n">
        <x:f>'Hospitals'!G103</x:f>
        <x:v>0</x:v>
      </x:c>
      <x:c r="H40" s="33" t="n">
        <x:f>'Hospitals'!H103</x:f>
        <x:v>0</x:v>
      </x:c>
      <x:c r="I40" s="33" t="n">
        <x:f>'Hospitals'!I103</x:f>
        <x:v>0</x:v>
      </x:c>
      <x:c r="J40" s="1"/>
      <x:c r="K40" s="1"/>
    </x:row>
    <x:row r="41" ht="18" customHeight="1">
      <x:c r="A41" s="1"/>
      <x:c r="B41" s="1"/>
      <x:c r="C41" s="1" t="str">
        <x:v>Hospitals</x:v>
      </x:c>
      <x:c r="D41" s="2" t="str">
        <x:v>Utilization above 100%</x:v>
      </x:c>
      <x:c r="E41" s="33" t="n">
        <x:f>'Hospitals'!E104</x:f>
        <x:v>0</x:v>
      </x:c>
      <x:c r="F41" s="33" t="n">
        <x:f>'Hospitals'!F104</x:f>
        <x:v>0</x:v>
      </x:c>
      <x:c r="G41" s="33" t="n">
        <x:f>'Hospitals'!G104</x:f>
        <x:v>0</x:v>
      </x:c>
      <x:c r="H41" s="33" t="n">
        <x:f>'Hospitals'!H104</x:f>
        <x:v>0</x:v>
      </x:c>
      <x:c r="I41" s="33" t="n">
        <x:f>'Hospitals'!I104</x:f>
        <x:v>0</x:v>
      </x:c>
      <x:c r="J41" s="1"/>
      <x:c r="K41" s="1"/>
    </x:row>
    <x:row r="42" ht="18" customHeight="1">
      <x:c r="A42" s="1"/>
      <x:c r="B42" s="1"/>
      <x:c r="C42" s="1" t="str">
        <x:v>Hospitals</x:v>
      </x:c>
      <x:c r="D42" s="2" t="str">
        <x:v>Net PP&amp;E below zero</x:v>
      </x:c>
      <x:c r="E42" s="33" t="n">
        <x:f>'Hospitals'!E105</x:f>
        <x:v>0</x:v>
      </x:c>
      <x:c r="F42" s="33" t="n">
        <x:f>'Hospitals'!F105</x:f>
        <x:v>0</x:v>
      </x:c>
      <x:c r="G42" s="33" t="n">
        <x:f>'Hospitals'!G105</x:f>
        <x:v>0</x:v>
      </x:c>
      <x:c r="H42" s="33" t="n">
        <x:f>'Hospitals'!H105</x:f>
        <x:v>0</x:v>
      </x:c>
      <x:c r="I42" s="33" t="n">
        <x:f>'Hospitals'!I105</x:f>
        <x:v>0</x:v>
      </x:c>
      <x:c r="J42" s="1"/>
      <x:c r="K42" s="1"/>
    </x:row>
    <x:row r="43" ht="18" customHeight="1">
      <x:c r="A43" s="1"/>
      <x:c r="B43" s="1"/>
      <x:c r="C43" s="1" t="str">
        <x:v>Telecom</x:v>
      </x:c>
      <x:c r="D43" s="2" t="str">
        <x:v>Assets less liabilities and equity</x:v>
      </x:c>
      <x:c r="E43" s="33" t="n">
        <x:f>'Telecom'!E99</x:f>
        <x:v>0</x:v>
      </x:c>
      <x:c r="F43" s="33" t="n">
        <x:f>'Telecom'!F99</x:f>
        <x:v>0</x:v>
      </x:c>
      <x:c r="G43" s="33" t="n">
        <x:f>'Telecom'!G99</x:f>
        <x:v>0</x:v>
      </x:c>
      <x:c r="H43" s="33" t="n">
        <x:f>'Telecom'!H99</x:f>
        <x:v>0</x:v>
      </x:c>
      <x:c r="I43" s="33" t="n">
        <x:f>'Telecom'!I99</x:f>
        <x:v>-3.637978807091713e-12</x:v>
      </x:c>
      <x:c r="J43" s="1"/>
      <x:c r="K43" s="1"/>
    </x:row>
    <x:row r="44" ht="18" customHeight="1">
      <x:c r="A44" s="1"/>
      <x:c r="B44" s="1"/>
      <x:c r="C44" s="1" t="str">
        <x:v>Telecom</x:v>
      </x:c>
      <x:c r="D44" s="2" t="str">
        <x:v>Cash funding shortfall</x:v>
      </x:c>
      <x:c r="E44" s="33" t="n">
        <x:f>'Telecom'!E100</x:f>
        <x:v>0</x:v>
      </x:c>
      <x:c r="F44" s="33" t="n">
        <x:f>'Telecom'!F100</x:f>
        <x:v>0</x:v>
      </x:c>
      <x:c r="G44" s="33" t="n">
        <x:f>'Telecom'!G100</x:f>
        <x:v>0</x:v>
      </x:c>
      <x:c r="H44" s="33" t="n">
        <x:f>'Telecom'!H100</x:f>
        <x:v>0</x:v>
      </x:c>
      <x:c r="I44" s="33" t="n">
        <x:f>'Telecom'!I100</x:f>
        <x:v>0</x:v>
      </x:c>
      <x:c r="J44" s="1"/>
      <x:c r="K44" s="1"/>
    </x:row>
    <x:row r="45" ht="18" customHeight="1">
      <x:c r="A45" s="1"/>
      <x:c r="B45" s="1"/>
      <x:c r="C45" s="1" t="str">
        <x:v>Telecom</x:v>
      </x:c>
      <x:c r="D45" s="2" t="str">
        <x:v>Debt below zero</x:v>
      </x:c>
      <x:c r="E45" s="33" t="n">
        <x:f>'Telecom'!E101</x:f>
        <x:v>0</x:v>
      </x:c>
      <x:c r="F45" s="33" t="n">
        <x:f>'Telecom'!F101</x:f>
        <x:v>0</x:v>
      </x:c>
      <x:c r="G45" s="33" t="n">
        <x:f>'Telecom'!G101</x:f>
        <x:v>0</x:v>
      </x:c>
      <x:c r="H45" s="33" t="n">
        <x:f>'Telecom'!H101</x:f>
        <x:v>0</x:v>
      </x:c>
      <x:c r="I45" s="33" t="n">
        <x:f>'Telecom'!I101</x:f>
        <x:v>0</x:v>
      </x:c>
      <x:c r="J45" s="1"/>
      <x:c r="K45" s="1"/>
    </x:row>
    <x:row r="46" ht="18" customHeight="1">
      <x:c r="A46" s="1"/>
      <x:c r="B46" s="1"/>
      <x:c r="C46" s="1" t="str">
        <x:v>Telecom</x:v>
      </x:c>
      <x:c r="D46" s="2" t="str">
        <x:v>Utilization above 100%</x:v>
      </x:c>
      <x:c r="E46" s="33" t="n">
        <x:f>'Telecom'!E102</x:f>
        <x:v>0</x:v>
      </x:c>
      <x:c r="F46" s="33" t="n">
        <x:f>'Telecom'!F102</x:f>
        <x:v>0</x:v>
      </x:c>
      <x:c r="G46" s="33" t="n">
        <x:f>'Telecom'!G102</x:f>
        <x:v>0</x:v>
      </x:c>
      <x:c r="H46" s="33" t="n">
        <x:f>'Telecom'!H102</x:f>
        <x:v>0</x:v>
      </x:c>
      <x:c r="I46" s="33" t="n">
        <x:f>'Telecom'!I102</x:f>
        <x:v>0</x:v>
      </x:c>
      <x:c r="J46" s="1"/>
      <x:c r="K46" s="1"/>
    </x:row>
    <x:row r="47" ht="18" customHeight="1">
      <x:c r="A47" s="1"/>
      <x:c r="B47" s="1"/>
      <x:c r="C47" s="1" t="str">
        <x:v>Telecom</x:v>
      </x:c>
      <x:c r="D47" s="2" t="str">
        <x:v>Net PP&amp;E below zero</x:v>
      </x:c>
      <x:c r="E47" s="33" t="n">
        <x:f>'Telecom'!E103</x:f>
        <x:v>0</x:v>
      </x:c>
      <x:c r="F47" s="33" t="n">
        <x:f>'Telecom'!F103</x:f>
        <x:v>0</x:v>
      </x:c>
      <x:c r="G47" s="33" t="n">
        <x:f>'Telecom'!G103</x:f>
        <x:v>0</x:v>
      </x:c>
      <x:c r="H47" s="33" t="n">
        <x:f>'Telecom'!H103</x:f>
        <x:v>0</x:v>
      </x:c>
      <x:c r="I47" s="33" t="n">
        <x:f>'Telecom'!I103</x:f>
        <x:v>0</x:v>
      </x:c>
      <x:c r="J47" s="1"/>
      <x:c r="K47" s="1"/>
    </x:row>
    <x:row r="48" ht="18" customHeight="1">
      <x:c r="A48" s="1"/>
      <x:c r="B48" s="1"/>
      <x:c r="C48" s="1" t="str">
        <x:v>Renewable Power</x:v>
      </x:c>
      <x:c r="D48" s="2" t="str">
        <x:v>Assets less liabilities and equity</x:v>
      </x:c>
      <x:c r="E48" s="33" t="n">
        <x:f>'Renewable Power'!E99</x:f>
        <x:v>0</x:v>
      </x:c>
      <x:c r="F48" s="33" t="n">
        <x:f>'Renewable Power'!F99</x:f>
        <x:v>9.094947017729282e-13</x:v>
      </x:c>
      <x:c r="G48" s="33" t="n">
        <x:f>'Renewable Power'!G99</x:f>
        <x:v>1.8189894035458565e-12</x:v>
      </x:c>
      <x:c r="H48" s="33" t="n">
        <x:f>'Renewable Power'!H99</x:f>
        <x:v>1.8189894035458565e-12</x:v>
      </x:c>
      <x:c r="I48" s="33" t="n">
        <x:f>'Renewable Power'!I99</x:f>
        <x:v>1.8189894035458565e-12</x:v>
      </x:c>
      <x:c r="J48" s="1"/>
      <x:c r="K48" s="1"/>
    </x:row>
    <x:row r="49" ht="18" customHeight="1">
      <x:c r="A49" s="1"/>
      <x:c r="B49" s="1"/>
      <x:c r="C49" s="1" t="str">
        <x:v>Renewable Power</x:v>
      </x:c>
      <x:c r="D49" s="2" t="str">
        <x:v>Cash funding shortfall</x:v>
      </x:c>
      <x:c r="E49" s="33" t="n">
        <x:f>'Renewable Power'!E100</x:f>
        <x:v>0</x:v>
      </x:c>
      <x:c r="F49" s="33" t="n">
        <x:f>'Renewable Power'!F100</x:f>
        <x:v>0</x:v>
      </x:c>
      <x:c r="G49" s="33" t="n">
        <x:f>'Renewable Power'!G100</x:f>
        <x:v>0</x:v>
      </x:c>
      <x:c r="H49" s="33" t="n">
        <x:f>'Renewable Power'!H100</x:f>
        <x:v>0</x:v>
      </x:c>
      <x:c r="I49" s="33" t="n">
        <x:f>'Renewable Power'!I100</x:f>
        <x:v>0</x:v>
      </x:c>
      <x:c r="J49" s="1"/>
      <x:c r="K49" s="1"/>
    </x:row>
    <x:row r="50" ht="18" customHeight="1">
      <x:c r="A50" s="1"/>
      <x:c r="B50" s="1"/>
      <x:c r="C50" s="1" t="str">
        <x:v>Renewable Power</x:v>
      </x:c>
      <x:c r="D50" s="2" t="str">
        <x:v>Debt below zero</x:v>
      </x:c>
      <x:c r="E50" s="33" t="n">
        <x:f>'Renewable Power'!E101</x:f>
        <x:v>0</x:v>
      </x:c>
      <x:c r="F50" s="33" t="n">
        <x:f>'Renewable Power'!F101</x:f>
        <x:v>0</x:v>
      </x:c>
      <x:c r="G50" s="33" t="n">
        <x:f>'Renewable Power'!G101</x:f>
        <x:v>0</x:v>
      </x:c>
      <x:c r="H50" s="33" t="n">
        <x:f>'Renewable Power'!H101</x:f>
        <x:v>0</x:v>
      </x:c>
      <x:c r="I50" s="33" t="n">
        <x:f>'Renewable Power'!I101</x:f>
        <x:v>0</x:v>
      </x:c>
      <x:c r="J50" s="1"/>
      <x:c r="K50" s="1"/>
    </x:row>
    <x:row r="51" ht="18" customHeight="1">
      <x:c r="A51" s="1"/>
      <x:c r="B51" s="1"/>
      <x:c r="C51" s="1" t="str">
        <x:v>Renewable Power</x:v>
      </x:c>
      <x:c r="D51" s="2" t="str">
        <x:v>Utilization above 100%</x:v>
      </x:c>
      <x:c r="E51" s="33" t="n">
        <x:f>'Renewable Power'!E102</x:f>
        <x:v>0</x:v>
      </x:c>
      <x:c r="F51" s="33" t="n">
        <x:f>'Renewable Power'!F102</x:f>
        <x:v>0</x:v>
      </x:c>
      <x:c r="G51" s="33" t="n">
        <x:f>'Renewable Power'!G102</x:f>
        <x:v>0</x:v>
      </x:c>
      <x:c r="H51" s="33" t="n">
        <x:f>'Renewable Power'!H102</x:f>
        <x:v>0</x:v>
      </x:c>
      <x:c r="I51" s="33" t="n">
        <x:f>'Renewable Power'!I102</x:f>
        <x:v>0</x:v>
      </x:c>
      <x:c r="J51" s="1"/>
      <x:c r="K51" s="1"/>
    </x:row>
    <x:row r="52" ht="18" customHeight="1">
      <x:c r="A52" s="1"/>
      <x:c r="B52" s="1"/>
      <x:c r="C52" s="1" t="str">
        <x:v>Renewable Power</x:v>
      </x:c>
      <x:c r="D52" s="2" t="str">
        <x:v>Net PP&amp;E below zero</x:v>
      </x:c>
      <x:c r="E52" s="33" t="n">
        <x:f>'Renewable Power'!E103</x:f>
        <x:v>0</x:v>
      </x:c>
      <x:c r="F52" s="33" t="n">
        <x:f>'Renewable Power'!F103</x:f>
        <x:v>0</x:v>
      </x:c>
      <x:c r="G52" s="33" t="n">
        <x:f>'Renewable Power'!G103</x:f>
        <x:v>0</x:v>
      </x:c>
      <x:c r="H52" s="33" t="n">
        <x:f>'Renewable Power'!H103</x:f>
        <x:v>0</x:v>
      </x:c>
      <x:c r="I52" s="33" t="n">
        <x:f>'Renewable Power'!I103</x:f>
        <x:v>0</x:v>
      </x:c>
      <x:c r="J52" s="1"/>
      <x:c r="K52" s="1"/>
    </x:row>
    <x:row r="53" ht="18" customHeight="1">
      <x:c r="A53" s="1"/>
      <x:c r="B53" s="1"/>
      <x:c r="C53" s="1" t="str">
        <x:v>Hotels</x:v>
      </x:c>
      <x:c r="D53" s="2" t="str">
        <x:v>Assets less liabilities and equity</x:v>
      </x:c>
      <x:c r="E53" s="33" t="n">
        <x:f>'Hotels'!E101</x:f>
        <x:v>0</x:v>
      </x:c>
      <x:c r="F53" s="33" t="n">
        <x:f>'Hotels'!F101</x:f>
        <x:v>4.547473508864641e-13</x:v>
      </x:c>
      <x:c r="G53" s="33" t="n">
        <x:f>'Hotels'!G101</x:f>
        <x:v>4.547473508864641e-13</x:v>
      </x:c>
      <x:c r="H53" s="33" t="n">
        <x:f>'Hotels'!H101</x:f>
        <x:v>4.547473508864641e-13</x:v>
      </x:c>
      <x:c r="I53" s="33" t="n">
        <x:f>'Hotels'!I101</x:f>
        <x:v>4.547473508864641e-13</x:v>
      </x:c>
      <x:c r="J53" s="1"/>
      <x:c r="K53" s="1"/>
    </x:row>
    <x:row r="54" ht="18" customHeight="1">
      <x:c r="A54" s="1"/>
      <x:c r="B54" s="1"/>
      <x:c r="C54" s="1" t="str">
        <x:v>Hotels</x:v>
      </x:c>
      <x:c r="D54" s="2" t="str">
        <x:v>Cash funding shortfall</x:v>
      </x:c>
      <x:c r="E54" s="33" t="n">
        <x:f>'Hotels'!E102</x:f>
        <x:v>0</x:v>
      </x:c>
      <x:c r="F54" s="33" t="n">
        <x:f>'Hotels'!F102</x:f>
        <x:v>0</x:v>
      </x:c>
      <x:c r="G54" s="33" t="n">
        <x:f>'Hotels'!G102</x:f>
        <x:v>0</x:v>
      </x:c>
      <x:c r="H54" s="33" t="n">
        <x:f>'Hotels'!H102</x:f>
        <x:v>0</x:v>
      </x:c>
      <x:c r="I54" s="33" t="n">
        <x:f>'Hotels'!I102</x:f>
        <x:v>0</x:v>
      </x:c>
      <x:c r="J54" s="1"/>
      <x:c r="K54" s="1"/>
    </x:row>
    <x:row r="55" ht="18" customHeight="1">
      <x:c r="A55" s="1"/>
      <x:c r="B55" s="1"/>
      <x:c r="C55" s="1" t="str">
        <x:v>Hotels</x:v>
      </x:c>
      <x:c r="D55" s="2" t="str">
        <x:v>Debt below zero</x:v>
      </x:c>
      <x:c r="E55" s="33" t="n">
        <x:f>'Hotels'!E103</x:f>
        <x:v>0</x:v>
      </x:c>
      <x:c r="F55" s="33" t="n">
        <x:f>'Hotels'!F103</x:f>
        <x:v>0</x:v>
      </x:c>
      <x:c r="G55" s="33" t="n">
        <x:f>'Hotels'!G103</x:f>
        <x:v>0</x:v>
      </x:c>
      <x:c r="H55" s="33" t="n">
        <x:f>'Hotels'!H103</x:f>
        <x:v>0</x:v>
      </x:c>
      <x:c r="I55" s="33" t="n">
        <x:f>'Hotels'!I103</x:f>
        <x:v>0</x:v>
      </x:c>
      <x:c r="J55" s="1"/>
      <x:c r="K55" s="1"/>
    </x:row>
    <x:row r="56" ht="18" customHeight="1">
      <x:c r="A56" s="1"/>
      <x:c r="B56" s="1"/>
      <x:c r="C56" s="1" t="str">
        <x:v>Hotels</x:v>
      </x:c>
      <x:c r="D56" s="2" t="str">
        <x:v>Utilization above 100%</x:v>
      </x:c>
      <x:c r="E56" s="33" t="n">
        <x:f>'Hotels'!E104</x:f>
        <x:v>0</x:v>
      </x:c>
      <x:c r="F56" s="33" t="n">
        <x:f>'Hotels'!F104</x:f>
        <x:v>0</x:v>
      </x:c>
      <x:c r="G56" s="33" t="n">
        <x:f>'Hotels'!G104</x:f>
        <x:v>0</x:v>
      </x:c>
      <x:c r="H56" s="33" t="n">
        <x:f>'Hotels'!H104</x:f>
        <x:v>0</x:v>
      </x:c>
      <x:c r="I56" s="33" t="n">
        <x:f>'Hotels'!I104</x:f>
        <x:v>0</x:v>
      </x:c>
      <x:c r="J56" s="1"/>
      <x:c r="K56" s="1"/>
    </x:row>
    <x:row r="57" ht="18" customHeight="1">
      <x:c r="A57" s="1"/>
      <x:c r="B57" s="1"/>
      <x:c r="C57" s="1" t="str">
        <x:v>Hotels</x:v>
      </x:c>
      <x:c r="D57" s="2" t="str">
        <x:v>Net PP&amp;E below zero</x:v>
      </x:c>
      <x:c r="E57" s="33" t="n">
        <x:f>'Hotels'!E105</x:f>
        <x:v>0</x:v>
      </x:c>
      <x:c r="F57" s="33" t="n">
        <x:f>'Hotels'!F105</x:f>
        <x:v>0</x:v>
      </x:c>
      <x:c r="G57" s="33" t="n">
        <x:f>'Hotels'!G105</x:f>
        <x:v>0</x:v>
      </x:c>
      <x:c r="H57" s="33" t="n">
        <x:f>'Hotels'!H105</x:f>
        <x:v>0</x:v>
      </x:c>
      <x:c r="I57" s="33" t="n">
        <x:f>'Hotels'!I105</x:f>
        <x:v>0</x:v>
      </x:c>
      <x:c r="J57" s="1"/>
      <x:c r="K57" s="1"/>
    </x:row>
    <x:row r="58" ht="18" customHeight="1">
      <x:c r="A58" s="1"/>
      <x:c r="B58" s="1"/>
      <x:c r="C58" s="1" t="str">
        <x:v>Retail</x:v>
      </x:c>
      <x:c r="D58" s="2" t="str">
        <x:v>Assets less liabilities and equity</x:v>
      </x:c>
      <x:c r="E58" s="33" t="n">
        <x:f>'Retail'!E100</x:f>
        <x:v>2.2737367544323206e-13</x:v>
      </x:c>
      <x:c r="F58" s="33" t="n">
        <x:f>'Retail'!F100</x:f>
        <x:v>0</x:v>
      </x:c>
      <x:c r="G58" s="33" t="n">
        <x:f>'Retail'!G100</x:f>
        <x:v>0</x:v>
      </x:c>
      <x:c r="H58" s="33" t="n">
        <x:f>'Retail'!H100</x:f>
        <x:v>0</x:v>
      </x:c>
      <x:c r="I58" s="33" t="n">
        <x:f>'Retail'!I100</x:f>
        <x:v>0</x:v>
      </x:c>
      <x:c r="J58" s="1"/>
      <x:c r="K58" s="1"/>
    </x:row>
    <x:row r="59" ht="18" customHeight="1">
      <x:c r="A59" s="1"/>
      <x:c r="B59" s="1"/>
      <x:c r="C59" s="1" t="str">
        <x:v>Retail</x:v>
      </x:c>
      <x:c r="D59" s="2" t="str">
        <x:v>Cash funding shortfall</x:v>
      </x:c>
      <x:c r="E59" s="33" t="n">
        <x:f>'Retail'!E101</x:f>
        <x:v>0</x:v>
      </x:c>
      <x:c r="F59" s="33" t="n">
        <x:f>'Retail'!F101</x:f>
        <x:v>0</x:v>
      </x:c>
      <x:c r="G59" s="33" t="n">
        <x:f>'Retail'!G101</x:f>
        <x:v>0</x:v>
      </x:c>
      <x:c r="H59" s="33" t="n">
        <x:f>'Retail'!H101</x:f>
        <x:v>0</x:v>
      </x:c>
      <x:c r="I59" s="33" t="n">
        <x:f>'Retail'!I101</x:f>
        <x:v>0</x:v>
      </x:c>
      <x:c r="J59" s="1"/>
      <x:c r="K59" s="1"/>
    </x:row>
    <x:row r="60" ht="18" customHeight="1">
      <x:c r="A60" s="1"/>
      <x:c r="B60" s="1"/>
      <x:c r="C60" s="1" t="str">
        <x:v>Retail</x:v>
      </x:c>
      <x:c r="D60" s="2" t="str">
        <x:v>Debt below zero</x:v>
      </x:c>
      <x:c r="E60" s="33" t="n">
        <x:f>'Retail'!E102</x:f>
        <x:v>0</x:v>
      </x:c>
      <x:c r="F60" s="33" t="n">
        <x:f>'Retail'!F102</x:f>
        <x:v>0</x:v>
      </x:c>
      <x:c r="G60" s="33" t="n">
        <x:f>'Retail'!G102</x:f>
        <x:v>0</x:v>
      </x:c>
      <x:c r="H60" s="33" t="n">
        <x:f>'Retail'!H102</x:f>
        <x:v>0</x:v>
      </x:c>
      <x:c r="I60" s="33" t="n">
        <x:f>'Retail'!I102</x:f>
        <x:v>0</x:v>
      </x:c>
      <x:c r="J60" s="1"/>
      <x:c r="K60" s="1"/>
    </x:row>
    <x:row r="61" ht="18" customHeight="1">
      <x:c r="A61" s="1"/>
      <x:c r="B61" s="1"/>
      <x:c r="C61" s="1" t="str">
        <x:v>Retail</x:v>
      </x:c>
      <x:c r="D61" s="2" t="str">
        <x:v>Utilization above 100%</x:v>
      </x:c>
      <x:c r="E61" s="33" t="n">
        <x:f>'Retail'!E103</x:f>
        <x:v>0</x:v>
      </x:c>
      <x:c r="F61" s="33" t="n">
        <x:f>'Retail'!F103</x:f>
        <x:v>0</x:v>
      </x:c>
      <x:c r="G61" s="33" t="n">
        <x:f>'Retail'!G103</x:f>
        <x:v>0</x:v>
      </x:c>
      <x:c r="H61" s="33" t="n">
        <x:f>'Retail'!H103</x:f>
        <x:v>0</x:v>
      </x:c>
      <x:c r="I61" s="33" t="n">
        <x:f>'Retail'!I103</x:f>
        <x:v>0</x:v>
      </x:c>
      <x:c r="J61" s="1"/>
      <x:c r="K61" s="1"/>
    </x:row>
    <x:row r="62" ht="18" customHeight="1">
      <x:c r="A62" s="1"/>
      <x:c r="B62" s="1"/>
      <x:c r="C62" s="1" t="str">
        <x:v>Retail</x:v>
      </x:c>
      <x:c r="D62" s="2" t="str">
        <x:v>Net PP&amp;E below zero</x:v>
      </x:c>
      <x:c r="E62" s="33" t="n">
        <x:f>'Retail'!E104</x:f>
        <x:v>0</x:v>
      </x:c>
      <x:c r="F62" s="33" t="n">
        <x:f>'Retail'!F104</x:f>
        <x:v>0</x:v>
      </x:c>
      <x:c r="G62" s="33" t="n">
        <x:f>'Retail'!G104</x:f>
        <x:v>0</x:v>
      </x:c>
      <x:c r="H62" s="33" t="n">
        <x:f>'Retail'!H104</x:f>
        <x:v>0</x:v>
      </x:c>
      <x:c r="I62" s="33" t="n">
        <x:f>'Retail'!I104</x:f>
        <x:v>0</x:v>
      </x:c>
      <x:c r="J62" s="1"/>
      <x:c r="K62" s="1"/>
    </x:row>
    <x:row r="63" ht="18" customHeight="1">
      <x:c r="A63" s="1"/>
      <x:c r="B63" s="1"/>
      <x:c r="C63" s="1" t="str">
        <x:v>EPC</x:v>
      </x:c>
      <x:c r="D63" s="2" t="str">
        <x:v>Assets less liabilities and equity</x:v>
      </x:c>
      <x:c r="E63" s="33" t="n">
        <x:f>'EPC'!E103</x:f>
        <x:v>4.547473508864641e-13</x:v>
      </x:c>
      <x:c r="F63" s="33" t="n">
        <x:f>'EPC'!F103</x:f>
        <x:v>0</x:v>
      </x:c>
      <x:c r="G63" s="33" t="n">
        <x:f>'EPC'!G103</x:f>
        <x:v>0</x:v>
      </x:c>
      <x:c r="H63" s="33" t="n">
        <x:f>'EPC'!H103</x:f>
        <x:v>0</x:v>
      </x:c>
      <x:c r="I63" s="33" t="n">
        <x:f>'EPC'!I103</x:f>
        <x:v>-4.547473508864641e-13</x:v>
      </x:c>
      <x:c r="J63" s="1"/>
      <x:c r="K63" s="1"/>
    </x:row>
    <x:row r="64" ht="18" customHeight="1">
      <x:c r="A64" s="1"/>
      <x:c r="B64" s="1"/>
      <x:c r="C64" s="1" t="str">
        <x:v>EPC</x:v>
      </x:c>
      <x:c r="D64" s="2" t="str">
        <x:v>Cash funding shortfall</x:v>
      </x:c>
      <x:c r="E64" s="33" t="n">
        <x:f>'EPC'!E104</x:f>
        <x:v>0</x:v>
      </x:c>
      <x:c r="F64" s="33" t="n">
        <x:f>'EPC'!F104</x:f>
        <x:v>0</x:v>
      </x:c>
      <x:c r="G64" s="33" t="n">
        <x:f>'EPC'!G104</x:f>
        <x:v>0</x:v>
      </x:c>
      <x:c r="H64" s="33" t="n">
        <x:f>'EPC'!H104</x:f>
        <x:v>0</x:v>
      </x:c>
      <x:c r="I64" s="33" t="n">
        <x:f>'EPC'!I104</x:f>
        <x:v>0</x:v>
      </x:c>
      <x:c r="J64" s="1"/>
      <x:c r="K64" s="1"/>
    </x:row>
    <x:row r="65" ht="18" customHeight="1">
      <x:c r="A65" s="1"/>
      <x:c r="B65" s="1"/>
      <x:c r="C65" s="1" t="str">
        <x:v>EPC</x:v>
      </x:c>
      <x:c r="D65" s="2" t="str">
        <x:v>Debt below zero</x:v>
      </x:c>
      <x:c r="E65" s="33" t="n">
        <x:f>'EPC'!E105</x:f>
        <x:v>0</x:v>
      </x:c>
      <x:c r="F65" s="33" t="n">
        <x:f>'EPC'!F105</x:f>
        <x:v>0</x:v>
      </x:c>
      <x:c r="G65" s="33" t="n">
        <x:f>'EPC'!G105</x:f>
        <x:v>0</x:v>
      </x:c>
      <x:c r="H65" s="33" t="n">
        <x:f>'EPC'!H105</x:f>
        <x:v>0</x:v>
      </x:c>
      <x:c r="I65" s="33" t="n">
        <x:f>'EPC'!I105</x:f>
        <x:v>0</x:v>
      </x:c>
      <x:c r="J65" s="1"/>
      <x:c r="K65" s="1"/>
    </x:row>
    <x:row r="66" ht="18" customHeight="1">
      <x:c r="A66" s="1"/>
      <x:c r="B66" s="1"/>
      <x:c r="C66" s="1" t="str">
        <x:v>EPC</x:v>
      </x:c>
      <x:c r="D66" s="2" t="str">
        <x:v>Utilization above 100%</x:v>
      </x:c>
      <x:c r="E66" s="33" t="n">
        <x:f>'EPC'!E106</x:f>
        <x:v>0</x:v>
      </x:c>
      <x:c r="F66" s="33" t="n">
        <x:f>'EPC'!F106</x:f>
        <x:v>0</x:v>
      </x:c>
      <x:c r="G66" s="33" t="n">
        <x:f>'EPC'!G106</x:f>
        <x:v>0</x:v>
      </x:c>
      <x:c r="H66" s="33" t="n">
        <x:f>'EPC'!H106</x:f>
        <x:v>0</x:v>
      </x:c>
      <x:c r="I66" s="33" t="n">
        <x:f>'EPC'!I106</x:f>
        <x:v>0</x:v>
      </x:c>
      <x:c r="J66" s="1"/>
      <x:c r="K66" s="1"/>
    </x:row>
    <x:row r="67" ht="18" customHeight="1">
      <x:c r="A67" s="1"/>
      <x:c r="B67" s="1"/>
      <x:c r="C67" s="1" t="str">
        <x:v>EPC</x:v>
      </x:c>
      <x:c r="D67" s="2" t="str">
        <x:v>Net PP&amp;E below zero</x:v>
      </x:c>
      <x:c r="E67" s="33" t="n">
        <x:f>'EPC'!E107</x:f>
        <x:v>0</x:v>
      </x:c>
      <x:c r="F67" s="33" t="n">
        <x:f>'EPC'!F107</x:f>
        <x:v>0</x:v>
      </x:c>
      <x:c r="G67" s="33" t="n">
        <x:f>'EPC'!G107</x:f>
        <x:v>0</x:v>
      </x:c>
      <x:c r="H67" s="33" t="n">
        <x:f>'EPC'!H107</x:f>
        <x:v>0</x:v>
      </x:c>
      <x:c r="I67" s="33" t="n">
        <x:f>'EPC'!I107</x:f>
        <x:v>0</x:v>
      </x:c>
      <x:c r="J67" s="1"/>
      <x:c r="K67" s="1"/>
    </x:row>
    <x:row r="68" ht="18" customHeight="1">
      <x:c r="A68" s="1"/>
      <x:c r="B68" s="1"/>
      <x:c r="C68" s="1" t="str">
        <x:v>Banking</x:v>
      </x:c>
      <x:c r="D68" s="2" t="str">
        <x:v>Assets less funding and equity</x:v>
      </x:c>
      <x:c r="E68" s="33" t="n">
        <x:f>'Banking'!E89</x:f>
        <x:v>-3.637978807091713e-12</x:v>
      </x:c>
      <x:c r="F68" s="33" t="n">
        <x:f>'Banking'!F89</x:f>
        <x:v>3.637978807091713e-12</x:v>
      </x:c>
      <x:c r="G68" s="33" t="n">
        <x:f>'Banking'!G89</x:f>
        <x:v>7.275957614183426e-12</x:v>
      </x:c>
      <x:c r="H68" s="33" t="n">
        <x:f>'Banking'!H89</x:f>
        <x:v>0</x:v>
      </x:c>
      <x:c r="I68" s="33" t="n">
        <x:f>'Banking'!I89</x:f>
        <x:v>-1.0913936421275139e-11</x:v>
      </x:c>
      <x:c r="J68" s="1"/>
      <x:c r="K68" s="1"/>
    </x:row>
    <x:row r="69" ht="18" customHeight="1">
      <x:c r="A69" s="1"/>
      <x:c r="B69" s="1"/>
      <x:c r="C69" s="1" t="str">
        <x:v>Banking</x:v>
      </x:c>
      <x:c r="D69" s="2" t="str">
        <x:v>Residual liquidity shortfall</x:v>
      </x:c>
      <x:c r="E69" s="33" t="n">
        <x:f>'Banking'!E90</x:f>
        <x:v>0</x:v>
      </x:c>
      <x:c r="F69" s="33" t="n">
        <x:f>'Banking'!F90</x:f>
        <x:v>0</x:v>
      </x:c>
      <x:c r="G69" s="33" t="n">
        <x:f>'Banking'!G90</x:f>
        <x:v>0</x:v>
      </x:c>
      <x:c r="H69" s="33" t="n">
        <x:f>'Banking'!H90</x:f>
        <x:v>0</x:v>
      </x:c>
      <x:c r="I69" s="33" t="n">
        <x:f>'Banking'!I90</x:f>
        <x:v>0</x:v>
      </x:c>
      <x:c r="J69" s="1"/>
      <x:c r="K69" s="1"/>
    </x:row>
    <x:row r="70" ht="18" customHeight="1">
      <x:c r="A70" s="1"/>
      <x:c r="B70" s="1"/>
      <x:c r="C70" s="1" t="str">
        <x:v>Banking</x:v>
      </x:c>
      <x:c r="D70" s="2" t="str">
        <x:v>Allowance below zero</x:v>
      </x:c>
      <x:c r="E70" s="33" t="n">
        <x:f>'Banking'!E91</x:f>
        <x:v>0</x:v>
      </x:c>
      <x:c r="F70" s="33" t="n">
        <x:f>'Banking'!F91</x:f>
        <x:v>0</x:v>
      </x:c>
      <x:c r="G70" s="33" t="n">
        <x:f>'Banking'!G91</x:f>
        <x:v>0</x:v>
      </x:c>
      <x:c r="H70" s="33" t="n">
        <x:f>'Banking'!H91</x:f>
        <x:v>0</x:v>
      </x:c>
      <x:c r="I70" s="33" t="n">
        <x:f>'Banking'!I91</x:f>
        <x:v>0</x:v>
      </x:c>
      <x:c r="J70" s="1"/>
      <x:c r="K70" s="1"/>
    </x:row>
    <x:row r="71" ht="18" customHeight="1">
      <x:c r="A71" s="1"/>
      <x:c r="B71" s="1"/>
      <x:c r="C71" s="1" t="str">
        <x:v>Banking</x:v>
      </x:c>
      <x:c r="D71" s="2" t="str">
        <x:v>NPA above gross loans</x:v>
      </x:c>
      <x:c r="E71" s="33" t="n">
        <x:f>'Banking'!E92</x:f>
        <x:v>0</x:v>
      </x:c>
      <x:c r="F71" s="33" t="n">
        <x:f>'Banking'!F92</x:f>
        <x:v>0</x:v>
      </x:c>
      <x:c r="G71" s="33" t="n">
        <x:f>'Banking'!G92</x:f>
        <x:v>0</x:v>
      </x:c>
      <x:c r="H71" s="33" t="n">
        <x:f>'Banking'!H92</x:f>
        <x:v>0</x:v>
      </x:c>
      <x:c r="I71" s="33" t="n">
        <x:f>'Banking'!I92</x:f>
        <x:v>0</x:v>
      </x:c>
      <x:c r="J71" s="1"/>
      <x:c r="K71" s="1"/>
    </x:row>
    <x:row r="72" ht="18" customHeight="1">
      <x:c r="A72" s="1"/>
      <x:c r="B72" s="1"/>
      <x:c r="C72" s="1" t="str">
        <x:v>NBFC</x:v>
      </x:c>
      <x:c r="D72" s="2" t="str">
        <x:v>Assets less funding and equity</x:v>
      </x:c>
      <x:c r="E72" s="33" t="n">
        <x:f>'NBFC'!E89</x:f>
        <x:v>9.094947017729282e-13</x:v>
      </x:c>
      <x:c r="F72" s="33" t="n">
        <x:f>'NBFC'!F89</x:f>
        <x:v>-9.094947017729282e-13</x:v>
      </x:c>
      <x:c r="G72" s="33" t="n">
        <x:f>'NBFC'!G89</x:f>
        <x:v>0</x:v>
      </x:c>
      <x:c r="H72" s="33" t="n">
        <x:f>'NBFC'!H89</x:f>
        <x:v>1.8189894035458565e-12</x:v>
      </x:c>
      <x:c r="I72" s="33" t="n">
        <x:f>'NBFC'!I89</x:f>
        <x:v>1.8189894035458565e-12</x:v>
      </x:c>
      <x:c r="J72" s="1"/>
      <x:c r="K72" s="1"/>
    </x:row>
    <x:row r="73" ht="18" customHeight="1">
      <x:c r="A73" s="1"/>
      <x:c r="B73" s="1"/>
      <x:c r="C73" s="1" t="str">
        <x:v>NBFC</x:v>
      </x:c>
      <x:c r="D73" s="2" t="str">
        <x:v>Residual liquidity shortfall</x:v>
      </x:c>
      <x:c r="E73" s="33" t="n">
        <x:f>'NBFC'!E90</x:f>
        <x:v>0</x:v>
      </x:c>
      <x:c r="F73" s="33" t="n">
        <x:f>'NBFC'!F90</x:f>
        <x:v>0</x:v>
      </x:c>
      <x:c r="G73" s="33" t="n">
        <x:f>'NBFC'!G90</x:f>
        <x:v>0</x:v>
      </x:c>
      <x:c r="H73" s="33" t="n">
        <x:f>'NBFC'!H90</x:f>
        <x:v>0</x:v>
      </x:c>
      <x:c r="I73" s="33" t="n">
        <x:f>'NBFC'!I90</x:f>
        <x:v>0</x:v>
      </x:c>
      <x:c r="J73" s="1"/>
      <x:c r="K73" s="1"/>
    </x:row>
    <x:row r="74" ht="18" customHeight="1">
      <x:c r="A74" s="1"/>
      <x:c r="B74" s="1"/>
      <x:c r="C74" s="1" t="str">
        <x:v>NBFC</x:v>
      </x:c>
      <x:c r="D74" s="2" t="str">
        <x:v>Allowance below zero</x:v>
      </x:c>
      <x:c r="E74" s="33" t="n">
        <x:f>'NBFC'!E91</x:f>
        <x:v>0</x:v>
      </x:c>
      <x:c r="F74" s="33" t="n">
        <x:f>'NBFC'!F91</x:f>
        <x:v>0</x:v>
      </x:c>
      <x:c r="G74" s="33" t="n">
        <x:f>'NBFC'!G91</x:f>
        <x:v>0</x:v>
      </x:c>
      <x:c r="H74" s="33" t="n">
        <x:f>'NBFC'!H91</x:f>
        <x:v>0</x:v>
      </x:c>
      <x:c r="I74" s="33" t="n">
        <x:f>'NBFC'!I91</x:f>
        <x:v>0</x:v>
      </x:c>
      <x:c r="J74" s="1"/>
      <x:c r="K74" s="1"/>
    </x:row>
    <x:row r="75" ht="18" customHeight="1">
      <x:c r="A75" s="1"/>
      <x:c r="B75" s="1"/>
      <x:c r="C75" s="1" t="str">
        <x:v>NBFC</x:v>
      </x:c>
      <x:c r="D75" s="2" t="str">
        <x:v>NPA above gross loans</x:v>
      </x:c>
      <x:c r="E75" s="33" t="n">
        <x:f>'NBFC'!E92</x:f>
        <x:v>0</x:v>
      </x:c>
      <x:c r="F75" s="33" t="n">
        <x:f>'NBFC'!F92</x:f>
        <x:v>0</x:v>
      </x:c>
      <x:c r="G75" s="33" t="n">
        <x:f>'NBFC'!G92</x:f>
        <x:v>0</x:v>
      </x:c>
      <x:c r="H75" s="33" t="n">
        <x:f>'NBFC'!H92</x:f>
        <x:v>0</x:v>
      </x:c>
      <x:c r="I75" s="33" t="n">
        <x:f>'NBFC'!I92</x:f>
        <x:v>0</x:v>
      </x:c>
      <x:c r="J75" s="1"/>
      <x:c r="K75" s="1"/>
    </x:row>
    <x:row r="76" ht="18" customHeight="1">
      <x:c r="A76" s="1"/>
      <x:c r="B76" s="1"/>
      <x:c r="C76" s="1" t="str">
        <x:v>General Insurance</x:v>
      </x:c>
      <x:c r="D76" s="2" t="str">
        <x:v>Assets less reserves and equity</x:v>
      </x:c>
      <x:c r="E76" s="33" t="n">
        <x:f>'General Insurance'!E60</x:f>
        <x:v>1.8189894035458565e-12</x:v>
      </x:c>
      <x:c r="F76" s="33" t="n">
        <x:f>'General Insurance'!F60</x:f>
        <x:v>1.8189894035458565e-12</x:v>
      </x:c>
      <x:c r="G76" s="33" t="n">
        <x:f>'General Insurance'!G60</x:f>
        <x:v>9.094947017729282e-13</x:v>
      </x:c>
      <x:c r="H76" s="33" t="n">
        <x:f>'General Insurance'!H60</x:f>
        <x:v>9.094947017729282e-13</x:v>
      </x:c>
      <x:c r="I76" s="33" t="n">
        <x:f>'General Insurance'!I60</x:f>
        <x:v>1.8189894035458565e-12</x:v>
      </x:c>
      <x:c r="J76" s="1"/>
      <x:c r="K76" s="1"/>
    </x:row>
    <x:row r="77" ht="18" customHeight="1">
      <x:c r="A77" s="1"/>
      <x:c r="B77" s="1"/>
      <x:c r="C77" s="1" t="str">
        <x:v>General Insurance</x:v>
      </x:c>
      <x:c r="D77" s="2" t="str">
        <x:v>Claims reserve below zero</x:v>
      </x:c>
      <x:c r="E77" s="33" t="n">
        <x:f>'General Insurance'!E61</x:f>
        <x:v>0</x:v>
      </x:c>
      <x:c r="F77" s="33" t="n">
        <x:f>'General Insurance'!F61</x:f>
        <x:v>0</x:v>
      </x:c>
      <x:c r="G77" s="33" t="n">
        <x:f>'General Insurance'!G61</x:f>
        <x:v>0</x:v>
      </x:c>
      <x:c r="H77" s="33" t="n">
        <x:f>'General Insurance'!H61</x:f>
        <x:v>0</x:v>
      </x:c>
      <x:c r="I77" s="33" t="n">
        <x:f>'General Insurance'!I61</x:f>
        <x:v>0</x:v>
      </x:c>
      <x:c r="J77" s="1"/>
      <x:c r="K77" s="1"/>
    </x:row>
    <x:row r="78" ht="18" customHeight="1">
      <x:c r="A78" s="1"/>
      <x:c r="B78" s="1"/>
      <x:c r="C78" s="1" t="str">
        <x:v>General Insurance</x:v>
      </x:c>
      <x:c r="D78" s="2" t="str">
        <x:v>Earned premium below zero</x:v>
      </x:c>
      <x:c r="E78" s="33" t="n">
        <x:f>'General Insurance'!E62</x:f>
        <x:v>0</x:v>
      </x:c>
      <x:c r="F78" s="33" t="n">
        <x:f>'General Insurance'!F62</x:f>
        <x:v>0</x:v>
      </x:c>
      <x:c r="G78" s="33" t="n">
        <x:f>'General Insurance'!G62</x:f>
        <x:v>0</x:v>
      </x:c>
      <x:c r="H78" s="33" t="n">
        <x:f>'General Insurance'!H62</x:f>
        <x:v>0</x:v>
      </x:c>
      <x:c r="I78" s="33" t="n">
        <x:f>'General Insurance'!I62</x:f>
        <x:v>0</x:v>
      </x:c>
      <x:c r="J78" s="1"/>
      <x:c r="K78" s="1"/>
    </x:row>
    <x:row r="79" ht="18" customHeight="1">
      <x:c r="A79" s="1"/>
      <x:c r="B79" s="1"/>
      <x:c r="C79" s="1" t="str">
        <x:v>Real Estate</x:v>
      </x:c>
      <x:c r="D79" s="2" t="str">
        <x:v>Assets less liabilities and equity</x:v>
      </x:c>
      <x:c r="E79" s="33" t="n">
        <x:f>'Real Estate'!E71</x:f>
        <x:v>0</x:v>
      </x:c>
      <x:c r="F79" s="33" t="n">
        <x:f>'Real Estate'!F71</x:f>
        <x:v>0</x:v>
      </x:c>
      <x:c r="G79" s="33" t="n">
        <x:f>'Real Estate'!G71</x:f>
        <x:v>0</x:v>
      </x:c>
      <x:c r="H79" s="33" t="n">
        <x:f>'Real Estate'!H71</x:f>
        <x:v>-9.094947017729282e-13</x:v>
      </x:c>
      <x:c r="I79" s="33" t="n">
        <x:f>'Real Estate'!I71</x:f>
        <x:v>0</x:v>
      </x:c>
      <x:c r="J79" s="1"/>
      <x:c r="K79" s="1"/>
    </x:row>
    <x:row r="80" ht="18" customHeight="1">
      <x:c r="A80" s="1"/>
      <x:c r="B80" s="1"/>
      <x:c r="C80" s="1" t="str">
        <x:v>Real Estate</x:v>
      </x:c>
      <x:c r="D80" s="2" t="str">
        <x:v>Inventory below zero</x:v>
      </x:c>
      <x:c r="E80" s="33" t="n">
        <x:f>'Real Estate'!E72</x:f>
        <x:v>0</x:v>
      </x:c>
      <x:c r="F80" s="33" t="n">
        <x:f>'Real Estate'!F72</x:f>
        <x:v>0</x:v>
      </x:c>
      <x:c r="G80" s="33" t="n">
        <x:f>'Real Estate'!G72</x:f>
        <x:v>0</x:v>
      </x:c>
      <x:c r="H80" s="33" t="n">
        <x:f>'Real Estate'!H72</x:f>
        <x:v>0</x:v>
      </x:c>
      <x:c r="I80" s="33" t="n">
        <x:f>'Real Estate'!I72</x:f>
        <x:v>0</x:v>
      </x:c>
      <x:c r="J80" s="1"/>
      <x:c r="K80" s="1"/>
    </x:row>
    <x:row r="81" ht="18" customHeight="1">
      <x:c r="A81" s="1"/>
      <x:c r="B81" s="1"/>
      <x:c r="C81" s="1" t="str">
        <x:v>Real Estate</x:v>
      </x:c>
      <x:c r="D81" s="2" t="str">
        <x:v>Backlog below zero</x:v>
      </x:c>
      <x:c r="E81" s="33" t="n">
        <x:f>'Real Estate'!E73</x:f>
        <x:v>0</x:v>
      </x:c>
      <x:c r="F81" s="33" t="n">
        <x:f>'Real Estate'!F73</x:f>
        <x:v>0</x:v>
      </x:c>
      <x:c r="G81" s="33" t="n">
        <x:f>'Real Estate'!G73</x:f>
        <x:v>0</x:v>
      </x:c>
      <x:c r="H81" s="33" t="n">
        <x:f>'Real Estate'!H73</x:f>
        <x:v>0</x:v>
      </x:c>
      <x:c r="I81" s="33" t="n">
        <x:f>'Real Estate'!I73</x:f>
        <x:v>0</x:v>
      </x:c>
      <x:c r="J81" s="1"/>
      <x:c r="K81" s="1"/>
    </x:row>
    <x:row r="82" ht="18" customHeight="1">
      <x:c r="A82" s="1"/>
      <x:c r="B82" s="1"/>
      <x:c r="C82" s="1" t="str">
        <x:v>Real Estate</x:v>
      </x:c>
      <x:c r="D82" s="2" t="str">
        <x:v>Cash funding shortfall</x:v>
      </x:c>
      <x:c r="E82" s="33" t="n">
        <x:f>'Real Estate'!E74</x:f>
        <x:v>0</x:v>
      </x:c>
      <x:c r="F82" s="33" t="n">
        <x:f>'Real Estate'!F74</x:f>
        <x:v>0</x:v>
      </x:c>
      <x:c r="G82" s="33" t="n">
        <x:f>'Real Estate'!G74</x:f>
        <x:v>0</x:v>
      </x:c>
      <x:c r="H82" s="33" t="n">
        <x:f>'Real Estate'!H74</x:f>
        <x:v>0</x:v>
      </x:c>
      <x:c r="I82" s="33" t="n">
        <x:f>'Real Estate'!I74</x:f>
        <x:v>0</x:v>
      </x:c>
      <x:c r="J82" s="1"/>
      <x:c r="K82" s="1"/>
    </x:row>
    <x:row r="83" ht="18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1"/>
      <x:c r="K83" s="1"/>
    </x:row>
    <x:row r="84" ht="18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1"/>
      <x:c r="K84" s="1"/>
    </x:row>
    <x:row r="85" ht="18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1"/>
      <x:c r="K85" s="1"/>
    </x:row>
    <x:row r="86" ht="18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1"/>
      <x:c r="K86" s="1"/>
    </x:row>
    <x:row r="87" ht="18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1"/>
      <x:c r="K87" s="1"/>
    </x:row>
    <x:row r="88" ht="18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1"/>
      <x:c r="K88" s="1"/>
    </x:row>
    <x:row r="89" ht="18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1"/>
      <x:c r="K89" s="1"/>
    </x:row>
    <x:row r="90" ht="18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1"/>
      <x:c r="K90" s="1"/>
    </x:row>
    <x:row r="91" ht="18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1"/>
      <x:c r="K91" s="1"/>
    </x:row>
    <x:row r="92" ht="18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1"/>
      <x:c r="K92" s="1"/>
    </x:row>
    <x:row r="93" ht="18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1"/>
      <x:c r="K93" s="1"/>
    </x:row>
    <x:row r="94" ht="18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1"/>
      <x:c r="K94" s="1"/>
    </x:row>
    <x:row r="95" ht="18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1"/>
      <x:c r="K95" s="1"/>
    </x:row>
    <x:row r="96" ht="18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1"/>
      <x:c r="K96" s="1"/>
    </x:row>
    <x:row r="97" ht="18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1"/>
      <x:c r="K97" s="1"/>
    </x:row>
    <x:row r="98" ht="18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1"/>
      <x:c r="K98" s="1"/>
    </x:row>
    <x:row r="99" ht="18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1"/>
      <x:c r="K99" s="1"/>
    </x:row>
    <x:row r="100" ht="18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1"/>
      <x:c r="K100" s="1"/>
    </x:row>
    <x:row r="101" ht="18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1"/>
      <x:c r="K101" s="1"/>
    </x:row>
    <x:row r="102" ht="18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1"/>
      <x:c r="K102" s="1"/>
    </x:row>
    <x:row r="103" ht="18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1"/>
      <x:c r="K103" s="1"/>
    </x:row>
    <x:row r="104" ht="18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1"/>
      <x:c r="K104" s="1"/>
    </x:row>
    <x:row r="105" ht="18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1"/>
      <x:c r="K105" s="1"/>
    </x:row>
    <x:row r="106" ht="18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1"/>
      <x:c r="K106" s="1"/>
    </x:row>
    <x:row r="107" ht="18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1"/>
      <x:c r="K107" s="1"/>
    </x:row>
    <x:row r="108" ht="18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1"/>
      <x:c r="K108" s="1"/>
    </x:row>
    <x:row r="109" ht="18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1"/>
      <x:c r="K109" s="1"/>
    </x:row>
    <x:row r="110" ht="18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1"/>
      <x:c r="K110" s="1"/>
    </x:row>
  </x:sheetData>
  <x:conditionalFormatting sqref="E8:I82">
    <x:cfRule type="expression" dxfId="75" priority="1">
      <x:formula>ABS(E8)&gt;0.01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84919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34" hidden="0" customWidth="1"/>
    <x:col min="4" max="4" width="130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88" hidden="0" customWidth="1"/>
  </x:cols>
  <x:sheetData>
    <x:row r="1" ht="18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  <x:c r="K1" s="1"/>
    </x:row>
    <x:row r="2" ht="18" customHeight="1">
      <x:c r="A2" s="1"/>
      <x:c r="B2" s="1"/>
      <x:c r="C2" s="3" t="str">
        <x:v>Model methodology and source references</x:v>
      </x:c>
      <x:c r="D2" s="2"/>
      <x:c r="E2" s="2"/>
      <x:c r="F2" s="2"/>
      <x:c r="G2" s="2"/>
      <x:c r="H2" s="2"/>
      <x:c r="I2" s="2"/>
      <x:c r="J2" s="1"/>
      <x:c r="K2" s="1"/>
    </x:row>
    <x:row r="3" ht="18" customHeight="1">
      <x:c r="A3" s="1"/>
      <x:c r="B3" s="1"/>
      <x:c r="C3" s="4"/>
      <x:c r="D3" s="5"/>
      <x:c r="E3" s="5"/>
      <x:c r="F3" s="5"/>
      <x:c r="G3" s="5"/>
      <x:c r="H3" s="5"/>
      <x:c r="I3" s="5"/>
      <x:c r="J3" s="1"/>
      <x:c r="K3" s="1"/>
    </x:row>
    <x:row r="4" ht="18" customHeight="1">
      <x:c r="A4" s="1"/>
      <x:c r="B4" s="1"/>
      <x:c r="C4" s="1"/>
      <x:c r="D4" s="2"/>
      <x:c r="E4" s="2"/>
      <x:c r="F4" s="2"/>
      <x:c r="G4" s="2"/>
      <x:c r="H4" s="2"/>
      <x:c r="I4" s="2"/>
      <x:c r="J4" s="1"/>
      <x:c r="K4" s="1"/>
    </x:row>
    <x:row r="5" ht="42" customHeight="1">
      <x:c r="A5" s="1"/>
      <x:c r="B5" s="1"/>
      <x:c r="C5" s="1" t="str">
        <x:v>Purpose</x:v>
      </x:c>
      <x:c r="D5" s="54" t="str">
        <x:v>Reusable, editable financial model library for client discussion and subsequent company-specific adaptation.</x:v>
      </x:c>
      <x:c r="E5" s="2"/>
      <x:c r="F5" s="2"/>
      <x:c r="G5" s="2"/>
      <x:c r="H5" s="2"/>
      <x:c r="I5" s="2"/>
      <x:c r="J5" s="1"/>
      <x:c r="K5" s="1"/>
    </x:row>
    <x:row r="6" ht="42" customHeight="1">
      <x:c r="A6" s="1"/>
      <x:c r="B6" s="1"/>
      <x:c r="C6" s="1" t="str">
        <x:v>Data status</x:v>
      </x:c>
      <x:c r="D6" s="54" t="str">
        <x:v>Every financial input is a deliberately constructed illustration. No actual company accounts, prices or sector forecasts are imported.</x:v>
      </x:c>
      <x:c r="E6" s="2"/>
      <x:c r="F6" s="2"/>
      <x:c r="G6" s="2"/>
      <x:c r="H6" s="2"/>
      <x:c r="I6" s="2"/>
      <x:c r="J6" s="1"/>
      <x:c r="K6" s="1"/>
    </x:row>
    <x:row r="7" ht="42" customHeight="1">
      <x:c r="A7" s="1"/>
      <x:c r="B7" s="1"/>
      <x:c r="C7" s="1" t="str">
        <x:v>Model date</x:v>
      </x:c>
      <x:c r="D7" s="54" t="str">
        <x:v>Opening balance sheets and valuation date: 31 March 2026. Forecast year ends: 31 March 2027 through 31 March 2031.</x:v>
      </x:c>
      <x:c r="E7" s="2"/>
      <x:c r="F7" s="2"/>
      <x:c r="G7" s="2"/>
      <x:c r="H7" s="2"/>
      <x:c r="I7" s="2"/>
      <x:c r="J7" s="1"/>
      <x:c r="K7" s="1"/>
    </x:row>
    <x:row r="8" ht="42" customHeight="1">
      <x:c r="A8" s="1"/>
      <x:c r="B8" s="1"/>
      <x:c r="C8" s="1" t="str">
        <x:v>Scenario mechanics</x:v>
      </x:c>
      <x:c r="D8" s="54" t="str">
        <x:v>Controls E5 selects 1 Base, 2 Downside or 3 Upside. Active rows pick period-specific inputs. Ungrouped assumptions are shared across cases.</x:v>
      </x:c>
      <x:c r="E8" s="2"/>
      <x:c r="F8" s="2"/>
      <x:c r="G8" s="2"/>
      <x:c r="H8" s="2"/>
      <x:c r="I8" s="2"/>
      <x:c r="J8" s="1"/>
      <x:c r="K8" s="1"/>
    </x:row>
    <x:row r="9" ht="42" customHeight="1">
      <x:c r="A9" s="1"/>
      <x:c r="B9" s="1"/>
      <x:c r="C9" s="1" t="str">
        <x:v>How to use</x:v>
      </x:c>
      <x:c r="D9" s="54" t="str">
        <x:v>Select a sector, replace amber inputs, calibrate units and accounting policies, and review reconciliations and cash shortfalls. Keep calculated cells intact.</x:v>
      </x:c>
      <x:c r="E9" s="2"/>
      <x:c r="F9" s="2"/>
      <x:c r="G9" s="2"/>
      <x:c r="H9" s="2"/>
      <x:c r="I9" s="2"/>
      <x:c r="J9" s="1"/>
      <x:c r="K9" s="1"/>
    </x:row>
    <x:row r="10" ht="42" customHeight="1">
      <x:c r="A10" s="1"/>
      <x:c r="B10" s="1"/>
      <x:c r="C10" s="1" t="str">
        <x:v>Blue and amber inputs</x:v>
      </x:c>
      <x:c r="D10" s="54" t="str">
        <x:v>Numerical inputs are editable and highlighted. Blank selected scenario drivers deliberately produce #N/A rather than silently becoming zero.</x:v>
      </x:c>
      <x:c r="E10" s="2"/>
      <x:c r="F10" s="2"/>
      <x:c r="G10" s="2"/>
      <x:c r="H10" s="2"/>
      <x:c r="I10" s="2"/>
      <x:c r="J10" s="1"/>
      <x:c r="K10" s="1"/>
    </x:row>
    <x:row r="11" ht="42" customHeight="1">
      <x:c r="A11" s="1"/>
      <x:c r="B11" s="1"/>
      <x:c r="C11" s="1" t="str">
        <x:v>Units</x:v>
      </x:c>
      <x:c r="D11" s="54" t="str">
        <x:v>INR crore for financial amounts. Shares in crore. One crore = 10 million INR. Physical units and pricing units are stated beside each driver.</x:v>
      </x:c>
      <x:c r="E11" s="2"/>
      <x:c r="F11" s="2"/>
      <x:c r="G11" s="2"/>
      <x:c r="H11" s="2"/>
      <x:c r="I11" s="2"/>
      <x:c r="J11" s="1"/>
      <x:c r="K11" s="1"/>
    </x:row>
    <x:row r="12" ht="42" customHeight="1">
      <x:c r="A12" s="1"/>
      <x:c r="B12" s="1"/>
      <x:c r="C12" s="1" t="str">
        <x:v>Calendar simplification</x:v>
      </x:c>
      <x:c r="D12" s="54" t="str">
        <x:v>Annual ratios use 365 days, and power generation uses 8,760 hours, including leap years. Adjust for asset-level precision.</x:v>
      </x:c>
      <x:c r="E12" s="2"/>
      <x:c r="F12" s="2"/>
      <x:c r="G12" s="2"/>
      <x:c r="H12" s="2"/>
      <x:c r="I12" s="2"/>
      <x:c r="J12" s="1"/>
      <x:c r="K12" s="1"/>
    </x:row>
    <x:row r="13" ht="42" customHeight="1">
      <x:c r="A13" s="1"/>
      <x:c r="B13" s="1"/>
      <x:c r="C13" s="1" t="str">
        <x:v>Operating statements</x:v>
      </x:c>
      <x:c r="D13" s="54" t="str">
        <x:v>Revenue is driven by capacity, volume, utilization and realization. Costs, working capital, PP&amp;E, debt, cash and retained earnings feed integrated statements.</x:v>
      </x:c>
      <x:c r="E13" s="2"/>
      <x:c r="F13" s="2"/>
      <x:c r="G13" s="2"/>
      <x:c r="H13" s="2"/>
      <x:c r="I13" s="2"/>
      <x:c r="J13" s="1"/>
      <x:c r="K13" s="1"/>
    </x:row>
    <x:row r="14" ht="42" customHeight="1">
      <x:c r="A14" s="1"/>
      <x:c r="B14" s="1"/>
      <x:c r="C14" s="1" t="str">
        <x:v>Opening working capital</x:v>
      </x:c>
      <x:c r="D14" s="54" t="str">
        <x:v>Opening net working capital is one net input. Forecast receivables, inventory and payables are modeled individually. Opening equity is assets minus liabilities.</x:v>
      </x:c>
      <x:c r="E14" s="2"/>
      <x:c r="F14" s="2"/>
      <x:c r="G14" s="2"/>
      <x:c r="H14" s="2"/>
      <x:c r="I14" s="2"/>
      <x:c r="J14" s="1"/>
      <x:c r="K14" s="1"/>
    </x:row>
    <x:row r="15" ht="42" customHeight="1">
      <x:c r="A15" s="1"/>
      <x:c r="B15" s="1"/>
      <x:c r="C15" s="1" t="str">
        <x:v>Cost convention</x:v>
      </x:c>
      <x:c r="D15" s="54" t="str">
        <x:v>Expense and capex lines show positive values and are subtracted in profit or cash calculations. Negative cash remains visible as an unfunded gap.</x:v>
      </x:c>
      <x:c r="E15" s="2"/>
      <x:c r="F15" s="2"/>
      <x:c r="G15" s="2"/>
      <x:c r="H15" s="2"/>
      <x:c r="I15" s="2"/>
      <x:c r="J15" s="1"/>
      <x:c r="K15" s="1"/>
    </x:row>
    <x:row r="16" ht="42" customHeight="1">
      <x:c r="A16" s="1"/>
      <x:c r="B16" s="1"/>
      <x:c r="C16" s="1" t="str">
        <x:v>Capital expenditure</x:v>
      </x:c>
      <x:c r="D16" s="54" t="str">
        <x:v>Cash capex becomes PP&amp;E immediately; depreciation applies to opening net PP&amp;E. No construction-in-progress, impairment or disposal schedules.</x:v>
      </x:c>
      <x:c r="E16" s="2"/>
      <x:c r="F16" s="2"/>
      <x:c r="G16" s="2"/>
      <x:c r="H16" s="2"/>
      <x:c r="I16" s="2"/>
      <x:c r="J16" s="1"/>
      <x:c r="K16" s="1"/>
    </x:row>
    <x:row r="17" ht="42" customHeight="1">
      <x:c r="A17" s="1"/>
      <x:c r="B17" s="1"/>
      <x:c r="C17" s="1" t="str">
        <x:v>DCF</x:v>
      </x:c>
      <x:c r="D17" s="54" t="str">
        <x:v>End-of-year FCFF discounting. Terminal NOPAT grows at g and reinvestment equals terminal NOPAT × g / incremental ROIC. WACC must exceed g.</x:v>
      </x:c>
      <x:c r="E17" s="2"/>
      <x:c r="F17" s="2"/>
      <x:c r="G17" s="2"/>
      <x:c r="H17" s="2"/>
      <x:c r="I17" s="2"/>
      <x:c r="J17" s="1"/>
      <x:c r="K17" s="1"/>
    </x:row>
    <x:row r="18" ht="42" customHeight="1">
      <x:c r="A18" s="1"/>
      <x:c r="B18" s="1"/>
      <x:c r="C18" s="1" t="str">
        <x:v>Enterprise to equity</x:v>
      </x:c>
      <x:c r="D18" s="54" t="str">
        <x:v>DCF and forward-multiple EV subtract opening debt and add opening cash. No minority interests, associates, lease adjustments or non-core assets.</x:v>
      </x:c>
      <x:c r="E18" s="2"/>
      <x:c r="F18" s="2"/>
      <x:c r="G18" s="2"/>
      <x:c r="H18" s="2"/>
      <x:c r="I18" s="2"/>
      <x:c r="J18" s="1"/>
      <x:c r="K18" s="1"/>
    </x:row>
    <x:row r="19" ht="42" customHeight="1">
      <x:c r="A19" s="1"/>
      <x:c r="B19" s="1"/>
      <x:c r="C19" s="1" t="str">
        <x:v>Forward multiples</x:v>
      </x:c>
      <x:c r="D19" s="54" t="str">
        <x:v>EV/EBITDA uses FY:27 EBITDA. Lender and insurer P/B values use FY:27 book equity discounted one year. These are illustrative heuristics.</x:v>
      </x:c>
      <x:c r="E19" s="2"/>
      <x:c r="F19" s="2"/>
      <x:c r="G19" s="2"/>
      <x:c r="H19" s="2"/>
      <x:c r="I19" s="2"/>
      <x:c r="J19" s="1"/>
      <x:c r="K19" s="1"/>
    </x:row>
    <x:row r="20" ht="42" customHeight="1">
      <x:c r="A20" s="1"/>
      <x:c r="B20" s="1"/>
      <x:c r="C20" s="1" t="str">
        <x:v>Lease consistency</x:v>
      </x:c>
      <x:c r="D20" s="54" t="str">
        <x:v>Retail rent is expensed; use pre-Ind AS 116 peer multiples. Other operating models also omit separately capitalized leases.</x:v>
      </x:c>
      <x:c r="E20" s="2"/>
      <x:c r="F20" s="2"/>
      <x:c r="G20" s="2"/>
      <x:c r="H20" s="2"/>
      <x:c r="I20" s="2"/>
      <x:c r="J20" s="1"/>
      <x:c r="K20" s="1"/>
    </x:row>
    <x:row r="21" ht="42" customHeight="1">
      <x:c r="A21" s="1"/>
      <x:c r="B21" s="1"/>
      <x:c r="C21" s="1" t="str">
        <x:v>Lending models</x:v>
      </x:c>
      <x:c r="D21" s="54" t="str">
        <x:v>Loan growth, spread, fee income, credit cost, gross NPA, allowances and funding are modeled. Residual liquidity is explicitly the excess of funding over asset deployment.</x:v>
      </x:c>
      <x:c r="E21" s="2"/>
      <x:c r="F21" s="2"/>
      <x:c r="G21" s="2"/>
      <x:c r="H21" s="2"/>
      <x:c r="I21" s="2"/>
      <x:c r="J21" s="1"/>
      <x:c r="K21" s="1"/>
    </x:row>
    <x:row r="22" ht="42" customHeight="1">
      <x:c r="A22" s="1"/>
      <x:c r="B22" s="1"/>
      <x:c r="C22" s="1" t="str">
        <x:v>Credit conventions</x:v>
      </x:c>
      <x:c r="D22" s="54" t="str">
        <x:v>Closing gross loans are specified after write-offs and recoveries. Allowances roll through credit expense and write-offs. NPA and allowance are distinct measures.</x:v>
      </x:c>
      <x:c r="E22" s="2"/>
      <x:c r="F22" s="2"/>
      <x:c r="G22" s="2"/>
      <x:c r="H22" s="2"/>
      <x:c r="I22" s="2"/>
      <x:c r="J22" s="1"/>
      <x:c r="K22" s="1"/>
    </x:row>
    <x:row r="23" ht="42" customHeight="1">
      <x:c r="A23" s="1"/>
      <x:c r="B23" s="1"/>
      <x:c r="C23" s="1" t="str">
        <x:v>Insurance conventions</x:v>
      </x:c>
      <x:c r="D23" s="54" t="str">
        <x:v>General insurance only. Earned premium reconciles written premium and UPR. Claims and reserve roll-forwards drive cash and investment assets.</x:v>
      </x:c>
      <x:c r="E23" s="2"/>
      <x:c r="F23" s="2"/>
      <x:c r="G23" s="2"/>
      <x:c r="H23" s="2"/>
      <x:c r="I23" s="2"/>
      <x:c r="J23" s="1"/>
      <x:c r="K23" s="1"/>
    </x:row>
    <x:row r="24" ht="42" customHeight="1">
      <x:c r="A24" s="1"/>
      <x:c r="B24" s="1"/>
      <x:c r="C24" s="1" t="str">
        <x:v>Combined ratio</x:v>
      </x:c>
      <x:c r="D24" s="54" t="str">
        <x:v>Claims / net earned premium plus net management expense / net written premium. This mixed-base measure differs from 1 minus underwriting margin.</x:v>
      </x:c>
      <x:c r="E24" s="2"/>
      <x:c r="F24" s="2"/>
      <x:c r="G24" s="2"/>
      <x:c r="H24" s="2"/>
      <x:c r="I24" s="2"/>
      <x:c r="J24" s="1"/>
      <x:c r="K24" s="1"/>
    </x:row>
    <x:row r="25" ht="42" customHeight="1">
      <x:c r="A25" s="1"/>
      <x:c r="B25" s="1"/>
      <x:c r="C25" s="1" t="str">
        <x:v>Real estate conventions</x:v>
      </x:c>
      <x:c r="D25" s="54" t="str">
        <x:v>Bookings, recognized revenue and collections are separate. Project inventory and contract asset/advance balances reconcile accrual profit to cash.</x:v>
      </x:c>
      <x:c r="E25" s="2"/>
      <x:c r="F25" s="2"/>
      <x:c r="G25" s="2"/>
      <x:c r="H25" s="2"/>
      <x:c r="I25" s="2"/>
      <x:c r="J25" s="1"/>
      <x:c r="K25" s="1"/>
    </x:row>
    <x:row r="26" ht="42" customHeight="1">
      <x:c r="A26" s="1"/>
      <x:c r="B26" s="1"/>
      <x:c r="C26" s="1" t="str">
        <x:v>Real estate valuation</x:v>
      </x:c>
      <x:c r="D26" s="54" t="str">
        <x:v>Discounted dividends plus residual book equity. A true project NAV needs project-level saleable area, cost to complete, escrow and discount schedules.</x:v>
      </x:c>
      <x:c r="E26" s="2"/>
      <x:c r="F26" s="2"/>
      <x:c r="G26" s="2"/>
      <x:c r="H26" s="2"/>
      <x:c r="I26" s="2"/>
      <x:c r="J26" s="1"/>
      <x:c r="K26" s="1"/>
    </x:row>
    <x:row r="27" ht="42" customHeight="1">
      <x:c r="A27" s="1"/>
      <x:c r="B27" s="1"/>
      <x:c r="C27" s="1" t="str">
        <x:v>Tax</x:v>
      </x:c>
      <x:c r="D27" s="54" t="str">
        <x:v>25% default is illustrative. No statutory-rate claim is made. Deferred tax, tax losses, GST, MAT and incentive eligibility are excluded.</x:v>
      </x:c>
      <x:c r="E27" s="2"/>
      <x:c r="F27" s="2"/>
      <x:c r="G27" s="2"/>
      <x:c r="H27" s="2"/>
      <x:c r="I27" s="2"/>
      <x:c r="J27" s="1"/>
      <x:c r="K27" s="1"/>
    </x:row>
    <x:row r="28" ht="42" customHeight="1">
      <x:c r="A28" s="1"/>
      <x:c r="B28" s="1"/>
      <x:c r="C28" s="1" t="str">
        <x:v>Excluded sectors</x:v>
      </x:c>
      <x:c r="D28" s="54" t="str">
        <x:v>No dedicated life insurance, oil &amp; gas, logistics, aviation, chemicals, agriculture, utilities distribution or platform-commerce model. Extend the appropriate archetype.</x:v>
      </x:c>
      <x:c r="E28" s="2"/>
      <x:c r="F28" s="2"/>
      <x:c r="G28" s="2"/>
      <x:c r="H28" s="2"/>
      <x:c r="I28" s="2"/>
      <x:c r="J28" s="1"/>
      <x:c r="K28" s="1"/>
    </x:row>
    <x:row r="29" ht="42" customHeight="1">
      <x:c r="A29" s="1"/>
      <x:c r="B29" s="1"/>
      <x:c r="C29" s="1" t="str">
        <x:v>Client customization</x:v>
      </x:c>
      <x:c r="D29" s="54" t="str">
        <x:v>Add 3 years of verified actuals, issuer disclosures, segment splits, capital structure and market-derived multiples before issuing a company-specific valuation.</x:v>
      </x:c>
      <x:c r="E29" s="2"/>
      <x:c r="F29" s="2"/>
      <x:c r="G29" s="2"/>
      <x:c r="H29" s="2"/>
      <x:c r="I29" s="2"/>
      <x:c r="J29" s="1"/>
      <x:c r="K29" s="1"/>
    </x:row>
    <x:row r="30" ht="42" customHeight="1">
      <x:c r="A30" s="1"/>
      <x:c r="B30" s="1"/>
      <x:c r="C30" s="1" t="str">
        <x:v>Source use</x:v>
      </x:c>
      <x:c r="D30" s="54" t="str">
        <x:v>The links below are definition and disclosure references only. Their numerical observations are not used in the illustrative models. Accessed 25 September 2026.</x:v>
      </x:c>
      <x:c r="E30" s="2"/>
      <x:c r="F30" s="2"/>
      <x:c r="G30" s="2"/>
      <x:c r="H30" s="2"/>
      <x:c r="I30" s="2"/>
      <x:c r="J30" s="1"/>
      <x:c r="K30" s="1"/>
    </x:row>
    <x:row r="31" ht="42" customHeight="1">
      <x:c r="A31" s="1"/>
      <x:c r="B31" s="1"/>
      <x:c r="C31" s="1" t="str">
        <x:v>TRAI indicators</x:v>
      </x:c>
      <x:c r="D31" s="54" t="str">
        <x:v>https://www.trai.gov.in/release-publication/reports/performance-indicators-reports</x:v>
      </x:c>
      <x:c r="E31" s="2"/>
      <x:c r="F31" s="2"/>
      <x:c r="G31" s="2"/>
      <x:c r="H31" s="2"/>
      <x:c r="I31" s="2"/>
      <x:c r="J31" s="1"/>
      <x:c r="K31" s="1"/>
    </x:row>
    <x:row r="32" ht="42" customHeight="1">
      <x:c r="A32" s="1"/>
      <x:c r="B32" s="1"/>
      <x:c r="C32" s="1" t="str">
        <x:v>RBI financial stability</x:v>
      </x:c>
      <x:c r="D32" s="54" t="str">
        <x:v>https://www.rbi.org.in/Scripts/PublicationReportDetails.aspx?ID=1294</x:v>
      </x:c>
      <x:c r="E32" s="2"/>
      <x:c r="F32" s="2"/>
      <x:c r="G32" s="2"/>
      <x:c r="H32" s="2"/>
      <x:c r="I32" s="2"/>
      <x:c r="J32" s="1"/>
      <x:c r="K32" s="1"/>
    </x:row>
    <x:row r="33" ht="42" customHeight="1">
      <x:c r="A33" s="1"/>
      <x:c r="B33" s="1"/>
      <x:c r="C33" s="1" t="str">
        <x:v>IRDAI annual reports</x:v>
      </x:c>
      <x:c r="D33" s="54" t="str">
        <x:v>https://irdai.gov.in/web/policy-holder/irdai-annual-reports</x:v>
      </x:c>
      <x:c r="E33" s="2"/>
      <x:c r="F33" s="2"/>
      <x:c r="G33" s="2"/>
      <x:c r="H33" s="2"/>
      <x:c r="I33" s="2"/>
      <x:c r="J33" s="1"/>
      <x:c r="K33" s="1"/>
    </x:row>
    <x:row r="34" ht="42" customHeight="1">
      <x:c r="A34" s="1"/>
      <x:c r="B34" s="1"/>
      <x:c r="C34" s="1" t="str">
        <x:v>Infosys disclosure reference</x:v>
      </x:c>
      <x:c r="D34" s="54" t="str">
        <x:v>https://www.infosys.com/investors/reports-filings/annual-report/annual-reports/ar-2024-25.html</x:v>
      </x:c>
      <x:c r="E34" s="2"/>
      <x:c r="F34" s="2"/>
      <x:c r="G34" s="2"/>
      <x:c r="H34" s="2"/>
      <x:c r="I34" s="2"/>
      <x:c r="J34" s="1"/>
      <x:c r="K34" s="1"/>
    </x:row>
    <x:row r="35" ht="42" customHeight="1">
      <x:c r="A35" s="1"/>
      <x:c r="B35" s="1"/>
      <x:c r="C35" s="1" t="str">
        <x:v>Hospital KPI disclosure</x:v>
      </x:c>
      <x:c r="D35" s="54" t="str">
        <x:v>https://www.apollohospitals.com/sites/default/files/2025-11/ahel-investor-presentation-september-25-inr.pdf</x:v>
      </x:c>
      <x:c r="E35" s="2"/>
      <x:c r="F35" s="2"/>
      <x:c r="G35" s="2"/>
      <x:c r="H35" s="2"/>
      <x:c r="I35" s="2"/>
      <x:c r="J35" s="1"/>
      <x:c r="K35" s="1"/>
    </x:row>
    <x:row r="36" ht="42" customHeight="1">
      <x:c r="A36" s="1"/>
      <x:c r="B36" s="1"/>
      <x:c r="C36" s="1" t="str">
        <x:v>Cement unit economics</x:v>
      </x:c>
      <x:c r="D36" s="54" t="str">
        <x:v>https://www.ultratechcement.com/content/dam/ultratechcementwebsite/pdf/financials/investor-update/Result-Presentation-Q1-FY25.pdf</x:v>
      </x:c>
      <x:c r="E36" s="2"/>
      <x:c r="F36" s="2"/>
      <x:c r="G36" s="2"/>
      <x:c r="H36" s="2"/>
      <x:c r="I36" s="2"/>
      <x:c r="J36" s="1"/>
      <x:c r="K36" s="1"/>
    </x:row>
    <x:row r="37" ht="42" customHeight="1">
      <x:c r="A37" s="1"/>
      <x:c r="B37" s="1"/>
      <x:c r="C37" s="1" t="str">
        <x:v>Insurance ratio definition</x:v>
      </x:c>
      <x:c r="D37" s="54" t="str">
        <x:v>https://www.icicilombard.com/docs/default-source/public-disclosures/2025-2026/q1-2026/press-release/icici-lombard-press-release-q4-fy2025-financial-performance.pdf</x:v>
      </x:c>
      <x:c r="E37" s="2"/>
      <x:c r="F37" s="2"/>
      <x:c r="G37" s="2"/>
      <x:c r="H37" s="2"/>
      <x:c r="I37" s="2"/>
      <x:c r="J37" s="1"/>
      <x:c r="K37" s="1"/>
    </x:row>
    <x:row r="38" ht="42" customHeight="1">
      <x:c r="A38" s="1"/>
      <x:c r="B38" s="1"/>
      <x:c r="C38" s="1" t="str">
        <x:v>Verification scope</x:v>
      </x:c>
      <x:c r="D38" s="54" t="str">
        <x:v>Recalculated and checked with the workbook calculation engine. Excel desktop recalculation has not been independently tested.</x:v>
      </x:c>
      <x:c r="E38" s="2"/>
      <x:c r="F38" s="2"/>
      <x:c r="G38" s="2"/>
      <x:c r="H38" s="2"/>
      <x:c r="I38" s="2"/>
      <x:c r="J38" s="1"/>
      <x:c r="K38" s="1"/>
    </x:row>
    <x:row r="39" ht="18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1"/>
      <x:c r="K39" s="1"/>
    </x:row>
    <x:row r="40" ht="18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1"/>
      <x:c r="K40" s="1"/>
    </x:row>
    <x:row r="41" ht="18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1"/>
      <x:c r="K41" s="1"/>
    </x:row>
    <x:row r="42" ht="18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1"/>
      <x:c r="K42" s="1"/>
    </x:row>
    <x:row r="43" ht="18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1"/>
      <x:c r="K43" s="1"/>
    </x:row>
    <x:row r="44" ht="18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1"/>
      <x:c r="K44" s="1"/>
    </x:row>
    <x:row r="45" ht="18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1"/>
      <x:c r="K45" s="1"/>
    </x:row>
    <x:row r="46" ht="18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1"/>
      <x:c r="K46" s="1"/>
    </x:row>
    <x:row r="47" ht="18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1"/>
      <x:c r="K47" s="1"/>
    </x:row>
    <x:row r="48" ht="18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1"/>
      <x:c r="K48" s="1"/>
    </x:row>
    <x:row r="49" ht="18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1"/>
      <x:c r="K49" s="1"/>
    </x:row>
    <x:row r="50" ht="18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1"/>
      <x:c r="K50" s="1"/>
    </x:row>
    <x:row r="51" ht="18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1"/>
      <x:c r="K51" s="1"/>
    </x:row>
    <x:row r="52" ht="18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1"/>
      <x:c r="K52" s="1"/>
    </x:row>
    <x:row r="53" ht="18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1"/>
      <x:c r="K53" s="1"/>
    </x:row>
    <x:row r="54" ht="18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1"/>
      <x:c r="K54" s="1"/>
    </x:row>
    <x:row r="55" ht="18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1"/>
      <x:c r="K55" s="1"/>
    </x:row>
    <x:row r="56" ht="18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1"/>
      <x:c r="K56" s="1"/>
    </x:row>
    <x:row r="57" ht="18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1"/>
      <x:c r="K57" s="1"/>
    </x:row>
    <x:row r="58" ht="18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1"/>
      <x:c r="K58" s="1"/>
    </x:row>
    <x:row r="59" ht="18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1"/>
      <x:c r="K59" s="1"/>
    </x:row>
    <x:row r="60" ht="18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1"/>
      <x:c r="K60" s="1"/>
    </x:row>
    <x:row r="61" ht="18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1"/>
      <x:c r="K61" s="1"/>
    </x:row>
    <x:row r="62" ht="18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1"/>
      <x:c r="K62" s="1"/>
    </x:row>
    <x:row r="63" ht="18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1"/>
      <x:c r="K63" s="1"/>
    </x:row>
    <x:row r="64" ht="18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1"/>
      <x:c r="K64" s="1"/>
    </x:row>
    <x:row r="65" ht="18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1"/>
      <x:c r="K65" s="1"/>
    </x:row>
    <x:row r="66" ht="18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1"/>
      <x:c r="K66" s="1"/>
    </x:row>
    <x:row r="67" ht="18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1"/>
      <x:c r="K67" s="1"/>
    </x:row>
    <x:row r="68" ht="18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1"/>
      <x:c r="K68" s="1"/>
    </x:row>
    <x:row r="69" ht="18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1"/>
      <x:c r="K69" s="1"/>
    </x:row>
    <x:row r="70" ht="18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1"/>
      <x:c r="K70" s="1"/>
    </x:row>
    <x:row r="71" ht="18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1"/>
      <x:c r="K71" s="1"/>
    </x:row>
    <x:row r="72" ht="18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1"/>
      <x:c r="K72" s="1"/>
    </x:row>
    <x:row r="73" ht="18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1"/>
      <x:c r="K73" s="1"/>
    </x:row>
    <x:row r="74" ht="18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1"/>
      <x:c r="K74" s="1"/>
    </x:row>
    <x:row r="75" ht="18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1"/>
      <x:c r="K75" s="1"/>
    </x:row>
  </x:sheetData>
  <x:pageMargins left="0.7" right="0.7" top="0.75" bottom="0.75" header="0.3" footer="0.3"/>
</x:worksheet>
</file>