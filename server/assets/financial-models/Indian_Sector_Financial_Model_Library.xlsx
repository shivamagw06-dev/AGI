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56509946a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75d7c0287d84015"/>
    <x:sheet xmlns:r="http://schemas.openxmlformats.org/officeDocument/2006/relationships" name="Controls" sheetId="2" r:id="R33422613625846a9"/>
    <x:sheet xmlns:r="http://schemas.openxmlformats.org/officeDocument/2006/relationships" name="IT Services" sheetId="3" r:id="R2497283cf15744b0"/>
    <x:sheet xmlns:r="http://schemas.openxmlformats.org/officeDocument/2006/relationships" name="FMCG" sheetId="4" r:id="Re4c91429778f4a92"/>
    <x:sheet xmlns:r="http://schemas.openxmlformats.org/officeDocument/2006/relationships" name="Automobiles" sheetId="5" r:id="R56d1fa4f411341a7"/>
    <x:sheet xmlns:r="http://schemas.openxmlformats.org/officeDocument/2006/relationships" name="Cement" sheetId="6" r:id="Ra89eb41b5a334bcf"/>
    <x:sheet xmlns:r="http://schemas.openxmlformats.org/officeDocument/2006/relationships" name="Steel" sheetId="7" r:id="Rad2a63157fe64aba"/>
    <x:sheet xmlns:r="http://schemas.openxmlformats.org/officeDocument/2006/relationships" name="Pharma" sheetId="8" r:id="R28a5c14fabb245fb"/>
    <x:sheet xmlns:r="http://schemas.openxmlformats.org/officeDocument/2006/relationships" name="Hospitals" sheetId="9" r:id="R164d445205c94aca"/>
    <x:sheet xmlns:r="http://schemas.openxmlformats.org/officeDocument/2006/relationships" name="Telecom" sheetId="10" r:id="Rbbd8e5f209e4476d"/>
    <x:sheet xmlns:r="http://schemas.openxmlformats.org/officeDocument/2006/relationships" name="Renewable Power" sheetId="11" r:id="R1c68fe041382403b"/>
    <x:sheet xmlns:r="http://schemas.openxmlformats.org/officeDocument/2006/relationships" name="Hotels" sheetId="12" r:id="R7f63caf7b9654f44"/>
    <x:sheet xmlns:r="http://schemas.openxmlformats.org/officeDocument/2006/relationships" name="Retail" sheetId="13" r:id="R526b691276eb42f7"/>
    <x:sheet xmlns:r="http://schemas.openxmlformats.org/officeDocument/2006/relationships" name="EPC" sheetId="14" r:id="R70456e52adca4c51"/>
    <x:sheet xmlns:r="http://schemas.openxmlformats.org/officeDocument/2006/relationships" name="Banking" sheetId="15" r:id="Rac9fd4c8cc254aec"/>
    <x:sheet xmlns:r="http://schemas.openxmlformats.org/officeDocument/2006/relationships" name="NBFC" sheetId="16" r:id="R6c44d57c80c045af"/>
    <x:sheet xmlns:r="http://schemas.openxmlformats.org/officeDocument/2006/relationships" name="General Insurance" sheetId="17" r:id="R8f46e83592db40ab"/>
    <x:sheet xmlns:r="http://schemas.openxmlformats.org/officeDocument/2006/relationships" name="Real Estate" sheetId="18" r:id="R221ff687051e47b4"/>
    <x:sheet xmlns:r="http://schemas.openxmlformats.org/officeDocument/2006/relationships" name="KPI Guide" sheetId="19" r:id="R236e8aafe6204c81"/>
    <x:sheet xmlns:r="http://schemas.openxmlformats.org/officeDocument/2006/relationships" name="Model Review" sheetId="20" r:id="Rf6263aed87484199"/>
    <x:sheet xmlns:r="http://schemas.openxmlformats.org/officeDocument/2006/relationships" name="ReadMe" sheetId="21" r:id="Re3ce0974921342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;(#,##0.0);&quot;–&quot;"/>
    <x:numFmt numFmtId="201" formatCode="dd-mmm-yyyy"/>
    <x:numFmt numFmtId="202" formatCode="0.0%;(0.0%);&quot;–&quot;"/>
    <x:numFmt numFmtId="203" formatCode="0.0&quot;x&quot;"/>
    <x:numFmt numFmtId="204" formatCode="0.00"/>
    <x:numFmt numFmtId="205" formatCode="0"/>
  </x:numFmts>
  <x:fonts count="16">
    <x:font>
      <x:sz val="11"/>
      <x:name val="Carlito"/>
    </x:font>
    <x:font>
      <x:sz val="10"/>
      <x:color rgb="FF172B3A"/>
      <x:name val="Arial"/>
    </x:font>
    <x:font>
      <x:b/>
      <x:sz val="16"/>
      <x:color rgb="FF17324D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rgb="FF008000"/>
      <x:name val="Arial"/>
    </x:font>
    <x:font>
      <x:sz val="10"/>
      <x:color rgb="FFFFFFFF"/>
      <x:name val="Arial"/>
    </x:font>
    <x:font>
      <x:b/>
      <x:sz val="10"/>
      <x:color rgb="FF172B3A"/>
      <x:name val="Arial"/>
    </x:font>
    <x:font>
      <x:i/>
      <x:sz val="10"/>
      <x:color rgb="FF172B3A"/>
      <x:name val="Arial"/>
    </x:font>
    <x:font>
      <x:i/>
      <x:sz val="10"/>
      <x:color rgb="FF0000FF"/>
      <x:name val="Arial"/>
    </x:font>
    <x:font>
      <x:i/>
      <x:sz val="10"/>
      <x:color rgb="FF008000"/>
      <x:name val="Arial"/>
    </x:font>
    <x:font>
      <x:i/>
      <x:sz val="10"/>
      <x:color rgb="FF000000"/>
      <x:name val="Arial"/>
    </x:font>
    <x:font>
      <x:b/>
      <x:sz val="10"/>
      <x:color rgb="FF000000"/>
      <x:name val="Arial"/>
    </x:font>
    <x:font>
      <x:b/>
      <x:sz val="10"/>
      <x:color rgb="FFFFFFFF"/>
      <x:name val="Arial"/>
    </x:font>
    <x:font>
      <x:sz val="10"/>
      <x:color rgb="FF17324D"/>
      <x:name val="Arial"/>
    </x:font>
    <x:font>
      <x:b/>
      <x:sz val="10"/>
      <x:color rgb="FF008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24D"/>
      </x:patternFill>
    </x:fill>
    <x:fill>
      <x:patternFill patternType="solid">
        <x:fgColor rgb="FFE5ECF3"/>
      </x:patternFill>
    </x:fill>
    <x:fill>
      <x:patternFill patternType="solid">
        <x:fgColor rgb="FFEDF2F7"/>
      </x:patternFill>
    </x:fill>
    <x:fill>
      <x:patternFill patternType="solid">
        <x:fgColor rgb="FFF2F5F8"/>
      </x:patternFill>
    </x:fill>
  </x:fills>
  <x:borders count="3">
    <x:border/>
    <x:border>
      <x:bottom style="thin">
        <x:color rgb="FF17324D"/>
      </x:bottom>
    </x:border>
    <x:border>
      <x:top style="thin">
        <x:color rgb="FFA9BACB"/>
      </x:top>
    </x:border>
  </x:borders>
  <x:cellStyleXfs count="1">
    <x:xf numFmtId="0" fontId="0" fillId="0" borderId="0"/>
  </x:cellStyleXfs>
  <x:cellXfs count="62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1" fillId="2" borderId="0" xfId="0" applyNumberFormat="1" applyFont="1" applyFill="1" applyBorder="1"/>
    <x:xf numFmtId="200" fontId="3" fillId="2" borderId="0" xfId="0" applyNumberFormat="1" applyFont="1" applyFill="1" applyBorder="1"/>
    <x:xf numFmtId="200" fontId="4" fillId="0" borderId="0" xfId="0" applyNumberFormat="1" applyFont="1" applyFill="1" applyBorder="1"/>
    <x:xf numFmtId="201" fontId="1" fillId="0" borderId="0" xfId="0" applyNumberFormat="1" applyFont="1" applyFill="1" applyBorder="1"/>
    <x:xf numFmtId="200" fontId="5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0" fontId="6" fillId="3" borderId="0" xfId="0" applyNumberFormat="1" applyFont="1" applyFill="1" applyBorder="1"/>
    <x:xf numFmtId="20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200" fontId="6" fillId="3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/>
    <x:xf numFmtId="200" fontId="1" fillId="4" borderId="0" xfId="0" applyNumberFormat="1" applyFont="1" applyFill="1" applyBorder="1"/>
    <x:xf numFmtId="0" fontId="7" fillId="4" borderId="0" xfId="0" applyNumberFormat="1" applyFont="1" applyFill="1" applyBorder="1"/>
    <x:xf numFmtId="200" fontId="7" fillId="4" borderId="0" xfId="0" applyNumberFormat="1" applyFont="1" applyFill="1" applyBorder="1"/>
    <x:xf numFmtId="200" fontId="3" fillId="0" borderId="0" xfId="0" applyNumberFormat="1" applyFont="1" applyFill="1" applyBorder="1"/>
    <x:xf numFmtId="202" fontId="1" fillId="0" borderId="0" xfId="0" applyNumberFormat="1" applyFont="1" applyFill="1" applyBorder="1"/>
    <x:xf numFmtId="0" fontId="8" fillId="0" borderId="0" xfId="0" applyNumberFormat="1" applyFont="1" applyFill="1" applyBorder="1"/>
    <x:xf numFmtId="202" fontId="8" fillId="0" borderId="0" xfId="0" applyNumberFormat="1" applyFont="1" applyFill="1" applyBorder="1"/>
    <x:xf numFmtId="202" fontId="3" fillId="2" borderId="0" xfId="0" applyNumberFormat="1" applyFont="1" applyFill="1" applyBorder="1"/>
    <x:xf numFmtId="202" fontId="9" fillId="2" borderId="0" xfId="0" applyNumberFormat="1" applyFont="1" applyFill="1" applyBorder="1"/>
    <x:xf numFmtId="202" fontId="10" fillId="0" borderId="0" xfId="0" applyNumberFormat="1" applyFont="1" applyFill="1" applyBorder="1"/>
    <x:xf numFmtId="0" fontId="8" fillId="5" borderId="0" xfId="0" applyNumberFormat="1" applyFont="1" applyFill="1" applyBorder="1"/>
    <x:xf numFmtId="202" fontId="8" fillId="5" borderId="0" xfId="0" applyNumberFormat="1" applyFont="1" applyFill="1" applyBorder="1"/>
    <x:xf numFmtId="202" fontId="10" fillId="5" borderId="0" xfId="0" applyNumberFormat="1" applyFont="1" applyFill="1" applyBorder="1"/>
    <x:xf numFmtId="203" fontId="1" fillId="0" borderId="0" xfId="0" applyNumberFormat="1" applyFont="1" applyFill="1" applyBorder="1"/>
    <x:xf numFmtId="203" fontId="8" fillId="0" borderId="0" xfId="0" applyNumberFormat="1" applyFont="1" applyFill="1" applyBorder="1"/>
    <x:xf numFmtId="204" fontId="1" fillId="0" borderId="0" xfId="0" applyNumberFormat="1" applyFont="1" applyFill="1" applyBorder="1"/>
    <x:xf numFmtId="204" fontId="4" fillId="0" borderId="0" xfId="0" applyNumberFormat="1" applyFont="1" applyFill="1" applyBorder="1"/>
    <x:xf numFmtId="202" fontId="11" fillId="0" borderId="0" xfId="0" applyNumberFormat="1" applyFont="1" applyFill="1" applyBorder="1"/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0" fontId="7" fillId="0" borderId="2" xfId="0" applyNumberFormat="1" applyFont="1" applyFill="1" applyBorder="1"/>
    <x:xf numFmtId="200" fontId="7" fillId="0" borderId="2" xfId="0" applyNumberFormat="1" applyFont="1" applyFill="1" applyBorder="1"/>
    <x:xf numFmtId="200" fontId="12" fillId="0" borderId="0" xfId="0" applyNumberFormat="1" applyFont="1" applyFill="1" applyBorder="1"/>
    <x:xf numFmtId="200" fontId="12" fillId="0" borderId="2" xfId="0" applyNumberFormat="1" applyFont="1" applyFill="1" applyBorder="1"/>
    <x:xf numFmtId="0" fontId="13" fillId="3" borderId="0" xfId="0" applyNumberFormat="1" applyFont="1" applyFill="1" applyBorder="1"/>
    <x:xf numFmtId="200" fontId="13" fillId="3" borderId="0" xfId="0" applyNumberFormat="1" applyFont="1" applyFill="1" applyBorder="1"/>
    <x:xf numFmtId="0" fontId="13" fillId="3" borderId="0" xfId="0" applyNumberFormat="1" applyFont="1" applyFill="1" applyBorder="1" applyAlignment="1">
      <x:alignment wrapText="1"/>
    </x:xf>
    <x:xf numFmtId="200" fontId="13" fillId="3" borderId="0" xfId="0" applyNumberFormat="1" applyFont="1" applyFill="1" applyBorder="1" applyAlignment="1">
      <x:alignment wrapText="1"/>
    </x:xf>
    <x:xf numFmtId="200" fontId="14" fillId="0" borderId="0" xfId="0" applyNumberFormat="1" applyFont="1" applyFill="1" applyBorder="1"/>
    <x:xf numFmtId="0" fontId="5" fillId="0" borderId="0" xfId="0" applyNumberFormat="1" applyFont="1" applyFill="1" applyBorder="1"/>
    <x:xf numFmtId="0" fontId="14" fillId="0" borderId="0" xfId="0" applyNumberFormat="1" applyFont="1" applyFill="1" applyBorder="1"/>
    <x:xf numFmtId="202" fontId="14" fillId="0" borderId="0" xfId="0" applyNumberFormat="1" applyFont="1" applyFill="1" applyBorder="1"/>
    <x:xf numFmtId="0" fontId="1" fillId="6" borderId="0" xfId="0" applyNumberFormat="1" applyFont="1" applyFill="1" applyBorder="1"/>
    <x:xf numFmtId="200" fontId="14" fillId="6" borderId="0" xfId="0" applyNumberFormat="1" applyFont="1" applyFill="1" applyBorder="1"/>
    <x:xf numFmtId="202" fontId="14" fillId="6" borderId="0" xfId="0" applyNumberFormat="1" applyFont="1" applyFill="1" applyBorder="1"/>
    <x:xf numFmtId="200" fontId="1" fillId="6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203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205" fontId="3" fillId="2" borderId="0" xfId="0" applyNumberFormat="1" applyFont="1" applyFill="1" applyBorder="1"/>
    <x:xf numFmtId="200" fontId="15" fillId="0" borderId="2" xfId="0" applyNumberFormat="1" applyFont="1" applyFill="1" applyBorder="1"/>
    <x:xf numFmtId="203" fontId="11" fillId="0" borderId="0" xfId="0" applyNumberFormat="1" applyFont="1" applyFill="1" applyBorder="1"/>
  </x:cellXfs>
  <x:cellStyles count="1">
    <x:cellStyle name="Normal" xfId="0"/>
  </x:cellStyles>
  <x:dxfs count="76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2cbfc184ca4128" /><Relationship Type="http://schemas.openxmlformats.org/officeDocument/2006/relationships/theme" Target="/xl/theme/theme1.xml" Id="R0839ae4cadc34785" /><Relationship Type="http://schemas.openxmlformats.org/officeDocument/2006/relationships/sharedStrings" Target="/xl/sharedStrings.xml" Id="R37eb346a66eb4275" /><Relationship Type="http://schemas.openxmlformats.org/officeDocument/2006/relationships/worksheet" Target="/xl/worksheets/sheet1.xml" Id="Ra75d7c0287d84015" /><Relationship Type="http://schemas.openxmlformats.org/officeDocument/2006/relationships/worksheet" Target="/xl/worksheets/sheet2.xml" Id="R33422613625846a9" /><Relationship Type="http://schemas.openxmlformats.org/officeDocument/2006/relationships/worksheet" Target="/xl/worksheets/sheet3.xml" Id="R2497283cf15744b0" /><Relationship Type="http://schemas.openxmlformats.org/officeDocument/2006/relationships/worksheet" Target="/xl/worksheets/sheet4.xml" Id="Re4c91429778f4a92" /><Relationship Type="http://schemas.openxmlformats.org/officeDocument/2006/relationships/worksheet" Target="/xl/worksheets/sheet5.xml" Id="R56d1fa4f411341a7" /><Relationship Type="http://schemas.openxmlformats.org/officeDocument/2006/relationships/worksheet" Target="/xl/worksheets/sheet6.xml" Id="Ra89eb41b5a334bcf" /><Relationship Type="http://schemas.openxmlformats.org/officeDocument/2006/relationships/worksheet" Target="/xl/worksheets/sheet7.xml" Id="Rad2a63157fe64aba" /><Relationship Type="http://schemas.openxmlformats.org/officeDocument/2006/relationships/worksheet" Target="/xl/worksheets/sheet8.xml" Id="R28a5c14fabb245fb" /><Relationship Type="http://schemas.openxmlformats.org/officeDocument/2006/relationships/worksheet" Target="/xl/worksheets/sheet9.xml" Id="R164d445205c94aca" /><Relationship Type="http://schemas.openxmlformats.org/officeDocument/2006/relationships/worksheet" Target="/xl/worksheets/sheet10.xml" Id="Rbbd8e5f209e4476d" /><Relationship Type="http://schemas.openxmlformats.org/officeDocument/2006/relationships/worksheet" Target="/xl/worksheets/sheet11.xml" Id="R1c68fe041382403b" /><Relationship Type="http://schemas.openxmlformats.org/officeDocument/2006/relationships/worksheet" Target="/xl/worksheets/sheet12.xml" Id="R7f63caf7b9654f44" /><Relationship Type="http://schemas.openxmlformats.org/officeDocument/2006/relationships/worksheet" Target="/xl/worksheets/sheet13.xml" Id="R526b691276eb42f7" /><Relationship Type="http://schemas.openxmlformats.org/officeDocument/2006/relationships/worksheet" Target="/xl/worksheets/sheet14.xml" Id="R70456e52adca4c51" /><Relationship Type="http://schemas.openxmlformats.org/officeDocument/2006/relationships/worksheet" Target="/xl/worksheets/sheet15.xml" Id="Rac9fd4c8cc254aec" /><Relationship Type="http://schemas.openxmlformats.org/officeDocument/2006/relationships/worksheet" Target="/xl/worksheets/sheet16.xml" Id="R6c44d57c80c045af" /><Relationship Type="http://schemas.openxmlformats.org/officeDocument/2006/relationships/worksheet" Target="/xl/worksheets/sheet17.xml" Id="R8f46e83592db40ab" /><Relationship Type="http://schemas.openxmlformats.org/officeDocument/2006/relationships/worksheet" Target="/xl/worksheets/sheet18.xml" Id="R221ff687051e47b4" /><Relationship Type="http://schemas.openxmlformats.org/officeDocument/2006/relationships/worksheet" Target="/xl/worksheets/sheet19.xml" Id="R236e8aafe6204c81" /><Relationship Type="http://schemas.openxmlformats.org/officeDocument/2006/relationships/worksheet" Target="/xl/worksheets/sheet20.xml" Id="Rf6263aed87484199" /><Relationship Type="http://schemas.openxmlformats.org/officeDocument/2006/relationships/worksheet" Target="/xl/worksheets/sheet21.xml" Id="Re3ce0974921342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5" hidden="0" customWidth="1"/>
    <x:col min="11" max="11" width="42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Indian sector financial model library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16 sector archetypes. Illustrative inputs only. FY:27E–FY:31E.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32" customHeight="1">
      <x:c r="A7" s="1"/>
      <x:c r="B7" s="1"/>
      <x:c r="C7" s="44" t="str">
        <x:v>Sector</x:v>
      </x:c>
      <x:c r="D7" s="45" t="str">
        <x:v>FY:27 income¹</x:v>
      </x:c>
      <x:c r="E7" s="45" t="str">
        <x:v>FY:31 income¹</x:v>
      </x:c>
      <x:c r="F7" s="45" t="str">
        <x:v>FY:27 PAT</x:v>
      </x:c>
      <x:c r="G7" s="45" t="str">
        <x:v>FY:31 PAT</x:v>
      </x:c>
      <x:c r="H7" s="45" t="str">
        <x:v>FY:27 key KPI</x:v>
      </x:c>
      <x:c r="I7" s="45" t="str">
        <x:v>KPI definition</x:v>
      </x:c>
      <x:c r="J7" s="44" t="str">
        <x:v>Equity value²</x:v>
      </x:c>
      <x:c r="K7" s="44" t="str">
        <x:v>Valuation method</x:v>
      </x:c>
    </x:row>
    <x:row r="8" ht="18" customHeight="1">
      <x:c r="A8" s="1"/>
      <x:c r="B8" s="1"/>
      <x:c r="C8" s="50" t="str">
        <x:v>IT Services</x:v>
      </x:c>
      <x:c r="D8" s="51" t="n">
        <x:f>'IT Services'!E47</x:f>
        <x:v>4992.569999999999</x:v>
      </x:c>
      <x:c r="E8" s="51" t="n">
        <x:f>'IT Services'!I47</x:f>
        <x:v>7497.468439385601</x:v>
      </x:c>
      <x:c r="F8" s="51" t="n">
        <x:f>'IT Services'!E58</x:f>
        <x:v>862.231875</x:v>
      </x:c>
      <x:c r="G8" s="51" t="n">
        <x:f>'IT Services'!I58</x:f>
        <x:v>1285.1602169935293</x:v>
      </x:c>
      <x:c r="H8" s="52" t="n">
        <x:f>'IT Services'!E80</x:f>
        <x:v>0.25000000000000006</x:v>
      </x:c>
      <x:c r="I8" s="53" t="str">
        <x:v>EBITDA margin</x:v>
      </x:c>
      <x:c r="J8" s="51" t="n">
        <x:f>'IT Services'!E93</x:f>
        <x:v>10377.362909621339</x:v>
      </x:c>
      <x:c r="K8" s="50" t="str">
        <x:v>DCF / forward EV-EBITDA</x:v>
      </x:c>
    </x:row>
    <x:row r="9" ht="18" customHeight="1">
      <x:c r="A9" s="1"/>
      <x:c r="B9" s="1"/>
      <x:c r="C9" s="1" t="str">
        <x:v>FMCG</x:v>
      </x:c>
      <x:c r="D9" s="46" t="n">
        <x:f>'FMCG'!E47</x:f>
        <x:v>1335.36</x:v>
      </x:c>
      <x:c r="E9" s="46" t="n">
        <x:f>'FMCG'!I47</x:f>
        <x:v>2047.7023607067588</x:v>
      </x:c>
      <x:c r="F9" s="46" t="n">
        <x:f>'FMCG'!E58</x:f>
        <x:v>121.22459999999994</x:v>
      </x:c>
      <x:c r="G9" s="46" t="n">
        <x:f>'FMCG'!I58</x:f>
        <x:v>266.0889901254061</x:v>
      </x:c>
      <x:c r="H9" s="49" t="n">
        <x:f>'FMCG'!E80</x:f>
        <x:v>0.22999999999999995</x:v>
      </x:c>
      <x:c r="I9" s="2" t="str">
        <x:v>EBITDA margin</x:v>
      </x:c>
      <x:c r="J9" s="46" t="n">
        <x:f>'FMCG'!E94</x:f>
        <x:v>2235.085992807321</x:v>
      </x:c>
      <x:c r="K9" s="1" t="str">
        <x:v>DCF / forward EV-EBITDA</x:v>
      </x:c>
    </x:row>
    <x:row r="10" ht="18" customHeight="1">
      <x:c r="A10" s="1"/>
      <x:c r="B10" s="1"/>
      <x:c r="C10" s="50" t="str">
        <x:v>Automobiles</x:v>
      </x:c>
      <x:c r="D10" s="51" t="n">
        <x:f>'Automobiles'!E47</x:f>
        <x:v>31435.600000000006</x:v>
      </x:c>
      <x:c r="E10" s="51" t="n">
        <x:f>'Automobiles'!I47</x:f>
        <x:v>49943.2321083501</x:v>
      </x:c>
      <x:c r="F10" s="51" t="n">
        <x:f>'Automobiles'!E58</x:f>
        <x:v>2597.13</x:v>
      </x:c>
      <x:c r="G10" s="51" t="n">
        <x:f>'Automobiles'!I58</x:f>
        <x:v>4275.254764294357</x:v>
      </x:c>
      <x:c r="H10" s="52" t="n">
        <x:f>'Automobiles'!E80</x:f>
        <x:v>0.14999999999999997</x:v>
      </x:c>
      <x:c r="I10" s="53" t="str">
        <x:v>EBITDA margin</x:v>
      </x:c>
      <x:c r="J10" s="51" t="n">
        <x:f>'Automobiles'!E94</x:f>
        <x:v>30124.771508856284</x:v>
      </x:c>
      <x:c r="K10" s="50" t="str">
        <x:v>DCF / forward EV-EBITDA</x:v>
      </x:c>
    </x:row>
    <x:row r="11" ht="18" customHeight="1">
      <x:c r="A11" s="1"/>
      <x:c r="B11" s="1"/>
      <x:c r="C11" s="1" t="str">
        <x:v>Cement</x:v>
      </x:c>
      <x:c r="D11" s="46" t="n">
        <x:f>'Cement'!E47</x:f>
        <x:v>4524.093749999999</x:v>
      </x:c>
      <x:c r="E11" s="46" t="n">
        <x:f>'Cement'!I47</x:f>
        <x:v>6545.791506861501</x:v>
      </x:c>
      <x:c r="F11" s="46" t="n">
        <x:f>'Cement'!E58</x:f>
        <x:v>96.03117187499976</x:v>
      </x:c>
      <x:c r="G11" s="46" t="n">
        <x:f>'Cement'!I58</x:f>
        <x:v>561.1658861949653</x:v>
      </x:c>
      <x:c r="H11" s="49" t="n">
        <x:f>'Cement'!E80</x:f>
        <x:v>0.23</x:v>
      </x:c>
      <x:c r="I11" s="2" t="str">
        <x:v>EBITDA margin</x:v>
      </x:c>
      <x:c r="J11" s="46" t="n">
        <x:f>'Cement'!E94</x:f>
        <x:v>3950.6138920021476</x:v>
      </x:c>
      <x:c r="K11" s="1" t="str">
        <x:v>DCF / forward EV-EBITDA</x:v>
      </x:c>
    </x:row>
    <x:row r="12" ht="18" customHeight="1">
      <x:c r="A12" s="1"/>
      <x:c r="B12" s="1"/>
      <x:c r="C12" s="50" t="str">
        <x:v>Steel</x:v>
      </x:c>
      <x:c r="D12" s="51" t="n">
        <x:f>'Steel'!E47</x:f>
        <x:v>23674.2</x:v>
      </x:c>
      <x:c r="E12" s="51" t="n">
        <x:f>'Steel'!I47</x:f>
        <x:v>31745.767979788274</x:v>
      </x:c>
      <x:c r="F12" s="51" t="n">
        <x:f>'Steel'!E58</x:f>
        <x:v>2031.8115000000016</x:v>
      </x:c>
      <x:c r="G12" s="51" t="n">
        <x:f>'Steel'!I58</x:f>
        <x:v>3356.889437457253</x:v>
      </x:c>
      <x:c r="H12" s="52" t="n">
        <x:f>'Steel'!E80</x:f>
        <x:v>0.21000000000000008</x:v>
      </x:c>
      <x:c r="I12" s="53" t="str">
        <x:v>EBITDA margin</x:v>
      </x:c>
      <x:c r="J12" s="51" t="n">
        <x:f>'Steel'!E94</x:f>
        <x:v>20020.9273167345</x:v>
      </x:c>
      <x:c r="K12" s="50" t="str">
        <x:v>DCF / forward EV-EBITDA</x:v>
      </x:c>
    </x:row>
    <x:row r="13" ht="18" customHeight="1">
      <x:c r="A13" s="1"/>
      <x:c r="B13" s="1"/>
      <x:c r="C13" s="1" t="str">
        <x:v>Pharma</x:v>
      </x:c>
      <x:c r="D13" s="46" t="n">
        <x:f>'Pharma'!E47</x:f>
        <x:v>5692.499999999999</x:v>
      </x:c>
      <x:c r="E13" s="46" t="n">
        <x:f>'Pharma'!I47</x:f>
        <x:v>9563.90336053674</x:v>
      </x:c>
      <x:c r="F13" s="46" t="n">
        <x:f>'Pharma'!E58</x:f>
        <x:v>1075.14375</x:v>
      </x:c>
      <x:c r="G13" s="46" t="n">
        <x:f>'Pharma'!I58</x:f>
        <x:v>2017.0110370491243</x:v>
      </x:c>
      <x:c r="H13" s="49" t="n">
        <x:f>'Pharma'!E80</x:f>
        <x:v>0.33</x:v>
      </x:c>
      <x:c r="I13" s="2" t="str">
        <x:v>EBITDA margin</x:v>
      </x:c>
      <x:c r="J13" s="46" t="n">
        <x:f>'Pharma'!E94</x:f>
        <x:v>15000.311269326807</x:v>
      </x:c>
      <x:c r="K13" s="1" t="str">
        <x:v>DCF / forward EV-EBITDA</x:v>
      </x:c>
    </x:row>
    <x:row r="14" ht="18" customHeight="1">
      <x:c r="A14" s="1"/>
      <x:c r="B14" s="1"/>
      <x:c r="C14" s="50" t="str">
        <x:v>Hospitals</x:v>
      </x:c>
      <x:c r="D14" s="51" t="n">
        <x:f>'Hospitals'!E48</x:f>
        <x:v>2545.1917200000003</x:v>
      </x:c>
      <x:c r="E14" s="51" t="n">
        <x:f>'Hospitals'!I48</x:f>
        <x:v>4289.68460438272</x:v>
      </x:c>
      <x:c r="F14" s="51" t="n">
        <x:f>'Hospitals'!E59</x:f>
        <x:v>236.43738539999998</x:v>
      </x:c>
      <x:c r="G14" s="51" t="n">
        <x:f>'Hospitals'!I59</x:f>
        <x:v>588.3336284583659</x:v>
      </x:c>
      <x:c r="H14" s="52" t="n">
        <x:f>'Hospitals'!E81</x:f>
        <x:v>0.25999999999999995</x:v>
      </x:c>
      <x:c r="I14" s="53" t="str">
        <x:v>EBITDA margin</x:v>
      </x:c>
      <x:c r="J14" s="51" t="n">
        <x:f>'Hospitals'!E95</x:f>
        <x:v>3955.0517209783484</x:v>
      </x:c>
      <x:c r="K14" s="50" t="str">
        <x:v>DCF / forward EV-EBITDA</x:v>
      </x:c>
    </x:row>
    <x:row r="15" ht="18" customHeight="1">
      <x:c r="A15" s="1"/>
      <x:c r="B15" s="1"/>
      <x:c r="C15" s="1" t="str">
        <x:v>Telecom</x:v>
      </x:c>
      <x:c r="D15" s="46" t="n">
        <x:f>'Telecom'!E47</x:f>
        <x:v>8898.119999999999</x:v>
      </x:c>
      <x:c r="E15" s="46" t="n">
        <x:f>'Telecom'!I47</x:f>
        <x:v>14177.20324161142</x:v>
      </x:c>
      <x:c r="F15" s="46" t="n">
        <x:f>'Telecom'!E58</x:f>
        <x:v>649.5731999999994</x:v>
      </x:c>
      <x:c r="G15" s="46" t="n">
        <x:f>'Telecom'!I58</x:f>
        <x:v>2918.5991042089076</x:v>
      </x:c>
      <x:c r="H15" s="49" t="n">
        <x:f>'Telecom'!E80</x:f>
        <x:v>0.48</x:v>
      </x:c>
      <x:c r="I15" s="2" t="str">
        <x:v>EBITDA margin</x:v>
      </x:c>
      <x:c r="J15" s="46" t="n">
        <x:f>'Telecom'!E93</x:f>
        <x:v>19329.440828302973</x:v>
      </x:c>
      <x:c r="K15" s="1" t="str">
        <x:v>DCF / forward EV-EBITDA</x:v>
      </x:c>
    </x:row>
    <x:row r="16" ht="18" customHeight="1">
      <x:c r="A16" s="1"/>
      <x:c r="B16" s="1"/>
      <x:c r="C16" s="50" t="str">
        <x:v>Renewable Power</x:v>
      </x:c>
      <x:c r="D16" s="51" t="n">
        <x:f>'Renewable Power'!E47</x:f>
        <x:v>1271.5315200000005</x:v>
      </x:c>
      <x:c r="E16" s="51" t="n">
        <x:f>'Renewable Power'!I47</x:f>
        <x:v>2000.779463570229</x:v>
      </x:c>
      <x:c r="F16" s="51" t="n">
        <x:f>'Renewable Power'!E58</x:f>
        <x:v>252.59593920000017</x:v>
      </x:c>
      <x:c r="G16" s="51" t="n">
        <x:f>'Renewable Power'!I58</x:f>
        <x:v>721.7173128403256</x:v>
      </x:c>
      <x:c r="H16" s="52" t="n">
        <x:f>'Renewable Power'!E80</x:f>
        <x:v>0.7799999999999999</x:v>
      </x:c>
      <x:c r="I16" s="53" t="str">
        <x:v>EBITDA margin</x:v>
      </x:c>
      <x:c r="J16" s="51" t="n">
        <x:f>'Renewable Power'!E93</x:f>
        <x:v>3536.3859298965253</x:v>
      </x:c>
      <x:c r="K16" s="50" t="str">
        <x:v>DCF / forward EV-EBITDA</x:v>
      </x:c>
    </x:row>
    <x:row r="17" ht="18" customHeight="1">
      <x:c r="A17" s="1"/>
      <x:c r="B17" s="1"/>
      <x:c r="C17" s="1" t="str">
        <x:v>Hotels</x:v>
      </x:c>
      <x:c r="D17" s="46" t="n">
        <x:f>'Hotels'!E48</x:f>
        <x:v>528.21167765625</x:v>
      </x:c>
      <x:c r="E17" s="46" t="n">
        <x:f>'Hotels'!I48</x:f>
        <x:v>825.9687677296018</x:v>
      </x:c>
      <x:c r="F17" s="46" t="n">
        <x:f>'Hotels'!E59</x:f>
        <x:v>-48.72226314999998</x:v>
      </x:c>
      <x:c r="G17" s="46" t="n">
        <x:f>'Hotels'!I59</x:f>
        <x:v>70.1143263345171</x:v>
      </x:c>
      <x:c r="H17" s="49" t="n">
        <x:f>'Hotels'!E81</x:f>
        <x:v>0.32000000000000006</x:v>
      </x:c>
      <x:c r="I17" s="2" t="str">
        <x:v>EBITDA margin</x:v>
      </x:c>
      <x:c r="J17" s="46" t="n">
        <x:f>'Hotels'!E95</x:f>
        <x:v>546.9478797602006</x:v>
      </x:c>
      <x:c r="K17" s="1" t="str">
        <x:v>DCF / forward EV-EBITDA</x:v>
      </x:c>
    </x:row>
    <x:row r="18" ht="18" customHeight="1">
      <x:c r="A18" s="1"/>
      <x:c r="B18" s="1"/>
      <x:c r="C18" s="50" t="str">
        <x:v>Retail</x:v>
      </x:c>
      <x:c r="D18" s="51" t="n">
        <x:f>'Retail'!E47</x:f>
        <x:v>2106.72</x:v>
      </x:c>
      <x:c r="E18" s="51" t="n">
        <x:f>'Retail'!I47</x:f>
        <x:v>3953.1570724386834</x:v>
      </x:c>
      <x:c r="F18" s="51" t="n">
        <x:f>'Retail'!E58</x:f>
        <x:v>70.59270000000001</x:v>
      </x:c>
      <x:c r="G18" s="51" t="n">
        <x:f>'Retail'!I58</x:f>
        <x:v>258.2146312414486</x:v>
      </x:c>
      <x:c r="H18" s="52" t="n">
        <x:f>'Retail'!E80</x:f>
        <x:v>0.13</x:v>
      </x:c>
      <x:c r="I18" s="53" t="str">
        <x:v>EBITDA margin</x:v>
      </x:c>
      <x:c r="J18" s="51" t="n">
        <x:f>'Retail'!E94</x:f>
        <x:v>1863.2107147222684</x:v>
      </x:c>
      <x:c r="K18" s="50" t="str">
        <x:v>DCF / forward EV-EBITDA</x:v>
      </x:c>
    </x:row>
    <x:row r="19" ht="18" customHeight="1">
      <x:c r="A19" s="1"/>
      <x:c r="B19" s="1"/>
      <x:c r="C19" s="1" t="str">
        <x:v>EPC</x:v>
      </x:c>
      <x:c r="D19" s="46" t="n">
        <x:f>'EPC'!E49</x:f>
        <x:v>3600</x:v>
      </x:c>
      <x:c r="E19" s="46" t="n">
        <x:f>'EPC'!I49</x:f>
        <x:v>6198.037440000001</x:v>
      </x:c>
      <x:c r="F19" s="46" t="n">
        <x:f>'EPC'!E61</x:f>
        <x:v>182.625</x:v>
      </x:c>
      <x:c r="G19" s="46" t="n">
        <x:f>'EPC'!I61</x:f>
        <x:v>437.68744415999976</x:v>
      </x:c>
      <x:c r="H19" s="49" t="n">
        <x:f>'EPC'!E83</x:f>
        <x:v>0.12</x:v>
      </x:c>
      <x:c r="I19" s="2" t="str">
        <x:v>EBITDA margin</x:v>
      </x:c>
      <x:c r="J19" s="46" t="n">
        <x:f>'EPC'!E97</x:f>
        <x:v>2895.1081274393564</x:v>
      </x:c>
      <x:c r="K19" s="1" t="str">
        <x:v>DCF / forward EV-EBITDA</x:v>
      </x:c>
    </x:row>
    <x:row r="20" ht="18" customHeight="1">
      <x:c r="A20" s="1"/>
      <x:c r="B20" s="1"/>
      <x:c r="C20" s="50" t="str">
        <x:v>Banking</x:v>
      </x:c>
      <x:c r="D20" s="51" t="n">
        <x:f>'Banking'!E56</x:f>
        <x:v>6927</x:v>
      </x:c>
      <x:c r="E20" s="51" t="n">
        <x:f>'Banking'!I56</x:f>
        <x:v>10746.761826269998</x:v>
      </x:c>
      <x:c r="F20" s="51" t="n">
        <x:f>'Banking'!E62</x:f>
        <x:v>2002.7925</x:v>
      </x:c>
      <x:c r="G20" s="51" t="n">
        <x:f>'Banking'!I62</x:f>
        <x:v>3031.4317255454243</x:v>
      </x:c>
      <x:c r="H20" s="52" t="n">
        <x:f>'Banking'!E77</x:f>
        <x:v>0.12675005823955357</x:v>
      </x:c>
      <x:c r="I20" s="53" t="str">
        <x:v>ROE</x:v>
      </x:c>
      <x:c r="J20" s="51" t="n">
        <x:f>'Banking'!E87</x:f>
        <x:v>26214.053684210525</x:v>
      </x:c>
      <x:c r="K20" s="50" t="str">
        <x:v>Forward P/B; P/E cross-check</x:v>
      </x:c>
    </x:row>
    <x:row r="21" ht="18" customHeight="1">
      <x:c r="A21" s="1"/>
      <x:c r="B21" s="1"/>
      <x:c r="C21" s="1" t="str">
        <x:v>NBFC</x:v>
      </x:c>
      <x:c r="D21" s="46" t="n">
        <x:f>'NBFC'!E56</x:f>
        <x:v>2495.8</x:v>
      </x:c>
      <x:c r="E21" s="46" t="n">
        <x:f>'NBFC'!I56</x:f>
        <x:v>4051.085073497996</x:v>
      </x:c>
      <x:c r="F21" s="46" t="n">
        <x:f>'NBFC'!E62</x:f>
        <x:v>817.3275000000001</x:v>
      </x:c>
      <x:c r="G21" s="46" t="n">
        <x:f>'NBFC'!I62</x:f>
        <x:v>1323.7335753365237</x:v>
      </x:c>
      <x:c r="H21" s="49" t="n">
        <x:f>'NBFC'!E77</x:f>
        <x:v>0.15343309308868466</x:v>
      </x:c>
      <x:c r="I21" s="2" t="str">
        <x:v>ROE</x:v>
      </x:c>
      <x:c r="J21" s="46" t="n">
        <x:f>'NBFC'!E87</x:f>
        <x:v>12398.820175438595</x:v>
      </x:c>
      <x:c r="K21" s="1" t="str">
        <x:v>Forward P/B; P/E cross-check</x:v>
      </x:c>
    </x:row>
    <x:row r="22" ht="18" customHeight="1">
      <x:c r="A22" s="1"/>
      <x:c r="B22" s="1"/>
      <x:c r="C22" s="50" t="str">
        <x:v>General Insurance</x:v>
      </x:c>
      <x:c r="D22" s="51" t="n">
        <x:f>'General Insurance'!E36</x:f>
        <x:v>7620.000000000001</x:v>
      </x:c>
      <x:c r="E22" s="51" t="n">
        <x:f>'General Insurance'!I36</x:f>
        <x:v>12580.287283200007</x:v>
      </x:c>
      <x:c r="F22" s="51" t="n">
        <x:f>'General Insurance'!E43</x:f>
        <x:v>535.5</x:v>
      </x:c>
      <x:c r="G22" s="51" t="n">
        <x:f>'General Insurance'!I43</x:f>
        <x:v>988.3278480228257</x:v>
      </x:c>
      <x:c r="H22" s="52" t="n">
        <x:f>'General Insurance'!E53</x:f>
        <x:v>0.98</x:v>
      </x:c>
      <x:c r="I22" s="53" t="str">
        <x:v>Combined ratio</x:v>
      </x:c>
      <x:c r="J22" s="51" t="n">
        <x:f>'General Insurance'!E58</x:f>
        <x:v>14214.802631578947</x:v>
      </x:c>
      <x:c r="K22" s="50" t="str">
        <x:v>Forward P/B</x:v>
      </x:c>
    </x:row>
    <x:row r="23" ht="18" customHeight="1">
      <x:c r="A23" s="1"/>
      <x:c r="B23" s="1"/>
      <x:c r="C23" s="1" t="str">
        <x:v>Real Estate</x:v>
      </x:c>
      <x:c r="D23" s="46" t="n">
        <x:f>'Real Estate'!E43</x:f>
        <x:v>1500</x:v>
      </x:c>
      <x:c r="E23" s="46" t="n">
        <x:f>'Real Estate'!I43</x:f>
        <x:v>2470.480348087501</x:v>
      </x:c>
      <x:c r="F23" s="46" t="n">
        <x:f>'Real Estate'!E55</x:f>
        <x:v>198.9449999999999</x:v>
      </x:c>
      <x:c r="G23" s="46" t="n">
        <x:f>'Real Estate'!I55</x:f>
        <x:v>358.9226817840282</x:v>
      </x:c>
      <x:c r="H23" s="49" t="n">
        <x:f>'Real Estate'!E64</x:f>
        <x:v>0.881000481000481</x:v>
      </x:c>
      <x:c r="I23" s="2" t="str">
        <x:v>Collections / bookings</x:v>
      </x:c>
      <x:c r="J23" s="46" t="n">
        <x:f>'Real Estate'!E69</x:f>
        <x:v>1398.4190104200998</x:v>
      </x:c>
      <x:c r="K23" s="1" t="str">
        <x:v>Dividend + residual book value</x:v>
      </x:c>
    </x:row>
    <x:row r="24" ht="18" customHeight="1">
      <x:c r="A24" s="1"/>
      <x:c r="B24" s="1"/>
      <x:c r="C24" s="1"/>
      <x:c r="D24" s="2"/>
      <x:c r="E24" s="2"/>
      <x:c r="F24" s="2"/>
      <x:c r="G24" s="2"/>
      <x:c r="H24" s="2"/>
      <x:c r="I24" s="2"/>
      <x:c r="J24" s="1"/>
      <x:c r="K24" s="1"/>
    </x:row>
    <x:row r="25" ht="18" customHeight="1">
      <x:c r="A25" s="1"/>
      <x:c r="B25" s="1"/>
      <x:c r="C25" s="1"/>
      <x:c r="D25" s="2"/>
      <x:c r="E25" s="2"/>
      <x:c r="F25" s="2"/>
      <x:c r="G25" s="2"/>
      <x:c r="H25" s="2"/>
      <x:c r="I25" s="2"/>
      <x:c r="J25" s="1"/>
      <x:c r="K25" s="1"/>
    </x:row>
    <x:row r="26" ht="18" customHeight="1">
      <x:c r="A26" s="1"/>
      <x:c r="B26" s="1"/>
      <x:c r="C26" s="1" t="str">
        <x:v>¹ Income is revenue for operating models and real estate, net operating income for lenders, and net earned premium for insurance.</x:v>
      </x:c>
      <x:c r="D26" s="2"/>
      <x:c r="E26" s="2"/>
      <x:c r="F26" s="2"/>
      <x:c r="G26" s="2"/>
      <x:c r="H26" s="2"/>
      <x:c r="I26" s="2"/>
      <x:c r="J26" s="1"/>
      <x:c r="K26" s="1"/>
    </x:row>
    <x:row r="27" ht="18" customHeight="1">
      <x:c r="A27" s="1"/>
      <x:c r="B27" s="1"/>
      <x:c r="C27" s="1" t="str">
        <x:v>² Equity valuation is at 31 March 2026. Methods differ. Do not add or rank the synthetic examples as sector opportunities.</x:v>
      </x:c>
      <x:c r="D27" s="2"/>
      <x:c r="E27" s="2"/>
      <x:c r="F27" s="2"/>
      <x:c r="G27" s="2"/>
      <x:c r="H27" s="2"/>
      <x:c r="I27" s="2"/>
      <x:c r="J27" s="1"/>
      <x:c r="K27" s="1"/>
    </x:row>
    <x:row r="28" ht="18" customHeight="1">
      <x:c r="A28" s="1"/>
      <x:c r="B28" s="1"/>
      <x:c r="C28" s="1"/>
      <x:c r="D28" s="2"/>
      <x:c r="E28" s="2"/>
      <x:c r="F28" s="2"/>
      <x:c r="G28" s="2"/>
      <x:c r="H28" s="2"/>
      <x:c r="I28" s="2"/>
      <x:c r="J28" s="1"/>
      <x:c r="K28" s="1"/>
    </x:row>
    <x:row r="29" ht="18" customHeight="1">
      <x:c r="A29" s="1"/>
      <x:c r="B29" s="1"/>
      <x:c r="C29" s="1" t="str">
        <x:v>Start with Controls, then edit amber input cells on a sector sheet. All forecast calculations and summary outputs update.</x:v>
      </x:c>
      <x:c r="D29" s="2"/>
      <x:c r="E29" s="2"/>
      <x:c r="F29" s="2"/>
      <x:c r="G29" s="2"/>
      <x:c r="H29" s="2"/>
      <x:c r="I29" s="2"/>
      <x:c r="J29" s="1"/>
      <x:c r="K29" s="1"/>
    </x:row>
    <x:row r="30" ht="18" customHeight="1">
      <x:c r="A30" s="1"/>
      <x:c r="B30" s="1"/>
      <x:c r="C30" s="1" t="str">
        <x:v>Model Review flags funding gaps and reconciliation issues. KPI Guide explains definitions and interpretation.</x:v>
      </x:c>
      <x:c r="D30" s="2"/>
      <x:c r="E30" s="2"/>
      <x:c r="F30" s="2"/>
      <x:c r="G30" s="2"/>
      <x:c r="H30" s="2"/>
      <x:c r="I30" s="2"/>
      <x:c r="J30" s="1"/>
      <x:c r="K30" s="1"/>
    </x:row>
    <x:row r="31" ht="18" customHeight="1">
      <x:c r="A31" s="1"/>
      <x:c r="B31" s="1"/>
      <x:c r="C31" s="1" t="str">
        <x:v>The examples represent individual business archetypes, not the aggregate Indian sector or a named listed company.</x:v>
      </x:c>
      <x:c r="D31" s="2"/>
      <x:c r="E31" s="2"/>
      <x:c r="F31" s="2"/>
      <x:c r="G31" s="2"/>
      <x:c r="H31" s="2"/>
      <x:c r="I31" s="2"/>
      <x:c r="J31" s="1"/>
      <x:c r="K31" s="1"/>
    </x:row>
    <x:row r="32" ht="18" customHeight="1">
      <x:c r="A32" s="1"/>
      <x:c r="B32" s="1"/>
      <x:c r="C32" s="1"/>
      <x:c r="D32" s="2"/>
      <x:c r="E32" s="2"/>
      <x:c r="F32" s="2"/>
      <x:c r="G32" s="2"/>
      <x:c r="H32" s="2"/>
      <x:c r="I32" s="2"/>
      <x:c r="J32" s="1"/>
      <x:c r="K32" s="1"/>
    </x:row>
    <x:row r="33" ht="18" customHeight="1">
      <x:c r="A33" s="1"/>
      <x:c r="B33" s="1"/>
      <x:c r="C33" s="1" t="str">
        <x:v>Scope: 12 integrated operating models; lending and general-insurance balance-sheet models; a developer cash and recognition model.</x:v>
      </x:c>
      <x:c r="D33" s="2"/>
      <x:c r="E33" s="2"/>
      <x:c r="F33" s="2"/>
      <x:c r="G33" s="2"/>
      <x:c r="H33" s="2"/>
      <x:c r="I33" s="2"/>
      <x:c r="J33" s="1"/>
      <x:c r="K33" s="1"/>
    </x:row>
    <x:row r="34" ht="18" customHeight="1">
      <x:c r="A34" s="1"/>
      <x:c r="B34" s="1"/>
      <x:c r="C34" s="1"/>
      <x:c r="D34" s="2"/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/>
      <x:c r="D35" s="2"/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/>
      <x:c r="D36" s="2"/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/>
      <x:c r="D37" s="2"/>
      <x:c r="E37" s="2"/>
      <x:c r="F37" s="2"/>
      <x:c r="G37" s="2"/>
      <x:c r="H37" s="2"/>
      <x:c r="I37" s="2"/>
      <x:c r="J37" s="1"/>
      <x:c r="K37" s="1"/>
    </x:row>
    <x:row r="38" ht="18" customHeight="1">
      <x:c r="A38" s="1"/>
      <x:c r="B38" s="1"/>
      <x:c r="C38" s="1"/>
      <x:c r="D38" s="2"/>
      <x:c r="E38" s="2"/>
      <x:c r="F38" s="2"/>
      <x:c r="G38" s="2"/>
      <x:c r="H38" s="2"/>
      <x:c r="I38" s="2"/>
      <x:c r="J38" s="1"/>
      <x:c r="K38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26A93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Model assumptions and scenario control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All financial and operating inputs are illustrative, not company data.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Scenario selector</x:v>
      </x:c>
      <x:c r="D5" s="2"/>
      <x:c r="E5" s="59" t="n">
        <x:v>1</x:v>
      </x:c>
      <x:c r="F5" s="2"/>
      <x:c r="G5" s="2" t="str">
        <x:v>1 Base / 2 Downside / 3 Upside</x:v>
      </x:c>
      <x:c r="H5" s="2"/>
      <x:c r="I5" s="2"/>
      <x:c r="J5" s="1"/>
      <x:c r="K5" s="1"/>
    </x:row>
    <x:row r="6" ht="18" customHeight="1">
      <x:c r="A6" s="1"/>
      <x:c r="B6" s="1"/>
      <x:c r="C6" s="1" t="str">
        <x:v>Selected case</x:v>
      </x:c>
      <x:c r="D6" s="2"/>
      <x:c r="E6" s="8" t="str">
        <x:f>CHOOSE(E5,"Base","Downside","Upside")</x:f>
        <x:v>Base</x:v>
      </x:c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"/>
      <x:c r="D7" s="2"/>
      <x:c r="E7" s="2"/>
      <x:c r="F7" s="2"/>
      <x:c r="G7" s="2"/>
      <x:c r="H7" s="2"/>
      <x:c r="I7" s="2"/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" t="str">
        <x:v>INR per crore</x:v>
      </x:c>
      <x:c r="D9" s="2"/>
      <x:c r="E9" s="2" t="n">
        <x:v>10000000</x:v>
      </x:c>
      <x:c r="F9" s="2"/>
      <x:c r="G9" s="2"/>
      <x:c r="H9" s="2"/>
      <x:c r="I9" s="2"/>
      <x:c r="J9" s="1"/>
      <x:c r="K9" s="1"/>
    </x:row>
    <x:row r="10" ht="18" customHeight="1">
      <x:c r="A10" s="1"/>
      <x:c r="B10" s="1"/>
      <x:c r="C10" s="1" t="str">
        <x:v>Months per year</x:v>
      </x:c>
      <x:c r="D10" s="2"/>
      <x:c r="E10" s="2" t="n">
        <x:v>12</x:v>
      </x:c>
      <x:c r="F10" s="2"/>
      <x:c r="G10" s="2"/>
      <x:c r="H10" s="2"/>
      <x:c r="I10" s="2"/>
      <x:c r="J10" s="1"/>
      <x:c r="K10" s="1"/>
    </x:row>
    <x:row r="11" ht="18" customHeight="1">
      <x:c r="A11" s="1"/>
      <x:c r="B11" s="1"/>
      <x:c r="C11" s="1" t="str">
        <x:v>Days for turnover ratios</x:v>
      </x:c>
      <x:c r="D11" s="2"/>
      <x:c r="E11" s="2" t="n">
        <x:v>365</x:v>
      </x:c>
      <x:c r="F11" s="2"/>
      <x:c r="G11" s="2"/>
      <x:c r="H11" s="2"/>
      <x:c r="I11" s="2"/>
      <x:c r="J11" s="1"/>
      <x:c r="K11" s="1"/>
    </x:row>
    <x:row r="12" ht="18" customHeight="1">
      <x:c r="A12" s="1"/>
      <x:c r="B12" s="1"/>
      <x:c r="C12" s="1" t="str">
        <x:v>Hours per year</x:v>
      </x:c>
      <x:c r="D12" s="2"/>
      <x:c r="E12" s="2" t="n">
        <x:v>8760</x:v>
      </x:c>
      <x:c r="F12" s="2"/>
      <x:c r="G12" s="2"/>
      <x:c r="H12" s="2"/>
      <x:c r="I12" s="2"/>
      <x:c r="J12" s="1"/>
      <x:c r="K12" s="1"/>
    </x:row>
    <x:row r="13" ht="18" customHeight="1">
      <x:c r="A13" s="1"/>
      <x:c r="B13" s="1"/>
      <x:c r="C13" s="1" t="str">
        <x:v>kWh per MWh</x:v>
      </x:c>
      <x:c r="D13" s="2"/>
      <x:c r="E13" s="2" t="n">
        <x:v>1000</x:v>
      </x:c>
      <x:c r="F13" s="2"/>
      <x:c r="G13" s="2"/>
      <x:c r="H13" s="2"/>
      <x:c r="I13" s="2"/>
      <x:c r="J13" s="1"/>
      <x:c r="K13" s="1"/>
    </x:row>
    <x:row r="14" ht="18" customHeight="1">
      <x:c r="A14" s="1"/>
      <x:c r="B14" s="1"/>
      <x:c r="C14" s="1" t="str">
        <x:v>Units per million</x:v>
      </x:c>
      <x:c r="D14" s="2"/>
      <x:c r="E14" s="2" t="n">
        <x:v>1000000</x:v>
      </x:c>
      <x:c r="F14" s="2"/>
      <x:c r="G14" s="2"/>
      <x:c r="H14" s="2"/>
      <x:c r="I14" s="2"/>
      <x:c r="J14" s="1"/>
      <x:c r="K14" s="1"/>
    </x:row>
    <x:row r="15" ht="18" customHeight="1">
      <x:c r="A15" s="1"/>
      <x:c r="B15" s="1"/>
      <x:c r="C15" s="1" t="str">
        <x:v>Units per lakh</x:v>
      </x:c>
      <x:c r="D15" s="2"/>
      <x:c r="E15" s="2" t="n">
        <x:v>100000</x:v>
      </x:c>
      <x:c r="F15" s="2"/>
      <x:c r="G15" s="2"/>
      <x:c r="H15" s="2"/>
      <x:c r="I15" s="2"/>
      <x:c r="J15" s="1"/>
      <x:c r="K15" s="1"/>
    </x:row>
    <x:row r="16" ht="18" customHeight="1">
      <x:c r="A16" s="1"/>
      <x:c r="B16" s="1"/>
      <x:c r="C16" s="1" t="str">
        <x:v>kg per tonne</x:v>
      </x:c>
      <x:c r="D16" s="2"/>
      <x:c r="E16" s="2" t="n">
        <x:v>1000</x:v>
      </x:c>
      <x:c r="F16" s="2"/>
      <x:c r="G16" s="2"/>
      <x:c r="H16" s="2"/>
      <x:c r="I16" s="2"/>
      <x:c r="J16" s="1"/>
      <x:c r="K16" s="1"/>
    </x:row>
    <x:row r="17" ht="18" customHeight="1">
      <x:c r="A17" s="1"/>
      <x:c r="B17" s="1"/>
      <x:c r="C17" s="1"/>
      <x:c r="D17" s="2"/>
      <x:c r="E17" s="2"/>
      <x:c r="F17" s="2"/>
      <x:c r="G17" s="2"/>
      <x:c r="H17" s="2"/>
      <x:c r="I17" s="2"/>
      <x:c r="J17" s="1"/>
      <x:c r="K17" s="1"/>
    </x:row>
    <x:row r="18" ht="18" customHeight="1">
      <x:c r="A18" s="1"/>
      <x:c r="B18" s="1"/>
      <x:c r="C18" s="1"/>
      <x:c r="D18" s="2"/>
      <x:c r="E18" s="2"/>
      <x:c r="F18" s="2"/>
      <x:c r="G18" s="2"/>
      <x:c r="H18" s="2"/>
      <x:c r="I18" s="2"/>
      <x:c r="J18" s="1"/>
      <x:c r="K18" s="1"/>
    </x:row>
    <x:row r="19" ht="18" customHeight="1">
      <x:c r="A19" s="1"/>
      <x:c r="B19" s="1"/>
      <x:c r="C19" s="1" t="str">
        <x:v>Forecast year ends</x:v>
      </x:c>
      <x:c r="D19" s="2"/>
      <x:c r="E19" s="9" t="n">
        <x:v>46477</x:v>
      </x:c>
      <x:c r="F19" s="9" t="n">
        <x:v>46843</x:v>
      </x:c>
      <x:c r="G19" s="9" t="n">
        <x:v>47208</x:v>
      </x:c>
      <x:c r="H19" s="9" t="n">
        <x:v>47573</x:v>
      </x:c>
      <x:c r="I19" s="9" t="n">
        <x:v>47938</x:v>
      </x:c>
      <x:c r="J19" s="1"/>
      <x:c r="K19" s="1"/>
    </x:row>
    <x:row r="20" ht="18" customHeight="1">
      <x:c r="A20" s="1"/>
      <x:c r="B20" s="1"/>
      <x:c r="C20" s="1"/>
      <x:c r="D20" s="2"/>
      <x:c r="E20" s="2"/>
      <x:c r="F20" s="2"/>
      <x:c r="G20" s="2"/>
      <x:c r="H20" s="2"/>
      <x:c r="I20" s="2"/>
      <x:c r="J20" s="1"/>
      <x:c r="K20" s="1"/>
    </x:row>
    <x:row r="21" ht="18" customHeight="1">
      <x:c r="A21" s="1"/>
      <x:c r="B21" s="1"/>
      <x:c r="C21" s="1" t="str">
        <x:v>Tax, discount rates and multiples are editable on each model.</x:v>
      </x:c>
      <x:c r="D21" s="2"/>
      <x:c r="E21" s="2"/>
      <x:c r="F21" s="2"/>
      <x:c r="G21" s="2"/>
      <x:c r="H21" s="2"/>
      <x:c r="I21" s="2"/>
      <x:c r="J21" s="1"/>
      <x:c r="K21" s="1"/>
    </x:row>
    <x:row r="22" ht="18" customHeight="1">
      <x:c r="A22" s="1"/>
      <x:c r="B22" s="1"/>
      <x:c r="C22" s="1" t="str">
        <x:v>Scenario selector changes the explicitly grouped drivers only.</x:v>
      </x:c>
      <x:c r="D22" s="2"/>
      <x:c r="E22" s="2"/>
      <x:c r="F22" s="2"/>
      <x:c r="G22" s="2"/>
      <x:c r="H22" s="2"/>
      <x:c r="I22" s="2"/>
      <x:c r="J22" s="1"/>
      <x:c r="K22" s="1"/>
    </x:row>
    <x:row r="23" ht="18" customHeight="1">
      <x:c r="A23" s="1"/>
      <x:c r="B23" s="1"/>
      <x:c r="C23" s="1" t="str">
        <x:v>No probability weights, price targets or investment recommendations are implied.</x:v>
      </x:c>
      <x:c r="D23" s="2"/>
      <x:c r="E23" s="2"/>
      <x:c r="F23" s="2"/>
      <x:c r="G23" s="2"/>
      <x:c r="H23" s="2"/>
      <x:c r="I23" s="2"/>
      <x:c r="J23" s="1"/>
      <x:c r="K23" s="1"/>
    </x:row>
    <x:row r="24" ht="18" customHeight="1">
      <x:c r="A24" s="1"/>
      <x:c r="B24" s="1"/>
      <x:c r="C24" s="1"/>
      <x:c r="D24" s="2"/>
      <x:c r="E24" s="2"/>
      <x:c r="F24" s="2"/>
      <x:c r="G24" s="2"/>
      <x:c r="H24" s="2"/>
      <x:c r="I24" s="2"/>
      <x:c r="J24" s="1"/>
      <x:c r="K24" s="1"/>
    </x:row>
    <x:row r="25" ht="18" customHeight="1">
      <x:c r="A25" s="1"/>
      <x:c r="B25" s="1"/>
      <x:c r="C25" s="1" t="str">
        <x:v>Blue text + amber fill = input. Black = same-sheet formula. Green = linked formula.</x:v>
      </x:c>
      <x:c r="D25" s="2"/>
      <x:c r="E25" s="2"/>
      <x:c r="F25" s="2"/>
      <x:c r="G25" s="2"/>
      <x:c r="H25" s="2"/>
      <x:c r="I25" s="2"/>
      <x:c r="J25" s="1"/>
      <x:c r="K25" s="1"/>
    </x:row>
    <x:row r="26" ht="18" customHeight="1">
      <x:c r="A26" s="1"/>
      <x:c r="B26" s="1"/>
      <x:c r="C26" s="1"/>
      <x:c r="D26" s="2"/>
      <x:c r="E26" s="2"/>
      <x:c r="F26" s="2"/>
      <x:c r="G26" s="2"/>
      <x:c r="H26" s="2"/>
      <x:c r="I26" s="2"/>
      <x:c r="J26" s="1"/>
      <x:c r="K26" s="1"/>
    </x:row>
    <x:row r="27" ht="18" customHeight="1">
      <x:c r="A27" s="1"/>
      <x:c r="B27" s="1"/>
      <x:c r="C27" s="1" t="str">
        <x:v>Opening balances are at 31 March 2026. E means model estimate.</x:v>
      </x:c>
      <x:c r="D27" s="2"/>
      <x:c r="E27" s="2"/>
      <x:c r="F27" s="2"/>
      <x:c r="G27" s="2"/>
      <x:c r="H27" s="2"/>
      <x:c r="I27" s="2"/>
      <x:c r="J27" s="1"/>
      <x:c r="K27" s="1"/>
    </x:row>
    <x:row r="28" ht="18" customHeight="1">
      <x:c r="A28" s="1"/>
      <x:c r="B28" s="1"/>
      <x:c r="C28" s="1" t="str">
        <x:v>Amounts exclude GST. INR revenue uses nominal assumptions.</x:v>
      </x:c>
      <x:c r="D28" s="2"/>
      <x:c r="E28" s="2"/>
      <x:c r="F28" s="2"/>
      <x:c r="G28" s="2"/>
      <x:c r="H28" s="2"/>
      <x:c r="I28" s="2"/>
      <x:c r="J28" s="1"/>
      <x:c r="K28" s="1"/>
    </x:row>
    <x:row r="29" ht="18" customHeight="1">
      <x:c r="A29" s="1"/>
      <x:c r="B29" s="1"/>
      <x:c r="C29" s="1" t="str">
        <x:v>Replace illustrative inputs and add source references before company-specific use.</x:v>
      </x:c>
      <x:c r="D29" s="2"/>
      <x:c r="E29" s="2"/>
      <x:c r="F29" s="2"/>
      <x:c r="G29" s="2"/>
      <x:c r="H29" s="2"/>
      <x:c r="I29" s="2"/>
      <x:c r="J29" s="1"/>
      <x:c r="K29" s="1"/>
    </x:row>
    <x:row r="30" ht="18" customHeight="1">
      <x:c r="A30" s="1"/>
      <x:c r="B30" s="1"/>
      <x:c r="C30" s="1"/>
      <x:c r="D30" s="2"/>
      <x:c r="E30" s="2"/>
      <x:c r="F30" s="2"/>
      <x:c r="G30" s="2"/>
      <x:c r="H30" s="2"/>
      <x:c r="I30" s="2"/>
      <x:c r="J30" s="1"/>
      <x:c r="K30" s="1"/>
    </x:row>
    <x:row r="31" ht="18" customHeight="1">
      <x:c r="A31" s="1"/>
      <x:c r="B31" s="1"/>
      <x:c r="C31" s="1"/>
      <x:c r="D31" s="2"/>
      <x:c r="E31" s="2"/>
      <x:c r="F31" s="2"/>
      <x:c r="G31" s="2"/>
      <x:c r="H31" s="2"/>
      <x:c r="I31" s="2"/>
      <x:c r="J31" s="1"/>
      <x:c r="K31" s="1"/>
    </x:row>
    <x:row r="32" ht="18" customHeight="1">
      <x:c r="A32" s="1"/>
      <x:c r="B32" s="1"/>
      <x:c r="C32" s="1"/>
      <x:c r="D32" s="2"/>
      <x:c r="E32" s="2"/>
      <x:c r="F32" s="2"/>
      <x:c r="G32" s="2"/>
      <x:c r="H32" s="2"/>
      <x:c r="I32" s="2"/>
      <x:c r="J32" s="1"/>
      <x:c r="K32" s="1"/>
    </x:row>
    <x:row r="33" ht="18" customHeight="1">
      <x:c r="A33" s="1"/>
      <x:c r="B33" s="1"/>
      <x:c r="C33" s="1"/>
      <x:c r="D33" s="2"/>
      <x:c r="E33" s="2"/>
      <x:c r="F33" s="2"/>
      <x:c r="G33" s="2"/>
      <x:c r="H33" s="2"/>
      <x:c r="I33" s="2"/>
      <x:c r="J33" s="1"/>
      <x:c r="K33" s="1"/>
    </x:row>
    <x:row r="34" ht="18" customHeight="1">
      <x:c r="A34" s="1"/>
      <x:c r="B34" s="1"/>
      <x:c r="C34" s="1"/>
      <x:c r="D34" s="2"/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/>
      <x:c r="D35" s="2"/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/>
      <x:c r="D36" s="2"/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/>
      <x:c r="D37" s="2"/>
      <x:c r="E37" s="2"/>
      <x:c r="F37" s="2"/>
      <x:c r="G37" s="2"/>
      <x:c r="H37" s="2"/>
      <x:c r="I37" s="2"/>
      <x:c r="J37" s="1"/>
      <x:c r="K37" s="1"/>
    </x:row>
    <x:row r="38" ht="18" customHeight="1">
      <x:c r="A38" s="1"/>
      <x:c r="B38" s="1"/>
      <x:c r="C38" s="1"/>
      <x:c r="D38" s="2"/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/>
      <x:c r="D39" s="2"/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/>
      <x:c r="D40" s="2"/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/>
      <x:c r="D41" s="2"/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/>
      <x:c r="D42" s="2"/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"/>
      <x:c r="D43" s="2"/>
      <x:c r="E43" s="2"/>
      <x:c r="F43" s="2"/>
      <x:c r="G43" s="2"/>
      <x:c r="H43" s="2"/>
      <x:c r="I43" s="2"/>
      <x:c r="J43" s="1"/>
      <x:c r="K43" s="1"/>
    </x:row>
    <x:row r="44" ht="18" customHeight="1">
      <x:c r="A44" s="1"/>
      <x:c r="B44" s="1"/>
      <x:c r="C44" s="1"/>
      <x:c r="D44" s="2"/>
      <x:c r="E44" s="2"/>
      <x:c r="F44" s="2"/>
      <x:c r="G44" s="2"/>
      <x:c r="H44" s="2"/>
      <x:c r="I44" s="2"/>
      <x:c r="J44" s="1"/>
      <x:c r="K44" s="1"/>
    </x:row>
    <x:row r="45" ht="18" customHeight="1">
      <x:c r="A45" s="1"/>
      <x:c r="B45" s="1"/>
      <x:c r="C45" s="1"/>
      <x:c r="D45" s="2"/>
      <x:c r="E45" s="2"/>
      <x:c r="F45" s="2"/>
      <x:c r="G45" s="2"/>
      <x:c r="H45" s="2"/>
      <x:c r="I45" s="2"/>
      <x:c r="J45" s="1"/>
      <x:c r="K45" s="1"/>
    </x:row>
  </x:sheetData>
  <x:dataValidations count="1">
    <x:dataValidation type="list" sqref="E5">
      <x:formula1>"1,2,3"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IT Services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delivery FTE — seed</x:v>
      </x:c>
      <x:c r="D10" s="7" t="n">
        <x:v>10000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30" customHeight="1">
      <x:c r="A11" s="1"/>
      <x:c r="B11" s="1"/>
      <x:c r="C11" s="56" t="str">
        <x:v>Annual billing per utilized FTE (INR lakh) — seed</x:v>
      </x:c>
      <x:c r="D11" s="7" t="n">
        <x:v>55</x:v>
      </x:c>
      <x:c r="E11" s="2"/>
      <x:c r="F11" s="2"/>
      <x:c r="G11" s="2"/>
      <x:c r="H11" s="2"/>
      <x:c r="I11" s="2"/>
      <x:c r="J11" s="1"/>
      <x:c r="K11" s="1" t="str">
        <x:v>Billing in INR; FX, onsite/offshore mix and fixed-price projects need separate company schedules.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0.08</x:v>
      </x:c>
      <x:c r="F12" s="30" t="n">
        <x:f>IF(COUNT(INDEX(F13:F15,'Controls'!$E$5))=0,NA(),INDEX(F13:F15,'Controls'!$E$5))</x:f>
        <x:v>0.08</x:v>
      </x:c>
      <x:c r="G12" s="30" t="n">
        <x:f>IF(COUNT(INDEX(G13:G15,'Controls'!$E$5))=0,NA(),INDEX(G13:G15,'Controls'!$E$5))</x:f>
        <x:v>0.08</x:v>
      </x:c>
      <x:c r="H12" s="30" t="n">
        <x:f>IF(COUNT(INDEX(H13:H15,'Controls'!$E$5))=0,NA(),INDEX(H13:H15,'Controls'!$E$5))</x:f>
        <x:v>0.08</x:v>
      </x:c>
      <x:c r="I12" s="30" t="n">
        <x:f>IF(COUNT(INDEX(I13:I15,'Controls'!$E$5))=0,NA(),INDEX(I13:I15,'Controls'!$E$5))</x:f>
        <x:v>0.08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0.08</x:v>
      </x:c>
      <x:c r="F13" s="26" t="n">
        <x:v>0.08</x:v>
      </x:c>
      <x:c r="G13" s="26" t="n">
        <x:v>0.08</x:v>
      </x:c>
      <x:c r="H13" s="26" t="n">
        <x:v>0.08</x:v>
      </x:c>
      <x:c r="I13" s="26" t="n">
        <x:v>0.08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0.03</x:v>
      </x:c>
      <x:c r="F14" s="26" t="n">
        <x:v>0.03</x:v>
      </x:c>
      <x:c r="G14" s="26" t="n">
        <x:v>0.03</x:v>
      </x:c>
      <x:c r="H14" s="26" t="n">
        <x:v>0.03</x:v>
      </x:c>
      <x:c r="I14" s="26" t="n">
        <x:v>0.03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0.12</x:v>
      </x:c>
      <x:c r="F15" s="26" t="n">
        <x:v>0.12</x:v>
      </x:c>
      <x:c r="G15" s="26" t="n">
        <x:v>0.12</x:v>
      </x:c>
      <x:c r="H15" s="26" t="n">
        <x:v>0.12</x:v>
      </x:c>
      <x:c r="I15" s="26" t="n">
        <x:v>0.12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0.025</x:v>
      </x:c>
      <x:c r="F16" s="30" t="n">
        <x:f>IF(COUNT(INDEX(F17:F19,'Controls'!$E$5))=0,NA(),INDEX(F17:F19,'Controls'!$E$5))</x:f>
        <x:v>0.025</x:v>
      </x:c>
      <x:c r="G16" s="30" t="n">
        <x:f>IF(COUNT(INDEX(G17:G19,'Controls'!$E$5))=0,NA(),INDEX(G17:G19,'Controls'!$E$5))</x:f>
        <x:v>0.025</x:v>
      </x:c>
      <x:c r="H16" s="30" t="n">
        <x:f>IF(COUNT(INDEX(H17:H19,'Controls'!$E$5))=0,NA(),INDEX(H17:H19,'Controls'!$E$5))</x:f>
        <x:v>0.025</x:v>
      </x:c>
      <x:c r="I16" s="30" t="n">
        <x:f>IF(COUNT(INDEX(I17:I19,'Controls'!$E$5))=0,NA(),INDEX(I17:I19,'Controls'!$E$5))</x:f>
        <x:v>0.025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0.025</x:v>
      </x:c>
      <x:c r="F17" s="26" t="n">
        <x:v>0.025</x:v>
      </x:c>
      <x:c r="G17" s="26" t="n">
        <x:v>0.025</x:v>
      </x:c>
      <x:c r="H17" s="26" t="n">
        <x:v>0.025</x:v>
      </x:c>
      <x:c r="I17" s="26" t="n">
        <x:v>0.025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</x:v>
      </x:c>
      <x:c r="F18" s="26" t="n">
        <x:v>0</x:v>
      </x:c>
      <x:c r="G18" s="26" t="n">
        <x:v>0</x:v>
      </x:c>
      <x:c r="H18" s="26" t="n">
        <x:v>0</x:v>
      </x:c>
      <x:c r="I18" s="26" t="n">
        <x:v>0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0.045</x:v>
      </x:c>
      <x:c r="F19" s="26" t="n">
        <x:v>0.045</x:v>
      </x:c>
      <x:c r="G19" s="26" t="n">
        <x:v>0.045</x:v>
      </x:c>
      <x:c r="H19" s="26" t="n">
        <x:v>0.045</x:v>
      </x:c>
      <x:c r="I19" s="26" t="n">
        <x:v>0.045</x:v>
      </x:c>
      <x:c r="J19" s="1"/>
      <x:c r="K19" s="1"/>
    </x:row>
    <x:row r="20" ht="18" customHeight="1">
      <x:c r="A20" s="1"/>
      <x:c r="B20" s="1"/>
      <x:c r="C20" s="23" t="str">
        <x:v>Billable utilization</x:v>
      </x:c>
      <x:c r="D20" s="24"/>
      <x:c r="E20" s="26" t="n">
        <x:v>0.82</x:v>
      </x:c>
      <x:c r="F20" s="26" t="n">
        <x:v>0.82</x:v>
      </x:c>
      <x:c r="G20" s="26" t="n">
        <x:v>0.82</x:v>
      </x:c>
      <x:c r="H20" s="26" t="n">
        <x:v>0.82</x:v>
      </x:c>
      <x:c r="I20" s="26" t="n">
        <x:v>0.82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Employee delivery cost / revenue</x:v>
      </x:c>
      <x:c r="D21" s="24"/>
      <x:c r="E21" s="26" t="n">
        <x:v>0.6</x:v>
      </x:c>
      <x:c r="F21" s="26" t="n">
        <x:v>0.6</x:v>
      </x:c>
      <x:c r="G21" s="26" t="n">
        <x:v>0.6</x:v>
      </x:c>
      <x:c r="H21" s="26" t="n">
        <x:v>0.6</x:v>
      </x:c>
      <x:c r="I21" s="26" t="n">
        <x:v>0.6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0.15</x:v>
      </x:c>
      <x:c r="F22" s="26" t="n">
        <x:v>0.15</x:v>
      </x:c>
      <x:c r="G22" s="26" t="n">
        <x:v>0.15</x:v>
      </x:c>
      <x:c r="H22" s="26" t="n">
        <x:v>0.15</x:v>
      </x:c>
      <x:c r="I22" s="26" t="n">
        <x:v>0.15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0.035</x:v>
      </x:c>
      <x:c r="F23" s="26" t="n">
        <x:v>0.035</x:v>
      </x:c>
      <x:c r="G23" s="26" t="n">
        <x:v>0.035</x:v>
      </x:c>
      <x:c r="H23" s="26" t="n">
        <x:v>0.035</x:v>
      </x:c>
      <x:c r="I23" s="26" t="n">
        <x:v>0.035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0.18</x:v>
      </x:c>
      <x:c r="F24" s="26" t="n">
        <x:v>0.18</x:v>
      </x:c>
      <x:c r="G24" s="26" t="n">
        <x:v>0.18</x:v>
      </x:c>
      <x:c r="H24" s="26" t="n">
        <x:v>0.18</x:v>
      </x:c>
      <x:c r="I24" s="26" t="n">
        <x:v>0.18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65</x:v>
      </x:c>
      <x:c r="F25" s="7" t="n">
        <x:v>65</x:v>
      </x:c>
      <x:c r="G25" s="7" t="n">
        <x:v>65</x:v>
      </x:c>
      <x:c r="H25" s="7" t="n">
        <x:v>65</x:v>
      </x:c>
      <x:c r="I25" s="7" t="n">
        <x:v>65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0</x:v>
      </x:c>
      <x:c r="F26" s="7" t="n">
        <x:v>0</x:v>
      </x:c>
      <x:c r="G26" s="7" t="n">
        <x:v>0</x:v>
      </x:c>
      <x:c r="H26" s="7" t="n">
        <x:v>0</x:v>
      </x:c>
      <x:c r="I26" s="7" t="n">
        <x:v>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15</x:v>
      </x:c>
      <x:c r="F27" s="7" t="n">
        <x:v>15</x:v>
      </x:c>
      <x:c r="G27" s="7" t="n">
        <x:v>15</x:v>
      </x:c>
      <x:c r="H27" s="7" t="n">
        <x:v>15</x:v>
      </x:c>
      <x:c r="I27" s="7" t="n">
        <x:v>15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10</x:v>
      </x:c>
      <x:c r="F31" s="7" t="n">
        <x:v>10</x:v>
      </x:c>
      <x:c r="G31" s="7" t="n">
        <x:v>10</x:v>
      </x:c>
      <x:c r="H31" s="7" t="n">
        <x:v>10</x:v>
      </x:c>
      <x:c r="I31" s="7" t="n">
        <x:v>10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500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100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400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691.945205479452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16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Average delivery FTE</x:v>
      </x:c>
      <x:c r="D44" s="2"/>
      <x:c r="E44" s="8" t="n">
        <x:f>$D10*(1+E12)</x:f>
        <x:v>10800</x:v>
      </x:c>
      <x:c r="F44" s="8" t="n">
        <x:f>E44*(1+F12)</x:f>
        <x:v>11664</x:v>
      </x:c>
      <x:c r="G44" s="8" t="n">
        <x:f>F44*(1+G12)</x:f>
        <x:v>12597.12</x:v>
      </x:c>
      <x:c r="H44" s="8" t="n">
        <x:f>G44*(1+H12)</x:f>
        <x:v>13604.889600000002</x:v>
      </x:c>
      <x:c r="I44" s="8" t="n">
        <x:f>H44*(1+I12)</x:f>
        <x:v>14693.280768000004</x:v>
      </x:c>
      <x:c r="J44" s="1"/>
      <x:c r="K44" s="1"/>
    </x:row>
    <x:row r="45" ht="18" customHeight="1">
      <x:c r="A45" s="1"/>
      <x:c r="B45" s="1"/>
      <x:c r="C45" s="1" t="str">
        <x:v>Annual billing per utilized FTE (INR lakh)</x:v>
      </x:c>
      <x:c r="D45" s="2"/>
      <x:c r="E45" s="8" t="n">
        <x:f>$D11*(1+E16)</x:f>
        <x:v>56.37499999999999</x:v>
      </x:c>
      <x:c r="F45" s="8" t="n">
        <x:f>E45*(1+F16)</x:f>
        <x:v>57.78437499999999</x:v>
      </x:c>
      <x:c r="G45" s="8" t="n">
        <x:f>F45*(1+G16)</x:f>
        <x:v>59.22898437499998</x:v>
      </x:c>
      <x:c r="H45" s="8" t="n">
        <x:f>G45*(1+H16)</x:f>
        <x:v>60.70970898437498</x:v>
      </x:c>
      <x:c r="I45" s="8" t="n">
        <x:f>H45*(1+I16)</x:f>
        <x:v>62.22745170898435</x:v>
      </x:c>
      <x:c r="J45" s="1"/>
      <x:c r="K45" s="1"/>
    </x:row>
    <x:row r="46" ht="18" customHeight="1">
      <x:c r="A46" s="1"/>
      <x:c r="B46" s="1"/>
      <x:c r="C46" s="1" t="str">
        <x:v>Billable FTE</x:v>
      </x:c>
      <x:c r="D46" s="2"/>
      <x:c r="E46" s="8" t="n">
        <x:f>E44*E20</x:f>
        <x:v>8856</x:v>
      </x:c>
      <x:c r="F46" s="8" t="n">
        <x:f>F44*F20</x:f>
        <x:v>9564.48</x:v>
      </x:c>
      <x:c r="G46" s="8" t="n">
        <x:f>G44*G20</x:f>
        <x:v>10329.6384</x:v>
      </x:c>
      <x:c r="H46" s="8" t="n">
        <x:f>H44*H20</x:f>
        <x:v>11156.009472000002</x:v>
      </x:c>
      <x:c r="I46" s="8" t="n">
        <x:f>I44*I20</x:f>
        <x:v>12048.490229760002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E46*E45*'Controls'!$E$15/'Controls'!$E$9</x:f>
        <x:v>4992.569999999999</x:v>
      </x:c>
      <x:c r="F47" s="60" t="n">
        <x:f>F46*F45*'Controls'!$E$15/'Controls'!$E$9</x:f>
        <x:v>5526.774989999998</x:v>
      </x:c>
      <x:c r="G47" s="60" t="n">
        <x:f>G46*G45*'Controls'!$E$15/'Controls'!$E$9</x:f>
        <x:v>6118.139913929998</x:v>
      </x:c>
      <x:c r="H47" s="60" t="n">
        <x:f>H46*H45*'Controls'!$E$15/'Controls'!$E$9</x:f>
        <x:v>6772.780884720509</x:v>
      </x:c>
      <x:c r="I47" s="60" t="n">
        <x:f>I46*I45*'Controls'!$E$15/'Controls'!$E$9</x:f>
        <x:v>7497.468439385601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2995.541999999999</x:v>
      </x:c>
      <x:c r="F49" s="8" t="n">
        <x:f>F47*F21</x:f>
        <x:v>3316.064993999999</x:v>
      </x:c>
      <x:c r="G49" s="8" t="n">
        <x:f>G47*G21</x:f>
        <x:v>3670.883948357999</x:v>
      </x:c>
      <x:c r="H49" s="8" t="n">
        <x:f>H47*H21</x:f>
        <x:v>4063.668530832305</x:v>
      </x:c>
      <x:c r="I49" s="8" t="n">
        <x:f>I47*I21</x:f>
        <x:v>4498.4810636313605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1997.0279999999998</x:v>
      </x:c>
      <x:c r="F50" s="8" t="n">
        <x:f>F47-F49</x:f>
        <x:v>2210.709995999999</x:v>
      </x:c>
      <x:c r="G50" s="8" t="n">
        <x:f>G47-G49</x:f>
        <x:v>2447.2559655719992</x:v>
      </x:c>
      <x:c r="H50" s="8" t="n">
        <x:f>H47-H49</x:f>
        <x:v>2709.112353888204</x:v>
      </x:c>
      <x:c r="I50" s="8" t="n">
        <x:f>I47-I49</x:f>
        <x:v>2998.987375754241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748.8854999999998</x:v>
      </x:c>
      <x:c r="F51" s="8" t="n">
        <x:f>F47*F22</x:f>
        <x:v>829.0162484999997</x:v>
      </x:c>
      <x:c r="G51" s="8" t="n">
        <x:f>G47*G22</x:f>
        <x:v>917.7209870894998</x:v>
      </x:c>
      <x:c r="H51" s="8" t="n">
        <x:f>H47*H22</x:f>
        <x:v>1015.9171327080762</x:v>
      </x:c>
      <x:c r="I51" s="8" t="n">
        <x:f>I47*I22</x:f>
        <x:v>1124.6202659078401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1248.1425</x:v>
      </x:c>
      <x:c r="F52" s="41" t="n">
        <x:f>F50-F51</x:f>
        <x:v>1381.6937474999995</x:v>
      </x:c>
      <x:c r="G52" s="41" t="n">
        <x:f>G50-G51</x:f>
        <x:v>1529.5349784824994</x:v>
      </x:c>
      <x:c r="H52" s="41" t="n">
        <x:f>H50-H51</x:f>
        <x:v>1693.1952211801276</x:v>
      </x:c>
      <x:c r="I52" s="41" t="n">
        <x:f>I50-I51</x:f>
        <x:v>1874.3671098464008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90</x:v>
      </x:c>
      <x:c r="F53" s="8" t="n">
        <x:f>E66*F24</x:f>
        <x:v>105.25319099999997</x:v>
      </x:c>
      <x:c r="G53" s="8" t="n">
        <x:f>F66*G24</x:f>
        <x:v>121.12629905699997</x:v>
      </x:c>
      <x:c r="H53" s="8" t="n">
        <x:f>G66*H24</x:f>
        <x:v>137.86784668449897</x:v>
      </x:c>
      <x:c r="I53" s="8" t="n">
        <x:f>H66*I24</x:f>
        <x:v>155.72015385502837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1158.1425</x:v>
      </x:c>
      <x:c r="F54" s="8" t="n">
        <x:f>F52-F53</x:f>
        <x:v>1276.4405564999995</x:v>
      </x:c>
      <x:c r="G54" s="8" t="n">
        <x:f>G52-G53</x:f>
        <x:v>1408.4086794254995</x:v>
      </x:c>
      <x:c r="H54" s="8" t="n">
        <x:f>H52-H53</x:f>
        <x:v>1555.3273744956286</x:v>
      </x:c>
      <x:c r="I54" s="8" t="n">
        <x:f>I52-I53</x:f>
        <x:v>1718.6469559913724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8.5</x:v>
      </x:c>
      <x:c r="F55" s="8" t="n">
        <x:f>E67*F29</x:f>
        <x:v>7.65</x:v>
      </x:c>
      <x:c r="G55" s="8" t="n">
        <x:f>F67*G29</x:f>
        <x:v>6.800000000000001</x:v>
      </x:c>
      <x:c r="H55" s="8" t="n">
        <x:f>G67*H29</x:f>
        <x:v>5.95</x:v>
      </x:c>
      <x:c r="I55" s="8" t="n">
        <x:f>H67*I29</x:f>
        <x:v>5.1000000000000005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1149.6425</x:v>
      </x:c>
      <x:c r="F56" s="8" t="n">
        <x:f>F54-F55</x:f>
        <x:v>1268.7905564999994</x:v>
      </x:c>
      <x:c r="G56" s="8" t="n">
        <x:f>G54-G55</x:f>
        <x:v>1401.6086794254995</x:v>
      </x:c>
      <x:c r="H56" s="8" t="n">
        <x:f>H54-H55</x:f>
        <x:v>1549.3773744956286</x:v>
      </x:c>
      <x:c r="I56" s="8" t="n">
        <x:f>I54-I55</x:f>
        <x:v>1713.5469559913724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287.410625</x:v>
      </x:c>
      <x:c r="F57" s="8" t="n">
        <x:f>MAX(0,F56)*F28</x:f>
        <x:v>317.19763912499985</x:v>
      </x:c>
      <x:c r="G57" s="8" t="n">
        <x:f>MAX(0,G56)*G28</x:f>
        <x:v>350.4021698563749</x:v>
      </x:c>
      <x:c r="H57" s="8" t="n">
        <x:f>MAX(0,H56)*H28</x:f>
        <x:v>387.34434362390715</x:v>
      </x:c>
      <x:c r="I57" s="8" t="n">
        <x:f>MAX(0,I56)*I28</x:f>
        <x:v>428.3867389978431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862.231875</x:v>
      </x:c>
      <x:c r="F58" s="41" t="n">
        <x:f>F56-F57</x:f>
        <x:v>951.5929173749996</x:v>
      </x:c>
      <x:c r="G58" s="41" t="n">
        <x:f>G56-G57</x:f>
        <x:v>1051.2065095691246</x:v>
      </x:c>
      <x:c r="H58" s="41" t="n">
        <x:f>H56-H57</x:f>
        <x:v>1162.0330308717214</x:v>
      </x:c>
      <x:c r="I58" s="41" t="n">
        <x:f>I56-I57</x:f>
        <x:v>1285.1602169935293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889.0878082191779</x:v>
      </x:c>
      <x:c r="F60" s="10" t="n">
        <x:f>F47*F25/'Controls'!$E$11</x:f>
        <x:v>984.2202036986298</x:v>
      </x:c>
      <x:c r="G60" s="10" t="n">
        <x:f>G47*G25/'Controls'!$E$11</x:f>
        <x:v>1089.5317654943833</x:v>
      </x:c>
      <x:c r="H60" s="10" t="n">
        <x:f>H47*H25/'Controls'!$E$11</x:f>
        <x:v>1206.1116644022823</x:v>
      </x:c>
      <x:c r="I60" s="10" t="n">
        <x:f>I47*I25/'Controls'!$E$11</x:f>
        <x:v>1335.1656124933263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0</x:v>
      </x:c>
      <x:c r="F61" s="10" t="n">
        <x:f>F49*F26/'Controls'!$E$11</x:f>
        <x:v>0</x:v>
      </x:c>
      <x:c r="G61" s="10" t="n">
        <x:f>G49*G26/'Controls'!$E$11</x:f>
        <x:v>0</x:v>
      </x:c>
      <x:c r="H61" s="10" t="n">
        <x:f>H49*H26/'Controls'!$E$11</x:f>
        <x:v>0</x:v>
      </x:c>
      <x:c r="I61" s="10" t="n">
        <x:f>I49*I26/'Controls'!$E$11</x:f>
        <x:v>0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123.1044657534246</x:v>
      </x:c>
      <x:c r="F62" s="10" t="n">
        <x:f>F49*F27/'Controls'!$E$11</x:f>
        <x:v>136.27664358904104</x:v>
      </x:c>
      <x:c r="G62" s="10" t="n">
        <x:f>G49*G27/'Controls'!$E$11</x:f>
        <x:v>150.85824445306844</x:v>
      </x:c>
      <x:c r="H62" s="10" t="n">
        <x:f>H49*H27/'Controls'!$E$11</x:f>
        <x:v>167.00007660954677</x:v>
      </x:c>
      <x:c r="I62" s="10" t="n">
        <x:f>I49*I27/'Controls'!$E$11</x:f>
        <x:v>184.86908480676823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765.9833424657533</x:v>
      </x:c>
      <x:c r="F63" s="8" t="n">
        <x:f>F60+F61-F62</x:f>
        <x:v>847.9435601095888</x:v>
      </x:c>
      <x:c r="G63" s="8" t="n">
        <x:f>G60+G61-G62</x:f>
        <x:v>938.6735210413149</x:v>
      </x:c>
      <x:c r="H63" s="8" t="n">
        <x:f>H60+H61-H62</x:f>
        <x:v>1039.1115877927355</x:v>
      </x:c>
      <x:c r="I63" s="8" t="n">
        <x:f>I60+I61-I62</x:f>
        <x:v>1150.296527686558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74.0381369863012</x:v>
      </x:c>
      <x:c r="F64" s="8" t="n">
        <x:f>F63-E63</x:f>
        <x:v>81.96021764383556</x:v>
      </x:c>
      <x:c r="G64" s="8" t="n">
        <x:f>G63-F63</x:f>
        <x:v>90.72996093172605</x:v>
      </x:c>
      <x:c r="H64" s="8" t="n">
        <x:f>H63-G63</x:f>
        <x:v>100.43806675142059</x:v>
      </x:c>
      <x:c r="I64" s="8" t="n">
        <x:f>I63-H63</x:f>
        <x:v>111.1849398938225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174.73994999999996</x:v>
      </x:c>
      <x:c r="F65" s="8" t="n">
        <x:f>F47*F23</x:f>
        <x:v>193.43712464999996</x:v>
      </x:c>
      <x:c r="G65" s="8" t="n">
        <x:f>G47*G23</x:f>
        <x:v>214.13489698754995</x:v>
      </x:c>
      <x:c r="H65" s="8" t="n">
        <x:f>H47*H23</x:f>
        <x:v>237.04733096521784</x:v>
      </x:c>
      <x:c r="I65" s="8" t="n">
        <x:f>I47*I23</x:f>
        <x:v>262.4113953784961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584.7399499999999</x:v>
      </x:c>
      <x:c r="F66" s="8" t="n">
        <x:f>E66+F65-F53</x:f>
        <x:v>672.9238836499999</x:v>
      </x:c>
      <x:c r="G66" s="8" t="n">
        <x:f>F66+G65-G53</x:f>
        <x:v>765.9324815805498</x:v>
      </x:c>
      <x:c r="H66" s="8" t="n">
        <x:f>G66+H65-H53</x:f>
        <x:v>865.1119658612687</x:v>
      </x:c>
      <x:c r="I66" s="8" t="n">
        <x:f>H66+I65-I53</x:f>
        <x:v>971.8032073847363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90</x:v>
      </x:c>
      <x:c r="F67" s="8" t="n">
        <x:f>E67+F30-F31</x:f>
        <x:v>80</x:v>
      </x:c>
      <x:c r="G67" s="8" t="n">
        <x:f>F67+G30-G31</x:f>
        <x:v>70</x:v>
      </x:c>
      <x:c r="H67" s="8" t="n">
        <x:f>G67+H30-H31</x:f>
        <x:v>60</x:v>
      </x:c>
      <x:c r="I67" s="8" t="n">
        <x:f>H67+I30-I31</x:f>
        <x:v>50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878.1937380136987</x:v>
      </x:c>
      <x:c r="F69" s="8" t="n">
        <x:f>F58+F53-F64</x:f>
        <x:v>974.8858907311641</x:v>
      </x:c>
      <x:c r="G69" s="8" t="n">
        <x:f>G58+G53-G64</x:f>
        <x:v>1081.6028476943984</x:v>
      </x:c>
      <x:c r="H69" s="8" t="n">
        <x:f>H58+H53-H64</x:f>
        <x:v>1199.4628108047998</x:v>
      </x:c>
      <x:c r="I69" s="8" t="n">
        <x:f>I58+I53-I64</x:f>
        <x:v>1329.6954309547352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215.55796875</x:v>
      </x:c>
      <x:c r="F70" s="8" t="n">
        <x:f>MAX(0,F58)*F32</x:f>
        <x:v>237.8982293437499</x:v>
      </x:c>
      <x:c r="G70" s="8" t="n">
        <x:f>MAX(0,G58)*G32</x:f>
        <x:v>262.80162739228115</x:v>
      </x:c>
      <x:c r="H70" s="8" t="n">
        <x:f>MAX(0,H58)*H32</x:f>
        <x:v>290.50825771793035</x:v>
      </x:c>
      <x:c r="I70" s="8" t="n">
        <x:f>MAX(0,I58)*I32</x:f>
        <x:v>321.2900542483823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477.89581926369885</x:v>
      </x:c>
      <x:c r="F71" s="8" t="n">
        <x:f>F69-F65+F30-F31-F70</x:f>
        <x:v>533.5505367374142</x:v>
      </x:c>
      <x:c r="G71" s="8" t="n">
        <x:f>G69-G65+G30-G31-G70</x:f>
        <x:v>594.6663233145673</x:v>
      </x:c>
      <x:c r="H71" s="8" t="n">
        <x:f>H69-H65+H30-H31-H70</x:f>
        <x:v>661.9072221216516</x:v>
      </x:c>
      <x:c r="I71" s="8" t="n">
        <x:f>I69-I65+I30-I31-I70</x:f>
        <x:v>735.9939813278568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877.8958192636989</x:v>
      </x:c>
      <x:c r="F72" s="8" t="n">
        <x:f>E72+F71</x:f>
        <x:v>1411.4463560011131</x:v>
      </x:c>
      <x:c r="G72" s="8" t="n">
        <x:f>F72+G71</x:f>
        <x:v>2006.1126793156805</x:v>
      </x:c>
      <x:c r="H72" s="8" t="n">
        <x:f>G72+H71</x:f>
        <x:v>2668.019901437332</x:v>
      </x:c>
      <x:c r="I72" s="8" t="n">
        <x:f>H72+I71</x:f>
        <x:v>3404.013882765189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2138.619111729452</x:v>
      </x:c>
      <x:c r="F73" s="41" t="n">
        <x:f>E73+F58-F70</x:f>
        <x:v>2852.313799760702</x:v>
      </x:c>
      <x:c r="G73" s="41" t="n">
        <x:f>F73+G58-G70</x:f>
        <x:v>3640.718681937545</x:v>
      </x:c>
      <x:c r="H73" s="41" t="n">
        <x:f>G73+H58-H70</x:f>
        <x:v>4512.243455091337</x:v>
      </x:c>
      <x:c r="I73" s="41" t="n">
        <x:f>H73+I58-I70</x:f>
        <x:v>5476.113617836484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2351.723577482877</x:v>
      </x:c>
      <x:c r="F74" s="8" t="n">
        <x:f>F72+F60+F61+F66</x:f>
        <x:v>3068.5904433497426</x:v>
      </x:c>
      <x:c r="G74" s="8" t="n">
        <x:f>G72+G60+G61+G66</x:f>
        <x:v>3861.5769263906136</x:v>
      </x:c>
      <x:c r="H74" s="8" t="n">
        <x:f>H72+H60+H61+H66</x:f>
        <x:v>4739.243531700883</x:v>
      </x:c>
      <x:c r="I74" s="8" t="n">
        <x:f>I72+I60+I61+I66</x:f>
        <x:v>5710.982702643251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2351.723577482877</x:v>
      </x:c>
      <x:c r="F75" s="8" t="n">
        <x:f>F62+F67+F73</x:f>
        <x:v>3068.590443349743</x:v>
      </x:c>
      <x:c r="G75" s="8" t="n">
        <x:f>G62+G67+G73</x:f>
        <x:v>3861.5769263906136</x:v>
      </x:c>
      <x:c r="H75" s="8" t="n">
        <x:f>H62+H67+H73</x:f>
        <x:v>4739.243531700883</x:v>
      </x:c>
      <x:c r="I75" s="8" t="n">
        <x:f>I62+I67+I73</x:f>
        <x:v>5710.982702643252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868.606875</x:v>
      </x:c>
      <x:c r="F76" s="8" t="n">
        <x:f>F54-MAX(0,F54)*F28</x:f>
        <x:v>957.3304173749996</x:v>
      </x:c>
      <x:c r="G76" s="8" t="n">
        <x:f>G54-MAX(0,G54)*G28</x:f>
        <x:v>1056.3065095691245</x:v>
      </x:c>
      <x:c r="H76" s="8" t="n">
        <x:f>H54-MAX(0,H54)*H28</x:f>
        <x:v>1166.4955308717215</x:v>
      </x:c>
      <x:c r="I76" s="8" t="n">
        <x:f>I54-MAX(0,I54)*I28</x:f>
        <x:v>1288.9852169935293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709.8287880136988</x:v>
      </x:c>
      <x:c r="F77" s="41" t="n">
        <x:f>F76+F53-F65-F64</x:f>
        <x:v>787.186266081164</x:v>
      </x:c>
      <x:c r="G77" s="41" t="n">
        <x:f>G76+G53-G65-G64</x:f>
        <x:v>872.5679507068484</x:v>
      </x:c>
      <x:c r="H77" s="41" t="n">
        <x:f>H76+H53-H65-H64</x:f>
        <x:v>966.8779798395822</x:v>
      </x:c>
      <x:c r="I77" s="41" t="n">
        <x:f>I76+I53-I65-I64</x:f>
        <x:v>1071.1090355762392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0.4000000000000001</x:v>
      </x:c>
      <x:c r="F79" s="35" t="n">
        <x:f>F50/F47</x:f>
        <x:v>0.39999999999999997</x:v>
      </x:c>
      <x:c r="G79" s="35" t="n">
        <x:f>G50/G47</x:f>
        <x:v>0.39999999999999997</x:v>
      </x:c>
      <x:c r="H79" s="35" t="n">
        <x:f>H50/H47</x:f>
        <x:v>0.4000000000000001</x:v>
      </x:c>
      <x:c r="I79" s="35" t="n">
        <x:f>I50/I47</x:f>
        <x:v>0.4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0.25000000000000006</x:v>
      </x:c>
      <x:c r="F80" s="35" t="n">
        <x:f>F52/F47</x:f>
        <x:v>0.25</x:v>
      </x:c>
      <x:c r="G80" s="35" t="n">
        <x:f>G52/G47</x:f>
        <x:v>0.24999999999999997</x:v>
      </x:c>
      <x:c r="H80" s="35" t="n">
        <x:f>H52/H47</x:f>
        <x:v>0.25000000000000006</x:v>
      </x:c>
      <x:c r="I80" s="35" t="n">
        <x:f>I52/I47</x:f>
        <x:v>0.25000000000000006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0.1727030116753496</x:v>
      </x:c>
      <x:c r="F81" s="35" t="n">
        <x:f>F58/F47</x:f>
        <x:v>0.17217869717815307</x:v>
      </x:c>
      <x:c r="G81" s="35" t="n">
        <x:f>G58/G47</x:f>
        <x:v>0.17181799114722765</x:v>
      </x:c>
      <x:c r="H81" s="35" t="n">
        <x:f>H58/H47</x:f>
        <x:v>0.17157398868362694</x:v>
      </x:c>
      <x:c r="I81" s="35" t="n">
        <x:f>I58/I47</x:f>
        <x:v>0.1714125544353535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0.7036005408146095</x:v>
      </x:c>
      <x:c r="F82" s="35" t="n">
        <x:f>IF(F52=0,"n.a.",F69/F52)</x:f>
        <x:v>0.7055730638537643</x:v>
      </x:c>
      <x:c r="G82" s="35" t="n">
        <x:f>IF(G52=0,"n.a.",G69/G52)</x:f>
        <x:v>0.7071448923433521</x:v>
      </x:c>
      <x:c r="H82" s="35" t="n">
        <x:f>IF(H52=0,"n.a.",H69/H52)</x:f>
        <x:v>0.7084019584987932</x:v>
      </x:c>
      <x:c r="I82" s="35" t="n">
        <x:f>IF(I52=0,"n.a.",I69/I52)</x:f>
        <x:v>0.7094103518833619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50</x:v>
      </x:c>
      <x:c r="F83" s="8" t="n">
        <x:f>F25+F26-F27</x:f>
        <x:v>50</x:v>
      </x:c>
      <x:c r="G83" s="8" t="n">
        <x:f>G25+G26-G27</x:f>
        <x:v>50</x:v>
      </x:c>
      <x:c r="H83" s="8" t="n">
        <x:f>H25+H26-H27</x:f>
        <x:v>50</x:v>
      </x:c>
      <x:c r="I83" s="8" t="n">
        <x:f>I25+I26-I27</x:f>
        <x:v>50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-0.631254699895003</x:v>
      </x:c>
      <x:c r="F84" s="61" t="n">
        <x:f>IF(F52&lt;=0,"n.a.",(F67-F72)/F52)</x:f>
        <x:v>-0.9636334813052438</x:v>
      </x:c>
      <x:c r="G84" s="61" t="n">
        <x:f>IF(G52&lt;=0,"n.a.",(G67-G72)/G52)</x:f>
        <x:v>-1.2658178508846916</x:v>
      </x:c>
      <x:c r="H84" s="61" t="n">
        <x:f>IF(H52&lt;=0,"n.a.",(H67-H72)/H52)</x:f>
        <x:v>-1.5402948631166036</x:v>
      </x:c>
      <x:c r="I84" s="61" t="n">
        <x:f>IF(I52&lt;=0,"n.a.",(I67-I72)/I52)</x:f>
        <x:v>-1.7894114045994123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136.2520588235294</x:v>
      </x:c>
      <x:c r="F85" s="61" t="n">
        <x:f>IF(F55=0,"n.a.",F54/F55)</x:f>
        <x:v>166.85497470588228</x:v>
      </x:c>
      <x:c r="G85" s="61" t="n">
        <x:f>IF(G55=0,"n.a.",G54/G55)</x:f>
        <x:v>207.11892344492637</x:v>
      </x:c>
      <x:c r="H85" s="61" t="n">
        <x:f>IF(H55=0,"n.a.",H54/H55)</x:f>
        <x:v>261.39955873876113</x:v>
      </x:c>
      <x:c r="I85" s="61" t="n">
        <x:f>IF(I55=0,"n.a.",I54/I55)</x:f>
        <x:v>336.98959921399455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0.6832246324693472</x:v>
      </x:c>
      <x:c r="F86" s="35" t="n">
        <x:f>F76/((E66+E63+F66+F63)/2)</x:f>
        <x:v>0.666759650181484</x:v>
      </x:c>
      <x:c r="G86" s="35" t="n">
        <x:f>G76/((F66+F63+G66+G63)/2)</x:f>
        <x:v>0.6549776503379112</x:v>
      </x:c>
      <x:c r="H86" s="35" t="n">
        <x:f>H76/((G66+G63+H66+H63)/2)</x:f>
        <x:v>0.6464675112423355</x:v>
      </x:c>
      <x:c r="I86" s="35" t="n">
        <x:f>I76/((H66+H63+I66+I63)/2)</x:f>
        <x:v>0.6402790459489465</x:v>
      </x:c>
      <x:c r="J86" s="1"/>
      <x:c r="K86" s="1"/>
    </x:row>
    <x:row r="87" ht="18" customHeight="1">
      <x:c r="A87" s="1"/>
      <x:c r="B87" s="1"/>
      <x:c r="C87" s="1" t="str">
        <x:v>Revenue per delivery FTE (INR lakh)</x:v>
      </x:c>
      <x:c r="D87" s="2"/>
      <x:c r="E87" s="10" t="n">
        <x:f>E47*'Controls'!$E$9/E44/'Controls'!$E$15</x:f>
        <x:v>46.22749999999998</x:v>
      </x:c>
      <x:c r="F87" s="10" t="n">
        <x:f>F47*'Controls'!$E$9/F44/'Controls'!$E$15</x:f>
        <x:v>47.383187499999984</x:v>
      </x:c>
      <x:c r="G87" s="10" t="n">
        <x:f>G47*'Controls'!$E$9/G44/'Controls'!$E$15</x:f>
        <x:v>48.56776718749998</x:v>
      </x:c>
      <x:c r="H87" s="10" t="n">
        <x:f>H47*'Controls'!$E$9/H44/'Controls'!$E$15</x:f>
        <x:v>49.781961367187485</x:v>
      </x:c>
      <x:c r="I87" s="10" t="n">
        <x:f>I47*'Controls'!$E$9/I44/'Controls'!$E$15</x:f>
        <x:v>51.026510401367155</x:v>
      </x:c>
      <x:c r="J87" s="1"/>
      <x:c r="K87" s="1"/>
    </x:row>
    <x:row r="88" ht="18" customHeight="1">
      <x:c r="A88" s="1"/>
      <x:c r="B88" s="1"/>
      <x:c r="C88" s="19" t="str">
        <x:v>VALUATION AT 31 MARCH 2026</x:v>
      </x:c>
      <x:c r="D88" s="20"/>
      <x:c r="E88" s="20"/>
      <x:c r="F88" s="20"/>
      <x:c r="G88" s="20"/>
      <x:c r="H88" s="20"/>
      <x:c r="I88" s="20"/>
      <x:c r="J88" s="1"/>
      <x:c r="K88" s="1"/>
    </x:row>
    <x:row r="89" ht="18" customHeight="1">
      <x:c r="A89" s="1"/>
      <x:c r="B89" s="1"/>
      <x:c r="C89" s="1" t="str">
        <x:v>PV of annual FCFF</x:v>
      </x:c>
      <x:c r="D89" s="2"/>
      <x:c r="E89" s="8" t="n">
        <x:f>E77/(1+$D39)^1</x:f>
        <x:v>633.7757035836596</x:v>
      </x:c>
      <x:c r="F89" s="8" t="n">
        <x:f>F77/(1+$D39)^2</x:f>
        <x:v>627.5400718121524</x:v>
      </x:c>
      <x:c r="G89" s="8" t="n">
        <x:f>G77/(1+$D39)^3</x:f>
        <x:v>621.0766321881606</x:v>
      </x:c>
      <x:c r="H89" s="8" t="n">
        <x:f>H77/(1+$D39)^4</x:f>
        <x:v>614.4684357995963</x:v>
      </x:c>
      <x:c r="I89" s="8" t="n">
        <x:f>I77/(1+$D39)^5</x:f>
        <x:v>607.7760321888065</x:v>
      </x:c>
      <x:c r="J89" s="1"/>
      <x:c r="K89" s="1"/>
    </x:row>
    <x:row r="90" ht="18" customHeight="1">
      <x:c r="A90" s="1"/>
      <x:c r="B90" s="1"/>
      <x:c r="C90" s="1" t="str">
        <x:v>Normalized terminal FCFF</x:v>
      </x:c>
      <x:c r="D90" s="2"/>
      <x:c r="E90" s="8" t="n">
        <x:f>I76*(1+$D40)*(1-$D40/$D41)</x:f>
        <x:v>983.0660588270651</x:v>
      </x:c>
      <x:c r="F90" s="2"/>
      <x:c r="G90" s="2"/>
      <x:c r="H90" s="2"/>
      <x:c r="I90" s="2"/>
      <x:c r="J90" s="1"/>
      <x:c r="K90" s="1" t="str">
        <x:v>Terminal reinvestment = terminal NOPAT × growth / incremental ROIC.</x:v>
      </x:c>
    </x:row>
    <x:row r="91" ht="18" customHeight="1">
      <x:c r="A91" s="1"/>
      <x:c r="B91" s="1"/>
      <x:c r="C91" s="1" t="str">
        <x:v>Terminal enterprise value</x:v>
      </x:c>
      <x:c r="D91" s="2"/>
      <x:c r="E91" s="8" t="n">
        <x:f>IF($D39&lt;=$D40,NA(),E90/($D39-$D40))</x:f>
        <x:v>12288.325735338316</x:v>
      </x:c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 t="str">
        <x:v>DCF enterprise value</x:v>
      </x:c>
      <x:c r="D92" s="2"/>
      <x:c r="E92" s="8" t="n">
        <x:f>SUM(E89:I89)+E91/(1+$D39)^5</x:f>
        <x:v>10077.362909621339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38" t="str">
        <x:v>DCF equity value</x:v>
      </x:c>
      <x:c r="D93" s="39"/>
      <x:c r="E93" s="41" t="n">
        <x:f>E92-$D35+$D36</x:f>
        <x:v>10377.362909621339</x:v>
      </x:c>
      <x:c r="F93" s="39"/>
      <x:c r="G93" s="39"/>
      <x:c r="H93" s="39"/>
      <x:c r="I93" s="39"/>
      <x:c r="J93" s="1"/>
      <x:c r="K93" s="1"/>
    </x:row>
    <x:row r="94" ht="18" customHeight="1">
      <x:c r="A94" s="1"/>
      <x:c r="B94" s="1"/>
      <x:c r="C94" s="1" t="str">
        <x:v>DCF value per share (INR)</x:v>
      </x:c>
      <x:c r="D94" s="33"/>
      <x:c r="E94" s="34" t="n">
        <x:f>E93/$D38</x:f>
        <x:v>103.77362909621338</x:v>
      </x:c>
      <x:c r="F94" s="33"/>
      <x:c r="G94" s="33"/>
      <x:c r="H94" s="33"/>
      <x:c r="I94" s="33"/>
      <x:c r="J94" s="1"/>
      <x:c r="K94" s="1"/>
    </x:row>
    <x:row r="95" ht="18" customHeight="1">
      <x:c r="A95" s="1"/>
      <x:c r="B95" s="1"/>
      <x:c r="C95" s="1" t="str">
        <x:v>Forward multiple enterprise value</x:v>
      </x:c>
      <x:c r="D95" s="2"/>
      <x:c r="E95" s="8" t="n">
        <x:f>E52*$D42</x:f>
        <x:v>19970.28</x:v>
      </x:c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 t="str">
        <x:v>Forward multiple equity value</x:v>
      </x:c>
      <x:c r="D96" s="2"/>
      <x:c r="E96" s="8" t="n">
        <x:f>E95-$D35+$D36</x:f>
        <x:v>20270.28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23" t="str">
        <x:v>Terminal value / DCF enterprise value</x:v>
      </x:c>
      <x:c r="D97" s="24"/>
      <x:c r="E97" s="35" t="n">
        <x:f>(E91/(1+$D39)^5)/E92</x:f>
        <x:v>0.6919197111966435</x:v>
      </x:c>
      <x:c r="F97" s="24"/>
      <x:c r="G97" s="24"/>
      <x:c r="H97" s="24"/>
      <x:c r="I97" s="24"/>
      <x:c r="J97" s="1"/>
      <x:c r="K97" s="1"/>
    </x:row>
    <x:row r="98" ht="18" customHeight="1">
      <x:c r="A98" s="1"/>
      <x:c r="B98" s="1"/>
      <x:c r="C98" s="19" t="str">
        <x:v>MODEL CHECKS</x:v>
      </x:c>
      <x:c r="D98" s="20"/>
      <x:c r="E98" s="20"/>
      <x:c r="F98" s="20"/>
      <x:c r="G98" s="20"/>
      <x:c r="H98" s="20"/>
      <x:c r="I98" s="20"/>
      <x:c r="J98" s="1"/>
      <x:c r="K98" s="1"/>
    </x:row>
    <x:row r="99" ht="18" customHeight="1">
      <x:c r="A99" s="1"/>
      <x:c r="B99" s="1"/>
      <x:c r="C99" s="1" t="str">
        <x:v>Assets less liabilities and equity</x:v>
      </x:c>
      <x:c r="D99" s="33"/>
      <x:c r="E99" s="34" t="n">
        <x:f>E74-E75</x:f>
        <x:v>0</x:v>
      </x:c>
      <x:c r="F99" s="34" t="n">
        <x:f>F74-F75</x:f>
        <x:v>-4.547473508864641e-13</x:v>
      </x:c>
      <x:c r="G99" s="34" t="n">
        <x:f>G74-G75</x:f>
        <x:v>0</x:v>
      </x:c>
      <x:c r="H99" s="34" t="n">
        <x:f>H74-H75</x:f>
        <x:v>0</x:v>
      </x:c>
      <x:c r="I99" s="34" t="n">
        <x:f>I74-I75</x:f>
        <x:v>-9.094947017729282e-13</x:v>
      </x:c>
      <x:c r="J99" s="1"/>
      <x:c r="K99" s="1"/>
    </x:row>
    <x:row r="100" ht="18" customHeight="1">
      <x:c r="A100" s="1"/>
      <x:c r="B100" s="1"/>
      <x:c r="C100" s="1" t="str">
        <x:v>Cash funding shortfall</x:v>
      </x:c>
      <x:c r="D100" s="33"/>
      <x:c r="E100" s="34" t="n">
        <x:f>MAX(0,-E72)</x:f>
        <x:v>0</x:v>
      </x:c>
      <x:c r="F100" s="34" t="n">
        <x:f>MAX(0,-F72)</x:f>
        <x:v>0</x:v>
      </x:c>
      <x:c r="G100" s="34" t="n">
        <x:f>MAX(0,-G72)</x:f>
        <x:v>0</x:v>
      </x:c>
      <x:c r="H100" s="34" t="n">
        <x:f>MAX(0,-H72)</x:f>
        <x:v>0</x:v>
      </x:c>
      <x:c r="I100" s="34" t="n">
        <x:f>MAX(0,-I72)</x:f>
        <x:v>0</x:v>
      </x:c>
      <x:c r="J100" s="1"/>
      <x:c r="K100" s="1"/>
    </x:row>
    <x:row r="101" ht="18" customHeight="1">
      <x:c r="A101" s="1"/>
      <x:c r="B101" s="1"/>
      <x:c r="C101" s="1" t="str">
        <x:v>Debt below zero</x:v>
      </x:c>
      <x:c r="D101" s="33"/>
      <x:c r="E101" s="34" t="n">
        <x:f>MAX(0,-E67)</x:f>
        <x:v>0</x:v>
      </x:c>
      <x:c r="F101" s="34" t="n">
        <x:f>MAX(0,-F67)</x:f>
        <x:v>0</x:v>
      </x:c>
      <x:c r="G101" s="34" t="n">
        <x:f>MAX(0,-G67)</x:f>
        <x:v>0</x:v>
      </x:c>
      <x:c r="H101" s="34" t="n">
        <x:f>MAX(0,-H67)</x:f>
        <x:v>0</x:v>
      </x:c>
      <x:c r="I101" s="34" t="n">
        <x:f>MAX(0,-I67)</x:f>
        <x:v>0</x:v>
      </x:c>
      <x:c r="J101" s="1"/>
      <x:c r="K101" s="1"/>
    </x:row>
    <x:row r="102" ht="18" customHeight="1">
      <x:c r="A102" s="1"/>
      <x:c r="B102" s="1"/>
      <x:c r="C102" s="1" t="str">
        <x:v>Utilization above 100%</x:v>
      </x:c>
      <x:c r="D102" s="33"/>
      <x:c r="E102" s="34" t="n">
        <x:f>MAX(0,E20-1)</x:f>
        <x:v>0</x:v>
      </x:c>
      <x:c r="F102" s="34" t="n">
        <x:f>MAX(0,F20-1)</x:f>
        <x:v>0</x:v>
      </x:c>
      <x:c r="G102" s="34" t="n">
        <x:f>MAX(0,G20-1)</x:f>
        <x:v>0</x:v>
      </x:c>
      <x:c r="H102" s="34" t="n">
        <x:f>MAX(0,H20-1)</x:f>
        <x:v>0</x:v>
      </x:c>
      <x:c r="I102" s="34" t="n">
        <x:f>MAX(0,I20-1)</x:f>
        <x:v>0</x:v>
      </x:c>
      <x:c r="J102" s="1"/>
      <x:c r="K102" s="1"/>
    </x:row>
    <x:row r="103" ht="18" customHeight="1">
      <x:c r="A103" s="1"/>
      <x:c r="B103" s="1"/>
      <x:c r="C103" s="1" t="str">
        <x:v>Net PP&amp;E below zero</x:v>
      </x:c>
      <x:c r="D103" s="33"/>
      <x:c r="E103" s="34" t="n">
        <x:f>MAX(0,-E66)</x:f>
        <x:v>0</x:v>
      </x:c>
      <x:c r="F103" s="34" t="n">
        <x:f>MAX(0,-F66)</x:f>
        <x:v>0</x:v>
      </x:c>
      <x:c r="G103" s="34" t="n">
        <x:f>MAX(0,-G66)</x:f>
        <x:v>0</x:v>
      </x:c>
      <x:c r="H103" s="34" t="n">
        <x:f>MAX(0,-H66)</x:f>
        <x:v>0</x:v>
      </x:c>
      <x:c r="I103" s="34" t="n">
        <x:f>MAX(0,-I66)</x:f>
        <x:v>0</x:v>
      </x:c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99:I99">
    <x:cfRule type="expression" dxfId="0" priority="1">
      <x:formula>ABS(E99)&gt;0.01</x:formula>
    </x:cfRule>
  </x:conditionalFormatting>
  <x:conditionalFormatting sqref="E100:I100">
    <x:cfRule type="expression" dxfId="1" priority="2">
      <x:formula>ABS(E100)&gt;0.01</x:formula>
    </x:cfRule>
  </x:conditionalFormatting>
  <x:conditionalFormatting sqref="E101:I101">
    <x:cfRule type="expression" dxfId="2" priority="3">
      <x:formula>ABS(E101)&gt;0.01</x:formula>
    </x:cfRule>
  </x:conditionalFormatting>
  <x:conditionalFormatting sqref="E102:I102">
    <x:cfRule type="expression" dxfId="3" priority="4">
      <x:formula>ABS(E102)&gt;0.01</x:formula>
    </x:cfRule>
  </x:conditionalFormatting>
  <x:conditionalFormatting sqref="E103:I103">
    <x:cfRule type="expression" dxfId="4" priority="5">
      <x:formula>ABS(E103)&gt;0.01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FMCG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Sales volume (million units) — seed</x:v>
      </x:c>
      <x:c r="D10" s="7" t="n">
        <x:v>100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Net realization (INR per unit) — seed</x:v>
      </x:c>
      <x:c r="D11" s="7" t="n">
        <x:v>120</x:v>
      </x:c>
      <x:c r="E11" s="2"/>
      <x:c r="F11" s="2"/>
      <x:c r="G11" s="2"/>
      <x:c r="H11" s="2"/>
      <x:c r="I11" s="2"/>
      <x:c r="J11" s="1"/>
      <x:c r="K11" s="1" t="str">
        <x:v>Volume is a consistent equivalent-unit basket; model premiumization through net realization.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0.07</x:v>
      </x:c>
      <x:c r="F12" s="30" t="n">
        <x:f>IF(COUNT(INDEX(F13:F15,'Controls'!$E$5))=0,NA(),INDEX(F13:F15,'Controls'!$E$5))</x:f>
        <x:v>0.07</x:v>
      </x:c>
      <x:c r="G12" s="30" t="n">
        <x:f>IF(COUNT(INDEX(G13:G15,'Controls'!$E$5))=0,NA(),INDEX(G13:G15,'Controls'!$E$5))</x:f>
        <x:v>0.07</x:v>
      </x:c>
      <x:c r="H12" s="30" t="n">
        <x:f>IF(COUNT(INDEX(H13:H15,'Controls'!$E$5))=0,NA(),INDEX(H13:H15,'Controls'!$E$5))</x:f>
        <x:v>0.07</x:v>
      </x:c>
      <x:c r="I12" s="30" t="n">
        <x:f>IF(COUNT(INDEX(I13:I15,'Controls'!$E$5))=0,NA(),INDEX(I13:I15,'Controls'!$E$5))</x:f>
        <x:v>0.07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0.07</x:v>
      </x:c>
      <x:c r="F13" s="26" t="n">
        <x:v>0.07</x:v>
      </x:c>
      <x:c r="G13" s="26" t="n">
        <x:v>0.07</x:v>
      </x:c>
      <x:c r="H13" s="26" t="n">
        <x:v>0.07</x:v>
      </x:c>
      <x:c r="I13" s="26" t="n">
        <x:v>0.07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0.020000000000000004</x:v>
      </x:c>
      <x:c r="F14" s="26" t="n">
        <x:v>0.020000000000000004</x:v>
      </x:c>
      <x:c r="G14" s="26" t="n">
        <x:v>0.020000000000000004</x:v>
      </x:c>
      <x:c r="H14" s="26" t="n">
        <x:v>0.020000000000000004</x:v>
      </x:c>
      <x:c r="I14" s="26" t="n">
        <x:v>0.020000000000000004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0.11000000000000001</x:v>
      </x:c>
      <x:c r="F15" s="26" t="n">
        <x:v>0.11000000000000001</x:v>
      </x:c>
      <x:c r="G15" s="26" t="n">
        <x:v>0.11000000000000001</x:v>
      </x:c>
      <x:c r="H15" s="26" t="n">
        <x:v>0.11000000000000001</x:v>
      </x:c>
      <x:c r="I15" s="26" t="n">
        <x:v>0.11000000000000001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0.04</x:v>
      </x:c>
      <x:c r="F16" s="30" t="n">
        <x:f>IF(COUNT(INDEX(F17:F19,'Controls'!$E$5))=0,NA(),INDEX(F17:F19,'Controls'!$E$5))</x:f>
        <x:v>0.04</x:v>
      </x:c>
      <x:c r="G16" s="30" t="n">
        <x:f>IF(COUNT(INDEX(G17:G19,'Controls'!$E$5))=0,NA(),INDEX(G17:G19,'Controls'!$E$5))</x:f>
        <x:v>0.04</x:v>
      </x:c>
      <x:c r="H16" s="30" t="n">
        <x:f>IF(COUNT(INDEX(H17:H19,'Controls'!$E$5))=0,NA(),INDEX(H17:H19,'Controls'!$E$5))</x:f>
        <x:v>0.04</x:v>
      </x:c>
      <x:c r="I16" s="30" t="n">
        <x:f>IF(COUNT(INDEX(I17:I19,'Controls'!$E$5))=0,NA(),INDEX(I17:I19,'Controls'!$E$5))</x:f>
        <x:v>0.04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0.04</x:v>
      </x:c>
      <x:c r="F17" s="26" t="n">
        <x:v>0.04</x:v>
      </x:c>
      <x:c r="G17" s="26" t="n">
        <x:v>0.04</x:v>
      </x:c>
      <x:c r="H17" s="26" t="n">
        <x:v>0.04</x:v>
      </x:c>
      <x:c r="I17" s="26" t="n">
        <x:v>0.04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0.015</x:v>
      </x:c>
      <x:c r="F18" s="26" t="n">
        <x:v>0.015</x:v>
      </x:c>
      <x:c r="G18" s="26" t="n">
        <x:v>0.015</x:v>
      </x:c>
      <x:c r="H18" s="26" t="n">
        <x:v>0.015</x:v>
      </x:c>
      <x:c r="I18" s="26" t="n">
        <x:v>0.015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0.06</x:v>
      </x:c>
      <x:c r="F19" s="26" t="n">
        <x:v>0.06</x:v>
      </x:c>
      <x:c r="G19" s="26" t="n">
        <x:v>0.06</x:v>
      </x:c>
      <x:c r="H19" s="26" t="n">
        <x:v>0.06</x:v>
      </x:c>
      <x:c r="I19" s="26" t="n">
        <x:v>0.06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Materials and manufacturing / revenue</x:v>
      </x:c>
      <x:c r="D21" s="24"/>
      <x:c r="E21" s="26" t="n">
        <x:v>0.53</x:v>
      </x:c>
      <x:c r="F21" s="26" t="n">
        <x:v>0.53</x:v>
      </x:c>
      <x:c r="G21" s="26" t="n">
        <x:v>0.53</x:v>
      </x:c>
      <x:c r="H21" s="26" t="n">
        <x:v>0.53</x:v>
      </x:c>
      <x:c r="I21" s="26" t="n">
        <x:v>0.53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0.24</x:v>
      </x:c>
      <x:c r="F22" s="26" t="n">
        <x:v>0.24</x:v>
      </x:c>
      <x:c r="G22" s="26" t="n">
        <x:v>0.24</x:v>
      </x:c>
      <x:c r="H22" s="26" t="n">
        <x:v>0.24</x:v>
      </x:c>
      <x:c r="I22" s="26" t="n">
        <x:v>0.24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0.045</x:v>
      </x:c>
      <x:c r="F23" s="26" t="n">
        <x:v>0.045</x:v>
      </x:c>
      <x:c r="G23" s="26" t="n">
        <x:v>0.045</x:v>
      </x:c>
      <x:c r="H23" s="26" t="n">
        <x:v>0.045</x:v>
      </x:c>
      <x:c r="I23" s="26" t="n">
        <x:v>0.045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0.12</x:v>
      </x:c>
      <x:c r="F24" s="26" t="n">
        <x:v>0.12</x:v>
      </x:c>
      <x:c r="G24" s="26" t="n">
        <x:v>0.12</x:v>
      </x:c>
      <x:c r="H24" s="26" t="n">
        <x:v>0.12</x:v>
      </x:c>
      <x:c r="I24" s="26" t="n">
        <x:v>0.12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15</x:v>
      </x:c>
      <x:c r="F25" s="7" t="n">
        <x:v>15</x:v>
      </x:c>
      <x:c r="G25" s="7" t="n">
        <x:v>15</x:v>
      </x:c>
      <x:c r="H25" s="7" t="n">
        <x:v>15</x:v>
      </x:c>
      <x:c r="I25" s="7" t="n">
        <x:v>15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45</x:v>
      </x:c>
      <x:c r="F26" s="7" t="n">
        <x:v>45</x:v>
      </x:c>
      <x:c r="G26" s="7" t="n">
        <x:v>45</x:v>
      </x:c>
      <x:c r="H26" s="7" t="n">
        <x:v>45</x:v>
      </x:c>
      <x:c r="I26" s="7" t="n">
        <x:v>45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55</x:v>
      </x:c>
      <x:c r="F27" s="7" t="n">
        <x:v>55</x:v>
      </x:c>
      <x:c r="G27" s="7" t="n">
        <x:v>55</x:v>
      </x:c>
      <x:c r="H27" s="7" t="n">
        <x:v>55</x:v>
      </x:c>
      <x:c r="I27" s="7" t="n">
        <x:v>55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30</x:v>
      </x:c>
      <x:c r="F31" s="7" t="n">
        <x:v>30</x:v>
      </x:c>
      <x:c r="G31" s="7" t="n">
        <x:v>30</x:v>
      </x:c>
      <x:c r="H31" s="7" t="n">
        <x:v>30</x:v>
      </x:c>
      <x:c r="I31" s="7" t="n">
        <x:v>30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1000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300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200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31.89041095890411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24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Sales volume (million units)</x:v>
      </x:c>
      <x:c r="D44" s="2"/>
      <x:c r="E44" s="8" t="n">
        <x:f>$D10*(1+E12)</x:f>
        <x:v>107</x:v>
      </x:c>
      <x:c r="F44" s="8" t="n">
        <x:f>E44*(1+F12)</x:f>
        <x:v>114.49000000000001</x:v>
      </x:c>
      <x:c r="G44" s="8" t="n">
        <x:f>F44*(1+G12)</x:f>
        <x:v>122.50430000000001</x:v>
      </x:c>
      <x:c r="H44" s="8" t="n">
        <x:f>G44*(1+H12)</x:f>
        <x:v>131.07960100000003</x:v>
      </x:c>
      <x:c r="I44" s="8" t="n">
        <x:f>H44*(1+I12)</x:f>
        <x:v>140.25517307000004</x:v>
      </x:c>
      <x:c r="J44" s="1"/>
      <x:c r="K44" s="1"/>
    </x:row>
    <x:row r="45" ht="18" customHeight="1">
      <x:c r="A45" s="1"/>
      <x:c r="B45" s="1"/>
      <x:c r="C45" s="1" t="str">
        <x:v>Net realization (INR per unit)</x:v>
      </x:c>
      <x:c r="D45" s="2"/>
      <x:c r="E45" s="8" t="n">
        <x:f>$D11*(1+E16)</x:f>
        <x:v>124.80000000000001</x:v>
      </x:c>
      <x:c r="F45" s="8" t="n">
        <x:f>E45*(1+F16)</x:f>
        <x:v>129.79200000000003</x:v>
      </x:c>
      <x:c r="G45" s="8" t="n">
        <x:f>F45*(1+G16)</x:f>
        <x:v>134.98368000000005</x:v>
      </x:c>
      <x:c r="H45" s="8" t="n">
        <x:f>G45*(1+H16)</x:f>
        <x:v>140.38302720000004</x:v>
      </x:c>
      <x:c r="I45" s="8" t="n">
        <x:f>H45*(1+I16)</x:f>
        <x:v>145.99834828800005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107</x:v>
      </x:c>
      <x:c r="F46" s="8" t="n">
        <x:f>F44*F20</x:f>
        <x:v>114.49000000000001</x:v>
      </x:c>
      <x:c r="G46" s="8" t="n">
        <x:f>G44*G20</x:f>
        <x:v>122.50430000000001</x:v>
      </x:c>
      <x:c r="H46" s="8" t="n">
        <x:f>H44*H20</x:f>
        <x:v>131.07960100000003</x:v>
      </x:c>
      <x:c r="I46" s="8" t="n">
        <x:f>I44*I20</x:f>
        <x:v>140.25517307000004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</x:f>
        <x:v>1335.36</x:v>
      </x:c>
      <x:c r="F47" s="60" t="n">
        <x:f>F46*F45*'Controls'!$E$14/'Controls'!$E$9</x:f>
        <x:v>1485.9886080000003</x:v>
      </x:c>
      <x:c r="G47" s="60" t="n">
        <x:f>G46*G45*'Controls'!$E$14/'Controls'!$E$9</x:f>
        <x:v>1653.6081229824008</x:v>
      </x:c>
      <x:c r="H47" s="60" t="n">
        <x:f>H46*H45*'Controls'!$E$14/'Controls'!$E$9</x:f>
        <x:v>1840.1351192548157</x:v>
      </x:c>
      <x:c r="I47" s="60" t="n">
        <x:f>I46*I45*'Controls'!$E$14/'Controls'!$E$9</x:f>
        <x:v>2047.7023607067588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707.7408</x:v>
      </x:c>
      <x:c r="F49" s="8" t="n">
        <x:f>F47*F21</x:f>
        <x:v>787.5739622400002</x:v>
      </x:c>
      <x:c r="G49" s="8" t="n">
        <x:f>G47*G21</x:f>
        <x:v>876.4123051806724</x:v>
      </x:c>
      <x:c r="H49" s="8" t="n">
        <x:f>H47*H21</x:f>
        <x:v>975.2716132050524</x:v>
      </x:c>
      <x:c r="I49" s="8" t="n">
        <x:f>I47*I21</x:f>
        <x:v>1085.2822511745821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627.6191999999999</x:v>
      </x:c>
      <x:c r="F50" s="8" t="n">
        <x:f>F47-F49</x:f>
        <x:v>698.4146457600001</x:v>
      </x:c>
      <x:c r="G50" s="8" t="n">
        <x:f>G47-G49</x:f>
        <x:v>777.1958178017284</x:v>
      </x:c>
      <x:c r="H50" s="8" t="n">
        <x:f>H47-H49</x:f>
        <x:v>864.8635060497633</x:v>
      </x:c>
      <x:c r="I50" s="8" t="n">
        <x:f>I47-I49</x:f>
        <x:v>962.4201095321766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320.48639999999995</x:v>
      </x:c>
      <x:c r="F51" s="8" t="n">
        <x:f>F47*F22</x:f>
        <x:v>356.63726592000006</x:v>
      </x:c>
      <x:c r="G51" s="8" t="n">
        <x:f>G47*G22</x:f>
        <x:v>396.86594951577615</x:v>
      </x:c>
      <x:c r="H51" s="8" t="n">
        <x:f>H47*H22</x:f>
        <x:v>441.6324286211557</x:v>
      </x:c>
      <x:c r="I51" s="8" t="n">
        <x:f>I47*I22</x:f>
        <x:v>491.4485665696221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307.1327999999999</x:v>
      </x:c>
      <x:c r="F52" s="41" t="n">
        <x:f>F50-F51</x:f>
        <x:v>341.77737984000004</x:v>
      </x:c>
      <x:c r="G52" s="41" t="n">
        <x:f>G50-G51</x:f>
        <x:v>380.3298682859522</x:v>
      </x:c>
      <x:c r="H52" s="41" t="n">
        <x:f>H50-H51</x:f>
        <x:v>423.23107742860753</x:v>
      </x:c>
      <x:c r="I52" s="41" t="n">
        <x:f>I50-I51</x:f>
        <x:v>470.97154296255457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120</x:v>
      </x:c>
      <x:c r="F53" s="8" t="n">
        <x:f>E66*F24</x:f>
        <x:v>112.810944</x:v>
      </x:c>
      <x:c r="G53" s="8" t="n">
        <x:f>F66*G24</x:f>
        <x:v>107.2979692032</x:v>
      </x:c>
      <x:c r="H53" s="8" t="n">
        <x:f>G66*H24</x:f>
        <x:v>103.35169676292097</x:v>
      </x:c>
      <x:c r="I53" s="8" t="n">
        <x:f>H66*I24</x:f>
        <x:v>100.88622279534646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187.13279999999992</x:v>
      </x:c>
      <x:c r="F54" s="8" t="n">
        <x:f>F52-F53</x:f>
        <x:v>228.96643584000003</x:v>
      </x:c>
      <x:c r="G54" s="8" t="n">
        <x:f>G52-G53</x:f>
        <x:v>273.0318990827522</x:v>
      </x:c>
      <x:c r="H54" s="8" t="n">
        <x:f>H52-H53</x:f>
        <x:v>319.87938066568654</x:v>
      </x:c>
      <x:c r="I54" s="8" t="n">
        <x:f>I52-I53</x:f>
        <x:v>370.0853201672081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25.500000000000004</x:v>
      </x:c>
      <x:c r="F55" s="8" t="n">
        <x:f>E67*F29</x:f>
        <x:v>22.950000000000003</x:v>
      </x:c>
      <x:c r="G55" s="8" t="n">
        <x:f>F67*G29</x:f>
        <x:v>20.400000000000002</x:v>
      </x:c>
      <x:c r="H55" s="8" t="n">
        <x:f>G67*H29</x:f>
        <x:v>17.85</x:v>
      </x:c>
      <x:c r="I55" s="8" t="n">
        <x:f>H67*I29</x:f>
        <x:v>15.3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161.63279999999992</x:v>
      </x:c>
      <x:c r="F56" s="8" t="n">
        <x:f>F54-F55</x:f>
        <x:v>206.01643584000004</x:v>
      </x:c>
      <x:c r="G56" s="8" t="n">
        <x:f>G54-G55</x:f>
        <x:v>252.6318990827522</x:v>
      </x:c>
      <x:c r="H56" s="8" t="n">
        <x:f>H54-H55</x:f>
        <x:v>302.0293806656865</x:v>
      </x:c>
      <x:c r="I56" s="8" t="n">
        <x:f>I54-I55</x:f>
        <x:v>354.7853201672081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40.40819999999998</x:v>
      </x:c>
      <x:c r="F57" s="8" t="n">
        <x:f>MAX(0,F56)*F28</x:f>
        <x:v>51.50410896000001</x:v>
      </x:c>
      <x:c r="G57" s="8" t="n">
        <x:f>MAX(0,G56)*G28</x:f>
        <x:v>63.15797477068805</x:v>
      </x:c>
      <x:c r="H57" s="8" t="n">
        <x:f>MAX(0,H56)*H28</x:f>
        <x:v>75.50734516642163</x:v>
      </x:c>
      <x:c r="I57" s="8" t="n">
        <x:f>MAX(0,I56)*I28</x:f>
        <x:v>88.69633004180203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121.22459999999994</x:v>
      </x:c>
      <x:c r="F58" s="41" t="n">
        <x:f>F56-F57</x:f>
        <x:v>154.51232688000005</x:v>
      </x:c>
      <x:c r="G58" s="41" t="n">
        <x:f>G56-G57</x:f>
        <x:v>189.47392431206416</x:v>
      </x:c>
      <x:c r="H58" s="41" t="n">
        <x:f>H56-H57</x:f>
        <x:v>226.5220354992649</x:v>
      </x:c>
      <x:c r="I58" s="41" t="n">
        <x:f>I56-I57</x:f>
        <x:v>266.0889901254061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54.87780821917808</x:v>
      </x:c>
      <x:c r="F60" s="10" t="n">
        <x:f>F47*F25/'Controls'!$E$11</x:f>
        <x:v>61.06802498630139</x:v>
      </x:c>
      <x:c r="G60" s="10" t="n">
        <x:f>G47*G25/'Controls'!$E$11</x:f>
        <x:v>67.9564982047562</x:v>
      </x:c>
      <x:c r="H60" s="10" t="n">
        <x:f>H47*H25/'Controls'!$E$11</x:f>
        <x:v>75.6219912022527</x:v>
      </x:c>
      <x:c r="I60" s="10" t="n">
        <x:f>I47*I25/'Controls'!$E$11</x:f>
        <x:v>84.1521518098668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87.25571506849316</x:v>
      </x:c>
      <x:c r="F61" s="10" t="n">
        <x:f>F49*F26/'Controls'!$E$11</x:f>
        <x:v>97.09815972821922</x:v>
      </x:c>
      <x:c r="G61" s="10" t="n">
        <x:f>G49*G26/'Controls'!$E$11</x:f>
        <x:v>108.05083214556237</x:v>
      </x:c>
      <x:c r="H61" s="10" t="n">
        <x:f>H49*H26/'Controls'!$E$11</x:f>
        <x:v>120.23896601158181</x:v>
      </x:c>
      <x:c r="I61" s="10" t="n">
        <x:f>I49*I26/'Controls'!$E$11</x:f>
        <x:v>133.80192137768822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106.64587397260274</x:v>
      </x:c>
      <x:c r="F62" s="10" t="n">
        <x:f>F49*F27/'Controls'!$E$11</x:f>
        <x:v>118.67552855671237</x:v>
      </x:c>
      <x:c r="G62" s="10" t="n">
        <x:f>G49*G27/'Controls'!$E$11</x:f>
        <x:v>132.06212817790956</x:v>
      </x:c>
      <x:c r="H62" s="10" t="n">
        <x:f>H49*H27/'Controls'!$E$11</x:f>
        <x:v>146.95873623637777</x:v>
      </x:c>
      <x:c r="I62" s="10" t="n">
        <x:f>I49*I27/'Controls'!$E$11</x:f>
        <x:v>163.53568168384115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35.487649315068495</x:v>
      </x:c>
      <x:c r="F63" s="8" t="n">
        <x:f>F60+F61-F62</x:f>
        <x:v>39.49065615780823</x:v>
      </x:c>
      <x:c r="G63" s="8" t="n">
        <x:f>G60+G61-G62</x:f>
        <x:v>43.94520217240901</x:v>
      </x:c>
      <x:c r="H63" s="8" t="n">
        <x:f>H60+H61-H62</x:f>
        <x:v>48.90222097745675</x:v>
      </x:c>
      <x:c r="I63" s="8" t="n">
        <x:f>I60+I61-I62</x:f>
        <x:v>54.41839150371388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3.597238356164386</x:v>
      </x:c>
      <x:c r="F64" s="8" t="n">
        <x:f>F63-E63</x:f>
        <x:v>4.003006842739737</x:v>
      </x:c>
      <x:c r="G64" s="8" t="n">
        <x:f>G63-F63</x:f>
        <x:v>4.45454601460078</x:v>
      </x:c>
      <x:c r="H64" s="8" t="n">
        <x:f>H63-G63</x:f>
        <x:v>4.957018805047738</x:v>
      </x:c>
      <x:c r="I64" s="8" t="n">
        <x:f>I63-H63</x:f>
        <x:v>5.5161705262571274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60.09119999999999</x:v>
      </x:c>
      <x:c r="F65" s="8" t="n">
        <x:f>F47*F23</x:f>
        <x:v>66.86948736000001</x:v>
      </x:c>
      <x:c r="G65" s="8" t="n">
        <x:f>G47*G23</x:f>
        <x:v>74.41236553420804</x:v>
      </x:c>
      <x:c r="H65" s="8" t="n">
        <x:f>H47*H23</x:f>
        <x:v>82.8060803664667</x:v>
      </x:c>
      <x:c r="I65" s="8" t="n">
        <x:f>I47*I23</x:f>
        <x:v>92.14660623180414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940.0912000000001</x:v>
      </x:c>
      <x:c r="F66" s="8" t="n">
        <x:f>E66+F65-F53</x:f>
        <x:v>894.14974336</x:v>
      </x:c>
      <x:c r="G66" s="8" t="n">
        <x:f>F66+G65-G53</x:f>
        <x:v>861.264139691008</x:v>
      </x:c>
      <x:c r="H66" s="8" t="n">
        <x:f>G66+H65-H53</x:f>
        <x:v>840.7185232945538</x:v>
      </x:c>
      <x:c r="I66" s="8" t="n">
        <x:f>H66+I65-I53</x:f>
        <x:v>831.9789067310115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270</x:v>
      </x:c>
      <x:c r="F67" s="8" t="n">
        <x:f>E67+F30-F31</x:f>
        <x:v>240</x:v>
      </x:c>
      <x:c r="G67" s="8" t="n">
        <x:f>F67+G30-G31</x:f>
        <x:v>210</x:v>
      </x:c>
      <x:c r="H67" s="8" t="n">
        <x:f>G67+H30-H31</x:f>
        <x:v>180</x:v>
      </x:c>
      <x:c r="I67" s="8" t="n">
        <x:f>H67+I30-I31</x:f>
        <x:v>150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237.62736164383557</x:v>
      </x:c>
      <x:c r="F69" s="8" t="n">
        <x:f>F58+F53-F64</x:f>
        <x:v>263.3202640372603</x:v>
      </x:c>
      <x:c r="G69" s="8" t="n">
        <x:f>G58+G53-G64</x:f>
        <x:v>292.31734750066335</x:v>
      </x:c>
      <x:c r="H69" s="8" t="n">
        <x:f>H58+H53-H64</x:f>
        <x:v>324.91671345713814</x:v>
      </x:c>
      <x:c r="I69" s="8" t="n">
        <x:f>I58+I53-I64</x:f>
        <x:v>361.45904239449544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30.306149999999985</x:v>
      </x:c>
      <x:c r="F70" s="8" t="n">
        <x:f>MAX(0,F58)*F32</x:f>
        <x:v>38.62808172000001</x:v>
      </x:c>
      <x:c r="G70" s="8" t="n">
        <x:f>MAX(0,G58)*G32</x:f>
        <x:v>47.36848107801604</x:v>
      </x:c>
      <x:c r="H70" s="8" t="n">
        <x:f>MAX(0,H58)*H32</x:f>
        <x:v>56.63050887481622</x:v>
      </x:c>
      <x:c r="I70" s="8" t="n">
        <x:f>MAX(0,I58)*I32</x:f>
        <x:v>66.52224753135152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117.2300116438356</x:v>
      </x:c>
      <x:c r="F71" s="8" t="n">
        <x:f>F69-F65+F30-F31-F70</x:f>
        <x:v>127.8226949572603</x:v>
      </x:c>
      <x:c r="G71" s="8" t="n">
        <x:f>G69-G65+G30-G31-G70</x:f>
        <x:v>140.53650088843926</x:v>
      </x:c>
      <x:c r="H71" s="8" t="n">
        <x:f>H69-H65+H30-H31-H70</x:f>
        <x:v>155.48012421585523</x:v>
      </x:c>
      <x:c r="I71" s="8" t="n">
        <x:f>I69-I65+I30-I31-I70</x:f>
        <x:v>172.7901886313398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317.2300116438356</x:v>
      </x:c>
      <x:c r="F72" s="8" t="n">
        <x:f>E72+F71</x:f>
        <x:v>445.0527066010959</x:v>
      </x:c>
      <x:c r="G72" s="8" t="n">
        <x:f>F72+G71</x:f>
        <x:v>585.5892074895352</x:v>
      </x:c>
      <x:c r="H72" s="8" t="n">
        <x:f>G72+H71</x:f>
        <x:v>741.0693317053904</x:v>
      </x:c>
      <x:c r="I72" s="8" t="n">
        <x:f>H72+I71</x:f>
        <x:v>913.8595203367302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1022.8088609589041</x:v>
      </x:c>
      <x:c r="F73" s="41" t="n">
        <x:f>E73+F58-F70</x:f>
        <x:v>1138.6931061189043</x:v>
      </x:c>
      <x:c r="G73" s="41" t="n">
        <x:f>F73+G58-G70</x:f>
        <x:v>1280.7985493529525</x:v>
      </x:c>
      <x:c r="H73" s="41" t="n">
        <x:f>G73+H58-H70</x:f>
        <x:v>1450.690075977401</x:v>
      </x:c>
      <x:c r="I73" s="41" t="n">
        <x:f>H73+I58-I70</x:f>
        <x:v>1650.2568185714556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1399.454734931507</x:v>
      </x:c>
      <x:c r="F74" s="8" t="n">
        <x:f>F72+F60+F61+F66</x:f>
        <x:v>1497.3686346756165</x:v>
      </x:c>
      <x:c r="G74" s="8" t="n">
        <x:f>G72+G60+G61+G66</x:f>
        <x:v>1622.8606775308617</x:v>
      </x:c>
      <x:c r="H74" s="8" t="n">
        <x:f>H72+H60+H61+H66</x:f>
        <x:v>1777.648812213779</x:v>
      </x:c>
      <x:c r="I74" s="8" t="n">
        <x:f>I72+I60+I61+I66</x:f>
        <x:v>1963.7925002552965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1399.454734931507</x:v>
      </x:c>
      <x:c r="F75" s="8" t="n">
        <x:f>F62+F67+F73</x:f>
        <x:v>1497.3686346756167</x:v>
      </x:c>
      <x:c r="G75" s="8" t="n">
        <x:f>G62+G67+G73</x:f>
        <x:v>1622.8606775308622</x:v>
      </x:c>
      <x:c r="H75" s="8" t="n">
        <x:f>H62+H67+H73</x:f>
        <x:v>1777.6488122137787</x:v>
      </x:c>
      <x:c r="I75" s="8" t="n">
        <x:f>I62+I67+I73</x:f>
        <x:v>1963.7925002552968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140.34959999999995</x:v>
      </x:c>
      <x:c r="F76" s="8" t="n">
        <x:f>F54-MAX(0,F54)*F28</x:f>
        <x:v>171.72482688000002</x:v>
      </x:c>
      <x:c r="G76" s="8" t="n">
        <x:f>G54-MAX(0,G54)*G28</x:f>
        <x:v>204.77392431206414</x:v>
      </x:c>
      <x:c r="H76" s="8" t="n">
        <x:f>H54-MAX(0,H54)*H28</x:f>
        <x:v>239.9095354992649</x:v>
      </x:c>
      <x:c r="I76" s="8" t="n">
        <x:f>I54-MAX(0,I54)*I28</x:f>
        <x:v>277.5639901254061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196.66116164383558</x:v>
      </x:c>
      <x:c r="F77" s="41" t="n">
        <x:f>F76+F53-F65-F64</x:f>
        <x:v>213.66327667726028</x:v>
      </x:c>
      <x:c r="G77" s="41" t="n">
        <x:f>G76+G53-G65-G64</x:f>
        <x:v>233.2049819664553</x:v>
      </x:c>
      <x:c r="H77" s="41" t="n">
        <x:f>H76+H53-H65-H64</x:f>
        <x:v>255.49813309067147</x:v>
      </x:c>
      <x:c r="I77" s="41" t="n">
        <x:f>I76+I53-I65-I64</x:f>
        <x:v>280.7874361626913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0.4699999999999999</x:v>
      </x:c>
      <x:c r="F79" s="35" t="n">
        <x:f>F50/F47</x:f>
        <x:v>0.47</x:v>
      </x:c>
      <x:c r="G79" s="35" t="n">
        <x:f>G50/G47</x:f>
        <x:v>0.47</x:v>
      </x:c>
      <x:c r="H79" s="35" t="n">
        <x:f>H50/H47</x:f>
        <x:v>0.4699999999999999</x:v>
      </x:c>
      <x:c r="I79" s="35" t="n">
        <x:f>I50/I47</x:f>
        <x:v>0.47000000000000003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0.22999999999999995</x:v>
      </x:c>
      <x:c r="F80" s="35" t="n">
        <x:f>F52/F47</x:f>
        <x:v>0.22999999999999998</x:v>
      </x:c>
      <x:c r="G80" s="35" t="n">
        <x:f>G52/G47</x:f>
        <x:v>0.23</x:v>
      </x:c>
      <x:c r="H80" s="35" t="n">
        <x:f>H52/H47</x:f>
        <x:v>0.22999999999999995</x:v>
      </x:c>
      <x:c r="I80" s="35" t="n">
        <x:f>I52/I47</x:f>
        <x:v>0.23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0.09078046369518328</x:v>
      </x:c>
      <x:c r="F81" s="35" t="n">
        <x:f>F58/F47</x:f>
        <x:v>0.10397948278214526</x:v>
      </x:c>
      <x:c r="G81" s="35" t="n">
        <x:f>G58/G47</x:f>
        <x:v>0.1145821199585875</x:v>
      </x:c>
      <x:c r="H81" s="35" t="n">
        <x:f>H58/H47</x:f>
        <x:v>0.1231007620739273</x:v>
      </x:c>
      <x:c r="I81" s="35" t="n">
        <x:f>I58/I47</x:f>
        <x:v>0.12994514985740713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0.7736958138102985</x:v>
      </x:c>
      <x:c r="F82" s="35" t="n">
        <x:f>IF(F52=0,"n.a.",F69/F52)</x:f>
        <x:v>0.7704438022215844</x:v>
      </x:c>
      <x:c r="G82" s="35" t="n">
        <x:f>IF(G52=0,"n.a.",G69/G52)</x:f>
        <x:v>0.7685889851829455</x:v>
      </x:c>
      <x:c r="H82" s="35" t="n">
        <x:f>IF(H52=0,"n.a.",H69/H52)</x:f>
        <x:v>0.7677052342923625</x:v>
      </x:c>
      <x:c r="I82" s="35" t="n">
        <x:f>IF(I52=0,"n.a.",I69/I52)</x:f>
        <x:v>0.767475334328711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5</x:v>
      </x:c>
      <x:c r="F83" s="8" t="n">
        <x:f>F25+F26-F27</x:f>
        <x:v>5</x:v>
      </x:c>
      <x:c r="G83" s="8" t="n">
        <x:f>G25+G26-G27</x:f>
        <x:v>5</x:v>
      </x:c>
      <x:c r="H83" s="8" t="n">
        <x:f>H25+H26-H27</x:f>
        <x:v>5</x:v>
      </x:c>
      <x:c r="I83" s="8" t="n">
        <x:f>I25+I26-I27</x:f>
        <x:v>5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-0.15377716624155943</x:v>
      </x:c>
      <x:c r="F84" s="61" t="n">
        <x:f>IF(F52&lt;=0,"n.a.",(F67-F72)/F52)</x:f>
        <x:v>-0.5999598530982052</x:v>
      </x:c>
      <x:c r="G84" s="61" t="n">
        <x:f>IF(G52&lt;=0,"n.a.",(G67-G72)/G52)</x:f>
        <x:v>-0.9875353970547147</x:v>
      </x:c>
      <x:c r="H84" s="61" t="n">
        <x:f>IF(H52&lt;=0,"n.a.",(H67-H72)/H52)</x:f>
        <x:v>-1.3256808434631882</x:v>
      </x:c>
      <x:c r="I84" s="61" t="n">
        <x:f>IF(I52&lt;=0,"n.a.",(I67-I72)/I52)</x:f>
        <x:v>-1.6218804124168966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7.338541176470584</x:v>
      </x:c>
      <x:c r="F85" s="61" t="n">
        <x:f>IF(F55=0,"n.a.",F54/F55)</x:f>
        <x:v>9.976751016993465</x:v>
      </x:c>
      <x:c r="G85" s="61" t="n">
        <x:f>IF(G55=0,"n.a.",G54/G55)</x:f>
        <x:v>13.383916621703538</x:v>
      </x:c>
      <x:c r="H85" s="61" t="n">
        <x:f>IF(H55=0,"n.a.",H54/H55)</x:f>
        <x:v>17.920413482671513</x:v>
      </x:c>
      <x:c r="I85" s="61" t="n">
        <x:f>IF(I55=0,"n.a.",I54/I55)</x:f>
        <x:v>24.18858301746458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0.13982739639146008</x:v>
      </x:c>
      <x:c r="F86" s="35" t="n">
        <x:f>F76/((E66+E63+F66+F63)/2)</x:f>
        <x:v>0.17989010637199157</x:v>
      </x:c>
      <x:c r="G86" s="35" t="n">
        <x:f>G76/((F66+F63+G66+G63)/2)</x:f>
        <x:v>0.22271958355689378</x:v>
      </x:c>
      <x:c r="H86" s="35" t="n">
        <x:f>H76/((G66+G63+H66+H63)/2)</x:f>
        <x:v>0.2673339803611501</x:v>
      </x:c>
      <x:c r="I86" s="35" t="n">
        <x:f>I76/((H66+H63+I66+I63)/2)</x:f>
        <x:v>0.3125688855431246</x:v>
      </x:c>
      <x:c r="J86" s="1"/>
      <x:c r="K86" s="1"/>
    </x:row>
    <x:row r="87" ht="18" customHeight="1">
      <x:c r="A87" s="1"/>
      <x:c r="B87" s="1"/>
      <x:c r="C87" s="1" t="str">
        <x:v>Gross profit per unit (INR)</x:v>
      </x:c>
      <x:c r="D87" s="2"/>
      <x:c r="E87" s="10" t="n">
        <x:f>E50*'Controls'!$E$9/(E46*'Controls'!$E$14)</x:f>
        <x:v>58.65599999999999</x:v>
      </x:c>
      <x:c r="F87" s="10" t="n">
        <x:f>F50*'Controls'!$E$9/(F46*'Controls'!$E$14)</x:f>
        <x:v>61.00224</x:v>
      </x:c>
      <x:c r="G87" s="10" t="n">
        <x:f>G50*'Controls'!$E$9/(G46*'Controls'!$E$14)</x:f>
        <x:v>63.44232960000002</x:v>
      </x:c>
      <x:c r="H87" s="10" t="n">
        <x:f>H50*'Controls'!$E$9/(H46*'Controls'!$E$14)</x:f>
        <x:v>65.98002278400001</x:v>
      </x:c>
      <x:c r="I87" s="10" t="n">
        <x:f>I50*'Controls'!$E$9/(I46*'Controls'!$E$14)</x:f>
        <x:v>68.61922369536</x:v>
      </x:c>
      <x:c r="J87" s="1"/>
      <x:c r="K87" s="1"/>
    </x:row>
    <x:row r="88" ht="18" customHeight="1">
      <x:c r="A88" s="1"/>
      <x:c r="B88" s="1"/>
      <x:c r="C88" s="23" t="str">
        <x:v>Inventory turns</x:v>
      </x:c>
      <x:c r="D88" s="32"/>
      <x:c r="E88" s="61" t="n">
        <x:f>IF(E61=0,"n.a.",E49/E61)</x:f>
        <x:v>8.11111111111111</x:v>
      </x:c>
      <x:c r="F88" s="61" t="n">
        <x:f>IF(F61=0,"n.a.",F49/F61)</x:f>
        <x:v>8.11111111111111</x:v>
      </x:c>
      <x:c r="G88" s="61" t="n">
        <x:f>IF(G61=0,"n.a.",G49/G61)</x:f>
        <x:v>8.11111111111111</x:v>
      </x:c>
      <x:c r="H88" s="61" t="n">
        <x:f>IF(H61=0,"n.a.",H49/H61)</x:f>
        <x:v>8.11111111111111</x:v>
      </x:c>
      <x:c r="I88" s="61" t="n">
        <x:f>IF(I61=0,"n.a.",I49/I61)</x:f>
        <x:v>8.11111111111111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175.59032289628175</x:v>
      </x:c>
      <x:c r="F90" s="8" t="n">
        <x:f>F77/(1+$D39)^2</x:f>
        <x:v>170.3310560246016</x:v>
      </x:c>
      <x:c r="G90" s="8" t="n">
        <x:f>G77/(1+$D39)^3</x:f>
        <x:v>165.99069985540558</x:v>
      </x:c>
      <x:c r="H90" s="8" t="n">
        <x:f>H77/(1+$D39)^4</x:f>
        <x:v>162.3736825778053</x:v>
      </x:c>
      <x:c r="I90" s="8" t="n">
        <x:f>I77/(1+$D39)^5</x:f>
        <x:v>159.3263320270828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211.6888031356431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2646.1100391955392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2335.085992807321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2235.085992807321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22.35085992807321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7371.1871999999985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7271.1871999999985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0.6430058267879978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0</x:v>
      </x:c>
      <x:c r="F100" s="34" t="n">
        <x:f>F74-F75</x:f>
        <x:v>-2.2737367544323206e-13</x:v>
      </x:c>
      <x:c r="G100" s="34" t="n">
        <x:f>G74-G75</x:f>
        <x:v>-4.547473508864641e-13</x:v>
      </x:c>
      <x:c r="H100" s="34" t="n">
        <x:f>H74-H75</x:f>
        <x:v>2.2737367544323206e-13</x:v>
      </x:c>
      <x:c r="I100" s="34" t="n">
        <x:f>I74-I75</x:f>
        <x:v>-2.2737367544323206e-13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5" priority="1">
      <x:formula>ABS(E100)&gt;0.01</x:formula>
    </x:cfRule>
  </x:conditionalFormatting>
  <x:conditionalFormatting sqref="E101:I101">
    <x:cfRule type="expression" dxfId="6" priority="2">
      <x:formula>ABS(E101)&gt;0.01</x:formula>
    </x:cfRule>
  </x:conditionalFormatting>
  <x:conditionalFormatting sqref="E102:I102">
    <x:cfRule type="expression" dxfId="7" priority="3">
      <x:formula>ABS(E102)&gt;0.01</x:formula>
    </x:cfRule>
  </x:conditionalFormatting>
  <x:conditionalFormatting sqref="E103:I103">
    <x:cfRule type="expression" dxfId="8" priority="4">
      <x:formula>ABS(E103)&gt;0.01</x:formula>
    </x:cfRule>
  </x:conditionalFormatting>
  <x:conditionalFormatting sqref="E104:I104">
    <x:cfRule type="expression" dxfId="9" priority="5">
      <x:formula>ABS(E104)&gt;0.01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Automobiles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Wholesale vehicles (units) — seed</x:v>
      </x:c>
      <x:c r="D10" s="7" t="n">
        <x:v>400000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30" customHeight="1">
      <x:c r="A11" s="1"/>
      <x:c r="B11" s="1"/>
      <x:c r="C11" s="56" t="str">
        <x:v>Net realization (INR lakh per vehicle) — seed</x:v>
      </x:c>
      <x:c r="D11" s="7" t="n">
        <x:v>7</x:v>
      </x:c>
      <x:c r="E11" s="2"/>
      <x:c r="F11" s="2"/>
      <x:c r="G11" s="2"/>
      <x:c r="H11" s="2"/>
      <x:c r="I11" s="2"/>
      <x:c r="J11" s="1"/>
      <x:c r="K11" s="1" t="str">
        <x:v>OEM archetype. EV battery costs, dealer inventory, retail sales and model mix require extensions.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0.09</x:v>
      </x:c>
      <x:c r="F12" s="30" t="n">
        <x:f>IF(COUNT(INDEX(F13:F15,'Controls'!$E$5))=0,NA(),INDEX(F13:F15,'Controls'!$E$5))</x:f>
        <x:v>0.09</x:v>
      </x:c>
      <x:c r="G12" s="30" t="n">
        <x:f>IF(COUNT(INDEX(G13:G15,'Controls'!$E$5))=0,NA(),INDEX(G13:G15,'Controls'!$E$5))</x:f>
        <x:v>0.09</x:v>
      </x:c>
      <x:c r="H12" s="30" t="n">
        <x:f>IF(COUNT(INDEX(H13:H15,'Controls'!$E$5))=0,NA(),INDEX(H13:H15,'Controls'!$E$5))</x:f>
        <x:v>0.09</x:v>
      </x:c>
      <x:c r="I12" s="30" t="n">
        <x:f>IF(COUNT(INDEX(I13:I15,'Controls'!$E$5))=0,NA(),INDEX(I13:I15,'Controls'!$E$5))</x:f>
        <x:v>0.09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0.09</x:v>
      </x:c>
      <x:c r="F13" s="26" t="n">
        <x:v>0.09</x:v>
      </x:c>
      <x:c r="G13" s="26" t="n">
        <x:v>0.09</x:v>
      </x:c>
      <x:c r="H13" s="26" t="n">
        <x:v>0.09</x:v>
      </x:c>
      <x:c r="I13" s="26" t="n">
        <x:v>0.09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0.039999999999999994</x:v>
      </x:c>
      <x:c r="F14" s="26" t="n">
        <x:v>0.039999999999999994</x:v>
      </x:c>
      <x:c r="G14" s="26" t="n">
        <x:v>0.039999999999999994</x:v>
      </x:c>
      <x:c r="H14" s="26" t="n">
        <x:v>0.039999999999999994</x:v>
      </x:c>
      <x:c r="I14" s="26" t="n">
        <x:v>0.039999999999999994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0.13</x:v>
      </x:c>
      <x:c r="F15" s="26" t="n">
        <x:v>0.13</x:v>
      </x:c>
      <x:c r="G15" s="26" t="n">
        <x:v>0.13</x:v>
      </x:c>
      <x:c r="H15" s="26" t="n">
        <x:v>0.13</x:v>
      </x:c>
      <x:c r="I15" s="26" t="n">
        <x:v>0.13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0.03</x:v>
      </x:c>
      <x:c r="F16" s="30" t="n">
        <x:f>IF(COUNT(INDEX(F17:F19,'Controls'!$E$5))=0,NA(),INDEX(F17:F19,'Controls'!$E$5))</x:f>
        <x:v>0.03</x:v>
      </x:c>
      <x:c r="G16" s="30" t="n">
        <x:f>IF(COUNT(INDEX(G17:G19,'Controls'!$E$5))=0,NA(),INDEX(G17:G19,'Controls'!$E$5))</x:f>
        <x:v>0.03</x:v>
      </x:c>
      <x:c r="H16" s="30" t="n">
        <x:f>IF(COUNT(INDEX(H17:H19,'Controls'!$E$5))=0,NA(),INDEX(H17:H19,'Controls'!$E$5))</x:f>
        <x:v>0.03</x:v>
      </x:c>
      <x:c r="I16" s="30" t="n">
        <x:f>IF(COUNT(INDEX(I17:I19,'Controls'!$E$5))=0,NA(),INDEX(I17:I19,'Controls'!$E$5))</x:f>
        <x:v>0.03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0.03</x:v>
      </x:c>
      <x:c r="F17" s="26" t="n">
        <x:v>0.03</x:v>
      </x:c>
      <x:c r="G17" s="26" t="n">
        <x:v>0.03</x:v>
      </x:c>
      <x:c r="H17" s="26" t="n">
        <x:v>0.03</x:v>
      </x:c>
      <x:c r="I17" s="26" t="n">
        <x:v>0.03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0.0049999999999999975</x:v>
      </x:c>
      <x:c r="F18" s="26" t="n">
        <x:v>0.0049999999999999975</x:v>
      </x:c>
      <x:c r="G18" s="26" t="n">
        <x:v>0.0049999999999999975</x:v>
      </x:c>
      <x:c r="H18" s="26" t="n">
        <x:v>0.0049999999999999975</x:v>
      </x:c>
      <x:c r="I18" s="26" t="n">
        <x:v>0.0049999999999999975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0.05</x:v>
      </x:c>
      <x:c r="F19" s="26" t="n">
        <x:v>0.05</x:v>
      </x:c>
      <x:c r="G19" s="26" t="n">
        <x:v>0.05</x:v>
      </x:c>
      <x:c r="H19" s="26" t="n">
        <x:v>0.05</x:v>
      </x:c>
      <x:c r="I19" s="26" t="n">
        <x:v>0.05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Material and variable production / revenue</x:v>
      </x:c>
      <x:c r="D21" s="24"/>
      <x:c r="E21" s="26" t="n">
        <x:v>0.72</x:v>
      </x:c>
      <x:c r="F21" s="26" t="n">
        <x:v>0.72</x:v>
      </x:c>
      <x:c r="G21" s="26" t="n">
        <x:v>0.72</x:v>
      </x:c>
      <x:c r="H21" s="26" t="n">
        <x:v>0.72</x:v>
      </x:c>
      <x:c r="I21" s="26" t="n">
        <x:v>0.72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0.13</x:v>
      </x:c>
      <x:c r="F22" s="26" t="n">
        <x:v>0.13</x:v>
      </x:c>
      <x:c r="G22" s="26" t="n">
        <x:v>0.13</x:v>
      </x:c>
      <x:c r="H22" s="26" t="n">
        <x:v>0.13</x:v>
      </x:c>
      <x:c r="I22" s="26" t="n">
        <x:v>0.13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0.065</x:v>
      </x:c>
      <x:c r="F23" s="26" t="n">
        <x:v>0.065</x:v>
      </x:c>
      <x:c r="G23" s="26" t="n">
        <x:v>0.065</x:v>
      </x:c>
      <x:c r="H23" s="26" t="n">
        <x:v>0.065</x:v>
      </x:c>
      <x:c r="I23" s="26" t="n">
        <x:v>0.065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0.13</x:v>
      </x:c>
      <x:c r="F24" s="26" t="n">
        <x:v>0.13</x:v>
      </x:c>
      <x:c r="G24" s="26" t="n">
        <x:v>0.13</x:v>
      </x:c>
      <x:c r="H24" s="26" t="n">
        <x:v>0.13</x:v>
      </x:c>
      <x:c r="I24" s="26" t="n">
        <x:v>0.13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20</x:v>
      </x:c>
      <x:c r="F25" s="7" t="n">
        <x:v>20</x:v>
      </x:c>
      <x:c r="G25" s="7" t="n">
        <x:v>20</x:v>
      </x:c>
      <x:c r="H25" s="7" t="n">
        <x:v>20</x:v>
      </x:c>
      <x:c r="I25" s="7" t="n">
        <x:v>20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35</x:v>
      </x:c>
      <x:c r="F26" s="7" t="n">
        <x:v>35</x:v>
      </x:c>
      <x:c r="G26" s="7" t="n">
        <x:v>35</x:v>
      </x:c>
      <x:c r="H26" s="7" t="n">
        <x:v>35</x:v>
      </x:c>
      <x:c r="I26" s="7" t="n">
        <x:v>35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50</x:v>
      </x:c>
      <x:c r="F27" s="7" t="n">
        <x:v>50</x:v>
      </x:c>
      <x:c r="G27" s="7" t="n">
        <x:v>50</x:v>
      </x:c>
      <x:c r="H27" s="7" t="n">
        <x:v>50</x:v>
      </x:c>
      <x:c r="I27" s="7" t="n">
        <x:v>50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250</x:v>
      </x:c>
      <x:c r="F31" s="7" t="n">
        <x:v>250</x:v>
      </x:c>
      <x:c r="G31" s="7" t="n">
        <x:v>250</x:v>
      </x:c>
      <x:c r="H31" s="7" t="n">
        <x:v>250</x:v>
      </x:c>
      <x:c r="I31" s="7" t="n">
        <x:v>250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8000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2500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1500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705.7534246575343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12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Wholesale vehicles (units)</x:v>
      </x:c>
      <x:c r="D44" s="2"/>
      <x:c r="E44" s="8" t="n">
        <x:f>$D10*(1+E12)</x:f>
        <x:v>436000.00000000006</x:v>
      </x:c>
      <x:c r="F44" s="8" t="n">
        <x:f>E44*(1+F12)</x:f>
        <x:v>475240.0000000001</x:v>
      </x:c>
      <x:c r="G44" s="8" t="n">
        <x:f>F44*(1+G12)</x:f>
        <x:v>518011.60000000015</x:v>
      </x:c>
      <x:c r="H44" s="8" t="n">
        <x:f>G44*(1+H12)</x:f>
        <x:v>564632.6440000002</x:v>
      </x:c>
      <x:c r="I44" s="8" t="n">
        <x:f>H44*(1+I12)</x:f>
        <x:v>615449.5819600002</x:v>
      </x:c>
      <x:c r="J44" s="1"/>
      <x:c r="K44" s="1"/>
    </x:row>
    <x:row r="45" ht="18" customHeight="1">
      <x:c r="A45" s="1"/>
      <x:c r="B45" s="1"/>
      <x:c r="C45" s="1" t="str">
        <x:v>Net realization (INR lakh per vehicle)</x:v>
      </x:c>
      <x:c r="D45" s="2"/>
      <x:c r="E45" s="8" t="n">
        <x:f>$D11*(1+E16)</x:f>
        <x:v>7.21</x:v>
      </x:c>
      <x:c r="F45" s="8" t="n">
        <x:f>E45*(1+F16)</x:f>
        <x:v>7.4263</x:v>
      </x:c>
      <x:c r="G45" s="8" t="n">
        <x:f>F45*(1+G16)</x:f>
        <x:v>7.649089000000001</x:v>
      </x:c>
      <x:c r="H45" s="8" t="n">
        <x:f>G45*(1+H16)</x:f>
        <x:v>7.878561670000001</x:v>
      </x:c>
      <x:c r="I45" s="8" t="n">
        <x:f>H45*(1+I16)</x:f>
        <x:v>8.114918520100002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436000.00000000006</x:v>
      </x:c>
      <x:c r="F46" s="8" t="n">
        <x:f>F44*F20</x:f>
        <x:v>475240.0000000001</x:v>
      </x:c>
      <x:c r="G46" s="8" t="n">
        <x:f>G44*G20</x:f>
        <x:v>518011.60000000015</x:v>
      </x:c>
      <x:c r="H46" s="8" t="n">
        <x:f>H44*H20</x:f>
        <x:v>564632.6440000002</x:v>
      </x:c>
      <x:c r="I46" s="8" t="n">
        <x:f>I44*I20</x:f>
        <x:v>615449.5819600002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E46*E45*'Controls'!$E$15/'Controls'!$E$9</x:f>
        <x:v>31435.600000000006</x:v>
      </x:c>
      <x:c r="F47" s="60" t="n">
        <x:f>F46*F45*'Controls'!$E$15/'Controls'!$E$9</x:f>
        <x:v>35292.748120000004</x:v>
      </x:c>
      <x:c r="G47" s="60" t="n">
        <x:f>G46*G45*'Controls'!$E$15/'Controls'!$E$9</x:f>
        <x:v>39623.168314324015</x:v>
      </x:c>
      <x:c r="H47" s="60" t="n">
        <x:f>H46*H45*'Controls'!$E$15/'Controls'!$E$9</x:f>
        <x:v>44484.931066491576</x:v>
      </x:c>
      <x:c r="I47" s="60" t="n">
        <x:f>I46*I45*'Controls'!$E$15/'Controls'!$E$9</x:f>
        <x:v>49943.2321083501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22633.632000000005</x:v>
      </x:c>
      <x:c r="F49" s="8" t="n">
        <x:f>F47*F21</x:f>
        <x:v>25410.778646400002</x:v>
      </x:c>
      <x:c r="G49" s="8" t="n">
        <x:f>G47*G21</x:f>
        <x:v>28528.68118631329</x:v>
      </x:c>
      <x:c r="H49" s="8" t="n">
        <x:f>H47*H21</x:f>
        <x:v>32029.150367873932</x:v>
      </x:c>
      <x:c r="I49" s="8" t="n">
        <x:f>I47*I21</x:f>
        <x:v>35959.127118012075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8801.968</x:v>
      </x:c>
      <x:c r="F50" s="8" t="n">
        <x:f>F47-F49</x:f>
        <x:v>9881.969473600002</x:v>
      </x:c>
      <x:c r="G50" s="8" t="n">
        <x:f>G47-G49</x:f>
        <x:v>11094.487128010725</x:v>
      </x:c>
      <x:c r="H50" s="8" t="n">
        <x:f>H47-H49</x:f>
        <x:v>12455.780698617644</x:v>
      </x:c>
      <x:c r="I50" s="8" t="n">
        <x:f>I47-I49</x:f>
        <x:v>13984.104990338026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4086.628000000001</x:v>
      </x:c>
      <x:c r="F51" s="8" t="n">
        <x:f>F47*F22</x:f>
        <x:v>4588.057255600001</x:v>
      </x:c>
      <x:c r="G51" s="8" t="n">
        <x:f>G47*G22</x:f>
        <x:v>5151.011880862122</x:v>
      </x:c>
      <x:c r="H51" s="8" t="n">
        <x:f>H47*H22</x:f>
        <x:v>5783.041038643905</x:v>
      </x:c>
      <x:c r="I51" s="8" t="n">
        <x:f>I47*I22</x:f>
        <x:v>6492.620174085513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4715.34</x:v>
      </x:c>
      <x:c r="F52" s="41" t="n">
        <x:f>F50-F51</x:f>
        <x:v>5293.912218000001</x:v>
      </x:c>
      <x:c r="G52" s="41" t="n">
        <x:f>G50-G51</x:f>
        <x:v>5943.475247148604</x:v>
      </x:c>
      <x:c r="H52" s="41" t="n">
        <x:f>H50-H51</x:f>
        <x:v>6672.7396599737385</x:v>
      </x:c>
      <x:c r="I52" s="41" t="n">
        <x:f>I50-I51</x:f>
        <x:v>7491.484816252513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1040</x:v>
      </x:c>
      <x:c r="F53" s="8" t="n">
        <x:f>E66*F24</x:f>
        <x:v>1170.43082</x:v>
      </x:c>
      <x:c r="G53" s="8" t="n">
        <x:f>F66*G24</x:f>
        <x:v>1316.4985350140003</x:v>
      </x:c>
      <x:c r="H53" s="8" t="n">
        <x:f>G66*H24</x:f>
        <x:v>1480.1694977182183</x:v>
      </x:c>
      <x:c r="I53" s="8" t="n">
        <x:f>H66*I24</x:f>
        <x:v>1663.645130526704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3675.34</x:v>
      </x:c>
      <x:c r="F54" s="8" t="n">
        <x:f>F52-F53</x:f>
        <x:v>4123.481398000002</x:v>
      </x:c>
      <x:c r="G54" s="8" t="n">
        <x:f>G52-G53</x:f>
        <x:v>4626.976712134603</x:v>
      </x:c>
      <x:c r="H54" s="8" t="n">
        <x:f>H52-H53</x:f>
        <x:v>5192.570162255521</x:v>
      </x:c>
      <x:c r="I54" s="8" t="n">
        <x:f>I52-I53</x:f>
        <x:v>5827.839685725809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212.50000000000003</x:v>
      </x:c>
      <x:c r="F55" s="8" t="n">
        <x:f>E67*F29</x:f>
        <x:v>191.25</x:v>
      </x:c>
      <x:c r="G55" s="8" t="n">
        <x:f>F67*G29</x:f>
        <x:v>170</x:v>
      </x:c>
      <x:c r="H55" s="8" t="n">
        <x:f>G67*H29</x:f>
        <x:v>148.75</x:v>
      </x:c>
      <x:c r="I55" s="8" t="n">
        <x:f>H67*I29</x:f>
        <x:v>127.50000000000001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3462.84</x:v>
      </x:c>
      <x:c r="F56" s="8" t="n">
        <x:f>F54-F55</x:f>
        <x:v>3932.2313980000017</x:v>
      </x:c>
      <x:c r="G56" s="8" t="n">
        <x:f>G54-G55</x:f>
        <x:v>4456.976712134603</x:v>
      </x:c>
      <x:c r="H56" s="8" t="n">
        <x:f>H54-H55</x:f>
        <x:v>5043.820162255521</x:v>
      </x:c>
      <x:c r="I56" s="8" t="n">
        <x:f>I54-I55</x:f>
        <x:v>5700.339685725809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865.71</x:v>
      </x:c>
      <x:c r="F57" s="8" t="n">
        <x:f>MAX(0,F56)*F28</x:f>
        <x:v>983.0578495000004</x:v>
      </x:c>
      <x:c r="G57" s="8" t="n">
        <x:f>MAX(0,G56)*G28</x:f>
        <x:v>1114.2441780336508</x:v>
      </x:c>
      <x:c r="H57" s="8" t="n">
        <x:f>MAX(0,H56)*H28</x:f>
        <x:v>1260.9550405638802</x:v>
      </x:c>
      <x:c r="I57" s="8" t="n">
        <x:f>MAX(0,I56)*I28</x:f>
        <x:v>1425.0849214314524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2597.13</x:v>
      </x:c>
      <x:c r="F58" s="41" t="n">
        <x:f>F56-F57</x:f>
        <x:v>2949.1735485000013</x:v>
      </x:c>
      <x:c r="G58" s="41" t="n">
        <x:f>G56-G57</x:f>
        <x:v>3342.7325341009523</x:v>
      </x:c>
      <x:c r="H58" s="41" t="n">
        <x:f>H56-H57</x:f>
        <x:v>3782.8651216916405</x:v>
      </x:c>
      <x:c r="I58" s="41" t="n">
        <x:f>I56-I57</x:f>
        <x:v>4275.254764294357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1722.4986301369865</x:v>
      </x:c>
      <x:c r="F60" s="10" t="n">
        <x:f>F47*F25/'Controls'!$E$11</x:f>
        <x:v>1933.8492120547946</x:v>
      </x:c>
      <x:c r="G60" s="10" t="n">
        <x:f>G47*G25/'Controls'!$E$11</x:f>
        <x:v>2171.1325103739186</x:v>
      </x:c>
      <x:c r="H60" s="10" t="n">
        <x:f>H47*H25/'Controls'!$E$11</x:f>
        <x:v>2437.5304693967987</x:v>
      </x:c>
      <x:c r="I60" s="10" t="n">
        <x:f>I47*I25/'Controls'!$E$11</x:f>
        <x:v>2736.615457991786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2170.3482739726032</x:v>
      </x:c>
      <x:c r="F61" s="10" t="n">
        <x:f>F49*F26/'Controls'!$E$11</x:f>
        <x:v>2436.6500071890414</x:v>
      </x:c>
      <x:c r="G61" s="10" t="n">
        <x:f>G49*G26/'Controls'!$E$11</x:f>
        <x:v>2735.626963071137</x:v>
      </x:c>
      <x:c r="H61" s="10" t="n">
        <x:f>H49*H26/'Controls'!$E$11</x:f>
        <x:v>3071.2883914399663</x:v>
      </x:c>
      <x:c r="I61" s="10" t="n">
        <x:f>I49*I26/'Controls'!$E$11</x:f>
        <x:v>3448.135477069651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3100.4975342465764</x:v>
      </x:c>
      <x:c r="F62" s="10" t="n">
        <x:f>F49*F27/'Controls'!$E$11</x:f>
        <x:v>3480.9285816986303</x:v>
      </x:c>
      <x:c r="G62" s="10" t="n">
        <x:f>G49*G27/'Controls'!$E$11</x:f>
        <x:v>3908.038518673053</x:v>
      </x:c>
      <x:c r="H62" s="10" t="n">
        <x:f>H49*H27/'Controls'!$E$11</x:f>
        <x:v>4387.554844914237</x:v>
      </x:c>
      <x:c r="I62" s="10" t="n">
        <x:f>I49*I27/'Controls'!$E$11</x:f>
        <x:v>4925.907824385216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792.3493698630132</x:v>
      </x:c>
      <x:c r="F63" s="8" t="n">
        <x:f>F60+F61-F62</x:f>
        <x:v>889.5706375452055</x:v>
      </x:c>
      <x:c r="G63" s="8" t="n">
        <x:f>G60+G61-G62</x:f>
        <x:v>998.7209547720026</x:v>
      </x:c>
      <x:c r="H63" s="8" t="n">
        <x:f>H60+H61-H62</x:f>
        <x:v>1121.2640159225284</x:v>
      </x:c>
      <x:c r="I63" s="8" t="n">
        <x:f>I60+I61-I62</x:f>
        <x:v>1258.843110676221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86.59594520547887</x:v>
      </x:c>
      <x:c r="F64" s="8" t="n">
        <x:f>F63-E63</x:f>
        <x:v>97.22126768219232</x:v>
      </x:c>
      <x:c r="G64" s="8" t="n">
        <x:f>G63-F63</x:f>
        <x:v>109.15031722679714</x:v>
      </x:c>
      <x:c r="H64" s="8" t="n">
        <x:f>H63-G63</x:f>
        <x:v>122.54306115052577</x:v>
      </x:c>
      <x:c r="I64" s="8" t="n">
        <x:f>I63-H63</x:f>
        <x:v>137.57909475369252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2043.3140000000005</x:v>
      </x:c>
      <x:c r="F65" s="8" t="n">
        <x:f>F47*F23</x:f>
        <x:v>2294.0286278000003</x:v>
      </x:c>
      <x:c r="G65" s="8" t="n">
        <x:f>G47*G23</x:f>
        <x:v>2575.505940431061</x:v>
      </x:c>
      <x:c r="H65" s="8" t="n">
        <x:f>H47*H23</x:f>
        <x:v>2891.5205193219526</x:v>
      </x:c>
      <x:c r="I65" s="8" t="n">
        <x:f>I47*I23</x:f>
        <x:v>3246.3100870427565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9003.314</x:v>
      </x:c>
      <x:c r="F66" s="8" t="n">
        <x:f>E66+F65-F53</x:f>
        <x:v>10126.911807800001</x:v>
      </x:c>
      <x:c r="G66" s="8" t="n">
        <x:f>F66+G65-G53</x:f>
        <x:v>11385.919213217063</x:v>
      </x:c>
      <x:c r="H66" s="8" t="n">
        <x:f>G66+H65-H53</x:f>
        <x:v>12797.270234820799</x:v>
      </x:c>
      <x:c r="I66" s="8" t="n">
        <x:f>H66+I65-I53</x:f>
        <x:v>14379.935191336852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2250</x:v>
      </x:c>
      <x:c r="F67" s="8" t="n">
        <x:f>E67+F30-F31</x:f>
        <x:v>2000</x:v>
      </x:c>
      <x:c r="G67" s="8" t="n">
        <x:f>F67+G30-G31</x:f>
        <x:v>1750</x:v>
      </x:c>
      <x:c r="H67" s="8" t="n">
        <x:f>G67+H30-H31</x:f>
        <x:v>1500</x:v>
      </x:c>
      <x:c r="I67" s="8" t="n">
        <x:f>H67+I30-I31</x:f>
        <x:v>1250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3550.534054794521</x:v>
      </x:c>
      <x:c r="F69" s="8" t="n">
        <x:f>F58+F53-F64</x:f>
        <x:v>4022.383100817809</x:v>
      </x:c>
      <x:c r="G69" s="8" t="n">
        <x:f>G58+G53-G64</x:f>
        <x:v>4550.080751888156</x:v>
      </x:c>
      <x:c r="H69" s="8" t="n">
        <x:f>H58+H53-H64</x:f>
        <x:v>5140.491558259333</x:v>
      </x:c>
      <x:c r="I69" s="8" t="n">
        <x:f>I58+I53-I64</x:f>
        <x:v>5801.3208000673685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649.2825</x:v>
      </x:c>
      <x:c r="F70" s="8" t="n">
        <x:f>MAX(0,F58)*F32</x:f>
        <x:v>737.2933871250003</x:v>
      </x:c>
      <x:c r="G70" s="8" t="n">
        <x:f>MAX(0,G58)*G32</x:f>
        <x:v>835.6831335252381</x:v>
      </x:c>
      <x:c r="H70" s="8" t="n">
        <x:f>MAX(0,H58)*H32</x:f>
        <x:v>945.7162804229101</x:v>
      </x:c>
      <x:c r="I70" s="8" t="n">
        <x:f>MAX(0,I58)*I32</x:f>
        <x:v>1068.8136910735893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607.9375547945206</x:v>
      </x:c>
      <x:c r="F71" s="8" t="n">
        <x:f>F69-F65+F30-F31-F70</x:f>
        <x:v>741.0610858928084</x:v>
      </x:c>
      <x:c r="G71" s="8" t="n">
        <x:f>G69-G65+G30-G31-G70</x:f>
        <x:v>888.8916779318566</x:v>
      </x:c>
      <x:c r="H71" s="8" t="n">
        <x:f>H69-H65+H30-H31-H70</x:f>
        <x:v>1053.2547585144703</x:v>
      </x:c>
      <x:c r="I71" s="8" t="n">
        <x:f>I69-I65+I30-I31-I70</x:f>
        <x:v>1236.1970219510226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2107.9375547945206</x:v>
      </x:c>
      <x:c r="F72" s="8" t="n">
        <x:f>E72+F71</x:f>
        <x:v>2848.998640687329</x:v>
      </x:c>
      <x:c r="G72" s="8" t="n">
        <x:f>F72+G71</x:f>
        <x:v>3737.8903186191856</x:v>
      </x:c>
      <x:c r="H72" s="8" t="n">
        <x:f>G72+H71</x:f>
        <x:v>4791.145077133656</x:v>
      </x:c>
      <x:c r="I72" s="8" t="n">
        <x:f>H72+I71</x:f>
        <x:v>6027.342099084679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9653.600924657536</x:v>
      </x:c>
      <x:c r="F73" s="41" t="n">
        <x:f>E73+F58-F70</x:f>
        <x:v>11865.481086032536</x:v>
      </x:c>
      <x:c r="G73" s="41" t="n">
        <x:f>F73+G58-G70</x:f>
        <x:v>14372.530486608252</x:v>
      </x:c>
      <x:c r="H73" s="41" t="n">
        <x:f>G73+H58-H70</x:f>
        <x:v>17209.679327876984</x:v>
      </x:c>
      <x:c r="I73" s="41" t="n">
        <x:f>H73+I58-I70</x:f>
        <x:v>20416.120401097753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15004.09845890411</x:v>
      </x:c>
      <x:c r="F74" s="8" t="n">
        <x:f>F72+F60+F61+F66</x:f>
        <x:v>17346.409667731168</x:v>
      </x:c>
      <x:c r="G74" s="8" t="n">
        <x:f>G72+G60+G61+G66</x:f>
        <x:v>20030.569005281304</x:v>
      </x:c>
      <x:c r="H74" s="8" t="n">
        <x:f>H72+H60+H61+H66</x:f>
        <x:v>23097.23417279122</x:v>
      </x:c>
      <x:c r="I74" s="8" t="n">
        <x:f>I72+I60+I61+I66</x:f>
        <x:v>26592.028225482965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15004.098458904113</x:v>
      </x:c>
      <x:c r="F75" s="8" t="n">
        <x:f>F62+F67+F73</x:f>
        <x:v>17346.409667731168</x:v>
      </x:c>
      <x:c r="G75" s="8" t="n">
        <x:f>G62+G67+G73</x:f>
        <x:v>20030.569005281304</x:v>
      </x:c>
      <x:c r="H75" s="8" t="n">
        <x:f>H62+H67+H73</x:f>
        <x:v>23097.23417279122</x:v>
      </x:c>
      <x:c r="I75" s="8" t="n">
        <x:f>I62+I67+I73</x:f>
        <x:v>26592.02822548297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2756.505</x:v>
      </x:c>
      <x:c r="F76" s="8" t="n">
        <x:f>F54-MAX(0,F54)*F28</x:f>
        <x:v>3092.6110485000013</x:v>
      </x:c>
      <x:c r="G76" s="8" t="n">
        <x:f>G54-MAX(0,G54)*G28</x:f>
        <x:v>3470.2325341009523</x:v>
      </x:c>
      <x:c r="H76" s="8" t="n">
        <x:f>H54-MAX(0,H54)*H28</x:f>
        <x:v>3894.4276216916405</x:v>
      </x:c>
      <x:c r="I76" s="8" t="n">
        <x:f>I54-MAX(0,I54)*I28</x:f>
        <x:v>4370.879764294357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1666.5950547945208</x:v>
      </x:c>
      <x:c r="F77" s="41" t="n">
        <x:f>F76+F53-F65-F64</x:f>
        <x:v>1871.7919730178087</x:v>
      </x:c>
      <x:c r="G77" s="41" t="n">
        <x:f>G76+G53-G65-G64</x:f>
        <x:v>2102.0748114570943</x:v>
      </x:c>
      <x:c r="H77" s="41" t="n">
        <x:f>H76+H53-H65-H64</x:f>
        <x:v>2360.53353893738</x:v>
      </x:c>
      <x:c r="I77" s="41" t="n">
        <x:f>I76+I53-I65-I64</x:f>
        <x:v>2650.635713024612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0.27999999999999997</x:v>
      </x:c>
      <x:c r="F79" s="35" t="n">
        <x:f>F50/F47</x:f>
        <x:v>0.28</x:v>
      </x:c>
      <x:c r="G79" s="35" t="n">
        <x:f>G50/G47</x:f>
        <x:v>0.28</x:v>
      </x:c>
      <x:c r="H79" s="35" t="n">
        <x:f>H50/H47</x:f>
        <x:v>0.2800000000000001</x:v>
      </x:c>
      <x:c r="I79" s="35" t="n">
        <x:f>I50/I47</x:f>
        <x:v>0.27999999999999997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0.14999999999999997</x:v>
      </x:c>
      <x:c r="F80" s="35" t="n">
        <x:f>F52/F47</x:f>
        <x:v>0.15000000000000002</x:v>
      </x:c>
      <x:c r="G80" s="35" t="n">
        <x:f>G52/G47</x:f>
        <x:v>0.15000000000000002</x:v>
      </x:c>
      <x:c r="H80" s="35" t="n">
        <x:f>H52/H47</x:f>
        <x:v>0.15000000000000005</x:v>
      </x:c>
      <x:c r="I80" s="35" t="n">
        <x:f>I52/I47</x:f>
        <x:v>0.14999999999999997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0.08261747827304075</x:v>
      </x:c>
      <x:c r="F81" s="35" t="n">
        <x:f>F58/F47</x:f>
        <x:v>0.08356315973107058</x:v>
      </x:c>
      <x:c r="G81" s="35" t="n">
        <x:f>G58/G47</x:f>
        <x:v>0.08436308039739807</x:v>
      </x:c>
      <x:c r="H81" s="35" t="n">
        <x:f>H58/H47</x:f>
        <x:v>0.08503700086749368</x:v>
      </x:c>
      <x:c r="I81" s="35" t="n">
        <x:f>I58/I47</x:f>
        <x:v>0.08560228451012825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0.7529751947461946</x:v>
      </x:c>
      <x:c r="F82" s="35" t="n">
        <x:f>IF(F52=0,"n.a.",F69/F52)</x:f>
        <x:v>0.7598129578237385</x:v>
      </x:c>
      <x:c r="G82" s="35" t="n">
        <x:f>IF(G52=0,"n.a.",G69/G52)</x:f>
        <x:v>0.7655589638521785</x:v>
      </x:c>
      <x:c r="H82" s="35" t="n">
        <x:f>IF(H52=0,"n.a.",H69/H52)</x:f>
        <x:v>0.7703719641715445</x:v>
      </x:c>
      <x:c r="I82" s="35" t="n">
        <x:f>IF(I52=0,"n.a.",I69/I52)</x:f>
        <x:v>0.7743886482265314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5</x:v>
      </x:c>
      <x:c r="F83" s="8" t="n">
        <x:f>F25+F26-F27</x:f>
        <x:v>5</x:v>
      </x:c>
      <x:c r="G83" s="8" t="n">
        <x:f>G25+G26-G27</x:f>
        <x:v>5</x:v>
      </x:c>
      <x:c r="H83" s="8" t="n">
        <x:f>H25+H26-H27</x:f>
        <x:v>5</x:v>
      </x:c>
      <x:c r="I83" s="8" t="n">
        <x:f>I25+I26-I27</x:f>
        <x:v>5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0.030127720420050182</x:v>
      </x:c>
      <x:c r="F84" s="61" t="n">
        <x:f>IF(F52&lt;=0,"n.a.",(F67-F72)/F52)</x:f>
        <x:v>-0.16037263288964662</x:v>
      </x:c>
      <x:c r="G84" s="61" t="n">
        <x:f>IF(G52&lt;=0,"n.a.",(G67-G72)/G52)</x:f>
        <x:v>-0.3344659876513965</x:v>
      </x:c>
      <x:c r="H84" s="61" t="n">
        <x:f>IF(H52&lt;=0,"n.a.",(H67-H72)/H52)</x:f>
        <x:v>-0.4932224610643072</x:v>
      </x:c>
      <x:c r="I84" s="61" t="n">
        <x:f>IF(I52&lt;=0,"n.a.",(I67-I72)/I52)</x:f>
        <x:v>-0.6377029676040193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17.295717647058822</x:v>
      </x:c>
      <x:c r="F85" s="61" t="n">
        <x:f>IF(F55=0,"n.a.",F54/F55)</x:f>
        <x:v>21.560687048366024</x:v>
      </x:c>
      <x:c r="G85" s="61" t="n">
        <x:f>IF(G55=0,"n.a.",G54/G55)</x:f>
        <x:v>27.21751007138002</x:v>
      </x:c>
      <x:c r="H85" s="61" t="n">
        <x:f>IF(H55=0,"n.a.",H54/H55)</x:f>
        <x:v>34.908034704238794</x:v>
      </x:c>
      <x:c r="I85" s="61" t="n">
        <x:f>IF(I55=0,"n.a.",I54/I55)</x:f>
        <x:v>45.70854655471223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0.29797772036748854</x:v>
      </x:c>
      <x:c r="F86" s="35" t="n">
        <x:f>F76/((E66+E63+F66+F63)/2)</x:f>
        <x:v>0.2971929061000633</x:v>
      </x:c>
      <x:c r="G86" s="35" t="n">
        <x:f>G76/((F66+F63+G66+G63)/2)</x:f>
        <x:v>0.29658684255802054</x:v>
      </x:c>
      <x:c r="H86" s="35" t="n">
        <x:f>H76/((G66+G63+H66+H63)/2)</x:f>
        <x:v>0.2961184501683673</x:v>
      </x:c>
      <x:c r="I86" s="35" t="n">
        <x:f>I76/((H66+H63+I66+I63)/2)</x:f>
        <x:v>0.29575623673450285</x:v>
      </x:c>
      <x:c r="J86" s="1"/>
      <x:c r="K86" s="1"/>
    </x:row>
    <x:row r="87" ht="18" customHeight="1">
      <x:c r="A87" s="1"/>
      <x:c r="B87" s="1"/>
      <x:c r="C87" s="1" t="str">
        <x:v>EBITDA per vehicle (INR)</x:v>
      </x:c>
      <x:c r="D87" s="2"/>
      <x:c r="E87" s="10" t="n">
        <x:f>E52*'Controls'!$E$9/E46</x:f>
        <x:v>108149.99999999999</x:v>
      </x:c>
      <x:c r="F87" s="10" t="n">
        <x:f>F52*'Controls'!$E$9/F46</x:f>
        <x:v>111394.5</x:v>
      </x:c>
      <x:c r="G87" s="10" t="n">
        <x:f>G52*'Controls'!$E$9/G46</x:f>
        <x:v>114736.33500000004</x:v>
      </x:c>
      <x:c r="H87" s="10" t="n">
        <x:f>H52*'Controls'!$E$9/H46</x:f>
        <x:v>118178.42505000006</x:v>
      </x:c>
      <x:c r="I87" s="10" t="n">
        <x:f>I52*'Controls'!$E$9/I46</x:f>
        <x:v>121723.77780150001</x:v>
      </x:c>
      <x:c r="J87" s="1"/>
      <x:c r="K87" s="1"/>
    </x:row>
    <x:row r="88" ht="18" customHeight="1">
      <x:c r="A88" s="1"/>
      <x:c r="B88" s="1"/>
      <x:c r="C88" s="1" t="str">
        <x:v>Capex per vehicle (INR)</x:v>
      </x:c>
      <x:c r="D88" s="2"/>
      <x:c r="E88" s="10" t="n">
        <x:f>E65*'Controls'!$E$9/E46</x:f>
        <x:v>46865</x:v>
      </x:c>
      <x:c r="F88" s="10" t="n">
        <x:f>F65*'Controls'!$E$9/F46</x:f>
        <x:v>48270.95</x:v>
      </x:c>
      <x:c r="G88" s="10" t="n">
        <x:f>G65*'Controls'!$E$9/G46</x:f>
        <x:v>49719.0785</x:v>
      </x:c>
      <x:c r="H88" s="10" t="n">
        <x:f>H65*'Controls'!$E$9/H46</x:f>
        <x:v>51210.650855000014</x:v>
      </x:c>
      <x:c r="I88" s="10" t="n">
        <x:f>I65*'Controls'!$E$9/I46</x:f>
        <x:v>52746.97038065002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1488.031298923679</x:v>
      </x:c>
      <x:c r="F90" s="8" t="n">
        <x:f>F77/(1+$D39)^2</x:f>
        <x:v>1492.1811009389417</x:v>
      </x:c>
      <x:c r="G90" s="8" t="n">
        <x:f>G77/(1+$D39)^3</x:f>
        <x:v>1496.2153302212596</x:v>
      </x:c>
      <x:c r="H90" s="8" t="n">
        <x:f>H77/(1+$D39)^4</x:f>
        <x:v>1500.1617386756393</x:v>
      </x:c>
      <x:c r="I90" s="8" t="n">
        <x:f>I77/(1+$D39)^5</x:f>
        <x:v>1504.0418882969827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3333.5243002351635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41669.05375293955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31124.771508856284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30124.771508856284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301.2477150885628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56584.08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55584.08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0.7596566659155087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-1.8189894035458565e-12</x:v>
      </x:c>
      <x:c r="F100" s="34" t="n">
        <x:f>F74-F75</x:f>
        <x:v>0</x:v>
      </x:c>
      <x:c r="G100" s="34" t="n">
        <x:f>G74-G75</x:f>
        <x:v>0</x:v>
      </x:c>
      <x:c r="H100" s="34" t="n">
        <x:f>H74-H75</x:f>
        <x:v>0</x:v>
      </x:c>
      <x:c r="I100" s="34" t="n">
        <x:f>I74-I75</x:f>
        <x:v>-3.637978807091713e-12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10" priority="1">
      <x:formula>ABS(E100)&gt;0.01</x:formula>
    </x:cfRule>
  </x:conditionalFormatting>
  <x:conditionalFormatting sqref="E101:I101">
    <x:cfRule type="expression" dxfId="11" priority="2">
      <x:formula>ABS(E101)&gt;0.01</x:formula>
    </x:cfRule>
  </x:conditionalFormatting>
  <x:conditionalFormatting sqref="E102:I102">
    <x:cfRule type="expression" dxfId="12" priority="3">
      <x:formula>ABS(E102)&gt;0.01</x:formula>
    </x:cfRule>
  </x:conditionalFormatting>
  <x:conditionalFormatting sqref="E103:I103">
    <x:cfRule type="expression" dxfId="13" priority="4">
      <x:formula>ABS(E103)&gt;0.01</x:formula>
    </x:cfRule>
  </x:conditionalFormatting>
  <x:conditionalFormatting sqref="E104:I104">
    <x:cfRule type="expression" dxfId="14" priority="5">
      <x:formula>ABS(E104)&gt;0.01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Cement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30" customHeight="1">
      <x:c r="A10" s="1"/>
      <x:c r="B10" s="1"/>
      <x:c r="C10" s="56" t="str">
        <x:v>Installed cement capacity (million tonnes) — seed</x:v>
      </x:c>
      <x:c r="D10" s="7" t="n">
        <x:v>10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Net realization (INR per tonne) — seed</x:v>
      </x:c>
      <x:c r="D11" s="7" t="n">
        <x:v>5500</x:v>
      </x:c>
      <x:c r="E11" s="2"/>
      <x:c r="F11" s="2"/>
      <x:c r="G11" s="2"/>
      <x:c r="H11" s="2"/>
      <x:c r="I11" s="2"/>
      <x:c r="J11" s="1"/>
      <x:c r="K11" s="1" t="str">
        <x:v>Capacity assumed available for the full year; no clinker inventory or commissioning lag.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0.07</x:v>
      </x:c>
      <x:c r="F12" s="30" t="n">
        <x:f>IF(COUNT(INDEX(F13:F15,'Controls'!$E$5))=0,NA(),INDEX(F13:F15,'Controls'!$E$5))</x:f>
        <x:v>0.07</x:v>
      </x:c>
      <x:c r="G12" s="30" t="n">
        <x:f>IF(COUNT(INDEX(G13:G15,'Controls'!$E$5))=0,NA(),INDEX(G13:G15,'Controls'!$E$5))</x:f>
        <x:v>0.07</x:v>
      </x:c>
      <x:c r="H12" s="30" t="n">
        <x:f>IF(COUNT(INDEX(H13:H15,'Controls'!$E$5))=0,NA(),INDEX(H13:H15,'Controls'!$E$5))</x:f>
        <x:v>0.07</x:v>
      </x:c>
      <x:c r="I12" s="30" t="n">
        <x:f>IF(COUNT(INDEX(I13:I15,'Controls'!$E$5))=0,NA(),INDEX(I13:I15,'Controls'!$E$5))</x:f>
        <x:v>0.07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0.07</x:v>
      </x:c>
      <x:c r="F13" s="26" t="n">
        <x:v>0.07</x:v>
      </x:c>
      <x:c r="G13" s="26" t="n">
        <x:v>0.07</x:v>
      </x:c>
      <x:c r="H13" s="26" t="n">
        <x:v>0.07</x:v>
      </x:c>
      <x:c r="I13" s="26" t="n">
        <x:v>0.07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0.020000000000000004</x:v>
      </x:c>
      <x:c r="F14" s="26" t="n">
        <x:v>0.020000000000000004</x:v>
      </x:c>
      <x:c r="G14" s="26" t="n">
        <x:v>0.020000000000000004</x:v>
      </x:c>
      <x:c r="H14" s="26" t="n">
        <x:v>0.020000000000000004</x:v>
      </x:c>
      <x:c r="I14" s="26" t="n">
        <x:v>0.020000000000000004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0.11000000000000001</x:v>
      </x:c>
      <x:c r="F15" s="26" t="n">
        <x:v>0.11000000000000001</x:v>
      </x:c>
      <x:c r="G15" s="26" t="n">
        <x:v>0.11000000000000001</x:v>
      </x:c>
      <x:c r="H15" s="26" t="n">
        <x:v>0.11000000000000001</x:v>
      </x:c>
      <x:c r="I15" s="26" t="n">
        <x:v>0.11000000000000001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0.025</x:v>
      </x:c>
      <x:c r="F16" s="30" t="n">
        <x:f>IF(COUNT(INDEX(F17:F19,'Controls'!$E$5))=0,NA(),INDEX(F17:F19,'Controls'!$E$5))</x:f>
        <x:v>0.025</x:v>
      </x:c>
      <x:c r="G16" s="30" t="n">
        <x:f>IF(COUNT(INDEX(G17:G19,'Controls'!$E$5))=0,NA(),INDEX(G17:G19,'Controls'!$E$5))</x:f>
        <x:v>0.025</x:v>
      </x:c>
      <x:c r="H16" s="30" t="n">
        <x:f>IF(COUNT(INDEX(H17:H19,'Controls'!$E$5))=0,NA(),INDEX(H17:H19,'Controls'!$E$5))</x:f>
        <x:v>0.025</x:v>
      </x:c>
      <x:c r="I16" s="30" t="n">
        <x:f>IF(COUNT(INDEX(I17:I19,'Controls'!$E$5))=0,NA(),INDEX(I17:I19,'Controls'!$E$5))</x:f>
        <x:v>0.025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0.025</x:v>
      </x:c>
      <x:c r="F17" s="26" t="n">
        <x:v>0.025</x:v>
      </x:c>
      <x:c r="G17" s="26" t="n">
        <x:v>0.025</x:v>
      </x:c>
      <x:c r="H17" s="26" t="n">
        <x:v>0.025</x:v>
      </x:c>
      <x:c r="I17" s="26" t="n">
        <x:v>0.025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</x:v>
      </x:c>
      <x:c r="F18" s="26" t="n">
        <x:v>0</x:v>
      </x:c>
      <x:c r="G18" s="26" t="n">
        <x:v>0</x:v>
      </x:c>
      <x:c r="H18" s="26" t="n">
        <x:v>0</x:v>
      </x:c>
      <x:c r="I18" s="26" t="n">
        <x:v>0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0.045</x:v>
      </x:c>
      <x:c r="F19" s="26" t="n">
        <x:v>0.045</x:v>
      </x:c>
      <x:c r="G19" s="26" t="n">
        <x:v>0.045</x:v>
      </x:c>
      <x:c r="H19" s="26" t="n">
        <x:v>0.045</x:v>
      </x:c>
      <x:c r="I19" s="26" t="n">
        <x:v>0.045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0.75</x:v>
      </x:c>
      <x:c r="F20" s="26" t="n">
        <x:v>0.75</x:v>
      </x:c>
      <x:c r="G20" s="26" t="n">
        <x:v>0.75</x:v>
      </x:c>
      <x:c r="H20" s="26" t="n">
        <x:v>0.75</x:v>
      </x:c>
      <x:c r="I20" s="26" t="n">
        <x:v>0.75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Raw materials, fuel and freight / revenue</x:v>
      </x:c>
      <x:c r="D21" s="24"/>
      <x:c r="E21" s="26" t="n">
        <x:v>0.65</x:v>
      </x:c>
      <x:c r="F21" s="26" t="n">
        <x:v>0.65</x:v>
      </x:c>
      <x:c r="G21" s="26" t="n">
        <x:v>0.65</x:v>
      </x:c>
      <x:c r="H21" s="26" t="n">
        <x:v>0.65</x:v>
      </x:c>
      <x:c r="I21" s="26" t="n">
        <x:v>0.65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0.12</x:v>
      </x:c>
      <x:c r="F22" s="26" t="n">
        <x:v>0.12</x:v>
      </x:c>
      <x:c r="G22" s="26" t="n">
        <x:v>0.12</x:v>
      </x:c>
      <x:c r="H22" s="26" t="n">
        <x:v>0.12</x:v>
      </x:c>
      <x:c r="I22" s="26" t="n">
        <x:v>0.12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0.08</x:v>
      </x:c>
      <x:c r="F23" s="26" t="n">
        <x:v>0.08</x:v>
      </x:c>
      <x:c r="G23" s="26" t="n">
        <x:v>0.08</x:v>
      </x:c>
      <x:c r="H23" s="26" t="n">
        <x:v>0.08</x:v>
      </x:c>
      <x:c r="I23" s="26" t="n">
        <x:v>0.08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0.07</x:v>
      </x:c>
      <x:c r="F24" s="26" t="n">
        <x:v>0.07</x:v>
      </x:c>
      <x:c r="G24" s="26" t="n">
        <x:v>0.07</x:v>
      </x:c>
      <x:c r="H24" s="26" t="n">
        <x:v>0.07</x:v>
      </x:c>
      <x:c r="I24" s="26" t="n">
        <x:v>0.07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20</x:v>
      </x:c>
      <x:c r="F25" s="7" t="n">
        <x:v>20</x:v>
      </x:c>
      <x:c r="G25" s="7" t="n">
        <x:v>20</x:v>
      </x:c>
      <x:c r="H25" s="7" t="n">
        <x:v>20</x:v>
      </x:c>
      <x:c r="I25" s="7" t="n">
        <x:v>20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40</x:v>
      </x:c>
      <x:c r="F26" s="7" t="n">
        <x:v>40</x:v>
      </x:c>
      <x:c r="G26" s="7" t="n">
        <x:v>40</x:v>
      </x:c>
      <x:c r="H26" s="7" t="n">
        <x:v>40</x:v>
      </x:c>
      <x:c r="I26" s="7" t="n">
        <x:v>40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40</x:v>
      </x:c>
      <x:c r="F27" s="7" t="n">
        <x:v>40</x:v>
      </x:c>
      <x:c r="G27" s="7" t="n">
        <x:v>40</x:v>
      </x:c>
      <x:c r="H27" s="7" t="n">
        <x:v>40</x:v>
      </x:c>
      <x:c r="I27" s="7" t="n">
        <x:v>40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250</x:v>
      </x:c>
      <x:c r="F31" s="7" t="n">
        <x:v>250</x:v>
      </x:c>
      <x:c r="G31" s="7" t="n">
        <x:v>250</x:v>
      </x:c>
      <x:c r="H31" s="7" t="n">
        <x:v>250</x:v>
      </x:c>
      <x:c r="I31" s="7" t="n">
        <x:v>250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10000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2500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600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226.02739726027397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12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Installed cement capacity (million tonnes)</x:v>
      </x:c>
      <x:c r="D44" s="2"/>
      <x:c r="E44" s="8" t="n">
        <x:f>$D10*(1+E12)</x:f>
        <x:v>10.700000000000001</x:v>
      </x:c>
      <x:c r="F44" s="8" t="n">
        <x:f>E44*(1+F12)</x:f>
        <x:v>11.449000000000002</x:v>
      </x:c>
      <x:c r="G44" s="8" t="n">
        <x:f>F44*(1+G12)</x:f>
        <x:v>12.250430000000003</x:v>
      </x:c>
      <x:c r="H44" s="8" t="n">
        <x:f>G44*(1+H12)</x:f>
        <x:v>13.107960100000005</x:v>
      </x:c>
      <x:c r="I44" s="8" t="n">
        <x:f>H44*(1+I12)</x:f>
        <x:v>14.025517307000007</x:v>
      </x:c>
      <x:c r="J44" s="1"/>
      <x:c r="K44" s="1"/>
    </x:row>
    <x:row r="45" ht="18" customHeight="1">
      <x:c r="A45" s="1"/>
      <x:c r="B45" s="1"/>
      <x:c r="C45" s="1" t="str">
        <x:v>Net realization (INR per tonne)</x:v>
      </x:c>
      <x:c r="D45" s="2"/>
      <x:c r="E45" s="8" t="n">
        <x:f>$D11*(1+E16)</x:f>
        <x:v>5637.499999999999</x:v>
      </x:c>
      <x:c r="F45" s="8" t="n">
        <x:f>E45*(1+F16)</x:f>
        <x:v>5778.437499999998</x:v>
      </x:c>
      <x:c r="G45" s="8" t="n">
        <x:f>F45*(1+G16)</x:f>
        <x:v>5922.898437499997</x:v>
      </x:c>
      <x:c r="H45" s="8" t="n">
        <x:f>G45*(1+H16)</x:f>
        <x:v>6070.9708984374965</x:v>
      </x:c>
      <x:c r="I45" s="8" t="n">
        <x:f>H45*(1+I16)</x:f>
        <x:v>6222.745170898434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8.025</x:v>
      </x:c>
      <x:c r="F46" s="8" t="n">
        <x:f>F44*F20</x:f>
        <x:v>8.586750000000002</x:v>
      </x:c>
      <x:c r="G46" s="8" t="n">
        <x:f>G44*G20</x:f>
        <x:v>9.187822500000003</x:v>
      </x:c>
      <x:c r="H46" s="8" t="n">
        <x:f>H44*H20</x:f>
        <x:v>9.830970075000003</x:v>
      </x:c>
      <x:c r="I46" s="8" t="n">
        <x:f>I44*I20</x:f>
        <x:v>10.519137980250004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</x:f>
        <x:v>4524.093749999999</x:v>
      </x:c>
      <x:c r="F47" s="60" t="n">
        <x:f>F46*F45*'Controls'!$E$14/'Controls'!$E$9</x:f>
        <x:v>4961.7998203125</x:v>
      </x:c>
      <x:c r="G47" s="60" t="n">
        <x:f>G46*G45*'Controls'!$E$14/'Controls'!$E$9</x:f>
        <x:v>5441.853952927733</x:v>
      </x:c>
      <x:c r="H47" s="60" t="n">
        <x:f>H46*H45*'Controls'!$E$14/'Controls'!$E$9</x:f>
        <x:v>5968.353322873491</x:v>
      </x:c>
      <x:c r="I47" s="60" t="n">
        <x:f>I46*I45*'Controls'!$E$14/'Controls'!$E$9</x:f>
        <x:v>6545.791506861501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2940.6609374999994</x:v>
      </x:c>
      <x:c r="F49" s="8" t="n">
        <x:f>F47*F21</x:f>
        <x:v>3225.169883203125</x:v>
      </x:c>
      <x:c r="G49" s="8" t="n">
        <x:f>G47*G21</x:f>
        <x:v>3537.2050694030268</x:v>
      </x:c>
      <x:c r="H49" s="8" t="n">
        <x:f>H47*H21</x:f>
        <x:v>3879.4296598677697</x:v>
      </x:c>
      <x:c r="I49" s="8" t="n">
        <x:f>I47*I21</x:f>
        <x:v>4254.7644794599755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1583.4328124999997</x:v>
      </x:c>
      <x:c r="F50" s="8" t="n">
        <x:f>F47-F49</x:f>
        <x:v>1736.6299371093746</x:v>
      </x:c>
      <x:c r="G50" s="8" t="n">
        <x:f>G47-G49</x:f>
        <x:v>1904.6488835247064</x:v>
      </x:c>
      <x:c r="H50" s="8" t="n">
        <x:f>H47-H49</x:f>
        <x:v>2088.9236630057217</x:v>
      </x:c>
      <x:c r="I50" s="8" t="n">
        <x:f>I47-I49</x:f>
        <x:v>2291.0270274015256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542.8912499999999</x:v>
      </x:c>
      <x:c r="F51" s="8" t="n">
        <x:f>F47*F22</x:f>
        <x:v>595.4159784374999</x:v>
      </x:c>
      <x:c r="G51" s="8" t="n">
        <x:f>G47*G22</x:f>
        <x:v>653.022474351328</x:v>
      </x:c>
      <x:c r="H51" s="8" t="n">
        <x:f>H47*H22</x:f>
        <x:v>716.202398744819</x:v>
      </x:c>
      <x:c r="I51" s="8" t="n">
        <x:f>I47*I22</x:f>
        <x:v>785.4949808233802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1040.5415624999998</x:v>
      </x:c>
      <x:c r="F52" s="41" t="n">
        <x:f>F50-F51</x:f>
        <x:v>1141.2139586718747</x:v>
      </x:c>
      <x:c r="G52" s="41" t="n">
        <x:f>G50-G51</x:f>
        <x:v>1251.6264091733783</x:v>
      </x:c>
      <x:c r="H52" s="41" t="n">
        <x:f>H50-H51</x:f>
        <x:v>1372.7212642609027</x:v>
      </x:c>
      <x:c r="I52" s="41" t="n">
        <x:f>I50-I51</x:f>
        <x:v>1505.5320465781456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700.0000000000001</x:v>
      </x:c>
      <x:c r="F53" s="8" t="n">
        <x:f>E66*F24</x:f>
        <x:v>676.334925</x:v>
      </x:c>
      <x:c r="G53" s="8" t="n">
        <x:f>F66*G24</x:f>
        <x:v>656.77755924375</x:v>
      </x:c>
      <x:c r="H53" s="8" t="n">
        <x:f>G66*H24</x:f>
        <x:v>641.2775122330828</x:v>
      </x:c>
      <x:c r="I53" s="8" t="n">
        <x:f>H66*I24</x:f>
        <x:v>629.8108649848585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340.5415624999997</x:v>
      </x:c>
      <x:c r="F54" s="8" t="n">
        <x:f>F52-F53</x:f>
        <x:v>464.8790336718747</x:v>
      </x:c>
      <x:c r="G54" s="8" t="n">
        <x:f>G52-G53</x:f>
        <x:v>594.8488499296283</x:v>
      </x:c>
      <x:c r="H54" s="8" t="n">
        <x:f>H52-H53</x:f>
        <x:v>731.4437520278199</x:v>
      </x:c>
      <x:c r="I54" s="8" t="n">
        <x:f>I52-I53</x:f>
        <x:v>875.721181593287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212.50000000000003</x:v>
      </x:c>
      <x:c r="F55" s="8" t="n">
        <x:f>E67*F29</x:f>
        <x:v>191.25</x:v>
      </x:c>
      <x:c r="G55" s="8" t="n">
        <x:f>F67*G29</x:f>
        <x:v>170</x:v>
      </x:c>
      <x:c r="H55" s="8" t="n">
        <x:f>G67*H29</x:f>
        <x:v>148.75</x:v>
      </x:c>
      <x:c r="I55" s="8" t="n">
        <x:f>H67*I29</x:f>
        <x:v>127.50000000000001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128.04156249999969</x:v>
      </x:c>
      <x:c r="F56" s="8" t="n">
        <x:f>F54-F55</x:f>
        <x:v>273.6290336718747</x:v>
      </x:c>
      <x:c r="G56" s="8" t="n">
        <x:f>G54-G55</x:f>
        <x:v>424.8488499296283</x:v>
      </x:c>
      <x:c r="H56" s="8" t="n">
        <x:f>H54-H55</x:f>
        <x:v>582.6937520278199</x:v>
      </x:c>
      <x:c r="I56" s="8" t="n">
        <x:f>I54-I55</x:f>
        <x:v>748.221181593287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32.01039062499992</x:v>
      </x:c>
      <x:c r="F57" s="8" t="n">
        <x:f>MAX(0,F56)*F28</x:f>
        <x:v>68.40725841796868</x:v>
      </x:c>
      <x:c r="G57" s="8" t="n">
        <x:f>MAX(0,G56)*G28</x:f>
        <x:v>106.21221248240707</x:v>
      </x:c>
      <x:c r="H57" s="8" t="n">
        <x:f>MAX(0,H56)*H28</x:f>
        <x:v>145.67343800695497</x:v>
      </x:c>
      <x:c r="I57" s="8" t="n">
        <x:f>MAX(0,I56)*I28</x:f>
        <x:v>187.05529539832176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96.03117187499976</x:v>
      </x:c>
      <x:c r="F58" s="41" t="n">
        <x:f>F56-F57</x:f>
        <x:v>205.22177525390603</x:v>
      </x:c>
      <x:c r="G58" s="41" t="n">
        <x:f>G56-G57</x:f>
        <x:v>318.63663744722123</x:v>
      </x:c>
      <x:c r="H58" s="41" t="n">
        <x:f>H56-H57</x:f>
        <x:v>437.02031402086493</x:v>
      </x:c>
      <x:c r="I58" s="41" t="n">
        <x:f>I56-I57</x:f>
        <x:v>561.1658861949653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247.89554794520544</x:v>
      </x:c>
      <x:c r="F60" s="10" t="n">
        <x:f>F47*F25/'Controls'!$E$11</x:f>
        <x:v>271.8794422089041</x:v>
      </x:c>
      <x:c r="G60" s="10" t="n">
        <x:f>G47*G25/'Controls'!$E$11</x:f>
        <x:v>298.1837782426155</x:v>
      </x:c>
      <x:c r="H60" s="10" t="n">
        <x:f>H47*H25/'Controls'!$E$11</x:f>
        <x:v>327.0330587875886</x:v>
      </x:c>
      <x:c r="I60" s="10" t="n">
        <x:f>I47*I25/'Controls'!$E$11</x:f>
        <x:v>358.6735072252877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322.26421232876703</x:v>
      </x:c>
      <x:c r="F61" s="10" t="n">
        <x:f>F49*F26/'Controls'!$E$11</x:f>
        <x:v>353.44327487157534</x:v>
      </x:c>
      <x:c r="G61" s="10" t="n">
        <x:f>G49*G26/'Controls'!$E$11</x:f>
        <x:v>387.6389117154002</x:v>
      </x:c>
      <x:c r="H61" s="10" t="n">
        <x:f>H49*H26/'Controls'!$E$11</x:f>
        <x:v>425.1429764238652</x:v>
      </x:c>
      <x:c r="I61" s="10" t="n">
        <x:f>I49*I26/'Controls'!$E$11</x:f>
        <x:v>466.2755593928741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322.26421232876703</x:v>
      </x:c>
      <x:c r="F62" s="10" t="n">
        <x:f>F49*F27/'Controls'!$E$11</x:f>
        <x:v>353.44327487157534</x:v>
      </x:c>
      <x:c r="G62" s="10" t="n">
        <x:f>G49*G27/'Controls'!$E$11</x:f>
        <x:v>387.6389117154002</x:v>
      </x:c>
      <x:c r="H62" s="10" t="n">
        <x:f>H49*H27/'Controls'!$E$11</x:f>
        <x:v>425.1429764238652</x:v>
      </x:c>
      <x:c r="I62" s="10" t="n">
        <x:f>I49*I27/'Controls'!$E$11</x:f>
        <x:v>466.2755593928741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247.8955479452054</x:v>
      </x:c>
      <x:c r="F63" s="8" t="n">
        <x:f>F60+F61-F62</x:f>
        <x:v>271.87944220890404</x:v>
      </x:c>
      <x:c r="G63" s="8" t="n">
        <x:f>G60+G61-G62</x:f>
        <x:v>298.18377824261546</x:v>
      </x:c>
      <x:c r="H63" s="8" t="n">
        <x:f>H60+H61-H62</x:f>
        <x:v>327.03305878758863</x:v>
      </x:c>
      <x:c r="I63" s="8" t="n">
        <x:f>I60+I61-I62</x:f>
        <x:v>358.6735072252878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21.868150684931436</x:v>
      </x:c>
      <x:c r="F64" s="8" t="n">
        <x:f>F63-E63</x:f>
        <x:v>23.98389426369863</x:v>
      </x:c>
      <x:c r="G64" s="8" t="n">
        <x:f>G63-F63</x:f>
        <x:v>26.304336033711422</x:v>
      </x:c>
      <x:c r="H64" s="8" t="n">
        <x:f>H63-G63</x:f>
        <x:v>28.84928054497317</x:v>
      </x:c>
      <x:c r="I64" s="8" t="n">
        <x:f>I63-H63</x:f>
        <x:v>31.64044843769915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361.92749999999995</x:v>
      </x:c>
      <x:c r="F65" s="8" t="n">
        <x:f>F47*F23</x:f>
        <x:v>396.943985625</x:v>
      </x:c>
      <x:c r="G65" s="8" t="n">
        <x:f>G47*G23</x:f>
        <x:v>435.34831623421866</x:v>
      </x:c>
      <x:c r="H65" s="8" t="n">
        <x:f>H47*H23</x:f>
        <x:v>477.46826582987933</x:v>
      </x:c>
      <x:c r="I65" s="8" t="n">
        <x:f>I47*I23</x:f>
        <x:v>523.6633205489201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9661.9275</x:v>
      </x:c>
      <x:c r="F66" s="8" t="n">
        <x:f>E66+F65-F53</x:f>
        <x:v>9382.536560625</x:v>
      </x:c>
      <x:c r="G66" s="8" t="n">
        <x:f>F66+G65-G53</x:f>
        <x:v>9161.107317615468</x:v>
      </x:c>
      <x:c r="H66" s="8" t="n">
        <x:f>G66+H65-H53</x:f>
        <x:v>8997.298071212264</x:v>
      </x:c>
      <x:c r="I66" s="8" t="n">
        <x:f>H66+I65-I53</x:f>
        <x:v>8891.150526776326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2250</x:v>
      </x:c>
      <x:c r="F67" s="8" t="n">
        <x:f>E67+F30-F31</x:f>
        <x:v>2000</x:v>
      </x:c>
      <x:c r="G67" s="8" t="n">
        <x:f>F67+G30-G31</x:f>
        <x:v>1750</x:v>
      </x:c>
      <x:c r="H67" s="8" t="n">
        <x:f>G67+H30-H31</x:f>
        <x:v>1500</x:v>
      </x:c>
      <x:c r="I67" s="8" t="n">
        <x:f>H67+I30-I31</x:f>
        <x:v>1250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774.1630211900685</x:v>
      </x:c>
      <x:c r="F69" s="8" t="n">
        <x:f>F58+F53-F64</x:f>
        <x:v>857.5728059902074</x:v>
      </x:c>
      <x:c r="G69" s="8" t="n">
        <x:f>G58+G53-G64</x:f>
        <x:v>949.1098606572598</x:v>
      </x:c>
      <x:c r="H69" s="8" t="n">
        <x:f>H58+H53-H64</x:f>
        <x:v>1049.4485457089745</x:v>
      </x:c>
      <x:c r="I69" s="8" t="n">
        <x:f>I58+I53-I64</x:f>
        <x:v>1159.3363027421246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24.00779296874994</x:v>
      </x:c>
      <x:c r="F70" s="8" t="n">
        <x:f>MAX(0,F58)*F32</x:f>
        <x:v>51.30544381347651</x:v>
      </x:c>
      <x:c r="G70" s="8" t="n">
        <x:f>MAX(0,G58)*G32</x:f>
        <x:v>79.65915936180531</x:v>
      </x:c>
      <x:c r="H70" s="8" t="n">
        <x:f>MAX(0,H58)*H32</x:f>
        <x:v>109.25507850521623</x:v>
      </x:c>
      <x:c r="I70" s="8" t="n">
        <x:f>MAX(0,I58)*I32</x:f>
        <x:v>140.29147154874133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138.22772822131867</x:v>
      </x:c>
      <x:c r="F71" s="8" t="n">
        <x:f>F69-F65+F30-F31-F70</x:f>
        <x:v>159.3233765517309</x:v>
      </x:c>
      <x:c r="G71" s="8" t="n">
        <x:f>G69-G65+G30-G31-G70</x:f>
        <x:v>184.10238506123588</x:v>
      </x:c>
      <x:c r="H71" s="8" t="n">
        <x:f>H69-H65+H30-H31-H70</x:f>
        <x:v>212.72520137387895</x:v>
      </x:c>
      <x:c r="I71" s="8" t="n">
        <x:f>I69-I65+I30-I31-I70</x:f>
        <x:v>245.38151064446325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738.2277282213187</x:v>
      </x:c>
      <x:c r="F72" s="8" t="n">
        <x:f>E72+F71</x:f>
        <x:v>897.5511047730496</x:v>
      </x:c>
      <x:c r="G72" s="8" t="n">
        <x:f>F72+G71</x:f>
        <x:v>1081.6534898342854</x:v>
      </x:c>
      <x:c r="H72" s="8" t="n">
        <x:f>G72+H71</x:f>
        <x:v>1294.3786912081644</x:v>
      </x:c>
      <x:c r="I72" s="8" t="n">
        <x:f>H72+I71</x:f>
        <x:v>1539.7602018526277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8398.050776166523</x:v>
      </x:c>
      <x:c r="F73" s="41" t="n">
        <x:f>E73+F58-F70</x:f>
        <x:v>8551.967107606952</x:v>
      </x:c>
      <x:c r="G73" s="41" t="n">
        <x:f>F73+G58-G70</x:f>
        <x:v>8790.944585692368</x:v>
      </x:c>
      <x:c r="H73" s="41" t="n">
        <x:f>G73+H58-H70</x:f>
        <x:v>9118.709821208018</x:v>
      </x:c>
      <x:c r="I73" s="41" t="n">
        <x:f>H73+I58-I70</x:f>
        <x:v>9539.584235854243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10970.31498849529</x:v>
      </x:c>
      <x:c r="F74" s="8" t="n">
        <x:f>F72+F60+F61+F66</x:f>
        <x:v>10905.410382478529</x:v>
      </x:c>
      <x:c r="G74" s="8" t="n">
        <x:f>G72+G60+G61+G66</x:f>
        <x:v>10928.58349740777</x:v>
      </x:c>
      <x:c r="H74" s="8" t="n">
        <x:f>H72+H60+H61+H66</x:f>
        <x:v>11043.852797631882</x:v>
      </x:c>
      <x:c r="I74" s="8" t="n">
        <x:f>I72+I60+I61+I66</x:f>
        <x:v>11255.859795247115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10970.31498849529</x:v>
      </x:c>
      <x:c r="F75" s="8" t="n">
        <x:f>F62+F67+F73</x:f>
        <x:v>10905.410382478527</x:v>
      </x:c>
      <x:c r="G75" s="8" t="n">
        <x:f>G62+G67+G73</x:f>
        <x:v>10928.58349740777</x:v>
      </x:c>
      <x:c r="H75" s="8" t="n">
        <x:f>H62+H67+H73</x:f>
        <x:v>11043.852797631884</x:v>
      </x:c>
      <x:c r="I75" s="8" t="n">
        <x:f>I62+I67+I73</x:f>
        <x:v>11255.859795247117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255.40617187499979</x:v>
      </x:c>
      <x:c r="F76" s="8" t="n">
        <x:f>F54-MAX(0,F54)*F28</x:f>
        <x:v>348.659275253906</x:v>
      </x:c>
      <x:c r="G76" s="8" t="n">
        <x:f>G54-MAX(0,G54)*G28</x:f>
        <x:v>446.13663744722123</x:v>
      </x:c>
      <x:c r="H76" s="8" t="n">
        <x:f>H54-MAX(0,H54)*H28</x:f>
        <x:v>548.5828140208649</x:v>
      </x:c>
      <x:c r="I76" s="8" t="n">
        <x:f>I54-MAX(0,I54)*I28</x:f>
        <x:v>656.7908861949653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571.6105211900685</x:v>
      </x:c>
      <x:c r="F77" s="41" t="n">
        <x:f>F76+F53-F65-F64</x:f>
        <x:v>604.0663203652074</x:v>
      </x:c>
      <x:c r="G77" s="41" t="n">
        <x:f>G76+G53-G65-G64</x:f>
        <x:v>641.2615444230412</x:v>
      </x:c>
      <x:c r="H77" s="41" t="n">
        <x:f>H76+H53-H65-H64</x:f>
        <x:v>683.5427798790952</x:v>
      </x:c>
      <x:c r="I77" s="41" t="n">
        <x:f>I76+I53-I65-I64</x:f>
        <x:v>731.2979821932047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0.35000000000000003</x:v>
      </x:c>
      <x:c r="F79" s="35" t="n">
        <x:f>F50/F47</x:f>
        <x:v>0.3499999999999999</x:v>
      </x:c>
      <x:c r="G79" s="35" t="n">
        <x:f>G50/G47</x:f>
        <x:v>0.35</x:v>
      </x:c>
      <x:c r="H79" s="35" t="n">
        <x:f>H50/H47</x:f>
        <x:v>0.3499999999999999</x:v>
      </x:c>
      <x:c r="I79" s="35" t="n">
        <x:f>I50/I47</x:f>
        <x:v>0.35000000000000003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0.23</x:v>
      </x:c>
      <x:c r="F80" s="35" t="n">
        <x:f>F52/F47</x:f>
        <x:v>0.22999999999999995</x:v>
      </x:c>
      <x:c r="G80" s="35" t="n">
        <x:f>G52/G47</x:f>
        <x:v>0.22999999999999993</x:v>
      </x:c>
      <x:c r="H80" s="35" t="n">
        <x:f>H52/H47</x:f>
        <x:v>0.22999999999999995</x:v>
      </x:c>
      <x:c r="I80" s="35" t="n">
        <x:f>I52/I47</x:f>
        <x:v>0.23000000000000004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0.021226609611040836</x:v>
      </x:c>
      <x:c r="F81" s="35" t="n">
        <x:f>F58/F47</x:f>
        <x:v>0.04136034960817523</x:v>
      </x:c>
      <x:c r="G81" s="35" t="n">
        <x:f>G58/G47</x:f>
        <x:v>0.058552956437905465</x:v>
      </x:c>
      <x:c r="H81" s="35" t="n">
        <x:f>H58/H47</x:f>
        <x:v>0.07322292940433014</x:v>
      </x:c>
      <x:c r="I81" s="35" t="n">
        <x:f>I58/I47</x:f>
        <x:v>0.0857292636966414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0.7440000948449079</x:v>
      </x:c>
      <x:c r="F82" s="35" t="n">
        <x:f>IF(F52=0,"n.a.",F69/F52)</x:f>
        <x:v>0.7514566391986968</x:v>
      </x:c>
      <x:c r="G82" s="35" t="n">
        <x:f>IF(G52=0,"n.a.",G69/G52)</x:f>
        <x:v>0.758301242048806</x:v>
      </x:c>
      <x:c r="H82" s="35" t="n">
        <x:f>IF(H52=0,"n.a.",H69/H52)</x:f>
        <x:v>0.7645022868309803</x:v>
      </x:c>
      <x:c r="I82" s="35" t="n">
        <x:f>IF(I52=0,"n.a.",I69/I52)</x:f>
        <x:v>0.7700508968753782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20</x:v>
      </x:c>
      <x:c r="F83" s="8" t="n">
        <x:f>F25+F26-F27</x:f>
        <x:v>20</x:v>
      </x:c>
      <x:c r="G83" s="8" t="n">
        <x:f>G25+G26-G27</x:f>
        <x:v>20</x:v>
      </x:c>
      <x:c r="H83" s="8" t="n">
        <x:f>H25+H26-H27</x:f>
        <x:v>20</x:v>
      </x:c>
      <x:c r="I83" s="8" t="n">
        <x:f>I25+I26-I27</x:f>
        <x:v>20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1.452870626471186</x:v>
      </x:c>
      <x:c r="F84" s="61" t="n">
        <x:f>IF(F52&lt;=0,"n.a.",(F67-F72)/F52)</x:f>
        <x:v>0.9660317303776773</x:v>
      </x:c>
      <x:c r="G84" s="61" t="n">
        <x:f>IF(G52&lt;=0,"n.a.",(G67-G72)/G52)</x:f>
        <x:v>0.5339824289958184</x:v>
      </x:c>
      <x:c r="H84" s="61" t="n">
        <x:f>IF(H52&lt;=0,"n.a.",(H67-H72)/H52)</x:f>
        <x:v>0.1497910130375563</x:v>
      </x:c>
      <x:c r="I84" s="61" t="n">
        <x:f>IF(I52&lt;=0,"n.a.",(I67-I72)/I52)</x:f>
        <x:v>-0.19246365596216322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1.6025485294117632</x:v>
      </x:c>
      <x:c r="F85" s="61" t="n">
        <x:f>IF(F55=0,"n.a.",F54/F55)</x:f>
        <x:v>2.4307400453431356</x:v>
      </x:c>
      <x:c r="G85" s="61" t="n">
        <x:f>IF(G55=0,"n.a.",G54/G55)</x:f>
        <x:v>3.49911088193899</x:v>
      </x:c>
      <x:c r="H85" s="61" t="n">
        <x:f>IF(H55=0,"n.a.",H54/H55)</x:f>
        <x:v>4.9172689211954275</x:v>
      </x:c>
      <x:c r="I85" s="61" t="n">
        <x:f>IF(I55=0,"n.a.",I54/I55)</x:f>
        <x:v>6.868401424261074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0.025368302428548702</x:v>
      </x:c>
      <x:c r="F86" s="35" t="n">
        <x:f>F76/((E66+E63+F66+F63)/2)</x:f>
        <x:v>0.03564250818536398</x:v>
      </x:c>
      <x:c r="G86" s="35" t="n">
        <x:f>G76/((F66+F63+G66+G63)/2)</x:f>
        <x:v>0.04668237669894521</x:v>
      </x:c>
      <x:c r="H86" s="35" t="n">
        <x:f>H76/((G66+G63+H66+H63)/2)</x:f>
        <x:v>0.058410758843485906</x:v>
      </x:c>
      <x:c r="I86" s="35" t="n">
        <x:f>I76/((H66+H63+I66+I63)/2)</x:f>
        <x:v>0.07072094320261632</x:v>
      </x:c>
      <x:c r="J86" s="1"/>
      <x:c r="K86" s="1"/>
    </x:row>
    <x:row r="87" ht="18" customHeight="1">
      <x:c r="A87" s="1"/>
      <x:c r="B87" s="1"/>
      <x:c r="C87" s="1" t="str">
        <x:v>EBITDA per tonne (INR)</x:v>
      </x:c>
      <x:c r="D87" s="2"/>
      <x:c r="E87" s="10" t="n">
        <x:f>E52*'Controls'!$E$9/(E46*'Controls'!$E$14)</x:f>
        <x:v>1296.6249999999998</x:v>
      </x:c>
      <x:c r="F87" s="10" t="n">
        <x:f>F52*'Controls'!$E$9/(F46*'Controls'!$E$14)</x:f>
        <x:v>1329.0406249999992</x:v>
      </x:c>
      <x:c r="G87" s="10" t="n">
        <x:f>G52*'Controls'!$E$9/(G46*'Controls'!$E$14)</x:f>
        <x:v>1362.266640624999</x:v>
      </x:c>
      <x:c r="H87" s="10" t="n">
        <x:f>H52*'Controls'!$E$9/(H46*'Controls'!$E$14)</x:f>
        <x:v>1396.3233066406237</x:v>
      </x:c>
      <x:c r="I87" s="10" t="n">
        <x:f>I52*'Controls'!$E$9/(I46*'Controls'!$E$14)</x:f>
        <x:v>1431.2313893066398</x:v>
      </x:c>
      <x:c r="J87" s="1"/>
      <x:c r="K87" s="1"/>
    </x:row>
    <x:row r="88" ht="18" customHeight="1">
      <x:c r="A88" s="1"/>
      <x:c r="B88" s="1"/>
      <x:c r="C88" s="1" t="str">
        <x:v>Direct cost per tonne (INR)</x:v>
      </x:c>
      <x:c r="D88" s="2"/>
      <x:c r="E88" s="10" t="n">
        <x:f>E49*'Controls'!$E$9/(E46*'Controls'!$E$14)</x:f>
        <x:v>3664.374999999999</x:v>
      </x:c>
      <x:c r="F88" s="10" t="n">
        <x:f>F49*'Controls'!$E$9/(F46*'Controls'!$E$14)</x:f>
        <x:v>3755.9843749999995</x:v>
      </x:c>
      <x:c r="G88" s="10" t="n">
        <x:f>G49*'Controls'!$E$9/(G46*'Controls'!$E$14)</x:f>
        <x:v>3849.8839843749975</x:v>
      </x:c>
      <x:c r="H88" s="10" t="n">
        <x:f>H49*'Controls'!$E$9/(H46*'Controls'!$E$14)</x:f>
        <x:v>3946.131083984373</x:v>
      </x:c>
      <x:c r="I88" s="10" t="n">
        <x:f>I49*'Controls'!$E$9/(I46*'Controls'!$E$14)</x:f>
        <x:v>4044.784361083981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510.3665367768469</x:v>
      </x:c>
      <x:c r="F90" s="8" t="n">
        <x:f>F77/(1+$D39)^2</x:f>
        <x:v>481.5579722299165</x:v>
      </x:c>
      <x:c r="G90" s="8" t="n">
        <x:f>G77/(1+$D39)^3</x:f>
        <x:v>456.43730100264287</x:v>
      </x:c>
      <x:c r="H90" s="8" t="n">
        <x:f>H77/(1+$D39)^4</x:f>
        <x:v>434.403793976259</x:v>
      </x:c>
      <x:c r="I90" s="8" t="n">
        <x:f>I77/(1+$D39)^5</x:f>
        <x:v>414.95811462924627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500.91251587136026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6261.406448392004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5850.613892002148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3950.6138920021476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39.50613892002148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12486.498749999999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10586.498749999999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0.6072679276005677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0</x:v>
      </x:c>
      <x:c r="F100" s="34" t="n">
        <x:f>F74-F75</x:f>
        <x:v>1.8189894035458565e-12</x:v>
      </x:c>
      <x:c r="G100" s="34" t="n">
        <x:f>G74-G75</x:f>
        <x:v>0</x:v>
      </x:c>
      <x:c r="H100" s="34" t="n">
        <x:f>H74-H75</x:f>
        <x:v>-1.8189894035458565e-12</x:v>
      </x:c>
      <x:c r="I100" s="34" t="n">
        <x:f>I74-I75</x:f>
        <x:v>-1.8189894035458565e-12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15" priority="1">
      <x:formula>ABS(E100)&gt;0.01</x:formula>
    </x:cfRule>
  </x:conditionalFormatting>
  <x:conditionalFormatting sqref="E101:I101">
    <x:cfRule type="expression" dxfId="16" priority="2">
      <x:formula>ABS(E101)&gt;0.01</x:formula>
    </x:cfRule>
  </x:conditionalFormatting>
  <x:conditionalFormatting sqref="E102:I102">
    <x:cfRule type="expression" dxfId="17" priority="3">
      <x:formula>ABS(E102)&gt;0.01</x:formula>
    </x:cfRule>
  </x:conditionalFormatting>
  <x:conditionalFormatting sqref="E103:I103">
    <x:cfRule type="expression" dxfId="18" priority="4">
      <x:formula>ABS(E103)&gt;0.01</x:formula>
    </x:cfRule>
  </x:conditionalFormatting>
  <x:conditionalFormatting sqref="E104:I104">
    <x:cfRule type="expression" dxfId="19" priority="5">
      <x:formula>ABS(E104)&gt;0.01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Steel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30" customHeight="1">
      <x:c r="A10" s="1"/>
      <x:c r="B10" s="1"/>
      <x:c r="C10" s="56" t="str">
        <x:v>Installed crude steel capacity (million tonnes) — seed</x:v>
      </x:c>
      <x:c r="D10" s="7" t="n">
        <x:v>5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Net realization (INR per tonne) — seed</x:v>
      </x:c>
      <x:c r="D11" s="7" t="n">
        <x:v>55000</x:v>
      </x:c>
      <x:c r="E11" s="2"/>
      <x:c r="F11" s="2"/>
      <x:c r="G11" s="2"/>
      <x:c r="H11" s="2"/>
      <x:c r="I11" s="2"/>
      <x:c r="J11" s="1"/>
      <x:c r="K11" s="1" t="str">
        <x:v>Integrated steel archetype; assumes saleable output equals utilized capacity. Model yields separately if material.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0.055</x:v>
      </x:c>
      <x:c r="F12" s="30" t="n">
        <x:f>IF(COUNT(INDEX(F13:F15,'Controls'!$E$5))=0,NA(),INDEX(F13:F15,'Controls'!$E$5))</x:f>
        <x:v>0.055</x:v>
      </x:c>
      <x:c r="G12" s="30" t="n">
        <x:f>IF(COUNT(INDEX(G13:G15,'Controls'!$E$5))=0,NA(),INDEX(G13:G15,'Controls'!$E$5))</x:f>
        <x:v>0.055</x:v>
      </x:c>
      <x:c r="H12" s="30" t="n">
        <x:f>IF(COUNT(INDEX(H13:H15,'Controls'!$E$5))=0,NA(),INDEX(H13:H15,'Controls'!$E$5))</x:f>
        <x:v>0.055</x:v>
      </x:c>
      <x:c r="I12" s="30" t="n">
        <x:f>IF(COUNT(INDEX(I13:I15,'Controls'!$E$5))=0,NA(),INDEX(I13:I15,'Controls'!$E$5))</x:f>
        <x:v>0.055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0.055</x:v>
      </x:c>
      <x:c r="F13" s="26" t="n">
        <x:v>0.055</x:v>
      </x:c>
      <x:c r="G13" s="26" t="n">
        <x:v>0.055</x:v>
      </x:c>
      <x:c r="H13" s="26" t="n">
        <x:v>0.055</x:v>
      </x:c>
      <x:c r="I13" s="26" t="n">
        <x:v>0.055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0.0049999999999999975</x:v>
      </x:c>
      <x:c r="F14" s="26" t="n">
        <x:v>0.0049999999999999975</x:v>
      </x:c>
      <x:c r="G14" s="26" t="n">
        <x:v>0.0049999999999999975</x:v>
      </x:c>
      <x:c r="H14" s="26" t="n">
        <x:v>0.0049999999999999975</x:v>
      </x:c>
      <x:c r="I14" s="26" t="n">
        <x:v>0.0049999999999999975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0.095</x:v>
      </x:c>
      <x:c r="F15" s="26" t="n">
        <x:v>0.095</x:v>
      </x:c>
      <x:c r="G15" s="26" t="n">
        <x:v>0.095</x:v>
      </x:c>
      <x:c r="H15" s="26" t="n">
        <x:v>0.095</x:v>
      </x:c>
      <x:c r="I15" s="26" t="n">
        <x:v>0.095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0.02</x:v>
      </x:c>
      <x:c r="F16" s="30" t="n">
        <x:f>IF(COUNT(INDEX(F17:F19,'Controls'!$E$5))=0,NA(),INDEX(F17:F19,'Controls'!$E$5))</x:f>
        <x:v>0.02</x:v>
      </x:c>
      <x:c r="G16" s="30" t="n">
        <x:f>IF(COUNT(INDEX(G17:G19,'Controls'!$E$5))=0,NA(),INDEX(G17:G19,'Controls'!$E$5))</x:f>
        <x:v>0.02</x:v>
      </x:c>
      <x:c r="H16" s="30" t="n">
        <x:f>IF(COUNT(INDEX(H17:H19,'Controls'!$E$5))=0,NA(),INDEX(H17:H19,'Controls'!$E$5))</x:f>
        <x:v>0.02</x:v>
      </x:c>
      <x:c r="I16" s="30" t="n">
        <x:f>IF(COUNT(INDEX(I17:I19,'Controls'!$E$5))=0,NA(),INDEX(I17:I19,'Controls'!$E$5))</x:f>
        <x:v>0.02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0.02</x:v>
      </x:c>
      <x:c r="F17" s="26" t="n">
        <x:v>0.02</x:v>
      </x:c>
      <x:c r="G17" s="26" t="n">
        <x:v>0.02</x:v>
      </x:c>
      <x:c r="H17" s="26" t="n">
        <x:v>0.02</x:v>
      </x:c>
      <x:c r="I17" s="26" t="n">
        <x:v>0.02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-0.005000000000000001</x:v>
      </x:c>
      <x:c r="F18" s="26" t="n">
        <x:v>-0.005000000000000001</x:v>
      </x:c>
      <x:c r="G18" s="26" t="n">
        <x:v>-0.005000000000000001</x:v>
      </x:c>
      <x:c r="H18" s="26" t="n">
        <x:v>-0.005000000000000001</x:v>
      </x:c>
      <x:c r="I18" s="26" t="n">
        <x:v>-0.005000000000000001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0.04</x:v>
      </x:c>
      <x:c r="F19" s="26" t="n">
        <x:v>0.04</x:v>
      </x:c>
      <x:c r="G19" s="26" t="n">
        <x:v>0.04</x:v>
      </x:c>
      <x:c r="H19" s="26" t="n">
        <x:v>0.04</x:v>
      </x:c>
      <x:c r="I19" s="26" t="n">
        <x:v>0.04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0.8</x:v>
      </x:c>
      <x:c r="F20" s="26" t="n">
        <x:v>0.8</x:v>
      </x:c>
      <x:c r="G20" s="26" t="n">
        <x:v>0.8</x:v>
      </x:c>
      <x:c r="H20" s="26" t="n">
        <x:v>0.8</x:v>
      </x:c>
      <x:c r="I20" s="26" t="n">
        <x:v>0.8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Ore, coking coal and conversion / revenue</x:v>
      </x:c>
      <x:c r="D21" s="24"/>
      <x:c r="E21" s="26" t="n">
        <x:v>0.69</x:v>
      </x:c>
      <x:c r="F21" s="26" t="n">
        <x:v>0.69</x:v>
      </x:c>
      <x:c r="G21" s="26" t="n">
        <x:v>0.69</x:v>
      </x:c>
      <x:c r="H21" s="26" t="n">
        <x:v>0.69</x:v>
      </x:c>
      <x:c r="I21" s="26" t="n">
        <x:v>0.69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0.1</x:v>
      </x:c>
      <x:c r="F22" s="26" t="n">
        <x:v>0.1</x:v>
      </x:c>
      <x:c r="G22" s="26" t="n">
        <x:v>0.1</x:v>
      </x:c>
      <x:c r="H22" s="26" t="n">
        <x:v>0.1</x:v>
      </x:c>
      <x:c r="I22" s="26" t="n">
        <x:v>0.1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0.09</x:v>
      </x:c>
      <x:c r="F23" s="26" t="n">
        <x:v>0.09</x:v>
      </x:c>
      <x:c r="G23" s="26" t="n">
        <x:v>0.09</x:v>
      </x:c>
      <x:c r="H23" s="26" t="n">
        <x:v>0.09</x:v>
      </x:c>
      <x:c r="I23" s="26" t="n">
        <x:v>0.09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0.07</x:v>
      </x:c>
      <x:c r="F24" s="26" t="n">
        <x:v>0.07</x:v>
      </x:c>
      <x:c r="G24" s="26" t="n">
        <x:v>0.07</x:v>
      </x:c>
      <x:c r="H24" s="26" t="n">
        <x:v>0.07</x:v>
      </x:c>
      <x:c r="I24" s="26" t="n">
        <x:v>0.07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30</x:v>
      </x:c>
      <x:c r="F25" s="7" t="n">
        <x:v>30</x:v>
      </x:c>
      <x:c r="G25" s="7" t="n">
        <x:v>30</x:v>
      </x:c>
      <x:c r="H25" s="7" t="n">
        <x:v>30</x:v>
      </x:c>
      <x:c r="I25" s="7" t="n">
        <x:v>30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70</x:v>
      </x:c>
      <x:c r="F26" s="7" t="n">
        <x:v>70</x:v>
      </x:c>
      <x:c r="G26" s="7" t="n">
        <x:v>70</x:v>
      </x:c>
      <x:c r="H26" s="7" t="n">
        <x:v>70</x:v>
      </x:c>
      <x:c r="I26" s="7" t="n">
        <x:v>70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40</x:v>
      </x:c>
      <x:c r="F27" s="7" t="n">
        <x:v>40</x:v>
      </x:c>
      <x:c r="G27" s="7" t="n">
        <x:v>40</x:v>
      </x:c>
      <x:c r="H27" s="7" t="n">
        <x:v>40</x:v>
      </x:c>
      <x:c r="I27" s="7" t="n">
        <x:v>40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850</x:v>
      </x:c>
      <x:c r="F31" s="7" t="n">
        <x:v>850</x:v>
      </x:c>
      <x:c r="G31" s="7" t="n">
        <x:v>850</x:v>
      </x:c>
      <x:c r="H31" s="7" t="n">
        <x:v>850</x:v>
      </x:c>
      <x:c r="I31" s="7" t="n">
        <x:v>850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22000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8500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1500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3055.890410958904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7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30" customHeight="1">
      <x:c r="A44" s="1"/>
      <x:c r="B44" s="1"/>
      <x:c r="C44" s="56" t="str">
        <x:v>Installed crude steel capacity (million tonnes)</x:v>
      </x:c>
      <x:c r="D44" s="2"/>
      <x:c r="E44" s="8" t="n">
        <x:f>$D10*(1+E12)</x:f>
        <x:v>5.2749999999999995</x:v>
      </x:c>
      <x:c r="F44" s="8" t="n">
        <x:f>E44*(1+F12)</x:f>
        <x:v>5.565124999999999</x:v>
      </x:c>
      <x:c r="G44" s="8" t="n">
        <x:f>F44*(1+G12)</x:f>
        <x:v>5.871206874999999</x:v>
      </x:c>
      <x:c r="H44" s="8" t="n">
        <x:f>G44*(1+H12)</x:f>
        <x:v>6.194123253124999</x:v>
      </x:c>
      <x:c r="I44" s="8" t="n">
        <x:f>H44*(1+I12)</x:f>
        <x:v>6.534800032046873</x:v>
      </x:c>
      <x:c r="J44" s="1"/>
      <x:c r="K44" s="1"/>
    </x:row>
    <x:row r="45" ht="18" customHeight="1">
      <x:c r="A45" s="1"/>
      <x:c r="B45" s="1"/>
      <x:c r="C45" s="1" t="str">
        <x:v>Net realization (INR per tonne)</x:v>
      </x:c>
      <x:c r="D45" s="2"/>
      <x:c r="E45" s="8" t="n">
        <x:f>$D11*(1+E16)</x:f>
        <x:v>56100</x:v>
      </x:c>
      <x:c r="F45" s="8" t="n">
        <x:f>E45*(1+F16)</x:f>
        <x:v>57222</x:v>
      </x:c>
      <x:c r="G45" s="8" t="n">
        <x:f>F45*(1+G16)</x:f>
        <x:v>58366.44</x:v>
      </x:c>
      <x:c r="H45" s="8" t="n">
        <x:f>G45*(1+H16)</x:f>
        <x:v>59533.768800000005</x:v>
      </x:c>
      <x:c r="I45" s="8" t="n">
        <x:f>H45*(1+I16)</x:f>
        <x:v>60724.444176000005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4.22</x:v>
      </x:c>
      <x:c r="F46" s="8" t="n">
        <x:f>F44*F20</x:f>
        <x:v>4.4521</x:v>
      </x:c>
      <x:c r="G46" s="8" t="n">
        <x:f>G44*G20</x:f>
        <x:v>4.696965499999999</x:v>
      </x:c>
      <x:c r="H46" s="8" t="n">
        <x:f>H44*H20</x:f>
        <x:v>4.955298602499999</x:v>
      </x:c>
      <x:c r="I46" s="8" t="n">
        <x:f>I44*I20</x:f>
        <x:v>5.227840025637499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</x:f>
        <x:v>23674.2</x:v>
      </x:c>
      <x:c r="F47" s="60" t="n">
        <x:f>F46*F45*'Controls'!$E$14/'Controls'!$E$9</x:f>
        <x:v>25475.806619999996</x:v>
      </x:c>
      <x:c r="G47" s="60" t="n">
        <x:f>G46*G45*'Controls'!$E$14/'Controls'!$E$9</x:f>
        <x:v>27414.515503781997</x:v>
      </x:c>
      <x:c r="H47" s="60" t="n">
        <x:f>H46*H45*'Controls'!$E$14/'Controls'!$E$9</x:f>
        <x:v>29500.760133619813</x:v>
      </x:c>
      <x:c r="I47" s="60" t="n">
        <x:f>I46*I45*'Controls'!$E$14/'Controls'!$E$9</x:f>
        <x:v>31745.767979788274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16335.197999999999</x:v>
      </x:c>
      <x:c r="F49" s="8" t="n">
        <x:f>F47*F21</x:f>
        <x:v>17578.306567799995</x:v>
      </x:c>
      <x:c r="G49" s="8" t="n">
        <x:f>G47*G21</x:f>
        <x:v>18916.015697609575</x:v>
      </x:c>
      <x:c r="H49" s="8" t="n">
        <x:f>H47*H21</x:f>
        <x:v>20355.52449219767</x:v>
      </x:c>
      <x:c r="I49" s="8" t="n">
        <x:f>I47*I21</x:f>
        <x:v>21904.579906053907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7339.002000000002</x:v>
      </x:c>
      <x:c r="F50" s="8" t="n">
        <x:f>F47-F49</x:f>
        <x:v>7897.500052200001</x:v>
      </x:c>
      <x:c r="G50" s="8" t="n">
        <x:f>G47-G49</x:f>
        <x:v>8498.499806172422</x:v>
      </x:c>
      <x:c r="H50" s="8" t="n">
        <x:f>H47-H49</x:f>
        <x:v>9145.235641422143</x:v>
      </x:c>
      <x:c r="I50" s="8" t="n">
        <x:f>I47-I49</x:f>
        <x:v>9841.188073734367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2367.42</x:v>
      </x:c>
      <x:c r="F51" s="8" t="n">
        <x:f>F47*F22</x:f>
        <x:v>2547.580662</x:v>
      </x:c>
      <x:c r="G51" s="8" t="n">
        <x:f>G47*G22</x:f>
        <x:v>2741.4515503782</x:v>
      </x:c>
      <x:c r="H51" s="8" t="n">
        <x:f>H47*H22</x:f>
        <x:v>2950.0760133619815</x:v>
      </x:c>
      <x:c r="I51" s="8" t="n">
        <x:f>I47*I22</x:f>
        <x:v>3174.5767979788275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4971.582000000002</x:v>
      </x:c>
      <x:c r="F52" s="41" t="n">
        <x:f>F50-F51</x:f>
        <x:v>5349.919390200001</x:v>
      </x:c>
      <x:c r="G52" s="41" t="n">
        <x:f>G50-G51</x:f>
        <x:v>5757.048255794221</x:v>
      </x:c>
      <x:c r="H52" s="41" t="n">
        <x:f>H50-H51</x:f>
        <x:v>6195.159628060162</x:v>
      </x:c>
      <x:c r="I52" s="41" t="n">
        <x:f>I50-I51</x:f>
        <x:v>6666.61127575554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1540.0000000000002</x:v>
      </x:c>
      <x:c r="F53" s="8" t="n">
        <x:f>E66*F24</x:f>
        <x:v>1581.3474600000002</x:v>
      </x:c>
      <x:c r="G53" s="8" t="n">
        <x:f>F66*G24</x:f>
        <x:v>1631.150719506</x:v>
      </x:c>
      <x:c r="H53" s="8" t="n">
        <x:f>G66*H24</x:f>
        <x:v>1689.6816168144067</x:v>
      </x:c>
      <x:c r="I53" s="8" t="n">
        <x:f>H66*I24</x:f>
        <x:v>1757.258692479203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3431.582000000002</x:v>
      </x:c>
      <x:c r="F54" s="8" t="n">
        <x:f>F52-F53</x:f>
        <x:v>3768.5719302000007</x:v>
      </x:c>
      <x:c r="G54" s="8" t="n">
        <x:f>G52-G53</x:f>
        <x:v>4125.897536288221</x:v>
      </x:c>
      <x:c r="H54" s="8" t="n">
        <x:f>H52-H53</x:f>
        <x:v>4505.478011245755</x:v>
      </x:c>
      <x:c r="I54" s="8" t="n">
        <x:f>I52-I53</x:f>
        <x:v>4909.352583276337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722.5</x:v>
      </x:c>
      <x:c r="F55" s="8" t="n">
        <x:f>E67*F29</x:f>
        <x:v>650.25</x:v>
      </x:c>
      <x:c r="G55" s="8" t="n">
        <x:f>F67*G29</x:f>
        <x:v>578</x:v>
      </x:c>
      <x:c r="H55" s="8" t="n">
        <x:f>G67*H29</x:f>
        <x:v>505.75000000000006</x:v>
      </x:c>
      <x:c r="I55" s="8" t="n">
        <x:f>H67*I29</x:f>
        <x:v>433.50000000000006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2709.082000000002</x:v>
      </x:c>
      <x:c r="F56" s="8" t="n">
        <x:f>F54-F55</x:f>
        <x:v>3118.3219302000007</x:v>
      </x:c>
      <x:c r="G56" s="8" t="n">
        <x:f>G54-G55</x:f>
        <x:v>3547.897536288221</x:v>
      </x:c>
      <x:c r="H56" s="8" t="n">
        <x:f>H54-H55</x:f>
        <x:v>3999.7280112457547</x:v>
      </x:c>
      <x:c r="I56" s="8" t="n">
        <x:f>I54-I55</x:f>
        <x:v>4475.852583276337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677.2705000000005</x:v>
      </x:c>
      <x:c r="F57" s="8" t="n">
        <x:f>MAX(0,F56)*F28</x:f>
        <x:v>779.5804825500002</x:v>
      </x:c>
      <x:c r="G57" s="8" t="n">
        <x:f>MAX(0,G56)*G28</x:f>
        <x:v>886.9743840720553</x:v>
      </x:c>
      <x:c r="H57" s="8" t="n">
        <x:f>MAX(0,H56)*H28</x:f>
        <x:v>999.9320028114387</x:v>
      </x:c>
      <x:c r="I57" s="8" t="n">
        <x:f>MAX(0,I56)*I28</x:f>
        <x:v>1118.9631458190843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2031.8115000000016</x:v>
      </x:c>
      <x:c r="F58" s="41" t="n">
        <x:f>F56-F57</x:f>
        <x:v>2338.7414476500007</x:v>
      </x:c>
      <x:c r="G58" s="41" t="n">
        <x:f>G56-G57</x:f>
        <x:v>2660.923152216166</x:v>
      </x:c>
      <x:c r="H58" s="41" t="n">
        <x:f>H56-H57</x:f>
        <x:v>2999.796008434316</x:v>
      </x:c>
      <x:c r="I58" s="41" t="n">
        <x:f>I56-I57</x:f>
        <x:v>3356.889437457253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1945.8246575342466</x:v>
      </x:c>
      <x:c r="F60" s="10" t="n">
        <x:f>F47*F25/'Controls'!$E$11</x:f>
        <x:v>2093.9019139726024</x:v>
      </x:c>
      <x:c r="G60" s="10" t="n">
        <x:f>G47*G25/'Controls'!$E$11</x:f>
        <x:v>2253.2478496259173</x:v>
      </x:c>
      <x:c r="H60" s="10" t="n">
        <x:f>H47*H25/'Controls'!$E$11</x:f>
        <x:v>2424.7200109824503</x:v>
      </x:c>
      <x:c r="I60" s="10" t="n">
        <x:f>I47*I25/'Controls'!$E$11</x:f>
        <x:v>2609.2412038182147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3132.7776986301365</x:v>
      </x:c>
      <x:c r="F61" s="10" t="n">
        <x:f>F49*F26/'Controls'!$E$11</x:f>
        <x:v>3371.1820814958896</x:v>
      </x:c>
      <x:c r="G61" s="10" t="n">
        <x:f>G49*G26/'Controls'!$E$11</x:f>
        <x:v>3627.7290378977264</x:v>
      </x:c>
      <x:c r="H61" s="10" t="n">
        <x:f>H49*H26/'Controls'!$E$11</x:f>
        <x:v>3903.7992176817447</x:v>
      </x:c>
      <x:c r="I61" s="10" t="n">
        <x:f>I49*I26/'Controls'!$E$11</x:f>
        <x:v>4200.878338147325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1790.1586849315067</x:v>
      </x:c>
      <x:c r="F62" s="10" t="n">
        <x:f>F49*F27/'Controls'!$E$11</x:f>
        <x:v>1926.389760854794</x:v>
      </x:c>
      <x:c r="G62" s="10" t="n">
        <x:f>G49*G27/'Controls'!$E$11</x:f>
        <x:v>2072.988021655844</x:v>
      </x:c>
      <x:c r="H62" s="10" t="n">
        <x:f>H49*H27/'Controls'!$E$11</x:f>
        <x:v>2230.742410103854</x:v>
      </x:c>
      <x:c r="I62" s="10" t="n">
        <x:f>I49*I27/'Controls'!$E$11</x:f>
        <x:v>2400.5019075127566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3288.4436712328766</x:v>
      </x:c>
      <x:c r="F63" s="8" t="n">
        <x:f>F60+F61-F62</x:f>
        <x:v>3538.6942346136984</x:v>
      </x:c>
      <x:c r="G63" s="8" t="n">
        <x:f>G60+G61-G62</x:f>
        <x:v>3807.9888658678</x:v>
      </x:c>
      <x:c r="H63" s="8" t="n">
        <x:f>H60+H61-H62</x:f>
        <x:v>4097.776818560341</x:v>
      </x:c>
      <x:c r="I63" s="8" t="n">
        <x:f>I60+I61-I62</x:f>
        <x:v>4409.617634452783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232.55326027397268</x:v>
      </x:c>
      <x:c r="F64" s="8" t="n">
        <x:f>F63-E63</x:f>
        <x:v>250.25056338082186</x:v>
      </x:c>
      <x:c r="G64" s="8" t="n">
        <x:f>G63-F63</x:f>
        <x:v>269.29463125410166</x:v>
      </x:c>
      <x:c r="H64" s="8" t="n">
        <x:f>H63-G63</x:f>
        <x:v>289.7879526925408</x:v>
      </x:c>
      <x:c r="I64" s="8" t="n">
        <x:f>I63-H63</x:f>
        <x:v>311.84081589244215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2130.678</x:v>
      </x:c>
      <x:c r="F65" s="8" t="n">
        <x:f>F47*F23</x:f>
        <x:v>2292.8225957999994</x:v>
      </x:c>
      <x:c r="G65" s="8" t="n">
        <x:f>G47*G23</x:f>
        <x:v>2467.30639534038</x:v>
      </x:c>
      <x:c r="H65" s="8" t="n">
        <x:f>H47*H23</x:f>
        <x:v>2655.068412025783</x:v>
      </x:c>
      <x:c r="I65" s="8" t="n">
        <x:f>I47*I23</x:f>
        <x:v>2857.1191181809445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22590.678</x:v>
      </x:c>
      <x:c r="F66" s="8" t="n">
        <x:f>E66+F65-F53</x:f>
        <x:v>23302.1531358</x:v>
      </x:c>
      <x:c r="G66" s="8" t="n">
        <x:f>F66+G65-G53</x:f>
        <x:v>24138.30881163438</x:v>
      </x:c>
      <x:c r="H66" s="8" t="n">
        <x:f>G66+H65-H53</x:f>
        <x:v>25103.695606845755</x:v>
      </x:c>
      <x:c r="I66" s="8" t="n">
        <x:f>H66+I65-I53</x:f>
        <x:v>26203.556032547494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7650</x:v>
      </x:c>
      <x:c r="F67" s="8" t="n">
        <x:f>E67+F30-F31</x:f>
        <x:v>6800</x:v>
      </x:c>
      <x:c r="G67" s="8" t="n">
        <x:f>F67+G30-G31</x:f>
        <x:v>5950</x:v>
      </x:c>
      <x:c r="H67" s="8" t="n">
        <x:f>G67+H30-H31</x:f>
        <x:v>5100</x:v>
      </x:c>
      <x:c r="I67" s="8" t="n">
        <x:f>H67+I30-I31</x:f>
        <x:v>4250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3339.258239726029</x:v>
      </x:c>
      <x:c r="F69" s="8" t="n">
        <x:f>F58+F53-F64</x:f>
        <x:v>3669.838344269179</x:v>
      </x:c>
      <x:c r="G69" s="8" t="n">
        <x:f>G58+G53-G64</x:f>
        <x:v>4022.779240468064</x:v>
      </x:c>
      <x:c r="H69" s="8" t="n">
        <x:f>H58+H53-H64</x:f>
        <x:v>4399.689672556182</x:v>
      </x:c>
      <x:c r="I69" s="8" t="n">
        <x:f>I58+I53-I64</x:f>
        <x:v>4802.307314044014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507.9528750000004</x:v>
      </x:c>
      <x:c r="F70" s="8" t="n">
        <x:f>MAX(0,F58)*F32</x:f>
        <x:v>584.6853619125002</x:v>
      </x:c>
      <x:c r="G70" s="8" t="n">
        <x:f>MAX(0,G58)*G32</x:f>
        <x:v>665.2307880540415</x:v>
      </x:c>
      <x:c r="H70" s="8" t="n">
        <x:f>MAX(0,H58)*H32</x:f>
        <x:v>749.949002108579</x:v>
      </x:c>
      <x:c r="I70" s="8" t="n">
        <x:f>MAX(0,I58)*I32</x:f>
        <x:v>839.2223593643132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-149.37263527397135</x:v>
      </x:c>
      <x:c r="F71" s="8" t="n">
        <x:f>F69-F65+F30-F31-F70</x:f>
        <x:v>-57.66961344332071</x:v>
      </x:c>
      <x:c r="G71" s="8" t="n">
        <x:f>G69-G65+G30-G31-G70</x:f>
        <x:v>40.24205707364274</x:v>
      </x:c>
      <x:c r="H71" s="8" t="n">
        <x:f>H69-H65+H30-H31-H70</x:f>
        <x:v>144.67225842182006</x:v>
      </x:c>
      <x:c r="I71" s="8" t="n">
        <x:f>I69-I65+I30-I31-I70</x:f>
        <x:v>255.96583649875606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1350.6273647260286</x:v>
      </x:c>
      <x:c r="F72" s="8" t="n">
        <x:f>E72+F71</x:f>
        <x:v>1292.957751282708</x:v>
      </x:c>
      <x:c r="G72" s="8" t="n">
        <x:f>F72+G71</x:f>
        <x:v>1333.1998083563508</x:v>
      </x:c>
      <x:c r="H72" s="8" t="n">
        <x:f>G72+H71</x:f>
        <x:v>1477.8720667781708</x:v>
      </x:c>
      <x:c r="I72" s="8" t="n">
        <x:f>H72+I71</x:f>
        <x:v>1733.837903276927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19579.74903595891</x:v>
      </x:c>
      <x:c r="F73" s="41" t="n">
        <x:f>E73+F58-F70</x:f>
        <x:v>21333.805121696412</x:v>
      </x:c>
      <x:c r="G73" s="41" t="n">
        <x:f>F73+G58-G70</x:f>
        <x:v>23329.497485858534</x:v>
      </x:c>
      <x:c r="H73" s="41" t="n">
        <x:f>G73+H58-H70</x:f>
        <x:v>25579.344492184267</x:v>
      </x:c>
      <x:c r="I73" s="41" t="n">
        <x:f>H73+I58-I70</x:f>
        <x:v>28097.011570277205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29019.907720890413</x:v>
      </x:c>
      <x:c r="F74" s="8" t="n">
        <x:f>F72+F60+F61+F66</x:f>
        <x:v>30060.1948825512</x:v>
      </x:c>
      <x:c r="G74" s="8" t="n">
        <x:f>G72+G60+G61+G66</x:f>
        <x:v>31352.48550751437</x:v>
      </x:c>
      <x:c r="H74" s="8" t="n">
        <x:f>H72+H60+H61+H66</x:f>
        <x:v>32910.08690228812</x:v>
      </x:c>
      <x:c r="I74" s="8" t="n">
        <x:f>I72+I60+I61+I66</x:f>
        <x:v>34747.513477789966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29019.907720890416</x:v>
      </x:c>
      <x:c r="F75" s="8" t="n">
        <x:f>F62+F67+F73</x:f>
        <x:v>30060.194882551208</x:v>
      </x:c>
      <x:c r="G75" s="8" t="n">
        <x:f>G62+G67+G73</x:f>
        <x:v>31352.48550751438</x:v>
      </x:c>
      <x:c r="H75" s="8" t="n">
        <x:f>H62+H67+H73</x:f>
        <x:v>32910.08690228812</x:v>
      </x:c>
      <x:c r="I75" s="8" t="n">
        <x:f>I62+I67+I73</x:f>
        <x:v>34747.513477789966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2573.6865000000016</x:v>
      </x:c>
      <x:c r="F76" s="8" t="n">
        <x:f>F54-MAX(0,F54)*F28</x:f>
        <x:v>2826.4289476500007</x:v>
      </x:c>
      <x:c r="G76" s="8" t="n">
        <x:f>G54-MAX(0,G54)*G28</x:f>
        <x:v>3094.423152216166</x:v>
      </x:c>
      <x:c r="H76" s="8" t="n">
        <x:f>H54-MAX(0,H54)*H28</x:f>
        <x:v>3379.108508434316</x:v>
      </x:c>
      <x:c r="I76" s="8" t="n">
        <x:f>I54-MAX(0,I54)*I28</x:f>
        <x:v>3682.014437457253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1750.455239726029</x:v>
      </x:c>
      <x:c r="F77" s="41" t="n">
        <x:f>F76+F53-F65-F64</x:f>
        <x:v>1864.7032484691795</x:v>
      </x:c>
      <x:c r="G77" s="41" t="n">
        <x:f>G76+G53-G65-G64</x:f>
        <x:v>1988.9728451276842</x:v>
      </x:c>
      <x:c r="H77" s="41" t="n">
        <x:f>H76+H53-H65-H64</x:f>
        <x:v>2123.933760530399</x:v>
      </x:c>
      <x:c r="I77" s="41" t="n">
        <x:f>I76+I53-I65-I64</x:f>
        <x:v>2270.3131958630693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0.3100000000000001</x:v>
      </x:c>
      <x:c r="F79" s="35" t="n">
        <x:f>F50/F47</x:f>
        <x:v>0.3100000000000001</x:v>
      </x:c>
      <x:c r="G79" s="35" t="n">
        <x:f>G50/G47</x:f>
        <x:v>0.3100000000000001</x:v>
      </x:c>
      <x:c r="H79" s="35" t="n">
        <x:f>H50/H47</x:f>
        <x:v>0.31000000000000005</x:v>
      </x:c>
      <x:c r="I79" s="35" t="n">
        <x:f>I50/I47</x:f>
        <x:v>0.31000000000000005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0.21000000000000008</x:v>
      </x:c>
      <x:c r="F80" s="35" t="n">
        <x:f>F52/F47</x:f>
        <x:v>0.21000000000000005</x:v>
      </x:c>
      <x:c r="G80" s="35" t="n">
        <x:f>G52/G47</x:f>
        <x:v>0.21000000000000008</x:v>
      </x:c>
      <x:c r="H80" s="35" t="n">
        <x:f>H52/H47</x:f>
        <x:v>0.21000000000000002</x:v>
      </x:c>
      <x:c r="I80" s="35" t="n">
        <x:f>I52/I47</x:f>
        <x:v>0.21000000000000008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0.0858238715563779</x:v>
      </x:c>
      <x:c r="F81" s="35" t="n">
        <x:f>F58/F47</x:f>
        <x:v>0.09180244938010922</x:v>
      </x:c>
      <x:c r="G81" s="35" t="n">
        <x:f>G58/G47</x:f>
        <x:v>0.09706256351125649</x:v>
      </x:c>
      <x:c r="H81" s="35" t="n">
        <x:f>H58/H47</x:f>
        <x:v>0.10168538013417737</x:v>
      </x:c>
      <x:c r="I81" s="35" t="n">
        <x:f>I58/I47</x:f>
        <x:v>0.10574289585920553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0.6716691467074318</x:v>
      </x:c>
      <x:c r="F82" s="35" t="n">
        <x:f>IF(F52=0,"n.a.",F69/F52)</x:f>
        <x:v>0.6859614279406901</x:v>
      </x:c>
      <x:c r="G82" s="35" t="n">
        <x:f>IF(G52=0,"n.a.",G69/G52)</x:f>
        <x:v>0.6987572557550321</x:v>
      </x:c>
      <x:c r="H82" s="35" t="n">
        <x:f>IF(H52=0,"n.a.",H69/H52)</x:f>
        <x:v>0.7101818091382772</x:v>
      </x:c>
      <x:c r="I82" s="35" t="n">
        <x:f>IF(I52=0,"n.a.",I69/I52)</x:f>
        <x:v>0.7203520822503272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60</x:v>
      </x:c>
      <x:c r="F83" s="8" t="n">
        <x:f>F25+F26-F27</x:f>
        <x:v>60</x:v>
      </x:c>
      <x:c r="G83" s="8" t="n">
        <x:f>G25+G26-G27</x:f>
        <x:v>60</x:v>
      </x:c>
      <x:c r="H83" s="8" t="n">
        <x:f>H25+H26-H27</x:f>
        <x:v>60</x:v>
      </x:c>
      <x:c r="I83" s="8" t="n">
        <x:f>I25+I26-I27</x:f>
        <x:v>60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1.267076080666872</x:v>
      </x:c>
      <x:c r="F84" s="61" t="n">
        <x:f>IF(F52&lt;=0,"n.a.",(F67-F72)/F52)</x:f>
        <x:v>1.029369201114527</x:v>
      </x:c>
      <x:c r="G84" s="61" t="n">
        <x:f>IF(G52&lt;=0,"n.a.",(G67-G72)/G52)</x:f>
        <x:v>0.8019387690553121</x:v>
      </x:c>
      <x:c r="H84" s="61" t="n">
        <x:f>IF(H52&lt;=0,"n.a.",(H67-H72)/H52)</x:f>
        <x:v>0.584670638156905</x:v>
      </x:c>
      <x:c r="I84" s="61" t="n">
        <x:f>IF(I52&lt;=0,"n.a.",(I67-I72)/I52)</x:f>
        <x:v>0.37742745041601533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4.749594463667823</x:v>
      </x:c>
      <x:c r="F85" s="61" t="n">
        <x:f>IF(F55=0,"n.a.",F54/F55)</x:f>
        <x:v>5.795573902652827</x:v>
      </x:c>
      <x:c r="G85" s="61" t="n">
        <x:f>IF(G55=0,"n.a.",G54/G55)</x:f>
        <x:v>7.138231031640521</x:v>
      </x:c>
      <x:c r="H85" s="61" t="n">
        <x:f>IF(H55=0,"n.a.",H54/H55)</x:f>
        <x:v>8.908508178439455</x:v>
      </x:c>
      <x:c r="I85" s="61" t="n">
        <x:f>IF(I55=0,"n.a.",I54/I55)</x:f>
        <x:v>11.324919453924652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0.10105765738690499</x:v>
      </x:c>
      <x:c r="F86" s="35" t="n">
        <x:f>F76/((E66+E63+F66+F63)/2)</x:f>
        <x:v>0.10722422638060504</x:v>
      </x:c>
      <x:c r="G86" s="35" t="n">
        <x:f>G76/((F66+F63+G66+G63)/2)</x:f>
        <x:v>0.11296165001880779</x:v>
      </x:c>
      <x:c r="H86" s="35" t="n">
        <x:f>H76/((G66+G63+H66+H63)/2)</x:f>
        <x:v>0.11825863029648996</x:v>
      </x:c>
      <x:c r="I86" s="35" t="n">
        <x:f>I76/((H66+H63+I66+I63)/2)</x:f>
        <x:v>0.12311414270575093</x:v>
      </x:c>
      <x:c r="J86" s="1"/>
      <x:c r="K86" s="1"/>
    </x:row>
    <x:row r="87" ht="18" customHeight="1">
      <x:c r="A87" s="1"/>
      <x:c r="B87" s="1"/>
      <x:c r="C87" s="1" t="str">
        <x:v>EBITDA per tonne (INR)</x:v>
      </x:c>
      <x:c r="D87" s="2"/>
      <x:c r="E87" s="10" t="n">
        <x:f>E52*'Controls'!$E$9/(E46*'Controls'!$E$14)</x:f>
        <x:v>11781.000000000005</x:v>
      </x:c>
      <x:c r="F87" s="10" t="n">
        <x:f>F52*'Controls'!$E$9/(F46*'Controls'!$E$14)</x:f>
        <x:v>12016.620000000003</x:v>
      </x:c>
      <x:c r="G87" s="10" t="n">
        <x:f>G52*'Controls'!$E$9/(G46*'Controls'!$E$14)</x:f>
        <x:v>12256.952400000006</x:v>
      </x:c>
      <x:c r="H87" s="10" t="n">
        <x:f>H52*'Controls'!$E$9/(H46*'Controls'!$E$14)</x:f>
        <x:v>12502.091448000005</x:v>
      </x:c>
      <x:c r="I87" s="10" t="n">
        <x:f>I52*'Controls'!$E$9/(I46*'Controls'!$E$14)</x:f>
        <x:v>12752.133276960007</x:v>
      </x:c>
      <x:c r="J87" s="1"/>
      <x:c r="K87" s="1"/>
    </x:row>
    <x:row r="88" ht="18" customHeight="1">
      <x:c r="A88" s="1"/>
      <x:c r="B88" s="1"/>
      <x:c r="C88" s="1" t="str">
        <x:v>Direct cost per tonne (INR)</x:v>
      </x:c>
      <x:c r="D88" s="2"/>
      <x:c r="E88" s="10" t="n">
        <x:f>E49*'Controls'!$E$9/(E46*'Controls'!$E$14)</x:f>
        <x:v>38709</x:v>
      </x:c>
      <x:c r="F88" s="10" t="n">
        <x:f>F49*'Controls'!$E$9/(F46*'Controls'!$E$14)</x:f>
        <x:v>39483.179999999986</x:v>
      </x:c>
      <x:c r="G88" s="10" t="n">
        <x:f>G49*'Controls'!$E$9/(G46*'Controls'!$E$14)</x:f>
        <x:v>40272.8436</x:v>
      </x:c>
      <x:c r="H88" s="10" t="n">
        <x:f>H49*'Controls'!$E$9/(H46*'Controls'!$E$14)</x:f>
        <x:v>41078.30047200001</x:v>
      </x:c>
      <x:c r="I88" s="10" t="n">
        <x:f>I49*'Controls'!$E$9/(I46*'Controls'!$E$14)</x:f>
        <x:v>41899.866481439996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1562.9064640410973</x:v>
      </x:c>
      <x:c r="F90" s="8" t="n">
        <x:f>F77/(1+$D39)^2</x:f>
        <x:v>1486.5300131291287</x:v>
      </x:c>
      <x:c r="G90" s="8" t="n">
        <x:f>G77/(1+$D39)^3</x:f>
        <x:v>1415.711584599128</x:v>
      </x:c>
      <x:c r="H90" s="8" t="n">
        <x:f>H77/(1+$D39)^4</x:f>
        <x:v>1349.7983021514258</x:v>
      </x:c>
      <x:c r="I90" s="8" t="n">
        <x:f>I77/(1+$D39)^5</x:f>
        <x:v>1288.2366782250256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2808.149677634065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35101.87097042582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27020.9273167345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20020.9273167345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200.20927316734503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34801.074000000015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27801.074000000015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0.7371228988967123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-3.637978807091713e-12</x:v>
      </x:c>
      <x:c r="F100" s="34" t="n">
        <x:f>F74-F75</x:f>
        <x:v>-7.275957614183426e-12</x:v>
      </x:c>
      <x:c r="G100" s="34" t="n">
        <x:f>G74-G75</x:f>
        <x:v>-7.275957614183426e-12</x:v>
      </x:c>
      <x:c r="H100" s="34" t="n">
        <x:f>H74-H75</x:f>
        <x:v>0</x:v>
      </x:c>
      <x:c r="I100" s="34" t="n">
        <x:f>I74-I75</x:f>
        <x:v>0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20" priority="1">
      <x:formula>ABS(E100)&gt;0.01</x:formula>
    </x:cfRule>
  </x:conditionalFormatting>
  <x:conditionalFormatting sqref="E101:I101">
    <x:cfRule type="expression" dxfId="21" priority="2">
      <x:formula>ABS(E101)&gt;0.01</x:formula>
    </x:cfRule>
  </x:conditionalFormatting>
  <x:conditionalFormatting sqref="E102:I102">
    <x:cfRule type="expression" dxfId="22" priority="3">
      <x:formula>ABS(E102)&gt;0.01</x:formula>
    </x:cfRule>
  </x:conditionalFormatting>
  <x:conditionalFormatting sqref="E103:I103">
    <x:cfRule type="expression" dxfId="23" priority="4">
      <x:formula>ABS(E103)&gt;0.01</x:formula>
    </x:cfRule>
  </x:conditionalFormatting>
  <x:conditionalFormatting sqref="E104:I104">
    <x:cfRule type="expression" dxfId="24" priority="5">
      <x:formula>ABS(E104)&gt;0.01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Pharma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Equivalent doses sold (million) — seed</x:v>
      </x:c>
      <x:c r="D10" s="7" t="n">
        <x:v>500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Net realization (INR per dose) — seed</x:v>
      </x:c>
      <x:c r="D11" s="7" t="n">
        <x:v>100</x:v>
      </x:c>
      <x:c r="E11" s="2"/>
      <x:c r="F11" s="2"/>
      <x:c r="G11" s="2"/>
      <x:c r="H11" s="2"/>
      <x:c r="I11" s="2"/>
      <x:c r="J11" s="1"/>
      <x:c r="K11" s="1" t="str">
        <x:v>Aggregated formulations model. SG&amp;A includes R&amp;D; add geography, product and launch cohorts for diligence.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0.1</x:v>
      </x:c>
      <x:c r="F12" s="30" t="n">
        <x:f>IF(COUNT(INDEX(F13:F15,'Controls'!$E$5))=0,NA(),INDEX(F13:F15,'Controls'!$E$5))</x:f>
        <x:v>0.1</x:v>
      </x:c>
      <x:c r="G12" s="30" t="n">
        <x:f>IF(COUNT(INDEX(G13:G15,'Controls'!$E$5))=0,NA(),INDEX(G13:G15,'Controls'!$E$5))</x:f>
        <x:v>0.1</x:v>
      </x:c>
      <x:c r="H12" s="30" t="n">
        <x:f>IF(COUNT(INDEX(H13:H15,'Controls'!$E$5))=0,NA(),INDEX(H13:H15,'Controls'!$E$5))</x:f>
        <x:v>0.1</x:v>
      </x:c>
      <x:c r="I12" s="30" t="n">
        <x:f>IF(COUNT(INDEX(I13:I15,'Controls'!$E$5))=0,NA(),INDEX(I13:I15,'Controls'!$E$5))</x:f>
        <x:v>0.1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0.1</x:v>
      </x:c>
      <x:c r="F13" s="26" t="n">
        <x:v>0.1</x:v>
      </x:c>
      <x:c r="G13" s="26" t="n">
        <x:v>0.1</x:v>
      </x:c>
      <x:c r="H13" s="26" t="n">
        <x:v>0.1</x:v>
      </x:c>
      <x:c r="I13" s="26" t="n">
        <x:v>0.1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0.05</x:v>
      </x:c>
      <x:c r="F14" s="26" t="n">
        <x:v>0.05</x:v>
      </x:c>
      <x:c r="G14" s="26" t="n">
        <x:v>0.05</x:v>
      </x:c>
      <x:c r="H14" s="26" t="n">
        <x:v>0.05</x:v>
      </x:c>
      <x:c r="I14" s="26" t="n">
        <x:v>0.05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0.14</x:v>
      </x:c>
      <x:c r="F15" s="26" t="n">
        <x:v>0.14</x:v>
      </x:c>
      <x:c r="G15" s="26" t="n">
        <x:v>0.14</x:v>
      </x:c>
      <x:c r="H15" s="26" t="n">
        <x:v>0.14</x:v>
      </x:c>
      <x:c r="I15" s="26" t="n">
        <x:v>0.14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0.035</x:v>
      </x:c>
      <x:c r="F16" s="30" t="n">
        <x:f>IF(COUNT(INDEX(F17:F19,'Controls'!$E$5))=0,NA(),INDEX(F17:F19,'Controls'!$E$5))</x:f>
        <x:v>0.035</x:v>
      </x:c>
      <x:c r="G16" s="30" t="n">
        <x:f>IF(COUNT(INDEX(G17:G19,'Controls'!$E$5))=0,NA(),INDEX(G17:G19,'Controls'!$E$5))</x:f>
        <x:v>0.035</x:v>
      </x:c>
      <x:c r="H16" s="30" t="n">
        <x:f>IF(COUNT(INDEX(H17:H19,'Controls'!$E$5))=0,NA(),INDEX(H17:H19,'Controls'!$E$5))</x:f>
        <x:v>0.035</x:v>
      </x:c>
      <x:c r="I16" s="30" t="n">
        <x:f>IF(COUNT(INDEX(I17:I19,'Controls'!$E$5))=0,NA(),INDEX(I17:I19,'Controls'!$E$5))</x:f>
        <x:v>0.035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0.035</x:v>
      </x:c>
      <x:c r="F17" s="26" t="n">
        <x:v>0.035</x:v>
      </x:c>
      <x:c r="G17" s="26" t="n">
        <x:v>0.035</x:v>
      </x:c>
      <x:c r="H17" s="26" t="n">
        <x:v>0.035</x:v>
      </x:c>
      <x:c r="I17" s="26" t="n">
        <x:v>0.035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0.010000000000000002</x:v>
      </x:c>
      <x:c r="F18" s="26" t="n">
        <x:v>0.010000000000000002</x:v>
      </x:c>
      <x:c r="G18" s="26" t="n">
        <x:v>0.010000000000000002</x:v>
      </x:c>
      <x:c r="H18" s="26" t="n">
        <x:v>0.010000000000000002</x:v>
      </x:c>
      <x:c r="I18" s="26" t="n">
        <x:v>0.010000000000000002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0.05500000000000001</x:v>
      </x:c>
      <x:c r="F19" s="26" t="n">
        <x:v>0.05500000000000001</x:v>
      </x:c>
      <x:c r="G19" s="26" t="n">
        <x:v>0.05500000000000001</x:v>
      </x:c>
      <x:c r="H19" s="26" t="n">
        <x:v>0.05500000000000001</x:v>
      </x:c>
      <x:c r="I19" s="26" t="n">
        <x:v>0.05500000000000001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Manufacturing and materials / revenue</x:v>
      </x:c>
      <x:c r="D21" s="24"/>
      <x:c r="E21" s="26" t="n">
        <x:v>0.38</x:v>
      </x:c>
      <x:c r="F21" s="26" t="n">
        <x:v>0.38</x:v>
      </x:c>
      <x:c r="G21" s="26" t="n">
        <x:v>0.38</x:v>
      </x:c>
      <x:c r="H21" s="26" t="n">
        <x:v>0.38</x:v>
      </x:c>
      <x:c r="I21" s="26" t="n">
        <x:v>0.38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0.29</x:v>
      </x:c>
      <x:c r="F22" s="26" t="n">
        <x:v>0.29</x:v>
      </x:c>
      <x:c r="G22" s="26" t="n">
        <x:v>0.29</x:v>
      </x:c>
      <x:c r="H22" s="26" t="n">
        <x:v>0.29</x:v>
      </x:c>
      <x:c r="I22" s="26" t="n">
        <x:v>0.29</x:v>
      </x:c>
      <x:c r="J22" s="1"/>
      <x:c r="K22" s="1" t="str">
        <x:v>Includes R&amp;D spending; expense treatment assumed.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0.07</x:v>
      </x:c>
      <x:c r="F23" s="26" t="n">
        <x:v>0.07</x:v>
      </x:c>
      <x:c r="G23" s="26" t="n">
        <x:v>0.07</x:v>
      </x:c>
      <x:c r="H23" s="26" t="n">
        <x:v>0.07</x:v>
      </x:c>
      <x:c r="I23" s="26" t="n">
        <x:v>0.07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0.12</x:v>
      </x:c>
      <x:c r="F24" s="26" t="n">
        <x:v>0.12</x:v>
      </x:c>
      <x:c r="G24" s="26" t="n">
        <x:v>0.12</x:v>
      </x:c>
      <x:c r="H24" s="26" t="n">
        <x:v>0.12</x:v>
      </x:c>
      <x:c r="I24" s="26" t="n">
        <x:v>0.12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90</x:v>
      </x:c>
      <x:c r="F25" s="7" t="n">
        <x:v>90</x:v>
      </x:c>
      <x:c r="G25" s="7" t="n">
        <x:v>90</x:v>
      </x:c>
      <x:c r="H25" s="7" t="n">
        <x:v>90</x:v>
      </x:c>
      <x:c r="I25" s="7" t="n">
        <x:v>90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100</x:v>
      </x:c>
      <x:c r="F26" s="7" t="n">
        <x:v>100</x:v>
      </x:c>
      <x:c r="G26" s="7" t="n">
        <x:v>100</x:v>
      </x:c>
      <x:c r="H26" s="7" t="n">
        <x:v>100</x:v>
      </x:c>
      <x:c r="I26" s="7" t="n">
        <x:v>100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60</x:v>
      </x:c>
      <x:c r="F27" s="7" t="n">
        <x:v>60</x:v>
      </x:c>
      <x:c r="G27" s="7" t="n">
        <x:v>60</x:v>
      </x:c>
      <x:c r="H27" s="7" t="n">
        <x:v>60</x:v>
      </x:c>
      <x:c r="I27" s="7" t="n">
        <x:v>60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100</x:v>
      </x:c>
      <x:c r="F31" s="7" t="n">
        <x:v>100</x:v>
      </x:c>
      <x:c r="G31" s="7" t="n">
        <x:v>100</x:v>
      </x:c>
      <x:c r="H31" s="7" t="n">
        <x:v>100</x:v>
      </x:c>
      <x:c r="I31" s="7" t="n">
        <x:v>100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3000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1000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800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1441.0958904109589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20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Equivalent doses sold (million)</x:v>
      </x:c>
      <x:c r="D44" s="2"/>
      <x:c r="E44" s="8" t="n">
        <x:f>$D10*(1+E12)</x:f>
        <x:v>550</x:v>
      </x:c>
      <x:c r="F44" s="8" t="n">
        <x:f>E44*(1+F12)</x:f>
        <x:v>605</x:v>
      </x:c>
      <x:c r="G44" s="8" t="n">
        <x:f>F44*(1+G12)</x:f>
        <x:v>665.5</x:v>
      </x:c>
      <x:c r="H44" s="8" t="n">
        <x:f>G44*(1+H12)</x:f>
        <x:v>732.0500000000001</x:v>
      </x:c>
      <x:c r="I44" s="8" t="n">
        <x:f>H44*(1+I12)</x:f>
        <x:v>805.2550000000001</x:v>
      </x:c>
      <x:c r="J44" s="1"/>
      <x:c r="K44" s="1"/>
    </x:row>
    <x:row r="45" ht="18" customHeight="1">
      <x:c r="A45" s="1"/>
      <x:c r="B45" s="1"/>
      <x:c r="C45" s="1" t="str">
        <x:v>Net realization (INR per dose)</x:v>
      </x:c>
      <x:c r="D45" s="2"/>
      <x:c r="E45" s="8" t="n">
        <x:f>$D11*(1+E16)</x:f>
        <x:v>103.49999999999999</x:v>
      </x:c>
      <x:c r="F45" s="8" t="n">
        <x:f>E45*(1+F16)</x:f>
        <x:v>107.12249999999997</x:v>
      </x:c>
      <x:c r="G45" s="8" t="n">
        <x:f>F45*(1+G16)</x:f>
        <x:v>110.87178749999997</x:v>
      </x:c>
      <x:c r="H45" s="8" t="n">
        <x:f>G45*(1+H16)</x:f>
        <x:v>114.75230006249996</x:v>
      </x:c>
      <x:c r="I45" s="8" t="n">
        <x:f>H45*(1+I16)</x:f>
        <x:v>118.76863056468744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550</x:v>
      </x:c>
      <x:c r="F46" s="8" t="n">
        <x:f>F44*F20</x:f>
        <x:v>605</x:v>
      </x:c>
      <x:c r="G46" s="8" t="n">
        <x:f>G44*G20</x:f>
        <x:v>665.5</x:v>
      </x:c>
      <x:c r="H46" s="8" t="n">
        <x:f>H44*H20</x:f>
        <x:v>732.0500000000001</x:v>
      </x:c>
      <x:c r="I46" s="8" t="n">
        <x:f>I44*I20</x:f>
        <x:v>805.2550000000001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</x:f>
        <x:v>5692.499999999999</x:v>
      </x:c>
      <x:c r="F47" s="60" t="n">
        <x:f>F46*F45*'Controls'!$E$14/'Controls'!$E$9</x:f>
        <x:v>6480.911249999998</x:v>
      </x:c>
      <x:c r="G47" s="60" t="n">
        <x:f>G46*G45*'Controls'!$E$14/'Controls'!$E$9</x:f>
        <x:v>7378.517458124997</x:v>
      </x:c>
      <x:c r="H47" s="60" t="n">
        <x:f>H46*H45*'Controls'!$E$14/'Controls'!$E$9</x:f>
        <x:v>8400.44212607531</x:v>
      </x:c>
      <x:c r="I47" s="60" t="n">
        <x:f>I46*I45*'Controls'!$E$14/'Controls'!$E$9</x:f>
        <x:v>9563.90336053674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2163.1499999999996</x:v>
      </x:c>
      <x:c r="F49" s="8" t="n">
        <x:f>F47*F21</x:f>
        <x:v>2462.7462749999995</x:v>
      </x:c>
      <x:c r="G49" s="8" t="n">
        <x:f>G47*G21</x:f>
        <x:v>2803.8366340874986</x:v>
      </x:c>
      <x:c r="H49" s="8" t="n">
        <x:f>H47*H21</x:f>
        <x:v>3192.1680079086177</x:v>
      </x:c>
      <x:c r="I49" s="8" t="n">
        <x:f>I47*I21</x:f>
        <x:v>3634.2832770039613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3529.3499999999995</x:v>
      </x:c>
      <x:c r="F50" s="8" t="n">
        <x:f>F47-F49</x:f>
        <x:v>4018.164974999999</x:v>
      </x:c>
      <x:c r="G50" s="8" t="n">
        <x:f>G47-G49</x:f>
        <x:v>4574.680824037498</x:v>
      </x:c>
      <x:c r="H50" s="8" t="n">
        <x:f>H47-H49</x:f>
        <x:v>5208.274118166692</x:v>
      </x:c>
      <x:c r="I50" s="8" t="n">
        <x:f>I47-I49</x:f>
        <x:v>5929.620083532779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1650.8249999999996</x:v>
      </x:c>
      <x:c r="F51" s="8" t="n">
        <x:f>F47*F22</x:f>
        <x:v>1879.4642624999994</x:v>
      </x:c>
      <x:c r="G51" s="8" t="n">
        <x:f>G47*G22</x:f>
        <x:v>2139.770062856249</x:v>
      </x:c>
      <x:c r="H51" s="8" t="n">
        <x:f>H47*H22</x:f>
        <x:v>2436.1282165618395</x:v>
      </x:c>
      <x:c r="I51" s="8" t="n">
        <x:f>I47*I22</x:f>
        <x:v>2773.5319745556544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1878.5249999999999</x:v>
      </x:c>
      <x:c r="F52" s="41" t="n">
        <x:f>F50-F51</x:f>
        <x:v>2138.700712499999</x:v>
      </x:c>
      <x:c r="G52" s="41" t="n">
        <x:f>G50-G51</x:f>
        <x:v>2434.9107611812487</x:v>
      </x:c>
      <x:c r="H52" s="41" t="n">
        <x:f>H50-H51</x:f>
        <x:v>2772.145901604852</x:v>
      </x:c>
      <x:c r="I52" s="41" t="n">
        <x:f>I50-I51</x:f>
        <x:v>3156.0881089771246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360</x:v>
      </x:c>
      <x:c r="F53" s="8" t="n">
        <x:f>E66*F24</x:f>
        <x:v>364.61699999999996</x:v>
      </x:c>
      <x:c r="G53" s="8" t="n">
        <x:f>F66*G24</x:f>
        <x:v>375.30261449999995</x:v>
      </x:c>
      <x:c r="H53" s="8" t="n">
        <x:f>G66*H24</x:f>
        <x:v>392.24584740825</x:v>
      </x:c>
      <x:c r="I53" s="8" t="n">
        <x:f>H66*I24</x:f>
        <x:v>415.7400595782925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1518.5249999999999</x:v>
      </x:c>
      <x:c r="F54" s="8" t="n">
        <x:f>F52-F53</x:f>
        <x:v>1774.0837124999991</x:v>
      </x:c>
      <x:c r="G54" s="8" t="n">
        <x:f>G52-G53</x:f>
        <x:v>2059.608146681249</x:v>
      </x:c>
      <x:c r="H54" s="8" t="n">
        <x:f>H52-H53</x:f>
        <x:v>2379.900054196602</x:v>
      </x:c>
      <x:c r="I54" s="8" t="n">
        <x:f>I52-I53</x:f>
        <x:v>2740.3480493988322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85</x:v>
      </x:c>
      <x:c r="F55" s="8" t="n">
        <x:f>E67*F29</x:f>
        <x:v>76.5</x:v>
      </x:c>
      <x:c r="G55" s="8" t="n">
        <x:f>F67*G29</x:f>
        <x:v>68</x:v>
      </x:c>
      <x:c r="H55" s="8" t="n">
        <x:f>G67*H29</x:f>
        <x:v>59.50000000000001</x:v>
      </x:c>
      <x:c r="I55" s="8" t="n">
        <x:f>H67*I29</x:f>
        <x:v>51.00000000000001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1433.5249999999999</x:v>
      </x:c>
      <x:c r="F56" s="8" t="n">
        <x:f>F54-F55</x:f>
        <x:v>1697.5837124999991</x:v>
      </x:c>
      <x:c r="G56" s="8" t="n">
        <x:f>G54-G55</x:f>
        <x:v>1991.6081466812489</x:v>
      </x:c>
      <x:c r="H56" s="8" t="n">
        <x:f>H54-H55</x:f>
        <x:v>2320.400054196602</x:v>
      </x:c>
      <x:c r="I56" s="8" t="n">
        <x:f>I54-I55</x:f>
        <x:v>2689.3480493988322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358.38124999999997</x:v>
      </x:c>
      <x:c r="F57" s="8" t="n">
        <x:f>MAX(0,F56)*F28</x:f>
        <x:v>424.3959281249998</x:v>
      </x:c>
      <x:c r="G57" s="8" t="n">
        <x:f>MAX(0,G56)*G28</x:f>
        <x:v>497.9020366703122</x:v>
      </x:c>
      <x:c r="H57" s="8" t="n">
        <x:f>MAX(0,H56)*H28</x:f>
        <x:v>580.1000135491505</x:v>
      </x:c>
      <x:c r="I57" s="8" t="n">
        <x:f>MAX(0,I56)*I28</x:f>
        <x:v>672.3370123497081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1075.14375</x:v>
      </x:c>
      <x:c r="F58" s="41" t="n">
        <x:f>F56-F57</x:f>
        <x:v>1273.1877843749994</x:v>
      </x:c>
      <x:c r="G58" s="41" t="n">
        <x:f>G56-G57</x:f>
        <x:v>1493.7061100109368</x:v>
      </x:c>
      <x:c r="H58" s="41" t="n">
        <x:f>H56-H57</x:f>
        <x:v>1740.3000406474516</x:v>
      </x:c>
      <x:c r="I58" s="41" t="n">
        <x:f>I56-I57</x:f>
        <x:v>2017.0110370491243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1403.6301369863013</x:v>
      </x:c>
      <x:c r="F60" s="10" t="n">
        <x:f>F47*F25/'Controls'!$E$11</x:f>
        <x:v>1598.0329109589036</x:v>
      </x:c>
      <x:c r="G60" s="10" t="n">
        <x:f>G47*G25/'Controls'!$E$11</x:f>
        <x:v>1819.3604691267115</x:v>
      </x:c>
      <x:c r="H60" s="10" t="n">
        <x:f>H47*H25/'Controls'!$E$11</x:f>
        <x:v>2071.3418941007612</x:v>
      </x:c>
      <x:c r="I60" s="10" t="n">
        <x:f>I47*I25/'Controls'!$E$11</x:f>
        <x:v>2358.2227464337166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592.6438356164383</x:v>
      </x:c>
      <x:c r="F61" s="10" t="n">
        <x:f>F49*F26/'Controls'!$E$11</x:f>
        <x:v>674.7250068493149</x:v>
      </x:c>
      <x:c r="G61" s="10" t="n">
        <x:f>G49*G26/'Controls'!$E$11</x:f>
        <x:v>768.1744202979448</x:v>
      </x:c>
      <x:c r="H61" s="10" t="n">
        <x:f>H49*H26/'Controls'!$E$11</x:f>
        <x:v>874.5665775092103</x:v>
      </x:c>
      <x:c r="I61" s="10" t="n">
        <x:f>I49*I26/'Controls'!$E$11</x:f>
        <x:v>995.694048494236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355.58630136986295</x:v>
      </x:c>
      <x:c r="F62" s="10" t="n">
        <x:f>F49*F27/'Controls'!$E$11</x:f>
        <x:v>404.83500410958897</x:v>
      </x:c>
      <x:c r="G62" s="10" t="n">
        <x:f>G49*G27/'Controls'!$E$11</x:f>
        <x:v>460.90465217876687</x:v>
      </x:c>
      <x:c r="H62" s="10" t="n">
        <x:f>H49*H27/'Controls'!$E$11</x:f>
        <x:v>524.7399465055262</x:v>
      </x:c>
      <x:c r="I62" s="10" t="n">
        <x:f>I49*I27/'Controls'!$E$11</x:f>
        <x:v>597.4164290965416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1640.6876712328767</x:v>
      </x:c>
      <x:c r="F63" s="8" t="n">
        <x:f>F60+F61-F62</x:f>
        <x:v>1867.9229136986298</x:v>
      </x:c>
      <x:c r="G63" s="8" t="n">
        <x:f>G60+G61-G62</x:f>
        <x:v>2126.6302372458895</x:v>
      </x:c>
      <x:c r="H63" s="8" t="n">
        <x:f>H60+H61-H62</x:f>
        <x:v>2421.1685251044455</x:v>
      </x:c>
      <x:c r="I63" s="8" t="n">
        <x:f>I60+I61-I62</x:f>
        <x:v>2756.500365831411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199.59178082191784</x:v>
      </x:c>
      <x:c r="F64" s="8" t="n">
        <x:f>F63-E63</x:f>
        <x:v>227.23524246575312</x:v>
      </x:c>
      <x:c r="G64" s="8" t="n">
        <x:f>G63-F63</x:f>
        <x:v>258.70732354725965</x:v>
      </x:c>
      <x:c r="H64" s="8" t="n">
        <x:f>H63-G63</x:f>
        <x:v>294.53828785855603</x:v>
      </x:c>
      <x:c r="I64" s="8" t="n">
        <x:f>I63-H63</x:f>
        <x:v>335.3318407269653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398.47499999999997</x:v>
      </x:c>
      <x:c r="F65" s="8" t="n">
        <x:f>F47*F23</x:f>
        <x:v>453.6637874999999</x:v>
      </x:c>
      <x:c r="G65" s="8" t="n">
        <x:f>G47*G23</x:f>
        <x:v>516.4962220687498</x:v>
      </x:c>
      <x:c r="H65" s="8" t="n">
        <x:f>H47*H23</x:f>
        <x:v>588.0309488252717</x:v>
      </x:c>
      <x:c r="I65" s="8" t="n">
        <x:f>I47*I23</x:f>
        <x:v>669.4732352375719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3038.475</x:v>
      </x:c>
      <x:c r="F66" s="8" t="n">
        <x:f>E66+F65-F53</x:f>
        <x:v>3127.5217875</x:v>
      </x:c>
      <x:c r="G66" s="8" t="n">
        <x:f>F66+G65-G53</x:f>
        <x:v>3268.71539506875</x:v>
      </x:c>
      <x:c r="H66" s="8" t="n">
        <x:f>G66+H65-H53</x:f>
        <x:v>3464.5004964857712</x:v>
      </x:c>
      <x:c r="I66" s="8" t="n">
        <x:f>H66+I65-I53</x:f>
        <x:v>3718.2336721450506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900</x:v>
      </x:c>
      <x:c r="F67" s="8" t="n">
        <x:f>E67+F30-F31</x:f>
        <x:v>800</x:v>
      </x:c>
      <x:c r="G67" s="8" t="n">
        <x:f>F67+G30-G31</x:f>
        <x:v>700</x:v>
      </x:c>
      <x:c r="H67" s="8" t="n">
        <x:f>G67+H30-H31</x:f>
        <x:v>600</x:v>
      </x:c>
      <x:c r="I67" s="8" t="n">
        <x:f>H67+I30-I31</x:f>
        <x:v>500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1235.5519691780821</x:v>
      </x:c>
      <x:c r="F69" s="8" t="n">
        <x:f>F58+F53-F64</x:f>
        <x:v>1410.5695419092463</x:v>
      </x:c>
      <x:c r="G69" s="8" t="n">
        <x:f>G58+G53-G64</x:f>
        <x:v>1610.301400963677</x:v>
      </x:c>
      <x:c r="H69" s="8" t="n">
        <x:f>H58+H53-H64</x:f>
        <x:v>1838.0076001971456</x:v>
      </x:c>
      <x:c r="I69" s="8" t="n">
        <x:f>I58+I53-I64</x:f>
        <x:v>2097.4192559004514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268.7859375</x:v>
      </x:c>
      <x:c r="F70" s="8" t="n">
        <x:f>MAX(0,F58)*F32</x:f>
        <x:v>318.29694609374985</x:v>
      </x:c>
      <x:c r="G70" s="8" t="n">
        <x:f>MAX(0,G58)*G32</x:f>
        <x:v>373.4265275027342</x:v>
      </x:c>
      <x:c r="H70" s="8" t="n">
        <x:f>MAX(0,H58)*H32</x:f>
        <x:v>435.0750101618629</x:v>
      </x:c>
      <x:c r="I70" s="8" t="n">
        <x:f>MAX(0,I58)*I32</x:f>
        <x:v>504.2527592622811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468.2910316780822</x:v>
      </x:c>
      <x:c r="F71" s="8" t="n">
        <x:f>F69-F65+F30-F31-F70</x:f>
        <x:v>538.6088083154965</x:v>
      </x:c>
      <x:c r="G71" s="8" t="n">
        <x:f>G69-G65+G30-G31-G70</x:f>
        <x:v>620.378651392193</x:v>
      </x:c>
      <x:c r="H71" s="8" t="n">
        <x:f>H69-H65+H30-H31-H70</x:f>
        <x:v>714.901641210011</x:v>
      </x:c>
      <x:c r="I71" s="8" t="n">
        <x:f>I69-I65+I30-I31-I70</x:f>
        <x:v>823.6932614005985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1268.2910316780822</x:v>
      </x:c>
      <x:c r="F72" s="8" t="n">
        <x:f>E72+F71</x:f>
        <x:v>1806.8998399935786</x:v>
      </x:c>
      <x:c r="G72" s="8" t="n">
        <x:f>F72+G71</x:f>
        <x:v>2427.2784913857713</x:v>
      </x:c>
      <x:c r="H72" s="8" t="n">
        <x:f>G72+H71</x:f>
        <x:v>3142.180132595782</x:v>
      </x:c>
      <x:c r="I72" s="8" t="n">
        <x:f>H72+I71</x:f>
        <x:v>3965.873393996381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5047.45370291096</x:v>
      </x:c>
      <x:c r="F73" s="41" t="n">
        <x:f>E73+F58-F70</x:f>
        <x:v>6002.344541192208</x:v>
      </x:c>
      <x:c r="G73" s="41" t="n">
        <x:f>F73+G58-G70</x:f>
        <x:v>7122.624123700411</x:v>
      </x:c>
      <x:c r="H73" s="41" t="n">
        <x:f>G73+H58-H70</x:f>
        <x:v>8427.849154185998</x:v>
      </x:c>
      <x:c r="I73" s="41" t="n">
        <x:f>H73+I58-I70</x:f>
        <x:v>9940.607431972841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6303.040004280821</x:v>
      </x:c>
      <x:c r="F74" s="8" t="n">
        <x:f>F72+F60+F61+F66</x:f>
        <x:v>7207.179545301797</x:v>
      </x:c>
      <x:c r="G74" s="8" t="n">
        <x:f>G72+G60+G61+G66</x:f>
        <x:v>8283.528775879176</x:v>
      </x:c>
      <x:c r="H74" s="8" t="n">
        <x:f>H72+H60+H61+H66</x:f>
        <x:v>9552.589100691524</x:v>
      </x:c>
      <x:c r="I74" s="8" t="n">
        <x:f>I72+I60+I61+I66</x:f>
        <x:v>11038.023861069385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6303.040004280822</x:v>
      </x:c>
      <x:c r="F75" s="8" t="n">
        <x:f>F62+F67+F73</x:f>
        <x:v>7207.179545301798</x:v>
      </x:c>
      <x:c r="G75" s="8" t="n">
        <x:f>G62+G67+G73</x:f>
        <x:v>8283.528775879178</x:v>
      </x:c>
      <x:c r="H75" s="8" t="n">
        <x:f>H62+H67+H73</x:f>
        <x:v>9552.589100691524</x:v>
      </x:c>
      <x:c r="I75" s="8" t="n">
        <x:f>I62+I67+I73</x:f>
        <x:v>11038.023861069383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1138.89375</x:v>
      </x:c>
      <x:c r="F76" s="8" t="n">
        <x:f>F54-MAX(0,F54)*F28</x:f>
        <x:v>1330.5627843749994</x:v>
      </x:c>
      <x:c r="G76" s="8" t="n">
        <x:f>G54-MAX(0,G54)*G28</x:f>
        <x:v>1544.7061100109368</x:v>
      </x:c>
      <x:c r="H76" s="8" t="n">
        <x:f>H54-MAX(0,H54)*H28</x:f>
        <x:v>1784.9250406474516</x:v>
      </x:c>
      <x:c r="I76" s="8" t="n">
        <x:f>I54-MAX(0,I54)*I28</x:f>
        <x:v>2055.2610370491243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900.8269691780822</x:v>
      </x:c>
      <x:c r="F77" s="41" t="n">
        <x:f>F76+F53-F65-F64</x:f>
        <x:v>1014.2807544092464</x:v>
      </x:c>
      <x:c r="G77" s="41" t="n">
        <x:f>G76+G53-G65-G64</x:f>
        <x:v>1144.8051788949272</x:v>
      </x:c>
      <x:c r="H77" s="41" t="n">
        <x:f>H76+H53-H65-H64</x:f>
        <x:v>1294.601651371874</x:v>
      </x:c>
      <x:c r="I77" s="41" t="n">
        <x:f>I76+I53-I65-I64</x:f>
        <x:v>1466.1960206628796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0.62</x:v>
      </x:c>
      <x:c r="F79" s="35" t="n">
        <x:f>F50/F47</x:f>
        <x:v>0.62</x:v>
      </x:c>
      <x:c r="G79" s="35" t="n">
        <x:f>G50/G47</x:f>
        <x:v>0.62</x:v>
      </x:c>
      <x:c r="H79" s="35" t="n">
        <x:f>H50/H47</x:f>
        <x:v>0.62</x:v>
      </x:c>
      <x:c r="I79" s="35" t="n">
        <x:f>I50/I47</x:f>
        <x:v>0.62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0.33</x:v>
      </x:c>
      <x:c r="F80" s="35" t="n">
        <x:f>F52/F47</x:f>
        <x:v>0.32999999999999996</x:v>
      </x:c>
      <x:c r="G80" s="35" t="n">
        <x:f>G52/G47</x:f>
        <x:v>0.32999999999999996</x:v>
      </x:c>
      <x:c r="H80" s="35" t="n">
        <x:f>H52/H47</x:f>
        <x:v>0.32999999999999996</x:v>
      </x:c>
      <x:c r="I80" s="35" t="n">
        <x:f>I52/I47</x:f>
        <x:v>0.33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0.18887022397891964</x:v>
      </x:c>
      <x:c r="F81" s="35" t="n">
        <x:f>F58/F47</x:f>
        <x:v>0.19645197029584377</x:v>
      </x:c>
      <x:c r="G81" s="35" t="n">
        <x:f>G58/G47</x:f>
        <x:v>0.20243986932173122</x:v>
      </x:c>
      <x:c r="H81" s="35" t="n">
        <x:f>H58/H47</x:f>
        <x:v>0.2071676721925731</x:v>
      </x:c>
      <x:c r="I81" s="35" t="n">
        <x:f>I58/I47</x:f>
        <x:v>0.21089830804563114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0.6577245281154535</x:v>
      </x:c>
      <x:c r="F82" s="35" t="n">
        <x:f>IF(F52=0,"n.a.",F69/F52)</x:f>
        <x:v>0.6595450843892898</x:v>
      </x:c>
      <x:c r="G82" s="35" t="n">
        <x:f>IF(G52=0,"n.a.",G69/G52)</x:f>
        <x:v>0.6613389807281771</x:v>
      </x:c>
      <x:c r="H82" s="35" t="n">
        <x:f>IF(H52=0,"n.a.",H69/H52)</x:f>
        <x:v>0.66302700703202</x:v>
      </x:c>
      <x:c r="I82" s="35" t="n">
        <x:f>IF(I52=0,"n.a.",I69/I52)</x:f>
        <x:v>0.664562960056339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130</x:v>
      </x:c>
      <x:c r="F83" s="8" t="n">
        <x:f>F25+F26-F27</x:f>
        <x:v>130</x:v>
      </x:c>
      <x:c r="G83" s="8" t="n">
        <x:f>G25+G26-G27</x:f>
        <x:v>130</x:v>
      </x:c>
      <x:c r="H83" s="8" t="n">
        <x:f>H25+H26-H27</x:f>
        <x:v>130</x:v>
      </x:c>
      <x:c r="I83" s="8" t="n">
        <x:f>I25+I26-I27</x:f>
        <x:v>130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-0.1960533033513433</x:v>
      </x:c>
      <x:c r="F84" s="61" t="n">
        <x:f>IF(F52&lt;=0,"n.a.",(F67-F72)/F52)</x:f>
        <x:v>-0.4707997870429376</x:v>
      </x:c>
      <x:c r="G84" s="61" t="n">
        <x:f>IF(G52&lt;=0,"n.a.",(G67-G72)/G52)</x:f>
        <x:v>-0.7093806142397664</x:v>
      </x:c>
      <x:c r="H84" s="61" t="n">
        <x:f>IF(H52&lt;=0,"n.a.",(H67-H72)/H52)</x:f>
        <x:v>-0.9170441321735852</x:v>
      </x:c>
      <x:c r="I84" s="61" t="n">
        <x:f>IF(I52&lt;=0,"n.a.",(I67-I72)/I52)</x:f>
        <x:v>-1.0981548278510058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17.865</x:v>
      </x:c>
      <x:c r="F85" s="61" t="n">
        <x:f>IF(F55=0,"n.a.",F54/F55)</x:f>
        <x:v>23.19063676470587</x:v>
      </x:c>
      <x:c r="G85" s="61" t="n">
        <x:f>IF(G55=0,"n.a.",G54/G55)</x:f>
        <x:v>30.28835509825366</x:v>
      </x:c>
      <x:c r="H85" s="61" t="n">
        <x:f>IF(H55=0,"n.a.",H54/H55)</x:f>
        <x:v>39.998320238598346</x:v>
      </x:c>
      <x:c r="I85" s="61" t="n">
        <x:f>IF(I55=0,"n.a.",I54/I55)</x:f>
        <x:v>53.73231469409474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0.24975032063010405</x:v>
      </x:c>
      <x:c r="F86" s="35" t="n">
        <x:f>F76/((E66+E63+F66+F63)/2)</x:f>
        <x:v>0.27506290088144236</x:v>
      </x:c>
      <x:c r="G86" s="35" t="n">
        <x:f>G76/((F66+F63+G66+G63)/2)</x:f>
        <x:v>0.2973221594181952</x:v>
      </x:c>
      <x:c r="H86" s="35" t="n">
        <x:f>H76/((G66+G63+H66+H63)/2)</x:f>
        <x:v>0.31644760607231553</x:v>
      </x:c>
      <x:c r="I86" s="35" t="n">
        <x:f>I76/((H66+H63+I66+I63)/2)</x:f>
        <x:v>0.3325556662099943</x:v>
      </x:c>
      <x:c r="J86" s="1"/>
      <x:c r="K86" s="1"/>
    </x:row>
    <x:row r="87" ht="18" customHeight="1">
      <x:c r="A87" s="1"/>
      <x:c r="B87" s="1"/>
      <x:c r="C87" s="1" t="str">
        <x:v>Gross profit per dose (INR)</x:v>
      </x:c>
      <x:c r="D87" s="2"/>
      <x:c r="E87" s="10" t="n">
        <x:f>E50*'Controls'!$E$9/(E46*'Controls'!$E$14)</x:f>
        <x:v>64.16999999999999</x:v>
      </x:c>
      <x:c r="F87" s="10" t="n">
        <x:f>F50*'Controls'!$E$9/(F46*'Controls'!$E$14)</x:f>
        <x:v>66.41594999999998</x:v>
      </x:c>
      <x:c r="G87" s="10" t="n">
        <x:f>G50*'Controls'!$E$9/(G46*'Controls'!$E$14)</x:f>
        <x:v>68.74050824999996</x:v>
      </x:c>
      <x:c r="H87" s="10" t="n">
        <x:f>H50*'Controls'!$E$9/(H46*'Controls'!$E$14)</x:f>
        <x:v>71.14642603874996</x:v>
      </x:c>
      <x:c r="I87" s="10" t="n">
        <x:f>I50*'Controls'!$E$9/(I46*'Controls'!$E$14)</x:f>
        <x:v>73.63655095010621</x:v>
      </x:c>
      <x:c r="J87" s="1"/>
      <x:c r="K87" s="1"/>
    </x:row>
    <x:row r="88" ht="18" customHeight="1">
      <x:c r="A88" s="1"/>
      <x:c r="B88" s="1"/>
      <x:c r="C88" s="1" t="str">
        <x:v>Other operating costs per dose (INR)</x:v>
      </x:c>
      <x:c r="D88" s="2"/>
      <x:c r="E88" s="10" t="n">
        <x:f>E51*'Controls'!$E$9/(E46*'Controls'!$E$14)</x:f>
        <x:v>30.014999999999993</x:v>
      </x:c>
      <x:c r="F88" s="10" t="n">
        <x:f>F51*'Controls'!$E$9/(F46*'Controls'!$E$14)</x:f>
        <x:v>31.065524999999994</x:v>
      </x:c>
      <x:c r="G88" s="10" t="n">
        <x:f>G51*'Controls'!$E$9/(G46*'Controls'!$E$14)</x:f>
        <x:v>32.15281837499998</x:v>
      </x:c>
      <x:c r="H88" s="10" t="n">
        <x:f>H51*'Controls'!$E$9/(H46*'Controls'!$E$14)</x:f>
        <x:v>33.27816701812498</x:v>
      </x:c>
      <x:c r="I88" s="10" t="n">
        <x:f>I51*'Controls'!$E$9/(I46*'Controls'!$E$14)</x:f>
        <x:v>34.44290286375936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804.3097939090019</x:v>
      </x:c>
      <x:c r="F90" s="8" t="n">
        <x:f>F77/(1+$D39)^2</x:f>
        <x:v>808.5784075328812</x:v>
      </x:c>
      <x:c r="G90" s="8" t="n">
        <x:f>G77/(1+$D39)^3</x:f>
        <x:v>814.8497139319074</x:v>
      </x:c>
      <x:c r="H90" s="8" t="n">
        <x:f>H77/(1+$D39)^4</x:f>
        <x:v>822.7427537795744</x:v>
      </x:c>
      <x:c r="I90" s="8" t="n">
        <x:f>I77/(1+$D39)^5</x:f>
        <x:v>831.95899787186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1567.4790842561324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19593.48855320166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15200.311269326807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15000.311269326807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150.00311269326806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37570.5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37370.5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0.7314239429252143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-9.094947017729282e-13</x:v>
      </x:c>
      <x:c r="F100" s="34" t="n">
        <x:f>F74-F75</x:f>
        <x:v>-9.094947017729282e-13</x:v>
      </x:c>
      <x:c r="G100" s="34" t="n">
        <x:f>G74-G75</x:f>
        <x:v>-1.8189894035458565e-12</x:v>
      </x:c>
      <x:c r="H100" s="34" t="n">
        <x:f>H74-H75</x:f>
        <x:v>0</x:v>
      </x:c>
      <x:c r="I100" s="34" t="n">
        <x:f>I74-I75</x:f>
        <x:v>1.8189894035458565e-12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25" priority="1">
      <x:formula>ABS(E100)&gt;0.01</x:formula>
    </x:cfRule>
  </x:conditionalFormatting>
  <x:conditionalFormatting sqref="E101:I101">
    <x:cfRule type="expression" dxfId="26" priority="2">
      <x:formula>ABS(E101)&gt;0.01</x:formula>
    </x:cfRule>
  </x:conditionalFormatting>
  <x:conditionalFormatting sqref="E102:I102">
    <x:cfRule type="expression" dxfId="27" priority="3">
      <x:formula>ABS(E102)&gt;0.01</x:formula>
    </x:cfRule>
  </x:conditionalFormatting>
  <x:conditionalFormatting sqref="E103:I103">
    <x:cfRule type="expression" dxfId="28" priority="4">
      <x:formula>ABS(E103)&gt;0.01</x:formula>
    </x:cfRule>
  </x:conditionalFormatting>
  <x:conditionalFormatting sqref="E104:I104">
    <x:cfRule type="expression" dxfId="29" priority="5">
      <x:formula>ABS(E104)&gt;0.01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Hospitals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operational beds — seed</x:v>
      </x:c>
      <x:c r="D10" s="7" t="n">
        <x:v>2000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ARPOB (INR per occupied bed-day) — seed</x:v>
      </x:c>
      <x:c r="D11" s="7" t="n">
        <x:v>45000</x:v>
      </x:c>
      <x:c r="E11" s="2"/>
      <x:c r="F11" s="2"/>
      <x:c r="G11" s="2"/>
      <x:c r="H11" s="2"/>
      <x:c r="I11" s="2"/>
      <x:c r="J11" s="1"/>
      <x:c r="K11" s="1" t="str">
        <x:v>ARPOB here uses total modeled hospital revenue, including doctor fees. Reconcile issuer definitions before comparison.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0.08</x:v>
      </x:c>
      <x:c r="F12" s="30" t="n">
        <x:f>IF(COUNT(INDEX(F13:F15,'Controls'!$E$5))=0,NA(),INDEX(F13:F15,'Controls'!$E$5))</x:f>
        <x:v>0.08</x:v>
      </x:c>
      <x:c r="G12" s="30" t="n">
        <x:f>IF(COUNT(INDEX(G13:G15,'Controls'!$E$5))=0,NA(),INDEX(G13:G15,'Controls'!$E$5))</x:f>
        <x:v>0.08</x:v>
      </x:c>
      <x:c r="H12" s="30" t="n">
        <x:f>IF(COUNT(INDEX(H13:H15,'Controls'!$E$5))=0,NA(),INDEX(H13:H15,'Controls'!$E$5))</x:f>
        <x:v>0.08</x:v>
      </x:c>
      <x:c r="I12" s="30" t="n">
        <x:f>IF(COUNT(INDEX(I13:I15,'Controls'!$E$5))=0,NA(),INDEX(I13:I15,'Controls'!$E$5))</x:f>
        <x:v>0.08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0.08</x:v>
      </x:c>
      <x:c r="F13" s="26" t="n">
        <x:v>0.08</x:v>
      </x:c>
      <x:c r="G13" s="26" t="n">
        <x:v>0.08</x:v>
      </x:c>
      <x:c r="H13" s="26" t="n">
        <x:v>0.08</x:v>
      </x:c>
      <x:c r="I13" s="26" t="n">
        <x:v>0.08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0.03</x:v>
      </x:c>
      <x:c r="F14" s="26" t="n">
        <x:v>0.03</x:v>
      </x:c>
      <x:c r="G14" s="26" t="n">
        <x:v>0.03</x:v>
      </x:c>
      <x:c r="H14" s="26" t="n">
        <x:v>0.03</x:v>
      </x:c>
      <x:c r="I14" s="26" t="n">
        <x:v>0.03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0.12</x:v>
      </x:c>
      <x:c r="F15" s="26" t="n">
        <x:v>0.12</x:v>
      </x:c>
      <x:c r="G15" s="26" t="n">
        <x:v>0.12</x:v>
      </x:c>
      <x:c r="H15" s="26" t="n">
        <x:v>0.12</x:v>
      </x:c>
      <x:c r="I15" s="26" t="n">
        <x:v>0.12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0.055</x:v>
      </x:c>
      <x:c r="F16" s="30" t="n">
        <x:f>IF(COUNT(INDEX(F17:F19,'Controls'!$E$5))=0,NA(),INDEX(F17:F19,'Controls'!$E$5))</x:f>
        <x:v>0.055</x:v>
      </x:c>
      <x:c r="G16" s="30" t="n">
        <x:f>IF(COUNT(INDEX(G17:G19,'Controls'!$E$5))=0,NA(),INDEX(G17:G19,'Controls'!$E$5))</x:f>
        <x:v>0.055</x:v>
      </x:c>
      <x:c r="H16" s="30" t="n">
        <x:f>IF(COUNT(INDEX(H17:H19,'Controls'!$E$5))=0,NA(),INDEX(H17:H19,'Controls'!$E$5))</x:f>
        <x:v>0.055</x:v>
      </x:c>
      <x:c r="I16" s="30" t="n">
        <x:f>IF(COUNT(INDEX(I17:I19,'Controls'!$E$5))=0,NA(),INDEX(I17:I19,'Controls'!$E$5))</x:f>
        <x:v>0.055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0.055</x:v>
      </x:c>
      <x:c r="F17" s="26" t="n">
        <x:v>0.055</x:v>
      </x:c>
      <x:c r="G17" s="26" t="n">
        <x:v>0.055</x:v>
      </x:c>
      <x:c r="H17" s="26" t="n">
        <x:v>0.055</x:v>
      </x:c>
      <x:c r="I17" s="26" t="n">
        <x:v>0.055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0.03</x:v>
      </x:c>
      <x:c r="F18" s="26" t="n">
        <x:v>0.03</x:v>
      </x:c>
      <x:c r="G18" s="26" t="n">
        <x:v>0.03</x:v>
      </x:c>
      <x:c r="H18" s="26" t="n">
        <x:v>0.03</x:v>
      </x:c>
      <x:c r="I18" s="26" t="n">
        <x:v>0.03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0.075</x:v>
      </x:c>
      <x:c r="F19" s="26" t="n">
        <x:v>0.075</x:v>
      </x:c>
      <x:c r="G19" s="26" t="n">
        <x:v>0.075</x:v>
      </x:c>
      <x:c r="H19" s="26" t="n">
        <x:v>0.075</x:v>
      </x:c>
      <x:c r="I19" s="26" t="n">
        <x:v>0.075</x:v>
      </x:c>
      <x:c r="J19" s="1"/>
      <x:c r="K19" s="1"/>
    </x:row>
    <x:row r="20" ht="18" customHeight="1">
      <x:c r="A20" s="1"/>
      <x:c r="B20" s="1"/>
      <x:c r="C20" s="23" t="str">
        <x:v>Occupancy</x:v>
      </x:c>
      <x:c r="D20" s="24"/>
      <x:c r="E20" s="26" t="n">
        <x:v>0.68</x:v>
      </x:c>
      <x:c r="F20" s="26" t="n">
        <x:v>0.68</x:v>
      </x:c>
      <x:c r="G20" s="26" t="n">
        <x:v>0.68</x:v>
      </x:c>
      <x:c r="H20" s="26" t="n">
        <x:v>0.68</x:v>
      </x:c>
      <x:c r="I20" s="26" t="n">
        <x:v>0.68</x:v>
      </x:c>
      <x:c r="J20" s="1"/>
      <x:c r="K20" s="1" t="str">
        <x:v>Use 100% when volume already represents actual sales.</x:v>
      </x:c>
    </x:row>
    <x:row r="21" ht="30" customHeight="1">
      <x:c r="A21" s="1"/>
      <x:c r="B21" s="1"/>
      <x:c r="C21" s="57" t="str">
        <x:v>Clinical consumables and doctor fees / revenue</x:v>
      </x:c>
      <x:c r="D21" s="24"/>
      <x:c r="E21" s="26" t="n">
        <x:v>0.4</x:v>
      </x:c>
      <x:c r="F21" s="26" t="n">
        <x:v>0.4</x:v>
      </x:c>
      <x:c r="G21" s="26" t="n">
        <x:v>0.4</x:v>
      </x:c>
      <x:c r="H21" s="26" t="n">
        <x:v>0.4</x:v>
      </x:c>
      <x:c r="I21" s="26" t="n">
        <x:v>0.4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0.34</x:v>
      </x:c>
      <x:c r="F22" s="26" t="n">
        <x:v>0.34</x:v>
      </x:c>
      <x:c r="G22" s="26" t="n">
        <x:v>0.34</x:v>
      </x:c>
      <x:c r="H22" s="26" t="n">
        <x:v>0.34</x:v>
      </x:c>
      <x:c r="I22" s="26" t="n">
        <x:v>0.34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1" t="str">
        <x:v>Average length of stay (days)</x:v>
      </x:c>
      <x:c r="D23" s="2"/>
      <x:c r="E23" s="7" t="n">
        <x:v>4</x:v>
      </x:c>
      <x:c r="F23" s="7" t="n">
        <x:v>4</x:v>
      </x:c>
      <x:c r="G23" s="7" t="n">
        <x:v>4</x:v>
      </x:c>
      <x:c r="H23" s="7" t="n">
        <x:v>4</x:v>
      </x:c>
      <x:c r="I23" s="7" t="n">
        <x:v>4</x:v>
      </x:c>
      <x:c r="J23" s="1"/>
      <x:c r="K23" s="1"/>
    </x:row>
    <x:row r="24" ht="18" customHeight="1">
      <x:c r="A24" s="1"/>
      <x:c r="B24" s="1"/>
      <x:c r="C24" s="23" t="str">
        <x:v>Cash capex / revenue</x:v>
      </x:c>
      <x:c r="D24" s="24"/>
      <x:c r="E24" s="26" t="n">
        <x:v>0.1</x:v>
      </x:c>
      <x:c r="F24" s="26" t="n">
        <x:v>0.1</x:v>
      </x:c>
      <x:c r="G24" s="26" t="n">
        <x:v>0.1</x:v>
      </x:c>
      <x:c r="H24" s="26" t="n">
        <x:v>0.1</x:v>
      </x:c>
      <x:c r="I24" s="26" t="n">
        <x:v>0.1</x:v>
      </x:c>
      <x:c r="J24" s="1"/>
      <x:c r="K24" s="1"/>
    </x:row>
    <x:row r="25" ht="18" customHeight="1">
      <x:c r="A25" s="1"/>
      <x:c r="B25" s="1"/>
      <x:c r="C25" s="23" t="str">
        <x:v>D&amp;A / opening net PP&amp;E</x:v>
      </x:c>
      <x:c r="D25" s="24"/>
      <x:c r="E25" s="26" t="n">
        <x:v>0.09</x:v>
      </x:c>
      <x:c r="F25" s="26" t="n">
        <x:v>0.09</x:v>
      </x:c>
      <x:c r="G25" s="26" t="n">
        <x:v>0.09</x:v>
      </x:c>
      <x:c r="H25" s="26" t="n">
        <x:v>0.09</x:v>
      </x:c>
      <x:c r="I25" s="26" t="n">
        <x:v>0.09</x:v>
      </x:c>
      <x:c r="J25" s="1"/>
      <x:c r="K25" s="1" t="str">
        <x:v>No disposals or impairments. Current-year capex begins depreciation next year.</x:v>
      </x:c>
    </x:row>
    <x:row r="26" ht="18" customHeight="1">
      <x:c r="A26" s="1"/>
      <x:c r="B26" s="1"/>
      <x:c r="C26" s="1" t="str">
        <x:v>Receivable days</x:v>
      </x:c>
      <x:c r="D26" s="2"/>
      <x:c r="E26" s="7" t="n">
        <x:v>55</x:v>
      </x:c>
      <x:c r="F26" s="7" t="n">
        <x:v>55</x:v>
      </x:c>
      <x:c r="G26" s="7" t="n">
        <x:v>55</x:v>
      </x:c>
      <x:c r="H26" s="7" t="n">
        <x:v>55</x:v>
      </x:c>
      <x:c r="I26" s="7" t="n">
        <x:v>55</x:v>
      </x:c>
      <x:c r="J26" s="1"/>
      <x:c r="K26" s="1"/>
    </x:row>
    <x:row r="27" ht="18" customHeight="1">
      <x:c r="A27" s="1"/>
      <x:c r="B27" s="1"/>
      <x:c r="C27" s="1" t="str">
        <x:v>Inventory days</x:v>
      </x:c>
      <x:c r="D27" s="2"/>
      <x:c r="E27" s="7" t="n">
        <x:v>15</x:v>
      </x:c>
      <x:c r="F27" s="7" t="n">
        <x:v>15</x:v>
      </x:c>
      <x:c r="G27" s="7" t="n">
        <x:v>15</x:v>
      </x:c>
      <x:c r="H27" s="7" t="n">
        <x:v>15</x:v>
      </x:c>
      <x:c r="I27" s="7" t="n">
        <x:v>15</x:v>
      </x:c>
      <x:c r="J27" s="1"/>
      <x:c r="K27" s="1"/>
    </x:row>
    <x:row r="28" ht="18" customHeight="1">
      <x:c r="A28" s="1"/>
      <x:c r="B28" s="1"/>
      <x:c r="C28" s="1" t="str">
        <x:v>Payable days</x:v>
      </x:c>
      <x:c r="D28" s="2"/>
      <x:c r="E28" s="7" t="n">
        <x:v>40</x:v>
      </x:c>
      <x:c r="F28" s="7" t="n">
        <x:v>40</x:v>
      </x:c>
      <x:c r="G28" s="7" t="n">
        <x:v>40</x:v>
      </x:c>
      <x:c r="H28" s="7" t="n">
        <x:v>40</x:v>
      </x:c>
      <x:c r="I28" s="7" t="n">
        <x:v>40</x:v>
      </x:c>
      <x:c r="J28" s="1"/>
      <x:c r="K28" s="1"/>
    </x:row>
    <x:row r="29" ht="18" customHeight="1">
      <x:c r="A29" s="1"/>
      <x:c r="B29" s="1"/>
      <x:c r="C29" s="23" t="str">
        <x:v>Effective cash tax rate</x:v>
      </x:c>
      <x:c r="D29" s="24"/>
      <x:c r="E29" s="26" t="n">
        <x:v>0.25</x:v>
      </x:c>
      <x:c r="F29" s="26" t="n">
        <x:v>0.25</x:v>
      </x:c>
      <x:c r="G29" s="26" t="n">
        <x:v>0.25</x:v>
      </x:c>
      <x:c r="H29" s="26" t="n">
        <x:v>0.25</x:v>
      </x:c>
      <x:c r="I29" s="26" t="n">
        <x:v>0.25</x:v>
      </x:c>
      <x:c r="J29" s="1"/>
      <x:c r="K29" s="1" t="str">
        <x:v>Illustrative assumption, not a statutory rate. No loss carryforwards or deferred tax.</x:v>
      </x:c>
    </x:row>
    <x:row r="30" ht="18" customHeight="1">
      <x:c r="A30" s="1"/>
      <x:c r="B30" s="1"/>
      <x:c r="C30" s="23" t="str">
        <x:v>Interest on opening debt</x:v>
      </x:c>
      <x:c r="D30" s="24"/>
      <x:c r="E30" s="26" t="n">
        <x:v>0.085</x:v>
      </x:c>
      <x:c r="F30" s="26" t="n">
        <x:v>0.085</x:v>
      </x:c>
      <x:c r="G30" s="26" t="n">
        <x:v>0.085</x:v>
      </x:c>
      <x:c r="H30" s="26" t="n">
        <x:v>0.085</x:v>
      </x:c>
      <x:c r="I30" s="26" t="n">
        <x:v>0.085</x:v>
      </x:c>
      <x:c r="J30" s="1"/>
      <x:c r="K30" s="1"/>
    </x:row>
    <x:row r="31" ht="18" customHeight="1">
      <x:c r="A31" s="1"/>
      <x:c r="B31" s="1"/>
      <x:c r="C31" s="1" t="str">
        <x:v>New borrowing</x:v>
      </x:c>
      <x:c r="D31" s="2"/>
      <x:c r="E31" s="7" t="n">
        <x:v>0</x:v>
      </x:c>
      <x:c r="F31" s="7" t="n">
        <x:v>0</x:v>
      </x:c>
      <x:c r="G31" s="7" t="n">
        <x:v>0</x:v>
      </x:c>
      <x:c r="H31" s="7" t="n">
        <x:v>0</x:v>
      </x:c>
      <x:c r="I31" s="7" t="n">
        <x:v>0</x:v>
      </x:c>
      <x:c r="J31" s="1"/>
      <x:c r="K31" s="1"/>
    </x:row>
    <x:row r="32" ht="18" customHeight="1">
      <x:c r="A32" s="1"/>
      <x:c r="B32" s="1"/>
      <x:c r="C32" s="1" t="str">
        <x:v>Scheduled principal repayment</x:v>
      </x:c>
      <x:c r="D32" s="2"/>
      <x:c r="E32" s="7" t="n">
        <x:v>90</x:v>
      </x:c>
      <x:c r="F32" s="7" t="n">
        <x:v>90</x:v>
      </x:c>
      <x:c r="G32" s="7" t="n">
        <x:v>90</x:v>
      </x:c>
      <x:c r="H32" s="7" t="n">
        <x:v>90</x:v>
      </x:c>
      <x:c r="I32" s="7" t="n">
        <x:v>90</x:v>
      </x:c>
      <x:c r="J32" s="1"/>
      <x:c r="K32" s="1"/>
    </x:row>
    <x:row r="33" ht="18" customHeight="1">
      <x:c r="A33" s="1"/>
      <x:c r="B33" s="1"/>
      <x:c r="C33" s="23" t="str">
        <x:v>Dividend payout on positive PAT</x:v>
      </x:c>
      <x:c r="D33" s="24"/>
      <x:c r="E33" s="26" t="n">
        <x:v>0.25</x:v>
      </x:c>
      <x:c r="F33" s="26" t="n">
        <x:v>0.25</x:v>
      </x:c>
      <x:c r="G33" s="26" t="n">
        <x:v>0.25</x:v>
      </x:c>
      <x:c r="H33" s="26" t="n">
        <x:v>0.25</x:v>
      </x:c>
      <x:c r="I33" s="26" t="n">
        <x:v>0.25</x:v>
      </x:c>
      <x:c r="J33" s="1"/>
      <x:c r="K33" s="1"/>
    </x:row>
    <x:row r="34" ht="18" customHeight="1">
      <x:c r="A34" s="1"/>
      <x:c r="B34" s="1"/>
      <x:c r="C34" s="19" t="str">
        <x:v>OPENING BALANCE SHEET AND VALUATION INPUTS</x:v>
      </x:c>
      <x:c r="D34" s="20"/>
      <x:c r="E34" s="20"/>
      <x:c r="F34" s="20"/>
      <x:c r="G34" s="20"/>
      <x:c r="H34" s="20"/>
      <x:c r="I34" s="20"/>
      <x:c r="J34" s="1"/>
      <x:c r="K34" s="1"/>
    </x:row>
    <x:row r="35" ht="18" customHeight="1">
      <x:c r="A35" s="1"/>
      <x:c r="B35" s="1"/>
      <x:c r="C35" s="1" t="str">
        <x:v>Opening net PP&amp;E</x:v>
      </x:c>
      <x:c r="D35" s="7" t="n">
        <x:v>3000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debt</x:v>
      </x:c>
      <x:c r="D36" s="7" t="n">
        <x:v>900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cash</x:v>
      </x:c>
      <x:c r="D37" s="7" t="n">
        <x:v>300</x:v>
      </x:c>
      <x:c r="E37" s="2"/>
      <x:c r="F37" s="2"/>
      <x:c r="G37" s="2"/>
      <x:c r="H37" s="2"/>
      <x:c r="I37" s="2"/>
      <x:c r="J37" s="1"/>
      <x:c r="K37" s="1"/>
    </x:row>
    <x:row r="38" ht="18" customHeight="1">
      <x:c r="A38" s="1"/>
      <x:c r="B38" s="1"/>
      <x:c r="C38" s="1" t="str">
        <x:v>Opening net working capital</x:v>
      </x:c>
      <x:c r="D38" s="7" t="n">
        <x:v>275.40000000000003</x:v>
      </x:c>
      <x:c r="E38" s="2"/>
      <x:c r="F38" s="2"/>
      <x:c r="G38" s="2"/>
      <x:c r="H38" s="2"/>
      <x:c r="I38" s="2"/>
      <x:c r="J38" s="1"/>
      <x:c r="K38" s="1" t="str">
        <x:v>Illustrative opening net balance. Replace with receivables + inventory − payables.</x:v>
      </x:c>
    </x:row>
    <x:row r="39" ht="18" customHeight="1">
      <x:c r="A39" s="1"/>
      <x:c r="B39" s="1"/>
      <x:c r="C39" s="1" t="str">
        <x:v>Diluted shares (crore)</x:v>
      </x:c>
      <x:c r="D39" s="7" t="n">
        <x:v>100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WACC</x:v>
      </x:c>
      <x:c r="D40" s="25" t="n">
        <x:v>0.12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growth</x:v>
      </x:c>
      <x:c r="D41" s="25" t="n">
        <x:v>0.04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Terminal incremental ROIC</x:v>
      </x:c>
      <x:c r="D42" s="25" t="n">
        <x:v>0.15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" t="str">
        <x:v>Forward EV / EBITDA</x:v>
      </x:c>
      <x:c r="D43" s="55" t="n">
        <x:v>20</x:v>
      </x:c>
      <x:c r="E43" s="2"/>
      <x:c r="F43" s="2"/>
      <x:c r="G43" s="2"/>
      <x:c r="H43" s="2"/>
      <x:c r="I43" s="2"/>
      <x:c r="J43" s="1"/>
      <x:c r="K43" s="1"/>
    </x:row>
    <x:row r="44" ht="18" customHeight="1">
      <x:c r="A44" s="1"/>
      <x:c r="B44" s="1"/>
      <x:c r="C44" s="19" t="str">
        <x:v>OPERATING BUILD</x:v>
      </x:c>
      <x:c r="D44" s="20"/>
      <x:c r="E44" s="20"/>
      <x:c r="F44" s="20"/>
      <x:c r="G44" s="20"/>
      <x:c r="H44" s="20"/>
      <x:c r="I44" s="20"/>
      <x:c r="J44" s="1"/>
      <x:c r="K44" s="1"/>
    </x:row>
    <x:row r="45" ht="18" customHeight="1">
      <x:c r="A45" s="1"/>
      <x:c r="B45" s="1"/>
      <x:c r="C45" s="1" t="str">
        <x:v>Average operational beds</x:v>
      </x:c>
      <x:c r="D45" s="2"/>
      <x:c r="E45" s="8" t="n">
        <x:f>$D10*(1+E12)</x:f>
        <x:v>2160</x:v>
      </x:c>
      <x:c r="F45" s="8" t="n">
        <x:f>E45*(1+F12)</x:f>
        <x:v>2332.8</x:v>
      </x:c>
      <x:c r="G45" s="8" t="n">
        <x:f>F45*(1+G12)</x:f>
        <x:v>2519.4240000000004</x:v>
      </x:c>
      <x:c r="H45" s="8" t="n">
        <x:f>G45*(1+H12)</x:f>
        <x:v>2720.9779200000007</x:v>
      </x:c>
      <x:c r="I45" s="8" t="n">
        <x:f>H45*(1+I12)</x:f>
        <x:v>2938.656153600001</x:v>
      </x:c>
      <x:c r="J45" s="1"/>
      <x:c r="K45" s="1"/>
    </x:row>
    <x:row r="46" ht="18" customHeight="1">
      <x:c r="A46" s="1"/>
      <x:c r="B46" s="1"/>
      <x:c r="C46" s="1" t="str">
        <x:v>ARPOB (INR per occupied bed-day)</x:v>
      </x:c>
      <x:c r="D46" s="2"/>
      <x:c r="E46" s="8" t="n">
        <x:f>$D11*(1+E16)</x:f>
        <x:v>47475</x:v>
      </x:c>
      <x:c r="F46" s="8" t="n">
        <x:f>E46*(1+F16)</x:f>
        <x:v>50086.125</x:v>
      </x:c>
      <x:c r="G46" s="8" t="n">
        <x:f>F46*(1+G16)</x:f>
        <x:v>52840.861874999995</x:v>
      </x:c>
      <x:c r="H46" s="8" t="n">
        <x:f>G46*(1+H16)</x:f>
        <x:v>55747.10927812499</x:v>
      </x:c>
      <x:c r="I46" s="8" t="n">
        <x:f>H46*(1+I16)</x:f>
        <x:v>58813.20028842186</x:v>
      </x:c>
      <x:c r="J46" s="1"/>
      <x:c r="K46" s="1"/>
    </x:row>
    <x:row r="47" ht="18" customHeight="1">
      <x:c r="A47" s="1"/>
      <x:c r="B47" s="1"/>
      <x:c r="C47" s="1" t="str">
        <x:v>Occupied bed-days</x:v>
      </x:c>
      <x:c r="D47" s="2"/>
      <x:c r="E47" s="10" t="n">
        <x:f>E45*E20*'Controls'!$E$11</x:f>
        <x:v>536112.0000000001</x:v>
      </x:c>
      <x:c r="F47" s="10" t="n">
        <x:f>F45*F20*'Controls'!$E$11</x:f>
        <x:v>579000.9600000001</x:v>
      </x:c>
      <x:c r="G47" s="10" t="n">
        <x:f>G45*G20*'Controls'!$E$11</x:f>
        <x:v>625321.0368000001</x:v>
      </x:c>
      <x:c r="H47" s="10" t="n">
        <x:f>H45*H20*'Controls'!$E$11</x:f>
        <x:v>675346.7197440002</x:v>
      </x:c>
      <x:c r="I47" s="10" t="n">
        <x:f>I45*I20*'Controls'!$E$11</x:f>
        <x:v>729374.4573235203</x:v>
      </x:c>
      <x:c r="J47" s="1"/>
      <x:c r="K47" s="1"/>
    </x:row>
    <x:row r="48" ht="18" customHeight="1">
      <x:c r="A48" s="1"/>
      <x:c r="B48" s="1"/>
      <x:c r="C48" s="38" t="str">
        <x:v>Revenue</x:v>
      </x:c>
      <x:c r="D48" s="39"/>
      <x:c r="E48" s="60" t="n">
        <x:f>E47*E46/'Controls'!$E$9</x:f>
        <x:v>2545.1917200000003</x:v>
      </x:c>
      <x:c r="F48" s="60" t="n">
        <x:f>F47*F46/'Controls'!$E$9</x:f>
        <x:v>2899.9914457680006</x:v>
      </x:c>
      <x:c r="G48" s="60" t="n">
        <x:f>G47*G46/'Controls'!$E$9</x:f>
        <x:v>3304.2502533080597</x:v>
      </x:c>
      <x:c r="H48" s="60" t="n">
        <x:f>H47*H46/'Controls'!$E$9</x:f>
        <x:v>3764.8627386192034</x:v>
      </x:c>
      <x:c r="I48" s="60" t="n">
        <x:f>I47*I46/'Controls'!$E$9</x:f>
        <x:v>4289.68460438272</x:v>
      </x:c>
      <x:c r="J48" s="1"/>
      <x:c r="K48" s="1"/>
    </x:row>
    <x:row r="49" ht="18" customHeight="1">
      <x:c r="A49" s="1"/>
      <x:c r="B49" s="1"/>
      <x:c r="C49" s="19" t="str">
        <x:v>INCOME STATEMENT</x:v>
      </x:c>
      <x:c r="D49" s="20"/>
      <x:c r="E49" s="20"/>
      <x:c r="F49" s="20"/>
      <x:c r="G49" s="20"/>
      <x:c r="H49" s="20"/>
      <x:c r="I49" s="20"/>
      <x:c r="J49" s="1"/>
      <x:c r="K49" s="1"/>
    </x:row>
    <x:row r="50" ht="18" customHeight="1">
      <x:c r="A50" s="1"/>
      <x:c r="B50" s="1"/>
      <x:c r="C50" s="1" t="str">
        <x:v>Direct cash costs</x:v>
      </x:c>
      <x:c r="D50" s="2"/>
      <x:c r="E50" s="8" t="n">
        <x:f>E48*E21</x:f>
        <x:v>1018.0766880000001</x:v>
      </x:c>
      <x:c r="F50" s="8" t="n">
        <x:f>F48*F21</x:f>
        <x:v>1159.9965783072003</x:v>
      </x:c>
      <x:c r="G50" s="8" t="n">
        <x:f>G48*G21</x:f>
        <x:v>1321.7001013232239</x:v>
      </x:c>
      <x:c r="H50" s="8" t="n">
        <x:f>H48*H21</x:f>
        <x:v>1505.9450954476815</x:v>
      </x:c>
      <x:c r="I50" s="8" t="n">
        <x:f>I48*I21</x:f>
        <x:v>1715.873841753088</x:v>
      </x:c>
      <x:c r="J50" s="1"/>
      <x:c r="K50" s="1"/>
    </x:row>
    <x:row r="51" ht="18" customHeight="1">
      <x:c r="A51" s="1"/>
      <x:c r="B51" s="1"/>
      <x:c r="C51" s="1" t="str">
        <x:v>Gross profit</x:v>
      </x:c>
      <x:c r="D51" s="2"/>
      <x:c r="E51" s="8" t="n">
        <x:f>E48-E50</x:f>
        <x:v>1527.1150320000002</x:v>
      </x:c>
      <x:c r="F51" s="8" t="n">
        <x:f>F48-F50</x:f>
        <x:v>1739.9948674608004</x:v>
      </x:c>
      <x:c r="G51" s="8" t="n">
        <x:f>G48-G50</x:f>
        <x:v>1982.5501519848358</x:v>
      </x:c>
      <x:c r="H51" s="8" t="n">
        <x:f>H48-H50</x:f>
        <x:v>2258.917643171522</x:v>
      </x:c>
      <x:c r="I51" s="8" t="n">
        <x:f>I48-I50</x:f>
        <x:v>2573.810762629632</x:v>
      </x:c>
      <x:c r="J51" s="1"/>
      <x:c r="K51" s="1"/>
    </x:row>
    <x:row r="52" ht="18" customHeight="1">
      <x:c r="A52" s="1"/>
      <x:c r="B52" s="1"/>
      <x:c r="C52" s="1" t="str">
        <x:v>Other cash operating costs</x:v>
      </x:c>
      <x:c r="D52" s="2"/>
      <x:c r="E52" s="8" t="n">
        <x:f>E48*E22</x:f>
        <x:v>865.3651848000002</x:v>
      </x:c>
      <x:c r="F52" s="8" t="n">
        <x:f>F48*F22</x:f>
        <x:v>985.9970915611203</x:v>
      </x:c>
      <x:c r="G52" s="8" t="n">
        <x:f>G48*G22</x:f>
        <x:v>1123.4450861247403</x:v>
      </x:c>
      <x:c r="H52" s="8" t="n">
        <x:f>H48*H22</x:f>
        <x:v>1280.0533311305292</x:v>
      </x:c>
      <x:c r="I52" s="8" t="n">
        <x:f>I48*I22</x:f>
        <x:v>1458.4927654901248</x:v>
      </x:c>
      <x:c r="J52" s="1"/>
      <x:c r="K52" s="1"/>
    </x:row>
    <x:row r="53" ht="18" customHeight="1">
      <x:c r="A53" s="1"/>
      <x:c r="B53" s="1"/>
      <x:c r="C53" s="38" t="str">
        <x:v>EBITDA</x:v>
      </x:c>
      <x:c r="D53" s="39"/>
      <x:c r="E53" s="41" t="n">
        <x:f>E51-E52</x:f>
        <x:v>661.7498472</x:v>
      </x:c>
      <x:c r="F53" s="41" t="n">
        <x:f>F51-F52</x:f>
        <x:v>753.99777589968</x:v>
      </x:c>
      <x:c r="G53" s="41" t="n">
        <x:f>G51-G52</x:f>
        <x:v>859.1050658600955</x:v>
      </x:c>
      <x:c r="H53" s="41" t="n">
        <x:f>H51-H52</x:f>
        <x:v>978.8643120409927</x:v>
      </x:c>
      <x:c r="I53" s="41" t="n">
        <x:f>I51-I52</x:f>
        <x:v>1115.317997139507</x:v>
      </x:c>
      <x:c r="J53" s="1"/>
      <x:c r="K53" s="1"/>
    </x:row>
    <x:row r="54" ht="18" customHeight="1">
      <x:c r="A54" s="1"/>
      <x:c r="B54" s="1"/>
      <x:c r="C54" s="1" t="str">
        <x:v>Depreciation and amortization</x:v>
      </x:c>
      <x:c r="D54" s="2"/>
      <x:c r="E54" s="8" t="n">
        <x:f>$D35*E25</x:f>
        <x:v>270</x:v>
      </x:c>
      <x:c r="F54" s="8" t="n">
        <x:f>E67*F25</x:f>
        <x:v>268.60672548</x:v>
      </x:c>
      <x:c r="G54" s="8" t="n">
        <x:f>F67*G25</x:f>
        <x:v>270.532043198712</x:v>
      </x:c>
      <x:c r="H54" s="8" t="n">
        <x:f>G67*H25</x:f>
        <x:v>275.92241159060046</x:v>
      </x:c>
      <x:c r="I54" s="8" t="n">
        <x:f>H67*I25</x:f>
        <x:v>284.97315919501926</x:v>
      </x:c>
      <x:c r="J54" s="1"/>
      <x:c r="K54" s="1"/>
    </x:row>
    <x:row r="55" ht="18" customHeight="1">
      <x:c r="A55" s="1"/>
      <x:c r="B55" s="1"/>
      <x:c r="C55" s="1" t="str">
        <x:v>EBIT</x:v>
      </x:c>
      <x:c r="D55" s="2"/>
      <x:c r="E55" s="8" t="n">
        <x:f>E53-E54</x:f>
        <x:v>391.7498472</x:v>
      </x:c>
      <x:c r="F55" s="8" t="n">
        <x:f>F53-F54</x:f>
        <x:v>485.39105041968</x:v>
      </x:c>
      <x:c r="G55" s="8" t="n">
        <x:f>G53-G54</x:f>
        <x:v>588.5730226613834</x:v>
      </x:c>
      <x:c r="H55" s="8" t="n">
        <x:f>H53-H54</x:f>
        <x:v>702.9419004503923</x:v>
      </x:c>
      <x:c r="I55" s="8" t="n">
        <x:f>I53-I54</x:f>
        <x:v>830.3448379444878</x:v>
      </x:c>
      <x:c r="J55" s="1"/>
      <x:c r="K55" s="1"/>
    </x:row>
    <x:row r="56" ht="18" customHeight="1">
      <x:c r="A56" s="1"/>
      <x:c r="B56" s="1"/>
      <x:c r="C56" s="1" t="str">
        <x:v>Interest expense</x:v>
      </x:c>
      <x:c r="D56" s="2"/>
      <x:c r="E56" s="8" t="n">
        <x:f>$D36*E30</x:f>
        <x:v>76.5</x:v>
      </x:c>
      <x:c r="F56" s="8" t="n">
        <x:f>E68*F30</x:f>
        <x:v>68.85000000000001</x:v>
      </x:c>
      <x:c r="G56" s="8" t="n">
        <x:f>F68*G30</x:f>
        <x:v>61.2</x:v>
      </x:c>
      <x:c r="H56" s="8" t="n">
        <x:f>G68*H30</x:f>
        <x:v>53.550000000000004</x:v>
      </x:c>
      <x:c r="I56" s="8" t="n">
        <x:f>H68*I30</x:f>
        <x:v>45.900000000000006</x:v>
      </x:c>
      <x:c r="J56" s="1"/>
      <x:c r="K56" s="1"/>
    </x:row>
    <x:row r="57" ht="18" customHeight="1">
      <x:c r="A57" s="1"/>
      <x:c r="B57" s="1"/>
      <x:c r="C57" s="1" t="str">
        <x:v>Profit before tax</x:v>
      </x:c>
      <x:c r="D57" s="2"/>
      <x:c r="E57" s="8" t="n">
        <x:f>E55-E56</x:f>
        <x:v>315.2498472</x:v>
      </x:c>
      <x:c r="F57" s="8" t="n">
        <x:f>F55-F56</x:f>
        <x:v>416.54105041968</x:v>
      </x:c>
      <x:c r="G57" s="8" t="n">
        <x:f>G55-G56</x:f>
        <x:v>527.3730226613834</x:v>
      </x:c>
      <x:c r="H57" s="8" t="n">
        <x:f>H55-H56</x:f>
        <x:v>649.3919004503923</x:v>
      </x:c>
      <x:c r="I57" s="8" t="n">
        <x:f>I55-I56</x:f>
        <x:v>784.4448379444879</x:v>
      </x:c>
      <x:c r="J57" s="1"/>
      <x:c r="K57" s="1"/>
    </x:row>
    <x:row r="58" ht="18" customHeight="1">
      <x:c r="A58" s="1"/>
      <x:c r="B58" s="1"/>
      <x:c r="C58" s="1" t="str">
        <x:v>Cash income tax</x:v>
      </x:c>
      <x:c r="D58" s="2"/>
      <x:c r="E58" s="8" t="n">
        <x:f>MAX(0,E57)*E29</x:f>
        <x:v>78.8124618</x:v>
      </x:c>
      <x:c r="F58" s="8" t="n">
        <x:f>MAX(0,F57)*F29</x:f>
        <x:v>104.13526260492</x:v>
      </x:c>
      <x:c r="G58" s="8" t="n">
        <x:f>MAX(0,G57)*G29</x:f>
        <x:v>131.84325566534585</x:v>
      </x:c>
      <x:c r="H58" s="8" t="n">
        <x:f>MAX(0,H57)*H29</x:f>
        <x:v>162.34797511259808</x:v>
      </x:c>
      <x:c r="I58" s="8" t="n">
        <x:f>MAX(0,I57)*I29</x:f>
        <x:v>196.11120948612196</x:v>
      </x:c>
      <x:c r="J58" s="1"/>
      <x:c r="K58" s="1"/>
    </x:row>
    <x:row r="59" ht="18" customHeight="1">
      <x:c r="A59" s="1"/>
      <x:c r="B59" s="1"/>
      <x:c r="C59" s="38" t="str">
        <x:v>Profit after tax</x:v>
      </x:c>
      <x:c r="D59" s="39"/>
      <x:c r="E59" s="41" t="n">
        <x:f>E57-E58</x:f>
        <x:v>236.43738539999998</x:v>
      </x:c>
      <x:c r="F59" s="41" t="n">
        <x:f>F57-F58</x:f>
        <x:v>312.40578781476</x:v>
      </x:c>
      <x:c r="G59" s="41" t="n">
        <x:f>G57-G58</x:f>
        <x:v>395.52976699603755</x:v>
      </x:c>
      <x:c r="H59" s="41" t="n">
        <x:f>H57-H58</x:f>
        <x:v>487.04392533779424</x:v>
      </x:c>
      <x:c r="I59" s="41" t="n">
        <x:f>I57-I58</x:f>
        <x:v>588.3336284583659</x:v>
      </x:c>
      <x:c r="J59" s="1"/>
      <x:c r="K59" s="1"/>
    </x:row>
    <x:row r="60" ht="18" customHeight="1">
      <x:c r="A60" s="1"/>
      <x:c r="B60" s="1"/>
      <x:c r="C60" s="19" t="str">
        <x:v>WORKING CAPITAL AND ASSET SCHEDULES</x:v>
      </x:c>
      <x:c r="D60" s="20"/>
      <x:c r="E60" s="20"/>
      <x:c r="F60" s="20"/>
      <x:c r="G60" s="20"/>
      <x:c r="H60" s="20"/>
      <x:c r="I60" s="20"/>
      <x:c r="J60" s="1"/>
      <x:c r="K60" s="1"/>
    </x:row>
    <x:row r="61" ht="18" customHeight="1">
      <x:c r="A61" s="1"/>
      <x:c r="B61" s="1"/>
      <x:c r="C61" s="1" t="str">
        <x:v>Trade receivables</x:v>
      </x:c>
      <x:c r="D61" s="2"/>
      <x:c r="E61" s="10" t="n">
        <x:f>E48*E26/'Controls'!$E$11</x:f>
        <x:v>383.52204000000006</x:v>
      </x:c>
      <x:c r="F61" s="10" t="n">
        <x:f>F48*F26/'Controls'!$E$11</x:f>
        <x:v>436.9850123760001</x:v>
      </x:c>
      <x:c r="G61" s="10" t="n">
        <x:f>G48*G26/'Controls'!$E$11</x:f>
        <x:v>497.90072310121445</x:v>
      </x:c>
      <x:c r="H61" s="10" t="n">
        <x:f>H48*H26/'Controls'!$E$11</x:f>
        <x:v>567.3080839015238</x:v>
      </x:c>
      <x:c r="I61" s="10" t="n">
        <x:f>I48*I26/'Controls'!$E$11</x:f>
        <x:v>646.3908307973961</x:v>
      </x:c>
      <x:c r="J61" s="1"/>
      <x:c r="K61" s="1"/>
    </x:row>
    <x:row r="62" ht="18" customHeight="1">
      <x:c r="A62" s="1"/>
      <x:c r="B62" s="1"/>
      <x:c r="C62" s="1" t="str">
        <x:v>Inventory</x:v>
      </x:c>
      <x:c r="D62" s="2"/>
      <x:c r="E62" s="10" t="n">
        <x:f>E50*E27/'Controls'!$E$11</x:f>
        <x:v>41.838768</x:v>
      </x:c>
      <x:c r="F62" s="10" t="n">
        <x:f>F50*F27/'Controls'!$E$11</x:f>
        <x:v>47.67109225920001</x:v>
      </x:c>
      <x:c r="G62" s="10" t="n">
        <x:f>G50*G27/'Controls'!$E$11</x:f>
        <x:v>54.31644252013249</x:v>
      </x:c>
      <x:c r="H62" s="10" t="n">
        <x:f>H50*H27/'Controls'!$E$11</x:f>
        <x:v>61.88815460743896</x:v>
      </x:c>
      <x:c r="I62" s="10" t="n">
        <x:f>I50*I27/'Controls'!$E$11</x:f>
        <x:v>70.51536335971595</x:v>
      </x:c>
      <x:c r="J62" s="1"/>
      <x:c r="K62" s="1"/>
    </x:row>
    <x:row r="63" ht="18" customHeight="1">
      <x:c r="A63" s="1"/>
      <x:c r="B63" s="1"/>
      <x:c r="C63" s="1" t="str">
        <x:v>Trade payables</x:v>
      </x:c>
      <x:c r="D63" s="2"/>
      <x:c r="E63" s="10" t="n">
        <x:f>E50*E28/'Controls'!$E$11</x:f>
        <x:v>111.57004800000001</x:v>
      </x:c>
      <x:c r="F63" s="10" t="n">
        <x:f>F50*F28/'Controls'!$E$11</x:f>
        <x:v>127.12291269120003</x:v>
      </x:c>
      <x:c r="G63" s="10" t="n">
        <x:f>G50*G28/'Controls'!$E$11</x:f>
        <x:v>144.8438467203533</x:v>
      </x:c>
      <x:c r="H63" s="10" t="n">
        <x:f>H50*H28/'Controls'!$E$11</x:f>
        <x:v>165.03507895317057</x:v>
      </x:c>
      <x:c r="I63" s="10" t="n">
        <x:f>I50*I28/'Controls'!$E$11</x:f>
        <x:v>188.04096895924252</x:v>
      </x:c>
      <x:c r="J63" s="1"/>
      <x:c r="K63" s="1"/>
    </x:row>
    <x:row r="64" ht="18" customHeight="1">
      <x:c r="A64" s="1"/>
      <x:c r="B64" s="1"/>
      <x:c r="C64" s="1" t="str">
        <x:v>Net working capital</x:v>
      </x:c>
      <x:c r="D64" s="2"/>
      <x:c r="E64" s="8" t="n">
        <x:f>E61+E62-E63</x:f>
        <x:v>313.7907600000001</x:v>
      </x:c>
      <x:c r="F64" s="8" t="n">
        <x:f>F61+F62-F63</x:f>
        <x:v>357.53319194400007</x:v>
      </x:c>
      <x:c r="G64" s="8" t="n">
        <x:f>G61+G62-G63</x:f>
        <x:v>407.3733189009936</x:v>
      </x:c>
      <x:c r="H64" s="8" t="n">
        <x:f>H61+H62-H63</x:f>
        <x:v>464.1611595557922</x:v>
      </x:c>
      <x:c r="I64" s="8" t="n">
        <x:f>I61+I62-I63</x:f>
        <x:v>528.8652251978696</x:v>
      </x:c>
      <x:c r="J64" s="1"/>
      <x:c r="K64" s="1"/>
    </x:row>
    <x:row r="65" ht="18" customHeight="1">
      <x:c r="A65" s="1"/>
      <x:c r="B65" s="1"/>
      <x:c r="C65" s="1" t="str">
        <x:v>Increase in net working capital</x:v>
      </x:c>
      <x:c r="D65" s="2"/>
      <x:c r="E65" s="8" t="n">
        <x:f>E64-$D38</x:f>
        <x:v>38.39076000000006</x:v>
      </x:c>
      <x:c r="F65" s="8" t="n">
        <x:f>F64-E64</x:f>
        <x:v>43.742431943999975</x:v>
      </x:c>
      <x:c r="G65" s="8" t="n">
        <x:f>G64-F64</x:f>
        <x:v>49.840126956993515</x:v>
      </x:c>
      <x:c r="H65" s="8" t="n">
        <x:f>H64-G64</x:f>
        <x:v>56.78784065479863</x:v>
      </x:c>
      <x:c r="I65" s="8" t="n">
        <x:f>I64-H64</x:f>
        <x:v>64.70406564207735</x:v>
      </x:c>
      <x:c r="J65" s="1"/>
      <x:c r="K65" s="1"/>
    </x:row>
    <x:row r="66" ht="18" customHeight="1">
      <x:c r="A66" s="1"/>
      <x:c r="B66" s="1"/>
      <x:c r="C66" s="1" t="str">
        <x:v>Capital expenditure</x:v>
      </x:c>
      <x:c r="D66" s="2"/>
      <x:c r="E66" s="8" t="n">
        <x:f>E48*E24</x:f>
        <x:v>254.51917200000003</x:v>
      </x:c>
      <x:c r="F66" s="8" t="n">
        <x:f>F48*F24</x:f>
        <x:v>289.99914457680006</x:v>
      </x:c>
      <x:c r="G66" s="8" t="n">
        <x:f>G48*G24</x:f>
        <x:v>330.42502533080597</x:v>
      </x:c>
      <x:c r="H66" s="8" t="n">
        <x:f>H48*H24</x:f>
        <x:v>376.4862738619204</x:v>
      </x:c>
      <x:c r="I66" s="8" t="n">
        <x:f>I48*I24</x:f>
        <x:v>428.968460438272</x:v>
      </x:c>
      <x:c r="J66" s="1"/>
      <x:c r="K66" s="1"/>
    </x:row>
    <x:row r="67" ht="18" customHeight="1">
      <x:c r="A67" s="1"/>
      <x:c r="B67" s="1"/>
      <x:c r="C67" s="1" t="str">
        <x:v>Closing net PP&amp;E</x:v>
      </x:c>
      <x:c r="D67" s="2"/>
      <x:c r="E67" s="8" t="n">
        <x:f>$D35+E66-E54</x:f>
        <x:v>2984.5191720000003</x:v>
      </x:c>
      <x:c r="F67" s="8" t="n">
        <x:f>E67+F66-F54</x:f>
        <x:v>3005.9115910968003</x:v>
      </x:c>
      <x:c r="G67" s="8" t="n">
        <x:f>F67+G66-G54</x:f>
        <x:v>3065.8045732288942</x:v>
      </x:c>
      <x:c r="H67" s="8" t="n">
        <x:f>G67+H66-H54</x:f>
        <x:v>3166.368435500214</x:v>
      </x:c>
      <x:c r="I67" s="8" t="n">
        <x:f>H67+I66-I54</x:f>
        <x:v>3310.3637367434667</x:v>
      </x:c>
      <x:c r="J67" s="1"/>
      <x:c r="K67" s="1"/>
    </x:row>
    <x:row r="68" ht="18" customHeight="1">
      <x:c r="A68" s="1"/>
      <x:c r="B68" s="1"/>
      <x:c r="C68" s="1" t="str">
        <x:v>Closing debt</x:v>
      </x:c>
      <x:c r="D68" s="2"/>
      <x:c r="E68" s="8" t="n">
        <x:f>$D36+E31-E32</x:f>
        <x:v>810</x:v>
      </x:c>
      <x:c r="F68" s="8" t="n">
        <x:f>E68+F31-F32</x:f>
        <x:v>720</x:v>
      </x:c>
      <x:c r="G68" s="8" t="n">
        <x:f>F68+G31-G32</x:f>
        <x:v>630</x:v>
      </x:c>
      <x:c r="H68" s="8" t="n">
        <x:f>G68+H31-H32</x:f>
        <x:v>540</x:v>
      </x:c>
      <x:c r="I68" s="8" t="n">
        <x:f>H68+I31-I32</x:f>
        <x:v>450</x:v>
      </x:c>
      <x:c r="J68" s="1"/>
      <x:c r="K68" s="1"/>
    </x:row>
    <x:row r="69" ht="18" customHeight="1">
      <x:c r="A69" s="1"/>
      <x:c r="B69" s="1"/>
      <x:c r="C69" s="19" t="str">
        <x:v>CASH FLOW AND BALANCE SHEET</x:v>
      </x:c>
      <x:c r="D69" s="20"/>
      <x:c r="E69" s="20"/>
      <x:c r="F69" s="20"/>
      <x:c r="G69" s="20"/>
      <x:c r="H69" s="20"/>
      <x:c r="I69" s="20"/>
      <x:c r="J69" s="1"/>
      <x:c r="K69" s="1"/>
    </x:row>
    <x:row r="70" ht="18" customHeight="1">
      <x:c r="A70" s="1"/>
      <x:c r="B70" s="1"/>
      <x:c r="C70" s="1" t="str">
        <x:v>Operating cash flow after interest</x:v>
      </x:c>
      <x:c r="D70" s="2"/>
      <x:c r="E70" s="8" t="n">
        <x:f>E59+E54-E65</x:f>
        <x:v>468.0466253999999</x:v>
      </x:c>
      <x:c r="F70" s="8" t="n">
        <x:f>F59+F54-F65</x:f>
        <x:v>537.2700813507602</x:v>
      </x:c>
      <x:c r="G70" s="8" t="n">
        <x:f>G59+G54-G65</x:f>
        <x:v>616.221683237756</x:v>
      </x:c>
      <x:c r="H70" s="8" t="n">
        <x:f>H59+H54-H65</x:f>
        <x:v>706.178496273596</x:v>
      </x:c>
      <x:c r="I70" s="8" t="n">
        <x:f>I59+I54-I65</x:f>
        <x:v>808.6027220113077</x:v>
      </x:c>
      <x:c r="J70" s="1"/>
      <x:c r="K70" s="1"/>
    </x:row>
    <x:row r="71" ht="18" customHeight="1">
      <x:c r="A71" s="1"/>
      <x:c r="B71" s="1"/>
      <x:c r="C71" s="1" t="str">
        <x:v>Dividends</x:v>
      </x:c>
      <x:c r="D71" s="2"/>
      <x:c r="E71" s="8" t="n">
        <x:f>MAX(0,E59)*E33</x:f>
        <x:v>59.109346349999996</x:v>
      </x:c>
      <x:c r="F71" s="8" t="n">
        <x:f>MAX(0,F59)*F33</x:f>
        <x:v>78.10144695369</x:v>
      </x:c>
      <x:c r="G71" s="8" t="n">
        <x:f>MAX(0,G59)*G33</x:f>
        <x:v>98.88244174900939</x:v>
      </x:c>
      <x:c r="H71" s="8" t="n">
        <x:f>MAX(0,H59)*H33</x:f>
        <x:v>121.76098133444856</x:v>
      </x:c>
      <x:c r="I71" s="8" t="n">
        <x:f>MAX(0,I59)*I33</x:f>
        <x:v>147.08340711459147</x:v>
      </x:c>
      <x:c r="J71" s="1"/>
      <x:c r="K71" s="1"/>
    </x:row>
    <x:row r="72" ht="18" customHeight="1">
      <x:c r="A72" s="1"/>
      <x:c r="B72" s="1"/>
      <x:c r="C72" s="1" t="str">
        <x:v>Change in cash</x:v>
      </x:c>
      <x:c r="D72" s="2"/>
      <x:c r="E72" s="8" t="n">
        <x:f>E70-E66+E31-E32-E71</x:f>
        <x:v>64.4181070499999</x:v>
      </x:c>
      <x:c r="F72" s="8" t="n">
        <x:f>F70-F66+F31-F32-F71</x:f>
        <x:v>79.1694898202701</x:v>
      </x:c>
      <x:c r="G72" s="8" t="n">
        <x:f>G70-G66+G31-G32-G71</x:f>
        <x:v>96.91421615794064</x:v>
      </x:c>
      <x:c r="H72" s="8" t="n">
        <x:f>H70-H66+H31-H32-H71</x:f>
        <x:v>117.93124107722707</x:v>
      </x:c>
      <x:c r="I72" s="8" t="n">
        <x:f>I70-I66+I31-I32-I71</x:f>
        <x:v>142.55085445844423</x:v>
      </x:c>
      <x:c r="J72" s="1"/>
      <x:c r="K72" s="1"/>
    </x:row>
    <x:row r="73" ht="18" customHeight="1">
      <x:c r="A73" s="1"/>
      <x:c r="B73" s="1"/>
      <x:c r="C73" s="1" t="str">
        <x:v>Closing cash / (funding gap)</x:v>
      </x:c>
      <x:c r="D73" s="2"/>
      <x:c r="E73" s="8" t="n">
        <x:f>$D37+E72</x:f>
        <x:v>364.4181070499999</x:v>
      </x:c>
      <x:c r="F73" s="8" t="n">
        <x:f>E73+F72</x:f>
        <x:v>443.58759687027</x:v>
      </x:c>
      <x:c r="G73" s="8" t="n">
        <x:f>F73+G72</x:f>
        <x:v>540.5018130282106</x:v>
      </x:c>
      <x:c r="H73" s="8" t="n">
        <x:f>G73+H72</x:f>
        <x:v>658.4330541054376</x:v>
      </x:c>
      <x:c r="I73" s="8" t="n">
        <x:f>H73+I72</x:f>
        <x:v>800.9839085638819</x:v>
      </x:c>
      <x:c r="J73" s="1"/>
      <x:c r="K73" s="1"/>
    </x:row>
    <x:row r="74" ht="18" customHeight="1">
      <x:c r="A74" s="1"/>
      <x:c r="B74" s="1"/>
      <x:c r="C74" s="38" t="str">
        <x:v>Closing book equity</x:v>
      </x:c>
      <x:c r="D74" s="39"/>
      <x:c r="E74" s="41" t="n">
        <x:f>$D35+$D38+$D37-$D36+E59-E71</x:f>
        <x:v>2852.72803905</x:v>
      </x:c>
      <x:c r="F74" s="41" t="n">
        <x:f>E74+F59-F71</x:f>
        <x:v>3087.03237991107</x:v>
      </x:c>
      <x:c r="G74" s="41" t="n">
        <x:f>F74+G59-G71</x:f>
        <x:v>3383.679705158098</x:v>
      </x:c>
      <x:c r="H74" s="41" t="n">
        <x:f>G74+H59-H71</x:f>
        <x:v>3748.962649161444</x:v>
      </x:c>
      <x:c r="I74" s="41" t="n">
        <x:f>H74+I59-I71</x:f>
        <x:v>4190.212870505218</x:v>
      </x:c>
      <x:c r="J74" s="1"/>
      <x:c r="K74" s="1"/>
    </x:row>
    <x:row r="75" ht="18" customHeight="1">
      <x:c r="A75" s="1"/>
      <x:c r="B75" s="1"/>
      <x:c r="C75" s="1" t="str">
        <x:v>Total assets</x:v>
      </x:c>
      <x:c r="D75" s="2"/>
      <x:c r="E75" s="8" t="n">
        <x:f>E73+E61+E62+E67</x:f>
        <x:v>3774.29808705</x:v>
      </x:c>
      <x:c r="F75" s="8" t="n">
        <x:f>F73+F61+F62+F67</x:f>
        <x:v>3934.1552926022705</x:v>
      </x:c>
      <x:c r="G75" s="8" t="n">
        <x:f>G73+G61+G62+G67</x:f>
        <x:v>4158.523551878452</x:v>
      </x:c>
      <x:c r="H75" s="8" t="n">
        <x:f>H73+H61+H62+H67</x:f>
        <x:v>4453.997728114615</x:v>
      </x:c>
      <x:c r="I75" s="8" t="n">
        <x:f>I73+I61+I62+I67</x:f>
        <x:v>4828.253839464461</x:v>
      </x:c>
      <x:c r="J75" s="1"/>
      <x:c r="K75" s="1"/>
    </x:row>
    <x:row r="76" ht="18" customHeight="1">
      <x:c r="A76" s="1"/>
      <x:c r="B76" s="1"/>
      <x:c r="C76" s="1" t="str">
        <x:v>Liabilities and equity</x:v>
      </x:c>
      <x:c r="D76" s="2"/>
      <x:c r="E76" s="8" t="n">
        <x:f>E63+E68+E74</x:f>
        <x:v>3774.29808705</x:v>
      </x:c>
      <x:c r="F76" s="8" t="n">
        <x:f>F63+F68+F74</x:f>
        <x:v>3934.15529260227</x:v>
      </x:c>
      <x:c r="G76" s="8" t="n">
        <x:f>G63+G68+G74</x:f>
        <x:v>4158.523551878451</x:v>
      </x:c>
      <x:c r="H76" s="8" t="n">
        <x:f>H63+H68+H74</x:f>
        <x:v>4453.997728114615</x:v>
      </x:c>
      <x:c r="I76" s="8" t="n">
        <x:f>I63+I68+I74</x:f>
        <x:v>4828.253839464461</x:v>
      </x:c>
      <x:c r="J76" s="1"/>
      <x:c r="K76" s="1"/>
    </x:row>
    <x:row r="77" ht="18" customHeight="1">
      <x:c r="A77" s="1"/>
      <x:c r="B77" s="1"/>
      <x:c r="C77" s="1" t="str">
        <x:v>Unlevered operating profit after tax</x:v>
      </x:c>
      <x:c r="D77" s="2"/>
      <x:c r="E77" s="8" t="n">
        <x:f>E55-MAX(0,E55)*E29</x:f>
        <x:v>293.8123854</x:v>
      </x:c>
      <x:c r="F77" s="8" t="n">
        <x:f>F55-MAX(0,F55)*F29</x:f>
        <x:v>364.04328781476</x:v>
      </x:c>
      <x:c r="G77" s="8" t="n">
        <x:f>G55-MAX(0,G55)*G29</x:f>
        <x:v>441.4297669960376</x:v>
      </x:c>
      <x:c r="H77" s="8" t="n">
        <x:f>H55-MAX(0,H55)*H29</x:f>
        <x:v>527.2064253377941</x:v>
      </x:c>
      <x:c r="I77" s="8" t="n">
        <x:f>I55-MAX(0,I55)*I29</x:f>
        <x:v>622.7586284583658</x:v>
      </x:c>
      <x:c r="J77" s="1"/>
      <x:c r="K77" s="1"/>
    </x:row>
    <x:row r="78" ht="18" customHeight="1">
      <x:c r="A78" s="1"/>
      <x:c r="B78" s="1"/>
      <x:c r="C78" s="38" t="str">
        <x:v>Free cash flow to firm</x:v>
      </x:c>
      <x:c r="D78" s="39"/>
      <x:c r="E78" s="41" t="n">
        <x:f>E77+E54-E66-E65</x:f>
        <x:v>270.90245339999996</x:v>
      </x:c>
      <x:c r="F78" s="41" t="n">
        <x:f>F77+F54-F66-F65</x:f>
        <x:v>298.90843677396</x:v>
      </x:c>
      <x:c r="G78" s="41" t="n">
        <x:f>G77+G54-G66-G65</x:f>
        <x:v>331.6966579069502</x:v>
      </x:c>
      <x:c r="H78" s="41" t="n">
        <x:f>H77+H54-H66-H65</x:f>
        <x:v>369.85472241167554</x:v>
      </x:c>
      <x:c r="I78" s="41" t="n">
        <x:f>I77+I54-I66-I65</x:f>
        <x:v>414.05926157303566</x:v>
      </x:c>
      <x:c r="J78" s="1"/>
      <x:c r="K78" s="1"/>
    </x:row>
    <x:row r="79" ht="18" customHeight="1">
      <x:c r="A79" s="1"/>
      <x:c r="B79" s="1"/>
      <x:c r="C79" s="19" t="str">
        <x:v>SECTOR KPIs AND RETURN METRICS</x:v>
      </x:c>
      <x:c r="D79" s="20"/>
      <x:c r="E79" s="20"/>
      <x:c r="F79" s="20"/>
      <x:c r="G79" s="20"/>
      <x:c r="H79" s="20"/>
      <x:c r="I79" s="20"/>
      <x:c r="J79" s="1"/>
      <x:c r="K79" s="1"/>
    </x:row>
    <x:row r="80" ht="18" customHeight="1">
      <x:c r="A80" s="1"/>
      <x:c r="B80" s="1"/>
      <x:c r="C80" s="23" t="str">
        <x:v>Gross margin</x:v>
      </x:c>
      <x:c r="D80" s="24"/>
      <x:c r="E80" s="35" t="n">
        <x:f>E51/E48</x:f>
        <x:v>0.6</x:v>
      </x:c>
      <x:c r="F80" s="35" t="n">
        <x:f>F51/F48</x:f>
        <x:v>0.6</x:v>
      </x:c>
      <x:c r="G80" s="35" t="n">
        <x:f>G51/G48</x:f>
        <x:v>0.6</x:v>
      </x:c>
      <x:c r="H80" s="35" t="n">
        <x:f>H51/H48</x:f>
        <x:v>0.6</x:v>
      </x:c>
      <x:c r="I80" s="35" t="n">
        <x:f>I51/I48</x:f>
        <x:v>0.6</x:v>
      </x:c>
      <x:c r="J80" s="1"/>
      <x:c r="K80" s="1"/>
    </x:row>
    <x:row r="81" ht="18" customHeight="1">
      <x:c r="A81" s="1"/>
      <x:c r="B81" s="1"/>
      <x:c r="C81" s="23" t="str">
        <x:v>EBITDA margin</x:v>
      </x:c>
      <x:c r="D81" s="24"/>
      <x:c r="E81" s="35" t="n">
        <x:f>E53/E48</x:f>
        <x:v>0.25999999999999995</x:v>
      </x:c>
      <x:c r="F81" s="35" t="n">
        <x:f>F53/F48</x:f>
        <x:v>0.25999999999999995</x:v>
      </x:c>
      <x:c r="G81" s="35" t="n">
        <x:f>G53/G48</x:f>
        <x:v>0.26</x:v>
      </x:c>
      <x:c r="H81" s="35" t="n">
        <x:f>H53/H48</x:f>
        <x:v>0.25999999999999995</x:v>
      </x:c>
      <x:c r="I81" s="35" t="n">
        <x:f>I53/I48</x:f>
        <x:v>0.25999999999999995</x:v>
      </x:c>
      <x:c r="J81" s="1"/>
      <x:c r="K81" s="1"/>
    </x:row>
    <x:row r="82" ht="18" customHeight="1">
      <x:c r="A82" s="1"/>
      <x:c r="B82" s="1"/>
      <x:c r="C82" s="23" t="str">
        <x:v>Net margin</x:v>
      </x:c>
      <x:c r="D82" s="24"/>
      <x:c r="E82" s="35" t="n">
        <x:f>E59/E48</x:f>
        <x:v>0.09289570744006662</x:v>
      </x:c>
      <x:c r="F82" s="35" t="n">
        <x:f>F59/F48</x:f>
        <x:v>0.10772645149373053</x:v>
      </x:c>
      <x:c r="G82" s="35" t="n">
        <x:f>G59/G48</x:f>
        <x:v>0.11970333257901752</x:v>
      </x:c>
      <x:c r="H82" s="35" t="n">
        <x:f>H59/H48</x:f>
        <x:v>0.12936565265495492</x:v>
      </x:c>
      <x:c r="I82" s="35" t="n">
        <x:f>I59/I48</x:f>
        <x:v>0.13715078909467432</x:v>
      </x:c>
      <x:c r="J82" s="1"/>
      <x:c r="K82" s="1"/>
    </x:row>
    <x:row r="83" ht="18" customHeight="1">
      <x:c r="A83" s="1"/>
      <x:c r="B83" s="1"/>
      <x:c r="C83" s="23" t="str">
        <x:v>Operating cash conversion</x:v>
      </x:c>
      <x:c r="D83" s="24"/>
      <x:c r="E83" s="35" t="n">
        <x:f>IF(E53=0,"n.a.",E70/E53)</x:f>
        <x:v>0.7072863369449977</x:v>
      </x:c>
      <x:c r="F83" s="35" t="n">
        <x:f>IF(F53=0,"n.a.",F70/F53)</x:f>
        <x:v>0.7125618914587413</x:v>
      </x:c>
      <x:c r="G83" s="35" t="n">
        <x:f>IF(G53=0,"n.a.",G70/G53)</x:f>
        <x:v>0.7172832610651922</x:v>
      </x:c>
      <x:c r="H83" s="35" t="n">
        <x:f>IF(H53=0,"n.a.",H70/H53)</x:f>
        <x:v>0.7214263382441333</x:v>
      </x:c>
      <x:c r="I83" s="35" t="n">
        <x:f>IF(I53=0,"n.a.",I70/I53)</x:f>
        <x:v>0.7249974662698512</x:v>
      </x:c>
      <x:c r="J83" s="1"/>
      <x:c r="K83" s="1"/>
    </x:row>
    <x:row r="84" ht="18" customHeight="1">
      <x:c r="A84" s="1"/>
      <x:c r="B84" s="1"/>
      <x:c r="C84" s="1" t="str">
        <x:v>Cash conversion cycle (days)</x:v>
      </x:c>
      <x:c r="D84" s="2"/>
      <x:c r="E84" s="8" t="n">
        <x:f>E26+E27-E28</x:f>
        <x:v>30</x:v>
      </x:c>
      <x:c r="F84" s="8" t="n">
        <x:f>F26+F27-F28</x:f>
        <x:v>30</x:v>
      </x:c>
      <x:c r="G84" s="8" t="n">
        <x:f>G26+G27-G28</x:f>
        <x:v>30</x:v>
      </x:c>
      <x:c r="H84" s="8" t="n">
        <x:f>H26+H27-H28</x:f>
        <x:v>30</x:v>
      </x:c>
      <x:c r="I84" s="8" t="n">
        <x:f>I26+I27-I28</x:f>
        <x:v>30</x:v>
      </x:c>
      <x:c r="J84" s="1"/>
      <x:c r="K84" s="1"/>
    </x:row>
    <x:row r="85" ht="18" customHeight="1">
      <x:c r="A85" s="1"/>
      <x:c r="B85" s="1"/>
      <x:c r="C85" s="23" t="str">
        <x:v>Net debt / EBITDA</x:v>
      </x:c>
      <x:c r="D85" s="32"/>
      <x:c r="E85" s="61" t="n">
        <x:f>IF(E53&lt;=0,"n.a.",(E68-E73)/E53)</x:f>
        <x:v>0.6733388679050686</x:v>
      </x:c>
      <x:c r="F85" s="61" t="n">
        <x:f>IF(F53&lt;=0,"n.a.",(F68-F73)/F53)</x:f>
        <x:v>0.3665957804715155</x:v>
      </x:c>
      <x:c r="G85" s="61" t="n">
        <x:f>IF(G53&lt;=0,"n.a.",(G68-G73)/G53)</x:f>
        <x:v>0.10417606708230509</x:v>
      </x:c>
      <x:c r="H85" s="61" t="n">
        <x:f>IF(H53&lt;=0,"n.a.",(H68-H73)/H53)</x:f>
        <x:v>-0.12099026662694172</x:v>
      </x:c>
      <x:c r="I85" s="61" t="n">
        <x:f>IF(I53&lt;=0,"n.a.",(I68-I73)/I53)</x:f>
        <x:v>-0.3146940240039719</x:v>
      </x:c>
      <x:c r="J85" s="1"/>
      <x:c r="K85" s="1"/>
    </x:row>
    <x:row r="86" ht="18" customHeight="1">
      <x:c r="A86" s="1"/>
      <x:c r="B86" s="1"/>
      <x:c r="C86" s="23" t="str">
        <x:v>EBIT / interest</x:v>
      </x:c>
      <x:c r="D86" s="32"/>
      <x:c r="E86" s="61" t="n">
        <x:f>IF(E56=0,"n.a.",E55/E56)</x:f>
        <x:v>5.120913035294118</x:v>
      </x:c>
      <x:c r="F86" s="61" t="n">
        <x:f>IF(F56=0,"n.a.",F55/F56)</x:f>
        <x:v>7.049978945819607</x:v>
      </x:c>
      <x:c r="G86" s="61" t="n">
        <x:f>IF(G56=0,"n.a.",G55/G56)</x:f>
        <x:v>9.617206252636985</x:v>
      </x:c>
      <x:c r="H86" s="61" t="n">
        <x:f>IF(H56=0,"n.a.",H55/H56)</x:f>
        <x:v>13.12683287489061</x:v>
      </x:c>
      <x:c r="I86" s="61" t="n">
        <x:f>IF(I56=0,"n.a.",I55/I56)</x:f>
        <x:v>18.090301480272064</x:v>
      </x:c>
      <x:c r="J86" s="1"/>
      <x:c r="K86" s="1"/>
    </x:row>
    <x:row r="87" ht="18" customHeight="1">
      <x:c r="A87" s="1"/>
      <x:c r="B87" s="1"/>
      <x:c r="C87" s="23" t="str">
        <x:v>ROIC on average invested capital</x:v>
      </x:c>
      <x:c r="D87" s="24"/>
      <x:c r="E87" s="35" t="n">
        <x:f>E77/(($D35+$D38+E67+E64)/2)</x:f>
        <x:v>0.08939012777845823</x:v>
      </x:c>
      <x:c r="F87" s="35" t="n">
        <x:f>F77/((E67+E64+F67+F64)/2)</x:f>
        <x:v>0.1092935130117682</x:v>
      </x:c>
      <x:c r="G87" s="35" t="n">
        <x:f>G77/((F67+F64+G67+G64)/2)</x:f>
        <x:v>0.12913679399017483</x:v>
      </x:c>
      <x:c r="H87" s="35" t="n">
        <x:f>H77/((G67+G64+H67+H64)/2)</x:f>
        <x:v>0.14843134413650946</x:v>
      </x:c>
      <x:c r="I87" s="35" t="n">
        <x:f>I77/((H67+H64+I67+I64)/2)</x:f>
        <x:v>0.1667413005939778</x:v>
      </x:c>
      <x:c r="J87" s="1"/>
      <x:c r="K87" s="1"/>
    </x:row>
    <x:row r="88" ht="18" customHeight="1">
      <x:c r="A88" s="1"/>
      <x:c r="B88" s="1"/>
      <x:c r="C88" s="1" t="str">
        <x:v>Estimated inpatient discharges</x:v>
      </x:c>
      <x:c r="D88" s="2"/>
      <x:c r="E88" s="8" t="n">
        <x:f>E47/E23</x:f>
        <x:v>134028.00000000003</x:v>
      </x:c>
      <x:c r="F88" s="8" t="n">
        <x:f>F47/F23</x:f>
        <x:v>144750.24000000002</x:v>
      </x:c>
      <x:c r="G88" s="8" t="n">
        <x:f>G47/G23</x:f>
        <x:v>156330.25920000003</x:v>
      </x:c>
      <x:c r="H88" s="8" t="n">
        <x:f>H47/H23</x:f>
        <x:v>168836.67993600006</x:v>
      </x:c>
      <x:c r="I88" s="8" t="n">
        <x:f>I47/I23</x:f>
        <x:v>182343.61433088008</x:v>
      </x:c>
      <x:c r="J88" s="1"/>
      <x:c r="K88" s="1"/>
    </x:row>
    <x:row r="89" ht="18" customHeight="1">
      <x:c r="A89" s="1"/>
      <x:c r="B89" s="1"/>
      <x:c r="C89" s="1" t="str">
        <x:v>EBITDA per operational bed (INR lakh)</x:v>
      </x:c>
      <x:c r="D89" s="2"/>
      <x:c r="E89" s="10" t="n">
        <x:f>E53*'Controls'!$E$9/E45/'Controls'!$E$15</x:f>
        <x:v>30.636567000000003</x:v>
      </x:c>
      <x:c r="F89" s="10" t="n">
        <x:f>F53*'Controls'!$E$9/F45/'Controls'!$E$15</x:f>
        <x:v>32.321578185</x:v>
      </x:c>
      <x:c r="G89" s="10" t="n">
        <x:f>G53*'Controls'!$E$9/G45/'Controls'!$E$15</x:f>
        <x:v>34.09926498517499</x:v>
      </x:c>
      <x:c r="H89" s="10" t="n">
        <x:f>H53*'Controls'!$E$9/H45/'Controls'!$E$15</x:f>
        <x:v>35.974724559359615</x:v>
      </x:c>
      <x:c r="I89" s="10" t="n">
        <x:f>I53*'Controls'!$E$9/I45/'Controls'!$E$15</x:f>
        <x:v>37.95333441012439</x:v>
      </x:c>
      <x:c r="J89" s="1"/>
      <x:c r="K89" s="1"/>
    </x:row>
    <x:row r="90" ht="18" customHeight="1">
      <x:c r="A90" s="1"/>
      <x:c r="B90" s="1"/>
      <x:c r="C90" s="19" t="str">
        <x:v>VALUATION AT 31 MARCH 2026</x:v>
      </x:c>
      <x:c r="D90" s="20"/>
      <x:c r="E90" s="20"/>
      <x:c r="F90" s="20"/>
      <x:c r="G90" s="20"/>
      <x:c r="H90" s="20"/>
      <x:c r="I90" s="20"/>
      <x:c r="J90" s="1"/>
      <x:c r="K90" s="1"/>
    </x:row>
    <x:row r="91" ht="18" customHeight="1">
      <x:c r="A91" s="1"/>
      <x:c r="B91" s="1"/>
      <x:c r="C91" s="1" t="str">
        <x:v>PV of annual FCFF</x:v>
      </x:c>
      <x:c r="D91" s="2"/>
      <x:c r="E91" s="8" t="n">
        <x:f>E78/(1+$D40)^1</x:f>
        <x:v>241.87719053571422</x:v>
      </x:c>
      <x:c r="F91" s="8" t="n">
        <x:f>F78/(1+$D40)^2</x:f>
        <x:v>238.28797574454714</x:v>
      </x:c>
      <x:c r="G91" s="8" t="n">
        <x:f>G78/(1+$D40)^3</x:f>
        <x:v>236.09512936388916</x:v>
      </x:c>
      <x:c r="H91" s="8" t="n">
        <x:f>H78/(1+$D40)^4</x:f>
        <x:v>235.04936247602026</x:v>
      </x:c>
      <x:c r="I91" s="8" t="n">
        <x:f>I78/(1+$D40)^5</x:f>
        <x:v>234.9483448755526</x:v>
      </x:c>
      <x:c r="J91" s="1"/>
      <x:c r="K91" s="1"/>
    </x:row>
    <x:row r="92" ht="18" customHeight="1">
      <x:c r="A92" s="1"/>
      <x:c r="B92" s="1"/>
      <x:c r="C92" s="1" t="str">
        <x:v>Normalized terminal FCFF</x:v>
      </x:c>
      <x:c r="D92" s="2"/>
      <x:c r="E92" s="8" t="n">
        <x:f>I77*(1+$D41)*(1-$D41/$D42)</x:f>
        <x:v>474.957247304247</x:v>
      </x:c>
      <x:c r="F92" s="2"/>
      <x:c r="G92" s="2"/>
      <x:c r="H92" s="2"/>
      <x:c r="I92" s="2"/>
      <x:c r="J92" s="1"/>
      <x:c r="K92" s="1" t="str">
        <x:v>Terminal reinvestment = terminal NOPAT × growth / incremental ROIC.</x:v>
      </x:c>
    </x:row>
    <x:row r="93" ht="18" customHeight="1">
      <x:c r="A93" s="1"/>
      <x:c r="B93" s="1"/>
      <x:c r="C93" s="1" t="str">
        <x:v>Terminal enterprise value</x:v>
      </x:c>
      <x:c r="D93" s="2"/>
      <x:c r="E93" s="8" t="n">
        <x:f>IF($D40&lt;=$D41,NA(),E92/($D40-$D41))</x:f>
        <x:v>5936.965591303088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 t="str">
        <x:v>DCF enterprise value</x:v>
      </x:c>
      <x:c r="D94" s="2"/>
      <x:c r="E94" s="8" t="n">
        <x:f>SUM(E91:I91)+E93/(1+$D40)^5</x:f>
        <x:v>4555.051720978348</x:v>
      </x:c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38" t="str">
        <x:v>DCF equity value</x:v>
      </x:c>
      <x:c r="D95" s="39"/>
      <x:c r="E95" s="41" t="n">
        <x:f>E94-$D36+$D37</x:f>
        <x:v>3955.0517209783484</x:v>
      </x:c>
      <x:c r="F95" s="39"/>
      <x:c r="G95" s="39"/>
      <x:c r="H95" s="39"/>
      <x:c r="I95" s="39"/>
      <x:c r="J95" s="1"/>
      <x:c r="K95" s="1"/>
    </x:row>
    <x:row r="96" ht="18" customHeight="1">
      <x:c r="A96" s="1"/>
      <x:c r="B96" s="1"/>
      <x:c r="C96" s="1" t="str">
        <x:v>DCF value per share (INR)</x:v>
      </x:c>
      <x:c r="D96" s="33"/>
      <x:c r="E96" s="34" t="n">
        <x:f>E95/$D39</x:f>
        <x:v>39.550517209783486</x:v>
      </x:c>
      <x:c r="F96" s="33"/>
      <x:c r="G96" s="33"/>
      <x:c r="H96" s="33"/>
      <x:c r="I96" s="33"/>
      <x:c r="J96" s="1"/>
      <x:c r="K96" s="1"/>
    </x:row>
    <x:row r="97" ht="18" customHeight="1">
      <x:c r="A97" s="1"/>
      <x:c r="B97" s="1"/>
      <x:c r="C97" s="1" t="str">
        <x:v>Forward multiple enterprise value</x:v>
      </x:c>
      <x:c r="D97" s="2"/>
      <x:c r="E97" s="8" t="n">
        <x:f>E53*$D43</x:f>
        <x:v>13234.996943999999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 t="str">
        <x:v>Forward multiple equity value</x:v>
      </x:c>
      <x:c r="D98" s="2"/>
      <x:c r="E98" s="8" t="n">
        <x:f>E97-$D36+$D37</x:f>
        <x:v>12634.996943999999</x:v>
      </x:c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23" t="str">
        <x:v>Terminal value / DCF enterprise value</x:v>
      </x:c>
      <x:c r="D99" s="24"/>
      <x:c r="E99" s="35" t="n">
        <x:f>(E93/(1+$D40)^5)/E94</x:f>
        <x:v>0.7395730991302696</x:v>
      </x:c>
      <x:c r="F99" s="24"/>
      <x:c r="G99" s="24"/>
      <x:c r="H99" s="24"/>
      <x:c r="I99" s="24"/>
      <x:c r="J99" s="1"/>
      <x:c r="K99" s="1"/>
    </x:row>
    <x:row r="100" ht="18" customHeight="1">
      <x:c r="A100" s="1"/>
      <x:c r="B100" s="1"/>
      <x:c r="C100" s="19" t="str">
        <x:v>MODEL CHECKS</x:v>
      </x:c>
      <x:c r="D100" s="20"/>
      <x:c r="E100" s="20"/>
      <x:c r="F100" s="20"/>
      <x:c r="G100" s="20"/>
      <x:c r="H100" s="20"/>
      <x:c r="I100" s="20"/>
      <x:c r="J100" s="1"/>
      <x:c r="K100" s="1"/>
    </x:row>
    <x:row r="101" ht="18" customHeight="1">
      <x:c r="A101" s="1"/>
      <x:c r="B101" s="1"/>
      <x:c r="C101" s="1" t="str">
        <x:v>Assets less liabilities and equity</x:v>
      </x:c>
      <x:c r="D101" s="33"/>
      <x:c r="E101" s="34" t="n">
        <x:f>E75-E76</x:f>
        <x:v>0</x:v>
      </x:c>
      <x:c r="F101" s="34" t="n">
        <x:f>F75-F76</x:f>
        <x:v>4.547473508864641e-13</x:v>
      </x:c>
      <x:c r="G101" s="34" t="n">
        <x:f>G75-G76</x:f>
        <x:v>9.094947017729282e-13</x:v>
      </x:c>
      <x:c r="H101" s="34" t="n">
        <x:f>H75-H76</x:f>
        <x:v>0</x:v>
      </x:c>
      <x:c r="I101" s="34" t="n">
        <x:f>I75-I76</x:f>
        <x:v>0</x:v>
      </x:c>
      <x:c r="J101" s="1"/>
      <x:c r="K101" s="1"/>
    </x:row>
    <x:row r="102" ht="18" customHeight="1">
      <x:c r="A102" s="1"/>
      <x:c r="B102" s="1"/>
      <x:c r="C102" s="1" t="str">
        <x:v>Cash funding shortfall</x:v>
      </x:c>
      <x:c r="D102" s="33"/>
      <x:c r="E102" s="34" t="n">
        <x:f>MAX(0,-E73)</x:f>
        <x:v>0</x:v>
      </x:c>
      <x:c r="F102" s="34" t="n">
        <x:f>MAX(0,-F73)</x:f>
        <x:v>0</x:v>
      </x:c>
      <x:c r="G102" s="34" t="n">
        <x:f>MAX(0,-G73)</x:f>
        <x:v>0</x:v>
      </x:c>
      <x:c r="H102" s="34" t="n">
        <x:f>MAX(0,-H73)</x:f>
        <x:v>0</x:v>
      </x:c>
      <x:c r="I102" s="34" t="n">
        <x:f>MAX(0,-I73)</x:f>
        <x:v>0</x:v>
      </x:c>
      <x:c r="J102" s="1"/>
      <x:c r="K102" s="1"/>
    </x:row>
    <x:row r="103" ht="18" customHeight="1">
      <x:c r="A103" s="1"/>
      <x:c r="B103" s="1"/>
      <x:c r="C103" s="1" t="str">
        <x:v>Debt below zero</x:v>
      </x:c>
      <x:c r="D103" s="33"/>
      <x:c r="E103" s="34" t="n">
        <x:f>MAX(0,-E68)</x:f>
        <x:v>0</x:v>
      </x:c>
      <x:c r="F103" s="34" t="n">
        <x:f>MAX(0,-F68)</x:f>
        <x:v>0</x:v>
      </x:c>
      <x:c r="G103" s="34" t="n">
        <x:f>MAX(0,-G68)</x:f>
        <x:v>0</x:v>
      </x:c>
      <x:c r="H103" s="34" t="n">
        <x:f>MAX(0,-H68)</x:f>
        <x:v>0</x:v>
      </x:c>
      <x:c r="I103" s="34" t="n">
        <x:f>MAX(0,-I68)</x:f>
        <x:v>0</x:v>
      </x:c>
      <x:c r="J103" s="1"/>
      <x:c r="K103" s="1"/>
    </x:row>
    <x:row r="104" ht="18" customHeight="1">
      <x:c r="A104" s="1"/>
      <x:c r="B104" s="1"/>
      <x:c r="C104" s="1" t="str">
        <x:v>Utilization above 100%</x:v>
      </x:c>
      <x:c r="D104" s="33"/>
      <x:c r="E104" s="34" t="n">
        <x:f>MAX(0,E20-1)</x:f>
        <x:v>0</x:v>
      </x:c>
      <x:c r="F104" s="34" t="n">
        <x:f>MAX(0,F20-1)</x:f>
        <x:v>0</x:v>
      </x:c>
      <x:c r="G104" s="34" t="n">
        <x:f>MAX(0,G20-1)</x:f>
        <x:v>0</x:v>
      </x:c>
      <x:c r="H104" s="34" t="n">
        <x:f>MAX(0,H20-1)</x:f>
        <x:v>0</x:v>
      </x:c>
      <x:c r="I104" s="34" t="n">
        <x:f>MAX(0,I20-1)</x:f>
        <x:v>0</x:v>
      </x:c>
      <x:c r="J104" s="1"/>
      <x:c r="K104" s="1"/>
    </x:row>
    <x:row r="105" ht="18" customHeight="1">
      <x:c r="A105" s="1"/>
      <x:c r="B105" s="1"/>
      <x:c r="C105" s="1" t="str">
        <x:v>Net PP&amp;E below zero</x:v>
      </x:c>
      <x:c r="D105" s="33"/>
      <x:c r="E105" s="34" t="n">
        <x:f>MAX(0,-E67)</x:f>
        <x:v>0</x:v>
      </x:c>
      <x:c r="F105" s="34" t="n">
        <x:f>MAX(0,-F67)</x:f>
        <x:v>0</x:v>
      </x:c>
      <x:c r="G105" s="34" t="n">
        <x:f>MAX(0,-G67)</x:f>
        <x:v>0</x:v>
      </x:c>
      <x:c r="H105" s="34" t="n">
        <x:f>MAX(0,-H67)</x:f>
        <x:v>0</x:v>
      </x:c>
      <x:c r="I105" s="34" t="n">
        <x:f>MAX(0,-I67)</x:f>
        <x:v>0</x:v>
      </x:c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1:I101">
    <x:cfRule type="expression" dxfId="30" priority="1">
      <x:formula>ABS(E101)&gt;0.01</x:formula>
    </x:cfRule>
  </x:conditionalFormatting>
  <x:conditionalFormatting sqref="E102:I102">
    <x:cfRule type="expression" dxfId="31" priority="2">
      <x:formula>ABS(E102)&gt;0.01</x:formula>
    </x:cfRule>
  </x:conditionalFormatting>
  <x:conditionalFormatting sqref="E103:I103">
    <x:cfRule type="expression" dxfId="32" priority="3">
      <x:formula>ABS(E103)&gt;0.01</x:formula>
    </x:cfRule>
  </x:conditionalFormatting>
  <x:conditionalFormatting sqref="E104:I104">
    <x:cfRule type="expression" dxfId="33" priority="4">
      <x:formula>ABS(E104)&gt;0.01</x:formula>
    </x:cfRule>
  </x:conditionalFormatting>
  <x:conditionalFormatting sqref="E105:I105">
    <x:cfRule type="expression" dxfId="34" priority="5">
      <x:formula>ABS(E105)&gt;0.01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Telecom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mobile subscribers (million) — seed</x:v>
      </x:c>
      <x:c r="D10" s="7" t="n">
        <x:v>30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Monthly ARPU (INR) — seed</x:v>
      </x:c>
      <x:c r="D11" s="7" t="n">
        <x:v>220</x:v>
      </x:c>
      <x:c r="E11" s="2"/>
      <x:c r="F11" s="2"/>
      <x:c r="G11" s="2"/>
      <x:c r="H11" s="2"/>
      <x:c r="I11" s="2"/>
      <x:c r="J11" s="1"/>
      <x:c r="K11" s="1" t="str">
        <x:v>Mobile-only service model. Spectrum, lease debt and license liabilities require separate capitalization schedules.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0.05</x:v>
      </x:c>
      <x:c r="F12" s="30" t="n">
        <x:f>IF(COUNT(INDEX(F13:F15,'Controls'!$E$5))=0,NA(),INDEX(F13:F15,'Controls'!$E$5))</x:f>
        <x:v>0.05</x:v>
      </x:c>
      <x:c r="G12" s="30" t="n">
        <x:f>IF(COUNT(INDEX(G13:G15,'Controls'!$E$5))=0,NA(),INDEX(G13:G15,'Controls'!$E$5))</x:f>
        <x:v>0.05</x:v>
      </x:c>
      <x:c r="H12" s="30" t="n">
        <x:f>IF(COUNT(INDEX(H13:H15,'Controls'!$E$5))=0,NA(),INDEX(H13:H15,'Controls'!$E$5))</x:f>
        <x:v>0.05</x:v>
      </x:c>
      <x:c r="I12" s="30" t="n">
        <x:f>IF(COUNT(INDEX(I13:I15,'Controls'!$E$5))=0,NA(),INDEX(I13:I15,'Controls'!$E$5))</x:f>
        <x:v>0.05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0.05</x:v>
      </x:c>
      <x:c r="F13" s="26" t="n">
        <x:v>0.05</x:v>
      </x:c>
      <x:c r="G13" s="26" t="n">
        <x:v>0.05</x:v>
      </x:c>
      <x:c r="H13" s="26" t="n">
        <x:v>0.05</x:v>
      </x:c>
      <x:c r="I13" s="26" t="n">
        <x:v>0.05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</x:v>
      </x:c>
      <x:c r="F14" s="26" t="n">
        <x:v>0</x:v>
      </x:c>
      <x:c r="G14" s="26" t="n">
        <x:v>0</x:v>
      </x:c>
      <x:c r="H14" s="26" t="n">
        <x:v>0</x:v>
      </x:c>
      <x:c r="I14" s="26" t="n">
        <x:v>0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0.09</x:v>
      </x:c>
      <x:c r="F15" s="26" t="n">
        <x:v>0.09</x:v>
      </x:c>
      <x:c r="G15" s="26" t="n">
        <x:v>0.09</x:v>
      </x:c>
      <x:c r="H15" s="26" t="n">
        <x:v>0.09</x:v>
      </x:c>
      <x:c r="I15" s="26" t="n">
        <x:v>0.09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0.07</x:v>
      </x:c>
      <x:c r="F16" s="30" t="n">
        <x:f>IF(COUNT(INDEX(F17:F19,'Controls'!$E$5))=0,NA(),INDEX(F17:F19,'Controls'!$E$5))</x:f>
        <x:v>0.07</x:v>
      </x:c>
      <x:c r="G16" s="30" t="n">
        <x:f>IF(COUNT(INDEX(G17:G19,'Controls'!$E$5))=0,NA(),INDEX(G17:G19,'Controls'!$E$5))</x:f>
        <x:v>0.07</x:v>
      </x:c>
      <x:c r="H16" s="30" t="n">
        <x:f>IF(COUNT(INDEX(H17:H19,'Controls'!$E$5))=0,NA(),INDEX(H17:H19,'Controls'!$E$5))</x:f>
        <x:v>0.07</x:v>
      </x:c>
      <x:c r="I16" s="30" t="n">
        <x:f>IF(COUNT(INDEX(I17:I19,'Controls'!$E$5))=0,NA(),INDEX(I17:I19,'Controls'!$E$5))</x:f>
        <x:v>0.07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0.07</x:v>
      </x:c>
      <x:c r="F17" s="26" t="n">
        <x:v>0.07</x:v>
      </x:c>
      <x:c r="G17" s="26" t="n">
        <x:v>0.07</x:v>
      </x:c>
      <x:c r="H17" s="26" t="n">
        <x:v>0.07</x:v>
      </x:c>
      <x:c r="I17" s="26" t="n">
        <x:v>0.07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0.045000000000000005</x:v>
      </x:c>
      <x:c r="F18" s="26" t="n">
        <x:v>0.045000000000000005</x:v>
      </x:c>
      <x:c r="G18" s="26" t="n">
        <x:v>0.045000000000000005</x:v>
      </x:c>
      <x:c r="H18" s="26" t="n">
        <x:v>0.045000000000000005</x:v>
      </x:c>
      <x:c r="I18" s="26" t="n">
        <x:v>0.045000000000000005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0.09000000000000001</x:v>
      </x:c>
      <x:c r="F19" s="26" t="n">
        <x:v>0.09000000000000001</x:v>
      </x:c>
      <x:c r="G19" s="26" t="n">
        <x:v>0.09000000000000001</x:v>
      </x:c>
      <x:c r="H19" s="26" t="n">
        <x:v>0.09000000000000001</x:v>
      </x:c>
      <x:c r="I19" s="26" t="n">
        <x:v>0.09000000000000001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Network variable and interconnect / revenue</x:v>
      </x:c>
      <x:c r="D21" s="24"/>
      <x:c r="E21" s="26" t="n">
        <x:v>0.32</x:v>
      </x:c>
      <x:c r="F21" s="26" t="n">
        <x:v>0.32</x:v>
      </x:c>
      <x:c r="G21" s="26" t="n">
        <x:v>0.32</x:v>
      </x:c>
      <x:c r="H21" s="26" t="n">
        <x:v>0.32</x:v>
      </x:c>
      <x:c r="I21" s="26" t="n">
        <x:v>0.32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0.2</x:v>
      </x:c>
      <x:c r="F22" s="26" t="n">
        <x:v>0.2</x:v>
      </x:c>
      <x:c r="G22" s="26" t="n">
        <x:v>0.2</x:v>
      </x:c>
      <x:c r="H22" s="26" t="n">
        <x:v>0.2</x:v>
      </x:c>
      <x:c r="I22" s="26" t="n">
        <x:v>0.2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0.2</x:v>
      </x:c>
      <x:c r="F23" s="26" t="n">
        <x:v>0.2</x:v>
      </x:c>
      <x:c r="G23" s="26" t="n">
        <x:v>0.2</x:v>
      </x:c>
      <x:c r="H23" s="26" t="n">
        <x:v>0.2</x:v>
      </x:c>
      <x:c r="I23" s="26" t="n">
        <x:v>0.2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0.12</x:v>
      </x:c>
      <x:c r="F24" s="26" t="n">
        <x:v>0.12</x:v>
      </x:c>
      <x:c r="G24" s="26" t="n">
        <x:v>0.12</x:v>
      </x:c>
      <x:c r="H24" s="26" t="n">
        <x:v>0.12</x:v>
      </x:c>
      <x:c r="I24" s="26" t="n">
        <x:v>0.12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15</x:v>
      </x:c>
      <x:c r="F25" s="7" t="n">
        <x:v>15</x:v>
      </x:c>
      <x:c r="G25" s="7" t="n">
        <x:v>15</x:v>
      </x:c>
      <x:c r="H25" s="7" t="n">
        <x:v>15</x:v>
      </x:c>
      <x:c r="I25" s="7" t="n">
        <x:v>15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0</x:v>
      </x:c>
      <x:c r="F26" s="7" t="n">
        <x:v>0</x:v>
      </x:c>
      <x:c r="G26" s="7" t="n">
        <x:v>0</x:v>
      </x:c>
      <x:c r="H26" s="7" t="n">
        <x:v>0</x:v>
      </x:c>
      <x:c r="I26" s="7" t="n">
        <x:v>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50</x:v>
      </x:c>
      <x:c r="F27" s="7" t="n">
        <x:v>50</x:v>
      </x:c>
      <x:c r="G27" s="7" t="n">
        <x:v>50</x:v>
      </x:c>
      <x:c r="H27" s="7" t="n">
        <x:v>50</x:v>
      </x:c>
      <x:c r="I27" s="7" t="n">
        <x:v>50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900</x:v>
      </x:c>
      <x:c r="F31" s="7" t="n">
        <x:v>900</x:v>
      </x:c>
      <x:c r="G31" s="7" t="n">
        <x:v>900</x:v>
      </x:c>
      <x:c r="H31" s="7" t="n">
        <x:v>900</x:v>
      </x:c>
      <x:c r="I31" s="7" t="n">
        <x:v>900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22000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9000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2000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-21.69863013698631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9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Average mobile subscribers (million)</x:v>
      </x:c>
      <x:c r="D44" s="2"/>
      <x:c r="E44" s="8" t="n">
        <x:f>$D10*(1+E12)</x:f>
        <x:v>31.5</x:v>
      </x:c>
      <x:c r="F44" s="8" t="n">
        <x:f>E44*(1+F12)</x:f>
        <x:v>33.075</x:v>
      </x:c>
      <x:c r="G44" s="8" t="n">
        <x:f>F44*(1+G12)</x:f>
        <x:v>34.728750000000005</x:v>
      </x:c>
      <x:c r="H44" s="8" t="n">
        <x:f>G44*(1+H12)</x:f>
        <x:v>36.465187500000006</x:v>
      </x:c>
      <x:c r="I44" s="8" t="n">
        <x:f>H44*(1+I12)</x:f>
        <x:v>38.288446875000005</x:v>
      </x:c>
      <x:c r="J44" s="1"/>
      <x:c r="K44" s="1"/>
    </x:row>
    <x:row r="45" ht="18" customHeight="1">
      <x:c r="A45" s="1"/>
      <x:c r="B45" s="1"/>
      <x:c r="C45" s="1" t="str">
        <x:v>Monthly ARPU (INR)</x:v>
      </x:c>
      <x:c r="D45" s="2"/>
      <x:c r="E45" s="8" t="n">
        <x:f>$D11*(1+E16)</x:f>
        <x:v>235.4</x:v>
      </x:c>
      <x:c r="F45" s="8" t="n">
        <x:f>E45*(1+F16)</x:f>
        <x:v>251.87800000000001</x:v>
      </x:c>
      <x:c r="G45" s="8" t="n">
        <x:f>F45*(1+G16)</x:f>
        <x:v>269.50946000000005</x:v>
      </x:c>
      <x:c r="H45" s="8" t="n">
        <x:f>G45*(1+H16)</x:f>
        <x:v>288.3751222000001</x:v>
      </x:c>
      <x:c r="I45" s="8" t="n">
        <x:f>H45*(1+I16)</x:f>
        <x:v>308.5613807540001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31.5</x:v>
      </x:c>
      <x:c r="F46" s="8" t="n">
        <x:f>F44*F20</x:f>
        <x:v>33.075</x:v>
      </x:c>
      <x:c r="G46" s="8" t="n">
        <x:f>G44*G20</x:f>
        <x:v>34.728750000000005</x:v>
      </x:c>
      <x:c r="H46" s="8" t="n">
        <x:f>H44*H20</x:f>
        <x:v>36.465187500000006</x:v>
      </x:c>
      <x:c r="I46" s="8" t="n">
        <x:f>I44*I20</x:f>
        <x:v>38.288446875000005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E46*E45*'Controls'!$E$14/'Controls'!$E$9*'Controls'!$E$10</x:f>
        <x:v>8898.119999999999</x:v>
      </x:c>
      <x:c r="F47" s="60" t="n">
        <x:f>F46*F45*'Controls'!$E$14/'Controls'!$E$9*'Controls'!$E$10</x:f>
        <x:v>9997.037820000001</x:v>
      </x:c>
      <x:c r="G47" s="60" t="n">
        <x:f>G46*G45*'Controls'!$E$14/'Controls'!$E$9*'Controls'!$E$10</x:f>
        <x:v>11231.671990770004</x:v>
      </x:c>
      <x:c r="H47" s="60" t="n">
        <x:f>H46*H45*'Controls'!$E$14/'Controls'!$E$9*'Controls'!$E$10</x:f>
        <x:v>12618.7834816301</x:v>
      </x:c>
      <x:c r="I47" s="60" t="n">
        <x:f>I46*I45*'Controls'!$E$14/'Controls'!$E$9*'Controls'!$E$10</x:f>
        <x:v>14177.20324161142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2847.3983999999996</x:v>
      </x:c>
      <x:c r="F49" s="8" t="n">
        <x:f>F47*F21</x:f>
        <x:v>3199.0521024000004</x:v>
      </x:c>
      <x:c r="G49" s="8" t="n">
        <x:f>G47*G21</x:f>
        <x:v>3594.1350370464015</x:v>
      </x:c>
      <x:c r="H49" s="8" t="n">
        <x:f>H47*H21</x:f>
        <x:v>4038.010714121632</x:v>
      </x:c>
      <x:c r="I49" s="8" t="n">
        <x:f>I47*I21</x:f>
        <x:v>4536.705037315654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6050.721599999999</x:v>
      </x:c>
      <x:c r="F50" s="8" t="n">
        <x:f>F47-F49</x:f>
        <x:v>6797.9857176000005</x:v>
      </x:c>
      <x:c r="G50" s="8" t="n">
        <x:f>G47-G49</x:f>
        <x:v>7637.536953723603</x:v>
      </x:c>
      <x:c r="H50" s="8" t="n">
        <x:f>H47-H49</x:f>
        <x:v>8580.772767508468</x:v>
      </x:c>
      <x:c r="I50" s="8" t="n">
        <x:f>I47-I49</x:f>
        <x:v>9640.498204295765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1779.6239999999998</x:v>
      </x:c>
      <x:c r="F51" s="8" t="n">
        <x:f>F47*F22</x:f>
        <x:v>1999.4075640000003</x:v>
      </x:c>
      <x:c r="G51" s="8" t="n">
        <x:f>G47*G22</x:f>
        <x:v>2246.334398154001</x:v>
      </x:c>
      <x:c r="H51" s="8" t="n">
        <x:f>H47*H22</x:f>
        <x:v>2523.75669632602</x:v>
      </x:c>
      <x:c r="I51" s="8" t="n">
        <x:f>I47*I22</x:f>
        <x:v>2835.4406483222842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4271.097599999999</x:v>
      </x:c>
      <x:c r="F52" s="41" t="n">
        <x:f>F50-F51</x:f>
        <x:v>4798.5781536</x:v>
      </x:c>
      <x:c r="G52" s="41" t="n">
        <x:f>G50-G51</x:f>
        <x:v>5391.202555569602</x:v>
      </x:c>
      <x:c r="H52" s="41" t="n">
        <x:f>H50-H51</x:f>
        <x:v>6057.016071182448</x:v>
      </x:c>
      <x:c r="I52" s="41" t="n">
        <x:f>I50-I51</x:f>
        <x:v>6805.057555973481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2640</x:v>
      </x:c>
      <x:c r="F53" s="8" t="n">
        <x:f>E66*F24</x:f>
        <x:v>2536.75488</x:v>
      </x:c>
      <x:c r="G53" s="8" t="n">
        <x:f>F66*G24</x:f>
        <x:v>2472.27320208</x:v>
      </x:c>
      <x:c r="H53" s="8" t="n">
        <x:f>G66*H24</x:f>
        <x:v>2445.16054560888</x:v>
      </x:c>
      <x:c r="I53" s="8" t="n">
        <x:f>H66*I24</x:f>
        <x:v>2454.592083694937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1631.0975999999991</x:v>
      </x:c>
      <x:c r="F54" s="8" t="n">
        <x:f>F52-F53</x:f>
        <x:v>2261.8232736000004</x:v>
      </x:c>
      <x:c r="G54" s="8" t="n">
        <x:f>G52-G53</x:f>
        <x:v>2918.929353489602</x:v>
      </x:c>
      <x:c r="H54" s="8" t="n">
        <x:f>H52-H53</x:f>
        <x:v>3611.8555255735682</x:v>
      </x:c>
      <x:c r="I54" s="8" t="n">
        <x:f>I52-I53</x:f>
        <x:v>4350.4654722785435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765</x:v>
      </x:c>
      <x:c r="F55" s="8" t="n">
        <x:f>E67*F29</x:f>
        <x:v>688.5</x:v>
      </x:c>
      <x:c r="G55" s="8" t="n">
        <x:f>F67*G29</x:f>
        <x:v>612</x:v>
      </x:c>
      <x:c r="H55" s="8" t="n">
        <x:f>G67*H29</x:f>
        <x:v>535.5</x:v>
      </x:c>
      <x:c r="I55" s="8" t="n">
        <x:f>H67*I29</x:f>
        <x:v>459.00000000000006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866.0975999999991</x:v>
      </x:c>
      <x:c r="F56" s="8" t="n">
        <x:f>F54-F55</x:f>
        <x:v>1573.3232736000004</x:v>
      </x:c>
      <x:c r="G56" s="8" t="n">
        <x:f>G54-G55</x:f>
        <x:v>2306.929353489602</x:v>
      </x:c>
      <x:c r="H56" s="8" t="n">
        <x:f>H54-H55</x:f>
        <x:v>3076.3555255735682</x:v>
      </x:c>
      <x:c r="I56" s="8" t="n">
        <x:f>I54-I55</x:f>
        <x:v>3891.4654722785435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216.5243999999998</x:v>
      </x:c>
      <x:c r="F57" s="8" t="n">
        <x:f>MAX(0,F56)*F28</x:f>
        <x:v>393.3308184000001</x:v>
      </x:c>
      <x:c r="G57" s="8" t="n">
        <x:f>MAX(0,G56)*G28</x:f>
        <x:v>576.7323383724005</x:v>
      </x:c>
      <x:c r="H57" s="8" t="n">
        <x:f>MAX(0,H56)*H28</x:f>
        <x:v>769.0888813933921</x:v>
      </x:c>
      <x:c r="I57" s="8" t="n">
        <x:f>MAX(0,I56)*I28</x:f>
        <x:v>972.8663680696359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649.5731999999994</x:v>
      </x:c>
      <x:c r="F58" s="41" t="n">
        <x:f>F56-F57</x:f>
        <x:v>1179.9924552000002</x:v>
      </x:c>
      <x:c r="G58" s="41" t="n">
        <x:f>G56-G57</x:f>
        <x:v>1730.1970151172013</x:v>
      </x:c>
      <x:c r="H58" s="41" t="n">
        <x:f>H56-H57</x:f>
        <x:v>2307.266644180176</x:v>
      </x:c>
      <x:c r="I58" s="41" t="n">
        <x:f>I56-I57</x:f>
        <x:v>2918.5991042089076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365.6761643835616</x:v>
      </x:c>
      <x:c r="F60" s="10" t="n">
        <x:f>F47*F25/'Controls'!$E$11</x:f>
        <x:v>410.83717068493155</x:v>
      </x:c>
      <x:c r="G60" s="10" t="n">
        <x:f>G47*G25/'Controls'!$E$11</x:f>
        <x:v>461.57556126452073</x:v>
      </x:c>
      <x:c r="H60" s="10" t="n">
        <x:f>H47*H25/'Controls'!$E$11</x:f>
        <x:v>518.580143080689</x:v>
      </x:c>
      <x:c r="I60" s="10" t="n">
        <x:f>I47*I25/'Controls'!$E$11</x:f>
        <x:v>582.6247907511543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0</x:v>
      </x:c>
      <x:c r="F61" s="10" t="n">
        <x:f>F49*F26/'Controls'!$E$11</x:f>
        <x:v>0</x:v>
      </x:c>
      <x:c r="G61" s="10" t="n">
        <x:f>G49*G26/'Controls'!$E$11</x:f>
        <x:v>0</x:v>
      </x:c>
      <x:c r="H61" s="10" t="n">
        <x:f>H49*H26/'Controls'!$E$11</x:f>
        <x:v>0</x:v>
      </x:c>
      <x:c r="I61" s="10" t="n">
        <x:f>I49*I26/'Controls'!$E$11</x:f>
        <x:v>0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390.0545753424657</x:v>
      </x:c>
      <x:c r="F62" s="10" t="n">
        <x:f>F49*F27/'Controls'!$E$11</x:f>
        <x:v>438.22631539726035</x:v>
      </x:c>
      <x:c r="G62" s="10" t="n">
        <x:f>G49*G27/'Controls'!$E$11</x:f>
        <x:v>492.34726534882213</x:v>
      </x:c>
      <x:c r="H62" s="10" t="n">
        <x:f>H49*H27/'Controls'!$E$11</x:f>
        <x:v>553.1521526194017</x:v>
      </x:c>
      <x:c r="I62" s="10" t="n">
        <x:f>I49*I27/'Controls'!$E$11</x:f>
        <x:v>621.4664434678979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-24.378410958904055</x:v>
      </x:c>
      <x:c r="F63" s="8" t="n">
        <x:f>F60+F61-F62</x:f>
        <x:v>-27.3891447123288</x:v>
      </x:c>
      <x:c r="G63" s="8" t="n">
        <x:f>G60+G61-G62</x:f>
        <x:v>-30.771704084301405</x:v>
      </x:c>
      <x:c r="H63" s="8" t="n">
        <x:f>H60+H61-H62</x:f>
        <x:v>-34.57200953871268</x:v>
      </x:c>
      <x:c r="I63" s="8" t="n">
        <x:f>I60+I61-I62</x:f>
        <x:v>-38.841652716743624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-2.6797808219177455</x:v>
      </x:c>
      <x:c r="F64" s="8" t="n">
        <x:f>F63-E63</x:f>
        <x:v>-3.010733753424745</x:v>
      </x:c>
      <x:c r="G64" s="8" t="n">
        <x:f>G63-F63</x:f>
        <x:v>-3.3825593719726044</x:v>
      </x:c>
      <x:c r="H64" s="8" t="n">
        <x:f>H63-G63</x:f>
        <x:v>-3.800305454411273</x:v>
      </x:c>
      <x:c r="I64" s="8" t="n">
        <x:f>I63-H63</x:f>
        <x:v>-4.269643178030947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1779.6239999999998</x:v>
      </x:c>
      <x:c r="F65" s="8" t="n">
        <x:f>F47*F23</x:f>
        <x:v>1999.4075640000003</x:v>
      </x:c>
      <x:c r="G65" s="8" t="n">
        <x:f>G47*G23</x:f>
        <x:v>2246.334398154001</x:v>
      </x:c>
      <x:c r="H65" s="8" t="n">
        <x:f>H47*H23</x:f>
        <x:v>2523.75669632602</x:v>
      </x:c>
      <x:c r="I65" s="8" t="n">
        <x:f>I47*I23</x:f>
        <x:v>2835.4406483222842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21139.624</x:v>
      </x:c>
      <x:c r="F66" s="8" t="n">
        <x:f>E66+F65-F53</x:f>
        <x:v>20602.276684</x:v>
      </x:c>
      <x:c r="G66" s="8" t="n">
        <x:f>F66+G65-G53</x:f>
        <x:v>20376.337880074003</x:v>
      </x:c>
      <x:c r="H66" s="8" t="n">
        <x:f>G66+H65-H53</x:f>
        <x:v>20454.934030791144</x:v>
      </x:c>
      <x:c r="I66" s="8" t="n">
        <x:f>H66+I65-I53</x:f>
        <x:v>20835.782595418492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8100</x:v>
      </x:c>
      <x:c r="F67" s="8" t="n">
        <x:f>E67+F30-F31</x:f>
        <x:v>7200</x:v>
      </x:c>
      <x:c r="G67" s="8" t="n">
        <x:f>F67+G30-G31</x:f>
        <x:v>6300</x:v>
      </x:c>
      <x:c r="H67" s="8" t="n">
        <x:f>G67+H30-H31</x:f>
        <x:v>5400</x:v>
      </x:c>
      <x:c r="I67" s="8" t="n">
        <x:f>H67+I30-I31</x:f>
        <x:v>4500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3292.252980821917</x:v>
      </x:c>
      <x:c r="F69" s="8" t="n">
        <x:f>F58+F53-F64</x:f>
        <x:v>3719.7580689534248</x:v>
      </x:c>
      <x:c r="G69" s="8" t="n">
        <x:f>G58+G53-G64</x:f>
        <x:v>4205.852776569174</x:v>
      </x:c>
      <x:c r="H69" s="8" t="n">
        <x:f>H58+H53-H64</x:f>
        <x:v>4756.227495243467</x:v>
      </x:c>
      <x:c r="I69" s="8" t="n">
        <x:f>I58+I53-I64</x:f>
        <x:v>5377.460831081877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162.39329999999984</x:v>
      </x:c>
      <x:c r="F70" s="8" t="n">
        <x:f>MAX(0,F58)*F32</x:f>
        <x:v>294.99811380000006</x:v>
      </x:c>
      <x:c r="G70" s="8" t="n">
        <x:f>MAX(0,G58)*G32</x:f>
        <x:v>432.54925377930033</x:v>
      </x:c>
      <x:c r="H70" s="8" t="n">
        <x:f>MAX(0,H58)*H32</x:f>
        <x:v>576.816661045044</x:v>
      </x:c>
      <x:c r="I70" s="8" t="n">
        <x:f>MAX(0,I58)*I32</x:f>
        <x:v>729.6497760522269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450.2356808219173</x:v>
      </x:c>
      <x:c r="F71" s="8" t="n">
        <x:f>F69-F65+F30-F31-F70</x:f>
        <x:v>525.3523911534244</x:v>
      </x:c>
      <x:c r="G71" s="8" t="n">
        <x:f>G69-G65+G30-G31-G70</x:f>
        <x:v>626.9691246358728</x:v>
      </x:c>
      <x:c r="H71" s="8" t="n">
        <x:f>H69-H65+H30-H31-H70</x:f>
        <x:v>755.6541378724031</x:v>
      </x:c>
      <x:c r="I71" s="8" t="n">
        <x:f>I69-I65+I30-I31-I70</x:f>
        <x:v>912.3704067073655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2450.2356808219174</x:v>
      </x:c>
      <x:c r="F72" s="8" t="n">
        <x:f>E72+F71</x:f>
        <x:v>2975.588071975342</x:v>
      </x:c>
      <x:c r="G72" s="8" t="n">
        <x:f>F72+G71</x:f>
        <x:v>3602.5571966112147</x:v>
      </x:c>
      <x:c r="H72" s="8" t="n">
        <x:f>G72+H71</x:f>
        <x:v>4358.211334483618</x:v>
      </x:c>
      <x:c r="I72" s="8" t="n">
        <x:f>H72+I71</x:f>
        <x:v>5270.581741190984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15465.481269863012</x:v>
      </x:c>
      <x:c r="F73" s="41" t="n">
        <x:f>E73+F58-F70</x:f>
        <x:v>16350.475611263013</x:v>
      </x:c>
      <x:c r="G73" s="41" t="n">
        <x:f>F73+G58-G70</x:f>
        <x:v>17648.123372600916</x:v>
      </x:c>
      <x:c r="H73" s="41" t="n">
        <x:f>G73+H58-H70</x:f>
        <x:v>19378.57335573605</x:v>
      </x:c>
      <x:c r="I73" s="41" t="n">
        <x:f>H73+I58-I70</x:f>
        <x:v>21567.522683892734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23955.53584520548</x:v>
      </x:c>
      <x:c r="F74" s="8" t="n">
        <x:f>F72+F60+F61+F66</x:f>
        <x:v>23988.701926660273</x:v>
      </x:c>
      <x:c r="G74" s="8" t="n">
        <x:f>G72+G60+G61+G66</x:f>
        <x:v>24440.470637949737</x:v>
      </x:c>
      <x:c r="H74" s="8" t="n">
        <x:f>H72+H60+H61+H66</x:f>
        <x:v>25331.725508355452</x:v>
      </x:c>
      <x:c r="I74" s="8" t="n">
        <x:f>I72+I60+I61+I66</x:f>
        <x:v>26688.98912736063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23955.53584520548</x:v>
      </x:c>
      <x:c r="F75" s="8" t="n">
        <x:f>F62+F67+F73</x:f>
        <x:v>23988.701926660273</x:v>
      </x:c>
      <x:c r="G75" s="8" t="n">
        <x:f>G62+G67+G73</x:f>
        <x:v>24440.470637949737</x:v>
      </x:c>
      <x:c r="H75" s="8" t="n">
        <x:f>H62+H67+H73</x:f>
        <x:v>25331.725508355452</x:v>
      </x:c>
      <x:c r="I75" s="8" t="n">
        <x:f>I62+I67+I73</x:f>
        <x:v>26688.989127360634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1223.3231999999994</x:v>
      </x:c>
      <x:c r="F76" s="8" t="n">
        <x:f>F54-MAX(0,F54)*F28</x:f>
        <x:v>1696.3674552000002</x:v>
      </x:c>
      <x:c r="G76" s="8" t="n">
        <x:f>G54-MAX(0,G54)*G28</x:f>
        <x:v>2189.1970151172013</x:v>
      </x:c>
      <x:c r="H76" s="8" t="n">
        <x:f>H54-MAX(0,H54)*H28</x:f>
        <x:v>2708.891644180176</x:v>
      </x:c>
      <x:c r="I76" s="8" t="n">
        <x:f>I54-MAX(0,I54)*I28</x:f>
        <x:v>3262.8491042089076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2086.378980821917</x:v>
      </x:c>
      <x:c r="F77" s="41" t="n">
        <x:f>F76+F53-F65-F64</x:f>
        <x:v>2236.725504953424</x:v>
      </x:c>
      <x:c r="G77" s="41" t="n">
        <x:f>G76+G53-G65-G64</x:f>
        <x:v>2418.5183784151727</x:v>
      </x:c>
      <x:c r="H77" s="41" t="n">
        <x:f>H76+H53-H65-H64</x:f>
        <x:v>2634.0957989174467</x:v>
      </x:c>
      <x:c r="I77" s="41" t="n">
        <x:f>I76+I53-I65-I64</x:f>
        <x:v>2886.270182759592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0.6799999999999999</x:v>
      </x:c>
      <x:c r="F79" s="35" t="n">
        <x:f>F50/F47</x:f>
        <x:v>0.6799999999999999</x:v>
      </x:c>
      <x:c r="G79" s="35" t="n">
        <x:f>G50/G47</x:f>
        <x:v>0.6799999999999999</x:v>
      </x:c>
      <x:c r="H79" s="35" t="n">
        <x:f>H50/H47</x:f>
        <x:v>0.6799999999999999</x:v>
      </x:c>
      <x:c r="I79" s="35" t="n">
        <x:f>I50/I47</x:f>
        <x:v>0.68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0.48</x:v>
      </x:c>
      <x:c r="F80" s="35" t="n">
        <x:f>F52/F47</x:f>
        <x:v>0.48</x:v>
      </x:c>
      <x:c r="G80" s="35" t="n">
        <x:f>G52/G47</x:f>
        <x:v>0.48</x:v>
      </x:c>
      <x:c r="H80" s="35" t="n">
        <x:f>H52/H47</x:f>
        <x:v>0.48000000000000004</x:v>
      </x:c>
      <x:c r="I80" s="35" t="n">
        <x:f>I52/I47</x:f>
        <x:v>0.4799999999999999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0.07300117328154705</x:v>
      </x:c>
      <x:c r="F81" s="35" t="n">
        <x:f>F58/F47</x:f>
        <x:v>0.11803420937743338</x:v>
      </x:c>
      <x:c r="G81" s="35" t="n">
        <x:f>G58/G47</x:f>
        <x:v>0.15404625567226746</x:v>
      </x:c>
      <x:c r="H81" s="35" t="n">
        <x:f>H58/H47</x:f>
        <x:v>0.18284382543998784</x:v>
      </x:c>
      <x:c r="I81" s="35" t="n">
        <x:f>I58/I47</x:f>
        <x:v>0.2058656460283045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0.7708212944658341</x:v>
      </x:c>
      <x:c r="F82" s="35" t="n">
        <x:f>IF(F52=0,"n.a.",F69/F52)</x:f>
        <x:v>0.7751792197367421</x:v>
      </x:c>
      <x:c r="G82" s="35" t="n">
        <x:f>IF(G52=0,"n.a.",G69/G52)</x:f>
        <x:v>0.7801325832627354</x:v>
      </x:c>
      <x:c r="H82" s="35" t="n">
        <x:f>IF(H52=0,"n.a.",H69/H52)</x:f>
        <x:v>0.7852426738426928</x:v>
      </x:c>
      <x:c r="I82" s="35" t="n">
        <x:f>IF(I52=0,"n.a.",I69/I52)</x:f>
        <x:v>0.7902153342349825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-35</x:v>
      </x:c>
      <x:c r="F83" s="8" t="n">
        <x:f>F25+F26-F27</x:f>
        <x:v>-35</x:v>
      </x:c>
      <x:c r="G83" s="8" t="n">
        <x:f>G25+G26-G27</x:f>
        <x:v>-35</x:v>
      </x:c>
      <x:c r="H83" s="8" t="n">
        <x:f>H25+H26-H27</x:f>
        <x:v>-35</x:v>
      </x:c>
      <x:c r="I83" s="8" t="n">
        <x:f>I25+I26-I27</x:f>
        <x:v>-35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1.3227897951051466</x:v>
      </x:c>
      <x:c r="F84" s="61" t="n">
        <x:f>IF(F52&lt;=0,"n.a.",(F67-F72)/F52)</x:f>
        <x:v>0.8803465928455098</x:v>
      </x:c>
      <x:c r="G84" s="61" t="n">
        <x:f>IF(G52&lt;=0,"n.a.",(G67-G72)/G52)</x:f>
        <x:v>0.5003415797468196</x:v>
      </x:c>
      <x:c r="H84" s="61" t="n">
        <x:f>IF(H52&lt;=0,"n.a.",(H67-H72)/H52)</x:f>
        <x:v>0.17199701194007308</x:v>
      </x:c>
      <x:c r="I84" s="61" t="n">
        <x:f>IF(I52&lt;=0,"n.a.",(I67-I72)/I52)</x:f>
        <x:v>-0.11323662362187768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2.1321537254901948</x:v>
      </x:c>
      <x:c r="F85" s="61" t="n">
        <x:f>IF(F55=0,"n.a.",F54/F55)</x:f>
        <x:v>3.285146366884532</x:v>
      </x:c>
      <x:c r="G85" s="61" t="n">
        <x:f>IF(G55=0,"n.a.",G54/G55)</x:f>
        <x:v>4.7694924076627485</x:v>
      </x:c>
      <x:c r="H85" s="61" t="n">
        <x:f>IF(H55=0,"n.a.",H54/H55)</x:f>
        <x:v>6.744828245702275</x:v>
      </x:c>
      <x:c r="I85" s="61" t="n">
        <x:f>IF(I55=0,"n.a.",I54/I55)</x:f>
        <x:v>9.478138283831248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0.056775238351422494</x:v>
      </x:c>
      <x:c r="F86" s="35" t="n">
        <x:f>F76/((E66+E63+F66+F63)/2)</x:f>
        <x:v>0.08137980514374062</x:v>
      </x:c>
      <x:c r="G86" s="35" t="n">
        <x:f>G76/((F66+F63+G66+G63)/2)</x:f>
        <x:v>0.1069976902186634</x:v>
      </x:c>
      <x:c r="H86" s="35" t="n">
        <x:f>H76/((G66+G63+H66+H63)/2)</x:f>
        <x:v>0.13289978979865036</x:v>
      </x:c>
      <x:c r="I86" s="35" t="n">
        <x:f>I76/((H66+H63+I66+I63)/2)</x:f>
        <x:v>0.15832424101413775</x:v>
      </x:c>
      <x:c r="J86" s="1"/>
      <x:c r="K86" s="1"/>
    </x:row>
    <x:row r="87" ht="18" customHeight="1">
      <x:c r="A87" s="1"/>
      <x:c r="B87" s="1"/>
      <x:c r="C87" s="1" t="str">
        <x:v>Monthly EBITDA per subscriber (INR)</x:v>
      </x:c>
      <x:c r="D87" s="2"/>
      <x:c r="E87" s="10" t="n">
        <x:f>E52*'Controls'!$E$9/(E44*'Controls'!$E$14*'Controls'!$E$10)</x:f>
        <x:v>112.99199999999998</x:v>
      </x:c>
      <x:c r="F87" s="10" t="n">
        <x:f>F52*'Controls'!$E$9/(F44*'Controls'!$E$14*'Controls'!$E$10)</x:f>
        <x:v>120.90144000000001</x:v>
      </x:c>
      <x:c r="G87" s="10" t="n">
        <x:f>G52*'Controls'!$E$9/(G44*'Controls'!$E$14*'Controls'!$E$10)</x:f>
        <x:v>129.36454080000001</x:v>
      </x:c>
      <x:c r="H87" s="10" t="n">
        <x:f>H52*'Controls'!$E$9/(H44*'Controls'!$E$14*'Controls'!$E$10)</x:f>
        <x:v>138.42005865600004</x:v>
      </x:c>
      <x:c r="I87" s="10" t="n">
        <x:f>I52*'Controls'!$E$9/(I44*'Controls'!$E$14*'Controls'!$E$10)</x:f>
        <x:v>148.10946276192004</x:v>
      </x:c>
      <x:c r="J87" s="1"/>
      <x:c r="K87" s="1"/>
    </x:row>
    <x:row r="88" ht="18" customHeight="1">
      <x:c r="A88" s="1"/>
      <x:c r="B88" s="1"/>
      <x:c r="C88" s="19" t="str">
        <x:v>VALUATION AT 31 MARCH 2026</x:v>
      </x:c>
      <x:c r="D88" s="20"/>
      <x:c r="E88" s="20"/>
      <x:c r="F88" s="20"/>
      <x:c r="G88" s="20"/>
      <x:c r="H88" s="20"/>
      <x:c r="I88" s="20"/>
      <x:c r="J88" s="1"/>
      <x:c r="K88" s="1"/>
    </x:row>
    <x:row r="89" ht="18" customHeight="1">
      <x:c r="A89" s="1"/>
      <x:c r="B89" s="1"/>
      <x:c r="C89" s="1" t="str">
        <x:v>PV of annual FCFF</x:v>
      </x:c>
      <x:c r="D89" s="2"/>
      <x:c r="E89" s="8" t="n">
        <x:f>E77/(1+$D39)^1</x:f>
        <x:v>1862.8383757338545</x:v>
      </x:c>
      <x:c r="F89" s="8" t="n">
        <x:f>F77/(1+$D39)^2</x:f>
        <x:v>1783.1038783110841</x:v>
      </x:c>
      <x:c r="G89" s="8" t="n">
        <x:f>G77/(1+$D39)^3</x:f>
        <x:v>1721.4536107296403</x:v>
      </x:c>
      <x:c r="H89" s="8" t="n">
        <x:f>H77/(1+$D39)^4</x:f>
        <x:v>1674.015500462254</x:v>
      </x:c>
      <x:c r="I89" s="8" t="n">
        <x:f>I77/(1+$D39)^5</x:f>
        <x:v>1637.7472145576219</x:v>
      </x:c>
      <x:c r="J89" s="1"/>
      <x:c r="K89" s="1"/>
    </x:row>
    <x:row r="90" ht="18" customHeight="1">
      <x:c r="A90" s="1"/>
      <x:c r="B90" s="1"/>
      <x:c r="C90" s="1" t="str">
        <x:v>Normalized terminal FCFF</x:v>
      </x:c>
      <x:c r="D90" s="2"/>
      <x:c r="E90" s="8" t="n">
        <x:f>I76*(1+$D40)*(1-$D40/$D41)</x:f>
        <x:v>2488.466250143327</x:v>
      </x:c>
      <x:c r="F90" s="2"/>
      <x:c r="G90" s="2"/>
      <x:c r="H90" s="2"/>
      <x:c r="I90" s="2"/>
      <x:c r="J90" s="1"/>
      <x:c r="K90" s="1" t="str">
        <x:v>Terminal reinvestment = terminal NOPAT × growth / incremental ROIC.</x:v>
      </x:c>
    </x:row>
    <x:row r="91" ht="18" customHeight="1">
      <x:c r="A91" s="1"/>
      <x:c r="B91" s="1"/>
      <x:c r="C91" s="1" t="str">
        <x:v>Terminal enterprise value</x:v>
      </x:c>
      <x:c r="D91" s="2"/>
      <x:c r="E91" s="8" t="n">
        <x:f>IF($D39&lt;=$D40,NA(),E90/($D39-$D40))</x:f>
        <x:v>31105.828126791595</x:v>
      </x:c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 t="str">
        <x:v>DCF enterprise value</x:v>
      </x:c>
      <x:c r="D92" s="2"/>
      <x:c r="E92" s="8" t="n">
        <x:f>SUM(E89:I89)+E91/(1+$D39)^5</x:f>
        <x:v>26329.440828302973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38" t="str">
        <x:v>DCF equity value</x:v>
      </x:c>
      <x:c r="D93" s="39"/>
      <x:c r="E93" s="41" t="n">
        <x:f>E92-$D35+$D36</x:f>
        <x:v>19329.440828302973</x:v>
      </x:c>
      <x:c r="F93" s="39"/>
      <x:c r="G93" s="39"/>
      <x:c r="H93" s="39"/>
      <x:c r="I93" s="39"/>
      <x:c r="J93" s="1"/>
      <x:c r="K93" s="1"/>
    </x:row>
    <x:row r="94" ht="18" customHeight="1">
      <x:c r="A94" s="1"/>
      <x:c r="B94" s="1"/>
      <x:c r="C94" s="1" t="str">
        <x:v>DCF value per share (INR)</x:v>
      </x:c>
      <x:c r="D94" s="33"/>
      <x:c r="E94" s="34" t="n">
        <x:f>E93/$D38</x:f>
        <x:v>193.29440828302972</x:v>
      </x:c>
      <x:c r="F94" s="33"/>
      <x:c r="G94" s="33"/>
      <x:c r="H94" s="33"/>
      <x:c r="I94" s="33"/>
      <x:c r="J94" s="1"/>
      <x:c r="K94" s="1"/>
    </x:row>
    <x:row r="95" ht="18" customHeight="1">
      <x:c r="A95" s="1"/>
      <x:c r="B95" s="1"/>
      <x:c r="C95" s="1" t="str">
        <x:v>Forward multiple enterprise value</x:v>
      </x:c>
      <x:c r="D95" s="2"/>
      <x:c r="E95" s="8" t="n">
        <x:f>E52*$D42</x:f>
        <x:v>38439.878399999994</x:v>
      </x:c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 t="str">
        <x:v>Forward multiple equity value</x:v>
      </x:c>
      <x:c r="D96" s="2"/>
      <x:c r="E96" s="8" t="n">
        <x:f>E95-$D35+$D36</x:f>
        <x:v>31439.878399999994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23" t="str">
        <x:v>Terminal value / DCF enterprise value</x:v>
      </x:c>
      <x:c r="D97" s="24"/>
      <x:c r="E97" s="35" t="n">
        <x:f>(E91/(1+$D39)^5)/E92</x:f>
        <x:v>0.6703629736616076</x:v>
      </x:c>
      <x:c r="F97" s="24"/>
      <x:c r="G97" s="24"/>
      <x:c r="H97" s="24"/>
      <x:c r="I97" s="24"/>
      <x:c r="J97" s="1"/>
      <x:c r="K97" s="1"/>
    </x:row>
    <x:row r="98" ht="18" customHeight="1">
      <x:c r="A98" s="1"/>
      <x:c r="B98" s="1"/>
      <x:c r="C98" s="19" t="str">
        <x:v>MODEL CHECKS</x:v>
      </x:c>
      <x:c r="D98" s="20"/>
      <x:c r="E98" s="20"/>
      <x:c r="F98" s="20"/>
      <x:c r="G98" s="20"/>
      <x:c r="H98" s="20"/>
      <x:c r="I98" s="20"/>
      <x:c r="J98" s="1"/>
      <x:c r="K98" s="1"/>
    </x:row>
    <x:row r="99" ht="18" customHeight="1">
      <x:c r="A99" s="1"/>
      <x:c r="B99" s="1"/>
      <x:c r="C99" s="1" t="str">
        <x:v>Assets less liabilities and equity</x:v>
      </x:c>
      <x:c r="D99" s="33"/>
      <x:c r="E99" s="34" t="n">
        <x:f>E74-E75</x:f>
        <x:v>0</x:v>
      </x:c>
      <x:c r="F99" s="34" t="n">
        <x:f>F74-F75</x:f>
        <x:v>0</x:v>
      </x:c>
      <x:c r="G99" s="34" t="n">
        <x:f>G74-G75</x:f>
        <x:v>0</x:v>
      </x:c>
      <x:c r="H99" s="34" t="n">
        <x:f>H74-H75</x:f>
        <x:v>0</x:v>
      </x:c>
      <x:c r="I99" s="34" t="n">
        <x:f>I74-I75</x:f>
        <x:v>-3.637978807091713e-12</x:v>
      </x:c>
      <x:c r="J99" s="1"/>
      <x:c r="K99" s="1"/>
    </x:row>
    <x:row r="100" ht="18" customHeight="1">
      <x:c r="A100" s="1"/>
      <x:c r="B100" s="1"/>
      <x:c r="C100" s="1" t="str">
        <x:v>Cash funding shortfall</x:v>
      </x:c>
      <x:c r="D100" s="33"/>
      <x:c r="E100" s="34" t="n">
        <x:f>MAX(0,-E72)</x:f>
        <x:v>0</x:v>
      </x:c>
      <x:c r="F100" s="34" t="n">
        <x:f>MAX(0,-F72)</x:f>
        <x:v>0</x:v>
      </x:c>
      <x:c r="G100" s="34" t="n">
        <x:f>MAX(0,-G72)</x:f>
        <x:v>0</x:v>
      </x:c>
      <x:c r="H100" s="34" t="n">
        <x:f>MAX(0,-H72)</x:f>
        <x:v>0</x:v>
      </x:c>
      <x:c r="I100" s="34" t="n">
        <x:f>MAX(0,-I72)</x:f>
        <x:v>0</x:v>
      </x:c>
      <x:c r="J100" s="1"/>
      <x:c r="K100" s="1"/>
    </x:row>
    <x:row r="101" ht="18" customHeight="1">
      <x:c r="A101" s="1"/>
      <x:c r="B101" s="1"/>
      <x:c r="C101" s="1" t="str">
        <x:v>Debt below zero</x:v>
      </x:c>
      <x:c r="D101" s="33"/>
      <x:c r="E101" s="34" t="n">
        <x:f>MAX(0,-E67)</x:f>
        <x:v>0</x:v>
      </x:c>
      <x:c r="F101" s="34" t="n">
        <x:f>MAX(0,-F67)</x:f>
        <x:v>0</x:v>
      </x:c>
      <x:c r="G101" s="34" t="n">
        <x:f>MAX(0,-G67)</x:f>
        <x:v>0</x:v>
      </x:c>
      <x:c r="H101" s="34" t="n">
        <x:f>MAX(0,-H67)</x:f>
        <x:v>0</x:v>
      </x:c>
      <x:c r="I101" s="34" t="n">
        <x:f>MAX(0,-I67)</x:f>
        <x:v>0</x:v>
      </x:c>
      <x:c r="J101" s="1"/>
      <x:c r="K101" s="1"/>
    </x:row>
    <x:row r="102" ht="18" customHeight="1">
      <x:c r="A102" s="1"/>
      <x:c r="B102" s="1"/>
      <x:c r="C102" s="1" t="str">
        <x:v>Utilization above 100%</x:v>
      </x:c>
      <x:c r="D102" s="33"/>
      <x:c r="E102" s="34" t="n">
        <x:f>MAX(0,E20-1)</x:f>
        <x:v>0</x:v>
      </x:c>
      <x:c r="F102" s="34" t="n">
        <x:f>MAX(0,F20-1)</x:f>
        <x:v>0</x:v>
      </x:c>
      <x:c r="G102" s="34" t="n">
        <x:f>MAX(0,G20-1)</x:f>
        <x:v>0</x:v>
      </x:c>
      <x:c r="H102" s="34" t="n">
        <x:f>MAX(0,H20-1)</x:f>
        <x:v>0</x:v>
      </x:c>
      <x:c r="I102" s="34" t="n">
        <x:f>MAX(0,I20-1)</x:f>
        <x:v>0</x:v>
      </x:c>
      <x:c r="J102" s="1"/>
      <x:c r="K102" s="1"/>
    </x:row>
    <x:row r="103" ht="18" customHeight="1">
      <x:c r="A103" s="1"/>
      <x:c r="B103" s="1"/>
      <x:c r="C103" s="1" t="str">
        <x:v>Net PP&amp;E below zero</x:v>
      </x:c>
      <x:c r="D103" s="33"/>
      <x:c r="E103" s="34" t="n">
        <x:f>MAX(0,-E66)</x:f>
        <x:v>0</x:v>
      </x:c>
      <x:c r="F103" s="34" t="n">
        <x:f>MAX(0,-F66)</x:f>
        <x:v>0</x:v>
      </x:c>
      <x:c r="G103" s="34" t="n">
        <x:f>MAX(0,-G66)</x:f>
        <x:v>0</x:v>
      </x:c>
      <x:c r="H103" s="34" t="n">
        <x:f>MAX(0,-H66)</x:f>
        <x:v>0</x:v>
      </x:c>
      <x:c r="I103" s="34" t="n">
        <x:f>MAX(0,-I66)</x:f>
        <x:v>0</x:v>
      </x:c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99:I99">
    <x:cfRule type="expression" dxfId="35" priority="1">
      <x:formula>ABS(E99)&gt;0.01</x:formula>
    </x:cfRule>
  </x:conditionalFormatting>
  <x:conditionalFormatting sqref="E100:I100">
    <x:cfRule type="expression" dxfId="36" priority="2">
      <x:formula>ABS(E100)&gt;0.01</x:formula>
    </x:cfRule>
  </x:conditionalFormatting>
  <x:conditionalFormatting sqref="E101:I101">
    <x:cfRule type="expression" dxfId="37" priority="3">
      <x:formula>ABS(E101)&gt;0.01</x:formula>
    </x:cfRule>
  </x:conditionalFormatting>
  <x:conditionalFormatting sqref="E102:I102">
    <x:cfRule type="expression" dxfId="38" priority="4">
      <x:formula>ABS(E102)&gt;0.01</x:formula>
    </x:cfRule>
  </x:conditionalFormatting>
  <x:conditionalFormatting sqref="E103:I103">
    <x:cfRule type="expression" dxfId="39" priority="5">
      <x:formula>ABS(E103)&gt;0.01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Renewable Power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operational capacity (MW) — seed</x:v>
      </x:c>
      <x:c r="D10" s="7" t="n">
        <x:v>1500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Realized tariff (INR per kWh) — seed</x:v>
      </x:c>
      <x:c r="D11" s="7" t="n">
        <x:v>3.2</x:v>
      </x:c>
      <x:c r="E11" s="2"/>
      <x:c r="F11" s="2"/>
      <x:c r="G11" s="2"/>
      <x:c r="H11" s="2"/>
      <x:c r="I11" s="2"/>
      <x:c r="J11" s="1"/>
      <x:c r="K11" s="1" t="str">
        <x:v>Generation archetype. Capacity, capex and project timing must be reconciled for a real asset portfolio.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0.12</x:v>
      </x:c>
      <x:c r="F12" s="30" t="n">
        <x:f>IF(COUNT(INDEX(F13:F15,'Controls'!$E$5))=0,NA(),INDEX(F13:F15,'Controls'!$E$5))</x:f>
        <x:v>0.12</x:v>
      </x:c>
      <x:c r="G12" s="30" t="n">
        <x:f>IF(COUNT(INDEX(G13:G15,'Controls'!$E$5))=0,NA(),INDEX(G13:G15,'Controls'!$E$5))</x:f>
        <x:v>0.12</x:v>
      </x:c>
      <x:c r="H12" s="30" t="n">
        <x:f>IF(COUNT(INDEX(H13:H15,'Controls'!$E$5))=0,NA(),INDEX(H13:H15,'Controls'!$E$5))</x:f>
        <x:v>0.12</x:v>
      </x:c>
      <x:c r="I12" s="30" t="n">
        <x:f>IF(COUNT(INDEX(I13:I15,'Controls'!$E$5))=0,NA(),INDEX(I13:I15,'Controls'!$E$5))</x:f>
        <x:v>0.12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0.12</x:v>
      </x:c>
      <x:c r="F13" s="26" t="n">
        <x:v>0.12</x:v>
      </x:c>
      <x:c r="G13" s="26" t="n">
        <x:v>0.12</x:v>
      </x:c>
      <x:c r="H13" s="26" t="n">
        <x:v>0.12</x:v>
      </x:c>
      <x:c r="I13" s="26" t="n">
        <x:v>0.12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0.06999999999999999</x:v>
      </x:c>
      <x:c r="F14" s="26" t="n">
        <x:v>0.06999999999999999</x:v>
      </x:c>
      <x:c r="G14" s="26" t="n">
        <x:v>0.06999999999999999</x:v>
      </x:c>
      <x:c r="H14" s="26" t="n">
        <x:v>0.06999999999999999</x:v>
      </x:c>
      <x:c r="I14" s="26" t="n">
        <x:v>0.06999999999999999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0.16</x:v>
      </x:c>
      <x:c r="F15" s="26" t="n">
        <x:v>0.16</x:v>
      </x:c>
      <x:c r="G15" s="26" t="n">
        <x:v>0.16</x:v>
      </x:c>
      <x:c r="H15" s="26" t="n">
        <x:v>0.16</x:v>
      </x:c>
      <x:c r="I15" s="26" t="n">
        <x:v>0.16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</x:v>
      </x:c>
      <x:c r="F16" s="30" t="n">
        <x:f>IF(COUNT(INDEX(F17:F19,'Controls'!$E$5))=0,NA(),INDEX(F17:F19,'Controls'!$E$5))</x:f>
        <x:v>0</x:v>
      </x:c>
      <x:c r="G16" s="30" t="n">
        <x:f>IF(COUNT(INDEX(G17:G19,'Controls'!$E$5))=0,NA(),INDEX(G17:G19,'Controls'!$E$5))</x:f>
        <x:v>0</x:v>
      </x:c>
      <x:c r="H16" s="30" t="n">
        <x:f>IF(COUNT(INDEX(H17:H19,'Controls'!$E$5))=0,NA(),INDEX(H17:H19,'Controls'!$E$5))</x:f>
        <x:v>0</x:v>
      </x:c>
      <x:c r="I16" s="30" t="n">
        <x:f>IF(COUNT(INDEX(I17:I19,'Controls'!$E$5))=0,NA(),INDEX(I17:I19,'Controls'!$E$5))</x:f>
        <x:v>0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</x:v>
      </x:c>
      <x:c r="F17" s="26" t="n">
        <x:v>0</x:v>
      </x:c>
      <x:c r="G17" s="26" t="n">
        <x:v>0</x:v>
      </x:c>
      <x:c r="H17" s="26" t="n">
        <x:v>0</x:v>
      </x:c>
      <x:c r="I17" s="26" t="n">
        <x:v>0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-0.025</x:v>
      </x:c>
      <x:c r="F18" s="26" t="n">
        <x:v>-0.025</x:v>
      </x:c>
      <x:c r="G18" s="26" t="n">
        <x:v>-0.025</x:v>
      </x:c>
      <x:c r="H18" s="26" t="n">
        <x:v>-0.025</x:v>
      </x:c>
      <x:c r="I18" s="26" t="n">
        <x:v>-0.025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0.02</x:v>
      </x:c>
      <x:c r="F19" s="26" t="n">
        <x:v>0.02</x:v>
      </x:c>
      <x:c r="G19" s="26" t="n">
        <x:v>0.02</x:v>
      </x:c>
      <x:c r="H19" s="26" t="n">
        <x:v>0.02</x:v>
      </x:c>
      <x:c r="I19" s="26" t="n">
        <x:v>0.02</x:v>
      </x:c>
      <x:c r="J19" s="1"/>
      <x:c r="K19" s="1"/>
    </x:row>
    <x:row r="20" ht="18" customHeight="1">
      <x:c r="A20" s="1"/>
      <x:c r="B20" s="1"/>
      <x:c r="C20" s="23" t="str">
        <x:v>Capacity utilization factor</x:v>
      </x:c>
      <x:c r="D20" s="24"/>
      <x:c r="E20" s="26" t="n">
        <x:v>0.27</x:v>
      </x:c>
      <x:c r="F20" s="26" t="n">
        <x:v>0.27</x:v>
      </x:c>
      <x:c r="G20" s="26" t="n">
        <x:v>0.27</x:v>
      </x:c>
      <x:c r="H20" s="26" t="n">
        <x:v>0.27</x:v>
      </x:c>
      <x:c r="I20" s="26" t="n">
        <x:v>0.27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Variable operations cost / revenue</x:v>
      </x:c>
      <x:c r="D21" s="24"/>
      <x:c r="E21" s="26" t="n">
        <x:v>0.14</x:v>
      </x:c>
      <x:c r="F21" s="26" t="n">
        <x:v>0.14</x:v>
      </x:c>
      <x:c r="G21" s="26" t="n">
        <x:v>0.14</x:v>
      </x:c>
      <x:c r="H21" s="26" t="n">
        <x:v>0.14</x:v>
      </x:c>
      <x:c r="I21" s="26" t="n">
        <x:v>0.14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0.08</x:v>
      </x:c>
      <x:c r="F22" s="26" t="n">
        <x:v>0.08</x:v>
      </x:c>
      <x:c r="G22" s="26" t="n">
        <x:v>0.08</x:v>
      </x:c>
      <x:c r="H22" s="26" t="n">
        <x:v>0.08</x:v>
      </x:c>
      <x:c r="I22" s="26" t="n">
        <x:v>0.08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0.25</x:v>
      </x:c>
      <x:c r="F23" s="26" t="n">
        <x:v>0.25</x:v>
      </x:c>
      <x:c r="G23" s="26" t="n">
        <x:v>0.25</x:v>
      </x:c>
      <x:c r="H23" s="26" t="n">
        <x:v>0.25</x:v>
      </x:c>
      <x:c r="I23" s="26" t="n">
        <x:v>0.25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0.045</x:v>
      </x:c>
      <x:c r="F24" s="26" t="n">
        <x:v>0.045</x:v>
      </x:c>
      <x:c r="G24" s="26" t="n">
        <x:v>0.045</x:v>
      </x:c>
      <x:c r="H24" s="26" t="n">
        <x:v>0.045</x:v>
      </x:c>
      <x:c r="I24" s="26" t="n">
        <x:v>0.045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100</x:v>
      </x:c>
      <x:c r="F25" s="7" t="n">
        <x:v>100</x:v>
      </x:c>
      <x:c r="G25" s="7" t="n">
        <x:v>100</x:v>
      </x:c>
      <x:c r="H25" s="7" t="n">
        <x:v>100</x:v>
      </x:c>
      <x:c r="I25" s="7" t="n">
        <x:v>100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0</x:v>
      </x:c>
      <x:c r="F26" s="7" t="n">
        <x:v>0</x:v>
      </x:c>
      <x:c r="G26" s="7" t="n">
        <x:v>0</x:v>
      </x:c>
      <x:c r="H26" s="7" t="n">
        <x:v>0</x:v>
      </x:c>
      <x:c r="I26" s="7" t="n">
        <x:v>0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30</x:v>
      </x:c>
      <x:c r="F27" s="7" t="n">
        <x:v>30</x:v>
      </x:c>
      <x:c r="G27" s="7" t="n">
        <x:v>30</x:v>
      </x:c>
      <x:c r="H27" s="7" t="n">
        <x:v>30</x:v>
      </x:c>
      <x:c r="I27" s="7" t="n">
        <x:v>30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200</x:v>
      </x:c>
      <x:c r="F31" s="7" t="n">
        <x:v>200</x:v>
      </x:c>
      <x:c r="G31" s="7" t="n">
        <x:v>200</x:v>
      </x:c>
      <x:c r="H31" s="7" t="n">
        <x:v>200</x:v>
      </x:c>
      <x:c r="I31" s="7" t="n">
        <x:v>200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7000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4000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500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297.97632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11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Average operational capacity (MW)</x:v>
      </x:c>
      <x:c r="D44" s="2"/>
      <x:c r="E44" s="8" t="n">
        <x:f>$D10*(1+E12)</x:f>
        <x:v>1680.0000000000002</x:v>
      </x:c>
      <x:c r="F44" s="8" t="n">
        <x:f>E44*(1+F12)</x:f>
        <x:v>1881.6000000000004</x:v>
      </x:c>
      <x:c r="G44" s="8" t="n">
        <x:f>F44*(1+G12)</x:f>
        <x:v>2107.3920000000007</x:v>
      </x:c>
      <x:c r="H44" s="8" t="n">
        <x:f>G44*(1+H12)</x:f>
        <x:v>2360.2790400000013</x:v>
      </x:c>
      <x:c r="I44" s="8" t="n">
        <x:f>H44*(1+I12)</x:f>
        <x:v>2643.5125248000018</x:v>
      </x:c>
      <x:c r="J44" s="1"/>
      <x:c r="K44" s="1"/>
    </x:row>
    <x:row r="45" ht="18" customHeight="1">
      <x:c r="A45" s="1"/>
      <x:c r="B45" s="1"/>
      <x:c r="C45" s="1" t="str">
        <x:v>Realized tariff (INR per kWh)</x:v>
      </x:c>
      <x:c r="D45" s="2"/>
      <x:c r="E45" s="8" t="n">
        <x:f>$D11*(1+E16)</x:f>
        <x:v>3.2</x:v>
      </x:c>
      <x:c r="F45" s="8" t="n">
        <x:f>E45*(1+F16)</x:f>
        <x:v>3.2</x:v>
      </x:c>
      <x:c r="G45" s="8" t="n">
        <x:f>F45*(1+G16)</x:f>
        <x:v>3.2</x:v>
      </x:c>
      <x:c r="H45" s="8" t="n">
        <x:f>G45*(1+H16)</x:f>
        <x:v>3.2</x:v>
      </x:c>
      <x:c r="I45" s="8" t="n">
        <x:f>H45*(1+I16)</x:f>
        <x:v>3.2</x:v>
      </x:c>
      <x:c r="J45" s="1"/>
      <x:c r="K45" s="1"/>
    </x:row>
    <x:row r="46" ht="18" customHeight="1">
      <x:c r="A46" s="1"/>
      <x:c r="B46" s="1"/>
      <x:c r="C46" s="1" t="str">
        <x:v>Generation (million kWh)</x:v>
      </x:c>
      <x:c r="D46" s="2"/>
      <x:c r="E46" s="10" t="n">
        <x:f>E44*'Controls'!$E$12*'Controls'!$E$13*E20/'Controls'!$E$14</x:f>
        <x:v>3973.536000000001</x:v>
      </x:c>
      <x:c r="F46" s="10" t="n">
        <x:f>F44*'Controls'!$E$12*'Controls'!$E$13*F20/'Controls'!$E$14</x:f>
        <x:v>4450.360320000001</x:v>
      </x:c>
      <x:c r="G46" s="10" t="n">
        <x:f>G44*'Controls'!$E$12*'Controls'!$E$13*G20/'Controls'!$E$14</x:f>
        <x:v>4984.403558400001</x:v>
      </x:c>
      <x:c r="H46" s="10" t="n">
        <x:f>H44*'Controls'!$E$12*'Controls'!$E$13*H20/'Controls'!$E$14</x:f>
        <x:v>5582.5319854080035</x:v>
      </x:c>
      <x:c r="I46" s="10" t="n">
        <x:f>I44*'Controls'!$E$12*'Controls'!$E$13*I20/'Controls'!$E$14</x:f>
        <x:v>6252.435823656965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E46*E45*'Controls'!$E$14/'Controls'!$E$9</x:f>
        <x:v>1271.5315200000005</x:v>
      </x:c>
      <x:c r="F47" s="60" t="n">
        <x:f>F46*F45*'Controls'!$E$14/'Controls'!$E$9</x:f>
        <x:v>1424.1153024000005</x:v>
      </x:c>
      <x:c r="G47" s="60" t="n">
        <x:f>G46*G45*'Controls'!$E$14/'Controls'!$E$9</x:f>
        <x:v>1595.0091386880006</x:v>
      </x:c>
      <x:c r="H47" s="60" t="n">
        <x:f>H46*H45*'Controls'!$E$14/'Controls'!$E$9</x:f>
        <x:v>1786.4102353305611</x:v>
      </x:c>
      <x:c r="I47" s="60" t="n">
        <x:f>I46*I45*'Controls'!$E$14/'Controls'!$E$9</x:f>
        <x:v>2000.779463570229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178.0144128000001</x:v>
      </x:c>
      <x:c r="F49" s="8" t="n">
        <x:f>F47*F21</x:f>
        <x:v>199.37614233600007</x:v>
      </x:c>
      <x:c r="G49" s="8" t="n">
        <x:f>G47*G21</x:f>
        <x:v>223.3012794163201</x:v>
      </x:c>
      <x:c r="H49" s="8" t="n">
        <x:f>H47*H21</x:f>
        <x:v>250.0974329462786</x:v>
      </x:c>
      <x:c r="I49" s="8" t="n">
        <x:f>I47*I21</x:f>
        <x:v>280.10912489983207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1093.5171072000003</x:v>
      </x:c>
      <x:c r="F50" s="8" t="n">
        <x:f>F47-F49</x:f>
        <x:v>1224.7391600640003</x:v>
      </x:c>
      <x:c r="G50" s="8" t="n">
        <x:f>G47-G49</x:f>
        <x:v>1371.7078592716805</x:v>
      </x:c>
      <x:c r="H50" s="8" t="n">
        <x:f>H47-H49</x:f>
        <x:v>1536.3128023842826</x:v>
      </x:c>
      <x:c r="I50" s="8" t="n">
        <x:f>I47-I49</x:f>
        <x:v>1720.6703386703969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101.72252160000004</x:v>
      </x:c>
      <x:c r="F51" s="8" t="n">
        <x:f>F47*F22</x:f>
        <x:v>113.92922419200004</x:v>
      </x:c>
      <x:c r="G51" s="8" t="n">
        <x:f>G47*G22</x:f>
        <x:v>127.60073109504005</x:v>
      </x:c>
      <x:c r="H51" s="8" t="n">
        <x:f>H47*H22</x:f>
        <x:v>142.9128188264449</x:v>
      </x:c>
      <x:c r="I51" s="8" t="n">
        <x:f>I47*I22</x:f>
        <x:v>160.06235708561832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991.7945856000002</x:v>
      </x:c>
      <x:c r="F52" s="41" t="n">
        <x:f>F50-F51</x:f>
        <x:v>1110.8099358720003</x:v>
      </x:c>
      <x:c r="G52" s="41" t="n">
        <x:f>G50-G51</x:f>
        <x:v>1244.1071281766403</x:v>
      </x:c>
      <x:c r="H52" s="41" t="n">
        <x:f>H50-H51</x:f>
        <x:v>1393.3999835578377</x:v>
      </x:c>
      <x:c r="I52" s="41" t="n">
        <x:f>I50-I51</x:f>
        <x:v>1560.6079815847786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315</x:v>
      </x:c>
      <x:c r="F53" s="8" t="n">
        <x:f>E66*F24</x:f>
        <x:v>315.1297296</x:v>
      </x:c>
      <x:c r="G53" s="8" t="n">
        <x:f>F66*G24</x:f>
        <x:v>316.97018892</x:v>
      </x:c>
      <x:c r="H53" s="8" t="n">
        <x:f>G66*H24</x:f>
        <x:v>320.65038322884004</x:v>
      </x:c>
      <x:c r="I53" s="8" t="n">
        <x:f>H66*I24</x:f>
        <x:v>326.31823113101103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676.7945856000002</x:v>
      </x:c>
      <x:c r="F54" s="8" t="n">
        <x:f>F52-F53</x:f>
        <x:v>795.6802062720003</x:v>
      </x:c>
      <x:c r="G54" s="8" t="n">
        <x:f>G52-G53</x:f>
        <x:v>927.1369392566403</x:v>
      </x:c>
      <x:c r="H54" s="8" t="n">
        <x:f>H52-H53</x:f>
        <x:v>1072.7496003289975</x:v>
      </x:c>
      <x:c r="I54" s="8" t="n">
        <x:f>I52-I53</x:f>
        <x:v>1234.2897504537675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340</x:v>
      </x:c>
      <x:c r="F55" s="8" t="n">
        <x:f>E67*F29</x:f>
        <x:v>323</x:v>
      </x:c>
      <x:c r="G55" s="8" t="n">
        <x:f>F67*G29</x:f>
        <x:v>306</x:v>
      </x:c>
      <x:c r="H55" s="8" t="n">
        <x:f>G67*H29</x:f>
        <x:v>289</x:v>
      </x:c>
      <x:c r="I55" s="8" t="n">
        <x:f>H67*I29</x:f>
        <x:v>272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336.79458560000023</x:v>
      </x:c>
      <x:c r="F56" s="8" t="n">
        <x:f>F54-F55</x:f>
        <x:v>472.6802062720003</x:v>
      </x:c>
      <x:c r="G56" s="8" t="n">
        <x:f>G54-G55</x:f>
        <x:v>621.1369392566403</x:v>
      </x:c>
      <x:c r="H56" s="8" t="n">
        <x:f>H54-H55</x:f>
        <x:v>783.7496003289975</x:v>
      </x:c>
      <x:c r="I56" s="8" t="n">
        <x:f>I54-I55</x:f>
        <x:v>962.2897504537675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84.19864640000006</x:v>
      </x:c>
      <x:c r="F57" s="8" t="n">
        <x:f>MAX(0,F56)*F28</x:f>
        <x:v>118.17005156800008</x:v>
      </x:c>
      <x:c r="G57" s="8" t="n">
        <x:f>MAX(0,G56)*G28</x:f>
        <x:v>155.28423481416007</x:v>
      </x:c>
      <x:c r="H57" s="8" t="n">
        <x:f>MAX(0,H56)*H28</x:f>
        <x:v>195.93740008224938</x:v>
      </x:c>
      <x:c r="I57" s="8" t="n">
        <x:f>MAX(0,I56)*I28</x:f>
        <x:v>240.57243761344188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252.59593920000017</x:v>
      </x:c>
      <x:c r="F58" s="41" t="n">
        <x:f>F56-F57</x:f>
        <x:v>354.51015470400023</x:v>
      </x:c>
      <x:c r="G58" s="41" t="n">
        <x:f>G56-G57</x:f>
        <x:v>465.8527044424802</x:v>
      </x:c>
      <x:c r="H58" s="41" t="n">
        <x:f>H56-H57</x:f>
        <x:v>587.8122002467481</x:v>
      </x:c>
      <x:c r="I58" s="41" t="n">
        <x:f>I56-I57</x:f>
        <x:v>721.7173128403256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348.3648000000001</x:v>
      </x:c>
      <x:c r="F60" s="10" t="n">
        <x:f>F47*F25/'Controls'!$E$11</x:f>
        <x:v>390.16857600000014</x:v>
      </x:c>
      <x:c r="G60" s="10" t="n">
        <x:f>G47*G25/'Controls'!$E$11</x:f>
        <x:v>436.98880512000017</x:v>
      </x:c>
      <x:c r="H60" s="10" t="n">
        <x:f>H47*H25/'Controls'!$E$11</x:f>
        <x:v>489.4274617344003</x:v>
      </x:c>
      <x:c r="I60" s="10" t="n">
        <x:f>I47*I25/'Controls'!$E$11</x:f>
        <x:v>548.1587571425284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0</x:v>
      </x:c>
      <x:c r="F61" s="10" t="n">
        <x:f>F49*F26/'Controls'!$E$11</x:f>
        <x:v>0</x:v>
      </x:c>
      <x:c r="G61" s="10" t="n">
        <x:f>G49*G26/'Controls'!$E$11</x:f>
        <x:v>0</x:v>
      </x:c>
      <x:c r="H61" s="10" t="n">
        <x:f>H49*H26/'Controls'!$E$11</x:f>
        <x:v>0</x:v>
      </x:c>
      <x:c r="I61" s="10" t="n">
        <x:f>I49*I26/'Controls'!$E$11</x:f>
        <x:v>0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14.631321600000007</x:v>
      </x:c>
      <x:c r="F62" s="10" t="n">
        <x:f>F49*F27/'Controls'!$E$11</x:f>
        <x:v>16.387080192000006</x:v>
      </x:c>
      <x:c r="G62" s="10" t="n">
        <x:f>G49*G27/'Controls'!$E$11</x:f>
        <x:v>18.35352981504001</x:v>
      </x:c>
      <x:c r="H62" s="10" t="n">
        <x:f>H49*H27/'Controls'!$E$11</x:f>
        <x:v>20.555953392844813</x:v>
      </x:c>
      <x:c r="I62" s="10" t="n">
        <x:f>I49*I27/'Controls'!$E$11</x:f>
        <x:v>23.0226677999862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333.7334784000001</x:v>
      </x:c>
      <x:c r="F63" s="8" t="n">
        <x:f>F60+F61-F62</x:f>
        <x:v>373.78149580800016</x:v>
      </x:c>
      <x:c r="G63" s="8" t="n">
        <x:f>G60+G61-G62</x:f>
        <x:v>418.63527530496015</x:v>
      </x:c>
      <x:c r="H63" s="8" t="n">
        <x:f>H60+H61-H62</x:f>
        <x:v>468.8715083415555</x:v>
      </x:c>
      <x:c r="I63" s="8" t="n">
        <x:f>I60+I61-I62</x:f>
        <x:v>525.1360893425423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35.757158400000094</x:v>
      </x:c>
      <x:c r="F64" s="8" t="n">
        <x:f>F63-E63</x:f>
        <x:v>40.04801740800008</x:v>
      </x:c>
      <x:c r="G64" s="8" t="n">
        <x:f>G63-F63</x:f>
        <x:v>44.85377949695999</x:v>
      </x:c>
      <x:c r="H64" s="8" t="n">
        <x:f>H63-G63</x:f>
        <x:v>50.236233036595365</x:v>
      </x:c>
      <x:c r="I64" s="8" t="n">
        <x:f>I63-H63</x:f>
        <x:v>56.264581000986766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317.8828800000001</x:v>
      </x:c>
      <x:c r="F65" s="8" t="n">
        <x:f>F47*F23</x:f>
        <x:v>356.0288256000001</x:v>
      </x:c>
      <x:c r="G65" s="8" t="n">
        <x:f>G47*G23</x:f>
        <x:v>398.75228467200014</x:v>
      </x:c>
      <x:c r="H65" s="8" t="n">
        <x:f>H47*H23</x:f>
        <x:v>446.6025588326403</x:v>
      </x:c>
      <x:c r="I65" s="8" t="n">
        <x:f>I47*I23</x:f>
        <x:v>500.19486589255723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7002.88288</x:v>
      </x:c>
      <x:c r="F66" s="8" t="n">
        <x:f>E66+F65-F53</x:f>
        <x:v>7043.781976</x:v>
      </x:c>
      <x:c r="G66" s="8" t="n">
        <x:f>F66+G65-G53</x:f>
        <x:v>7125.564071752001</x:v>
      </x:c>
      <x:c r="H66" s="8" t="n">
        <x:f>G66+H65-H53</x:f>
        <x:v>7251.516247355801</x:v>
      </x:c>
      <x:c r="I66" s="8" t="n">
        <x:f>H66+I65-I53</x:f>
        <x:v>7425.392882117348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3800</x:v>
      </x:c>
      <x:c r="F67" s="8" t="n">
        <x:f>E67+F30-F31</x:f>
        <x:v>3600</x:v>
      </x:c>
      <x:c r="G67" s="8" t="n">
        <x:f>F67+G30-G31</x:f>
        <x:v>3400</x:v>
      </x:c>
      <x:c r="H67" s="8" t="n">
        <x:f>G67+H30-H31</x:f>
        <x:v>3200</x:v>
      </x:c>
      <x:c r="I67" s="8" t="n">
        <x:f>H67+I30-I31</x:f>
        <x:v>3000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531.8387808000001</x:v>
      </x:c>
      <x:c r="F69" s="8" t="n">
        <x:f>F58+F53-F64</x:f>
        <x:v>629.5918668960002</x:v>
      </x:c>
      <x:c r="G69" s="8" t="n">
        <x:f>G58+G53-G64</x:f>
        <x:v>737.9691138655203</x:v>
      </x:c>
      <x:c r="H69" s="8" t="n">
        <x:f>H58+H53-H64</x:f>
        <x:v>858.2263504389928</x:v>
      </x:c>
      <x:c r="I69" s="8" t="n">
        <x:f>I58+I53-I64</x:f>
        <x:v>991.77096297035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63.14898480000004</x:v>
      </x:c>
      <x:c r="F70" s="8" t="n">
        <x:f>MAX(0,F58)*F32</x:f>
        <x:v>88.62753867600006</x:v>
      </x:c>
      <x:c r="G70" s="8" t="n">
        <x:f>MAX(0,G58)*G32</x:f>
        <x:v>116.46317611062005</x:v>
      </x:c>
      <x:c r="H70" s="8" t="n">
        <x:f>MAX(0,H58)*H32</x:f>
        <x:v>146.95305006168704</x:v>
      </x:c>
      <x:c r="I70" s="8" t="n">
        <x:f>MAX(0,I58)*I32</x:f>
        <x:v>180.4293282100814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-49.19308400000005</x:v>
      </x:c>
      <x:c r="F71" s="8" t="n">
        <x:f>F69-F65+F30-F31-F70</x:f>
        <x:v>-15.064497380000006</x:v>
      </x:c>
      <x:c r="G71" s="8" t="n">
        <x:f>G69-G65+G30-G31-G70</x:f>
        <x:v>22.753653082900087</x:v>
      </x:c>
      <x:c r="H71" s="8" t="n">
        <x:f>H69-H65+H30-H31-H70</x:f>
        <x:v>64.67074154466545</x:v>
      </x:c>
      <x:c r="I71" s="8" t="n">
        <x:f>I69-I65+I30-I31-I70</x:f>
        <x:v>111.14676886771133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450.80691599999994</x:v>
      </x:c>
      <x:c r="F72" s="8" t="n">
        <x:f>E72+F71</x:f>
        <x:v>435.74241861999997</x:v>
      </x:c>
      <x:c r="G72" s="8" t="n">
        <x:f>F72+G71</x:f>
        <x:v>458.49607170290005</x:v>
      </x:c>
      <x:c r="H72" s="8" t="n">
        <x:f>G72+H71</x:f>
        <x:v>523.1668132475655</x:v>
      </x:c>
      <x:c r="I72" s="8" t="n">
        <x:f>H72+I71</x:f>
        <x:v>634.3135821152769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3987.4232743999996</x:v>
      </x:c>
      <x:c r="F73" s="41" t="n">
        <x:f>E73+F58-F70</x:f>
        <x:v>4253.305890428</x:v>
      </x:c>
      <x:c r="G73" s="41" t="n">
        <x:f>F73+G58-G70</x:f>
        <x:v>4602.695418759859</x:v>
      </x:c>
      <x:c r="H73" s="41" t="n">
        <x:f>G73+H58-H70</x:f>
        <x:v>5043.55456894492</x:v>
      </x:c>
      <x:c r="I73" s="41" t="n">
        <x:f>H73+I58-I70</x:f>
        <x:v>5584.842553575164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7802.054596</x:v>
      </x:c>
      <x:c r="F74" s="8" t="n">
        <x:f>F72+F60+F61+F66</x:f>
        <x:v>7869.692970620001</x:v>
      </x:c>
      <x:c r="G74" s="8" t="n">
        <x:f>G72+G60+G61+G66</x:f>
        <x:v>8021.048948574901</x:v>
      </x:c>
      <x:c r="H74" s="8" t="n">
        <x:f>H72+H60+H61+H66</x:f>
        <x:v>8264.110522337767</x:v>
      </x:c>
      <x:c r="I74" s="8" t="n">
        <x:f>I72+I60+I61+I66</x:f>
        <x:v>8607.865221375152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7802.054596</x:v>
      </x:c>
      <x:c r="F75" s="8" t="n">
        <x:f>F62+F67+F73</x:f>
        <x:v>7869.69297062</x:v>
      </x:c>
      <x:c r="G75" s="8" t="n">
        <x:f>G62+G67+G73</x:f>
        <x:v>8021.048948574899</x:v>
      </x:c>
      <x:c r="H75" s="8" t="n">
        <x:f>H62+H67+H73</x:f>
        <x:v>8264.110522337765</x:v>
      </x:c>
      <x:c r="I75" s="8" t="n">
        <x:f>I62+I67+I73</x:f>
        <x:v>8607.86522137515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507.5959392000002</x:v>
      </x:c>
      <x:c r="F76" s="8" t="n">
        <x:f>F54-MAX(0,F54)*F28</x:f>
        <x:v>596.7601547040002</x:v>
      </x:c>
      <x:c r="G76" s="8" t="n">
        <x:f>G54-MAX(0,G54)*G28</x:f>
        <x:v>695.3527044424802</x:v>
      </x:c>
      <x:c r="H76" s="8" t="n">
        <x:f>H54-MAX(0,H54)*H28</x:f>
        <x:v>804.5622002467481</x:v>
      </x:c>
      <x:c r="I76" s="8" t="n">
        <x:f>I54-MAX(0,I54)*I28</x:f>
        <x:v>925.7173128403256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468.9559008</x:v>
      </x:c>
      <x:c r="F77" s="41" t="n">
        <x:f>F76+F53-F65-F64</x:f>
        <x:v>515.813041296</x:v>
      </x:c>
      <x:c r="G77" s="41" t="n">
        <x:f>G76+G53-G65-G64</x:f>
        <x:v>568.7168291935202</x:v>
      </x:c>
      <x:c r="H77" s="41" t="n">
        <x:f>H76+H53-H65-H64</x:f>
        <x:v>628.3737916063526</x:v>
      </x:c>
      <x:c r="I77" s="41" t="n">
        <x:f>I76+I53-I65-I64</x:f>
        <x:v>695.5760970777926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0.8599999999999999</x:v>
      </x:c>
      <x:c r="F79" s="35" t="n">
        <x:f>F50/F47</x:f>
        <x:v>0.86</x:v>
      </x:c>
      <x:c r="G79" s="35" t="n">
        <x:f>G50/G47</x:f>
        <x:v>0.86</x:v>
      </x:c>
      <x:c r="H79" s="35" t="n">
        <x:f>H50/H47</x:f>
        <x:v>0.86</x:v>
      </x:c>
      <x:c r="I79" s="35" t="n">
        <x:f>I50/I47</x:f>
        <x:v>0.86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0.7799999999999999</x:v>
      </x:c>
      <x:c r="F80" s="35" t="n">
        <x:f>F52/F47</x:f>
        <x:v>0.7799999999999999</x:v>
      </x:c>
      <x:c r="G80" s="35" t="n">
        <x:f>G52/G47</x:f>
        <x:v>0.7799999999999999</x:v>
      </x:c>
      <x:c r="H80" s="35" t="n">
        <x:f>H52/H47</x:f>
        <x:v>0.78</x:v>
      </x:c>
      <x:c r="I80" s="35" t="n">
        <x:f>I52/I47</x:f>
        <x:v>0.78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0.19865487817399924</x:v>
      </x:c>
      <x:c r="F81" s="35" t="n">
        <x:f>F58/F47</x:f>
        <x:v>0.24893360397613834</x:v>
      </x:c>
      <x:c r="G81" s="35" t="n">
        <x:f>G58/G47</x:f>
        <x:v>0.29206898765838707</x:v>
      </x:c>
      <x:c r="H81" s="35" t="n">
        <x:f>H58/H47</x:f>
        <x:v>0.32904659222240634</x:v>
      </x:c>
      <x:c r="I81" s="35" t="n">
        <x:f>I58/I47</x:f>
        <x:v>0.36071807312160203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0.5362388427219097</x:v>
      </x:c>
      <x:c r="F82" s="35" t="n">
        <x:f>IF(F52=0,"n.a.",F69/F52)</x:f>
        <x:v>0.5667863120091399</x:v>
      </x:c>
      <x:c r="G82" s="35" t="n">
        <x:f>IF(G52=0,"n.a.",G69/G52)</x:f>
        <x:v>0.5931716788304924</x:v>
      </x:c>
      <x:c r="H82" s="35" t="n">
        <x:f>IF(H52=0,"n.a.",H69/H52)</x:f>
        <x:v>0.6159224634463111</x:v>
      </x:c>
      <x:c r="I82" s="35" t="n">
        <x:f>IF(I52=0,"n.a.",I69/I52)</x:f>
        <x:v>0.6355029415928134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70</x:v>
      </x:c>
      <x:c r="F83" s="8" t="n">
        <x:f>F25+F26-F27</x:f>
        <x:v>70</x:v>
      </x:c>
      <x:c r="G83" s="8" t="n">
        <x:f>G25+G26-G27</x:f>
        <x:v>70</x:v>
      </x:c>
      <x:c r="H83" s="8" t="n">
        <x:f>H25+H26-H27</x:f>
        <x:v>70</x:v>
      </x:c>
      <x:c r="I83" s="8" t="n">
        <x:f>I25+I26-I27</x:f>
        <x:v>70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3.3769019640028164</x:v>
      </x:c>
      <x:c r="F84" s="61" t="n">
        <x:f>IF(F52&lt;=0,"n.a.",(F67-F72)/F52)</x:f>
        <x:v>2.848603959322723</x:v>
      </x:c>
      <x:c r="G84" s="61" t="n">
        <x:f>IF(G52&lt;=0,"n.a.",(G67-G72)/G52)</x:f>
        <x:v>2.3643493889534732</x:v>
      </x:c>
      <x:c r="H84" s="61" t="n">
        <x:f>IF(H52&lt;=0,"n.a.",(H67-H72)/H52)</x:f>
        <x:v>1.9210802485568736</x:v>
      </x:c>
      <x:c r="I84" s="61" t="n">
        <x:f>IF(I52&lt;=0,"n.a.",(I67-I72)/I52)</x:f>
        <x:v>1.5158748678719411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1.990572310588236</x:v>
      </x:c>
      <x:c r="F85" s="61" t="n">
        <x:f>IF(F55=0,"n.a.",F54/F55)</x:f>
        <x:v>2.463406211368422</x:v>
      </x:c>
      <x:c r="G85" s="61" t="n">
        <x:f>IF(G55=0,"n.a.",G54/G55)</x:f>
        <x:v>3.0298592786164718</x:v>
      </x:c>
      <x:c r="H85" s="61" t="n">
        <x:f>IF(H55=0,"n.a.",H54/H55)</x:f>
        <x:v>3.7119363333183304</x:v>
      </x:c>
      <x:c r="I85" s="61" t="n">
        <x:f>IF(I55=0,"n.a.",I54/I55)</x:f>
        <x:v>4.537829964903557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0.06936932928091522</x:v>
      </x:c>
      <x:c r="F86" s="35" t="n">
        <x:f>F76/((E66+E63+F66+F63)/2)</x:f>
        <x:v>0.08089370762340603</x:v>
      </x:c>
      <x:c r="G86" s="35" t="n">
        <x:f>G76/((F66+F63+G66+G63)/2)</x:f>
        <x:v>0.09295063861936445</x:v>
      </x:c>
      <x:c r="H86" s="35" t="n">
        <x:f>H76/((G66+G63+H66+H63)/2)</x:f>
        <x:v>0.10541552088252347</x:v>
      </x:c>
      <x:c r="I86" s="35" t="n">
        <x:f>I76/((H66+H63+I66+I63)/2)</x:f>
        <x:v>0.11814462790630292</x:v>
      </x:c>
      <x:c r="J86" s="1"/>
      <x:c r="K86" s="1"/>
    </x:row>
    <x:row r="87" ht="18" customHeight="1">
      <x:c r="A87" s="1"/>
      <x:c r="B87" s="1"/>
      <x:c r="C87" s="1" t="str">
        <x:v>EBITDA / generated kWh (INR)</x:v>
      </x:c>
      <x:c r="D87" s="2"/>
      <x:c r="E87" s="10" t="n">
        <x:f>E52*'Controls'!$E$9/(E46*'Controls'!$E$14)</x:f>
        <x:v>2.496</x:v>
      </x:c>
      <x:c r="F87" s="10" t="n">
        <x:f>F52*'Controls'!$E$9/(F46*'Controls'!$E$14)</x:f>
        <x:v>2.496</x:v>
      </x:c>
      <x:c r="G87" s="10" t="n">
        <x:f>G52*'Controls'!$E$9/(G46*'Controls'!$E$14)</x:f>
        <x:v>2.496</x:v>
      </x:c>
      <x:c r="H87" s="10" t="n">
        <x:f>H52*'Controls'!$E$9/(H46*'Controls'!$E$14)</x:f>
        <x:v>2.496</x:v>
      </x:c>
      <x:c r="I87" s="10" t="n">
        <x:f>I52*'Controls'!$E$9/(I46*'Controls'!$E$14)</x:f>
        <x:v>2.496</x:v>
      </x:c>
      <x:c r="J87" s="1"/>
      <x:c r="K87" s="1"/>
    </x:row>
    <x:row r="88" ht="18" customHeight="1">
      <x:c r="A88" s="1"/>
      <x:c r="B88" s="1"/>
      <x:c r="C88" s="19" t="str">
        <x:v>VALUATION AT 31 MARCH 2026</x:v>
      </x:c>
      <x:c r="D88" s="20"/>
      <x:c r="E88" s="20"/>
      <x:c r="F88" s="20"/>
      <x:c r="G88" s="20"/>
      <x:c r="H88" s="20"/>
      <x:c r="I88" s="20"/>
      <x:c r="J88" s="1"/>
      <x:c r="K88" s="1"/>
    </x:row>
    <x:row r="89" ht="18" customHeight="1">
      <x:c r="A89" s="1"/>
      <x:c r="B89" s="1"/>
      <x:c r="C89" s="1" t="str">
        <x:v>PV of annual FCFF</x:v>
      </x:c>
      <x:c r="D89" s="2"/>
      <x:c r="E89" s="8" t="n">
        <x:f>E77/(1+$D39)^1</x:f>
        <x:v>418.7106257142857</x:v>
      </x:c>
      <x:c r="F89" s="8" t="n">
        <x:f>F77/(1+$D39)^2</x:f>
        <x:v>411.20299848214285</x:v>
      </x:c>
      <x:c r="G89" s="8" t="n">
        <x:f>G77/(1+$D39)^3</x:f>
        <x:v>404.80140561902107</x:v>
      </x:c>
      <x:c r="H89" s="8" t="n">
        <x:f>H77/(1+$D39)^4</x:f>
        <x:v>399.342904561627</x:v>
      </x:c>
      <x:c r="I89" s="8" t="n">
        <x:f>I77/(1+$D39)^5</x:f>
        <x:v>394.6885576778669</x:v>
      </x:c>
      <x:c r="J89" s="1"/>
      <x:c r="K89" s="1"/>
    </x:row>
    <x:row r="90" ht="18" customHeight="1">
      <x:c r="A90" s="1"/>
      <x:c r="B90" s="1"/>
      <x:c r="C90" s="1" t="str">
        <x:v>Normalized terminal FCFF</x:v>
      </x:c>
      <x:c r="D90" s="2"/>
      <x:c r="E90" s="8" t="n">
        <x:f>I76*(1+$D40)*(1-$D40/$D41)</x:f>
        <x:v>706.013737259555</x:v>
      </x:c>
      <x:c r="F90" s="2"/>
      <x:c r="G90" s="2"/>
      <x:c r="H90" s="2"/>
      <x:c r="I90" s="2"/>
      <x:c r="J90" s="1"/>
      <x:c r="K90" s="1" t="str">
        <x:v>Terminal reinvestment = terminal NOPAT × growth / incremental ROIC.</x:v>
      </x:c>
    </x:row>
    <x:row r="91" ht="18" customHeight="1">
      <x:c r="A91" s="1"/>
      <x:c r="B91" s="1"/>
      <x:c r="C91" s="1" t="str">
        <x:v>Terminal enterprise value</x:v>
      </x:c>
      <x:c r="D91" s="2"/>
      <x:c r="E91" s="8" t="n">
        <x:f>IF($D39&lt;=$D40,NA(),E90/($D39-$D40))</x:f>
        <x:v>8825.171715744438</x:v>
      </x:c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 t="str">
        <x:v>DCF enterprise value</x:v>
      </x:c>
      <x:c r="D92" s="2"/>
      <x:c r="E92" s="8" t="n">
        <x:f>SUM(E89:I89)+E91/(1+$D39)^5</x:f>
        <x:v>7036.385929896525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38" t="str">
        <x:v>DCF equity value</x:v>
      </x:c>
      <x:c r="D93" s="39"/>
      <x:c r="E93" s="41" t="n">
        <x:f>E92-$D35+$D36</x:f>
        <x:v>3536.3859298965253</x:v>
      </x:c>
      <x:c r="F93" s="39"/>
      <x:c r="G93" s="39"/>
      <x:c r="H93" s="39"/>
      <x:c r="I93" s="39"/>
      <x:c r="J93" s="1"/>
      <x:c r="K93" s="1"/>
    </x:row>
    <x:row r="94" ht="18" customHeight="1">
      <x:c r="A94" s="1"/>
      <x:c r="B94" s="1"/>
      <x:c r="C94" s="1" t="str">
        <x:v>DCF value per share (INR)</x:v>
      </x:c>
      <x:c r="D94" s="33"/>
      <x:c r="E94" s="34" t="n">
        <x:f>E93/$D38</x:f>
        <x:v>35.36385929896525</x:v>
      </x:c>
      <x:c r="F94" s="33"/>
      <x:c r="G94" s="33"/>
      <x:c r="H94" s="33"/>
      <x:c r="I94" s="33"/>
      <x:c r="J94" s="1"/>
      <x:c r="K94" s="1"/>
    </x:row>
    <x:row r="95" ht="18" customHeight="1">
      <x:c r="A95" s="1"/>
      <x:c r="B95" s="1"/>
      <x:c r="C95" s="1" t="str">
        <x:v>Forward multiple enterprise value</x:v>
      </x:c>
      <x:c r="D95" s="2"/>
      <x:c r="E95" s="8" t="n">
        <x:f>E52*$D42</x:f>
        <x:v>10909.740441600003</x:v>
      </x:c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 t="str">
        <x:v>Forward multiple equity value</x:v>
      </x:c>
      <x:c r="D96" s="2"/>
      <x:c r="E96" s="8" t="n">
        <x:f>E95-$D35+$D36</x:f>
        <x:v>7409.740441600003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23" t="str">
        <x:v>Terminal value / DCF enterprise value</x:v>
      </x:c>
      <x:c r="D97" s="24"/>
      <x:c r="E97" s="35" t="n">
        <x:f>(E91/(1+$D39)^5)/E92</x:f>
        <x:v>0.7116777686347319</x:v>
      </x:c>
      <x:c r="F97" s="24"/>
      <x:c r="G97" s="24"/>
      <x:c r="H97" s="24"/>
      <x:c r="I97" s="24"/>
      <x:c r="J97" s="1"/>
      <x:c r="K97" s="1"/>
    </x:row>
    <x:row r="98" ht="18" customHeight="1">
      <x:c r="A98" s="1"/>
      <x:c r="B98" s="1"/>
      <x:c r="C98" s="19" t="str">
        <x:v>MODEL CHECKS</x:v>
      </x:c>
      <x:c r="D98" s="20"/>
      <x:c r="E98" s="20"/>
      <x:c r="F98" s="20"/>
      <x:c r="G98" s="20"/>
      <x:c r="H98" s="20"/>
      <x:c r="I98" s="20"/>
      <x:c r="J98" s="1"/>
      <x:c r="K98" s="1"/>
    </x:row>
    <x:row r="99" ht="18" customHeight="1">
      <x:c r="A99" s="1"/>
      <x:c r="B99" s="1"/>
      <x:c r="C99" s="1" t="str">
        <x:v>Assets less liabilities and equity</x:v>
      </x:c>
      <x:c r="D99" s="33"/>
      <x:c r="E99" s="34" t="n">
        <x:f>E74-E75</x:f>
        <x:v>0</x:v>
      </x:c>
      <x:c r="F99" s="34" t="n">
        <x:f>F74-F75</x:f>
        <x:v>9.094947017729282e-13</x:v>
      </x:c>
      <x:c r="G99" s="34" t="n">
        <x:f>G74-G75</x:f>
        <x:v>1.8189894035458565e-12</x:v>
      </x:c>
      <x:c r="H99" s="34" t="n">
        <x:f>H74-H75</x:f>
        <x:v>1.8189894035458565e-12</x:v>
      </x:c>
      <x:c r="I99" s="34" t="n">
        <x:f>I74-I75</x:f>
        <x:v>1.8189894035458565e-12</x:v>
      </x:c>
      <x:c r="J99" s="1"/>
      <x:c r="K99" s="1"/>
    </x:row>
    <x:row r="100" ht="18" customHeight="1">
      <x:c r="A100" s="1"/>
      <x:c r="B100" s="1"/>
      <x:c r="C100" s="1" t="str">
        <x:v>Cash funding shortfall</x:v>
      </x:c>
      <x:c r="D100" s="33"/>
      <x:c r="E100" s="34" t="n">
        <x:f>MAX(0,-E72)</x:f>
        <x:v>0</x:v>
      </x:c>
      <x:c r="F100" s="34" t="n">
        <x:f>MAX(0,-F72)</x:f>
        <x:v>0</x:v>
      </x:c>
      <x:c r="G100" s="34" t="n">
        <x:f>MAX(0,-G72)</x:f>
        <x:v>0</x:v>
      </x:c>
      <x:c r="H100" s="34" t="n">
        <x:f>MAX(0,-H72)</x:f>
        <x:v>0</x:v>
      </x:c>
      <x:c r="I100" s="34" t="n">
        <x:f>MAX(0,-I72)</x:f>
        <x:v>0</x:v>
      </x:c>
      <x:c r="J100" s="1"/>
      <x:c r="K100" s="1"/>
    </x:row>
    <x:row r="101" ht="18" customHeight="1">
      <x:c r="A101" s="1"/>
      <x:c r="B101" s="1"/>
      <x:c r="C101" s="1" t="str">
        <x:v>Debt below zero</x:v>
      </x:c>
      <x:c r="D101" s="33"/>
      <x:c r="E101" s="34" t="n">
        <x:f>MAX(0,-E67)</x:f>
        <x:v>0</x:v>
      </x:c>
      <x:c r="F101" s="34" t="n">
        <x:f>MAX(0,-F67)</x:f>
        <x:v>0</x:v>
      </x:c>
      <x:c r="G101" s="34" t="n">
        <x:f>MAX(0,-G67)</x:f>
        <x:v>0</x:v>
      </x:c>
      <x:c r="H101" s="34" t="n">
        <x:f>MAX(0,-H67)</x:f>
        <x:v>0</x:v>
      </x:c>
      <x:c r="I101" s="34" t="n">
        <x:f>MAX(0,-I67)</x:f>
        <x:v>0</x:v>
      </x:c>
      <x:c r="J101" s="1"/>
      <x:c r="K101" s="1"/>
    </x:row>
    <x:row r="102" ht="18" customHeight="1">
      <x:c r="A102" s="1"/>
      <x:c r="B102" s="1"/>
      <x:c r="C102" s="1" t="str">
        <x:v>Utilization above 100%</x:v>
      </x:c>
      <x:c r="D102" s="33"/>
      <x:c r="E102" s="34" t="n">
        <x:f>MAX(0,E20-1)</x:f>
        <x:v>0</x:v>
      </x:c>
      <x:c r="F102" s="34" t="n">
        <x:f>MAX(0,F20-1)</x:f>
        <x:v>0</x:v>
      </x:c>
      <x:c r="G102" s="34" t="n">
        <x:f>MAX(0,G20-1)</x:f>
        <x:v>0</x:v>
      </x:c>
      <x:c r="H102" s="34" t="n">
        <x:f>MAX(0,H20-1)</x:f>
        <x:v>0</x:v>
      </x:c>
      <x:c r="I102" s="34" t="n">
        <x:f>MAX(0,I20-1)</x:f>
        <x:v>0</x:v>
      </x:c>
      <x:c r="J102" s="1"/>
      <x:c r="K102" s="1"/>
    </x:row>
    <x:row r="103" ht="18" customHeight="1">
      <x:c r="A103" s="1"/>
      <x:c r="B103" s="1"/>
      <x:c r="C103" s="1" t="str">
        <x:v>Net PP&amp;E below zero</x:v>
      </x:c>
      <x:c r="D103" s="33"/>
      <x:c r="E103" s="34" t="n">
        <x:f>MAX(0,-E66)</x:f>
        <x:v>0</x:v>
      </x:c>
      <x:c r="F103" s="34" t="n">
        <x:f>MAX(0,-F66)</x:f>
        <x:v>0</x:v>
      </x:c>
      <x:c r="G103" s="34" t="n">
        <x:f>MAX(0,-G66)</x:f>
        <x:v>0</x:v>
      </x:c>
      <x:c r="H103" s="34" t="n">
        <x:f>MAX(0,-H66)</x:f>
        <x:v>0</x:v>
      </x:c>
      <x:c r="I103" s="34" t="n">
        <x:f>MAX(0,-I66)</x:f>
        <x:v>0</x:v>
      </x:c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99:I99">
    <x:cfRule type="expression" dxfId="40" priority="1">
      <x:formula>ABS(E99)&gt;0.01</x:formula>
    </x:cfRule>
  </x:conditionalFormatting>
  <x:conditionalFormatting sqref="E100:I100">
    <x:cfRule type="expression" dxfId="41" priority="2">
      <x:formula>ABS(E100)&gt;0.01</x:formula>
    </x:cfRule>
  </x:conditionalFormatting>
  <x:conditionalFormatting sqref="E101:I101">
    <x:cfRule type="expression" dxfId="42" priority="3">
      <x:formula>ABS(E101)&gt;0.01</x:formula>
    </x:cfRule>
  </x:conditionalFormatting>
  <x:conditionalFormatting sqref="E102:I102">
    <x:cfRule type="expression" dxfId="43" priority="4">
      <x:formula>ABS(E102)&gt;0.01</x:formula>
    </x:cfRule>
  </x:conditionalFormatting>
  <x:conditionalFormatting sqref="E103:I103">
    <x:cfRule type="expression" dxfId="44" priority="5">
      <x:formula>ABS(E103)&gt;0.01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Hotels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available rooms — seed</x:v>
      </x:c>
      <x:c r="D10" s="7" t="n">
        <x:v>1500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Average daily room rate (INR) — seed</x:v>
      </x:c>
      <x:c r="D11" s="7" t="n">
        <x:v>8500</x:v>
      </x:c>
      <x:c r="E11" s="2"/>
      <x:c r="F11" s="2"/>
      <x:c r="G11" s="2"/>
      <x:c r="H11" s="2"/>
      <x:c r="I11" s="2"/>
      <x:c r="J11" s="1"/>
      <x:c r="K11" s="1" t="str">
        <x:v>Owned-hotel model. Excludes management fees and separately capitalized leases.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0.065</x:v>
      </x:c>
      <x:c r="F12" s="30" t="n">
        <x:f>IF(COUNT(INDEX(F13:F15,'Controls'!$E$5))=0,NA(),INDEX(F13:F15,'Controls'!$E$5))</x:f>
        <x:v>0.065</x:v>
      </x:c>
      <x:c r="G12" s="30" t="n">
        <x:f>IF(COUNT(INDEX(G13:G15,'Controls'!$E$5))=0,NA(),INDEX(G13:G15,'Controls'!$E$5))</x:f>
        <x:v>0.065</x:v>
      </x:c>
      <x:c r="H12" s="30" t="n">
        <x:f>IF(COUNT(INDEX(H13:H15,'Controls'!$E$5))=0,NA(),INDEX(H13:H15,'Controls'!$E$5))</x:f>
        <x:v>0.065</x:v>
      </x:c>
      <x:c r="I12" s="30" t="n">
        <x:f>IF(COUNT(INDEX(I13:I15,'Controls'!$E$5))=0,NA(),INDEX(I13:I15,'Controls'!$E$5))</x:f>
        <x:v>0.065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0.065</x:v>
      </x:c>
      <x:c r="F13" s="26" t="n">
        <x:v>0.065</x:v>
      </x:c>
      <x:c r="G13" s="26" t="n">
        <x:v>0.065</x:v>
      </x:c>
      <x:c r="H13" s="26" t="n">
        <x:v>0.065</x:v>
      </x:c>
      <x:c r="I13" s="26" t="n">
        <x:v>0.065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0.015</x:v>
      </x:c>
      <x:c r="F14" s="26" t="n">
        <x:v>0.015</x:v>
      </x:c>
      <x:c r="G14" s="26" t="n">
        <x:v>0.015</x:v>
      </x:c>
      <x:c r="H14" s="26" t="n">
        <x:v>0.015</x:v>
      </x:c>
      <x:c r="I14" s="26" t="n">
        <x:v>0.015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0.10500000000000001</x:v>
      </x:c>
      <x:c r="F15" s="26" t="n">
        <x:v>0.10500000000000001</x:v>
      </x:c>
      <x:c r="G15" s="26" t="n">
        <x:v>0.10500000000000001</x:v>
      </x:c>
      <x:c r="H15" s="26" t="n">
        <x:v>0.10500000000000001</x:v>
      </x:c>
      <x:c r="I15" s="26" t="n">
        <x:v>0.10500000000000001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0.05</x:v>
      </x:c>
      <x:c r="F16" s="30" t="n">
        <x:f>IF(COUNT(INDEX(F17:F19,'Controls'!$E$5))=0,NA(),INDEX(F17:F19,'Controls'!$E$5))</x:f>
        <x:v>0.05</x:v>
      </x:c>
      <x:c r="G16" s="30" t="n">
        <x:f>IF(COUNT(INDEX(G17:G19,'Controls'!$E$5))=0,NA(),INDEX(G17:G19,'Controls'!$E$5))</x:f>
        <x:v>0.05</x:v>
      </x:c>
      <x:c r="H16" s="30" t="n">
        <x:f>IF(COUNT(INDEX(H17:H19,'Controls'!$E$5))=0,NA(),INDEX(H17:H19,'Controls'!$E$5))</x:f>
        <x:v>0.05</x:v>
      </x:c>
      <x:c r="I16" s="30" t="n">
        <x:f>IF(COUNT(INDEX(I17:I19,'Controls'!$E$5))=0,NA(),INDEX(I17:I19,'Controls'!$E$5))</x:f>
        <x:v>0.05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0.05</x:v>
      </x:c>
      <x:c r="F17" s="26" t="n">
        <x:v>0.05</x:v>
      </x:c>
      <x:c r="G17" s="26" t="n">
        <x:v>0.05</x:v>
      </x:c>
      <x:c r="H17" s="26" t="n">
        <x:v>0.05</x:v>
      </x:c>
      <x:c r="I17" s="26" t="n">
        <x:v>0.05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0.025</x:v>
      </x:c>
      <x:c r="F18" s="26" t="n">
        <x:v>0.025</x:v>
      </x:c>
      <x:c r="G18" s="26" t="n">
        <x:v>0.025</x:v>
      </x:c>
      <x:c r="H18" s="26" t="n">
        <x:v>0.025</x:v>
      </x:c>
      <x:c r="I18" s="26" t="n">
        <x:v>0.025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0.07</x:v>
      </x:c>
      <x:c r="F19" s="26" t="n">
        <x:v>0.07</x:v>
      </x:c>
      <x:c r="G19" s="26" t="n">
        <x:v>0.07</x:v>
      </x:c>
      <x:c r="H19" s="26" t="n">
        <x:v>0.07</x:v>
      </x:c>
      <x:c r="I19" s="26" t="n">
        <x:v>0.07</x:v>
      </x:c>
      <x:c r="J19" s="1"/>
      <x:c r="K19" s="1"/>
    </x:row>
    <x:row r="20" ht="18" customHeight="1">
      <x:c r="A20" s="1"/>
      <x:c r="B20" s="1"/>
      <x:c r="C20" s="23" t="str">
        <x:v>Occupancy</x:v>
      </x:c>
      <x:c r="D20" s="24"/>
      <x:c r="E20" s="26" t="n">
        <x:v>0.7</x:v>
      </x:c>
      <x:c r="F20" s="26" t="n">
        <x:v>0.7</x:v>
      </x:c>
      <x:c r="G20" s="26" t="n">
        <x:v>0.7</x:v>
      </x:c>
      <x:c r="H20" s="26" t="n">
        <x:v>0.7</x:v>
      </x:c>
      <x:c r="I20" s="26" t="n">
        <x:v>0.7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Rooms and food variable cost / revenue</x:v>
      </x:c>
      <x:c r="D21" s="24"/>
      <x:c r="E21" s="26" t="n">
        <x:v>0.32</x:v>
      </x:c>
      <x:c r="F21" s="26" t="n">
        <x:v>0.32</x:v>
      </x:c>
      <x:c r="G21" s="26" t="n">
        <x:v>0.32</x:v>
      </x:c>
      <x:c r="H21" s="26" t="n">
        <x:v>0.32</x:v>
      </x:c>
      <x:c r="I21" s="26" t="n">
        <x:v>0.32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0.36</x:v>
      </x:c>
      <x:c r="F22" s="26" t="n">
        <x:v>0.36</x:v>
      </x:c>
      <x:c r="G22" s="26" t="n">
        <x:v>0.36</x:v>
      </x:c>
      <x:c r="H22" s="26" t="n">
        <x:v>0.36</x:v>
      </x:c>
      <x:c r="I22" s="26" t="n">
        <x:v>0.36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23" t="str">
        <x:v>Food, beverage and other / room revenue</x:v>
      </x:c>
      <x:c r="D23" s="24"/>
      <x:c r="E23" s="26" t="n">
        <x:v>0.45</x:v>
      </x:c>
      <x:c r="F23" s="26" t="n">
        <x:v>0.45</x:v>
      </x:c>
      <x:c r="G23" s="26" t="n">
        <x:v>0.45</x:v>
      </x:c>
      <x:c r="H23" s="26" t="n">
        <x:v>0.45</x:v>
      </x:c>
      <x:c r="I23" s="26" t="n">
        <x:v>0.45</x:v>
      </x:c>
      <x:c r="J23" s="1"/>
      <x:c r="K23" s="1"/>
    </x:row>
    <x:row r="24" ht="18" customHeight="1">
      <x:c r="A24" s="1"/>
      <x:c r="B24" s="1"/>
      <x:c r="C24" s="23" t="str">
        <x:v>Cash capex / revenue</x:v>
      </x:c>
      <x:c r="D24" s="24"/>
      <x:c r="E24" s="26" t="n">
        <x:v>0.09</x:v>
      </x:c>
      <x:c r="F24" s="26" t="n">
        <x:v>0.09</x:v>
      </x:c>
      <x:c r="G24" s="26" t="n">
        <x:v>0.09</x:v>
      </x:c>
      <x:c r="H24" s="26" t="n">
        <x:v>0.09</x:v>
      </x:c>
      <x:c r="I24" s="26" t="n">
        <x:v>0.09</x:v>
      </x:c>
      <x:c r="J24" s="1"/>
      <x:c r="K24" s="1"/>
    </x:row>
    <x:row r="25" ht="18" customHeight="1">
      <x:c r="A25" s="1"/>
      <x:c r="B25" s="1"/>
      <x:c r="C25" s="23" t="str">
        <x:v>D&amp;A / opening net PP&amp;E</x:v>
      </x:c>
      <x:c r="D25" s="24"/>
      <x:c r="E25" s="26" t="n">
        <x:v>0.065</x:v>
      </x:c>
      <x:c r="F25" s="26" t="n">
        <x:v>0.065</x:v>
      </x:c>
      <x:c r="G25" s="26" t="n">
        <x:v>0.065</x:v>
      </x:c>
      <x:c r="H25" s="26" t="n">
        <x:v>0.065</x:v>
      </x:c>
      <x:c r="I25" s="26" t="n">
        <x:v>0.065</x:v>
      </x:c>
      <x:c r="J25" s="1"/>
      <x:c r="K25" s="1" t="str">
        <x:v>No disposals or impairments. Current-year capex begins depreciation next year.</x:v>
      </x:c>
    </x:row>
    <x:row r="26" ht="18" customHeight="1">
      <x:c r="A26" s="1"/>
      <x:c r="B26" s="1"/>
      <x:c r="C26" s="1" t="str">
        <x:v>Receivable days</x:v>
      </x:c>
      <x:c r="D26" s="2"/>
      <x:c r="E26" s="7" t="n">
        <x:v>15</x:v>
      </x:c>
      <x:c r="F26" s="7" t="n">
        <x:v>15</x:v>
      </x:c>
      <x:c r="G26" s="7" t="n">
        <x:v>15</x:v>
      </x:c>
      <x:c r="H26" s="7" t="n">
        <x:v>15</x:v>
      </x:c>
      <x:c r="I26" s="7" t="n">
        <x:v>15</x:v>
      </x:c>
      <x:c r="J26" s="1"/>
      <x:c r="K26" s="1"/>
    </x:row>
    <x:row r="27" ht="18" customHeight="1">
      <x:c r="A27" s="1"/>
      <x:c r="B27" s="1"/>
      <x:c r="C27" s="1" t="str">
        <x:v>Inventory days</x:v>
      </x:c>
      <x:c r="D27" s="2"/>
      <x:c r="E27" s="7" t="n">
        <x:v>12</x:v>
      </x:c>
      <x:c r="F27" s="7" t="n">
        <x:v>12</x:v>
      </x:c>
      <x:c r="G27" s="7" t="n">
        <x:v>12</x:v>
      </x:c>
      <x:c r="H27" s="7" t="n">
        <x:v>12</x:v>
      </x:c>
      <x:c r="I27" s="7" t="n">
        <x:v>12</x:v>
      </x:c>
      <x:c r="J27" s="1"/>
      <x:c r="K27" s="1"/>
    </x:row>
    <x:row r="28" ht="18" customHeight="1">
      <x:c r="A28" s="1"/>
      <x:c r="B28" s="1"/>
      <x:c r="C28" s="1" t="str">
        <x:v>Payable days</x:v>
      </x:c>
      <x:c r="D28" s="2"/>
      <x:c r="E28" s="7" t="n">
        <x:v>35</x:v>
      </x:c>
      <x:c r="F28" s="7" t="n">
        <x:v>35</x:v>
      </x:c>
      <x:c r="G28" s="7" t="n">
        <x:v>35</x:v>
      </x:c>
      <x:c r="H28" s="7" t="n">
        <x:v>35</x:v>
      </x:c>
      <x:c r="I28" s="7" t="n">
        <x:v>35</x:v>
      </x:c>
      <x:c r="J28" s="1"/>
      <x:c r="K28" s="1"/>
    </x:row>
    <x:row r="29" ht="18" customHeight="1">
      <x:c r="A29" s="1"/>
      <x:c r="B29" s="1"/>
      <x:c r="C29" s="23" t="str">
        <x:v>Effective cash tax rate</x:v>
      </x:c>
      <x:c r="D29" s="24"/>
      <x:c r="E29" s="26" t="n">
        <x:v>0.25</x:v>
      </x:c>
      <x:c r="F29" s="26" t="n">
        <x:v>0.25</x:v>
      </x:c>
      <x:c r="G29" s="26" t="n">
        <x:v>0.25</x:v>
      </x:c>
      <x:c r="H29" s="26" t="n">
        <x:v>0.25</x:v>
      </x:c>
      <x:c r="I29" s="26" t="n">
        <x:v>0.25</x:v>
      </x:c>
      <x:c r="J29" s="1"/>
      <x:c r="K29" s="1" t="str">
        <x:v>Illustrative assumption, not a statutory rate. No loss carryforwards or deferred tax.</x:v>
      </x:c>
    </x:row>
    <x:row r="30" ht="18" customHeight="1">
      <x:c r="A30" s="1"/>
      <x:c r="B30" s="1"/>
      <x:c r="C30" s="23" t="str">
        <x:v>Interest on opening debt</x:v>
      </x:c>
      <x:c r="D30" s="24"/>
      <x:c r="E30" s="26" t="n">
        <x:v>0.085</x:v>
      </x:c>
      <x:c r="F30" s="26" t="n">
        <x:v>0.085</x:v>
      </x:c>
      <x:c r="G30" s="26" t="n">
        <x:v>0.085</x:v>
      </x:c>
      <x:c r="H30" s="26" t="n">
        <x:v>0.085</x:v>
      </x:c>
      <x:c r="I30" s="26" t="n">
        <x:v>0.085</x:v>
      </x:c>
      <x:c r="J30" s="1"/>
      <x:c r="K30" s="1"/>
    </x:row>
    <x:row r="31" ht="18" customHeight="1">
      <x:c r="A31" s="1"/>
      <x:c r="B31" s="1"/>
      <x:c r="C31" s="1" t="str">
        <x:v>New borrowing</x:v>
      </x:c>
      <x:c r="D31" s="2"/>
      <x:c r="E31" s="7" t="n">
        <x:v>0</x:v>
      </x:c>
      <x:c r="F31" s="7" t="n">
        <x:v>0</x:v>
      </x:c>
      <x:c r="G31" s="7" t="n">
        <x:v>0</x:v>
      </x:c>
      <x:c r="H31" s="7" t="n">
        <x:v>0</x:v>
      </x:c>
      <x:c r="I31" s="7" t="n">
        <x:v>0</x:v>
      </x:c>
      <x:c r="J31" s="1"/>
      <x:c r="K31" s="1"/>
    </x:row>
    <x:row r="32" ht="18" customHeight="1">
      <x:c r="A32" s="1"/>
      <x:c r="B32" s="1"/>
      <x:c r="C32" s="1" t="str">
        <x:v>Scheduled principal repayment</x:v>
      </x:c>
      <x:c r="D32" s="2"/>
      <x:c r="E32" s="7" t="n">
        <x:v>65</x:v>
      </x:c>
      <x:c r="F32" s="7" t="n">
        <x:v>65</x:v>
      </x:c>
      <x:c r="G32" s="7" t="n">
        <x:v>65</x:v>
      </x:c>
      <x:c r="H32" s="7" t="n">
        <x:v>65</x:v>
      </x:c>
      <x:c r="I32" s="7" t="n">
        <x:v>65</x:v>
      </x:c>
      <x:c r="J32" s="1"/>
      <x:c r="K32" s="1"/>
    </x:row>
    <x:row r="33" ht="18" customHeight="1">
      <x:c r="A33" s="1"/>
      <x:c r="B33" s="1"/>
      <x:c r="C33" s="23" t="str">
        <x:v>Dividend payout on positive PAT</x:v>
      </x:c>
      <x:c r="D33" s="24"/>
      <x:c r="E33" s="26" t="n">
        <x:v>0.25</x:v>
      </x:c>
      <x:c r="F33" s="26" t="n">
        <x:v>0.25</x:v>
      </x:c>
      <x:c r="G33" s="26" t="n">
        <x:v>0.25</x:v>
      </x:c>
      <x:c r="H33" s="26" t="n">
        <x:v>0.25</x:v>
      </x:c>
      <x:c r="I33" s="26" t="n">
        <x:v>0.25</x:v>
      </x:c>
      <x:c r="J33" s="1"/>
      <x:c r="K33" s="1"/>
    </x:row>
    <x:row r="34" ht="18" customHeight="1">
      <x:c r="A34" s="1"/>
      <x:c r="B34" s="1"/>
      <x:c r="C34" s="19" t="str">
        <x:v>OPENING BALANCE SHEET AND VALUATION INPUTS</x:v>
      </x:c>
      <x:c r="D34" s="20"/>
      <x:c r="E34" s="20"/>
      <x:c r="F34" s="20"/>
      <x:c r="G34" s="20"/>
      <x:c r="H34" s="20"/>
      <x:c r="I34" s="20"/>
      <x:c r="J34" s="1"/>
      <x:c r="K34" s="1"/>
    </x:row>
    <x:row r="35" ht="18" customHeight="1">
      <x:c r="A35" s="1"/>
      <x:c r="B35" s="1"/>
      <x:c r="C35" s="1" t="str">
        <x:v>Opening net PP&amp;E</x:v>
      </x:c>
      <x:c r="D35" s="7" t="n">
        <x:v>2500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debt</x:v>
      </x:c>
      <x:c r="D36" s="7" t="n">
        <x:v>650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cash</x:v>
      </x:c>
      <x:c r="D37" s="7" t="n">
        <x:v>200</x:v>
      </x:c>
      <x:c r="E37" s="2"/>
      <x:c r="F37" s="2"/>
      <x:c r="G37" s="2"/>
      <x:c r="H37" s="2"/>
      <x:c r="I37" s="2"/>
      <x:c r="J37" s="1"/>
      <x:c r="K37" s="1"/>
    </x:row>
    <x:row r="38" ht="18" customHeight="1">
      <x:c r="A38" s="1"/>
      <x:c r="B38" s="1"/>
      <x:c r="C38" s="1" t="str">
        <x:v>Opening net working capital</x:v>
      </x:c>
      <x:c r="D38" s="7" t="n">
        <x:v>9.887115</x:v>
      </x:c>
      <x:c r="E38" s="2"/>
      <x:c r="F38" s="2"/>
      <x:c r="G38" s="2"/>
      <x:c r="H38" s="2"/>
      <x:c r="I38" s="2"/>
      <x:c r="J38" s="1"/>
      <x:c r="K38" s="1" t="str">
        <x:v>Illustrative opening net balance. Replace with receivables + inventory − payables.</x:v>
      </x:c>
    </x:row>
    <x:row r="39" ht="18" customHeight="1">
      <x:c r="A39" s="1"/>
      <x:c r="B39" s="1"/>
      <x:c r="C39" s="1" t="str">
        <x:v>Diluted shares (crore)</x:v>
      </x:c>
      <x:c r="D39" s="7" t="n">
        <x:v>100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WACC</x:v>
      </x:c>
      <x:c r="D40" s="25" t="n">
        <x:v>0.12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growth</x:v>
      </x:c>
      <x:c r="D41" s="25" t="n">
        <x:v>0.04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Terminal incremental ROIC</x:v>
      </x:c>
      <x:c r="D42" s="25" t="n">
        <x:v>0.15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" t="str">
        <x:v>Forward EV / EBITDA</x:v>
      </x:c>
      <x:c r="D43" s="55" t="n">
        <x:v>17</x:v>
      </x:c>
      <x:c r="E43" s="2"/>
      <x:c r="F43" s="2"/>
      <x:c r="G43" s="2"/>
      <x:c r="H43" s="2"/>
      <x:c r="I43" s="2"/>
      <x:c r="J43" s="1"/>
      <x:c r="K43" s="1"/>
    </x:row>
    <x:row r="44" ht="18" customHeight="1">
      <x:c r="A44" s="1"/>
      <x:c r="B44" s="1"/>
      <x:c r="C44" s="19" t="str">
        <x:v>OPERATING BUILD</x:v>
      </x:c>
      <x:c r="D44" s="20"/>
      <x:c r="E44" s="20"/>
      <x:c r="F44" s="20"/>
      <x:c r="G44" s="20"/>
      <x:c r="H44" s="20"/>
      <x:c r="I44" s="20"/>
      <x:c r="J44" s="1"/>
      <x:c r="K44" s="1"/>
    </x:row>
    <x:row r="45" ht="18" customHeight="1">
      <x:c r="A45" s="1"/>
      <x:c r="B45" s="1"/>
      <x:c r="C45" s="1" t="str">
        <x:v>Average available rooms</x:v>
      </x:c>
      <x:c r="D45" s="2"/>
      <x:c r="E45" s="8" t="n">
        <x:f>$D10*(1+E12)</x:f>
        <x:v>1597.5</x:v>
      </x:c>
      <x:c r="F45" s="8" t="n">
        <x:f>E45*(1+F12)</x:f>
        <x:v>1701.3374999999999</x:v>
      </x:c>
      <x:c r="G45" s="8" t="n">
        <x:f>F45*(1+G12)</x:f>
        <x:v>1811.9244374999998</x:v>
      </x:c>
      <x:c r="H45" s="8" t="n">
        <x:f>G45*(1+H12)</x:f>
        <x:v>1929.6995259374996</x:v>
      </x:c>
      <x:c r="I45" s="8" t="n">
        <x:f>H45*(1+I12)</x:f>
        <x:v>2055.129995123437</x:v>
      </x:c>
      <x:c r="J45" s="1"/>
      <x:c r="K45" s="1"/>
    </x:row>
    <x:row r="46" ht="18" customHeight="1">
      <x:c r="A46" s="1"/>
      <x:c r="B46" s="1"/>
      <x:c r="C46" s="1" t="str">
        <x:v>Average daily room rate (INR)</x:v>
      </x:c>
      <x:c r="D46" s="2"/>
      <x:c r="E46" s="8" t="n">
        <x:f>$D11*(1+E16)</x:f>
        <x:v>8925</x:v>
      </x:c>
      <x:c r="F46" s="8" t="n">
        <x:f>E46*(1+F16)</x:f>
        <x:v>9371.25</x:v>
      </x:c>
      <x:c r="G46" s="8" t="n">
        <x:f>F46*(1+G16)</x:f>
        <x:v>9839.8125</x:v>
      </x:c>
      <x:c r="H46" s="8" t="n">
        <x:f>G46*(1+H16)</x:f>
        <x:v>10331.803125</x:v>
      </x:c>
      <x:c r="I46" s="8" t="n">
        <x:f>H46*(1+I16)</x:f>
        <x:v>10848.39328125</x:v>
      </x:c>
      <x:c r="J46" s="1"/>
      <x:c r="K46" s="1"/>
    </x:row>
    <x:row r="47" ht="18" customHeight="1">
      <x:c r="A47" s="1"/>
      <x:c r="B47" s="1"/>
      <x:c r="C47" s="1" t="str">
        <x:v>Occupied room-nights</x:v>
      </x:c>
      <x:c r="D47" s="2"/>
      <x:c r="E47" s="10" t="n">
        <x:f>E45*E20*'Controls'!$E$11</x:f>
        <x:v>408161.25</x:v>
      </x:c>
      <x:c r="F47" s="10" t="n">
        <x:f>F45*F20*'Controls'!$E$11</x:f>
        <x:v>434691.7312499999</x:v>
      </x:c>
      <x:c r="G47" s="10" t="n">
        <x:f>G45*G20*'Controls'!$E$11</x:f>
        <x:v>462946.6937812499</x:v>
      </x:c>
      <x:c r="H47" s="10" t="n">
        <x:f>H45*H20*'Controls'!$E$11</x:f>
        <x:v>493038.2288770311</x:v>
      </x:c>
      <x:c r="I47" s="10" t="n">
        <x:f>I45*I20*'Controls'!$E$11</x:f>
        <x:v>525085.7137540381</x:v>
      </x:c>
      <x:c r="J47" s="1"/>
      <x:c r="K47" s="1"/>
    </x:row>
    <x:row r="48" ht="18" customHeight="1">
      <x:c r="A48" s="1"/>
      <x:c r="B48" s="1"/>
      <x:c r="C48" s="38" t="str">
        <x:v>Revenue</x:v>
      </x:c>
      <x:c r="D48" s="39"/>
      <x:c r="E48" s="60" t="n">
        <x:f>E47*E46/'Controls'!$E$9*(1+E23)</x:f>
        <x:v>528.21167765625</x:v>
      </x:c>
      <x:c r="F48" s="60" t="n">
        <x:f>F47*F46/'Controls'!$E$9*(1+F23)</x:f>
        <x:v>590.6727085391014</x:v>
      </x:c>
      <x:c r="G48" s="60" t="n">
        <x:f>G47*G46/'Controls'!$E$9*(1+G23)</x:f>
        <x:v>660.5197563238501</x:v>
      </x:c>
      <x:c r="H48" s="60" t="n">
        <x:f>H47*H46/'Controls'!$E$9*(1+H23)</x:f>
        <x:v>738.6262175091454</x:v>
      </x:c>
      <x:c r="I48" s="60" t="n">
        <x:f>I47*I46/'Controls'!$E$9*(1+I23)</x:f>
        <x:v>825.9687677296018</x:v>
      </x:c>
      <x:c r="J48" s="1"/>
      <x:c r="K48" s="1"/>
    </x:row>
    <x:row r="49" ht="18" customHeight="1">
      <x:c r="A49" s="1"/>
      <x:c r="B49" s="1"/>
      <x:c r="C49" s="19" t="str">
        <x:v>INCOME STATEMENT</x:v>
      </x:c>
      <x:c r="D49" s="20"/>
      <x:c r="E49" s="20"/>
      <x:c r="F49" s="20"/>
      <x:c r="G49" s="20"/>
      <x:c r="H49" s="20"/>
      <x:c r="I49" s="20"/>
      <x:c r="J49" s="1"/>
      <x:c r="K49" s="1"/>
    </x:row>
    <x:row r="50" ht="18" customHeight="1">
      <x:c r="A50" s="1"/>
      <x:c r="B50" s="1"/>
      <x:c r="C50" s="1" t="str">
        <x:v>Direct cash costs</x:v>
      </x:c>
      <x:c r="D50" s="2"/>
      <x:c r="E50" s="8" t="n">
        <x:f>E48*E21</x:f>
        <x:v>169.02773685</x:v>
      </x:c>
      <x:c r="F50" s="8" t="n">
        <x:f>F48*F21</x:f>
        <x:v>189.01526673251246</x:v>
      </x:c>
      <x:c r="G50" s="8" t="n">
        <x:f>G48*G21</x:f>
        <x:v>211.36632202363202</x:v>
      </x:c>
      <x:c r="H50" s="8" t="n">
        <x:f>H48*H21</x:f>
        <x:v>236.36038960292652</x:v>
      </x:c>
      <x:c r="I50" s="8" t="n">
        <x:f>I48*I21</x:f>
        <x:v>264.3100056734726</x:v>
      </x:c>
      <x:c r="J50" s="1"/>
      <x:c r="K50" s="1"/>
    </x:row>
    <x:row r="51" ht="18" customHeight="1">
      <x:c r="A51" s="1"/>
      <x:c r="B51" s="1"/>
      <x:c r="C51" s="1" t="str">
        <x:v>Gross profit</x:v>
      </x:c>
      <x:c r="D51" s="2"/>
      <x:c r="E51" s="8" t="n">
        <x:f>E48-E50</x:f>
        <x:v>359.18394080625</x:v>
      </x:c>
      <x:c r="F51" s="8" t="n">
        <x:f>F48-F50</x:f>
        <x:v>401.65744180658896</x:v>
      </x:c>
      <x:c r="G51" s="8" t="n">
        <x:f>G48-G50</x:f>
        <x:v>449.153434300218</x:v>
      </x:c>
      <x:c r="H51" s="8" t="n">
        <x:f>H48-H50</x:f>
        <x:v>502.2658279062189</x:v>
      </x:c>
      <x:c r="I51" s="8" t="n">
        <x:f>I48-I50</x:f>
        <x:v>561.6587620561293</x:v>
      </x:c>
      <x:c r="J51" s="1"/>
      <x:c r="K51" s="1"/>
    </x:row>
    <x:row r="52" ht="18" customHeight="1">
      <x:c r="A52" s="1"/>
      <x:c r="B52" s="1"/>
      <x:c r="C52" s="1" t="str">
        <x:v>Other cash operating costs</x:v>
      </x:c>
      <x:c r="D52" s="2"/>
      <x:c r="E52" s="8" t="n">
        <x:f>E48*E22</x:f>
        <x:v>190.15620395624998</x:v>
      </x:c>
      <x:c r="F52" s="8" t="n">
        <x:f>F48*F22</x:f>
        <x:v>212.6421750740765</x:v>
      </x:c>
      <x:c r="G52" s="8" t="n">
        <x:f>G48*G22</x:f>
        <x:v>237.78711227658602</x:v>
      </x:c>
      <x:c r="H52" s="8" t="n">
        <x:f>H48*H22</x:f>
        <x:v>265.9054383032923</x:v>
      </x:c>
      <x:c r="I52" s="8" t="n">
        <x:f>I48*I22</x:f>
        <x:v>297.34875638265663</x:v>
      </x:c>
      <x:c r="J52" s="1"/>
      <x:c r="K52" s="1"/>
    </x:row>
    <x:row r="53" ht="18" customHeight="1">
      <x:c r="A53" s="1"/>
      <x:c r="B53" s="1"/>
      <x:c r="C53" s="38" t="str">
        <x:v>EBITDA</x:v>
      </x:c>
      <x:c r="D53" s="39"/>
      <x:c r="E53" s="41" t="n">
        <x:f>E51-E52</x:f>
        <x:v>169.02773685000003</x:v>
      </x:c>
      <x:c r="F53" s="41" t="n">
        <x:f>F51-F52</x:f>
        <x:v>189.01526673251246</x:v>
      </x:c>
      <x:c r="G53" s="41" t="n">
        <x:f>G51-G52</x:f>
        <x:v>211.366322023632</x:v>
      </x:c>
      <x:c r="H53" s="41" t="n">
        <x:f>H51-H52</x:f>
        <x:v>236.36038960292655</x:v>
      </x:c>
      <x:c r="I53" s="41" t="n">
        <x:f>I51-I52</x:f>
        <x:v>264.31000567347263</x:v>
      </x:c>
      <x:c r="J53" s="1"/>
      <x:c r="K53" s="1"/>
    </x:row>
    <x:row r="54" ht="18" customHeight="1">
      <x:c r="A54" s="1"/>
      <x:c r="B54" s="1"/>
      <x:c r="C54" s="1" t="str">
        <x:v>Depreciation and amortization</x:v>
      </x:c>
      <x:c r="D54" s="2"/>
      <x:c r="E54" s="8" t="n">
        <x:f>$D35*E25</x:f>
        <x:v>162.5</x:v>
      </x:c>
      <x:c r="F54" s="8" t="n">
        <x:f>E67*F25</x:f>
        <x:v>155.02753831428907</x:v>
      </x:c>
      <x:c r="G54" s="8" t="n">
        <x:f>F67*G25</x:f>
        <x:v>148.40618366881407</x:v>
      </x:c>
      <x:c r="H54" s="8" t="n">
        <x:f>G67*H25</x:f>
        <x:v>142.62382230483564</x:v>
      </x:c>
      <x:c r="I54" s="8" t="n">
        <x:f>H67*I25</x:f>
        <x:v>137.67423722744982</x:v>
      </x:c>
      <x:c r="J54" s="1"/>
      <x:c r="K54" s="1"/>
    </x:row>
    <x:row r="55" ht="18" customHeight="1">
      <x:c r="A55" s="1"/>
      <x:c r="B55" s="1"/>
      <x:c r="C55" s="1" t="str">
        <x:v>EBIT</x:v>
      </x:c>
      <x:c r="D55" s="2"/>
      <x:c r="E55" s="8" t="n">
        <x:f>E53-E54</x:f>
        <x:v>6.527736850000025</x:v>
      </x:c>
      <x:c r="F55" s="8" t="n">
        <x:f>F53-F54</x:f>
        <x:v>33.987728418223384</x:v>
      </x:c>
      <x:c r="G55" s="8" t="n">
        <x:f>G53-G54</x:f>
        <x:v>62.96013835481793</x:v>
      </x:c>
      <x:c r="H55" s="8" t="n">
        <x:f>H53-H54</x:f>
        <x:v>93.7365672980909</x:v>
      </x:c>
      <x:c r="I55" s="8" t="n">
        <x:f>I53-I54</x:f>
        <x:v>126.63576844602281</x:v>
      </x:c>
      <x:c r="J55" s="1"/>
      <x:c r="K55" s="1"/>
    </x:row>
    <x:row r="56" ht="18" customHeight="1">
      <x:c r="A56" s="1"/>
      <x:c r="B56" s="1"/>
      <x:c r="C56" s="1" t="str">
        <x:v>Interest expense</x:v>
      </x:c>
      <x:c r="D56" s="2"/>
      <x:c r="E56" s="8" t="n">
        <x:f>$D36*E30</x:f>
        <x:v>55.25000000000001</x:v>
      </x:c>
      <x:c r="F56" s="8" t="n">
        <x:f>E68*F30</x:f>
        <x:v>49.725</x:v>
      </x:c>
      <x:c r="G56" s="8" t="n">
        <x:f>F68*G30</x:f>
        <x:v>44.2</x:v>
      </x:c>
      <x:c r="H56" s="8" t="n">
        <x:f>G68*H30</x:f>
        <x:v>38.675000000000004</x:v>
      </x:c>
      <x:c r="I56" s="8" t="n">
        <x:f>H68*I30</x:f>
        <x:v>33.150000000000006</x:v>
      </x:c>
      <x:c r="J56" s="1"/>
      <x:c r="K56" s="1"/>
    </x:row>
    <x:row r="57" ht="18" customHeight="1">
      <x:c r="A57" s="1"/>
      <x:c r="B57" s="1"/>
      <x:c r="C57" s="1" t="str">
        <x:v>Profit before tax</x:v>
      </x:c>
      <x:c r="D57" s="2"/>
      <x:c r="E57" s="8" t="n">
        <x:f>E55-E56</x:f>
        <x:v>-48.72226314999998</x:v>
      </x:c>
      <x:c r="F57" s="8" t="n">
        <x:f>F55-F56</x:f>
        <x:v>-15.737271581776618</x:v>
      </x:c>
      <x:c r="G57" s="8" t="n">
        <x:f>G55-G56</x:f>
        <x:v>18.760138354817926</x:v>
      </x:c>
      <x:c r="H57" s="8" t="n">
        <x:f>H55-H56</x:f>
        <x:v>55.0615672980909</x:v>
      </x:c>
      <x:c r="I57" s="8" t="n">
        <x:f>I55-I56</x:f>
        <x:v>93.4857684460228</x:v>
      </x:c>
      <x:c r="J57" s="1"/>
      <x:c r="K57" s="1"/>
    </x:row>
    <x:row r="58" ht="18" customHeight="1">
      <x:c r="A58" s="1"/>
      <x:c r="B58" s="1"/>
      <x:c r="C58" s="1" t="str">
        <x:v>Cash income tax</x:v>
      </x:c>
      <x:c r="D58" s="2"/>
      <x:c r="E58" s="8" t="n">
        <x:f>MAX(0,E57)*E29</x:f>
        <x:v>0</x:v>
      </x:c>
      <x:c r="F58" s="8" t="n">
        <x:f>MAX(0,F57)*F29</x:f>
        <x:v>0</x:v>
      </x:c>
      <x:c r="G58" s="8" t="n">
        <x:f>MAX(0,G57)*G29</x:f>
        <x:v>4.690034588704481</x:v>
      </x:c>
      <x:c r="H58" s="8" t="n">
        <x:f>MAX(0,H57)*H29</x:f>
        <x:v>13.765391824522725</x:v>
      </x:c>
      <x:c r="I58" s="8" t="n">
        <x:f>MAX(0,I57)*I29</x:f>
        <x:v>23.3714421115057</x:v>
      </x:c>
      <x:c r="J58" s="1"/>
      <x:c r="K58" s="1"/>
    </x:row>
    <x:row r="59" ht="18" customHeight="1">
      <x:c r="A59" s="1"/>
      <x:c r="B59" s="1"/>
      <x:c r="C59" s="38" t="str">
        <x:v>Profit after tax</x:v>
      </x:c>
      <x:c r="D59" s="39"/>
      <x:c r="E59" s="41" t="n">
        <x:f>E57-E58</x:f>
        <x:v>-48.72226314999998</x:v>
      </x:c>
      <x:c r="F59" s="41" t="n">
        <x:f>F57-F58</x:f>
        <x:v>-15.737271581776618</x:v>
      </x:c>
      <x:c r="G59" s="41" t="n">
        <x:f>G57-G58</x:f>
        <x:v>14.070103766113444</x:v>
      </x:c>
      <x:c r="H59" s="41" t="n">
        <x:f>H57-H58</x:f>
        <x:v>41.29617547356818</x:v>
      </x:c>
      <x:c r="I59" s="41" t="n">
        <x:f>I57-I58</x:f>
        <x:v>70.1143263345171</x:v>
      </x:c>
      <x:c r="J59" s="1"/>
      <x:c r="K59" s="1"/>
    </x:row>
    <x:row r="60" ht="18" customHeight="1">
      <x:c r="A60" s="1"/>
      <x:c r="B60" s="1"/>
      <x:c r="C60" s="19" t="str">
        <x:v>WORKING CAPITAL AND ASSET SCHEDULES</x:v>
      </x:c>
      <x:c r="D60" s="20"/>
      <x:c r="E60" s="20"/>
      <x:c r="F60" s="20"/>
      <x:c r="G60" s="20"/>
      <x:c r="H60" s="20"/>
      <x:c r="I60" s="20"/>
      <x:c r="J60" s="1"/>
      <x:c r="K60" s="1"/>
    </x:row>
    <x:row r="61" ht="18" customHeight="1">
      <x:c r="A61" s="1"/>
      <x:c r="B61" s="1"/>
      <x:c r="C61" s="1" t="str">
        <x:v>Trade receivables</x:v>
      </x:c>
      <x:c r="D61" s="2"/>
      <x:c r="E61" s="10" t="n">
        <x:f>E48*E26/'Controls'!$E$11</x:f>
        <x:v>21.70732921875</x:v>
      </x:c>
      <x:c r="F61" s="10" t="n">
        <x:f>F48*F26/'Controls'!$E$11</x:f>
        <x:v>24.274220898867185</x:v>
      </x:c>
      <x:c r="G61" s="10" t="n">
        <x:f>G48*G26/'Controls'!$E$11</x:f>
        <x:v>27.14464752015822</x:v>
      </x:c>
      <x:c r="H61" s="10" t="n">
        <x:f>H48*H26/'Controls'!$E$11</x:f>
        <x:v>30.354502089416933</x:v>
      </x:c>
      <x:c r="I61" s="10" t="n">
        <x:f>I48*I26/'Controls'!$E$11</x:f>
        <x:v>33.94392196149048</x:v>
      </x:c>
      <x:c r="J61" s="1"/>
      <x:c r="K61" s="1"/>
    </x:row>
    <x:row r="62" ht="18" customHeight="1">
      <x:c r="A62" s="1"/>
      <x:c r="B62" s="1"/>
      <x:c r="C62" s="1" t="str">
        <x:v>Inventory</x:v>
      </x:c>
      <x:c r="D62" s="2"/>
      <x:c r="E62" s="10" t="n">
        <x:f>E50*E27/'Controls'!$E$11</x:f>
        <x:v>5.5570762799999995</x:v>
      </x:c>
      <x:c r="F62" s="10" t="n">
        <x:f>F50*F27/'Controls'!$E$11</x:f>
        <x:v>6.214200550109998</x:v>
      </x:c>
      <x:c r="G62" s="10" t="n">
        <x:f>G50*G27/'Controls'!$E$11</x:f>
        <x:v>6.949029765160504</x:v>
      </x:c>
      <x:c r="H62" s="10" t="n">
        <x:f>H50*H27/'Controls'!$E$11</x:f>
        <x:v>7.770752534890735</x:v>
      </x:c>
      <x:c r="I62" s="10" t="n">
        <x:f>I50*I27/'Controls'!$E$11</x:f>
        <x:v>8.689644022141565</x:v>
      </x:c>
      <x:c r="J62" s="1"/>
      <x:c r="K62" s="1"/>
    </x:row>
    <x:row r="63" ht="18" customHeight="1">
      <x:c r="A63" s="1"/>
      <x:c r="B63" s="1"/>
      <x:c r="C63" s="1" t="str">
        <x:v>Trade payables</x:v>
      </x:c>
      <x:c r="D63" s="2"/>
      <x:c r="E63" s="10" t="n">
        <x:f>E50*E28/'Controls'!$E$11</x:f>
        <x:v>16.20813915</x:v>
      </x:c>
      <x:c r="F63" s="10" t="n">
        <x:f>F50*F28/'Controls'!$E$11</x:f>
        <x:v>18.124751604487496</x:v>
      </x:c>
      <x:c r="G63" s="10" t="n">
        <x:f>G50*G28/'Controls'!$E$11</x:f>
        <x:v>20.26800348171814</x:v>
      </x:c>
      <x:c r="H63" s="10" t="n">
        <x:f>H50*H28/'Controls'!$E$11</x:f>
        <x:v>22.664694893431307</x:v>
      </x:c>
      <x:c r="I63" s="10" t="n">
        <x:f>I50*I28/'Controls'!$E$11</x:f>
        <x:v>25.34479506457956</x:v>
      </x:c>
      <x:c r="J63" s="1"/>
      <x:c r="K63" s="1"/>
    </x:row>
    <x:row r="64" ht="18" customHeight="1">
      <x:c r="A64" s="1"/>
      <x:c r="B64" s="1"/>
      <x:c r="C64" s="1" t="str">
        <x:v>Net working capital</x:v>
      </x:c>
      <x:c r="D64" s="2"/>
      <x:c r="E64" s="8" t="n">
        <x:f>E61+E62-E63</x:f>
        <x:v>11.05626634875</x:v>
      </x:c>
      <x:c r="F64" s="8" t="n">
        <x:f>F61+F62-F63</x:f>
        <x:v>12.363669844489689</x:v>
      </x:c>
      <x:c r="G64" s="8" t="n">
        <x:f>G61+G62-G63</x:f>
        <x:v>13.825673803600587</x:v>
      </x:c>
      <x:c r="H64" s="8" t="n">
        <x:f>H61+H62-H63</x:f>
        <x:v>15.460559730876358</x:v>
      </x:c>
      <x:c r="I64" s="8" t="n">
        <x:f>I61+I62-I63</x:f>
        <x:v>17.288770919052485</x:v>
      </x:c>
      <x:c r="J64" s="1"/>
      <x:c r="K64" s="1"/>
    </x:row>
    <x:row r="65" ht="18" customHeight="1">
      <x:c r="A65" s="1"/>
      <x:c r="B65" s="1"/>
      <x:c r="C65" s="1" t="str">
        <x:v>Increase in net working capital</x:v>
      </x:c>
      <x:c r="D65" s="2"/>
      <x:c r="E65" s="8" t="n">
        <x:f>E64-$D38</x:f>
        <x:v>1.1691513487500007</x:v>
      </x:c>
      <x:c r="F65" s="8" t="n">
        <x:f>F64-E64</x:f>
        <x:v>1.3074034957396883</x:v>
      </x:c>
      <x:c r="G65" s="8" t="n">
        <x:f>G64-F64</x:f>
        <x:v>1.4620039591108984</x:v>
      </x:c>
      <x:c r="H65" s="8" t="n">
        <x:f>H64-G64</x:f>
        <x:v>1.6348859272757714</x:v>
      </x:c>
      <x:c r="I65" s="8" t="n">
        <x:f>I64-H64</x:f>
        <x:v>1.8282111881761267</x:v>
      </x:c>
      <x:c r="J65" s="1"/>
      <x:c r="K65" s="1"/>
    </x:row>
    <x:row r="66" ht="18" customHeight="1">
      <x:c r="A66" s="1"/>
      <x:c r="B66" s="1"/>
      <x:c r="C66" s="1" t="str">
        <x:v>Capital expenditure</x:v>
      </x:c>
      <x:c r="D66" s="2"/>
      <x:c r="E66" s="8" t="n">
        <x:f>E48*E24</x:f>
        <x:v>47.539050989062495</x:v>
      </x:c>
      <x:c r="F66" s="8" t="n">
        <x:f>F48*F24</x:f>
        <x:v>53.160543768519126</x:v>
      </x:c>
      <x:c r="G66" s="8" t="n">
        <x:f>G48*G24</x:f>
        <x:v>59.446778069146504</x:v>
      </x:c>
      <x:c r="H66" s="8" t="n">
        <x:f>H48*H24</x:f>
        <x:v>66.47635957582308</x:v>
      </x:c>
      <x:c r="I66" s="8" t="n">
        <x:f>I48*I24</x:f>
        <x:v>74.33718909566416</x:v>
      </x:c>
      <x:c r="J66" s="1"/>
      <x:c r="K66" s="1"/>
    </x:row>
    <x:row r="67" ht="18" customHeight="1">
      <x:c r="A67" s="1"/>
      <x:c r="B67" s="1"/>
      <x:c r="C67" s="1" t="str">
        <x:v>Closing net PP&amp;E</x:v>
      </x:c>
      <x:c r="D67" s="2"/>
      <x:c r="E67" s="8" t="n">
        <x:f>$D35+E66-E54</x:f>
        <x:v>2385.0390509890626</x:v>
      </x:c>
      <x:c r="F67" s="8" t="n">
        <x:f>E67+F66-F54</x:f>
        <x:v>2283.172056443293</x:v>
      </x:c>
      <x:c r="G67" s="8" t="n">
        <x:f>F67+G66-G54</x:f>
        <x:v>2194.2126508436254</x:v>
      </x:c>
      <x:c r="H67" s="8" t="n">
        <x:f>G67+H66-H54</x:f>
        <x:v>2118.0651881146127</x:v>
      </x:c>
      <x:c r="I67" s="8" t="n">
        <x:f>H67+I66-I54</x:f>
        <x:v>2054.728139982827</x:v>
      </x:c>
      <x:c r="J67" s="1"/>
      <x:c r="K67" s="1"/>
    </x:row>
    <x:row r="68" ht="18" customHeight="1">
      <x:c r="A68" s="1"/>
      <x:c r="B68" s="1"/>
      <x:c r="C68" s="1" t="str">
        <x:v>Closing debt</x:v>
      </x:c>
      <x:c r="D68" s="2"/>
      <x:c r="E68" s="8" t="n">
        <x:f>$D36+E31-E32</x:f>
        <x:v>585</x:v>
      </x:c>
      <x:c r="F68" s="8" t="n">
        <x:f>E68+F31-F32</x:f>
        <x:v>520</x:v>
      </x:c>
      <x:c r="G68" s="8" t="n">
        <x:f>F68+G31-G32</x:f>
        <x:v>455</x:v>
      </x:c>
      <x:c r="H68" s="8" t="n">
        <x:f>G68+H31-H32</x:f>
        <x:v>390</x:v>
      </x:c>
      <x:c r="I68" s="8" t="n">
        <x:f>H68+I31-I32</x:f>
        <x:v>325</x:v>
      </x:c>
      <x:c r="J68" s="1"/>
      <x:c r="K68" s="1"/>
    </x:row>
    <x:row r="69" ht="18" customHeight="1">
      <x:c r="A69" s="1"/>
      <x:c r="B69" s="1"/>
      <x:c r="C69" s="19" t="str">
        <x:v>CASH FLOW AND BALANCE SHEET</x:v>
      </x:c>
      <x:c r="D69" s="20"/>
      <x:c r="E69" s="20"/>
      <x:c r="F69" s="20"/>
      <x:c r="G69" s="20"/>
      <x:c r="H69" s="20"/>
      <x:c r="I69" s="20"/>
      <x:c r="J69" s="1"/>
      <x:c r="K69" s="1"/>
    </x:row>
    <x:row r="70" ht="18" customHeight="1">
      <x:c r="A70" s="1"/>
      <x:c r="B70" s="1"/>
      <x:c r="C70" s="1" t="str">
        <x:v>Operating cash flow after interest</x:v>
      </x:c>
      <x:c r="D70" s="2"/>
      <x:c r="E70" s="8" t="n">
        <x:f>E59+E54-E65</x:f>
        <x:v>112.60858550125002</x:v>
      </x:c>
      <x:c r="F70" s="8" t="n">
        <x:f>F59+F54-F65</x:f>
        <x:v>137.98286323677277</x:v>
      </x:c>
      <x:c r="G70" s="8" t="n">
        <x:f>G59+G54-G65</x:f>
        <x:v>161.01428347581663</x:v>
      </x:c>
      <x:c r="H70" s="8" t="n">
        <x:f>H59+H54-H65</x:f>
        <x:v>182.28511185112805</x:v>
      </x:c>
      <x:c r="I70" s="8" t="n">
        <x:f>I59+I54-I65</x:f>
        <x:v>205.96035237379078</x:v>
      </x:c>
      <x:c r="J70" s="1"/>
      <x:c r="K70" s="1"/>
    </x:row>
    <x:row r="71" ht="18" customHeight="1">
      <x:c r="A71" s="1"/>
      <x:c r="B71" s="1"/>
      <x:c r="C71" s="1" t="str">
        <x:v>Dividends</x:v>
      </x:c>
      <x:c r="D71" s="2"/>
      <x:c r="E71" s="8" t="n">
        <x:f>MAX(0,E59)*E33</x:f>
        <x:v>0</x:v>
      </x:c>
      <x:c r="F71" s="8" t="n">
        <x:f>MAX(0,F59)*F33</x:f>
        <x:v>0</x:v>
      </x:c>
      <x:c r="G71" s="8" t="n">
        <x:f>MAX(0,G59)*G33</x:f>
        <x:v>3.517525941528361</x:v>
      </x:c>
      <x:c r="H71" s="8" t="n">
        <x:f>MAX(0,H59)*H33</x:f>
        <x:v>10.324043868392044</x:v>
      </x:c>
      <x:c r="I71" s="8" t="n">
        <x:f>MAX(0,I59)*I33</x:f>
        <x:v>17.528581583629276</x:v>
      </x:c>
      <x:c r="J71" s="1"/>
      <x:c r="K71" s="1"/>
    </x:row>
    <x:row r="72" ht="18" customHeight="1">
      <x:c r="A72" s="1"/>
      <x:c r="B72" s="1"/>
      <x:c r="C72" s="1" t="str">
        <x:v>Change in cash</x:v>
      </x:c>
      <x:c r="D72" s="2"/>
      <x:c r="E72" s="8" t="n">
        <x:f>E70-E66+E31-E32-E71</x:f>
        <x:v>0.06953451218751638</x:v>
      </x:c>
      <x:c r="F72" s="8" t="n">
        <x:f>F70-F66+F31-F32-F71</x:f>
        <x:v>19.822319468253653</x:v>
      </x:c>
      <x:c r="G72" s="8" t="n">
        <x:f>G70-G66+G31-G32-G71</x:f>
        <x:v>33.04997946514176</x:v>
      </x:c>
      <x:c r="H72" s="8" t="n">
        <x:f>H70-H66+H31-H32-H71</x:f>
        <x:v>40.48470840691292</x:v>
      </x:c>
      <x:c r="I72" s="8" t="n">
        <x:f>I70-I66+I31-I32-I71</x:f>
        <x:v>49.094581694497364</x:v>
      </x:c>
      <x:c r="J72" s="1"/>
      <x:c r="K72" s="1"/>
    </x:row>
    <x:row r="73" ht="18" customHeight="1">
      <x:c r="A73" s="1"/>
      <x:c r="B73" s="1"/>
      <x:c r="C73" s="1" t="str">
        <x:v>Closing cash / (funding gap)</x:v>
      </x:c>
      <x:c r="D73" s="2"/>
      <x:c r="E73" s="8" t="n">
        <x:f>$D37+E72</x:f>
        <x:v>200.06953451218752</x:v>
      </x:c>
      <x:c r="F73" s="8" t="n">
        <x:f>E73+F72</x:f>
        <x:v>219.89185398044117</x:v>
      </x:c>
      <x:c r="G73" s="8" t="n">
        <x:f>F73+G72</x:f>
        <x:v>252.94183344558292</x:v>
      </x:c>
      <x:c r="H73" s="8" t="n">
        <x:f>G73+H72</x:f>
        <x:v>293.42654185249586</x:v>
      </x:c>
      <x:c r="I73" s="8" t="n">
        <x:f>H73+I72</x:f>
        <x:v>342.52112354699324</x:v>
      </x:c>
      <x:c r="J73" s="1"/>
      <x:c r="K73" s="1"/>
    </x:row>
    <x:row r="74" ht="18" customHeight="1">
      <x:c r="A74" s="1"/>
      <x:c r="B74" s="1"/>
      <x:c r="C74" s="38" t="str">
        <x:v>Closing book equity</x:v>
      </x:c>
      <x:c r="D74" s="39"/>
      <x:c r="E74" s="41" t="n">
        <x:f>$D35+$D38+$D37-$D36+E59-E71</x:f>
        <x:v>2011.16485185</x:v>
      </x:c>
      <x:c r="F74" s="41" t="n">
        <x:f>E74+F59-F71</x:f>
        <x:v>1995.4275802682234</x:v>
      </x:c>
      <x:c r="G74" s="41" t="n">
        <x:f>F74+G59-G71</x:f>
        <x:v>2005.9801580928083</x:v>
      </x:c>
      <x:c r="H74" s="41" t="n">
        <x:f>G74+H59-H71</x:f>
        <x:v>2036.9522896979845</x:v>
      </x:c>
      <x:c r="I74" s="41" t="n">
        <x:f>H74+I59-I71</x:f>
        <x:v>2089.5380344488726</x:v>
      </x:c>
      <x:c r="J74" s="1"/>
      <x:c r="K74" s="1"/>
    </x:row>
    <x:row r="75" ht="18" customHeight="1">
      <x:c r="A75" s="1"/>
      <x:c r="B75" s="1"/>
      <x:c r="C75" s="1" t="str">
        <x:v>Total assets</x:v>
      </x:c>
      <x:c r="D75" s="2"/>
      <x:c r="E75" s="8" t="n">
        <x:f>E73+E61+E62+E67</x:f>
        <x:v>2612.372991</x:v>
      </x:c>
      <x:c r="F75" s="8" t="n">
        <x:f>F73+F61+F62+F67</x:f>
        <x:v>2533.5523318727114</x:v>
      </x:c>
      <x:c r="G75" s="8" t="n">
        <x:f>G73+G61+G62+G67</x:f>
        <x:v>2481.248161574527</x:v>
      </x:c>
      <x:c r="H75" s="8" t="n">
        <x:f>H73+H61+H62+H67</x:f>
        <x:v>2449.6169845914164</x:v>
      </x:c>
      <x:c r="I75" s="8" t="n">
        <x:f>I73+I61+I62+I67</x:f>
        <x:v>2439.8828295134526</x:v>
      </x:c>
      <x:c r="J75" s="1"/>
      <x:c r="K75" s="1"/>
    </x:row>
    <x:row r="76" ht="18" customHeight="1">
      <x:c r="A76" s="1"/>
      <x:c r="B76" s="1"/>
      <x:c r="C76" s="1" t="str">
        <x:v>Liabilities and equity</x:v>
      </x:c>
      <x:c r="D76" s="2"/>
      <x:c r="E76" s="8" t="n">
        <x:f>E63+E68+E74</x:f>
        <x:v>2612.372991</x:v>
      </x:c>
      <x:c r="F76" s="8" t="n">
        <x:f>F63+F68+F74</x:f>
        <x:v>2533.552331872711</x:v>
      </x:c>
      <x:c r="G76" s="8" t="n">
        <x:f>G63+G68+G74</x:f>
        <x:v>2481.2481615745264</x:v>
      </x:c>
      <x:c r="H76" s="8" t="n">
        <x:f>H63+H68+H74</x:f>
        <x:v>2449.616984591416</x:v>
      </x:c>
      <x:c r="I76" s="8" t="n">
        <x:f>I63+I68+I74</x:f>
        <x:v>2439.882829513452</x:v>
      </x:c>
      <x:c r="J76" s="1"/>
      <x:c r="K76" s="1"/>
    </x:row>
    <x:row r="77" ht="18" customHeight="1">
      <x:c r="A77" s="1"/>
      <x:c r="B77" s="1"/>
      <x:c r="C77" s="1" t="str">
        <x:v>Unlevered operating profit after tax</x:v>
      </x:c>
      <x:c r="D77" s="2"/>
      <x:c r="E77" s="8" t="n">
        <x:f>E55-MAX(0,E55)*E29</x:f>
        <x:v>4.895802637500019</x:v>
      </x:c>
      <x:c r="F77" s="8" t="n">
        <x:f>F55-MAX(0,F55)*F29</x:f>
        <x:v>25.490796313667538</x:v>
      </x:c>
      <x:c r="G77" s="8" t="n">
        <x:f>G55-MAX(0,G55)*G29</x:f>
        <x:v>47.220103766113446</x:v>
      </x:c>
      <x:c r="H77" s="8" t="n">
        <x:f>H55-MAX(0,H55)*H29</x:f>
        <x:v>70.30242547356818</x:v>
      </x:c>
      <x:c r="I77" s="8" t="n">
        <x:f>I55-MAX(0,I55)*I29</x:f>
        <x:v>94.97682633451711</x:v>
      </x:c>
      <x:c r="J77" s="1"/>
      <x:c r="K77" s="1"/>
    </x:row>
    <x:row r="78" ht="18" customHeight="1">
      <x:c r="A78" s="1"/>
      <x:c r="B78" s="1"/>
      <x:c r="C78" s="38" t="str">
        <x:v>Free cash flow to firm</x:v>
      </x:c>
      <x:c r="D78" s="39"/>
      <x:c r="E78" s="41" t="n">
        <x:f>E77+E54-E66-E65</x:f>
        <x:v>118.68760029968752</x:v>
      </x:c>
      <x:c r="F78" s="41" t="n">
        <x:f>F77+F54-F66-F65</x:f>
        <x:v>126.05038736369781</x:v>
      </x:c>
      <x:c r="G78" s="41" t="n">
        <x:f>G77+G54-G66-G65</x:f>
        <x:v>134.71750540667014</x:v>
      </x:c>
      <x:c r="H78" s="41" t="n">
        <x:f>H77+H54-H66-H65</x:f>
        <x:v>144.81500227530495</x:v>
      </x:c>
      <x:c r="I78" s="41" t="n">
        <x:f>I77+I54-I66-I65</x:f>
        <x:v>156.48566327812665</x:v>
      </x:c>
      <x:c r="J78" s="1"/>
      <x:c r="K78" s="1"/>
    </x:row>
    <x:row r="79" ht="18" customHeight="1">
      <x:c r="A79" s="1"/>
      <x:c r="B79" s="1"/>
      <x:c r="C79" s="19" t="str">
        <x:v>SECTOR KPIs AND RETURN METRICS</x:v>
      </x:c>
      <x:c r="D79" s="20"/>
      <x:c r="E79" s="20"/>
      <x:c r="F79" s="20"/>
      <x:c r="G79" s="20"/>
      <x:c r="H79" s="20"/>
      <x:c r="I79" s="20"/>
      <x:c r="J79" s="1"/>
      <x:c r="K79" s="1"/>
    </x:row>
    <x:row r="80" ht="18" customHeight="1">
      <x:c r="A80" s="1"/>
      <x:c r="B80" s="1"/>
      <x:c r="C80" s="23" t="str">
        <x:v>Gross margin</x:v>
      </x:c>
      <x:c r="D80" s="24"/>
      <x:c r="E80" s="35" t="n">
        <x:f>E51/E48</x:f>
        <x:v>0.68</x:v>
      </x:c>
      <x:c r="F80" s="35" t="n">
        <x:f>F51/F48</x:f>
        <x:v>0.6799999999999999</x:v>
      </x:c>
      <x:c r="G80" s="35" t="n">
        <x:f>G51/G48</x:f>
        <x:v>0.6799999999999999</x:v>
      </x:c>
      <x:c r="H80" s="35" t="n">
        <x:f>H51/H48</x:f>
        <x:v>0.68</x:v>
      </x:c>
      <x:c r="I80" s="35" t="n">
        <x:f>I51/I48</x:f>
        <x:v>0.68</x:v>
      </x:c>
      <x:c r="J80" s="1"/>
      <x:c r="K80" s="1"/>
    </x:row>
    <x:row r="81" ht="18" customHeight="1">
      <x:c r="A81" s="1"/>
      <x:c r="B81" s="1"/>
      <x:c r="C81" s="23" t="str">
        <x:v>EBITDA margin</x:v>
      </x:c>
      <x:c r="D81" s="24"/>
      <x:c r="E81" s="35" t="n">
        <x:f>E53/E48</x:f>
        <x:v>0.32000000000000006</x:v>
      </x:c>
      <x:c r="F81" s="35" t="n">
        <x:f>F53/F48</x:f>
        <x:v>0.32</x:v>
      </x:c>
      <x:c r="G81" s="35" t="n">
        <x:f>G53/G48</x:f>
        <x:v>0.31999999999999995</x:v>
      </x:c>
      <x:c r="H81" s="35" t="n">
        <x:f>H53/H48</x:f>
        <x:v>0.32000000000000006</x:v>
      </x:c>
      <x:c r="I81" s="35" t="n">
        <x:f>I53/I48</x:f>
        <x:v>0.32000000000000006</x:v>
      </x:c>
      <x:c r="J81" s="1"/>
      <x:c r="K81" s="1"/>
    </x:row>
    <x:row r="82" ht="18" customHeight="1">
      <x:c r="A82" s="1"/>
      <x:c r="B82" s="1"/>
      <x:c r="C82" s="23" t="str">
        <x:v>Net margin</x:v>
      </x:c>
      <x:c r="D82" s="24"/>
      <x:c r="E82" s="35" t="n">
        <x:f>E59/E48</x:f>
        <x:v>-0.09224003408290321</x:v>
      </x:c>
      <x:c r="F82" s="35" t="n">
        <x:f>F59/F48</x:f>
        <x:v>-0.02664296378395285</x:v>
      </x:c>
      <x:c r="G82" s="35" t="n">
        <x:f>G59/G48</x:f>
        <x:v>0.021301563853927983</x:v>
      </x:c>
      <x:c r="H82" s="35" t="n">
        <x:f>H59/H48</x:f>
        <x:v>0.05590943632197413</x:v>
      </x:c>
      <x:c r="I82" s="35" t="n">
        <x:f>I59/I48</x:f>
        <x:v>0.08488738203412372</x:v>
      </x:c>
      <x:c r="J82" s="1"/>
      <x:c r="K82" s="1"/>
    </x:row>
    <x:row r="83" ht="18" customHeight="1">
      <x:c r="A83" s="1"/>
      <x:c r="B83" s="1"/>
      <x:c r="C83" s="23" t="str">
        <x:v>Operating cash conversion</x:v>
      </x:c>
      <x:c r="D83" s="24"/>
      <x:c r="E83" s="35" t="n">
        <x:f>IF(E53=0,"n.a.",E70/E53)</x:f>
        <x:v>0.6662136499004424</x:v>
      </x:c>
      <x:c r="F83" s="35" t="n">
        <x:f>IF(F53=0,"n.a.",F70/F53)</x:f>
        <x:v>0.7300090919747827</x:v>
      </x:c>
      <x:c r="G83" s="35" t="n">
        <x:f>IF(G53=0,"n.a.",G70/G53)</x:f>
        <x:v>0.7617783284217544</x:v>
      </x:c>
      <x:c r="H83" s="35" t="n">
        <x:f>IF(H53=0,"n.a.",H70/H53)</x:f>
        <x:v>0.7712168361092896</x:v>
      </x:c>
      <x:c r="I83" s="35" t="n">
        <x:f>IF(I53=0,"n.a.",I70/I53)</x:f>
        <x:v>0.7792378190488681</x:v>
      </x:c>
      <x:c r="J83" s="1"/>
      <x:c r="K83" s="1"/>
    </x:row>
    <x:row r="84" ht="18" customHeight="1">
      <x:c r="A84" s="1"/>
      <x:c r="B84" s="1"/>
      <x:c r="C84" s="1" t="str">
        <x:v>Cash conversion cycle (days)</x:v>
      </x:c>
      <x:c r="D84" s="2"/>
      <x:c r="E84" s="8" t="n">
        <x:f>E26+E27-E28</x:f>
        <x:v>-8</x:v>
      </x:c>
      <x:c r="F84" s="8" t="n">
        <x:f>F26+F27-F28</x:f>
        <x:v>-8</x:v>
      </x:c>
      <x:c r="G84" s="8" t="n">
        <x:f>G26+G27-G28</x:f>
        <x:v>-8</x:v>
      </x:c>
      <x:c r="H84" s="8" t="n">
        <x:f>H26+H27-H28</x:f>
        <x:v>-8</x:v>
      </x:c>
      <x:c r="I84" s="8" t="n">
        <x:f>I26+I27-I28</x:f>
        <x:v>-8</x:v>
      </x:c>
      <x:c r="J84" s="1"/>
      <x:c r="K84" s="1"/>
    </x:row>
    <x:row r="85" ht="18" customHeight="1">
      <x:c r="A85" s="1"/>
      <x:c r="B85" s="1"/>
      <x:c r="C85" s="23" t="str">
        <x:v>Net debt / EBITDA</x:v>
      </x:c>
      <x:c r="D85" s="32"/>
      <x:c r="E85" s="61" t="n">
        <x:f>IF(E53&lt;=0,"n.a.",(E68-E73)/E53)</x:f>
        <x:v>2.277321300405333</x:v>
      </x:c>
      <x:c r="F85" s="61" t="n">
        <x:f>IF(F53&lt;=0,"n.a.",(F68-F73)/F53)</x:f>
        <x:v>1.5877455361542885</x:v>
      </x:c>
      <x:c r="G85" s="61" t="n">
        <x:f>IF(G53&lt;=0,"n.a.",(G68-G73)/G53)</x:f>
        <x:v>0.9559619745468524</x:v>
      </x:c>
      <x:c r="H85" s="61" t="n">
        <x:f>IF(H53&lt;=0,"n.a.",(H68-H73)/H53)</x:f>
        <x:v>0.4085856276922823</x:v>
      </x:c>
      <x:c r="I85" s="61" t="n">
        <x:f>IF(I53&lt;=0,"n.a.",(I68-I73)/I53)</x:f>
        <x:v>-0.06629005020959651</x:v>
      </x:c>
      <x:c r="J85" s="1"/>
      <x:c r="K85" s="1"/>
    </x:row>
    <x:row r="86" ht="18" customHeight="1">
      <x:c r="A86" s="1"/>
      <x:c r="B86" s="1"/>
      <x:c r="C86" s="23" t="str">
        <x:v>EBIT / interest</x:v>
      </x:c>
      <x:c r="D86" s="32"/>
      <x:c r="E86" s="61" t="n">
        <x:f>IF(E56=0,"n.a.",E55/E56)</x:f>
        <x:v>0.118149083257919</x:v>
      </x:c>
      <x:c r="F86" s="61" t="n">
        <x:f>IF(F56=0,"n.a.",F55/F56)</x:f>
        <x:v>0.6835138947857895</x:v>
      </x:c>
      <x:c r="G86" s="61" t="n">
        <x:f>IF(G56=0,"n.a.",G55/G56)</x:f>
        <x:v>1.424437519339772</x:v>
      </x:c>
      <x:c r="H86" s="61" t="n">
        <x:f>IF(H56=0,"n.a.",H55/H56)</x:f>
        <x:v>2.4236992190844444</x:v>
      </x:c>
      <x:c r="I86" s="61" t="n">
        <x:f>IF(I56=0,"n.a.",I55/I56)</x:f>
        <x:v>3.8200835127005366</x:v>
      </x:c>
      <x:c r="J86" s="1"/>
      <x:c r="K86" s="1"/>
    </x:row>
    <x:row r="87" ht="18" customHeight="1">
      <x:c r="A87" s="1"/>
      <x:c r="B87" s="1"/>
      <x:c r="C87" s="23" t="str">
        <x:v>ROIC on average invested capital</x:v>
      </x:c>
      <x:c r="D87" s="24"/>
      <x:c r="E87" s="35" t="n">
        <x:f>E77/(($D35+$D38+E67+E64)/2)</x:f>
        <x:v>0.0019958500483936944</x:v>
      </x:c>
      <x:c r="F87" s="35" t="n">
        <x:f>F77/((E67+E64+F67+F64)/2)</x:f>
        <x:v>0.010866496566605023</x:v>
      </x:c>
      <x:c r="G87" s="35" t="n">
        <x:f>G77/((F67+F64+G67+G64)/2)</x:f>
        <x:v>0.020970057661785245</x:v>
      </x:c>
      <x:c r="H87" s="35" t="n">
        <x:f>H77/((G67+G64+H67+H64)/2)</x:f>
        <x:v>0.032385759739901265</x:v>
      </x:c>
      <x:c r="I87" s="35" t="n">
        <x:f>I77/((H67+H64+I67+I64)/2)</x:f>
        <x:v>0.04516745354465443</x:v>
      </x:c>
      <x:c r="J87" s="1"/>
      <x:c r="K87" s="1"/>
    </x:row>
    <x:row r="88" ht="18" customHeight="1">
      <x:c r="A88" s="1"/>
      <x:c r="B88" s="1"/>
      <x:c r="C88" s="1" t="str">
        <x:v>Room RevPAR (INR)</x:v>
      </x:c>
      <x:c r="D88" s="2"/>
      <x:c r="E88" s="8" t="n">
        <x:f>E46*E20</x:f>
        <x:v>6247.5</x:v>
      </x:c>
      <x:c r="F88" s="8" t="n">
        <x:f>F46*F20</x:f>
        <x:v>6559.875</x:v>
      </x:c>
      <x:c r="G88" s="8" t="n">
        <x:f>G46*G20</x:f>
        <x:v>6887.86875</x:v>
      </x:c>
      <x:c r="H88" s="8" t="n">
        <x:f>H46*H20</x:f>
        <x:v>7232.2621874999995</x:v>
      </x:c>
      <x:c r="I88" s="8" t="n">
        <x:f>I46*I20</x:f>
        <x:v>7593.875296875</x:v>
      </x:c>
      <x:c r="J88" s="1"/>
      <x:c r="K88" s="1"/>
    </x:row>
    <x:row r="89" ht="18" customHeight="1">
      <x:c r="A89" s="1"/>
      <x:c r="B89" s="1"/>
      <x:c r="C89" s="1" t="str">
        <x:v>Total revenue per available room-day (INR)</x:v>
      </x:c>
      <x:c r="D89" s="2"/>
      <x:c r="E89" s="10" t="n">
        <x:f>E48*'Controls'!$E$9/(E45*'Controls'!$E$11)</x:f>
        <x:v>9058.875</x:v>
      </x:c>
      <x:c r="F89" s="10" t="n">
        <x:f>F48*'Controls'!$E$9/(F45*'Controls'!$E$11)</x:f>
        <x:v>9511.818749999997</x:v>
      </x:c>
      <x:c r="G89" s="10" t="n">
        <x:f>G48*'Controls'!$E$9/(G45*'Controls'!$E$11)</x:f>
        <x:v>9987.409687499996</x:v>
      </x:c>
      <x:c r="H89" s="10" t="n">
        <x:f>H48*'Controls'!$E$9/(H45*'Controls'!$E$11)</x:f>
        <x:v>10486.780171874998</x:v>
      </x:c>
      <x:c r="I89" s="10" t="n">
        <x:f>I48*'Controls'!$E$9/(I45*'Controls'!$E$11)</x:f>
        <x:v>11011.11918046875</x:v>
      </x:c>
      <x:c r="J89" s="1"/>
      <x:c r="K89" s="1"/>
    </x:row>
    <x:row r="90" ht="18" customHeight="1">
      <x:c r="A90" s="1"/>
      <x:c r="B90" s="1"/>
      <x:c r="C90" s="19" t="str">
        <x:v>VALUATION AT 31 MARCH 2026</x:v>
      </x:c>
      <x:c r="D90" s="20"/>
      <x:c r="E90" s="20"/>
      <x:c r="F90" s="20"/>
      <x:c r="G90" s="20"/>
      <x:c r="H90" s="20"/>
      <x:c r="I90" s="20"/>
      <x:c r="J90" s="1"/>
      <x:c r="K90" s="1"/>
    </x:row>
    <x:row r="91" ht="18" customHeight="1">
      <x:c r="A91" s="1"/>
      <x:c r="B91" s="1"/>
      <x:c r="C91" s="1" t="str">
        <x:v>PV of annual FCFF</x:v>
      </x:c>
      <x:c r="D91" s="2"/>
      <x:c r="E91" s="8" t="n">
        <x:f>E78/(1+$D40)^1</x:f>
        <x:v>105.97107169614956</x:v>
      </x:c>
      <x:c r="F91" s="8" t="n">
        <x:f>F78/(1+$D40)^2</x:f>
        <x:v>100.48659706927438</x:v>
      </x:c>
      <x:c r="G91" s="8" t="n">
        <x:f>G78/(1+$D40)^3</x:f>
        <x:v>95.88925938316419</x:v>
      </x:c>
      <x:c r="H91" s="8" t="n">
        <x:f>H78/(1+$D40)^4</x:f>
        <x:v>92.03255197019304</x:v>
      </x:c>
      <x:c r="I91" s="8" t="n">
        <x:f>I78/(1+$D40)^5</x:f>
        <x:v>88.79416787894687</x:v>
      </x:c>
      <x:c r="J91" s="1"/>
      <x:c r="K91" s="1"/>
    </x:row>
    <x:row r="92" ht="18" customHeight="1">
      <x:c r="A92" s="1"/>
      <x:c r="B92" s="1"/>
      <x:c r="C92" s="1" t="str">
        <x:v>Normalized terminal FCFF</x:v>
      </x:c>
      <x:c r="D92" s="2"/>
      <x:c r="E92" s="8" t="n">
        <x:f>I77*(1+$D41)*(1-$D41/$D42)</x:f>
        <x:v>72.43565955112506</x:v>
      </x:c>
      <x:c r="F92" s="2"/>
      <x:c r="G92" s="2"/>
      <x:c r="H92" s="2"/>
      <x:c r="I92" s="2"/>
      <x:c r="J92" s="1"/>
      <x:c r="K92" s="1" t="str">
        <x:v>Terminal reinvestment = terminal NOPAT × growth / incremental ROIC.</x:v>
      </x:c>
    </x:row>
    <x:row r="93" ht="18" customHeight="1">
      <x:c r="A93" s="1"/>
      <x:c r="B93" s="1"/>
      <x:c r="C93" s="1" t="str">
        <x:v>Terminal enterprise value</x:v>
      </x:c>
      <x:c r="D93" s="2"/>
      <x:c r="E93" s="8" t="n">
        <x:f>IF($D40&lt;=$D41,NA(),E92/($D40-$D41))</x:f>
        <x:v>905.4457443890633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 t="str">
        <x:v>DCF enterprise value</x:v>
      </x:c>
      <x:c r="D94" s="2"/>
      <x:c r="E94" s="8" t="n">
        <x:f>SUM(E91:I91)+E93/(1+$D40)^5</x:f>
        <x:v>996.9478797602006</x:v>
      </x:c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38" t="str">
        <x:v>DCF equity value</x:v>
      </x:c>
      <x:c r="D95" s="39"/>
      <x:c r="E95" s="41" t="n">
        <x:f>E94-$D36+$D37</x:f>
        <x:v>546.9478797602006</x:v>
      </x:c>
      <x:c r="F95" s="39"/>
      <x:c r="G95" s="39"/>
      <x:c r="H95" s="39"/>
      <x:c r="I95" s="39"/>
      <x:c r="J95" s="1"/>
      <x:c r="K95" s="1"/>
    </x:row>
    <x:row r="96" ht="18" customHeight="1">
      <x:c r="A96" s="1"/>
      <x:c r="B96" s="1"/>
      <x:c r="C96" s="1" t="str">
        <x:v>DCF value per share (INR)</x:v>
      </x:c>
      <x:c r="D96" s="33"/>
      <x:c r="E96" s="34" t="n">
        <x:f>E95/$D39</x:f>
        <x:v>5.469478797602006</x:v>
      </x:c>
      <x:c r="F96" s="33"/>
      <x:c r="G96" s="33"/>
      <x:c r="H96" s="33"/>
      <x:c r="I96" s="33"/>
      <x:c r="J96" s="1"/>
      <x:c r="K96" s="1"/>
    </x:row>
    <x:row r="97" ht="18" customHeight="1">
      <x:c r="A97" s="1"/>
      <x:c r="B97" s="1"/>
      <x:c r="C97" s="1" t="str">
        <x:v>Forward multiple enterprise value</x:v>
      </x:c>
      <x:c r="D97" s="2"/>
      <x:c r="E97" s="8" t="n">
        <x:f>E53*$D43</x:f>
        <x:v>2873.4715264500005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 t="str">
        <x:v>Forward multiple equity value</x:v>
      </x:c>
      <x:c r="D98" s="2"/>
      <x:c r="E98" s="8" t="n">
        <x:f>E97-$D36+$D37</x:f>
        <x:v>2423.4715264500005</x:v>
      </x:c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23" t="str">
        <x:v>Terminal value / DCF enterprise value</x:v>
      </x:c>
      <x:c r="D99" s="24"/>
      <x:c r="E99" s="35" t="n">
        <x:f>(E93/(1+$D40)^5)/E94</x:f>
        <x:v>0.5153471331781683</x:v>
      </x:c>
      <x:c r="F99" s="24"/>
      <x:c r="G99" s="24"/>
      <x:c r="H99" s="24"/>
      <x:c r="I99" s="24"/>
      <x:c r="J99" s="1"/>
      <x:c r="K99" s="1"/>
    </x:row>
    <x:row r="100" ht="18" customHeight="1">
      <x:c r="A100" s="1"/>
      <x:c r="B100" s="1"/>
      <x:c r="C100" s="19" t="str">
        <x:v>MODEL CHECKS</x:v>
      </x:c>
      <x:c r="D100" s="20"/>
      <x:c r="E100" s="20"/>
      <x:c r="F100" s="20"/>
      <x:c r="G100" s="20"/>
      <x:c r="H100" s="20"/>
      <x:c r="I100" s="20"/>
      <x:c r="J100" s="1"/>
      <x:c r="K100" s="1"/>
    </x:row>
    <x:row r="101" ht="18" customHeight="1">
      <x:c r="A101" s="1"/>
      <x:c r="B101" s="1"/>
      <x:c r="C101" s="1" t="str">
        <x:v>Assets less liabilities and equity</x:v>
      </x:c>
      <x:c r="D101" s="33"/>
      <x:c r="E101" s="34" t="n">
        <x:f>E75-E76</x:f>
        <x:v>0</x:v>
      </x:c>
      <x:c r="F101" s="34" t="n">
        <x:f>F75-F76</x:f>
        <x:v>4.547473508864641e-13</x:v>
      </x:c>
      <x:c r="G101" s="34" t="n">
        <x:f>G75-G76</x:f>
        <x:v>4.547473508864641e-13</x:v>
      </x:c>
      <x:c r="H101" s="34" t="n">
        <x:f>H75-H76</x:f>
        <x:v>4.547473508864641e-13</x:v>
      </x:c>
      <x:c r="I101" s="34" t="n">
        <x:f>I75-I76</x:f>
        <x:v>4.547473508864641e-13</x:v>
      </x:c>
      <x:c r="J101" s="1"/>
      <x:c r="K101" s="1"/>
    </x:row>
    <x:row r="102" ht="18" customHeight="1">
      <x:c r="A102" s="1"/>
      <x:c r="B102" s="1"/>
      <x:c r="C102" s="1" t="str">
        <x:v>Cash funding shortfall</x:v>
      </x:c>
      <x:c r="D102" s="33"/>
      <x:c r="E102" s="34" t="n">
        <x:f>MAX(0,-E73)</x:f>
        <x:v>0</x:v>
      </x:c>
      <x:c r="F102" s="34" t="n">
        <x:f>MAX(0,-F73)</x:f>
        <x:v>0</x:v>
      </x:c>
      <x:c r="G102" s="34" t="n">
        <x:f>MAX(0,-G73)</x:f>
        <x:v>0</x:v>
      </x:c>
      <x:c r="H102" s="34" t="n">
        <x:f>MAX(0,-H73)</x:f>
        <x:v>0</x:v>
      </x:c>
      <x:c r="I102" s="34" t="n">
        <x:f>MAX(0,-I73)</x:f>
        <x:v>0</x:v>
      </x:c>
      <x:c r="J102" s="1"/>
      <x:c r="K102" s="1"/>
    </x:row>
    <x:row r="103" ht="18" customHeight="1">
      <x:c r="A103" s="1"/>
      <x:c r="B103" s="1"/>
      <x:c r="C103" s="1" t="str">
        <x:v>Debt below zero</x:v>
      </x:c>
      <x:c r="D103" s="33"/>
      <x:c r="E103" s="34" t="n">
        <x:f>MAX(0,-E68)</x:f>
        <x:v>0</x:v>
      </x:c>
      <x:c r="F103" s="34" t="n">
        <x:f>MAX(0,-F68)</x:f>
        <x:v>0</x:v>
      </x:c>
      <x:c r="G103" s="34" t="n">
        <x:f>MAX(0,-G68)</x:f>
        <x:v>0</x:v>
      </x:c>
      <x:c r="H103" s="34" t="n">
        <x:f>MAX(0,-H68)</x:f>
        <x:v>0</x:v>
      </x:c>
      <x:c r="I103" s="34" t="n">
        <x:f>MAX(0,-I68)</x:f>
        <x:v>0</x:v>
      </x:c>
      <x:c r="J103" s="1"/>
      <x:c r="K103" s="1"/>
    </x:row>
    <x:row r="104" ht="18" customHeight="1">
      <x:c r="A104" s="1"/>
      <x:c r="B104" s="1"/>
      <x:c r="C104" s="1" t="str">
        <x:v>Utilization above 100%</x:v>
      </x:c>
      <x:c r="D104" s="33"/>
      <x:c r="E104" s="34" t="n">
        <x:f>MAX(0,E20-1)</x:f>
        <x:v>0</x:v>
      </x:c>
      <x:c r="F104" s="34" t="n">
        <x:f>MAX(0,F20-1)</x:f>
        <x:v>0</x:v>
      </x:c>
      <x:c r="G104" s="34" t="n">
        <x:f>MAX(0,G20-1)</x:f>
        <x:v>0</x:v>
      </x:c>
      <x:c r="H104" s="34" t="n">
        <x:f>MAX(0,H20-1)</x:f>
        <x:v>0</x:v>
      </x:c>
      <x:c r="I104" s="34" t="n">
        <x:f>MAX(0,I20-1)</x:f>
        <x:v>0</x:v>
      </x:c>
      <x:c r="J104" s="1"/>
      <x:c r="K104" s="1"/>
    </x:row>
    <x:row r="105" ht="18" customHeight="1">
      <x:c r="A105" s="1"/>
      <x:c r="B105" s="1"/>
      <x:c r="C105" s="1" t="str">
        <x:v>Net PP&amp;E below zero</x:v>
      </x:c>
      <x:c r="D105" s="33"/>
      <x:c r="E105" s="34" t="n">
        <x:f>MAX(0,-E67)</x:f>
        <x:v>0</x:v>
      </x:c>
      <x:c r="F105" s="34" t="n">
        <x:f>MAX(0,-F67)</x:f>
        <x:v>0</x:v>
      </x:c>
      <x:c r="G105" s="34" t="n">
        <x:f>MAX(0,-G67)</x:f>
        <x:v>0</x:v>
      </x:c>
      <x:c r="H105" s="34" t="n">
        <x:f>MAX(0,-H67)</x:f>
        <x:v>0</x:v>
      </x:c>
      <x:c r="I105" s="34" t="n">
        <x:f>MAX(0,-I67)</x:f>
        <x:v>0</x:v>
      </x:c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1:I101">
    <x:cfRule type="expression" dxfId="45" priority="1">
      <x:formula>ABS(E101)&gt;0.01</x:formula>
    </x:cfRule>
  </x:conditionalFormatting>
  <x:conditionalFormatting sqref="E102:I102">
    <x:cfRule type="expression" dxfId="46" priority="2">
      <x:formula>ABS(E102)&gt;0.01</x:formula>
    </x:cfRule>
  </x:conditionalFormatting>
  <x:conditionalFormatting sqref="E103:I103">
    <x:cfRule type="expression" dxfId="47" priority="3">
      <x:formula>ABS(E103)&gt;0.01</x:formula>
    </x:cfRule>
  </x:conditionalFormatting>
  <x:conditionalFormatting sqref="E104:I104">
    <x:cfRule type="expression" dxfId="48" priority="4">
      <x:formula>ABS(E104)&gt;0.01</x:formula>
    </x:cfRule>
  </x:conditionalFormatting>
  <x:conditionalFormatting sqref="E105:I105">
    <x:cfRule type="expression" dxfId="49" priority="5">
      <x:formula>ABS(E105)&gt;0.01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Retail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Average selling area (sq ft) — seed</x:v>
      </x:c>
      <x:c r="D10" s="7" t="n">
        <x:v>1000000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Annual sales density (INR per sq ft) — seed</x:v>
      </x:c>
      <x:c r="D11" s="7" t="n">
        <x:v>18000</x:v>
      </x:c>
      <x:c r="E11" s="2"/>
      <x:c r="F11" s="2"/>
      <x:c r="G11" s="2"/>
      <x:c r="H11" s="2"/>
      <x:c r="I11" s="2"/>
      <x:c r="J11" s="1"/>
      <x:c r="K11" s="1" t="str">
        <x:v>Store rent is in operating expenses. Valuation is pre-Ind AS 116; exclude lease liabilities consistently.</x:v>
      </x:c>
    </x:row>
    <x:row r="12" ht="18" customHeight="1">
      <x:c r="A12" s="1"/>
      <x:c r="B12" s="1"/>
      <x:c r="C12" s="28" t="str">
        <x:v>Operating scale growth — active</x:v>
      </x:c>
      <x:c r="D12" s="29"/>
      <x:c r="E12" s="30" t="n">
        <x:f>IF(COUNT(INDEX(E13:E15,'Controls'!$E$5))=0,NA(),INDEX(E13:E15,'Controls'!$E$5))</x:f>
        <x:v>0.12</x:v>
      </x:c>
      <x:c r="F12" s="30" t="n">
        <x:f>IF(COUNT(INDEX(F13:F15,'Controls'!$E$5))=0,NA(),INDEX(F13:F15,'Controls'!$E$5))</x:f>
        <x:v>0.12</x:v>
      </x:c>
      <x:c r="G12" s="30" t="n">
        <x:f>IF(COUNT(INDEX(G13:G15,'Controls'!$E$5))=0,NA(),INDEX(G13:G15,'Controls'!$E$5))</x:f>
        <x:v>0.12</x:v>
      </x:c>
      <x:c r="H12" s="30" t="n">
        <x:f>IF(COUNT(INDEX(H13:H15,'Controls'!$E$5))=0,NA(),INDEX(H13:H15,'Controls'!$E$5))</x:f>
        <x:v>0.12</x:v>
      </x:c>
      <x:c r="I12" s="30" t="n">
        <x:f>IF(COUNT(INDEX(I13:I15,'Controls'!$E$5))=0,NA(),INDEX(I13:I15,'Controls'!$E$5))</x:f>
        <x:v>0.12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0.12</x:v>
      </x:c>
      <x:c r="F13" s="26" t="n">
        <x:v>0.12</x:v>
      </x:c>
      <x:c r="G13" s="26" t="n">
        <x:v>0.12</x:v>
      </x:c>
      <x:c r="H13" s="26" t="n">
        <x:v>0.12</x:v>
      </x:c>
      <x:c r="I13" s="26" t="n">
        <x:v>0.12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0.06999999999999999</x:v>
      </x:c>
      <x:c r="F14" s="26" t="n">
        <x:v>0.06999999999999999</x:v>
      </x:c>
      <x:c r="G14" s="26" t="n">
        <x:v>0.06999999999999999</x:v>
      </x:c>
      <x:c r="H14" s="26" t="n">
        <x:v>0.06999999999999999</x:v>
      </x:c>
      <x:c r="I14" s="26" t="n">
        <x:v>0.06999999999999999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0.16</x:v>
      </x:c>
      <x:c r="F15" s="26" t="n">
        <x:v>0.16</x:v>
      </x:c>
      <x:c r="G15" s="26" t="n">
        <x:v>0.16</x:v>
      </x:c>
      <x:c r="H15" s="26" t="n">
        <x:v>0.16</x:v>
      </x:c>
      <x:c r="I15" s="26" t="n">
        <x:v>0.16</x:v>
      </x:c>
      <x:c r="J15" s="1"/>
      <x:c r="K15" s="1"/>
    </x:row>
    <x:row r="16" ht="18" customHeight="1">
      <x:c r="A16" s="1"/>
      <x:c r="B16" s="1"/>
      <x:c r="C16" s="28" t="str">
        <x:v>Realization growth — active</x:v>
      </x:c>
      <x:c r="D16" s="29"/>
      <x:c r="E16" s="30" t="n">
        <x:f>IF(COUNT(INDEX(E17:E19,'Controls'!$E$5))=0,NA(),INDEX(E17:E19,'Controls'!$E$5))</x:f>
        <x:v>0.045</x:v>
      </x:c>
      <x:c r="F16" s="30" t="n">
        <x:f>IF(COUNT(INDEX(F17:F19,'Controls'!$E$5))=0,NA(),INDEX(F17:F19,'Controls'!$E$5))</x:f>
        <x:v>0.045</x:v>
      </x:c>
      <x:c r="G16" s="30" t="n">
        <x:f>IF(COUNT(INDEX(G17:G19,'Controls'!$E$5))=0,NA(),INDEX(G17:G19,'Controls'!$E$5))</x:f>
        <x:v>0.045</x:v>
      </x:c>
      <x:c r="H16" s="30" t="n">
        <x:f>IF(COUNT(INDEX(H17:H19,'Controls'!$E$5))=0,NA(),INDEX(H17:H19,'Controls'!$E$5))</x:f>
        <x:v>0.045</x:v>
      </x:c>
      <x:c r="I16" s="30" t="n">
        <x:f>IF(COUNT(INDEX(I17:I19,'Controls'!$E$5))=0,NA(),INDEX(I17:I19,'Controls'!$E$5))</x:f>
        <x:v>0.045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0.045</x:v>
      </x:c>
      <x:c r="F17" s="26" t="n">
        <x:v>0.045</x:v>
      </x:c>
      <x:c r="G17" s="26" t="n">
        <x:v>0.045</x:v>
      </x:c>
      <x:c r="H17" s="26" t="n">
        <x:v>0.045</x:v>
      </x:c>
      <x:c r="I17" s="26" t="n">
        <x:v>0.045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0.019999999999999997</x:v>
      </x:c>
      <x:c r="F18" s="26" t="n">
        <x:v>0.019999999999999997</x:v>
      </x:c>
      <x:c r="G18" s="26" t="n">
        <x:v>0.019999999999999997</x:v>
      </x:c>
      <x:c r="H18" s="26" t="n">
        <x:v>0.019999999999999997</x:v>
      </x:c>
      <x:c r="I18" s="26" t="n">
        <x:v>0.019999999999999997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0.065</x:v>
      </x:c>
      <x:c r="F19" s="26" t="n">
        <x:v>0.065</x:v>
      </x:c>
      <x:c r="G19" s="26" t="n">
        <x:v>0.065</x:v>
      </x:c>
      <x:c r="H19" s="26" t="n">
        <x:v>0.065</x:v>
      </x:c>
      <x:c r="I19" s="26" t="n">
        <x:v>0.065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18" customHeight="1">
      <x:c r="A21" s="1"/>
      <x:c r="B21" s="1"/>
      <x:c r="C21" s="23" t="str">
        <x:v>Merchandise cost / revenue</x:v>
      </x:c>
      <x:c r="D21" s="24"/>
      <x:c r="E21" s="26" t="n">
        <x:v>0.62</x:v>
      </x:c>
      <x:c r="F21" s="26" t="n">
        <x:v>0.62</x:v>
      </x:c>
      <x:c r="G21" s="26" t="n">
        <x:v>0.62</x:v>
      </x:c>
      <x:c r="H21" s="26" t="n">
        <x:v>0.62</x:v>
      </x:c>
      <x:c r="I21" s="26" t="n">
        <x:v>0.62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0.25</x:v>
      </x:c>
      <x:c r="F22" s="26" t="n">
        <x:v>0.25</x:v>
      </x:c>
      <x:c r="G22" s="26" t="n">
        <x:v>0.25</x:v>
      </x:c>
      <x:c r="H22" s="26" t="n">
        <x:v>0.25</x:v>
      </x:c>
      <x:c r="I22" s="26" t="n">
        <x:v>0.25</x:v>
      </x:c>
      <x:c r="J22" s="1"/>
      <x:c r="K22" s="1" t="str">
        <x:v>Includes rent and store operating expenses.</x:v>
      </x:c>
    </x:row>
    <x:row r="23" ht="18" customHeight="1">
      <x:c r="A23" s="1"/>
      <x:c r="B23" s="1"/>
      <x:c r="C23" s="23" t="str">
        <x:v>Cash capex / revenue</x:v>
      </x:c>
      <x:c r="D23" s="24"/>
      <x:c r="E23" s="26" t="n">
        <x:v>0.055</x:v>
      </x:c>
      <x:c r="F23" s="26" t="n">
        <x:v>0.055</x:v>
      </x:c>
      <x:c r="G23" s="26" t="n">
        <x:v>0.055</x:v>
      </x:c>
      <x:c r="H23" s="26" t="n">
        <x:v>0.055</x:v>
      </x:c>
      <x:c r="I23" s="26" t="n">
        <x:v>0.055</x:v>
      </x:c>
      <x:c r="J23" s="1"/>
      <x:c r="K23" s="1"/>
    </x:row>
    <x:row r="24" ht="18" customHeight="1">
      <x:c r="A24" s="1"/>
      <x:c r="B24" s="1"/>
      <x:c r="C24" s="23" t="str">
        <x:v>D&amp;A / opening net PP&amp;E</x:v>
      </x:c>
      <x:c r="D24" s="24"/>
      <x:c r="E24" s="26" t="n">
        <x:v>0.15</x:v>
      </x:c>
      <x:c r="F24" s="26" t="n">
        <x:v>0.15</x:v>
      </x:c>
      <x:c r="G24" s="26" t="n">
        <x:v>0.15</x:v>
      </x:c>
      <x:c r="H24" s="26" t="n">
        <x:v>0.15</x:v>
      </x:c>
      <x:c r="I24" s="26" t="n">
        <x:v>0.15</x:v>
      </x:c>
      <x:c r="J24" s="1"/>
      <x:c r="K24" s="1" t="str">
        <x:v>No disposals or impairments. Current-year capex begins depreciation next year.</x:v>
      </x:c>
    </x:row>
    <x:row r="25" ht="18" customHeight="1">
      <x:c r="A25" s="1"/>
      <x:c r="B25" s="1"/>
      <x:c r="C25" s="1" t="str">
        <x:v>Receivable days</x:v>
      </x:c>
      <x:c r="D25" s="2"/>
      <x:c r="E25" s="7" t="n">
        <x:v>3</x:v>
      </x:c>
      <x:c r="F25" s="7" t="n">
        <x:v>3</x:v>
      </x:c>
      <x:c r="G25" s="7" t="n">
        <x:v>3</x:v>
      </x:c>
      <x:c r="H25" s="7" t="n">
        <x:v>3</x:v>
      </x:c>
      <x:c r="I25" s="7" t="n">
        <x:v>3</x:v>
      </x:c>
      <x:c r="J25" s="1"/>
      <x:c r="K25" s="1"/>
    </x:row>
    <x:row r="26" ht="18" customHeight="1">
      <x:c r="A26" s="1"/>
      <x:c r="B26" s="1"/>
      <x:c r="C26" s="1" t="str">
        <x:v>Inventory days</x:v>
      </x:c>
      <x:c r="D26" s="2"/>
      <x:c r="E26" s="7" t="n">
        <x:v>75</x:v>
      </x:c>
      <x:c r="F26" s="7" t="n">
        <x:v>75</x:v>
      </x:c>
      <x:c r="G26" s="7" t="n">
        <x:v>75</x:v>
      </x:c>
      <x:c r="H26" s="7" t="n">
        <x:v>75</x:v>
      </x:c>
      <x:c r="I26" s="7" t="n">
        <x:v>75</x:v>
      </x:c>
      <x:c r="J26" s="1"/>
      <x:c r="K26" s="1"/>
    </x:row>
    <x:row r="27" ht="18" customHeight="1">
      <x:c r="A27" s="1"/>
      <x:c r="B27" s="1"/>
      <x:c r="C27" s="1" t="str">
        <x:v>Payable days</x:v>
      </x:c>
      <x:c r="D27" s="2"/>
      <x:c r="E27" s="7" t="n">
        <x:v>50</x:v>
      </x:c>
      <x:c r="F27" s="7" t="n">
        <x:v>50</x:v>
      </x:c>
      <x:c r="G27" s="7" t="n">
        <x:v>50</x:v>
      </x:c>
      <x:c r="H27" s="7" t="n">
        <x:v>50</x:v>
      </x:c>
      <x:c r="I27" s="7" t="n">
        <x:v>50</x:v>
      </x:c>
      <x:c r="J27" s="1"/>
      <x:c r="K27" s="1"/>
    </x:row>
    <x:row r="28" ht="18" customHeight="1">
      <x:c r="A28" s="1"/>
      <x:c r="B28" s="1"/>
      <x:c r="C28" s="23" t="str">
        <x:v>Effective cash tax rate</x:v>
      </x:c>
      <x:c r="D28" s="24"/>
      <x:c r="E28" s="26" t="n">
        <x:v>0.25</x:v>
      </x:c>
      <x:c r="F28" s="26" t="n">
        <x:v>0.25</x:v>
      </x:c>
      <x:c r="G28" s="26" t="n">
        <x:v>0.25</x:v>
      </x:c>
      <x:c r="H28" s="26" t="n">
        <x:v>0.25</x:v>
      </x:c>
      <x:c r="I28" s="26" t="n">
        <x:v>0.25</x:v>
      </x:c>
      <x:c r="J28" s="1"/>
      <x:c r="K28" s="1" t="str">
        <x:v>Illustrative assumption, not a statutory rate. No loss carryforwards or deferred tax.</x:v>
      </x:c>
    </x:row>
    <x:row r="29" ht="18" customHeight="1">
      <x:c r="A29" s="1"/>
      <x:c r="B29" s="1"/>
      <x:c r="C29" s="23" t="str">
        <x:v>Interest on opening debt</x:v>
      </x:c>
      <x:c r="D29" s="24"/>
      <x:c r="E29" s="26" t="n">
        <x:v>0.085</x:v>
      </x:c>
      <x:c r="F29" s="26" t="n">
        <x:v>0.085</x:v>
      </x:c>
      <x:c r="G29" s="26" t="n">
        <x:v>0.085</x:v>
      </x:c>
      <x:c r="H29" s="26" t="n">
        <x:v>0.085</x:v>
      </x:c>
      <x:c r="I29" s="26" t="n">
        <x:v>0.085</x:v>
      </x:c>
      <x:c r="J29" s="1"/>
      <x:c r="K29" s="1"/>
    </x:row>
    <x:row r="30" ht="18" customHeight="1">
      <x:c r="A30" s="1"/>
      <x:c r="B30" s="1"/>
      <x:c r="C30" s="1" t="str">
        <x:v>New borrowing</x:v>
      </x:c>
      <x:c r="D30" s="2"/>
      <x:c r="E30" s="7" t="n">
        <x:v>0</x:v>
      </x:c>
      <x:c r="F30" s="7" t="n">
        <x:v>0</x:v>
      </x:c>
      <x:c r="G30" s="7" t="n">
        <x:v>0</x:v>
      </x:c>
      <x:c r="H30" s="7" t="n">
        <x:v>0</x:v>
      </x:c>
      <x:c r="I30" s="7" t="n">
        <x:v>0</x:v>
      </x:c>
      <x:c r="J30" s="1"/>
      <x:c r="K30" s="1"/>
    </x:row>
    <x:row r="31" ht="18" customHeight="1">
      <x:c r="A31" s="1"/>
      <x:c r="B31" s="1"/>
      <x:c r="C31" s="1" t="str">
        <x:v>Scheduled principal repayment</x:v>
      </x:c>
      <x:c r="D31" s="2"/>
      <x:c r="E31" s="7" t="n">
        <x:v>35</x:v>
      </x:c>
      <x:c r="F31" s="7" t="n">
        <x:v>35</x:v>
      </x:c>
      <x:c r="G31" s="7" t="n">
        <x:v>35</x:v>
      </x:c>
      <x:c r="H31" s="7" t="n">
        <x:v>35</x:v>
      </x:c>
      <x:c r="I31" s="7" t="n">
        <x:v>35</x:v>
      </x:c>
      <x:c r="J31" s="1"/>
      <x:c r="K31" s="1"/>
    </x:row>
    <x:row r="32" ht="18" customHeight="1">
      <x:c r="A32" s="1"/>
      <x:c r="B32" s="1"/>
      <x:c r="C32" s="23" t="str">
        <x:v>Dividend payout on positive PAT</x:v>
      </x:c>
      <x:c r="D32" s="24"/>
      <x:c r="E32" s="26" t="n">
        <x:v>0.25</x:v>
      </x:c>
      <x:c r="F32" s="26" t="n">
        <x:v>0.25</x:v>
      </x:c>
      <x:c r="G32" s="26" t="n">
        <x:v>0.25</x:v>
      </x:c>
      <x:c r="H32" s="26" t="n">
        <x:v>0.25</x:v>
      </x:c>
      <x:c r="I32" s="26" t="n">
        <x:v>0.25</x:v>
      </x:c>
      <x:c r="J32" s="1"/>
      <x:c r="K32" s="1"/>
    </x:row>
    <x:row r="33" ht="18" customHeight="1">
      <x:c r="A33" s="1"/>
      <x:c r="B33" s="1"/>
      <x:c r="C33" s="19" t="str">
        <x:v>OPENING BALANCE SHEET AND VALUATION INPUTS</x:v>
      </x:c>
      <x:c r="D33" s="20"/>
      <x:c r="E33" s="20"/>
      <x:c r="F33" s="20"/>
      <x:c r="G33" s="20"/>
      <x:c r="H33" s="20"/>
      <x:c r="I33" s="20"/>
      <x:c r="J33" s="1"/>
      <x:c r="K33" s="1"/>
    </x:row>
    <x:row r="34" ht="18" customHeight="1">
      <x:c r="A34" s="1"/>
      <x:c r="B34" s="1"/>
      <x:c r="C34" s="1" t="str">
        <x:v>Opening net PP&amp;E</x:v>
      </x:c>
      <x:c r="D34" s="7" t="n">
        <x:v>1000</x:v>
      </x:c>
      <x:c r="E34" s="2"/>
      <x:c r="F34" s="2"/>
      <x:c r="G34" s="2"/>
      <x:c r="H34" s="2"/>
      <x:c r="I34" s="2"/>
      <x:c r="J34" s="1"/>
      <x:c r="K34" s="1"/>
    </x:row>
    <x:row r="35" ht="18" customHeight="1">
      <x:c r="A35" s="1"/>
      <x:c r="B35" s="1"/>
      <x:c r="C35" s="1" t="str">
        <x:v>Opening debt</x:v>
      </x:c>
      <x:c r="D35" s="7" t="n">
        <x:v>350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cash</x:v>
      </x:c>
      <x:c r="D36" s="7" t="n">
        <x:v>250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net working capital</x:v>
      </x:c>
      <x:c r="D37" s="7" t="n">
        <x:v>91.23287671232877</x:v>
      </x:c>
      <x:c r="E37" s="2"/>
      <x:c r="F37" s="2"/>
      <x:c r="G37" s="2"/>
      <x:c r="H37" s="2"/>
      <x:c r="I37" s="2"/>
      <x:c r="J37" s="1"/>
      <x:c r="K37" s="1" t="str">
        <x:v>Illustrative opening net balance. Replace with receivables + inventory − payables.</x:v>
      </x:c>
    </x:row>
    <x:row r="38" ht="18" customHeight="1">
      <x:c r="A38" s="1"/>
      <x:c r="B38" s="1"/>
      <x:c r="C38" s="1" t="str">
        <x:v>Diluted shares (crore)</x:v>
      </x:c>
      <x:c r="D38" s="7" t="n">
        <x:v>100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 t="str">
        <x:v>WACC</x:v>
      </x:c>
      <x:c r="D39" s="25" t="n">
        <x:v>0.12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Terminal growth</x:v>
      </x:c>
      <x:c r="D40" s="25" t="n">
        <x:v>0.04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incremental ROIC</x:v>
      </x:c>
      <x:c r="D41" s="25" t="n">
        <x:v>0.15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Forward EV / EBITDA</x:v>
      </x:c>
      <x:c r="D42" s="55" t="n">
        <x:v>18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9" t="str">
        <x:v>OPERATING BUILD</x:v>
      </x:c>
      <x:c r="D43" s="20"/>
      <x:c r="E43" s="20"/>
      <x:c r="F43" s="20"/>
      <x:c r="G43" s="20"/>
      <x:c r="H43" s="20"/>
      <x:c r="I43" s="20"/>
      <x:c r="J43" s="1"/>
      <x:c r="K43" s="1"/>
    </x:row>
    <x:row r="44" ht="18" customHeight="1">
      <x:c r="A44" s="1"/>
      <x:c r="B44" s="1"/>
      <x:c r="C44" s="1" t="str">
        <x:v>Average selling area (sq ft)</x:v>
      </x:c>
      <x:c r="D44" s="2"/>
      <x:c r="E44" s="8" t="n">
        <x:f>$D10*(1+E12)</x:f>
        <x:v>1120000</x:v>
      </x:c>
      <x:c r="F44" s="8" t="n">
        <x:f>E44*(1+F12)</x:f>
        <x:v>1254400.0000000002</x:v>
      </x:c>
      <x:c r="G44" s="8" t="n">
        <x:f>F44*(1+G12)</x:f>
        <x:v>1404928.0000000005</x:v>
      </x:c>
      <x:c r="H44" s="8" t="n">
        <x:f>G44*(1+H12)</x:f>
        <x:v>1573519.3600000006</x:v>
      </x:c>
      <x:c r="I44" s="8" t="n">
        <x:f>H44*(1+I12)</x:f>
        <x:v>1762341.6832000008</x:v>
      </x:c>
      <x:c r="J44" s="1"/>
      <x:c r="K44" s="1"/>
    </x:row>
    <x:row r="45" ht="18" customHeight="1">
      <x:c r="A45" s="1"/>
      <x:c r="B45" s="1"/>
      <x:c r="C45" s="1" t="str">
        <x:v>Annual sales density (INR per sq ft)</x:v>
      </x:c>
      <x:c r="D45" s="2"/>
      <x:c r="E45" s="8" t="n">
        <x:f>$D11*(1+E16)</x:f>
        <x:v>18810</x:v>
      </x:c>
      <x:c r="F45" s="8" t="n">
        <x:f>E45*(1+F16)</x:f>
        <x:v>19656.449999999997</x:v>
      </x:c>
      <x:c r="G45" s="8" t="n">
        <x:f>F45*(1+G16)</x:f>
        <x:v>20540.990249999995</x:v>
      </x:c>
      <x:c r="H45" s="8" t="n">
        <x:f>G45*(1+H16)</x:f>
        <x:v>21465.334811249995</x:v>
      </x:c>
      <x:c r="I45" s="8" t="n">
        <x:f>H45*(1+I16)</x:f>
        <x:v>22431.274877756245</x:v>
      </x:c>
      <x:c r="J45" s="1"/>
      <x:c r="K45" s="1"/>
    </x:row>
    <x:row r="46" ht="18" customHeight="1">
      <x:c r="A46" s="1"/>
      <x:c r="B46" s="1"/>
      <x:c r="C46" s="1" t="str">
        <x:v>Billable / saleable volume</x:v>
      </x:c>
      <x:c r="D46" s="2"/>
      <x:c r="E46" s="8" t="n">
        <x:f>E44*E20</x:f>
        <x:v>1120000</x:v>
      </x:c>
      <x:c r="F46" s="8" t="n">
        <x:f>F44*F20</x:f>
        <x:v>1254400.0000000002</x:v>
      </x:c>
      <x:c r="G46" s="8" t="n">
        <x:f>G44*G20</x:f>
        <x:v>1404928.0000000005</x:v>
      </x:c>
      <x:c r="H46" s="8" t="n">
        <x:f>H44*H20</x:f>
        <x:v>1573519.3600000006</x:v>
      </x:c>
      <x:c r="I46" s="8" t="n">
        <x:f>I44*I20</x:f>
        <x:v>1762341.6832000008</x:v>
      </x:c>
      <x:c r="J46" s="1"/>
      <x:c r="K46" s="1"/>
    </x:row>
    <x:row r="47" ht="18" customHeight="1">
      <x:c r="A47" s="1"/>
      <x:c r="B47" s="1"/>
      <x:c r="C47" s="38" t="str">
        <x:v>Revenue</x:v>
      </x:c>
      <x:c r="D47" s="39"/>
      <x:c r="E47" s="60" t="n">
        <x:f>E46*E45/'Controls'!$E$9</x:f>
        <x:v>2106.72</x:v>
      </x:c>
      <x:c r="F47" s="60" t="n">
        <x:f>F46*F45/'Controls'!$E$9</x:f>
        <x:v>2465.705088</x:v>
      </x:c>
      <x:c r="G47" s="60" t="n">
        <x:f>G46*G45/'Controls'!$E$9</x:f>
        <x:v>2885.8612349952004</x:v>
      </x:c>
      <x:c r="H47" s="60" t="n">
        <x:f>H46*H45/'Controls'!$E$9</x:f>
        <x:v>3377.611989438383</x:v>
      </x:c>
      <x:c r="I47" s="60" t="n">
        <x:f>I46*I45/'Controls'!$E$9</x:f>
        <x:v>3953.1570724386834</x:v>
      </x:c>
      <x:c r="J47" s="1"/>
      <x:c r="K47" s="1"/>
    </x:row>
    <x:row r="48" ht="18" customHeight="1">
      <x:c r="A48" s="1"/>
      <x:c r="B48" s="1"/>
      <x:c r="C48" s="19" t="str">
        <x:v>INCOME STATEMENT</x:v>
      </x:c>
      <x:c r="D48" s="20"/>
      <x:c r="E48" s="20"/>
      <x:c r="F48" s="20"/>
      <x:c r="G48" s="20"/>
      <x:c r="H48" s="20"/>
      <x:c r="I48" s="20"/>
      <x:c r="J48" s="1"/>
      <x:c r="K48" s="1"/>
    </x:row>
    <x:row r="49" ht="18" customHeight="1">
      <x:c r="A49" s="1"/>
      <x:c r="B49" s="1"/>
      <x:c r="C49" s="1" t="str">
        <x:v>Direct cash costs</x:v>
      </x:c>
      <x:c r="D49" s="2"/>
      <x:c r="E49" s="8" t="n">
        <x:f>E47*E21</x:f>
        <x:v>1306.1663999999998</x:v>
      </x:c>
      <x:c r="F49" s="8" t="n">
        <x:f>F47*F21</x:f>
        <x:v>1528.7371545600001</x:v>
      </x:c>
      <x:c r="G49" s="8" t="n">
        <x:f>G47*G21</x:f>
        <x:v>1789.2339656970244</x:v>
      </x:c>
      <x:c r="H49" s="8" t="n">
        <x:f>H47*H21</x:f>
        <x:v>2094.1194334517972</x:v>
      </x:c>
      <x:c r="I49" s="8" t="n">
        <x:f>I47*I21</x:f>
        <x:v>2450.957384911984</x:v>
      </x:c>
      <x:c r="J49" s="1"/>
      <x:c r="K49" s="1"/>
    </x:row>
    <x:row r="50" ht="18" customHeight="1">
      <x:c r="A50" s="1"/>
      <x:c r="B50" s="1"/>
      <x:c r="C50" s="1" t="str">
        <x:v>Gross profit</x:v>
      </x:c>
      <x:c r="D50" s="2"/>
      <x:c r="E50" s="8" t="n">
        <x:f>E47-E49</x:f>
        <x:v>800.5536</x:v>
      </x:c>
      <x:c r="F50" s="8" t="n">
        <x:f>F47-F49</x:f>
        <x:v>936.96793344</x:v>
      </x:c>
      <x:c r="G50" s="8" t="n">
        <x:f>G47-G49</x:f>
        <x:v>1096.627269298176</x:v>
      </x:c>
      <x:c r="H50" s="8" t="n">
        <x:f>H47-H49</x:f>
        <x:v>1283.4925559865856</x:v>
      </x:c>
      <x:c r="I50" s="8" t="n">
        <x:f>I47-I49</x:f>
        <x:v>1502.1996875266996</x:v>
      </x:c>
      <x:c r="J50" s="1"/>
      <x:c r="K50" s="1"/>
    </x:row>
    <x:row r="51" ht="18" customHeight="1">
      <x:c r="A51" s="1"/>
      <x:c r="B51" s="1"/>
      <x:c r="C51" s="1" t="str">
        <x:v>Other cash operating costs</x:v>
      </x:c>
      <x:c r="D51" s="2"/>
      <x:c r="E51" s="8" t="n">
        <x:f>E47*E22</x:f>
        <x:v>526.68</x:v>
      </x:c>
      <x:c r="F51" s="8" t="n">
        <x:f>F47*F22</x:f>
        <x:v>616.426272</x:v>
      </x:c>
      <x:c r="G51" s="8" t="n">
        <x:f>G47*G22</x:f>
        <x:v>721.4653087488001</x:v>
      </x:c>
      <x:c r="H51" s="8" t="n">
        <x:f>H47*H22</x:f>
        <x:v>844.4029973595957</x:v>
      </x:c>
      <x:c r="I51" s="8" t="n">
        <x:f>I47*I22</x:f>
        <x:v>988.2892681096708</x:v>
      </x:c>
      <x:c r="J51" s="1"/>
      <x:c r="K51" s="1"/>
    </x:row>
    <x:row r="52" ht="18" customHeight="1">
      <x:c r="A52" s="1"/>
      <x:c r="B52" s="1"/>
      <x:c r="C52" s="38" t="str">
        <x:v>EBITDA</x:v>
      </x:c>
      <x:c r="D52" s="39"/>
      <x:c r="E52" s="41" t="n">
        <x:f>E50-E51</x:f>
        <x:v>273.8736</x:v>
      </x:c>
      <x:c r="F52" s="41" t="n">
        <x:f>F50-F51</x:f>
        <x:v>320.54166144</x:v>
      </x:c>
      <x:c r="G52" s="41" t="n">
        <x:f>G50-G51</x:f>
        <x:v>375.161960549376</x:v>
      </x:c>
      <x:c r="H52" s="41" t="n">
        <x:f>H50-H51</x:f>
        <x:v>439.08955862698986</x:v>
      </x:c>
      <x:c r="I52" s="41" t="n">
        <x:f>I50-I51</x:f>
        <x:v>513.9104194170287</x:v>
      </x:c>
      <x:c r="J52" s="1"/>
      <x:c r="K52" s="1"/>
    </x:row>
    <x:row r="53" ht="18" customHeight="1">
      <x:c r="A53" s="1"/>
      <x:c r="B53" s="1"/>
      <x:c r="C53" s="1" t="str">
        <x:v>Depreciation and amortization</x:v>
      </x:c>
      <x:c r="D53" s="2"/>
      <x:c r="E53" s="8" t="n">
        <x:f>$D34*E24</x:f>
        <x:v>150</x:v>
      </x:c>
      <x:c r="F53" s="8" t="n">
        <x:f>E66*F24</x:f>
        <x:v>144.88044</x:v>
      </x:c>
      <x:c r="G53" s="8" t="n">
        <x:f>F66*G24</x:f>
        <x:v>143.490440976</x:v>
      </x:c>
      <x:c r="H53" s="8" t="n">
        <x:f>G66*H24</x:f>
        <x:v>145.7752300183104</x:v>
      </x:c>
      <x:c r="I53" s="8" t="n">
        <x:f>H66*I24</x:f>
        <x:v>151.7742444284305</x:v>
      </x:c>
      <x:c r="J53" s="1"/>
      <x:c r="K53" s="1"/>
    </x:row>
    <x:row r="54" ht="18" customHeight="1">
      <x:c r="A54" s="1"/>
      <x:c r="B54" s="1"/>
      <x:c r="C54" s="1" t="str">
        <x:v>EBIT</x:v>
      </x:c>
      <x:c r="D54" s="2"/>
      <x:c r="E54" s="8" t="n">
        <x:f>E52-E53</x:f>
        <x:v>123.87360000000001</x:v>
      </x:c>
      <x:c r="F54" s="8" t="n">
        <x:f>F52-F53</x:f>
        <x:v>175.66122144</x:v>
      </x:c>
      <x:c r="G54" s="8" t="n">
        <x:f>G52-G53</x:f>
        <x:v>231.67151957337597</x:v>
      </x:c>
      <x:c r="H54" s="8" t="n">
        <x:f>H52-H53</x:f>
        <x:v>293.3143286086795</x:v>
      </x:c>
      <x:c r="I54" s="8" t="n">
        <x:f>I52-I53</x:f>
        <x:v>362.1361749885982</x:v>
      </x:c>
      <x:c r="J54" s="1"/>
      <x:c r="K54" s="1"/>
    </x:row>
    <x:row r="55" ht="18" customHeight="1">
      <x:c r="A55" s="1"/>
      <x:c r="B55" s="1"/>
      <x:c r="C55" s="1" t="str">
        <x:v>Interest expense</x:v>
      </x:c>
      <x:c r="D55" s="2"/>
      <x:c r="E55" s="8" t="n">
        <x:f>$D35*E29</x:f>
        <x:v>29.750000000000004</x:v>
      </x:c>
      <x:c r="F55" s="8" t="n">
        <x:f>E67*F29</x:f>
        <x:v>26.775000000000002</x:v>
      </x:c>
      <x:c r="G55" s="8" t="n">
        <x:f>F67*G29</x:f>
        <x:v>23.8</x:v>
      </x:c>
      <x:c r="H55" s="8" t="n">
        <x:f>G67*H29</x:f>
        <x:v>20.825000000000003</x:v>
      </x:c>
      <x:c r="I55" s="8" t="n">
        <x:f>H67*I29</x:f>
        <x:v>17.85</x:v>
      </x:c>
      <x:c r="J55" s="1"/>
      <x:c r="K55" s="1"/>
    </x:row>
    <x:row r="56" ht="18" customHeight="1">
      <x:c r="A56" s="1"/>
      <x:c r="B56" s="1"/>
      <x:c r="C56" s="1" t="str">
        <x:v>Profit before tax</x:v>
      </x:c>
      <x:c r="D56" s="2"/>
      <x:c r="E56" s="8" t="n">
        <x:f>E54-E55</x:f>
        <x:v>94.12360000000001</x:v>
      </x:c>
      <x:c r="F56" s="8" t="n">
        <x:f>F54-F55</x:f>
        <x:v>148.88622143999999</x:v>
      </x:c>
      <x:c r="G56" s="8" t="n">
        <x:f>G54-G55</x:f>
        <x:v>207.87151957337596</x:v>
      </x:c>
      <x:c r="H56" s="8" t="n">
        <x:f>H54-H55</x:f>
        <x:v>272.4893286086795</x:v>
      </x:c>
      <x:c r="I56" s="8" t="n">
        <x:f>I54-I55</x:f>
        <x:v>344.2861749885982</x:v>
      </x:c>
      <x:c r="J56" s="1"/>
      <x:c r="K56" s="1"/>
    </x:row>
    <x:row r="57" ht="18" customHeight="1">
      <x:c r="A57" s="1"/>
      <x:c r="B57" s="1"/>
      <x:c r="C57" s="1" t="str">
        <x:v>Cash income tax</x:v>
      </x:c>
      <x:c r="D57" s="2"/>
      <x:c r="E57" s="8" t="n">
        <x:f>MAX(0,E56)*E28</x:f>
        <x:v>23.530900000000003</x:v>
      </x:c>
      <x:c r="F57" s="8" t="n">
        <x:f>MAX(0,F56)*F28</x:f>
        <x:v>37.221555359999996</x:v>
      </x:c>
      <x:c r="G57" s="8" t="n">
        <x:f>MAX(0,G56)*G28</x:f>
        <x:v>51.96787989334399</x:v>
      </x:c>
      <x:c r="H57" s="8" t="n">
        <x:f>MAX(0,H56)*H28</x:f>
        <x:v>68.12233215216988</x:v>
      </x:c>
      <x:c r="I57" s="8" t="n">
        <x:f>MAX(0,I56)*I28</x:f>
        <x:v>86.07154374714955</x:v>
      </x:c>
      <x:c r="J57" s="1"/>
      <x:c r="K57" s="1"/>
    </x:row>
    <x:row r="58" ht="18" customHeight="1">
      <x:c r="A58" s="1"/>
      <x:c r="B58" s="1"/>
      <x:c r="C58" s="38" t="str">
        <x:v>Profit after tax</x:v>
      </x:c>
      <x:c r="D58" s="39"/>
      <x:c r="E58" s="41" t="n">
        <x:f>E56-E57</x:f>
        <x:v>70.59270000000001</x:v>
      </x:c>
      <x:c r="F58" s="41" t="n">
        <x:f>F56-F57</x:f>
        <x:v>111.66466607999999</x:v>
      </x:c>
      <x:c r="G58" s="41" t="n">
        <x:f>G56-G57</x:f>
        <x:v>155.90363968003197</x:v>
      </x:c>
      <x:c r="H58" s="41" t="n">
        <x:f>H56-H57</x:f>
        <x:v>204.36699645650964</x:v>
      </x:c>
      <x:c r="I58" s="41" t="n">
        <x:f>I56-I57</x:f>
        <x:v>258.2146312414486</x:v>
      </x:c>
      <x:c r="J58" s="1"/>
      <x:c r="K58" s="1"/>
    </x:row>
    <x:row r="59" ht="18" customHeight="1">
      <x:c r="A59" s="1"/>
      <x:c r="B59" s="1"/>
      <x:c r="C59" s="19" t="str">
        <x:v>WORKING CAPITAL AND ASSET SCHEDULES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Trade receivables</x:v>
      </x:c>
      <x:c r="D60" s="2"/>
      <x:c r="E60" s="10" t="n">
        <x:f>E47*E25/'Controls'!$E$11</x:f>
        <x:v>17.315506849315067</x:v>
      </x:c>
      <x:c r="F60" s="10" t="n">
        <x:f>F47*F25/'Controls'!$E$11</x:f>
        <x:v>20.266069216438357</x:v>
      </x:c>
      <x:c r="G60" s="10" t="n">
        <x:f>G47*G25/'Controls'!$E$11</x:f>
        <x:v>23.719407410919455</x:v>
      </x:c>
      <x:c r="H60" s="10" t="n">
        <x:f>H47*H25/'Controls'!$E$11</x:f>
        <x:v>27.761194433740133</x:v>
      </x:c>
      <x:c r="I60" s="10" t="n">
        <x:f>I47*I25/'Controls'!$E$11</x:f>
        <x:v>32.491701965249455</x:v>
      </x:c>
      <x:c r="J60" s="1"/>
      <x:c r="K60" s="1"/>
    </x:row>
    <x:row r="61" ht="18" customHeight="1">
      <x:c r="A61" s="1"/>
      <x:c r="B61" s="1"/>
      <x:c r="C61" s="1" t="str">
        <x:v>Inventory</x:v>
      </x:c>
      <x:c r="D61" s="2"/>
      <x:c r="E61" s="10" t="n">
        <x:f>E49*E26/'Controls'!$E$11</x:f>
        <x:v>268.3903561643835</x:v>
      </x:c>
      <x:c r="F61" s="10" t="n">
        <x:f>F49*F26/'Controls'!$E$11</x:f>
        <x:v>314.1240728547945</x:v>
      </x:c>
      <x:c r="G61" s="10" t="n">
        <x:f>G49*G26/'Controls'!$E$11</x:f>
        <x:v>367.6508148692516</x:v>
      </x:c>
      <x:c r="H61" s="10" t="n">
        <x:f>H49*H26/'Controls'!$E$11</x:f>
        <x:v>430.2985137229721</x:v>
      </x:c>
      <x:c r="I61" s="10" t="n">
        <x:f>I49*I26/'Controls'!$E$11</x:f>
        <x:v>503.6213804613666</x:v>
      </x:c>
      <x:c r="J61" s="1"/>
      <x:c r="K61" s="1"/>
    </x:row>
    <x:row r="62" ht="18" customHeight="1">
      <x:c r="A62" s="1"/>
      <x:c r="B62" s="1"/>
      <x:c r="C62" s="1" t="str">
        <x:v>Trade payables</x:v>
      </x:c>
      <x:c r="D62" s="2"/>
      <x:c r="E62" s="10" t="n">
        <x:f>E49*E27/'Controls'!$E$11</x:f>
        <x:v>178.92690410958903</x:v>
      </x:c>
      <x:c r="F62" s="10" t="n">
        <x:f>F49*F27/'Controls'!$E$11</x:f>
        <x:v>209.41604856986302</x:v>
      </x:c>
      <x:c r="G62" s="10" t="n">
        <x:f>G49*G27/'Controls'!$E$11</x:f>
        <x:v>245.10054324616772</x:v>
      </x:c>
      <x:c r="H62" s="10" t="n">
        <x:f>H49*H27/'Controls'!$E$11</x:f>
        <x:v>286.8656758153147</x:v>
      </x:c>
      <x:c r="I62" s="10" t="n">
        <x:f>I49*I27/'Controls'!$E$11</x:f>
        <x:v>335.7475869742443</x:v>
      </x:c>
      <x:c r="J62" s="1"/>
      <x:c r="K62" s="1"/>
    </x:row>
    <x:row r="63" ht="18" customHeight="1">
      <x:c r="A63" s="1"/>
      <x:c r="B63" s="1"/>
      <x:c r="C63" s="1" t="str">
        <x:v>Net working capital</x:v>
      </x:c>
      <x:c r="D63" s="2"/>
      <x:c r="E63" s="8" t="n">
        <x:f>E60+E61-E62</x:f>
        <x:v>106.77895890410952</x:v>
      </x:c>
      <x:c r="F63" s="8" t="n">
        <x:f>F60+F61-F62</x:f>
        <x:v>124.97409350136988</x:v>
      </x:c>
      <x:c r="G63" s="8" t="n">
        <x:f>G60+G61-G62</x:f>
        <x:v>146.26967903400333</x:v>
      </x:c>
      <x:c r="H63" s="8" t="n">
        <x:f>H60+H61-H62</x:f>
        <x:v>171.19403234139747</x:v>
      </x:c>
      <x:c r="I63" s="8" t="n">
        <x:f>I60+I61-I62</x:f>
        <x:v>200.36549545237176</x:v>
      </x:c>
      <x:c r="J63" s="1"/>
      <x:c r="K63" s="1"/>
    </x:row>
    <x:row r="64" ht="18" customHeight="1">
      <x:c r="A64" s="1"/>
      <x:c r="B64" s="1"/>
      <x:c r="C64" s="1" t="str">
        <x:v>Increase in net working capital</x:v>
      </x:c>
      <x:c r="D64" s="2"/>
      <x:c r="E64" s="8" t="n">
        <x:f>E63-$D37</x:f>
        <x:v>15.54608219178074</x:v>
      </x:c>
      <x:c r="F64" s="8" t="n">
        <x:f>F63-E63</x:f>
        <x:v>18.195134597260363</x:v>
      </x:c>
      <x:c r="G64" s="8" t="n">
        <x:f>G63-F63</x:f>
        <x:v>21.295585532633453</x:v>
      </x:c>
      <x:c r="H64" s="8" t="n">
        <x:f>H63-G63</x:f>
        <x:v>24.924353307394142</x:v>
      </x:c>
      <x:c r="I64" s="8" t="n">
        <x:f>I63-H63</x:f>
        <x:v>29.171463110974287</x:v>
      </x:c>
      <x:c r="J64" s="1"/>
      <x:c r="K64" s="1"/>
    </x:row>
    <x:row r="65" ht="18" customHeight="1">
      <x:c r="A65" s="1"/>
      <x:c r="B65" s="1"/>
      <x:c r="C65" s="1" t="str">
        <x:v>Capital expenditure</x:v>
      </x:c>
      <x:c r="D65" s="2"/>
      <x:c r="E65" s="8" t="n">
        <x:f>E47*E23</x:f>
        <x:v>115.86959999999999</x:v>
      </x:c>
      <x:c r="F65" s="8" t="n">
        <x:f>F47*F23</x:f>
        <x:v>135.61377984</x:v>
      </x:c>
      <x:c r="G65" s="8" t="n">
        <x:f>G47*G23</x:f>
        <x:v>158.72236792473603</x:v>
      </x:c>
      <x:c r="H65" s="8" t="n">
        <x:f>H47*H23</x:f>
        <x:v>185.76865941911106</x:v>
      </x:c>
      <x:c r="I65" s="8" t="n">
        <x:f>I47*I23</x:f>
        <x:v>217.4236389841276</x:v>
      </x:c>
      <x:c r="J65" s="1"/>
      <x:c r="K65" s="1"/>
    </x:row>
    <x:row r="66" ht="18" customHeight="1">
      <x:c r="A66" s="1"/>
      <x:c r="B66" s="1"/>
      <x:c r="C66" s="1" t="str">
        <x:v>Closing net PP&amp;E</x:v>
      </x:c>
      <x:c r="D66" s="2"/>
      <x:c r="E66" s="8" t="n">
        <x:f>$D34+E65-E53</x:f>
        <x:v>965.8696</x:v>
      </x:c>
      <x:c r="F66" s="8" t="n">
        <x:f>E66+F65-F53</x:f>
        <x:v>956.60293984</x:v>
      </x:c>
      <x:c r="G66" s="8" t="n">
        <x:f>F66+G65-G53</x:f>
        <x:v>971.834866788736</x:v>
      </x:c>
      <x:c r="H66" s="8" t="n">
        <x:f>G66+H65-H53</x:f>
        <x:v>1011.8282961895368</x:v>
      </x:c>
      <x:c r="I66" s="8" t="n">
        <x:f>H66+I65-I53</x:f>
        <x:v>1077.4776907452338</x:v>
      </x:c>
      <x:c r="J66" s="1"/>
      <x:c r="K66" s="1"/>
    </x:row>
    <x:row r="67" ht="18" customHeight="1">
      <x:c r="A67" s="1"/>
      <x:c r="B67" s="1"/>
      <x:c r="C67" s="1" t="str">
        <x:v>Closing debt</x:v>
      </x:c>
      <x:c r="D67" s="2"/>
      <x:c r="E67" s="8" t="n">
        <x:f>$D35+E30-E31</x:f>
        <x:v>315</x:v>
      </x:c>
      <x:c r="F67" s="8" t="n">
        <x:f>E67+F30-F31</x:f>
        <x:v>280</x:v>
      </x:c>
      <x:c r="G67" s="8" t="n">
        <x:f>F67+G30-G31</x:f>
        <x:v>245</x:v>
      </x:c>
      <x:c r="H67" s="8" t="n">
        <x:f>G67+H30-H31</x:f>
        <x:v>210</x:v>
      </x:c>
      <x:c r="I67" s="8" t="n">
        <x:f>H67+I30-I31</x:f>
        <x:v>175</x:v>
      </x:c>
      <x:c r="J67" s="1"/>
      <x:c r="K67" s="1"/>
    </x:row>
    <x:row r="68" ht="18" customHeight="1">
      <x:c r="A68" s="1"/>
      <x:c r="B68" s="1"/>
      <x:c r="C68" s="19" t="str">
        <x:v>CASH FLOW AND BALANCE SHEET</x:v>
      </x:c>
      <x:c r="D68" s="20"/>
      <x:c r="E68" s="20"/>
      <x:c r="F68" s="20"/>
      <x:c r="G68" s="20"/>
      <x:c r="H68" s="20"/>
      <x:c r="I68" s="20"/>
      <x:c r="J68" s="1"/>
      <x:c r="K68" s="1"/>
    </x:row>
    <x:row r="69" ht="18" customHeight="1">
      <x:c r="A69" s="1"/>
      <x:c r="B69" s="1"/>
      <x:c r="C69" s="1" t="str">
        <x:v>Operating cash flow after interest</x:v>
      </x:c>
      <x:c r="D69" s="2"/>
      <x:c r="E69" s="8" t="n">
        <x:f>E58+E53-E64</x:f>
        <x:v>205.04661780821925</x:v>
      </x:c>
      <x:c r="F69" s="8" t="n">
        <x:f>F58+F53-F64</x:f>
        <x:v>238.34997148273962</x:v>
      </x:c>
      <x:c r="G69" s="8" t="n">
        <x:f>G58+G53-G64</x:f>
        <x:v>278.0984951233985</x:v>
      </x:c>
      <x:c r="H69" s="8" t="n">
        <x:f>H58+H53-H64</x:f>
        <x:v>325.2178731674259</x:v>
      </x:c>
      <x:c r="I69" s="8" t="n">
        <x:f>I58+I53-I64</x:f>
        <x:v>380.81741255890483</x:v>
      </x:c>
      <x:c r="J69" s="1"/>
      <x:c r="K69" s="1"/>
    </x:row>
    <x:row r="70" ht="18" customHeight="1">
      <x:c r="A70" s="1"/>
      <x:c r="B70" s="1"/>
      <x:c r="C70" s="1" t="str">
        <x:v>Dividends</x:v>
      </x:c>
      <x:c r="D70" s="2"/>
      <x:c r="E70" s="8" t="n">
        <x:f>MAX(0,E58)*E32</x:f>
        <x:v>17.648175000000002</x:v>
      </x:c>
      <x:c r="F70" s="8" t="n">
        <x:f>MAX(0,F58)*F32</x:f>
        <x:v>27.916166519999997</x:v>
      </x:c>
      <x:c r="G70" s="8" t="n">
        <x:f>MAX(0,G58)*G32</x:f>
        <x:v>38.97590992000799</x:v>
      </x:c>
      <x:c r="H70" s="8" t="n">
        <x:f>MAX(0,H58)*H32</x:f>
        <x:v>51.09174911412741</x:v>
      </x:c>
      <x:c r="I70" s="8" t="n">
        <x:f>MAX(0,I58)*I32</x:f>
        <x:v>64.55365781036215</x:v>
      </x:c>
      <x:c r="J70" s="1"/>
      <x:c r="K70" s="1"/>
    </x:row>
    <x:row r="71" ht="18" customHeight="1">
      <x:c r="A71" s="1"/>
      <x:c r="B71" s="1"/>
      <x:c r="C71" s="1" t="str">
        <x:v>Change in cash</x:v>
      </x:c>
      <x:c r="D71" s="2"/>
      <x:c r="E71" s="8" t="n">
        <x:f>E69-E65+E30-E31-E70</x:f>
        <x:v>36.52884280821926</x:v>
      </x:c>
      <x:c r="F71" s="8" t="n">
        <x:f>F69-F65+F30-F31-F70</x:f>
        <x:v>39.820025122739615</x:v>
      </x:c>
      <x:c r="G71" s="8" t="n">
        <x:f>G69-G65+G30-G31-G70</x:f>
        <x:v>45.400217278654466</x:v>
      </x:c>
      <x:c r="H71" s="8" t="n">
        <x:f>H69-H65+H30-H31-H70</x:f>
        <x:v>53.35746463418745</x:v>
      </x:c>
      <x:c r="I71" s="8" t="n">
        <x:f>I69-I65+I30-I31-I70</x:f>
        <x:v>63.84011576441509</x:v>
      </x:c>
      <x:c r="J71" s="1"/>
      <x:c r="K71" s="1"/>
    </x:row>
    <x:row r="72" ht="18" customHeight="1">
      <x:c r="A72" s="1"/>
      <x:c r="B72" s="1"/>
      <x:c r="C72" s="1" t="str">
        <x:v>Closing cash / (funding gap)</x:v>
      </x:c>
      <x:c r="D72" s="2"/>
      <x:c r="E72" s="8" t="n">
        <x:f>$D36+E71</x:f>
        <x:v>286.5288428082193</x:v>
      </x:c>
      <x:c r="F72" s="8" t="n">
        <x:f>E72+F71</x:f>
        <x:v>326.3488679309589</x:v>
      </x:c>
      <x:c r="G72" s="8" t="n">
        <x:f>F72+G71</x:f>
        <x:v>371.7490852096133</x:v>
      </x:c>
      <x:c r="H72" s="8" t="n">
        <x:f>G72+H71</x:f>
        <x:v>425.1065498438008</x:v>
      </x:c>
      <x:c r="I72" s="8" t="n">
        <x:f>H72+I71</x:f>
        <x:v>488.9466656082159</x:v>
      </x:c>
      <x:c r="J72" s="1"/>
      <x:c r="K72" s="1"/>
    </x:row>
    <x:row r="73" ht="18" customHeight="1">
      <x:c r="A73" s="1"/>
      <x:c r="B73" s="1"/>
      <x:c r="C73" s="38" t="str">
        <x:v>Closing book equity</x:v>
      </x:c>
      <x:c r="D73" s="39"/>
      <x:c r="E73" s="41" t="n">
        <x:f>$D34+$D37+$D36-$D35+E58-E70</x:f>
        <x:v>1044.1774017123287</x:v>
      </x:c>
      <x:c r="F73" s="41" t="n">
        <x:f>E73+F58-F70</x:f>
        <x:v>1127.9259012723287</x:v>
      </x:c>
      <x:c r="G73" s="41" t="n">
        <x:f>F73+G58-G70</x:f>
        <x:v>1244.8536310323527</x:v>
      </x:c>
      <x:c r="H73" s="41" t="n">
        <x:f>G73+H58-H70</x:f>
        <x:v>1398.128878374735</x:v>
      </x:c>
      <x:c r="I73" s="41" t="n">
        <x:f>H73+I58-I70</x:f>
        <x:v>1591.7898518058214</x:v>
      </x:c>
      <x:c r="J73" s="1"/>
      <x:c r="K73" s="1"/>
    </x:row>
    <x:row r="74" ht="18" customHeight="1">
      <x:c r="A74" s="1"/>
      <x:c r="B74" s="1"/>
      <x:c r="C74" s="1" t="str">
        <x:v>Total assets</x:v>
      </x:c>
      <x:c r="D74" s="2"/>
      <x:c r="E74" s="8" t="n">
        <x:f>E72+E60+E61+E66</x:f>
        <x:v>1538.104305821918</x:v>
      </x:c>
      <x:c r="F74" s="8" t="n">
        <x:f>F72+F60+F61+F66</x:f>
        <x:v>1617.3419498421918</x:v>
      </x:c>
      <x:c r="G74" s="8" t="n">
        <x:f>G72+G60+G61+G66</x:f>
        <x:v>1734.9541742785204</x:v>
      </x:c>
      <x:c r="H74" s="8" t="n">
        <x:f>H72+H60+H61+H66</x:f>
        <x:v>1894.9945541900497</x:v>
      </x:c>
      <x:c r="I74" s="8" t="n">
        <x:f>I72+I60+I61+I66</x:f>
        <x:v>2102.5374387800657</x:v>
      </x:c>
      <x:c r="J74" s="1"/>
      <x:c r="K74" s="1"/>
    </x:row>
    <x:row r="75" ht="18" customHeight="1">
      <x:c r="A75" s="1"/>
      <x:c r="B75" s="1"/>
      <x:c r="C75" s="1" t="str">
        <x:v>Liabilities and equity</x:v>
      </x:c>
      <x:c r="D75" s="2"/>
      <x:c r="E75" s="8" t="n">
        <x:f>E62+E67+E73</x:f>
        <x:v>1538.1043058219177</x:v>
      </x:c>
      <x:c r="F75" s="8" t="n">
        <x:f>F62+F67+F73</x:f>
        <x:v>1617.3419498421918</x:v>
      </x:c>
      <x:c r="G75" s="8" t="n">
        <x:f>G62+G67+G73</x:f>
        <x:v>1734.9541742785204</x:v>
      </x:c>
      <x:c r="H75" s="8" t="n">
        <x:f>H62+H67+H73</x:f>
        <x:v>1894.9945541900497</x:v>
      </x:c>
      <x:c r="I75" s="8" t="n">
        <x:f>I62+I67+I73</x:f>
        <x:v>2102.5374387800657</x:v>
      </x:c>
      <x:c r="J75" s="1"/>
      <x:c r="K75" s="1"/>
    </x:row>
    <x:row r="76" ht="18" customHeight="1">
      <x:c r="A76" s="1"/>
      <x:c r="B76" s="1"/>
      <x:c r="C76" s="1" t="str">
        <x:v>Unlevered operating profit after tax</x:v>
      </x:c>
      <x:c r="D76" s="2"/>
      <x:c r="E76" s="8" t="n">
        <x:f>E54-MAX(0,E54)*E28</x:f>
        <x:v>92.90520000000001</x:v>
      </x:c>
      <x:c r="F76" s="8" t="n">
        <x:f>F54-MAX(0,F54)*F28</x:f>
        <x:v>131.74591608</x:v>
      </x:c>
      <x:c r="G76" s="8" t="n">
        <x:f>G54-MAX(0,G54)*G28</x:f>
        <x:v>173.753639680032</x:v>
      </x:c>
      <x:c r="H76" s="8" t="n">
        <x:f>H54-MAX(0,H54)*H28</x:f>
        <x:v>219.98574645650962</x:v>
      </x:c>
      <x:c r="I76" s="8" t="n">
        <x:f>I54-MAX(0,I54)*I28</x:f>
        <x:v>271.60213124144866</x:v>
      </x:c>
      <x:c r="J76" s="1"/>
      <x:c r="K76" s="1"/>
    </x:row>
    <x:row r="77" ht="18" customHeight="1">
      <x:c r="A77" s="1"/>
      <x:c r="B77" s="1"/>
      <x:c r="C77" s="38" t="str">
        <x:v>Free cash flow to firm</x:v>
      </x:c>
      <x:c r="D77" s="39"/>
      <x:c r="E77" s="41" t="n">
        <x:f>E76+E53-E65-E64</x:f>
        <x:v>111.48951780821928</x:v>
      </x:c>
      <x:c r="F77" s="41" t="n">
        <x:f>F76+F53-F65-F64</x:f>
        <x:v>122.81744164273962</x:v>
      </x:c>
      <x:c r="G77" s="41" t="n">
        <x:f>G76+G53-G65-G64</x:f>
        <x:v>137.2261271986625</x:v>
      </x:c>
      <x:c r="H77" s="41" t="n">
        <x:f>H76+H53-H65-H64</x:f>
        <x:v>155.06796374831484</x:v>
      </x:c>
      <x:c r="I77" s="41" t="n">
        <x:f>I76+I53-I65-I64</x:f>
        <x:v>176.7812735747773</x:v>
      </x:c>
      <x:c r="J77" s="1"/>
      <x:c r="K77" s="1"/>
    </x:row>
    <x:row r="78" ht="18" customHeight="1">
      <x:c r="A78" s="1"/>
      <x:c r="B78" s="1"/>
      <x:c r="C78" s="19" t="str">
        <x:v>SECTOR KPIs AND RETURN METRICS</x:v>
      </x:c>
      <x:c r="D78" s="20"/>
      <x:c r="E78" s="20"/>
      <x:c r="F78" s="20"/>
      <x:c r="G78" s="20"/>
      <x:c r="H78" s="20"/>
      <x:c r="I78" s="20"/>
      <x:c r="J78" s="1"/>
      <x:c r="K78" s="1"/>
    </x:row>
    <x:row r="79" ht="18" customHeight="1">
      <x:c r="A79" s="1"/>
      <x:c r="B79" s="1"/>
      <x:c r="C79" s="23" t="str">
        <x:v>Gross margin</x:v>
      </x:c>
      <x:c r="D79" s="24"/>
      <x:c r="E79" s="35" t="n">
        <x:f>E50/E47</x:f>
        <x:v>0.38</x:v>
      </x:c>
      <x:c r="F79" s="35" t="n">
        <x:f>F50/F47</x:f>
        <x:v>0.38</x:v>
      </x:c>
      <x:c r="G79" s="35" t="n">
        <x:f>G50/G47</x:f>
        <x:v>0.37999999999999995</x:v>
      </x:c>
      <x:c r="H79" s="35" t="n">
        <x:f>H50/H47</x:f>
        <x:v>0.38</x:v>
      </x:c>
      <x:c r="I79" s="35" t="n">
        <x:f>I50/I47</x:f>
        <x:v>0.37999999999999995</x:v>
      </x:c>
      <x:c r="J79" s="1"/>
      <x:c r="K79" s="1"/>
    </x:row>
    <x:row r="80" ht="18" customHeight="1">
      <x:c r="A80" s="1"/>
      <x:c r="B80" s="1"/>
      <x:c r="C80" s="23" t="str">
        <x:v>EBITDA margin</x:v>
      </x:c>
      <x:c r="D80" s="24"/>
      <x:c r="E80" s="35" t="n">
        <x:f>E52/E47</x:f>
        <x:v>0.13</x:v>
      </x:c>
      <x:c r="F80" s="35" t="n">
        <x:f>F52/F47</x:f>
        <x:v>0.12999999999999998</x:v>
      </x:c>
      <x:c r="G80" s="35" t="n">
        <x:f>G52/G47</x:f>
        <x:v>0.12999999999999998</x:v>
      </x:c>
      <x:c r="H80" s="35" t="n">
        <x:f>H52/H47</x:f>
        <x:v>0.13000000000000003</x:v>
      </x:c>
      <x:c r="I80" s="35" t="n">
        <x:f>I52/I47</x:f>
        <x:v>0.12999999999999998</x:v>
      </x:c>
      <x:c r="J80" s="1"/>
      <x:c r="K80" s="1"/>
    </x:row>
    <x:row r="81" ht="18" customHeight="1">
      <x:c r="A81" s="1"/>
      <x:c r="B81" s="1"/>
      <x:c r="C81" s="23" t="str">
        <x:v>Net margin</x:v>
      </x:c>
      <x:c r="D81" s="24"/>
      <x:c r="E81" s="35" t="n">
        <x:f>E58/E47</x:f>
        <x:v>0.033508344725449994</x:v>
      </x:c>
      <x:c r="F81" s="35" t="n">
        <x:f>F58/F47</x:f>
        <x:v>0.04528711346034258</x:v>
      </x:c>
      <x:c r="G81" s="35" t="n">
        <x:f>G58/G47</x:f>
        <x:v>0.054023262722918575</x:v>
      </x:c>
      <x:c r="H81" s="35" t="n">
        <x:f>H58/H47</x:f>
        <x:v>0.06050635688633112</x:v>
      </x:c>
      <x:c r="I81" s="35" t="n">
        <x:f>I58/I47</x:f>
        <x:v>0.06531858626152623</x:v>
      </x:c>
      <x:c r="J81" s="1"/>
      <x:c r="K81" s="1"/>
    </x:row>
    <x:row r="82" ht="18" customHeight="1">
      <x:c r="A82" s="1"/>
      <x:c r="B82" s="1"/>
      <x:c r="C82" s="23" t="str">
        <x:v>Operating cash conversion</x:v>
      </x:c>
      <x:c r="D82" s="24"/>
      <x:c r="E82" s="35" t="n">
        <x:f>IF(E52=0,"n.a.",E69/E52)</x:f>
        <x:v>0.7486907018720287</x:v>
      </x:c>
      <x:c r="F82" s="35" t="n">
        <x:f>IF(F52=0,"n.a.",F69/F52)</x:f>
        <x:v>0.7435850005018918</x:v>
      </x:c>
      <x:c r="G82" s="35" t="n">
        <x:f>IF(G52=0,"n.a.",G69/G52)</x:f>
        <x:v>0.7412758338189708</x:v>
      </x:c>
      <x:c r="H82" s="35" t="n">
        <x:f>IF(H52=0,"n.a.",H69/H52)</x:f>
        <x:v>0.7406641009282143</x:v>
      </x:c>
      <x:c r="I82" s="35" t="n">
        <x:f>IF(I52=0,"n.a.",I69/I52)</x:f>
        <x:v>0.7410190534585729</x:v>
      </x:c>
      <x:c r="J82" s="1"/>
      <x:c r="K82" s="1"/>
    </x:row>
    <x:row r="83" ht="18" customHeight="1">
      <x:c r="A83" s="1"/>
      <x:c r="B83" s="1"/>
      <x:c r="C83" s="1" t="str">
        <x:v>Cash conversion cycle (days)</x:v>
      </x:c>
      <x:c r="D83" s="2"/>
      <x:c r="E83" s="8" t="n">
        <x:f>E25+E26-E27</x:f>
        <x:v>28</x:v>
      </x:c>
      <x:c r="F83" s="8" t="n">
        <x:f>F25+F26-F27</x:f>
        <x:v>28</x:v>
      </x:c>
      <x:c r="G83" s="8" t="n">
        <x:f>G25+G26-G27</x:f>
        <x:v>28</x:v>
      </x:c>
      <x:c r="H83" s="8" t="n">
        <x:f>H25+H26-H27</x:f>
        <x:v>28</x:v>
      </x:c>
      <x:c r="I83" s="8" t="n">
        <x:f>I25+I26-I27</x:f>
        <x:v>28</x:v>
      </x:c>
      <x:c r="J83" s="1"/>
      <x:c r="K83" s="1"/>
    </x:row>
    <x:row r="84" ht="18" customHeight="1">
      <x:c r="A84" s="1"/>
      <x:c r="B84" s="1"/>
      <x:c r="C84" s="23" t="str">
        <x:v>Net debt / EBITDA</x:v>
      </x:c>
      <x:c r="D84" s="32"/>
      <x:c r="E84" s="61" t="n">
        <x:f>IF(E52&lt;=0,"n.a.",(E67-E72)/E52)</x:f>
        <x:v>0.10395728975622594</x:v>
      </x:c>
      <x:c r="F84" s="61" t="n">
        <x:f>IF(F52&lt;=0,"n.a.",(F67-F72)/F52)</x:f>
        <x:v>-0.1445954567114347</x:v>
      </x:c>
      <x:c r="G84" s="61" t="n">
        <x:f>IF(G52&lt;=0,"n.a.",(G67-G72)/G52)</x:f>
        <x:v>-0.3378516441912334</x:v>
      </x:c>
      <x:c r="H84" s="61" t="n">
        <x:f>IF(H52&lt;=0,"n.a.",(H67-H72)/H52)</x:f>
        <x:v>-0.48989219993394456</x:v>
      </x:c>
      <x:c r="I84" s="61" t="n">
        <x:f>IF(I52&lt;=0,"n.a.",(I67-I72)/I52)</x:f>
        <x:v>-0.610897646255843</x:v>
      </x:c>
      <x:c r="J84" s="1"/>
      <x:c r="K84" s="1"/>
    </x:row>
    <x:row r="85" ht="18" customHeight="1">
      <x:c r="A85" s="1"/>
      <x:c r="B85" s="1"/>
      <x:c r="C85" s="23" t="str">
        <x:v>EBIT / interest</x:v>
      </x:c>
      <x:c r="D85" s="32"/>
      <x:c r="E85" s="61" t="n">
        <x:f>IF(E55=0,"n.a.",E54/E55)</x:f>
        <x:v>4.163818487394958</x:v>
      </x:c>
      <x:c r="F85" s="61" t="n">
        <x:f>IF(F55=0,"n.a.",F54/F55)</x:f>
        <x:v>6.560643191036414</x:v>
      </x:c>
      <x:c r="G85" s="61" t="n">
        <x:f>IF(G55=0,"n.a.",G54/G55)</x:f>
        <x:v>9.734097461066217</x:v>
      </x:c>
      <x:c r="H85" s="61" t="n">
        <x:f>IF(H55=0,"n.a.",H54/H55)</x:f>
        <x:v>14.084721661881366</x:v>
      </x:c>
      <x:c r="I85" s="61" t="n">
        <x:f>IF(I55=0,"n.a.",I54/I55)</x:f>
        <x:v>20.287740895719786</x:v>
      </x:c>
      <x:c r="J85" s="1"/>
      <x:c r="K85" s="1"/>
    </x:row>
    <x:row r="86" ht="18" customHeight="1">
      <x:c r="A86" s="1"/>
      <x:c r="B86" s="1"/>
      <x:c r="C86" s="23" t="str">
        <x:v>ROIC on average invested capital</x:v>
      </x:c>
      <x:c r="D86" s="24"/>
      <x:c r="E86" s="35" t="n">
        <x:f>E76/(($D34+$D37+E66+E63)/2)</x:f>
        <x:v>0.0858690300409491</x:v>
      </x:c>
      <x:c r="F86" s="35" t="n">
        <x:f>F76/((E66+E63+F66+F63)/2)</x:f>
        <x:v>0.12231394572067383</x:v>
      </x:c>
      <x:c r="G86" s="35" t="n">
        <x:f>G76/((F66+F63+G66+G63)/2)</x:f>
        <x:v>0.15798071986951795</x:v>
      </x:c>
      <x:c r="H86" s="35" t="n">
        <x:f>H76/((G66+G63+H66+H63)/2)</x:f>
        <x:v>0.19119827672978518</x:v>
      </x:c>
      <x:c r="I86" s="35" t="n">
        <x:f>I76/((H66+H63+I66+I63)/2)</x:f>
        <x:v>0.22073707776055312</x:v>
      </x:c>
      <x:c r="J86" s="1"/>
      <x:c r="K86" s="1"/>
    </x:row>
    <x:row r="87" ht="18" customHeight="1">
      <x:c r="A87" s="1"/>
      <x:c r="B87" s="1"/>
      <x:c r="C87" s="23" t="str">
        <x:v>Merchandise inventory turns</x:v>
      </x:c>
      <x:c r="D87" s="32"/>
      <x:c r="E87" s="61" t="n">
        <x:f>IF(E61=0,"n.a.",E49/E61)</x:f>
        <x:v>4.866666666666667</x:v>
      </x:c>
      <x:c r="F87" s="61" t="n">
        <x:f>IF(F61=0,"n.a.",F49/F61)</x:f>
        <x:v>4.866666666666667</x:v>
      </x:c>
      <x:c r="G87" s="61" t="n">
        <x:f>IF(G61=0,"n.a.",G49/G61)</x:f>
        <x:v>4.866666666666667</x:v>
      </x:c>
      <x:c r="H87" s="61" t="n">
        <x:f>IF(H61=0,"n.a.",H49/H61)</x:f>
        <x:v>4.866666666666666</x:v>
      </x:c>
      <x:c r="I87" s="61" t="n">
        <x:f>IF(I61=0,"n.a.",I49/I61)</x:f>
        <x:v>4.866666666666666</x:v>
      </x:c>
      <x:c r="J87" s="1"/>
      <x:c r="K87" s="1"/>
    </x:row>
    <x:row r="88" ht="18" customHeight="1">
      <x:c r="A88" s="1"/>
      <x:c r="B88" s="1"/>
      <x:c r="C88" s="1" t="str">
        <x:v>EBITDA per sq ft (INR)</x:v>
      </x:c>
      <x:c r="D88" s="2"/>
      <x:c r="E88" s="10" t="n">
        <x:f>E52*'Controls'!$E$9/E44</x:f>
        <x:v>2445.3</x:v>
      </x:c>
      <x:c r="F88" s="10" t="n">
        <x:f>F52*'Controls'!$E$9/F44</x:f>
        <x:v>2555.3384999999994</x:v>
      </x:c>
      <x:c r="G88" s="10" t="n">
        <x:f>G52*'Controls'!$E$9/G44</x:f>
        <x:v>2670.3287324999988</x:v>
      </x:c>
      <x:c r="H88" s="10" t="n">
        <x:f>H52*'Controls'!$E$9/H44</x:f>
        <x:v>2790.4935254625</x:v>
      </x:c>
      <x:c r="I88" s="10" t="n">
        <x:f>I52*'Controls'!$E$9/I44</x:f>
        <x:v>2916.065734108311</x:v>
      </x:c>
      <x:c r="J88" s="1"/>
      <x:c r="K88" s="1"/>
    </x:row>
    <x:row r="89" ht="18" customHeight="1">
      <x:c r="A89" s="1"/>
      <x:c r="B89" s="1"/>
      <x:c r="C89" s="19" t="str">
        <x:v>VALUATION AT 31 MARCH 2026</x:v>
      </x:c>
      <x:c r="D89" s="20"/>
      <x:c r="E89" s="20"/>
      <x:c r="F89" s="20"/>
      <x:c r="G89" s="20"/>
      <x:c r="H89" s="20"/>
      <x:c r="I89" s="20"/>
      <x:c r="J89" s="1"/>
      <x:c r="K89" s="1"/>
    </x:row>
    <x:row r="90" ht="18" customHeight="1">
      <x:c r="A90" s="1"/>
      <x:c r="B90" s="1"/>
      <x:c r="C90" s="1" t="str">
        <x:v>PV of annual FCFF</x:v>
      </x:c>
      <x:c r="D90" s="2"/>
      <x:c r="E90" s="8" t="n">
        <x:f>E77/(1+$D39)^1</x:f>
        <x:v>99.5442123287672</x:v>
      </x:c>
      <x:c r="F90" s="8" t="n">
        <x:f>F77/(1+$D39)^2</x:f>
        <x:v>97.90931253407176</x:v>
      </x:c>
      <x:c r="G90" s="8" t="n">
        <x:f>G77/(1+$D39)^3</x:f>
        <x:v>97.67484682393865</x:v>
      </x:c>
      <x:c r="H90" s="8" t="n">
        <x:f>H77/(1+$D39)^4</x:f>
        <x:v>98.54849434347905</x:v>
      </x:c>
      <x:c r="I90" s="8" t="n">
        <x:f>I77/(1+$D39)^5</x:f>
        <x:v>100.31044221446535</x:v>
      </x:c>
      <x:c r="J90" s="1"/>
      <x:c r="K90" s="1"/>
    </x:row>
    <x:row r="91" ht="18" customHeight="1">
      <x:c r="A91" s="1"/>
      <x:c r="B91" s="1"/>
      <x:c r="C91" s="1" t="str">
        <x:v>Normalized terminal FCFF</x:v>
      </x:c>
      <x:c r="D91" s="2"/>
      <x:c r="E91" s="8" t="n">
        <x:f>I76*(1+$D40)*(1-$D40/$D41)</x:f>
        <x:v>207.1418920934782</x:v>
      </x:c>
      <x:c r="F91" s="2"/>
      <x:c r="G91" s="2"/>
      <x:c r="H91" s="2"/>
      <x:c r="I91" s="2"/>
      <x:c r="J91" s="1"/>
      <x:c r="K91" s="1" t="str">
        <x:v>Terminal reinvestment = terminal NOPAT × growth / incremental ROIC.</x:v>
      </x:c>
    </x:row>
    <x:row r="92" ht="18" customHeight="1">
      <x:c r="A92" s="1"/>
      <x:c r="B92" s="1"/>
      <x:c r="C92" s="1" t="str">
        <x:v>Terminal enterprise value</x:v>
      </x:c>
      <x:c r="D92" s="2"/>
      <x:c r="E92" s="8" t="n">
        <x:f>IF($D39&lt;=$D40,NA(),E91/($D39-$D40))</x:f>
        <x:v>2589.273651168478</x:v>
      </x:c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 t="str">
        <x:v>DCF enterprise value</x:v>
      </x:c>
      <x:c r="D93" s="2"/>
      <x:c r="E93" s="8" t="n">
        <x:f>SUM(E90:I90)+E92/(1+$D39)^5</x:f>
        <x:v>1963.2107147222684</x:v>
      </x:c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38" t="str">
        <x:v>DCF equity value</x:v>
      </x:c>
      <x:c r="D94" s="39"/>
      <x:c r="E94" s="41" t="n">
        <x:f>E93-$D35+$D36</x:f>
        <x:v>1863.2107147222684</x:v>
      </x:c>
      <x:c r="F94" s="39"/>
      <x:c r="G94" s="39"/>
      <x:c r="H94" s="39"/>
      <x:c r="I94" s="39"/>
      <x:c r="J94" s="1"/>
      <x:c r="K94" s="1"/>
    </x:row>
    <x:row r="95" ht="18" customHeight="1">
      <x:c r="A95" s="1"/>
      <x:c r="B95" s="1"/>
      <x:c r="C95" s="1" t="str">
        <x:v>DCF value per share (INR)</x:v>
      </x:c>
      <x:c r="D95" s="33"/>
      <x:c r="E95" s="34" t="n">
        <x:f>E94/$D38</x:f>
        <x:v>18.632107147222683</x:v>
      </x:c>
      <x:c r="F95" s="33"/>
      <x:c r="G95" s="33"/>
      <x:c r="H95" s="33"/>
      <x:c r="I95" s="33"/>
      <x:c r="J95" s="1"/>
      <x:c r="K95" s="1"/>
    </x:row>
    <x:row r="96" ht="18" customHeight="1">
      <x:c r="A96" s="1"/>
      <x:c r="B96" s="1"/>
      <x:c r="C96" s="1" t="str">
        <x:v>Forward multiple enterprise value</x:v>
      </x:c>
      <x:c r="D96" s="2"/>
      <x:c r="E96" s="8" t="n">
        <x:f>E52*$D42</x:f>
        <x:v>4929.7248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 t="str">
        <x:v>Forward multiple equity value</x:v>
      </x:c>
      <x:c r="D97" s="2"/>
      <x:c r="E97" s="8" t="n">
        <x:f>E96-$D35+$D36</x:f>
        <x:v>4829.7248</x:v>
      </x:c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23" t="str">
        <x:v>Terminal value / DCF enterprise value</x:v>
      </x:c>
      <x:c r="D98" s="24"/>
      <x:c r="E98" s="35" t="n">
        <x:f>(E92/(1+$D39)^5)/E93</x:f>
        <x:v>0.7483778462799366</x:v>
      </x:c>
      <x:c r="F98" s="24"/>
      <x:c r="G98" s="24"/>
      <x:c r="H98" s="24"/>
      <x:c r="I98" s="24"/>
      <x:c r="J98" s="1"/>
      <x:c r="K98" s="1"/>
    </x:row>
    <x:row r="99" ht="18" customHeight="1">
      <x:c r="A99" s="1"/>
      <x:c r="B99" s="1"/>
      <x:c r="C99" s="19" t="str">
        <x:v>MODEL CHECKS</x:v>
      </x:c>
      <x:c r="D99" s="20"/>
      <x:c r="E99" s="20"/>
      <x:c r="F99" s="20"/>
      <x:c r="G99" s="20"/>
      <x:c r="H99" s="20"/>
      <x:c r="I99" s="20"/>
      <x:c r="J99" s="1"/>
      <x:c r="K99" s="1"/>
    </x:row>
    <x:row r="100" ht="18" customHeight="1">
      <x:c r="A100" s="1"/>
      <x:c r="B100" s="1"/>
      <x:c r="C100" s="1" t="str">
        <x:v>Assets less liabilities and equity</x:v>
      </x:c>
      <x:c r="D100" s="33"/>
      <x:c r="E100" s="34" t="n">
        <x:f>E74-E75</x:f>
        <x:v>2.2737367544323206e-13</x:v>
      </x:c>
      <x:c r="F100" s="34" t="n">
        <x:f>F74-F75</x:f>
        <x:v>0</x:v>
      </x:c>
      <x:c r="G100" s="34" t="n">
        <x:f>G74-G75</x:f>
        <x:v>0</x:v>
      </x:c>
      <x:c r="H100" s="34" t="n">
        <x:f>H74-H75</x:f>
        <x:v>0</x:v>
      </x:c>
      <x:c r="I100" s="34" t="n">
        <x:f>I74-I75</x:f>
        <x:v>0</x:v>
      </x:c>
      <x:c r="J100" s="1"/>
      <x:c r="K100" s="1"/>
    </x:row>
    <x:row r="101" ht="18" customHeight="1">
      <x:c r="A101" s="1"/>
      <x:c r="B101" s="1"/>
      <x:c r="C101" s="1" t="str">
        <x:v>Cash funding shortfall</x:v>
      </x:c>
      <x:c r="D101" s="33"/>
      <x:c r="E101" s="34" t="n">
        <x:f>MAX(0,-E72)</x:f>
        <x:v>0</x:v>
      </x:c>
      <x:c r="F101" s="34" t="n">
        <x:f>MAX(0,-F72)</x:f>
        <x:v>0</x:v>
      </x:c>
      <x:c r="G101" s="34" t="n">
        <x:f>MAX(0,-G72)</x:f>
        <x:v>0</x:v>
      </x:c>
      <x:c r="H101" s="34" t="n">
        <x:f>MAX(0,-H72)</x:f>
        <x:v>0</x:v>
      </x:c>
      <x:c r="I101" s="34" t="n">
        <x:f>MAX(0,-I72)</x:f>
        <x:v>0</x:v>
      </x:c>
      <x:c r="J101" s="1"/>
      <x:c r="K101" s="1"/>
    </x:row>
    <x:row r="102" ht="18" customHeight="1">
      <x:c r="A102" s="1"/>
      <x:c r="B102" s="1"/>
      <x:c r="C102" s="1" t="str">
        <x:v>Debt below zero</x:v>
      </x:c>
      <x:c r="D102" s="33"/>
      <x:c r="E102" s="34" t="n">
        <x:f>MAX(0,-E67)</x:f>
        <x:v>0</x:v>
      </x:c>
      <x:c r="F102" s="34" t="n">
        <x:f>MAX(0,-F67)</x:f>
        <x:v>0</x:v>
      </x:c>
      <x:c r="G102" s="34" t="n">
        <x:f>MAX(0,-G67)</x:f>
        <x:v>0</x:v>
      </x:c>
      <x:c r="H102" s="34" t="n">
        <x:f>MAX(0,-H67)</x:f>
        <x:v>0</x:v>
      </x:c>
      <x:c r="I102" s="34" t="n">
        <x:f>MAX(0,-I67)</x:f>
        <x:v>0</x:v>
      </x:c>
      <x:c r="J102" s="1"/>
      <x:c r="K102" s="1"/>
    </x:row>
    <x:row r="103" ht="18" customHeight="1">
      <x:c r="A103" s="1"/>
      <x:c r="B103" s="1"/>
      <x:c r="C103" s="1" t="str">
        <x:v>Utilization above 100%</x:v>
      </x:c>
      <x:c r="D103" s="33"/>
      <x:c r="E103" s="34" t="n">
        <x:f>MAX(0,E20-1)</x:f>
        <x:v>0</x:v>
      </x:c>
      <x:c r="F103" s="34" t="n">
        <x:f>MAX(0,F20-1)</x:f>
        <x:v>0</x:v>
      </x:c>
      <x:c r="G103" s="34" t="n">
        <x:f>MAX(0,G20-1)</x:f>
        <x:v>0</x:v>
      </x:c>
      <x:c r="H103" s="34" t="n">
        <x:f>MAX(0,H20-1)</x:f>
        <x:v>0</x:v>
      </x:c>
      <x:c r="I103" s="34" t="n">
        <x:f>MAX(0,I20-1)</x:f>
        <x:v>0</x:v>
      </x:c>
      <x:c r="J103" s="1"/>
      <x:c r="K103" s="1"/>
    </x:row>
    <x:row r="104" ht="18" customHeight="1">
      <x:c r="A104" s="1"/>
      <x:c r="B104" s="1"/>
      <x:c r="C104" s="1" t="str">
        <x:v>Net PP&amp;E below zero</x:v>
      </x:c>
      <x:c r="D104" s="33"/>
      <x:c r="E104" s="34" t="n">
        <x:f>MAX(0,-E66)</x:f>
        <x:v>0</x:v>
      </x:c>
      <x:c r="F104" s="34" t="n">
        <x:f>MAX(0,-F66)</x:f>
        <x:v>0</x:v>
      </x:c>
      <x:c r="G104" s="34" t="n">
        <x:f>MAX(0,-G66)</x:f>
        <x:v>0</x:v>
      </x:c>
      <x:c r="H104" s="34" t="n">
        <x:f>MAX(0,-H66)</x:f>
        <x:v>0</x:v>
      </x:c>
      <x:c r="I104" s="34" t="n">
        <x:f>MAX(0,-I66)</x:f>
        <x:v>0</x:v>
      </x:c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0:I100">
    <x:cfRule type="expression" dxfId="50" priority="1">
      <x:formula>ABS(E100)&gt;0.01</x:formula>
    </x:cfRule>
  </x:conditionalFormatting>
  <x:conditionalFormatting sqref="E101:I101">
    <x:cfRule type="expression" dxfId="51" priority="2">
      <x:formula>ABS(E101)&gt;0.01</x:formula>
    </x:cfRule>
  </x:conditionalFormatting>
  <x:conditionalFormatting sqref="E102:I102">
    <x:cfRule type="expression" dxfId="52" priority="3">
      <x:formula>ABS(E102)&gt;0.01</x:formula>
    </x:cfRule>
  </x:conditionalFormatting>
  <x:conditionalFormatting sqref="E103:I103">
    <x:cfRule type="expression" dxfId="53" priority="4">
      <x:formula>ABS(E103)&gt;0.01</x:formula>
    </x:cfRule>
  </x:conditionalFormatting>
  <x:conditionalFormatting sqref="E104:I104">
    <x:cfRule type="expression" dxfId="54" priority="5">
      <x:formula>ABS(E104)&gt;0.01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EPC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OPERATING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30" customHeight="1">
      <x:c r="A10" s="1"/>
      <x:c r="B10" s="1"/>
      <x:c r="C10" s="56" t="str">
        <x:v>Opening executable order book (INR crore) — seed</x:v>
      </x:c>
      <x:c r="D10" s="7" t="n">
        <x:v>12000</x:v>
      </x:c>
      <x:c r="E10" s="2"/>
      <x:c r="F10" s="2"/>
      <x:c r="G10" s="2"/>
      <x:c r="H10" s="2"/>
      <x:c r="I10" s="2"/>
      <x:c r="J10" s="1"/>
      <x:c r="K10" s="1" t="str">
        <x:v>Input provenance: all amber cells are constructed examples, not external observations.</x:v>
      </x:c>
    </x:row>
    <x:row r="11" ht="18" customHeight="1">
      <x:c r="A11" s="1"/>
      <x:c r="B11" s="1"/>
      <x:c r="C11" s="1" t="str">
        <x:v>Annual order-book execution rate — seed</x:v>
      </x:c>
      <x:c r="D11" s="25" t="n">
        <x:v>0.3</x:v>
      </x:c>
      <x:c r="E11" s="2"/>
      <x:c r="F11" s="2"/>
      <x:c r="G11" s="2"/>
      <x:c r="H11" s="2"/>
      <x:c r="I11" s="2"/>
      <x:c r="J11" s="1"/>
      <x:c r="K11" s="1" t="str">
        <x:v>Simplified order-book conversion. Receivables include retention; add contract assets, mobilization advances and guarantees.</x:v>
      </x:c>
    </x:row>
    <x:row r="12" ht="18" customHeight="1">
      <x:c r="A12" s="1"/>
      <x:c r="B12" s="1"/>
      <x:c r="C12" s="28" t="str">
        <x:v>New-order growth — active</x:v>
      </x:c>
      <x:c r="D12" s="29"/>
      <x:c r="E12" s="30" t="n">
        <x:f>IF(COUNT(INDEX(E13:E15,'Controls'!$E$5))=0,NA(),INDEX(E13:E15,'Controls'!$E$5))</x:f>
        <x:v>0.12</x:v>
      </x:c>
      <x:c r="F12" s="30" t="n">
        <x:f>IF(COUNT(INDEX(F13:F15,'Controls'!$E$5))=0,NA(),INDEX(F13:F15,'Controls'!$E$5))</x:f>
        <x:v>0.12</x:v>
      </x:c>
      <x:c r="G12" s="30" t="n">
        <x:f>IF(COUNT(INDEX(G13:G15,'Controls'!$E$5))=0,NA(),INDEX(G13:G15,'Controls'!$E$5))</x:f>
        <x:v>0.12</x:v>
      </x:c>
      <x:c r="H12" s="30" t="n">
        <x:f>IF(COUNT(INDEX(H13:H15,'Controls'!$E$5))=0,NA(),INDEX(H13:H15,'Controls'!$E$5))</x:f>
        <x:v>0.12</x:v>
      </x:c>
      <x:c r="I12" s="30" t="n">
        <x:f>IF(COUNT(INDEX(I13:I15,'Controls'!$E$5))=0,NA(),INDEX(I13:I15,'Controls'!$E$5))</x:f>
        <x:v>0.12</x:v>
      </x:c>
      <x:c r="J12" s="1"/>
      <x:c r="K12" s="1" t="str">
        <x:v>Five-year nominal INR model. Positive costs are subtracted. Discounting is end-of-year.</x:v>
      </x:c>
    </x:row>
    <x:row r="13" ht="18" customHeight="1">
      <x:c r="A13" s="1"/>
      <x:c r="B13" s="1"/>
      <x:c r="C13" s="23" t="str">
        <x:v>Base</x:v>
      </x:c>
      <x:c r="D13" s="24"/>
      <x:c r="E13" s="26" t="n">
        <x:v>0.12</x:v>
      </x:c>
      <x:c r="F13" s="26" t="n">
        <x:v>0.12</x:v>
      </x:c>
      <x:c r="G13" s="26" t="n">
        <x:v>0.12</x:v>
      </x:c>
      <x:c r="H13" s="26" t="n">
        <x:v>0.12</x:v>
      </x:c>
      <x:c r="I13" s="26" t="n">
        <x:v>0.12</x:v>
      </x:c>
      <x:c r="J13" s="1"/>
      <x:c r="K13" s="1" t="str">
        <x:v>Cash earns no interest; borrowing is explicit. Negative cash is an unfunded shortfall.</x:v>
      </x:c>
    </x:row>
    <x:row r="14" ht="18" customHeight="1">
      <x:c r="A14" s="1"/>
      <x:c r="B14" s="1"/>
      <x:c r="C14" s="23" t="str">
        <x:v>Downside</x:v>
      </x:c>
      <x:c r="D14" s="24"/>
      <x:c r="E14" s="26" t="n">
        <x:v>0.06999999999999999</x:v>
      </x:c>
      <x:c r="F14" s="26" t="n">
        <x:v>0.06999999999999999</x:v>
      </x:c>
      <x:c r="G14" s="26" t="n">
        <x:v>0.06999999999999999</x:v>
      </x:c>
      <x:c r="H14" s="26" t="n">
        <x:v>0.06999999999999999</x:v>
      </x:c>
      <x:c r="I14" s="26" t="n">
        <x:v>0.06999999999999999</x:v>
      </x:c>
      <x:c r="J14" s="1"/>
      <x:c r="K14" s="1"/>
    </x:row>
    <x:row r="15" ht="18" customHeight="1">
      <x:c r="A15" s="1"/>
      <x:c r="B15" s="1"/>
      <x:c r="C15" s="23" t="str">
        <x:v>Upside</x:v>
      </x:c>
      <x:c r="D15" s="24"/>
      <x:c r="E15" s="26" t="n">
        <x:v>0.16</x:v>
      </x:c>
      <x:c r="F15" s="26" t="n">
        <x:v>0.16</x:v>
      </x:c>
      <x:c r="G15" s="26" t="n">
        <x:v>0.16</x:v>
      </x:c>
      <x:c r="H15" s="26" t="n">
        <x:v>0.16</x:v>
      </x:c>
      <x:c r="I15" s="26" t="n">
        <x:v>0.16</x:v>
      </x:c>
      <x:c r="J15" s="1"/>
      <x:c r="K15" s="1"/>
    </x:row>
    <x:row r="16" ht="18" customHeight="1">
      <x:c r="A16" s="1"/>
      <x:c r="B16" s="1"/>
      <x:c r="C16" s="28" t="str">
        <x:v>Execution rate change (pp) — active</x:v>
      </x:c>
      <x:c r="D16" s="29"/>
      <x:c r="E16" s="30" t="n">
        <x:f>IF(COUNT(INDEX(E17:E19,'Controls'!$E$5))=0,NA(),INDEX(E17:E19,'Controls'!$E$5))</x:f>
        <x:v>0</x:v>
      </x:c>
      <x:c r="F16" s="30" t="n">
        <x:f>IF(COUNT(INDEX(F17:F19,'Controls'!$E$5))=0,NA(),INDEX(F17:F19,'Controls'!$E$5))</x:f>
        <x:v>0</x:v>
      </x:c>
      <x:c r="G16" s="30" t="n">
        <x:f>IF(COUNT(INDEX(G17:G19,'Controls'!$E$5))=0,NA(),INDEX(G17:G19,'Controls'!$E$5))</x:f>
        <x:v>0</x:v>
      </x:c>
      <x:c r="H16" s="30" t="n">
        <x:f>IF(COUNT(INDEX(H17:H19,'Controls'!$E$5))=0,NA(),INDEX(H17:H19,'Controls'!$E$5))</x:f>
        <x:v>0</x:v>
      </x:c>
      <x:c r="I16" s="30" t="n">
        <x:f>IF(COUNT(INDEX(I17:I19,'Controls'!$E$5))=0,NA(),INDEX(I17:I19,'Controls'!$E$5))</x:f>
        <x:v>0</x:v>
      </x:c>
      <x:c r="J16" s="1"/>
      <x:c r="K16" s="1"/>
    </x:row>
    <x:row r="17" ht="18" customHeight="1">
      <x:c r="A17" s="1"/>
      <x:c r="B17" s="1"/>
      <x:c r="C17" s="23" t="str">
        <x:v>Base</x:v>
      </x:c>
      <x:c r="D17" s="24"/>
      <x:c r="E17" s="26" t="n">
        <x:v>0</x:v>
      </x:c>
      <x:c r="F17" s="26" t="n">
        <x:v>0</x:v>
      </x:c>
      <x:c r="G17" s="26" t="n">
        <x:v>0</x:v>
      </x:c>
      <x:c r="H17" s="26" t="n">
        <x:v>0</x:v>
      </x:c>
      <x:c r="I17" s="26" t="n">
        <x:v>0</x:v>
      </x:c>
      <x:c r="J17" s="1"/>
      <x:c r="K17" s="1"/>
    </x:row>
    <x:row r="18" ht="18" customHeight="1">
      <x:c r="A18" s="1"/>
      <x:c r="B18" s="1"/>
      <x:c r="C18" s="23" t="str">
        <x:v>Downside</x:v>
      </x:c>
      <x:c r="D18" s="24"/>
      <x:c r="E18" s="26" t="n">
        <x:v>-0.025</x:v>
      </x:c>
      <x:c r="F18" s="26" t="n">
        <x:v>-0.025</x:v>
      </x:c>
      <x:c r="G18" s="26" t="n">
        <x:v>-0.025</x:v>
      </x:c>
      <x:c r="H18" s="26" t="n">
        <x:v>-0.025</x:v>
      </x:c>
      <x:c r="I18" s="26" t="n">
        <x:v>-0.025</x:v>
      </x:c>
      <x:c r="J18" s="1"/>
      <x:c r="K18" s="1"/>
    </x:row>
    <x:row r="19" ht="18" customHeight="1">
      <x:c r="A19" s="1"/>
      <x:c r="B19" s="1"/>
      <x:c r="C19" s="23" t="str">
        <x:v>Upside</x:v>
      </x:c>
      <x:c r="D19" s="24"/>
      <x:c r="E19" s="26" t="n">
        <x:v>0.02</x:v>
      </x:c>
      <x:c r="F19" s="26" t="n">
        <x:v>0.02</x:v>
      </x:c>
      <x:c r="G19" s="26" t="n">
        <x:v>0.02</x:v>
      </x:c>
      <x:c r="H19" s="26" t="n">
        <x:v>0.02</x:v>
      </x:c>
      <x:c r="I19" s="26" t="n">
        <x:v>0.02</x:v>
      </x:c>
      <x:c r="J19" s="1"/>
      <x:c r="K19" s="1"/>
    </x:row>
    <x:row r="20" ht="18" customHeight="1">
      <x:c r="A20" s="1"/>
      <x:c r="B20" s="1"/>
      <x:c r="C20" s="23" t="str">
        <x:v>Capacity utilization</x:v>
      </x:c>
      <x:c r="D20" s="24"/>
      <x:c r="E20" s="26" t="n">
        <x:v>1</x:v>
      </x:c>
      <x:c r="F20" s="26" t="n">
        <x:v>1</x:v>
      </x:c>
      <x:c r="G20" s="26" t="n">
        <x:v>1</x:v>
      </x:c>
      <x:c r="H20" s="26" t="n">
        <x:v>1</x:v>
      </x:c>
      <x:c r="I20" s="26" t="n">
        <x:v>1</x:v>
      </x:c>
      <x:c r="J20" s="1"/>
      <x:c r="K20" s="1" t="str">
        <x:v>Use 100% when volume already represents actual sales.</x:v>
      </x:c>
    </x:row>
    <x:row r="21" ht="30" customHeight="1">
      <x:c r="A21" s="1"/>
      <x:c r="B21" s="1"/>
      <x:c r="C21" s="57" t="str">
        <x:v>Subcontracting and project materials / revenue</x:v>
      </x:c>
      <x:c r="D21" s="24"/>
      <x:c r="E21" s="26" t="n">
        <x:v>0.78</x:v>
      </x:c>
      <x:c r="F21" s="26" t="n">
        <x:v>0.78</x:v>
      </x:c>
      <x:c r="G21" s="26" t="n">
        <x:v>0.78</x:v>
      </x:c>
      <x:c r="H21" s="26" t="n">
        <x:v>0.78</x:v>
      </x:c>
      <x:c r="I21" s="26" t="n">
        <x:v>0.78</x:v>
      </x:c>
      <x:c r="J21" s="1"/>
      <x:c r="K21" s="1"/>
    </x:row>
    <x:row r="22" ht="18" customHeight="1">
      <x:c r="A22" s="1"/>
      <x:c r="B22" s="1"/>
      <x:c r="C22" s="23" t="str">
        <x:v>Other cash operating costs / revenue</x:v>
      </x:c>
      <x:c r="D22" s="24"/>
      <x:c r="E22" s="26" t="n">
        <x:v>0.1</x:v>
      </x:c>
      <x:c r="F22" s="26" t="n">
        <x:v>0.1</x:v>
      </x:c>
      <x:c r="G22" s="26" t="n">
        <x:v>0.1</x:v>
      </x:c>
      <x:c r="H22" s="26" t="n">
        <x:v>0.1</x:v>
      </x:c>
      <x:c r="I22" s="26" t="n">
        <x:v>0.1</x:v>
      </x:c>
      <x:c r="J22" s="1"/>
      <x:c r="K22" s="1" t="str">
        <x:v>Includes fixed and selling costs, modeled as revenue share.</x:v>
      </x:c>
    </x:row>
    <x:row r="23" ht="18" customHeight="1">
      <x:c r="A23" s="1"/>
      <x:c r="B23" s="1"/>
      <x:c r="C23" s="1" t="str">
        <x:v>Annual new-order intake — seed</x:v>
      </x:c>
      <x:c r="D23" s="7" t="n">
        <x:v>5000</x:v>
      </x:c>
      <x:c r="E23" s="2"/>
      <x:c r="F23" s="2"/>
      <x:c r="G23" s="2"/>
      <x:c r="H23" s="2"/>
      <x:c r="I23" s="2"/>
      <x:c r="J23" s="1"/>
      <x:c r="K23" s="1"/>
    </x:row>
    <x:row r="24" ht="18" customHeight="1">
      <x:c r="A24" s="1"/>
      <x:c r="B24" s="1"/>
      <x:c r="C24" s="23" t="str">
        <x:v>Cash capex / revenue</x:v>
      </x:c>
      <x:c r="D24" s="24"/>
      <x:c r="E24" s="26" t="n">
        <x:v>0.025</x:v>
      </x:c>
      <x:c r="F24" s="26" t="n">
        <x:v>0.025</x:v>
      </x:c>
      <x:c r="G24" s="26" t="n">
        <x:v>0.025</x:v>
      </x:c>
      <x:c r="H24" s="26" t="n">
        <x:v>0.025</x:v>
      </x:c>
      <x:c r="I24" s="26" t="n">
        <x:v>0.025</x:v>
      </x:c>
      <x:c r="J24" s="1"/>
      <x:c r="K24" s="1"/>
    </x:row>
    <x:row r="25" ht="18" customHeight="1">
      <x:c r="A25" s="1"/>
      <x:c r="B25" s="1"/>
      <x:c r="C25" s="23" t="str">
        <x:v>D&amp;A / opening net PP&amp;E</x:v>
      </x:c>
      <x:c r="D25" s="24"/>
      <x:c r="E25" s="26" t="n">
        <x:v>0.16</x:v>
      </x:c>
      <x:c r="F25" s="26" t="n">
        <x:v>0.16</x:v>
      </x:c>
      <x:c r="G25" s="26" t="n">
        <x:v>0.16</x:v>
      </x:c>
      <x:c r="H25" s="26" t="n">
        <x:v>0.16</x:v>
      </x:c>
      <x:c r="I25" s="26" t="n">
        <x:v>0.16</x:v>
      </x:c>
      <x:c r="J25" s="1"/>
      <x:c r="K25" s="1" t="str">
        <x:v>No disposals or impairments. Current-year capex begins depreciation next year.</x:v>
      </x:c>
    </x:row>
    <x:row r="26" ht="18" customHeight="1">
      <x:c r="A26" s="1"/>
      <x:c r="B26" s="1"/>
      <x:c r="C26" s="1" t="str">
        <x:v>Receivable days</x:v>
      </x:c>
      <x:c r="D26" s="2"/>
      <x:c r="E26" s="7" t="n">
        <x:v>120</x:v>
      </x:c>
      <x:c r="F26" s="7" t="n">
        <x:v>120</x:v>
      </x:c>
      <x:c r="G26" s="7" t="n">
        <x:v>120</x:v>
      </x:c>
      <x:c r="H26" s="7" t="n">
        <x:v>120</x:v>
      </x:c>
      <x:c r="I26" s="7" t="n">
        <x:v>120</x:v>
      </x:c>
      <x:c r="J26" s="1"/>
      <x:c r="K26" s="1"/>
    </x:row>
    <x:row r="27" ht="18" customHeight="1">
      <x:c r="A27" s="1"/>
      <x:c r="B27" s="1"/>
      <x:c r="C27" s="1" t="str">
        <x:v>Inventory days</x:v>
      </x:c>
      <x:c r="D27" s="2"/>
      <x:c r="E27" s="7" t="n">
        <x:v>20</x:v>
      </x:c>
      <x:c r="F27" s="7" t="n">
        <x:v>20</x:v>
      </x:c>
      <x:c r="G27" s="7" t="n">
        <x:v>20</x:v>
      </x:c>
      <x:c r="H27" s="7" t="n">
        <x:v>20</x:v>
      </x:c>
      <x:c r="I27" s="7" t="n">
        <x:v>20</x:v>
      </x:c>
      <x:c r="J27" s="1"/>
      <x:c r="K27" s="1"/>
    </x:row>
    <x:row r="28" ht="18" customHeight="1">
      <x:c r="A28" s="1"/>
      <x:c r="B28" s="1"/>
      <x:c r="C28" s="1" t="str">
        <x:v>Payable days</x:v>
      </x:c>
      <x:c r="D28" s="2"/>
      <x:c r="E28" s="7" t="n">
        <x:v>90</x:v>
      </x:c>
      <x:c r="F28" s="7" t="n">
        <x:v>90</x:v>
      </x:c>
      <x:c r="G28" s="7" t="n">
        <x:v>90</x:v>
      </x:c>
      <x:c r="H28" s="7" t="n">
        <x:v>90</x:v>
      </x:c>
      <x:c r="I28" s="7" t="n">
        <x:v>90</x:v>
      </x:c>
      <x:c r="J28" s="1"/>
      <x:c r="K28" s="1"/>
    </x:row>
    <x:row r="29" ht="18" customHeight="1">
      <x:c r="A29" s="1"/>
      <x:c r="B29" s="1"/>
      <x:c r="C29" s="23" t="str">
        <x:v>Effective cash tax rate</x:v>
      </x:c>
      <x:c r="D29" s="24"/>
      <x:c r="E29" s="26" t="n">
        <x:v>0.25</x:v>
      </x:c>
      <x:c r="F29" s="26" t="n">
        <x:v>0.25</x:v>
      </x:c>
      <x:c r="G29" s="26" t="n">
        <x:v>0.25</x:v>
      </x:c>
      <x:c r="H29" s="26" t="n">
        <x:v>0.25</x:v>
      </x:c>
      <x:c r="I29" s="26" t="n">
        <x:v>0.25</x:v>
      </x:c>
      <x:c r="J29" s="1"/>
      <x:c r="K29" s="1" t="str">
        <x:v>Illustrative assumption, not a statutory rate. No loss carryforwards or deferred tax.</x:v>
      </x:c>
    </x:row>
    <x:row r="30" ht="18" customHeight="1">
      <x:c r="A30" s="1"/>
      <x:c r="B30" s="1"/>
      <x:c r="C30" s="23" t="str">
        <x:v>Interest on opening debt</x:v>
      </x:c>
      <x:c r="D30" s="24"/>
      <x:c r="E30" s="26" t="n">
        <x:v>0.085</x:v>
      </x:c>
      <x:c r="F30" s="26" t="n">
        <x:v>0.085</x:v>
      </x:c>
      <x:c r="G30" s="26" t="n">
        <x:v>0.085</x:v>
      </x:c>
      <x:c r="H30" s="26" t="n">
        <x:v>0.085</x:v>
      </x:c>
      <x:c r="I30" s="26" t="n">
        <x:v>0.085</x:v>
      </x:c>
      <x:c r="J30" s="1"/>
      <x:c r="K30" s="1"/>
    </x:row>
    <x:row r="31" ht="18" customHeight="1">
      <x:c r="A31" s="1"/>
      <x:c r="B31" s="1"/>
      <x:c r="C31" s="1" t="str">
        <x:v>New borrowing</x:v>
      </x:c>
      <x:c r="D31" s="2"/>
      <x:c r="E31" s="7" t="n">
        <x:v>0</x:v>
      </x:c>
      <x:c r="F31" s="7" t="n">
        <x:v>0</x:v>
      </x:c>
      <x:c r="G31" s="7" t="n">
        <x:v>0</x:v>
      </x:c>
      <x:c r="H31" s="7" t="n">
        <x:v>0</x:v>
      </x:c>
      <x:c r="I31" s="7" t="n">
        <x:v>0</x:v>
      </x:c>
      <x:c r="J31" s="1"/>
      <x:c r="K31" s="1"/>
    </x:row>
    <x:row r="32" ht="18" customHeight="1">
      <x:c r="A32" s="1"/>
      <x:c r="B32" s="1"/>
      <x:c r="C32" s="1" t="str">
        <x:v>Scheduled principal repayment</x:v>
      </x:c>
      <x:c r="D32" s="2"/>
      <x:c r="E32" s="7" t="n">
        <x:v>90</x:v>
      </x:c>
      <x:c r="F32" s="7" t="n">
        <x:v>90</x:v>
      </x:c>
      <x:c r="G32" s="7" t="n">
        <x:v>90</x:v>
      </x:c>
      <x:c r="H32" s="7" t="n">
        <x:v>90</x:v>
      </x:c>
      <x:c r="I32" s="7" t="n">
        <x:v>90</x:v>
      </x:c>
      <x:c r="J32" s="1"/>
      <x:c r="K32" s="1"/>
    </x:row>
    <x:row r="33" ht="18" customHeight="1">
      <x:c r="A33" s="1"/>
      <x:c r="B33" s="1"/>
      <x:c r="C33" s="23" t="str">
        <x:v>Dividend payout on positive PAT</x:v>
      </x:c>
      <x:c r="D33" s="24"/>
      <x:c r="E33" s="26" t="n">
        <x:v>0.25</x:v>
      </x:c>
      <x:c r="F33" s="26" t="n">
        <x:v>0.25</x:v>
      </x:c>
      <x:c r="G33" s="26" t="n">
        <x:v>0.25</x:v>
      </x:c>
      <x:c r="H33" s="26" t="n">
        <x:v>0.25</x:v>
      </x:c>
      <x:c r="I33" s="26" t="n">
        <x:v>0.25</x:v>
      </x:c>
      <x:c r="J33" s="1"/>
      <x:c r="K33" s="1"/>
    </x:row>
    <x:row r="34" ht="18" customHeight="1">
      <x:c r="A34" s="1"/>
      <x:c r="B34" s="1"/>
      <x:c r="C34" s="19" t="str">
        <x:v>OPENING BALANCE SHEET AND VALUATION INPUTS</x:v>
      </x:c>
      <x:c r="D34" s="20"/>
      <x:c r="E34" s="20"/>
      <x:c r="F34" s="20"/>
      <x:c r="G34" s="20"/>
      <x:c r="H34" s="20"/>
      <x:c r="I34" s="20"/>
      <x:c r="J34" s="1"/>
      <x:c r="K34" s="1"/>
    </x:row>
    <x:row r="35" ht="18" customHeight="1">
      <x:c r="A35" s="1"/>
      <x:c r="B35" s="1"/>
      <x:c r="C35" s="1" t="str">
        <x:v>Opening net PP&amp;E</x:v>
      </x:c>
      <x:c r="D35" s="7" t="n">
        <x:v>700</x:v>
      </x:c>
      <x:c r="E35" s="2"/>
      <x:c r="F35" s="2"/>
      <x:c r="G35" s="2"/>
      <x:c r="H35" s="2"/>
      <x:c r="I35" s="2"/>
      <x:c r="J35" s="1"/>
      <x:c r="K35" s="1"/>
    </x:row>
    <x:row r="36" ht="18" customHeight="1">
      <x:c r="A36" s="1"/>
      <x:c r="B36" s="1"/>
      <x:c r="C36" s="1" t="str">
        <x:v>Opening debt</x:v>
      </x:c>
      <x:c r="D36" s="7" t="n">
        <x:v>900</x:v>
      </x:c>
      <x:c r="E36" s="2"/>
      <x:c r="F36" s="2"/>
      <x:c r="G36" s="2"/>
      <x:c r="H36" s="2"/>
      <x:c r="I36" s="2"/>
      <x:c r="J36" s="1"/>
      <x:c r="K36" s="1"/>
    </x:row>
    <x:row r="37" ht="18" customHeight="1">
      <x:c r="A37" s="1"/>
      <x:c r="B37" s="1"/>
      <x:c r="C37" s="1" t="str">
        <x:v>Opening cash</x:v>
      </x:c>
      <x:c r="D37" s="7" t="n">
        <x:v>350</x:v>
      </x:c>
      <x:c r="E37" s="2"/>
      <x:c r="F37" s="2"/>
      <x:c r="G37" s="2"/>
      <x:c r="H37" s="2"/>
      <x:c r="I37" s="2"/>
      <x:c r="J37" s="1"/>
      <x:c r="K37" s="1"/>
    </x:row>
    <x:row r="38" ht="18" customHeight="1">
      <x:c r="A38" s="1"/>
      <x:c r="B38" s="1"/>
      <x:c r="C38" s="1" t="str">
        <x:v>Opening net working capital</x:v>
      </x:c>
      <x:c r="D38" s="7" t="n">
        <x:v>645.0410958904109</x:v>
      </x:c>
      <x:c r="E38" s="2"/>
      <x:c r="F38" s="2"/>
      <x:c r="G38" s="2"/>
      <x:c r="H38" s="2"/>
      <x:c r="I38" s="2"/>
      <x:c r="J38" s="1"/>
      <x:c r="K38" s="1" t="str">
        <x:v>Illustrative opening net balance. Replace with receivables + inventory − payables.</x:v>
      </x:c>
    </x:row>
    <x:row r="39" ht="18" customHeight="1">
      <x:c r="A39" s="1"/>
      <x:c r="B39" s="1"/>
      <x:c r="C39" s="1" t="str">
        <x:v>Diluted shares (crore)</x:v>
      </x:c>
      <x:c r="D39" s="7" t="n">
        <x:v>100</x:v>
      </x:c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 t="str">
        <x:v>WACC</x:v>
      </x:c>
      <x:c r="D40" s="25" t="n">
        <x:v>0.12</x:v>
      </x:c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 t="str">
        <x:v>Terminal growth</x:v>
      </x:c>
      <x:c r="D41" s="25" t="n">
        <x:v>0.04</x:v>
      </x:c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 t="str">
        <x:v>Terminal incremental ROIC</x:v>
      </x:c>
      <x:c r="D42" s="25" t="n">
        <x:v>0.15</x:v>
      </x:c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" t="str">
        <x:v>Forward EV / EBITDA</x:v>
      </x:c>
      <x:c r="D43" s="55" t="n">
        <x:v>11</x:v>
      </x:c>
      <x:c r="E43" s="2"/>
      <x:c r="F43" s="2"/>
      <x:c r="G43" s="2"/>
      <x:c r="H43" s="2"/>
      <x:c r="I43" s="2"/>
      <x:c r="J43" s="1"/>
      <x:c r="K43" s="1"/>
    </x:row>
    <x:row r="44" ht="18" customHeight="1">
      <x:c r="A44" s="1"/>
      <x:c r="B44" s="1"/>
      <x:c r="C44" s="19" t="str">
        <x:v>OPERATING BUILD</x:v>
      </x:c>
      <x:c r="D44" s="20"/>
      <x:c r="E44" s="20"/>
      <x:c r="F44" s="20"/>
      <x:c r="G44" s="20"/>
      <x:c r="H44" s="20"/>
      <x:c r="I44" s="20"/>
      <x:c r="J44" s="1"/>
      <x:c r="K44" s="1"/>
    </x:row>
    <x:row r="45" ht="18" customHeight="1">
      <x:c r="A45" s="1"/>
      <x:c r="B45" s="1"/>
      <x:c r="C45" s="1" t="str">
        <x:v>Opening executable order book (INR crore)</x:v>
      </x:c>
      <x:c r="D45" s="2"/>
      <x:c r="E45" s="8" t="n">
        <x:f>$D10</x:f>
        <x:v>12000</x:v>
      </x:c>
      <x:c r="F45" s="8" t="n">
        <x:f>E50</x:f>
        <x:v>14000</x:v>
      </x:c>
      <x:c r="G45" s="8" t="n">
        <x:f>F50</x:f>
        <x:v>16072</x:v>
      </x:c>
      <x:c r="H45" s="8" t="n">
        <x:f>G50</x:f>
        <x:v>18275.040000000005</x:v>
      </x:c>
      <x:c r="I45" s="8" t="n">
        <x:f>H50</x:f>
        <x:v>20660.124800000005</x:v>
      </x:c>
      <x:c r="J45" s="1"/>
      <x:c r="K45" s="1"/>
    </x:row>
    <x:row r="46" ht="18" customHeight="1">
      <x:c r="A46" s="1"/>
      <x:c r="B46" s="1"/>
      <x:c r="C46" s="23" t="str">
        <x:v>Annual order-book execution rate</x:v>
      </x:c>
      <x:c r="D46" s="24"/>
      <x:c r="E46" s="35" t="n">
        <x:f>$D11+E16</x:f>
        <x:v>0.3</x:v>
      </x:c>
      <x:c r="F46" s="35" t="n">
        <x:f>E46+F16</x:f>
        <x:v>0.3</x:v>
      </x:c>
      <x:c r="G46" s="35" t="n">
        <x:f>F46+G16</x:f>
        <x:v>0.3</x:v>
      </x:c>
      <x:c r="H46" s="35" t="n">
        <x:f>G46+H16</x:f>
        <x:v>0.3</x:v>
      </x:c>
      <x:c r="I46" s="35" t="n">
        <x:f>H46+I16</x:f>
        <x:v>0.3</x:v>
      </x:c>
      <x:c r="J46" s="1"/>
      <x:c r="K46" s="1"/>
    </x:row>
    <x:row r="47" ht="18" customHeight="1">
      <x:c r="A47" s="1"/>
      <x:c r="B47" s="1"/>
      <x:c r="C47" s="1" t="str">
        <x:v>New orders won</x:v>
      </x:c>
      <x:c r="D47" s="2"/>
      <x:c r="E47" s="8" t="n">
        <x:f>$D23*(1+E12)</x:f>
        <x:v>5600.000000000001</x:v>
      </x:c>
      <x:c r="F47" s="8" t="n">
        <x:f>E47*(1+F12)</x:f>
        <x:v>6272.000000000002</x:v>
      </x:c>
      <x:c r="G47" s="8" t="n">
        <x:f>F47*(1+G12)</x:f>
        <x:v>7024.640000000003</x:v>
      </x:c>
      <x:c r="H47" s="8" t="n">
        <x:f>G47*(1+H12)</x:f>
        <x:v>7867.596800000004</x:v>
      </x:c>
      <x:c r="I47" s="8" t="n">
        <x:f>H47*(1+I12)</x:f>
        <x:v>8811.708416000005</x:v>
      </x:c>
      <x:c r="J47" s="1"/>
      <x:c r="K47" s="1"/>
    </x:row>
    <x:row r="48" ht="18" customHeight="1">
      <x:c r="A48" s="1"/>
      <x:c r="B48" s="1"/>
      <x:c r="C48" s="1" t="str">
        <x:v>Executed order value</x:v>
      </x:c>
      <x:c r="D48" s="2"/>
      <x:c r="E48" s="8" t="n">
        <x:f>E45*E46</x:f>
        <x:v>3600</x:v>
      </x:c>
      <x:c r="F48" s="8" t="n">
        <x:f>F45*F46</x:f>
        <x:v>4200</x:v>
      </x:c>
      <x:c r="G48" s="8" t="n">
        <x:f>G45*G46</x:f>
        <x:v>4821.599999999999</x:v>
      </x:c>
      <x:c r="H48" s="8" t="n">
        <x:f>H45*H46</x:f>
        <x:v>5482.5120000000015</x:v>
      </x:c>
      <x:c r="I48" s="8" t="n">
        <x:f>I45*I46</x:f>
        <x:v>6198.037440000001</x:v>
      </x:c>
      <x:c r="J48" s="1"/>
      <x:c r="K48" s="1"/>
    </x:row>
    <x:row r="49" ht="18" customHeight="1">
      <x:c r="A49" s="1"/>
      <x:c r="B49" s="1"/>
      <x:c r="C49" s="38" t="str">
        <x:v>Revenue</x:v>
      </x:c>
      <x:c r="D49" s="39"/>
      <x:c r="E49" s="41" t="n">
        <x:f>E48</x:f>
        <x:v>3600</x:v>
      </x:c>
      <x:c r="F49" s="41" t="n">
        <x:f>F48</x:f>
        <x:v>4200</x:v>
      </x:c>
      <x:c r="G49" s="41" t="n">
        <x:f>G48</x:f>
        <x:v>4821.599999999999</x:v>
      </x:c>
      <x:c r="H49" s="41" t="n">
        <x:f>H48</x:f>
        <x:v>5482.5120000000015</x:v>
      </x:c>
      <x:c r="I49" s="41" t="n">
        <x:f>I48</x:f>
        <x:v>6198.037440000001</x:v>
      </x:c>
      <x:c r="J49" s="1"/>
      <x:c r="K49" s="1"/>
    </x:row>
    <x:row r="50" ht="18" customHeight="1">
      <x:c r="A50" s="1"/>
      <x:c r="B50" s="1"/>
      <x:c r="C50" s="1" t="str">
        <x:v>Closing order book</x:v>
      </x:c>
      <x:c r="D50" s="2"/>
      <x:c r="E50" s="8" t="n">
        <x:f>E45+E47-E49</x:f>
        <x:v>14000</x:v>
      </x:c>
      <x:c r="F50" s="8" t="n">
        <x:f>F45+F47-F49</x:f>
        <x:v>16072</x:v>
      </x:c>
      <x:c r="G50" s="8" t="n">
        <x:f>G45+G47-G49</x:f>
        <x:v>18275.040000000005</x:v>
      </x:c>
      <x:c r="H50" s="8" t="n">
        <x:f>H45+H47-H49</x:f>
        <x:v>20660.124800000005</x:v>
      </x:c>
      <x:c r="I50" s="8" t="n">
        <x:f>I45+I47-I49</x:f>
        <x:v>23273.79577600001</x:v>
      </x:c>
      <x:c r="J50" s="1"/>
      <x:c r="K50" s="1"/>
    </x:row>
    <x:row r="51" ht="18" customHeight="1">
      <x:c r="A51" s="1"/>
      <x:c r="B51" s="1"/>
      <x:c r="C51" s="19" t="str">
        <x:v>INCOME STATEMENT</x:v>
      </x:c>
      <x:c r="D51" s="20"/>
      <x:c r="E51" s="20"/>
      <x:c r="F51" s="20"/>
      <x:c r="G51" s="20"/>
      <x:c r="H51" s="20"/>
      <x:c r="I51" s="20"/>
      <x:c r="J51" s="1"/>
      <x:c r="K51" s="1"/>
    </x:row>
    <x:row r="52" ht="18" customHeight="1">
      <x:c r="A52" s="1"/>
      <x:c r="B52" s="1"/>
      <x:c r="C52" s="1" t="str">
        <x:v>Direct cash costs</x:v>
      </x:c>
      <x:c r="D52" s="2"/>
      <x:c r="E52" s="8" t="n">
        <x:f>E49*E21</x:f>
        <x:v>2808</x:v>
      </x:c>
      <x:c r="F52" s="8" t="n">
        <x:f>F49*F21</x:f>
        <x:v>3276</x:v>
      </x:c>
      <x:c r="G52" s="8" t="n">
        <x:f>G49*G21</x:f>
        <x:v>3760.8479999999995</x:v>
      </x:c>
      <x:c r="H52" s="8" t="n">
        <x:f>H49*H21</x:f>
        <x:v>4276.359360000001</x:v>
      </x:c>
      <x:c r="I52" s="8" t="n">
        <x:f>I49*I21</x:f>
        <x:v>4834.469203200001</x:v>
      </x:c>
      <x:c r="J52" s="1"/>
      <x:c r="K52" s="1"/>
    </x:row>
    <x:row r="53" ht="18" customHeight="1">
      <x:c r="A53" s="1"/>
      <x:c r="B53" s="1"/>
      <x:c r="C53" s="1" t="str">
        <x:v>Gross profit</x:v>
      </x:c>
      <x:c r="D53" s="2"/>
      <x:c r="E53" s="8" t="n">
        <x:f>E49-E52</x:f>
        <x:v>792</x:v>
      </x:c>
      <x:c r="F53" s="8" t="n">
        <x:f>F49-F52</x:f>
        <x:v>924</x:v>
      </x:c>
      <x:c r="G53" s="8" t="n">
        <x:f>G49-G52</x:f>
        <x:v>1060.752</x:v>
      </x:c>
      <x:c r="H53" s="8" t="n">
        <x:f>H49-H52</x:f>
        <x:v>1206.1526400000002</x:v>
      </x:c>
      <x:c r="I53" s="8" t="n">
        <x:f>I49-I52</x:f>
        <x:v>1363.5682367999998</x:v>
      </x:c>
      <x:c r="J53" s="1"/>
      <x:c r="K53" s="1"/>
    </x:row>
    <x:row r="54" ht="18" customHeight="1">
      <x:c r="A54" s="1"/>
      <x:c r="B54" s="1"/>
      <x:c r="C54" s="1" t="str">
        <x:v>Other cash operating costs</x:v>
      </x:c>
      <x:c r="D54" s="2"/>
      <x:c r="E54" s="8" t="n">
        <x:f>E49*E22</x:f>
        <x:v>360</x:v>
      </x:c>
      <x:c r="F54" s="8" t="n">
        <x:f>F49*F22</x:f>
        <x:v>420</x:v>
      </x:c>
      <x:c r="G54" s="8" t="n">
        <x:f>G49*G22</x:f>
        <x:v>482.15999999999997</x:v>
      </x:c>
      <x:c r="H54" s="8" t="n">
        <x:f>H49*H22</x:f>
        <x:v>548.2512000000002</x:v>
      </x:c>
      <x:c r="I54" s="8" t="n">
        <x:f>I49*I22</x:f>
        <x:v>619.8037440000002</x:v>
      </x:c>
      <x:c r="J54" s="1"/>
      <x:c r="K54" s="1"/>
    </x:row>
    <x:row r="55" ht="18" customHeight="1">
      <x:c r="A55" s="1"/>
      <x:c r="B55" s="1"/>
      <x:c r="C55" s="38" t="str">
        <x:v>EBITDA</x:v>
      </x:c>
      <x:c r="D55" s="39"/>
      <x:c r="E55" s="41" t="n">
        <x:f>E53-E54</x:f>
        <x:v>432</x:v>
      </x:c>
      <x:c r="F55" s="41" t="n">
        <x:f>F53-F54</x:f>
        <x:v>504</x:v>
      </x:c>
      <x:c r="G55" s="41" t="n">
        <x:f>G53-G54</x:f>
        <x:v>578.592</x:v>
      </x:c>
      <x:c r="H55" s="41" t="n">
        <x:f>H53-H54</x:f>
        <x:v>657.9014400000001</x:v>
      </x:c>
      <x:c r="I55" s="41" t="n">
        <x:f>I53-I54</x:f>
        <x:v>743.7644927999996</x:v>
      </x:c>
      <x:c r="J55" s="1"/>
      <x:c r="K55" s="1"/>
    </x:row>
    <x:row r="56" ht="18" customHeight="1">
      <x:c r="A56" s="1"/>
      <x:c r="B56" s="1"/>
      <x:c r="C56" s="1" t="str">
        <x:v>Depreciation and amortization</x:v>
      </x:c>
      <x:c r="D56" s="2"/>
      <x:c r="E56" s="8" t="n">
        <x:f>$D35*E25</x:f>
        <x:v>112</x:v>
      </x:c>
      <x:c r="F56" s="8" t="n">
        <x:f>E69*F25</x:f>
        <x:v>108.48</x:v>
      </x:c>
      <x:c r="G56" s="8" t="n">
        <x:f>F69*G25</x:f>
        <x:v>107.9232</x:v>
      </x:c>
      <x:c r="H56" s="8" t="n">
        <x:f>G69*H25</x:f>
        <x:v>109.941888</x:v>
      </x:c>
      <x:c r="I56" s="8" t="n">
        <x:f>H69*I25</x:f>
        <x:v>114.28123392000002</x:v>
      </x:c>
      <x:c r="J56" s="1"/>
      <x:c r="K56" s="1"/>
    </x:row>
    <x:row r="57" ht="18" customHeight="1">
      <x:c r="A57" s="1"/>
      <x:c r="B57" s="1"/>
      <x:c r="C57" s="1" t="str">
        <x:v>EBIT</x:v>
      </x:c>
      <x:c r="D57" s="2"/>
      <x:c r="E57" s="8" t="n">
        <x:f>E55-E56</x:f>
        <x:v>320</x:v>
      </x:c>
      <x:c r="F57" s="8" t="n">
        <x:f>F55-F56</x:f>
        <x:v>395.52</x:v>
      </x:c>
      <x:c r="G57" s="8" t="n">
        <x:f>G55-G56</x:f>
        <x:v>470.6688</x:v>
      </x:c>
      <x:c r="H57" s="8" t="n">
        <x:f>H55-H56</x:f>
        <x:v>547.959552</x:v>
      </x:c>
      <x:c r="I57" s="8" t="n">
        <x:f>I55-I56</x:f>
        <x:v>629.4832588799997</x:v>
      </x:c>
      <x:c r="J57" s="1"/>
      <x:c r="K57" s="1"/>
    </x:row>
    <x:row r="58" ht="18" customHeight="1">
      <x:c r="A58" s="1"/>
      <x:c r="B58" s="1"/>
      <x:c r="C58" s="1" t="str">
        <x:v>Interest expense</x:v>
      </x:c>
      <x:c r="D58" s="2"/>
      <x:c r="E58" s="8" t="n">
        <x:f>$D36*E30</x:f>
        <x:v>76.5</x:v>
      </x:c>
      <x:c r="F58" s="8" t="n">
        <x:f>E70*F30</x:f>
        <x:v>68.85000000000001</x:v>
      </x:c>
      <x:c r="G58" s="8" t="n">
        <x:f>F70*G30</x:f>
        <x:v>61.2</x:v>
      </x:c>
      <x:c r="H58" s="8" t="n">
        <x:f>G70*H30</x:f>
        <x:v>53.550000000000004</x:v>
      </x:c>
      <x:c r="I58" s="8" t="n">
        <x:f>H70*I30</x:f>
        <x:v>45.900000000000006</x:v>
      </x:c>
      <x:c r="J58" s="1"/>
      <x:c r="K58" s="1"/>
    </x:row>
    <x:row r="59" ht="18" customHeight="1">
      <x:c r="A59" s="1"/>
      <x:c r="B59" s="1"/>
      <x:c r="C59" s="1" t="str">
        <x:v>Profit before tax</x:v>
      </x:c>
      <x:c r="D59" s="2"/>
      <x:c r="E59" s="8" t="n">
        <x:f>E57-E58</x:f>
        <x:v>243.5</x:v>
      </x:c>
      <x:c r="F59" s="8" t="n">
        <x:f>F57-F58</x:f>
        <x:v>326.66999999999996</x:v>
      </x:c>
      <x:c r="G59" s="8" t="n">
        <x:f>G57-G58</x:f>
        <x:v>409.4688</x:v>
      </x:c>
      <x:c r="H59" s="8" t="n">
        <x:f>H57-H58</x:f>
        <x:v>494.409552</x:v>
      </x:c>
      <x:c r="I59" s="8" t="n">
        <x:f>I57-I58</x:f>
        <x:v>583.5832588799997</x:v>
      </x:c>
      <x:c r="J59" s="1"/>
      <x:c r="K59" s="1"/>
    </x:row>
    <x:row r="60" ht="18" customHeight="1">
      <x:c r="A60" s="1"/>
      <x:c r="B60" s="1"/>
      <x:c r="C60" s="1" t="str">
        <x:v>Cash income tax</x:v>
      </x:c>
      <x:c r="D60" s="2"/>
      <x:c r="E60" s="8" t="n">
        <x:f>MAX(0,E59)*E29</x:f>
        <x:v>60.875</x:v>
      </x:c>
      <x:c r="F60" s="8" t="n">
        <x:f>MAX(0,F59)*F29</x:f>
        <x:v>81.66749999999999</x:v>
      </x:c>
      <x:c r="G60" s="8" t="n">
        <x:f>MAX(0,G59)*G29</x:f>
        <x:v>102.3672</x:v>
      </x:c>
      <x:c r="H60" s="8" t="n">
        <x:f>MAX(0,H59)*H29</x:f>
        <x:v>123.602388</x:v>
      </x:c>
      <x:c r="I60" s="8" t="n">
        <x:f>MAX(0,I59)*I29</x:f>
        <x:v>145.89581471999992</x:v>
      </x:c>
      <x:c r="J60" s="1"/>
      <x:c r="K60" s="1"/>
    </x:row>
    <x:row r="61" ht="18" customHeight="1">
      <x:c r="A61" s="1"/>
      <x:c r="B61" s="1"/>
      <x:c r="C61" s="38" t="str">
        <x:v>Profit after tax</x:v>
      </x:c>
      <x:c r="D61" s="39"/>
      <x:c r="E61" s="41" t="n">
        <x:f>E59-E60</x:f>
        <x:v>182.625</x:v>
      </x:c>
      <x:c r="F61" s="41" t="n">
        <x:f>F59-F60</x:f>
        <x:v>245.00249999999997</x:v>
      </x:c>
      <x:c r="G61" s="41" t="n">
        <x:f>G59-G60</x:f>
        <x:v>307.10159999999996</x:v>
      </x:c>
      <x:c r="H61" s="41" t="n">
        <x:f>H59-H60</x:f>
        <x:v>370.807164</x:v>
      </x:c>
      <x:c r="I61" s="41" t="n">
        <x:f>I59-I60</x:f>
        <x:v>437.68744415999976</x:v>
      </x:c>
      <x:c r="J61" s="1"/>
      <x:c r="K61" s="1"/>
    </x:row>
    <x:row r="62" ht="18" customHeight="1">
      <x:c r="A62" s="1"/>
      <x:c r="B62" s="1"/>
      <x:c r="C62" s="19" t="str">
        <x:v>WORKING CAPITAL AND ASSET SCHEDULES</x:v>
      </x:c>
      <x:c r="D62" s="20"/>
      <x:c r="E62" s="20"/>
      <x:c r="F62" s="20"/>
      <x:c r="G62" s="20"/>
      <x:c r="H62" s="20"/>
      <x:c r="I62" s="20"/>
      <x:c r="J62" s="1"/>
      <x:c r="K62" s="1"/>
    </x:row>
    <x:row r="63" ht="18" customHeight="1">
      <x:c r="A63" s="1"/>
      <x:c r="B63" s="1"/>
      <x:c r="C63" s="1" t="str">
        <x:v>Trade receivables</x:v>
      </x:c>
      <x:c r="D63" s="2"/>
      <x:c r="E63" s="10" t="n">
        <x:f>E49*E26/'Controls'!$E$11</x:f>
        <x:v>1183.5616438356165</x:v>
      </x:c>
      <x:c r="F63" s="10" t="n">
        <x:f>F49*F26/'Controls'!$E$11</x:f>
        <x:v>1380.8219178082193</x:v>
      </x:c>
      <x:c r="G63" s="10" t="n">
        <x:f>G49*G26/'Controls'!$E$11</x:f>
        <x:v>1585.1835616438352</x:v>
      </x:c>
      <x:c r="H63" s="10" t="n">
        <x:f>H49*H26/'Controls'!$E$11</x:f>
        <x:v>1802.4696986301374</x:v>
      </x:c>
      <x:c r="I63" s="10" t="n">
        <x:f>I49*I26/'Controls'!$E$11</x:f>
        <x:v>2037.7109391780825</x:v>
      </x:c>
      <x:c r="J63" s="1"/>
      <x:c r="K63" s="1"/>
    </x:row>
    <x:row r="64" ht="18" customHeight="1">
      <x:c r="A64" s="1"/>
      <x:c r="B64" s="1"/>
      <x:c r="C64" s="1" t="str">
        <x:v>Inventory</x:v>
      </x:c>
      <x:c r="D64" s="2"/>
      <x:c r="E64" s="10" t="n">
        <x:f>E52*E27/'Controls'!$E$11</x:f>
        <x:v>153.86301369863014</x:v>
      </x:c>
      <x:c r="F64" s="10" t="n">
        <x:f>F52*F27/'Controls'!$E$11</x:f>
        <x:v>179.5068493150685</x:v>
      </x:c>
      <x:c r="G64" s="10" t="n">
        <x:f>G52*G27/'Controls'!$E$11</x:f>
        <x:v>206.0738630136986</x:v>
      </x:c>
      <x:c r="H64" s="10" t="n">
        <x:f>H52*H27/'Controls'!$E$11</x:f>
        <x:v>234.32106082191788</x:v>
      </x:c>
      <x:c r="I64" s="10" t="n">
        <x:f>I52*I27/'Controls'!$E$11</x:f>
        <x:v>264.90242209315073</x:v>
      </x:c>
      <x:c r="J64" s="1"/>
      <x:c r="K64" s="1"/>
    </x:row>
    <x:row r="65" ht="18" customHeight="1">
      <x:c r="A65" s="1"/>
      <x:c r="B65" s="1"/>
      <x:c r="C65" s="1" t="str">
        <x:v>Trade payables</x:v>
      </x:c>
      <x:c r="D65" s="2"/>
      <x:c r="E65" s="10" t="n">
        <x:f>E52*E28/'Controls'!$E$11</x:f>
        <x:v>692.3835616438356</x:v>
      </x:c>
      <x:c r="F65" s="10" t="n">
        <x:f>F52*F28/'Controls'!$E$11</x:f>
        <x:v>807.7808219178082</x:v>
      </x:c>
      <x:c r="G65" s="10" t="n">
        <x:f>G52*G28/'Controls'!$E$11</x:f>
        <x:v>927.3323835616437</x:v>
      </x:c>
      <x:c r="H65" s="10" t="n">
        <x:f>H52*H28/'Controls'!$E$11</x:f>
        <x:v>1054.4447736986306</x:v>
      </x:c>
      <x:c r="I65" s="10" t="n">
        <x:f>I52*I28/'Controls'!$E$11</x:f>
        <x:v>1192.0608994191784</x:v>
      </x:c>
      <x:c r="J65" s="1"/>
      <x:c r="K65" s="1"/>
    </x:row>
    <x:row r="66" ht="18" customHeight="1">
      <x:c r="A66" s="1"/>
      <x:c r="B66" s="1"/>
      <x:c r="C66" s="1" t="str">
        <x:v>Net working capital</x:v>
      </x:c>
      <x:c r="D66" s="2"/>
      <x:c r="E66" s="8" t="n">
        <x:f>E63+E64-E65</x:f>
        <x:v>645.0410958904109</x:v>
      </x:c>
      <x:c r="F66" s="8" t="n">
        <x:f>F63+F64-F65</x:f>
        <x:v>752.5479452054797</x:v>
      </x:c>
      <x:c r="G66" s="8" t="n">
        <x:f>G63+G64-G65</x:f>
        <x:v>863.9250410958902</x:v>
      </x:c>
      <x:c r="H66" s="8" t="n">
        <x:f>H63+H64-H65</x:f>
        <x:v>982.3459857534247</x:v>
      </x:c>
      <x:c r="I66" s="8" t="n">
        <x:f>I63+I64-I65</x:f>
        <x:v>1110.5524618520549</x:v>
      </x:c>
      <x:c r="J66" s="1"/>
      <x:c r="K66" s="1"/>
    </x:row>
    <x:row r="67" ht="18" customHeight="1">
      <x:c r="A67" s="1"/>
      <x:c r="B67" s="1"/>
      <x:c r="C67" s="1" t="str">
        <x:v>Increase in net working capital</x:v>
      </x:c>
      <x:c r="D67" s="2"/>
      <x:c r="E67" s="8" t="n">
        <x:f>E66-$D38</x:f>
        <x:v>0</x:v>
      </x:c>
      <x:c r="F67" s="8" t="n">
        <x:f>F66-E66</x:f>
        <x:v>107.50684931506873</x:v>
      </x:c>
      <x:c r="G67" s="8" t="n">
        <x:f>G66-F66</x:f>
        <x:v>111.37709589041049</x:v>
      </x:c>
      <x:c r="H67" s="8" t="n">
        <x:f>H66-G66</x:f>
        <x:v>118.4209446575345</x:v>
      </x:c>
      <x:c r="I67" s="8" t="n">
        <x:f>I66-H66</x:f>
        <x:v>128.20647609863022</x:v>
      </x:c>
      <x:c r="J67" s="1"/>
      <x:c r="K67" s="1"/>
    </x:row>
    <x:row r="68" ht="18" customHeight="1">
      <x:c r="A68" s="1"/>
      <x:c r="B68" s="1"/>
      <x:c r="C68" s="1" t="str">
        <x:v>Capital expenditure</x:v>
      </x:c>
      <x:c r="D68" s="2"/>
      <x:c r="E68" s="8" t="n">
        <x:f>E49*E24</x:f>
        <x:v>90</x:v>
      </x:c>
      <x:c r="F68" s="8" t="n">
        <x:f>F49*F24</x:f>
        <x:v>105</x:v>
      </x:c>
      <x:c r="G68" s="8" t="n">
        <x:f>G49*G24</x:f>
        <x:v>120.53999999999999</x:v>
      </x:c>
      <x:c r="H68" s="8" t="n">
        <x:f>H49*H24</x:f>
        <x:v>137.06280000000004</x:v>
      </x:c>
      <x:c r="I68" s="8" t="n">
        <x:f>I49*I24</x:f>
        <x:v>154.95093600000004</x:v>
      </x:c>
      <x:c r="J68" s="1"/>
      <x:c r="K68" s="1"/>
    </x:row>
    <x:row r="69" ht="18" customHeight="1">
      <x:c r="A69" s="1"/>
      <x:c r="B69" s="1"/>
      <x:c r="C69" s="1" t="str">
        <x:v>Closing net PP&amp;E</x:v>
      </x:c>
      <x:c r="D69" s="2"/>
      <x:c r="E69" s="8" t="n">
        <x:f>$D35+E68-E56</x:f>
        <x:v>678</x:v>
      </x:c>
      <x:c r="F69" s="8" t="n">
        <x:f>E69+F68-F56</x:f>
        <x:v>674.52</x:v>
      </x:c>
      <x:c r="G69" s="8" t="n">
        <x:f>F69+G68-G56</x:f>
        <x:v>687.1368</x:v>
      </x:c>
      <x:c r="H69" s="8" t="n">
        <x:f>G69+H68-H56</x:f>
        <x:v>714.2577120000001</x:v>
      </x:c>
      <x:c r="I69" s="8" t="n">
        <x:f>H69+I68-I56</x:f>
        <x:v>754.9274140800002</x:v>
      </x:c>
      <x:c r="J69" s="1"/>
      <x:c r="K69" s="1"/>
    </x:row>
    <x:row r="70" ht="18" customHeight="1">
      <x:c r="A70" s="1"/>
      <x:c r="B70" s="1"/>
      <x:c r="C70" s="1" t="str">
        <x:v>Closing debt</x:v>
      </x:c>
      <x:c r="D70" s="2"/>
      <x:c r="E70" s="8" t="n">
        <x:f>$D36+E31-E32</x:f>
        <x:v>810</x:v>
      </x:c>
      <x:c r="F70" s="8" t="n">
        <x:f>E70+F31-F32</x:f>
        <x:v>720</x:v>
      </x:c>
      <x:c r="G70" s="8" t="n">
        <x:f>F70+G31-G32</x:f>
        <x:v>630</x:v>
      </x:c>
      <x:c r="H70" s="8" t="n">
        <x:f>G70+H31-H32</x:f>
        <x:v>540</x:v>
      </x:c>
      <x:c r="I70" s="8" t="n">
        <x:f>H70+I31-I32</x:f>
        <x:v>450</x:v>
      </x:c>
      <x:c r="J70" s="1"/>
      <x:c r="K70" s="1"/>
    </x:row>
    <x:row r="71" ht="18" customHeight="1">
      <x:c r="A71" s="1"/>
      <x:c r="B71" s="1"/>
      <x:c r="C71" s="19" t="str">
        <x:v>CASH FLOW AND BALANCE SHEET</x:v>
      </x:c>
      <x:c r="D71" s="20"/>
      <x:c r="E71" s="20"/>
      <x:c r="F71" s="20"/>
      <x:c r="G71" s="20"/>
      <x:c r="H71" s="20"/>
      <x:c r="I71" s="20"/>
      <x:c r="J71" s="1"/>
      <x:c r="K71" s="1"/>
    </x:row>
    <x:row r="72" ht="18" customHeight="1">
      <x:c r="A72" s="1"/>
      <x:c r="B72" s="1"/>
      <x:c r="C72" s="1" t="str">
        <x:v>Operating cash flow after interest</x:v>
      </x:c>
      <x:c r="D72" s="2"/>
      <x:c r="E72" s="8" t="n">
        <x:f>E61+E56-E67</x:f>
        <x:v>294.625</x:v>
      </x:c>
      <x:c r="F72" s="8" t="n">
        <x:f>F61+F56-F67</x:f>
        <x:v>245.97565068493122</x:v>
      </x:c>
      <x:c r="G72" s="8" t="n">
        <x:f>G61+G56-G67</x:f>
        <x:v>303.6477041095895</x:v>
      </x:c>
      <x:c r="H72" s="8" t="n">
        <x:f>H61+H56-H67</x:f>
        <x:v>362.3281073424655</x:v>
      </x:c>
      <x:c r="I72" s="8" t="n">
        <x:f>I61+I56-I67</x:f>
        <x:v>423.76220198136957</x:v>
      </x:c>
      <x:c r="J72" s="1"/>
      <x:c r="K72" s="1"/>
    </x:row>
    <x:row r="73" ht="18" customHeight="1">
      <x:c r="A73" s="1"/>
      <x:c r="B73" s="1"/>
      <x:c r="C73" s="1" t="str">
        <x:v>Dividends</x:v>
      </x:c>
      <x:c r="D73" s="2"/>
      <x:c r="E73" s="8" t="n">
        <x:f>MAX(0,E61)*E33</x:f>
        <x:v>45.65625</x:v>
      </x:c>
      <x:c r="F73" s="8" t="n">
        <x:f>MAX(0,F61)*F33</x:f>
        <x:v>61.25062499999999</x:v>
      </x:c>
      <x:c r="G73" s="8" t="n">
        <x:f>MAX(0,G61)*G33</x:f>
        <x:v>76.77539999999999</x:v>
      </x:c>
      <x:c r="H73" s="8" t="n">
        <x:f>MAX(0,H61)*H33</x:f>
        <x:v>92.701791</x:v>
      </x:c>
      <x:c r="I73" s="8" t="n">
        <x:f>MAX(0,I61)*I33</x:f>
        <x:v>109.42186103999994</x:v>
      </x:c>
      <x:c r="J73" s="1"/>
      <x:c r="K73" s="1"/>
    </x:row>
    <x:row r="74" ht="18" customHeight="1">
      <x:c r="A74" s="1"/>
      <x:c r="B74" s="1"/>
      <x:c r="C74" s="1" t="str">
        <x:v>Change in cash</x:v>
      </x:c>
      <x:c r="D74" s="2"/>
      <x:c r="E74" s="8" t="n">
        <x:f>E72-E68+E31-E32-E73</x:f>
        <x:v>68.96875</x:v>
      </x:c>
      <x:c r="F74" s="8" t="n">
        <x:f>F72-F68+F31-F32-F73</x:f>
        <x:v>-10.274974315068768</x:v>
      </x:c>
      <x:c r="G74" s="8" t="n">
        <x:f>G72-G68+G31-G32-G73</x:f>
        <x:v>16.3323041095895</x:v>
      </x:c>
      <x:c r="H74" s="8" t="n">
        <x:f>H72-H68+H31-H32-H73</x:f>
        <x:v>42.56351634246546</x:v>
      </x:c>
      <x:c r="I74" s="8" t="n">
        <x:f>I72-I68+I31-I32-I73</x:f>
        <x:v>69.38940494136956</x:v>
      </x:c>
      <x:c r="J74" s="1"/>
      <x:c r="K74" s="1"/>
    </x:row>
    <x:row r="75" ht="18" customHeight="1">
      <x:c r="A75" s="1"/>
      <x:c r="B75" s="1"/>
      <x:c r="C75" s="1" t="str">
        <x:v>Closing cash / (funding gap)</x:v>
      </x:c>
      <x:c r="D75" s="2"/>
      <x:c r="E75" s="8" t="n">
        <x:f>$D37+E74</x:f>
        <x:v>418.96875</x:v>
      </x:c>
      <x:c r="F75" s="8" t="n">
        <x:f>E75+F74</x:f>
        <x:v>408.6937756849312</x:v>
      </x:c>
      <x:c r="G75" s="8" t="n">
        <x:f>F75+G74</x:f>
        <x:v>425.0260797945207</x:v>
      </x:c>
      <x:c r="H75" s="8" t="n">
        <x:f>G75+H74</x:f>
        <x:v>467.58959613698613</x:v>
      </x:c>
      <x:c r="I75" s="8" t="n">
        <x:f>H75+I74</x:f>
        <x:v>536.9790010783557</x:v>
      </x:c>
      <x:c r="J75" s="1"/>
      <x:c r="K75" s="1"/>
    </x:row>
    <x:row r="76" ht="18" customHeight="1">
      <x:c r="A76" s="1"/>
      <x:c r="B76" s="1"/>
      <x:c r="C76" s="38" t="str">
        <x:v>Closing book equity</x:v>
      </x:c>
      <x:c r="D76" s="39"/>
      <x:c r="E76" s="41" t="n">
        <x:f>$D35+$D38+$D37-$D36+E61-E73</x:f>
        <x:v>932.0098458904108</x:v>
      </x:c>
      <x:c r="F76" s="41" t="n">
        <x:f>E76+F61-F73</x:f>
        <x:v>1115.761720890411</x:v>
      </x:c>
      <x:c r="G76" s="41" t="n">
        <x:f>F76+G61-G73</x:f>
        <x:v>1346.087920890411</x:v>
      </x:c>
      <x:c r="H76" s="41" t="n">
        <x:f>G76+H61-H73</x:f>
        <x:v>1624.193293890411</x:v>
      </x:c>
      <x:c r="I76" s="41" t="n">
        <x:f>H76+I61-I73</x:f>
        <x:v>1952.458877010411</x:v>
      </x:c>
      <x:c r="J76" s="1"/>
      <x:c r="K76" s="1"/>
    </x:row>
    <x:row r="77" ht="18" customHeight="1">
      <x:c r="A77" s="1"/>
      <x:c r="B77" s="1"/>
      <x:c r="C77" s="1" t="str">
        <x:v>Total assets</x:v>
      </x:c>
      <x:c r="D77" s="2"/>
      <x:c r="E77" s="8" t="n">
        <x:f>E75+E63+E64+E69</x:f>
        <x:v>2434.3934075342468</x:v>
      </x:c>
      <x:c r="F77" s="8" t="n">
        <x:f>F75+F63+F64+F69</x:f>
        <x:v>2643.542542808219</x:v>
      </x:c>
      <x:c r="G77" s="8" t="n">
        <x:f>G75+G63+G64+G69</x:f>
        <x:v>2903.4203044520546</x:v>
      </x:c>
      <x:c r="H77" s="8" t="n">
        <x:f>H75+H63+H64+H69</x:f>
        <x:v>3218.6380675890414</x:v>
      </x:c>
      <x:c r="I77" s="8" t="n">
        <x:f>I75+I63+I64+I69</x:f>
        <x:v>3594.519776429589</x:v>
      </x:c>
      <x:c r="J77" s="1"/>
      <x:c r="K77" s="1"/>
    </x:row>
    <x:row r="78" ht="18" customHeight="1">
      <x:c r="A78" s="1"/>
      <x:c r="B78" s="1"/>
      <x:c r="C78" s="1" t="str">
        <x:v>Liabilities and equity</x:v>
      </x:c>
      <x:c r="D78" s="2"/>
      <x:c r="E78" s="8" t="n">
        <x:f>E65+E70+E76</x:f>
        <x:v>2434.3934075342463</x:v>
      </x:c>
      <x:c r="F78" s="8" t="n">
        <x:f>F65+F70+F76</x:f>
        <x:v>2643.542542808219</x:v>
      </x:c>
      <x:c r="G78" s="8" t="n">
        <x:f>G65+G70+G76</x:f>
        <x:v>2903.4203044520546</x:v>
      </x:c>
      <x:c r="H78" s="8" t="n">
        <x:f>H65+H70+H76</x:f>
        <x:v>3218.6380675890414</x:v>
      </x:c>
      <x:c r="I78" s="8" t="n">
        <x:f>I65+I70+I76</x:f>
        <x:v>3594.5197764295895</x:v>
      </x:c>
      <x:c r="J78" s="1"/>
      <x:c r="K78" s="1"/>
    </x:row>
    <x:row r="79" ht="18" customHeight="1">
      <x:c r="A79" s="1"/>
      <x:c r="B79" s="1"/>
      <x:c r="C79" s="1" t="str">
        <x:v>Unlevered operating profit after tax</x:v>
      </x:c>
      <x:c r="D79" s="2"/>
      <x:c r="E79" s="8" t="n">
        <x:f>E57-MAX(0,E57)*E29</x:f>
        <x:v>240</x:v>
      </x:c>
      <x:c r="F79" s="8" t="n">
        <x:f>F57-MAX(0,F57)*F29</x:f>
        <x:v>296.64</x:v>
      </x:c>
      <x:c r="G79" s="8" t="n">
        <x:f>G57-MAX(0,G57)*G29</x:f>
        <x:v>353.0016</x:v>
      </x:c>
      <x:c r="H79" s="8" t="n">
        <x:f>H57-MAX(0,H57)*H29</x:f>
        <x:v>410.969664</x:v>
      </x:c>
      <x:c r="I79" s="8" t="n">
        <x:f>I57-MAX(0,I57)*I29</x:f>
        <x:v>472.11244415999977</x:v>
      </x:c>
      <x:c r="J79" s="1"/>
      <x:c r="K79" s="1"/>
    </x:row>
    <x:row r="80" ht="18" customHeight="1">
      <x:c r="A80" s="1"/>
      <x:c r="B80" s="1"/>
      <x:c r="C80" s="38" t="str">
        <x:v>Free cash flow to firm</x:v>
      </x:c>
      <x:c r="D80" s="39"/>
      <x:c r="E80" s="41" t="n">
        <x:f>E79+E56-E68-E67</x:f>
        <x:v>262</x:v>
      </x:c>
      <x:c r="F80" s="41" t="n">
        <x:f>F79+F56-F68-F67</x:f>
        <x:v>192.61315068493127</x:v>
      </x:c>
      <x:c r="G80" s="41" t="n">
        <x:f>G79+G56-G68-G67</x:f>
        <x:v>229.00770410958955</x:v>
      </x:c>
      <x:c r="H80" s="41" t="n">
        <x:f>H79+H56-H68-H67</x:f>
        <x:v>265.4278073424655</x:v>
      </x:c>
      <x:c r="I80" s="41" t="n">
        <x:f>I79+I56-I68-I67</x:f>
        <x:v>303.23626598136946</x:v>
      </x:c>
      <x:c r="J80" s="1"/>
      <x:c r="K80" s="1"/>
    </x:row>
    <x:row r="81" ht="18" customHeight="1">
      <x:c r="A81" s="1"/>
      <x:c r="B81" s="1"/>
      <x:c r="C81" s="19" t="str">
        <x:v>SECTOR KPIs AND RETURN METRICS</x:v>
      </x:c>
      <x:c r="D81" s="20"/>
      <x:c r="E81" s="20"/>
      <x:c r="F81" s="20"/>
      <x:c r="G81" s="20"/>
      <x:c r="H81" s="20"/>
      <x:c r="I81" s="20"/>
      <x:c r="J81" s="1"/>
      <x:c r="K81" s="1"/>
    </x:row>
    <x:row r="82" ht="18" customHeight="1">
      <x:c r="A82" s="1"/>
      <x:c r="B82" s="1"/>
      <x:c r="C82" s="23" t="str">
        <x:v>Gross margin</x:v>
      </x:c>
      <x:c r="D82" s="24"/>
      <x:c r="E82" s="35" t="n">
        <x:f>E53/E49</x:f>
        <x:v>0.22</x:v>
      </x:c>
      <x:c r="F82" s="35" t="n">
        <x:f>F53/F49</x:f>
        <x:v>0.22</x:v>
      </x:c>
      <x:c r="G82" s="35" t="n">
        <x:f>G53/G49</x:f>
        <x:v>0.22000000000000003</x:v>
      </x:c>
      <x:c r="H82" s="35" t="n">
        <x:f>H53/H49</x:f>
        <x:v>0.21999999999999997</x:v>
      </x:c>
      <x:c r="I82" s="35" t="n">
        <x:f>I53/I49</x:f>
        <x:v>0.21999999999999995</x:v>
      </x:c>
      <x:c r="J82" s="1"/>
      <x:c r="K82" s="1"/>
    </x:row>
    <x:row r="83" ht="18" customHeight="1">
      <x:c r="A83" s="1"/>
      <x:c r="B83" s="1"/>
      <x:c r="C83" s="23" t="str">
        <x:v>EBITDA margin</x:v>
      </x:c>
      <x:c r="D83" s="24"/>
      <x:c r="E83" s="35" t="n">
        <x:f>E55/E49</x:f>
        <x:v>0.12</x:v>
      </x:c>
      <x:c r="F83" s="35" t="n">
        <x:f>F55/F49</x:f>
        <x:v>0.12</x:v>
      </x:c>
      <x:c r="G83" s="35" t="n">
        <x:f>G55/G49</x:f>
        <x:v>0.12000000000000001</x:v>
      </x:c>
      <x:c r="H83" s="35" t="n">
        <x:f>H55/H49</x:f>
        <x:v>0.11999999999999998</x:v>
      </x:c>
      <x:c r="I83" s="35" t="n">
        <x:f>I55/I49</x:f>
        <x:v>0.11999999999999993</x:v>
      </x:c>
      <x:c r="J83" s="1"/>
      <x:c r="K83" s="1"/>
    </x:row>
    <x:row r="84" ht="18" customHeight="1">
      <x:c r="A84" s="1"/>
      <x:c r="B84" s="1"/>
      <x:c r="C84" s="23" t="str">
        <x:v>Net margin</x:v>
      </x:c>
      <x:c r="D84" s="24"/>
      <x:c r="E84" s="35" t="n">
        <x:f>E61/E49</x:f>
        <x:v>0.050729166666666665</x:v>
      </x:c>
      <x:c r="F84" s="35" t="n">
        <x:f>F61/F49</x:f>
        <x:v>0.058333928571428564</x:v>
      </x:c>
      <x:c r="G84" s="35" t="n">
        <x:f>G61/G49</x:f>
        <x:v>0.06369288203086113</x:v>
      </x:c>
      <x:c r="H84" s="35" t="n">
        <x:f>H61/H49</x:f>
        <x:v>0.06763453759882329</x:v>
      </x:c>
      <x:c r="I84" s="35" t="n">
        <x:f>I61/I49</x:f>
        <x:v>0.070617102332315</x:v>
      </x:c>
      <x:c r="J84" s="1"/>
      <x:c r="K84" s="1"/>
    </x:row>
    <x:row r="85" ht="18" customHeight="1">
      <x:c r="A85" s="1"/>
      <x:c r="B85" s="1"/>
      <x:c r="C85" s="23" t="str">
        <x:v>Operating cash conversion</x:v>
      </x:c>
      <x:c r="D85" s="24"/>
      <x:c r="E85" s="35" t="n">
        <x:f>IF(E55=0,"n.a.",E72/E55)</x:f>
        <x:v>0.6820023148148148</x:v>
      </x:c>
      <x:c r="F85" s="35" t="n">
        <x:f>IF(F55=0,"n.a.",F72/F55)</x:f>
        <x:v>0.48804692596216515</x:v>
      </x:c>
      <x:c r="G85" s="35" t="n">
        <x:f>IF(G55=0,"n.a.",G72/G55)</x:f>
        <x:v>0.5248045325714658</x:v>
      </x:c>
      <x:c r="H85" s="35" t="n">
        <x:f>IF(H55=0,"n.a.",H72/H55)</x:f>
        <x:v>0.5507331118510175</x:v>
      </x:c>
      <x:c r="I85" s="35" t="n">
        <x:f>IF(I55=0,"n.a.",I72/I55)</x:f>
        <x:v>0.5697532029070934</x:v>
      </x:c>
      <x:c r="J85" s="1"/>
      <x:c r="K85" s="1"/>
    </x:row>
    <x:row r="86" ht="18" customHeight="1">
      <x:c r="A86" s="1"/>
      <x:c r="B86" s="1"/>
      <x:c r="C86" s="1" t="str">
        <x:v>Cash conversion cycle (days)</x:v>
      </x:c>
      <x:c r="D86" s="2"/>
      <x:c r="E86" s="8" t="n">
        <x:f>E26+E27-E28</x:f>
        <x:v>50</x:v>
      </x:c>
      <x:c r="F86" s="8" t="n">
        <x:f>F26+F27-F28</x:f>
        <x:v>50</x:v>
      </x:c>
      <x:c r="G86" s="8" t="n">
        <x:f>G26+G27-G28</x:f>
        <x:v>50</x:v>
      </x:c>
      <x:c r="H86" s="8" t="n">
        <x:f>H26+H27-H28</x:f>
        <x:v>50</x:v>
      </x:c>
      <x:c r="I86" s="8" t="n">
        <x:f>I26+I27-I28</x:f>
        <x:v>50</x:v>
      </x:c>
      <x:c r="J86" s="1"/>
      <x:c r="K86" s="1"/>
    </x:row>
    <x:row r="87" ht="18" customHeight="1">
      <x:c r="A87" s="1"/>
      <x:c r="B87" s="1"/>
      <x:c r="C87" s="23" t="str">
        <x:v>Net debt / EBITDA</x:v>
      </x:c>
      <x:c r="D87" s="32"/>
      <x:c r="E87" s="61" t="n">
        <x:f>IF(E55&lt;=0,"n.a.",(E70-E75)/E55)</x:f>
        <x:v>0.9051649305555556</x:v>
      </x:c>
      <x:c r="F87" s="61" t="n">
        <x:f>IF(F55&lt;=0,"n.a.",(F70-F75)/F55)</x:f>
        <x:v>0.6176710799902159</x:v>
      </x:c>
      <x:c r="G87" s="61" t="n">
        <x:f>IF(G55&lt;=0,"n.a.",(G70-G75)/G55)</x:f>
        <x:v>0.35426331543726725</x:v>
      </x:c>
      <x:c r="H87" s="61" t="n">
        <x:f>IF(H55&lt;=0,"n.a.",(H70-H75)/H55)</x:f>
        <x:v>0.11006269246502008</x:v>
      </x:c>
      <x:c r="I87" s="61" t="n">
        <x:f>IF(I55&lt;=0,"n.a.",(I70-I75)/I55)</x:f>
        <x:v>-0.1169442772817936</x:v>
      </x:c>
      <x:c r="J87" s="1"/>
      <x:c r="K87" s="1"/>
    </x:row>
    <x:row r="88" ht="18" customHeight="1">
      <x:c r="A88" s="1"/>
      <x:c r="B88" s="1"/>
      <x:c r="C88" s="23" t="str">
        <x:v>EBIT / interest</x:v>
      </x:c>
      <x:c r="D88" s="32"/>
      <x:c r="E88" s="61" t="n">
        <x:f>IF(E58=0,"n.a.",E57/E58)</x:f>
        <x:v>4.183006535947713</x:v>
      </x:c>
      <x:c r="F88" s="61" t="n">
        <x:f>IF(F58=0,"n.a.",F57/F58)</x:f>
        <x:v>5.7446623093681906</x:v>
      </x:c>
      <x:c r="G88" s="61" t="n">
        <x:f>IF(G58=0,"n.a.",G57/G58)</x:f>
        <x:v>7.690666666666666</x:v>
      </x:c>
      <x:c r="H88" s="61" t="n">
        <x:f>IF(H58=0,"n.a.",H57/H58)</x:f>
        <x:v>10.232671372549019</x:v>
      </x:c>
      <x:c r="I88" s="61" t="n">
        <x:f>IF(I58=0,"n.a.",I57/I58)</x:f>
        <x:v>13.714232219607833</x:v>
      </x:c>
      <x:c r="J88" s="1"/>
      <x:c r="K88" s="1"/>
    </x:row>
    <x:row r="89" ht="18" customHeight="1">
      <x:c r="A89" s="1"/>
      <x:c r="B89" s="1"/>
      <x:c r="C89" s="23" t="str">
        <x:v>ROIC on average invested capital</x:v>
      </x:c>
      <x:c r="D89" s="24"/>
      <x:c r="E89" s="35" t="n">
        <x:f>E79/(($D35+$D38+E69+E66)/2)</x:f>
        <x:v>0.17990450274682962</x:v>
      </x:c>
      <x:c r="F89" s="35" t="n">
        <x:f>F79/((E69+E66+F69+F66)/2)</x:f>
        <x:v>0.21572962785635</x:v>
      </x:c>
      <x:c r="G89" s="35" t="n">
        <x:f>G79/((F69+F66+G69+G66)/2)</x:f>
        <x:v>0.23706260326444903</x:v>
      </x:c>
      <x:c r="H89" s="35" t="n">
        <x:f>H79/((G69+G66+H69+H66)/2)</x:f>
        <x:v>0.2530861993538973</x:v>
      </x:c>
      <x:c r="I89" s="35" t="n">
        <x:f>I79/((H69+H66+I69+I66)/2)</x:f>
        <x:v>0.26507656790968137</x:v>
      </x:c>
      <x:c r="J89" s="1"/>
      <x:c r="K89" s="1"/>
    </x:row>
    <x:row r="90" ht="18" customHeight="1">
      <x:c r="A90" s="1"/>
      <x:c r="B90" s="1"/>
      <x:c r="C90" s="23" t="str">
        <x:v>Closing order book / revenue</x:v>
      </x:c>
      <x:c r="D90" s="32"/>
      <x:c r="E90" s="61" t="n">
        <x:f>E50/E49</x:f>
        <x:v>3.888888888888889</x:v>
      </x:c>
      <x:c r="F90" s="61" t="n">
        <x:f>F50/F49</x:f>
        <x:v>3.8266666666666667</x:v>
      </x:c>
      <x:c r="G90" s="61" t="n">
        <x:f>G50/G49</x:f>
        <x:v>3.7902439024390255</x:v>
      </x:c>
      <x:c r="H90" s="61" t="n">
        <x:f>H50/H49</x:f>
        <x:v>3.7683683683683684</x:v>
      </x:c>
      <x:c r="I90" s="61" t="n">
        <x:f>I50/I49</x:f>
        <x:v>3.7550266517912494</x:v>
      </x:c>
      <x:c r="J90" s="1"/>
      <x:c r="K90" s="1"/>
    </x:row>
    <x:row r="91" ht="18" customHeight="1">
      <x:c r="A91" s="1"/>
      <x:c r="B91" s="1"/>
      <x:c r="C91" s="23" t="str">
        <x:v>Book-to-bill ratio</x:v>
      </x:c>
      <x:c r="D91" s="32"/>
      <x:c r="E91" s="61" t="n">
        <x:f>E47/E49</x:f>
        <x:v>1.5555555555555558</x:v>
      </x:c>
      <x:c r="F91" s="61" t="n">
        <x:f>F47/F49</x:f>
        <x:v>1.4933333333333338</x:v>
      </x:c>
      <x:c r="G91" s="61" t="n">
        <x:f>G47/G49</x:f>
        <x:v>1.4569105691056918</x:v>
      </x:c>
      <x:c r="H91" s="61" t="n">
        <x:f>H47/H49</x:f>
        <x:v>1.4350350350350354</x:v>
      </x:c>
      <x:c r="I91" s="61" t="n">
        <x:f>I47/I49</x:f>
        <x:v>1.4216933184579155</x:v>
      </x:c>
      <x:c r="J91" s="1"/>
      <x:c r="K91" s="1"/>
    </x:row>
    <x:row r="92" ht="18" customHeight="1">
      <x:c r="A92" s="1"/>
      <x:c r="B92" s="1"/>
      <x:c r="C92" s="19" t="str">
        <x:v>VALUATION AT 31 MARCH 2026</x:v>
      </x:c>
      <x:c r="D92" s="20"/>
      <x:c r="E92" s="20"/>
      <x:c r="F92" s="20"/>
      <x:c r="G92" s="20"/>
      <x:c r="H92" s="20"/>
      <x:c r="I92" s="20"/>
      <x:c r="J92" s="1"/>
      <x:c r="K92" s="1"/>
    </x:row>
    <x:row r="93" ht="18" customHeight="1">
      <x:c r="A93" s="1"/>
      <x:c r="B93" s="1"/>
      <x:c r="C93" s="1" t="str">
        <x:v>PV of annual FCFF</x:v>
      </x:c>
      <x:c r="D93" s="2"/>
      <x:c r="E93" s="8" t="n">
        <x:f>E80/(1+$D40)^1</x:f>
        <x:v>233.92857142857142</x:v>
      </x:c>
      <x:c r="F93" s="8" t="n">
        <x:f>F80/(1+$D40)^2</x:f>
        <x:v>153.5500244618393</x:v>
      </x:c>
      <x:c r="G93" s="8" t="n">
        <x:f>G80/(1+$D40)^3</x:f>
        <x:v>163.00316038230392</x:v>
      </x:c>
      <x:c r="H93" s="8" t="n">
        <x:f>H80/(1+$D40)^4</x:f>
        <x:v>168.6841700774914</x:v>
      </x:c>
      <x:c r="I93" s="8" t="n">
        <x:f>I80/(1+$D40)^5</x:f>
        <x:v>172.0644009456573</x:v>
      </x:c>
      <x:c r="J93" s="1"/>
      <x:c r="K93" s="1"/>
    </x:row>
    <x:row r="94" ht="18" customHeight="1">
      <x:c r="A94" s="1"/>
      <x:c r="B94" s="1"/>
      <x:c r="C94" s="1" t="str">
        <x:v>Normalized terminal FCFF</x:v>
      </x:c>
      <x:c r="D94" s="2"/>
      <x:c r="E94" s="8" t="n">
        <x:f>I79*(1+$D41)*(1-$D41/$D42)</x:f>
        <x:v>360.06442407935987</x:v>
      </x:c>
      <x:c r="F94" s="2"/>
      <x:c r="G94" s="2"/>
      <x:c r="H94" s="2"/>
      <x:c r="I94" s="2"/>
      <x:c r="J94" s="1"/>
      <x:c r="K94" s="1" t="str">
        <x:v>Terminal reinvestment = terminal NOPAT × growth / incremental ROIC.</x:v>
      </x:c>
    </x:row>
    <x:row r="95" ht="18" customHeight="1">
      <x:c r="A95" s="1"/>
      <x:c r="B95" s="1"/>
      <x:c r="C95" s="1" t="str">
        <x:v>Terminal enterprise value</x:v>
      </x:c>
      <x:c r="D95" s="2"/>
      <x:c r="E95" s="8" t="n">
        <x:f>IF($D40&lt;=$D41,NA(),E94/($D40-$D41))</x:f>
        <x:v>4500.805300991999</x:v>
      </x:c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 t="str">
        <x:v>DCF enterprise value</x:v>
      </x:c>
      <x:c r="D96" s="2"/>
      <x:c r="E96" s="8" t="n">
        <x:f>SUM(E93:I93)+E95/(1+$D40)^5</x:f>
        <x:v>3445.1081274393564</x:v>
      </x:c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38" t="str">
        <x:v>DCF equity value</x:v>
      </x:c>
      <x:c r="D97" s="39"/>
      <x:c r="E97" s="41" t="n">
        <x:f>E96-$D36+$D37</x:f>
        <x:v>2895.1081274393564</x:v>
      </x:c>
      <x:c r="F97" s="39"/>
      <x:c r="G97" s="39"/>
      <x:c r="H97" s="39"/>
      <x:c r="I97" s="39"/>
      <x:c r="J97" s="1"/>
      <x:c r="K97" s="1"/>
    </x:row>
    <x:row r="98" ht="18" customHeight="1">
      <x:c r="A98" s="1"/>
      <x:c r="B98" s="1"/>
      <x:c r="C98" s="1" t="str">
        <x:v>DCF value per share (INR)</x:v>
      </x:c>
      <x:c r="D98" s="33"/>
      <x:c r="E98" s="34" t="n">
        <x:f>E97/$D39</x:f>
        <x:v>28.951081274393562</x:v>
      </x:c>
      <x:c r="F98" s="33"/>
      <x:c r="G98" s="33"/>
      <x:c r="H98" s="33"/>
      <x:c r="I98" s="33"/>
      <x:c r="J98" s="1"/>
      <x:c r="K98" s="1"/>
    </x:row>
    <x:row r="99" ht="18" customHeight="1">
      <x:c r="A99" s="1"/>
      <x:c r="B99" s="1"/>
      <x:c r="C99" s="1" t="str">
        <x:v>Forward multiple enterprise value</x:v>
      </x:c>
      <x:c r="D99" s="2"/>
      <x:c r="E99" s="8" t="n">
        <x:f>E55*$D43</x:f>
        <x:v>4752</x:v>
      </x:c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 t="str">
        <x:v>Forward multiple equity value</x:v>
      </x:c>
      <x:c r="D100" s="2"/>
      <x:c r="E100" s="8" t="n">
        <x:f>E99-$D36+$D37</x:f>
        <x:v>4202</x:v>
      </x:c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23" t="str">
        <x:v>Terminal value / DCF enterprise value</x:v>
      </x:c>
      <x:c r="D101" s="24"/>
      <x:c r="E101" s="35" t="n">
        <x:f>(E95/(1+$D40)^5)/E96</x:f>
        <x:v>0.741305557234197</x:v>
      </x:c>
      <x:c r="F101" s="24"/>
      <x:c r="G101" s="24"/>
      <x:c r="H101" s="24"/>
      <x:c r="I101" s="24"/>
      <x:c r="J101" s="1"/>
      <x:c r="K101" s="1"/>
    </x:row>
    <x:row r="102" ht="18" customHeight="1">
      <x:c r="A102" s="1"/>
      <x:c r="B102" s="1"/>
      <x:c r="C102" s="19" t="str">
        <x:v>MODEL CHECKS</x:v>
      </x:c>
      <x:c r="D102" s="20"/>
      <x:c r="E102" s="20"/>
      <x:c r="F102" s="20"/>
      <x:c r="G102" s="20"/>
      <x:c r="H102" s="20"/>
      <x:c r="I102" s="20"/>
      <x:c r="J102" s="1"/>
      <x:c r="K102" s="1"/>
    </x:row>
    <x:row r="103" ht="18" customHeight="1">
      <x:c r="A103" s="1"/>
      <x:c r="B103" s="1"/>
      <x:c r="C103" s="1" t="str">
        <x:v>Assets less liabilities and equity</x:v>
      </x:c>
      <x:c r="D103" s="33"/>
      <x:c r="E103" s="34" t="n">
        <x:f>E77-E78</x:f>
        <x:v>4.547473508864641e-13</x:v>
      </x:c>
      <x:c r="F103" s="34" t="n">
        <x:f>F77-F78</x:f>
        <x:v>0</x:v>
      </x:c>
      <x:c r="G103" s="34" t="n">
        <x:f>G77-G78</x:f>
        <x:v>0</x:v>
      </x:c>
      <x:c r="H103" s="34" t="n">
        <x:f>H77-H78</x:f>
        <x:v>0</x:v>
      </x:c>
      <x:c r="I103" s="34" t="n">
        <x:f>I77-I78</x:f>
        <x:v>-4.547473508864641e-13</x:v>
      </x:c>
      <x:c r="J103" s="1"/>
      <x:c r="K103" s="1"/>
    </x:row>
    <x:row r="104" ht="18" customHeight="1">
      <x:c r="A104" s="1"/>
      <x:c r="B104" s="1"/>
      <x:c r="C104" s="1" t="str">
        <x:v>Cash funding shortfall</x:v>
      </x:c>
      <x:c r="D104" s="33"/>
      <x:c r="E104" s="34" t="n">
        <x:f>MAX(0,-E75)</x:f>
        <x:v>0</x:v>
      </x:c>
      <x:c r="F104" s="34" t="n">
        <x:f>MAX(0,-F75)</x:f>
        <x:v>0</x:v>
      </x:c>
      <x:c r="G104" s="34" t="n">
        <x:f>MAX(0,-G75)</x:f>
        <x:v>0</x:v>
      </x:c>
      <x:c r="H104" s="34" t="n">
        <x:f>MAX(0,-H75)</x:f>
        <x:v>0</x:v>
      </x:c>
      <x:c r="I104" s="34" t="n">
        <x:f>MAX(0,-I75)</x:f>
        <x:v>0</x:v>
      </x:c>
      <x:c r="J104" s="1"/>
      <x:c r="K104" s="1"/>
    </x:row>
    <x:row r="105" ht="18" customHeight="1">
      <x:c r="A105" s="1"/>
      <x:c r="B105" s="1"/>
      <x:c r="C105" s="1" t="str">
        <x:v>Debt below zero</x:v>
      </x:c>
      <x:c r="D105" s="33"/>
      <x:c r="E105" s="34" t="n">
        <x:f>MAX(0,-E70)</x:f>
        <x:v>0</x:v>
      </x:c>
      <x:c r="F105" s="34" t="n">
        <x:f>MAX(0,-F70)</x:f>
        <x:v>0</x:v>
      </x:c>
      <x:c r="G105" s="34" t="n">
        <x:f>MAX(0,-G70)</x:f>
        <x:v>0</x:v>
      </x:c>
      <x:c r="H105" s="34" t="n">
        <x:f>MAX(0,-H70)</x:f>
        <x:v>0</x:v>
      </x:c>
      <x:c r="I105" s="34" t="n">
        <x:f>MAX(0,-I70)</x:f>
        <x:v>0</x:v>
      </x:c>
      <x:c r="J105" s="1"/>
      <x:c r="K105" s="1"/>
    </x:row>
    <x:row r="106" ht="18" customHeight="1">
      <x:c r="A106" s="1"/>
      <x:c r="B106" s="1"/>
      <x:c r="C106" s="1" t="str">
        <x:v>Utilization above 100%</x:v>
      </x:c>
      <x:c r="D106" s="33"/>
      <x:c r="E106" s="34" t="n">
        <x:f>MAX(0,E20-1)</x:f>
        <x:v>0</x:v>
      </x:c>
      <x:c r="F106" s="34" t="n">
        <x:f>MAX(0,F20-1)</x:f>
        <x:v>0</x:v>
      </x:c>
      <x:c r="G106" s="34" t="n">
        <x:f>MAX(0,G20-1)</x:f>
        <x:v>0</x:v>
      </x:c>
      <x:c r="H106" s="34" t="n">
        <x:f>MAX(0,H20-1)</x:f>
        <x:v>0</x:v>
      </x:c>
      <x:c r="I106" s="34" t="n">
        <x:f>MAX(0,I20-1)</x:f>
        <x:v>0</x:v>
      </x:c>
      <x:c r="J106" s="1"/>
      <x:c r="K106" s="1"/>
    </x:row>
    <x:row r="107" ht="18" customHeight="1">
      <x:c r="A107" s="1"/>
      <x:c r="B107" s="1"/>
      <x:c r="C107" s="1" t="str">
        <x:v>Net PP&amp;E below zero</x:v>
      </x:c>
      <x:c r="D107" s="33"/>
      <x:c r="E107" s="34" t="n">
        <x:f>MAX(0,-E69)</x:f>
        <x:v>0</x:v>
      </x:c>
      <x:c r="F107" s="34" t="n">
        <x:f>MAX(0,-F69)</x:f>
        <x:v>0</x:v>
      </x:c>
      <x:c r="G107" s="34" t="n">
        <x:f>MAX(0,-G69)</x:f>
        <x:v>0</x:v>
      </x:c>
      <x:c r="H107" s="34" t="n">
        <x:f>MAX(0,-H69)</x:f>
        <x:v>0</x:v>
      </x:c>
      <x:c r="I107" s="34" t="n">
        <x:f>MAX(0,-I69)</x:f>
        <x:v>0</x:v>
      </x:c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103:I103">
    <x:cfRule type="expression" dxfId="55" priority="1">
      <x:formula>ABS(E103)&gt;0.01</x:formula>
    </x:cfRule>
  </x:conditionalFormatting>
  <x:conditionalFormatting sqref="E104:I104">
    <x:cfRule type="expression" dxfId="56" priority="2">
      <x:formula>ABS(E104)&gt;0.01</x:formula>
    </x:cfRule>
  </x:conditionalFormatting>
  <x:conditionalFormatting sqref="E105:I105">
    <x:cfRule type="expression" dxfId="57" priority="3">
      <x:formula>ABS(E105)&gt;0.01</x:formula>
    </x:cfRule>
  </x:conditionalFormatting>
  <x:conditionalFormatting sqref="E106:I106">
    <x:cfRule type="expression" dxfId="58" priority="4">
      <x:formula>ABS(E106)&gt;0.01</x:formula>
    </x:cfRule>
  </x:conditionalFormatting>
  <x:conditionalFormatting sqref="E107:I107">
    <x:cfRule type="expression" dxfId="59" priority="5">
      <x:formula>ABS(E107)&gt;0.01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Banking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LENDING, FUNDING AND CREDIT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Opening gross loans</x:v>
      </x:c>
      <x:c r="D10" s="7" t="n">
        <x:v>100000</x:v>
      </x:c>
      <x:c r="E10" s="2"/>
      <x:c r="F10" s="2"/>
      <x:c r="G10" s="2"/>
      <x:c r="H10" s="2"/>
      <x:c r="I10" s="2"/>
      <x:c r="J10" s="1"/>
      <x:c r="K10" s="1" t="str">
        <x:v>All inputs are illustrative. No bank, NBFC or reported regulatory ratio is represented.</x:v>
      </x:c>
    </x:row>
    <x:row r="11" ht="18" customHeight="1">
      <x:c r="A11" s="1"/>
      <x:c r="B11" s="1"/>
      <x:c r="C11" s="1" t="str">
        <x:v>Opening deposits</x:v>
      </x:c>
      <x:c r="D11" s="7" t="n">
        <x:v>120000</x:v>
      </x:c>
      <x:c r="E11" s="2"/>
      <x:c r="F11" s="2"/>
      <x:c r="G11" s="2"/>
      <x:c r="H11" s="2"/>
      <x:c r="I11" s="2"/>
      <x:c r="J11" s="1"/>
      <x:c r="K11" s="1" t="str">
        <x:v>Closing gross-loan growth is after recoveries and write-offs. Disbursements are not separately forecast.</x:v>
      </x:c>
    </x:row>
    <x:row r="12" ht="18" customHeight="1">
      <x:c r="A12" s="1"/>
      <x:c r="B12" s="1"/>
      <x:c r="C12" s="1" t="str">
        <x:v>Opening investment assets</x:v>
      </x:c>
      <x:c r="D12" s="7" t="n">
        <x:v>30000</x:v>
      </x:c>
      <x:c r="E12" s="2"/>
      <x:c r="F12" s="2"/>
      <x:c r="G12" s="2"/>
      <x:c r="H12" s="2"/>
      <x:c r="I12" s="2"/>
      <x:c r="J12" s="1"/>
      <x:c r="K12" s="1" t="str">
        <x:v>Simplified spread, credit-loss and liquidity model. No full regulatory cash-flow or ALM statement.</x:v>
      </x:c>
    </x:row>
    <x:row r="13" ht="18" customHeight="1">
      <x:c r="A13" s="1"/>
      <x:c r="B13" s="1"/>
      <x:c r="C13" s="1" t="str">
        <x:v>Opening equity</x:v>
      </x:c>
      <x:c r="D13" s="7" t="n">
        <x:v>15000</x:v>
      </x:c>
      <x:c r="E13" s="2"/>
      <x:c r="F13" s="2"/>
      <x:c r="G13" s="2"/>
      <x:c r="H13" s="2"/>
      <x:c r="I13" s="2"/>
      <x:c r="J13" s="1"/>
      <x:c r="K13" s="1" t="str">
        <x:v>Cash has zero yield. No wholesale bank funding, securitization, derivatives or off-balance-sheet exposures.</x:v>
      </x:c>
    </x:row>
    <x:row r="14" ht="18" customHeight="1">
      <x:c r="A14" s="1"/>
      <x:c r="B14" s="1"/>
      <x:c r="C14" s="1" t="str">
        <x:v>Opening credit-loss allowance</x:v>
      </x:c>
      <x:c r="D14" s="7" t="n">
        <x:v>1500</x:v>
      </x:c>
      <x:c r="E14" s="2"/>
      <x:c r="F14" s="2"/>
      <x:c r="G14" s="2"/>
      <x:c r="H14" s="2"/>
      <x:c r="I14" s="2"/>
      <x:c r="J14" s="1"/>
      <x:c r="K14" s="1"/>
    </x:row>
    <x:row r="15" ht="18" customHeight="1">
      <x:c r="A15" s="1"/>
      <x:c r="B15" s="1"/>
      <x:c r="C15" s="1" t="str">
        <x:v>Opening gross non-performing loans</x:v>
      </x:c>
      <x:c r="D15" s="7" t="n">
        <x:v>2500</x:v>
      </x:c>
      <x:c r="E15" s="2"/>
      <x:c r="F15" s="2"/>
      <x:c r="G15" s="2"/>
      <x:c r="H15" s="2"/>
      <x:c r="I15" s="2"/>
      <x:c r="J15" s="1"/>
      <x:c r="K15" s="1"/>
    </x:row>
    <x:row r="16" ht="18" customHeight="1">
      <x:c r="A16" s="1"/>
      <x:c r="B16" s="1"/>
      <x:c r="C16" s="1" t="str">
        <x:v>Diluted shares (crore)</x:v>
      </x:c>
      <x:c r="D16" s="7" t="n">
        <x:v>100</x:v>
      </x:c>
      <x:c r="E16" s="2"/>
      <x:c r="F16" s="2"/>
      <x:c r="G16" s="2"/>
      <x:c r="H16" s="2"/>
      <x:c r="I16" s="2"/>
      <x:c r="J16" s="1"/>
      <x:c r="K16" s="1"/>
    </x:row>
    <x:row r="17" ht="18" customHeight="1">
      <x:c r="A17" s="1"/>
      <x:c r="B17" s="1"/>
      <x:c r="C17" s="1" t="str">
        <x:v>Forward price / book multiple</x:v>
      </x:c>
      <x:c r="D17" s="55" t="n">
        <x:v>1.8</x:v>
      </x:c>
      <x:c r="E17" s="2"/>
      <x:c r="F17" s="2"/>
      <x:c r="G17" s="2"/>
      <x:c r="H17" s="2"/>
      <x:c r="I17" s="2"/>
      <x:c r="J17" s="1"/>
      <x:c r="K17" s="1"/>
    </x:row>
    <x:row r="18" ht="18" customHeight="1">
      <x:c r="A18" s="1"/>
      <x:c r="B18" s="1"/>
      <x:c r="C18" s="1" t="str">
        <x:v>Forward price / earnings multiple</x:v>
      </x:c>
      <x:c r="D18" s="55" t="n">
        <x:v>13</x:v>
      </x:c>
      <x:c r="E18" s="2"/>
      <x:c r="F18" s="2"/>
      <x:c r="G18" s="2"/>
      <x:c r="H18" s="2"/>
      <x:c r="I18" s="2"/>
      <x:c r="J18" s="1"/>
      <x:c r="K18" s="1"/>
    </x:row>
    <x:row r="19" ht="18" customHeight="1">
      <x:c r="A19" s="1"/>
      <x:c r="B19" s="1"/>
      <x:c r="C19" s="1" t="str">
        <x:v>Cost of equity for one-year discount</x:v>
      </x:c>
      <x:c r="D19" s="25" t="n">
        <x:v>0.14</x:v>
      </x:c>
      <x:c r="E19" s="2"/>
      <x:c r="F19" s="2"/>
      <x:c r="G19" s="2"/>
      <x:c r="H19" s="2"/>
      <x:c r="I19" s="2"/>
      <x:c r="J19" s="1"/>
      <x:c r="K19" s="1"/>
    </x:row>
    <x:row r="20" ht="18" customHeight="1">
      <x:c r="A20" s="1"/>
      <x:c r="B20" s="1"/>
      <x:c r="C20" s="28" t="str">
        <x:v>Loan growth — active</x:v>
      </x:c>
      <x:c r="D20" s="29"/>
      <x:c r="E20" s="30" t="n">
        <x:f>IF(COUNT(INDEX(E21:E23,'Controls'!$E$5))=0,NA(),INDEX(E21:E23,'Controls'!$E$5))</x:f>
        <x:v>0.13</x:v>
      </x:c>
      <x:c r="F20" s="30" t="n">
        <x:f>IF(COUNT(INDEX(F21:F23,'Controls'!$E$5))=0,NA(),INDEX(F21:F23,'Controls'!$E$5))</x:f>
        <x:v>0.13</x:v>
      </x:c>
      <x:c r="G20" s="30" t="n">
        <x:f>IF(COUNT(INDEX(G21:G23,'Controls'!$E$5))=0,NA(),INDEX(G21:G23,'Controls'!$E$5))</x:f>
        <x:v>0.13</x:v>
      </x:c>
      <x:c r="H20" s="30" t="n">
        <x:f>IF(COUNT(INDEX(H21:H23,'Controls'!$E$5))=0,NA(),INDEX(H21:H23,'Controls'!$E$5))</x:f>
        <x:v>0.13</x:v>
      </x:c>
      <x:c r="I20" s="30" t="n">
        <x:f>IF(COUNT(INDEX(I21:I23,'Controls'!$E$5))=0,NA(),INDEX(I21:I23,'Controls'!$E$5))</x:f>
        <x:v>0.13</x:v>
      </x:c>
      <x:c r="J20" s="1"/>
      <x:c r="K20" s="1"/>
    </x:row>
    <x:row r="21" ht="18" customHeight="1">
      <x:c r="A21" s="1"/>
      <x:c r="B21" s="1"/>
      <x:c r="C21" s="23" t="str">
        <x:v>Base</x:v>
      </x:c>
      <x:c r="D21" s="24"/>
      <x:c r="E21" s="26" t="n">
        <x:v>0.13</x:v>
      </x:c>
      <x:c r="F21" s="26" t="n">
        <x:v>0.13</x:v>
      </x:c>
      <x:c r="G21" s="26" t="n">
        <x:v>0.13</x:v>
      </x:c>
      <x:c r="H21" s="26" t="n">
        <x:v>0.13</x:v>
      </x:c>
      <x:c r="I21" s="26" t="n">
        <x:v>0.13</x:v>
      </x:c>
      <x:c r="J21" s="1"/>
      <x:c r="K21" s="1"/>
    </x:row>
    <x:row r="22" ht="18" customHeight="1">
      <x:c r="A22" s="1"/>
      <x:c r="B22" s="1"/>
      <x:c r="C22" s="23" t="str">
        <x:v>Downside</x:v>
      </x:c>
      <x:c r="D22" s="24"/>
      <x:c r="E22" s="26" t="n">
        <x:v>0.07</x:v>
      </x:c>
      <x:c r="F22" s="26" t="n">
        <x:v>0.07</x:v>
      </x:c>
      <x:c r="G22" s="26" t="n">
        <x:v>0.07</x:v>
      </x:c>
      <x:c r="H22" s="26" t="n">
        <x:v>0.07</x:v>
      </x:c>
      <x:c r="I22" s="26" t="n">
        <x:v>0.07</x:v>
      </x:c>
      <x:c r="J22" s="1"/>
      <x:c r="K22" s="1"/>
    </x:row>
    <x:row r="23" ht="18" customHeight="1">
      <x:c r="A23" s="1"/>
      <x:c r="B23" s="1"/>
      <x:c r="C23" s="23" t="str">
        <x:v>Upside</x:v>
      </x:c>
      <x:c r="D23" s="24"/>
      <x:c r="E23" s="26" t="n">
        <x:v>0.18</x:v>
      </x:c>
      <x:c r="F23" s="26" t="n">
        <x:v>0.18</x:v>
      </x:c>
      <x:c r="G23" s="26" t="n">
        <x:v>0.18</x:v>
      </x:c>
      <x:c r="H23" s="26" t="n">
        <x:v>0.18</x:v>
      </x:c>
      <x:c r="I23" s="26" t="n">
        <x:v>0.18</x:v>
      </x:c>
      <x:c r="J23" s="1"/>
      <x:c r="K23" s="1"/>
    </x:row>
    <x:row r="24" ht="18" customHeight="1">
      <x:c r="A24" s="1"/>
      <x:c r="B24" s="1"/>
      <x:c r="C24" s="28" t="str">
        <x:v>Credit cost / average gross loans — active</x:v>
      </x:c>
      <x:c r="D24" s="29"/>
      <x:c r="E24" s="30" t="n">
        <x:f>IF(COUNT(INDEX(E25:E27,'Controls'!$E$5))=0,NA(),INDEX(E25:E27,'Controls'!$E$5))</x:f>
        <x:v>0.012</x:v>
      </x:c>
      <x:c r="F24" s="30" t="n">
        <x:f>IF(COUNT(INDEX(F25:F27,'Controls'!$E$5))=0,NA(),INDEX(F25:F27,'Controls'!$E$5))</x:f>
        <x:v>0.012</x:v>
      </x:c>
      <x:c r="G24" s="30" t="n">
        <x:f>IF(COUNT(INDEX(G25:G27,'Controls'!$E$5))=0,NA(),INDEX(G25:G27,'Controls'!$E$5))</x:f>
        <x:v>0.012</x:v>
      </x:c>
      <x:c r="H24" s="30" t="n">
        <x:f>IF(COUNT(INDEX(H25:H27,'Controls'!$E$5))=0,NA(),INDEX(H25:H27,'Controls'!$E$5))</x:f>
        <x:v>0.012</x:v>
      </x:c>
      <x:c r="I24" s="30" t="n">
        <x:f>IF(COUNT(INDEX(I25:I27,'Controls'!$E$5))=0,NA(),INDEX(I25:I27,'Controls'!$E$5))</x:f>
        <x:v>0.012</x:v>
      </x:c>
      <x:c r="J24" s="1"/>
      <x:c r="K24" s="1"/>
    </x:row>
    <x:row r="25" ht="18" customHeight="1">
      <x:c r="A25" s="1"/>
      <x:c r="B25" s="1"/>
      <x:c r="C25" s="23" t="str">
        <x:v>Base</x:v>
      </x:c>
      <x:c r="D25" s="24"/>
      <x:c r="E25" s="26" t="n">
        <x:v>0.012</x:v>
      </x:c>
      <x:c r="F25" s="26" t="n">
        <x:v>0.012</x:v>
      </x:c>
      <x:c r="G25" s="26" t="n">
        <x:v>0.012</x:v>
      </x:c>
      <x:c r="H25" s="26" t="n">
        <x:v>0.012</x:v>
      </x:c>
      <x:c r="I25" s="26" t="n">
        <x:v>0.012</x:v>
      </x:c>
      <x:c r="J25" s="1"/>
      <x:c r="K25" s="1"/>
    </x:row>
    <x:row r="26" ht="18" customHeight="1">
      <x:c r="A26" s="1"/>
      <x:c r="B26" s="1"/>
      <x:c r="C26" s="23" t="str">
        <x:v>Downside</x:v>
      </x:c>
      <x:c r="D26" s="24"/>
      <x:c r="E26" s="26" t="n">
        <x:v>0.022</x:v>
      </x:c>
      <x:c r="F26" s="26" t="n">
        <x:v>0.022</x:v>
      </x:c>
      <x:c r="G26" s="26" t="n">
        <x:v>0.022</x:v>
      </x:c>
      <x:c r="H26" s="26" t="n">
        <x:v>0.022</x:v>
      </x:c>
      <x:c r="I26" s="26" t="n">
        <x:v>0.022</x:v>
      </x:c>
      <x:c r="J26" s="1"/>
      <x:c r="K26" s="1"/>
    </x:row>
    <x:row r="27" ht="18" customHeight="1">
      <x:c r="A27" s="1"/>
      <x:c r="B27" s="1"/>
      <x:c r="C27" s="23" t="str">
        <x:v>Upside</x:v>
      </x:c>
      <x:c r="D27" s="24"/>
      <x:c r="E27" s="26" t="n">
        <x:v>0.008</x:v>
      </x:c>
      <x:c r="F27" s="26" t="n">
        <x:v>0.008</x:v>
      </x:c>
      <x:c r="G27" s="26" t="n">
        <x:v>0.008</x:v>
      </x:c>
      <x:c r="H27" s="26" t="n">
        <x:v>0.008</x:v>
      </x:c>
      <x:c r="I27" s="26" t="n">
        <x:v>0.008</x:v>
      </x:c>
      <x:c r="J27" s="1"/>
      <x:c r="K27" s="1"/>
    </x:row>
    <x:row r="28" ht="18" customHeight="1">
      <x:c r="A28" s="1"/>
      <x:c r="B28" s="1"/>
      <x:c r="C28" s="23" t="str">
        <x:v>Deposit growth</x:v>
      </x:c>
      <x:c r="D28" s="24"/>
      <x:c r="E28" s="26" t="n">
        <x:v>0.13</x:v>
      </x:c>
      <x:c r="F28" s="26" t="n">
        <x:v>0.13</x:v>
      </x:c>
      <x:c r="G28" s="26" t="n">
        <x:v>0.13</x:v>
      </x:c>
      <x:c r="H28" s="26" t="n">
        <x:v>0.13</x:v>
      </x:c>
      <x:c r="I28" s="26" t="n">
        <x:v>0.13</x:v>
      </x:c>
      <x:c r="J28" s="1"/>
      <x:c r="K28" s="1"/>
    </x:row>
    <x:row r="29" ht="18" customHeight="1">
      <x:c r="A29" s="1"/>
      <x:c r="B29" s="1"/>
      <x:c r="C29" s="23" t="str">
        <x:v>Investment asset growth</x:v>
      </x:c>
      <x:c r="D29" s="24"/>
      <x:c r="E29" s="26" t="n">
        <x:v>0.08</x:v>
      </x:c>
      <x:c r="F29" s="26" t="n">
        <x:v>0.08</x:v>
      </x:c>
      <x:c r="G29" s="26" t="n">
        <x:v>0.08</x:v>
      </x:c>
      <x:c r="H29" s="26" t="n">
        <x:v>0.08</x:v>
      </x:c>
      <x:c r="I29" s="26" t="n">
        <x:v>0.08</x:v>
      </x:c>
      <x:c r="J29" s="1"/>
      <x:c r="K29" s="1"/>
    </x:row>
    <x:row r="30" ht="18" customHeight="1">
      <x:c r="A30" s="1"/>
      <x:c r="B30" s="1"/>
      <x:c r="C30" s="23" t="str">
        <x:v>Gross-loan yield</x:v>
      </x:c>
      <x:c r="D30" s="24"/>
      <x:c r="E30" s="26" t="n">
        <x:v>0.1</x:v>
      </x:c>
      <x:c r="F30" s="26" t="n">
        <x:v>0.1</x:v>
      </x:c>
      <x:c r="G30" s="26" t="n">
        <x:v>0.1</x:v>
      </x:c>
      <x:c r="H30" s="26" t="n">
        <x:v>0.1</x:v>
      </x:c>
      <x:c r="I30" s="26" t="n">
        <x:v>0.1</x:v>
      </x:c>
      <x:c r="J30" s="1"/>
      <x:c r="K30" s="1"/>
    </x:row>
    <x:row r="31" ht="18" customHeight="1">
      <x:c r="A31" s="1"/>
      <x:c r="B31" s="1"/>
      <x:c r="C31" s="23" t="str">
        <x:v>Deposit cost</x:v>
      </x:c>
      <x:c r="D31" s="24"/>
      <x:c r="E31" s="26" t="n">
        <x:v>0.055</x:v>
      </x:c>
      <x:c r="F31" s="26" t="n">
        <x:v>0.055</x:v>
      </x:c>
      <x:c r="G31" s="26" t="n">
        <x:v>0.055</x:v>
      </x:c>
      <x:c r="H31" s="26" t="n">
        <x:v>0.055</x:v>
      </x:c>
      <x:c r="I31" s="26" t="n">
        <x:v>0.055</x:v>
      </x:c>
      <x:c r="J31" s="1"/>
      <x:c r="K31" s="1"/>
    </x:row>
    <x:row r="32" ht="18" customHeight="1">
      <x:c r="A32" s="1"/>
      <x:c r="B32" s="1"/>
      <x:c r="C32" s="23" t="str">
        <x:v>Investment yield</x:v>
      </x:c>
      <x:c r="D32" s="24"/>
      <x:c r="E32" s="26" t="n">
        <x:v>0.065</x:v>
      </x:c>
      <x:c r="F32" s="26" t="n">
        <x:v>0.065</x:v>
      </x:c>
      <x:c r="G32" s="26" t="n">
        <x:v>0.065</x:v>
      </x:c>
      <x:c r="H32" s="26" t="n">
        <x:v>0.065</x:v>
      </x:c>
      <x:c r="I32" s="26" t="n">
        <x:v>0.065</x:v>
      </x:c>
      <x:c r="J32" s="1"/>
      <x:c r="K32" s="1"/>
    </x:row>
    <x:row r="33" ht="18" customHeight="1">
      <x:c r="A33" s="1"/>
      <x:c r="B33" s="1"/>
      <x:c r="C33" s="23" t="str">
        <x:v>Fee income / average gross loans</x:v>
      </x:c>
      <x:c r="D33" s="24"/>
      <x:c r="E33" s="26" t="n">
        <x:v>0.012</x:v>
      </x:c>
      <x:c r="F33" s="26" t="n">
        <x:v>0.012</x:v>
      </x:c>
      <x:c r="G33" s="26" t="n">
        <x:v>0.012</x:v>
      </x:c>
      <x:c r="H33" s="26" t="n">
        <x:v>0.012</x:v>
      </x:c>
      <x:c r="I33" s="26" t="n">
        <x:v>0.012</x:v>
      </x:c>
      <x:c r="J33" s="1"/>
      <x:c r="K33" s="1"/>
    </x:row>
    <x:row r="34" ht="18" customHeight="1">
      <x:c r="A34" s="1"/>
      <x:c r="B34" s="1"/>
      <x:c r="C34" s="23" t="str">
        <x:v>Operating cost / net operating income</x:v>
      </x:c>
      <x:c r="D34" s="24"/>
      <x:c r="E34" s="26" t="n">
        <x:v>0.43</x:v>
      </x:c>
      <x:c r="F34" s="26" t="n">
        <x:v>0.43</x:v>
      </x:c>
      <x:c r="G34" s="26" t="n">
        <x:v>0.43</x:v>
      </x:c>
      <x:c r="H34" s="26" t="n">
        <x:v>0.43</x:v>
      </x:c>
      <x:c r="I34" s="26" t="n">
        <x:v>0.43</x:v>
      </x:c>
      <x:c r="J34" s="1"/>
      <x:c r="K34" s="1"/>
    </x:row>
    <x:row r="35" ht="18" customHeight="1">
      <x:c r="A35" s="1"/>
      <x:c r="B35" s="1"/>
      <x:c r="C35" s="23" t="str">
        <x:v>NPA slippages / opening gross loans</x:v>
      </x:c>
      <x:c r="D35" s="24"/>
      <x:c r="E35" s="26" t="n">
        <x:v>0.025</x:v>
      </x:c>
      <x:c r="F35" s="26" t="n">
        <x:v>0.025</x:v>
      </x:c>
      <x:c r="G35" s="26" t="n">
        <x:v>0.025</x:v>
      </x:c>
      <x:c r="H35" s="26" t="n">
        <x:v>0.025</x:v>
      </x:c>
      <x:c r="I35" s="26" t="n">
        <x:v>0.025</x:v>
      </x:c>
      <x:c r="J35" s="1"/>
      <x:c r="K35" s="1"/>
    </x:row>
    <x:row r="36" ht="18" customHeight="1">
      <x:c r="A36" s="1"/>
      <x:c r="B36" s="1"/>
      <x:c r="C36" s="23" t="str">
        <x:v>NPA recovery / opening gross NPA</x:v>
      </x:c>
      <x:c r="D36" s="24"/>
      <x:c r="E36" s="26" t="n">
        <x:v>0.2</x:v>
      </x:c>
      <x:c r="F36" s="26" t="n">
        <x:v>0.2</x:v>
      </x:c>
      <x:c r="G36" s="26" t="n">
        <x:v>0.2</x:v>
      </x:c>
      <x:c r="H36" s="26" t="n">
        <x:v>0.2</x:v>
      </x:c>
      <x:c r="I36" s="26" t="n">
        <x:v>0.2</x:v>
      </x:c>
      <x:c r="J36" s="1"/>
      <x:c r="K36" s="1"/>
    </x:row>
    <x:row r="37" ht="18" customHeight="1">
      <x:c r="A37" s="1"/>
      <x:c r="B37" s="1"/>
      <x:c r="C37" s="23" t="str">
        <x:v>Write-offs / opening gross NPA</x:v>
      </x:c>
      <x:c r="D37" s="24"/>
      <x:c r="E37" s="26" t="n">
        <x:v>0.25</x:v>
      </x:c>
      <x:c r="F37" s="26" t="n">
        <x:v>0.25</x:v>
      </x:c>
      <x:c r="G37" s="26" t="n">
        <x:v>0.25</x:v>
      </x:c>
      <x:c r="H37" s="26" t="n">
        <x:v>0.25</x:v>
      </x:c>
      <x:c r="I37" s="26" t="n">
        <x:v>0.25</x:v>
      </x:c>
      <x:c r="J37" s="1"/>
      <x:c r="K37" s="1"/>
    </x:row>
    <x:row r="38" ht="18" customHeight="1">
      <x:c r="A38" s="1"/>
      <x:c r="B38" s="1"/>
      <x:c r="C38" s="23" t="str">
        <x:v>Effective cash tax rate</x:v>
      </x:c>
      <x:c r="D38" s="24"/>
      <x:c r="E38" s="26" t="n">
        <x:v>0.25</x:v>
      </x:c>
      <x:c r="F38" s="26" t="n">
        <x:v>0.25</x:v>
      </x:c>
      <x:c r="G38" s="26" t="n">
        <x:v>0.25</x:v>
      </x:c>
      <x:c r="H38" s="26" t="n">
        <x:v>0.25</x:v>
      </x:c>
      <x:c r="I38" s="26" t="n">
        <x:v>0.25</x:v>
      </x:c>
      <x:c r="J38" s="1"/>
      <x:c r="K38" s="1"/>
    </x:row>
    <x:row r="39" ht="18" customHeight="1">
      <x:c r="A39" s="1"/>
      <x:c r="B39" s="1"/>
      <x:c r="C39" s="23" t="str">
        <x:v>Dividend payout</x:v>
      </x:c>
      <x:c r="D39" s="24"/>
      <x:c r="E39" s="26" t="n">
        <x:v>0.2</x:v>
      </x:c>
      <x:c r="F39" s="26" t="n">
        <x:v>0.2</x:v>
      </x:c>
      <x:c r="G39" s="26" t="n">
        <x:v>0.2</x:v>
      </x:c>
      <x:c r="H39" s="26" t="n">
        <x:v>0.2</x:v>
      </x:c>
      <x:c r="I39" s="26" t="n">
        <x:v>0.2</x:v>
      </x:c>
      <x:c r="J39" s="1"/>
      <x:c r="K39" s="1"/>
    </x:row>
    <x:row r="40" ht="18" customHeight="1">
      <x:c r="A40" s="1"/>
      <x:c r="B40" s="1"/>
      <x:c r="C40" s="1" t="str">
        <x:v>Fresh equity raised</x:v>
      </x:c>
      <x:c r="D40" s="2"/>
      <x:c r="E40" s="7" t="n">
        <x:v>0</x:v>
      </x:c>
      <x:c r="F40" s="7" t="n">
        <x:v>0</x:v>
      </x:c>
      <x:c r="G40" s="7" t="n">
        <x:v>0</x:v>
      </x:c>
      <x:c r="H40" s="7" t="n">
        <x:v>0</x:v>
      </x:c>
      <x:c r="I40" s="7" t="n">
        <x:v>0</x:v>
      </x:c>
      <x:c r="J40" s="1"/>
      <x:c r="K40" s="1"/>
    </x:row>
    <x:row r="41" ht="18" customHeight="1">
      <x:c r="A41" s="1"/>
      <x:c r="B41" s="1"/>
      <x:c r="C41" s="23" t="str">
        <x:v>Risk-weighted assets / gross loans</x:v>
      </x:c>
      <x:c r="D41" s="24"/>
      <x:c r="E41" s="26" t="n">
        <x:v>0.8</x:v>
      </x:c>
      <x:c r="F41" s="26" t="n">
        <x:v>0.8</x:v>
      </x:c>
      <x:c r="G41" s="26" t="n">
        <x:v>0.8</x:v>
      </x:c>
      <x:c r="H41" s="26" t="n">
        <x:v>0.8</x:v>
      </x:c>
      <x:c r="I41" s="26" t="n">
        <x:v>0.8</x:v>
      </x:c>
      <x:c r="J41" s="1"/>
      <x:c r="K41" s="1" t="str">
        <x:v>Analytical proxy. Not a regulatory risk-weight calculation.</x:v>
      </x:c>
    </x:row>
    <x:row r="42" ht="18" customHeight="1">
      <x:c r="A42" s="1"/>
      <x:c r="B42" s="1"/>
      <x:c r="C42" s="23" t="str">
        <x:v>Eligible capital / modeled book equity</x:v>
      </x:c>
      <x:c r="D42" s="24"/>
      <x:c r="E42" s="26" t="n">
        <x:v>0.9</x:v>
      </x:c>
      <x:c r="F42" s="26" t="n">
        <x:v>0.9</x:v>
      </x:c>
      <x:c r="G42" s="26" t="n">
        <x:v>0.9</x:v>
      </x:c>
      <x:c r="H42" s="26" t="n">
        <x:v>0.9</x:v>
      </x:c>
      <x:c r="I42" s="26" t="n">
        <x:v>0.9</x:v>
      </x:c>
      <x:c r="J42" s="1"/>
      <x:c r="K42" s="1"/>
    </x:row>
    <x:row r="43" ht="18" customHeight="1">
      <x:c r="A43" s="1"/>
      <x:c r="B43" s="1"/>
      <x:c r="C43" s="23" t="str">
        <x:v>Internal capital ratio target</x:v>
      </x:c>
      <x:c r="D43" s="24"/>
      <x:c r="E43" s="26" t="n">
        <x:v>0.15</x:v>
      </x:c>
      <x:c r="F43" s="26" t="n">
        <x:v>0.15</x:v>
      </x:c>
      <x:c r="G43" s="26" t="n">
        <x:v>0.15</x:v>
      </x:c>
      <x:c r="H43" s="26" t="n">
        <x:v>0.15</x:v>
      </x:c>
      <x:c r="I43" s="26" t="n">
        <x:v>0.15</x:v>
      </x:c>
      <x:c r="J43" s="1"/>
      <x:c r="K43" s="1" t="str">
        <x:v>Illustrative internal threshold, not a legal minimum.</x:v>
      </x:c>
    </x:row>
    <x:row r="44" ht="18" customHeight="1">
      <x:c r="A44" s="1"/>
      <x:c r="B44" s="1"/>
      <x:c r="C44" s="19" t="str">
        <x:v>LENDING AND FUNDING BUILD</x:v>
      </x:c>
      <x:c r="D44" s="20"/>
      <x:c r="E44" s="20"/>
      <x:c r="F44" s="20"/>
      <x:c r="G44" s="20"/>
      <x:c r="H44" s="20"/>
      <x:c r="I44" s="20"/>
      <x:c r="J44" s="1"/>
      <x:c r="K44" s="1"/>
    </x:row>
    <x:row r="45" ht="18" customHeight="1">
      <x:c r="A45" s="1"/>
      <x:c r="B45" s="1"/>
      <x:c r="C45" s="1" t="str">
        <x:v>Closing gross loans</x:v>
      </x:c>
      <x:c r="D45" s="2"/>
      <x:c r="E45" s="8" t="n">
        <x:f>$D10*(1+E20)</x:f>
        <x:v>112999.99999999999</x:v>
      </x:c>
      <x:c r="F45" s="8" t="n">
        <x:f>E45*(1+F20)</x:f>
        <x:v>127689.99999999997</x:v>
      </x:c>
      <x:c r="G45" s="8" t="n">
        <x:f>F45*(1+G20)</x:f>
        <x:v>144289.69999999995</x:v>
      </x:c>
      <x:c r="H45" s="8" t="n">
        <x:f>G45*(1+H20)</x:f>
        <x:v>163047.36099999995</x:v>
      </x:c>
      <x:c r="I45" s="8" t="n">
        <x:f>H45*(1+I20)</x:f>
        <x:v>184243.5179299999</x:v>
      </x:c>
      <x:c r="J45" s="1"/>
      <x:c r="K45" s="1"/>
    </x:row>
    <x:row r="46" ht="18" customHeight="1">
      <x:c r="A46" s="1"/>
      <x:c r="B46" s="1"/>
      <x:c r="C46" s="1" t="str">
        <x:v>Average gross loans</x:v>
      </x:c>
      <x:c r="D46" s="2"/>
      <x:c r="E46" s="8" t="n">
        <x:f>($D10+E45)/2</x:f>
        <x:v>106500</x:v>
      </x:c>
      <x:c r="F46" s="8" t="n">
        <x:f>(E45+F45)/2</x:f>
        <x:v>120344.99999999997</x:v>
      </x:c>
      <x:c r="G46" s="8" t="n">
        <x:f>(F45+G45)/2</x:f>
        <x:v>135989.84999999998</x:v>
      </x:c>
      <x:c r="H46" s="8" t="n">
        <x:f>(G45+H45)/2</x:f>
        <x:v>153668.53049999994</x:v>
      </x:c>
      <x:c r="I46" s="8" t="n">
        <x:f>(H45+I45)/2</x:f>
        <x:v>173645.43946499994</x:v>
      </x:c>
      <x:c r="J46" s="1"/>
      <x:c r="K46" s="1"/>
    </x:row>
    <x:row r="47" ht="18" customHeight="1">
      <x:c r="A47" s="1"/>
      <x:c r="B47" s="1"/>
      <x:c r="C47" s="1" t="str">
        <x:v>Closing funding balance</x:v>
      </x:c>
      <x:c r="D47" s="2"/>
      <x:c r="E47" s="8" t="n">
        <x:f>$D11*(1+E28)</x:f>
        <x:v>135600</x:v>
      </x:c>
      <x:c r="F47" s="8" t="n">
        <x:f>E47*(1+F28)</x:f>
        <x:v>153228</x:v>
      </x:c>
      <x:c r="G47" s="8" t="n">
        <x:f>F47*(1+G28)</x:f>
        <x:v>173147.63999999998</x:v>
      </x:c>
      <x:c r="H47" s="8" t="n">
        <x:f>G47*(1+H28)</x:f>
        <x:v>195656.83319999996</x:v>
      </x:c>
      <x:c r="I47" s="8" t="n">
        <x:f>H47*(1+I28)</x:f>
        <x:v>221092.22151599993</x:v>
      </x:c>
      <x:c r="J47" s="1"/>
      <x:c r="K47" s="1"/>
    </x:row>
    <x:row r="48" ht="18" customHeight="1">
      <x:c r="A48" s="1"/>
      <x:c r="B48" s="1"/>
      <x:c r="C48" s="1" t="str">
        <x:v>Average funding balance</x:v>
      </x:c>
      <x:c r="D48" s="2"/>
      <x:c r="E48" s="8" t="n">
        <x:f>($D11+E47)/2</x:f>
        <x:v>127800</x:v>
      </x:c>
      <x:c r="F48" s="8" t="n">
        <x:f>(E47+F47)/2</x:f>
        <x:v>144414</x:v>
      </x:c>
      <x:c r="G48" s="8" t="n">
        <x:f>(F47+G47)/2</x:f>
        <x:v>163187.82</x:v>
      </x:c>
      <x:c r="H48" s="8" t="n">
        <x:f>(G47+H47)/2</x:f>
        <x:v>184402.23659999997</x:v>
      </x:c>
      <x:c r="I48" s="8" t="n">
        <x:f>(H47+I47)/2</x:f>
        <x:v>208374.52735799993</x:v>
      </x:c>
      <x:c r="J48" s="1"/>
      <x:c r="K48" s="1"/>
    </x:row>
    <x:row r="49" ht="18" customHeight="1">
      <x:c r="A49" s="1"/>
      <x:c r="B49" s="1"/>
      <x:c r="C49" s="1" t="str">
        <x:v>Closing investment assets</x:v>
      </x:c>
      <x:c r="D49" s="2"/>
      <x:c r="E49" s="8" t="n">
        <x:f>$D12*(1+E29)</x:f>
        <x:v>32400.000000000004</x:v>
      </x:c>
      <x:c r="F49" s="8" t="n">
        <x:f>E49*(1+F29)</x:f>
        <x:v>34992.00000000001</x:v>
      </x:c>
      <x:c r="G49" s="8" t="n">
        <x:f>F49*(1+G29)</x:f>
        <x:v>37791.36000000001</x:v>
      </x:c>
      <x:c r="H49" s="8" t="n">
        <x:f>G49*(1+H29)</x:f>
        <x:v>40814.668800000014</x:v>
      </x:c>
      <x:c r="I49" s="8" t="n">
        <x:f>H49*(1+I29)</x:f>
        <x:v>44079.84230400002</x:v>
      </x:c>
      <x:c r="J49" s="1"/>
      <x:c r="K49" s="1"/>
    </x:row>
    <x:row r="50" ht="18" customHeight="1">
      <x:c r="A50" s="1"/>
      <x:c r="B50" s="1"/>
      <x:c r="C50" s="1" t="str">
        <x:v>Average investment assets</x:v>
      </x:c>
      <x:c r="D50" s="2"/>
      <x:c r="E50" s="8" t="n">
        <x:f>($D12+E49)/2</x:f>
        <x:v>31200</x:v>
      </x:c>
      <x:c r="F50" s="8" t="n">
        <x:f>(E49+F49)/2</x:f>
        <x:v>33696.00000000001</x:v>
      </x:c>
      <x:c r="G50" s="8" t="n">
        <x:f>(F49+G49)/2</x:f>
        <x:v>36391.68000000001</x:v>
      </x:c>
      <x:c r="H50" s="8" t="n">
        <x:f>(G49+H49)/2</x:f>
        <x:v>39303.014400000015</x:v>
      </x:c>
      <x:c r="I50" s="8" t="n">
        <x:f>(H49+I49)/2</x:f>
        <x:v>42447.25555200002</x:v>
      </x:c>
      <x:c r="J50" s="1"/>
      <x:c r="K50" s="1"/>
    </x:row>
    <x:row r="51" ht="18" customHeight="1">
      <x:c r="A51" s="1"/>
      <x:c r="B51" s="1"/>
      <x:c r="C51" s="19" t="str">
        <x:v>INCOME STATEMENT</x:v>
      </x:c>
      <x:c r="D51" s="20"/>
      <x:c r="E51" s="20"/>
      <x:c r="F51" s="20"/>
      <x:c r="G51" s="20"/>
      <x:c r="H51" s="20"/>
      <x:c r="I51" s="20"/>
      <x:c r="J51" s="1"/>
      <x:c r="K51" s="1"/>
    </x:row>
    <x:row r="52" ht="18" customHeight="1">
      <x:c r="A52" s="1"/>
      <x:c r="B52" s="1"/>
      <x:c r="C52" s="1" t="str">
        <x:v>Interest income</x:v>
      </x:c>
      <x:c r="D52" s="2"/>
      <x:c r="E52" s="8" t="n">
        <x:f>E46*E30+E50*E32</x:f>
        <x:v>12678</x:v>
      </x:c>
      <x:c r="F52" s="8" t="n">
        <x:f>F46*F30+F50*F32</x:f>
        <x:v>14224.739999999998</x:v>
      </x:c>
      <x:c r="G52" s="8" t="n">
        <x:f>G46*G30+G50*G32</x:f>
        <x:v>15964.4442</x:v>
      </x:c>
      <x:c r="H52" s="8" t="n">
        <x:f>H46*H30+H50*H32</x:f>
        <x:v>17921.548985999994</x:v>
      </x:c>
      <x:c r="I52" s="8" t="n">
        <x:f>I46*I30+I50*I32</x:f>
        <x:v>20123.615557379995</x:v>
      </x:c>
      <x:c r="J52" s="1"/>
      <x:c r="K52" s="1"/>
    </x:row>
    <x:row r="53" ht="18" customHeight="1">
      <x:c r="A53" s="1"/>
      <x:c r="B53" s="1"/>
      <x:c r="C53" s="1" t="str">
        <x:v>Interest expense</x:v>
      </x:c>
      <x:c r="D53" s="2"/>
      <x:c r="E53" s="8" t="n">
        <x:f>E48*E31</x:f>
        <x:v>7029</x:v>
      </x:c>
      <x:c r="F53" s="8" t="n">
        <x:f>F48*F31</x:f>
        <x:v>7942.77</x:v>
      </x:c>
      <x:c r="G53" s="8" t="n">
        <x:f>G48*G31</x:f>
        <x:v>8975.330100000001</x:v>
      </x:c>
      <x:c r="H53" s="8" t="n">
        <x:f>H48*H31</x:f>
        <x:v>10142.123012999999</x:v>
      </x:c>
      <x:c r="I53" s="8" t="n">
        <x:f>I48*I31</x:f>
        <x:v>11460.599004689997</x:v>
      </x:c>
      <x:c r="J53" s="1"/>
      <x:c r="K53" s="1"/>
    </x:row>
    <x:row r="54" ht="18" customHeight="1">
      <x:c r="A54" s="1"/>
      <x:c r="B54" s="1"/>
      <x:c r="C54" s="38" t="str">
        <x:v>Net interest income</x:v>
      </x:c>
      <x:c r="D54" s="39"/>
      <x:c r="E54" s="41" t="n">
        <x:f>E52-E53</x:f>
        <x:v>5649</x:v>
      </x:c>
      <x:c r="F54" s="41" t="n">
        <x:f>F52-F53</x:f>
        <x:v>6281.9699999999975</x:v>
      </x:c>
      <x:c r="G54" s="41" t="n">
        <x:f>G52-G53</x:f>
        <x:v>6989.114099999999</x:v>
      </x:c>
      <x:c r="H54" s="41" t="n">
        <x:f>H52-H53</x:f>
        <x:v>7779.425972999996</x:v>
      </x:c>
      <x:c r="I54" s="41" t="n">
        <x:f>I52-I53</x:f>
        <x:v>8663.016552689998</x:v>
      </x:c>
      <x:c r="J54" s="1"/>
      <x:c r="K54" s="1"/>
    </x:row>
    <x:row r="55" ht="18" customHeight="1">
      <x:c r="A55" s="1"/>
      <x:c r="B55" s="1"/>
      <x:c r="C55" s="1" t="str">
        <x:v>Fee and other income</x:v>
      </x:c>
      <x:c r="D55" s="2"/>
      <x:c r="E55" s="8" t="n">
        <x:f>E46*E33</x:f>
        <x:v>1278</x:v>
      </x:c>
      <x:c r="F55" s="8" t="n">
        <x:f>F46*F33</x:f>
        <x:v>1444.1399999999996</x:v>
      </x:c>
      <x:c r="G55" s="8" t="n">
        <x:f>G46*G33</x:f>
        <x:v>1631.8781999999997</x:v>
      </x:c>
      <x:c r="H55" s="8" t="n">
        <x:f>H46*H33</x:f>
        <x:v>1844.0223659999992</x:v>
      </x:c>
      <x:c r="I55" s="8" t="n">
        <x:f>I46*I33</x:f>
        <x:v>2083.7452735799993</x:v>
      </x:c>
      <x:c r="J55" s="1"/>
      <x:c r="K55" s="1"/>
    </x:row>
    <x:row r="56" ht="18" customHeight="1">
      <x:c r="A56" s="1"/>
      <x:c r="B56" s="1"/>
      <x:c r="C56" s="1" t="str">
        <x:v>Net operating income</x:v>
      </x:c>
      <x:c r="D56" s="2"/>
      <x:c r="E56" s="8" t="n">
        <x:f>E54+E55</x:f>
        <x:v>6927</x:v>
      </x:c>
      <x:c r="F56" s="8" t="n">
        <x:f>F54+F55</x:f>
        <x:v>7726.109999999997</x:v>
      </x:c>
      <x:c r="G56" s="8" t="n">
        <x:f>G54+G55</x:f>
        <x:v>8620.992299999998</x:v>
      </x:c>
      <x:c r="H56" s="8" t="n">
        <x:f>H54+H55</x:f>
        <x:v>9623.448338999995</x:v>
      </x:c>
      <x:c r="I56" s="8" t="n">
        <x:f>I54+I55</x:f>
        <x:v>10746.761826269998</x:v>
      </x:c>
      <x:c r="J56" s="1"/>
      <x:c r="K56" s="1"/>
    </x:row>
    <x:row r="57" ht="18" customHeight="1">
      <x:c r="A57" s="1"/>
      <x:c r="B57" s="1"/>
      <x:c r="C57" s="1" t="str">
        <x:v>Operating expenses</x:v>
      </x:c>
      <x:c r="D57" s="2"/>
      <x:c r="E57" s="8" t="n">
        <x:f>E56*E34</x:f>
        <x:v>2978.61</x:v>
      </x:c>
      <x:c r="F57" s="8" t="n">
        <x:f>F56*F34</x:f>
        <x:v>3322.2272999999986</x:v>
      </x:c>
      <x:c r="G57" s="8" t="n">
        <x:f>G56*G34</x:f>
        <x:v>3707.026688999999</x:v>
      </x:c>
      <x:c r="H57" s="8" t="n">
        <x:f>H56*H34</x:f>
        <x:v>4138.082785769998</x:v>
      </x:c>
      <x:c r="I57" s="8" t="n">
        <x:f>I56*I34</x:f>
        <x:v>4621.107585296099</x:v>
      </x:c>
      <x:c r="J57" s="1"/>
      <x:c r="K57" s="1"/>
    </x:row>
    <x:row r="58" ht="18" customHeight="1">
      <x:c r="A58" s="1"/>
      <x:c r="B58" s="1"/>
      <x:c r="C58" s="1" t="str">
        <x:v>Pre-provision operating profit</x:v>
      </x:c>
      <x:c r="D58" s="2"/>
      <x:c r="E58" s="8" t="n">
        <x:f>E56-E57</x:f>
        <x:v>3948.39</x:v>
      </x:c>
      <x:c r="F58" s="8" t="n">
        <x:f>F56-F57</x:f>
        <x:v>4403.882699999998</x:v>
      </x:c>
      <x:c r="G58" s="8" t="n">
        <x:f>G56-G57</x:f>
        <x:v>4913.965611</x:v>
      </x:c>
      <x:c r="H58" s="8" t="n">
        <x:f>H56-H57</x:f>
        <x:v>5485.365553229997</x:v>
      </x:c>
      <x:c r="I58" s="8" t="n">
        <x:f>I56-I57</x:f>
        <x:v>6125.654240973899</x:v>
      </x:c>
      <x:c r="J58" s="1"/>
      <x:c r="K58" s="1"/>
    </x:row>
    <x:row r="59" ht="18" customHeight="1">
      <x:c r="A59" s="1"/>
      <x:c r="B59" s="1"/>
      <x:c r="C59" s="1" t="str">
        <x:v>Credit-loss expense</x:v>
      </x:c>
      <x:c r="D59" s="2"/>
      <x:c r="E59" s="8" t="n">
        <x:f>E46*E24</x:f>
        <x:v>1278</x:v>
      </x:c>
      <x:c r="F59" s="8" t="n">
        <x:f>F46*F24</x:f>
        <x:v>1444.1399999999996</x:v>
      </x:c>
      <x:c r="G59" s="8" t="n">
        <x:f>G46*G24</x:f>
        <x:v>1631.8781999999997</x:v>
      </x:c>
      <x:c r="H59" s="8" t="n">
        <x:f>H46*H24</x:f>
        <x:v>1844.0223659999992</x:v>
      </x:c>
      <x:c r="I59" s="8" t="n">
        <x:f>I46*I24</x:f>
        <x:v>2083.7452735799993</x:v>
      </x:c>
      <x:c r="J59" s="1"/>
      <x:c r="K59" s="1"/>
    </x:row>
    <x:row r="60" ht="18" customHeight="1">
      <x:c r="A60" s="1"/>
      <x:c r="B60" s="1"/>
      <x:c r="C60" s="1" t="str">
        <x:v>Profit before tax</x:v>
      </x:c>
      <x:c r="D60" s="2"/>
      <x:c r="E60" s="8" t="n">
        <x:f>E58-E59</x:f>
        <x:v>2670.39</x:v>
      </x:c>
      <x:c r="F60" s="8" t="n">
        <x:f>F58-F59</x:f>
        <x:v>2959.742699999999</x:v>
      </x:c>
      <x:c r="G60" s="8" t="n">
        <x:f>G58-G59</x:f>
        <x:v>3282.087411</x:v>
      </x:c>
      <x:c r="H60" s="8" t="n">
        <x:f>H58-H59</x:f>
        <x:v>3641.343187229998</x:v>
      </x:c>
      <x:c r="I60" s="8" t="n">
        <x:f>I58-I59</x:f>
        <x:v>4041.9089673938993</x:v>
      </x:c>
      <x:c r="J60" s="1"/>
      <x:c r="K60" s="1"/>
    </x:row>
    <x:row r="61" ht="18" customHeight="1">
      <x:c r="A61" s="1"/>
      <x:c r="B61" s="1"/>
      <x:c r="C61" s="1" t="str">
        <x:v>Tax</x:v>
      </x:c>
      <x:c r="D61" s="2"/>
      <x:c r="E61" s="8" t="n">
        <x:f>MAX(0,E60)*E38</x:f>
        <x:v>667.5975</x:v>
      </x:c>
      <x:c r="F61" s="8" t="n">
        <x:f>MAX(0,F60)*F38</x:f>
        <x:v>739.9356749999997</x:v>
      </x:c>
      <x:c r="G61" s="8" t="n">
        <x:f>MAX(0,G60)*G38</x:f>
        <x:v>820.52185275</x:v>
      </x:c>
      <x:c r="H61" s="8" t="n">
        <x:f>MAX(0,H60)*H38</x:f>
        <x:v>910.3357968074995</x:v>
      </x:c>
      <x:c r="I61" s="8" t="n">
        <x:f>MAX(0,I60)*I38</x:f>
        <x:v>1010.4772418484748</x:v>
      </x:c>
      <x:c r="J61" s="1"/>
      <x:c r="K61" s="1"/>
    </x:row>
    <x:row r="62" ht="18" customHeight="1">
      <x:c r="A62" s="1"/>
      <x:c r="B62" s="1"/>
      <x:c r="C62" s="38" t="str">
        <x:v>Profit after tax</x:v>
      </x:c>
      <x:c r="D62" s="39"/>
      <x:c r="E62" s="41" t="n">
        <x:f>E60-E61</x:f>
        <x:v>2002.7925</x:v>
      </x:c>
      <x:c r="F62" s="41" t="n">
        <x:f>F60-F61</x:f>
        <x:v>2219.807024999999</x:v>
      </x:c>
      <x:c r="G62" s="41" t="n">
        <x:f>G60-G61</x:f>
        <x:v>2461.56555825</x:v>
      </x:c>
      <x:c r="H62" s="41" t="n">
        <x:f>H60-H61</x:f>
        <x:v>2731.0073904224982</x:v>
      </x:c>
      <x:c r="I62" s="41" t="n">
        <x:f>I60-I61</x:f>
        <x:v>3031.4317255454243</x:v>
      </x:c>
      <x:c r="J62" s="1"/>
      <x:c r="K62" s="1"/>
    </x:row>
    <x:row r="63" ht="18" customHeight="1">
      <x:c r="A63" s="1"/>
      <x:c r="B63" s="1"/>
      <x:c r="C63" s="1" t="str">
        <x:v>Dividends</x:v>
      </x:c>
      <x:c r="D63" s="2"/>
      <x:c r="E63" s="8" t="n">
        <x:f>MAX(0,E62)*E39</x:f>
        <x:v>400.55850000000004</x:v>
      </x:c>
      <x:c r="F63" s="8" t="n">
        <x:f>MAX(0,F62)*F39</x:f>
        <x:v>443.96140499999984</x:v>
      </x:c>
      <x:c r="G63" s="8" t="n">
        <x:f>MAX(0,G62)*G39</x:f>
        <x:v>492.31311165</x:v>
      </x:c>
      <x:c r="H63" s="8" t="n">
        <x:f>MAX(0,H62)*H39</x:f>
        <x:v>546.2014780844996</x:v>
      </x:c>
      <x:c r="I63" s="8" t="n">
        <x:f>MAX(0,I62)*I39</x:f>
        <x:v>606.2863451090849</x:v>
      </x:c>
      <x:c r="J63" s="1"/>
      <x:c r="K63" s="1"/>
    </x:row>
    <x:row r="64" ht="18" customHeight="1">
      <x:c r="A64" s="1"/>
      <x:c r="B64" s="1"/>
      <x:c r="C64" s="19" t="str">
        <x:v>ASSET QUALITY AND BALANCE SHEET</x:v>
      </x:c>
      <x:c r="D64" s="20"/>
      <x:c r="E64" s="20"/>
      <x:c r="F64" s="20"/>
      <x:c r="G64" s="20"/>
      <x:c r="H64" s="20"/>
      <x:c r="I64" s="20"/>
      <x:c r="J64" s="1"/>
      <x:c r="K64" s="1"/>
    </x:row>
    <x:row r="65" ht="18" customHeight="1">
      <x:c r="A65" s="1"/>
      <x:c r="B65" s="1"/>
      <x:c r="C65" s="1" t="str">
        <x:v>New non-performing loans</x:v>
      </x:c>
      <x:c r="D65" s="2"/>
      <x:c r="E65" s="8" t="n">
        <x:f>$D10*E35</x:f>
        <x:v>2500</x:v>
      </x:c>
      <x:c r="F65" s="8" t="n">
        <x:f>E45*F35</x:f>
        <x:v>2825</x:v>
      </x:c>
      <x:c r="G65" s="8" t="n">
        <x:f>F45*G35</x:f>
        <x:v>3192.2499999999995</x:v>
      </x:c>
      <x:c r="H65" s="8" t="n">
        <x:f>G45*H35</x:f>
        <x:v>3607.242499999999</x:v>
      </x:c>
      <x:c r="I65" s="8" t="n">
        <x:f>H45*I35</x:f>
        <x:v>4076.1840249999987</x:v>
      </x:c>
      <x:c r="J65" s="1"/>
      <x:c r="K65" s="1"/>
    </x:row>
    <x:row r="66" ht="18" customHeight="1">
      <x:c r="A66" s="1"/>
      <x:c r="B66" s="1"/>
      <x:c r="C66" s="1" t="str">
        <x:v>NPA recoveries</x:v>
      </x:c>
      <x:c r="D66" s="2"/>
      <x:c r="E66" s="8" t="n">
        <x:f>$D15*E36</x:f>
        <x:v>500</x:v>
      </x:c>
      <x:c r="F66" s="8" t="n">
        <x:f>E68*F36</x:f>
        <x:v>775</x:v>
      </x:c>
      <x:c r="G66" s="8" t="n">
        <x:f>F68*G36</x:f>
        <x:v>991.25</x:v>
      </x:c>
      <x:c r="H66" s="8" t="n">
        <x:f>G68*H36</x:f>
        <x:v>1183.6375</x:v>
      </x:c>
      <x:c r="I66" s="8" t="n">
        <x:f>H68*I36</x:f>
        <x:v>1372.4491249999996</x:v>
      </x:c>
      <x:c r="J66" s="1"/>
      <x:c r="K66" s="1"/>
    </x:row>
    <x:row r="67" ht="18" customHeight="1">
      <x:c r="A67" s="1"/>
      <x:c r="B67" s="1"/>
      <x:c r="C67" s="1" t="str">
        <x:v>Write-offs</x:v>
      </x:c>
      <x:c r="D67" s="2"/>
      <x:c r="E67" s="8" t="n">
        <x:f>$D15*E37</x:f>
        <x:v>625</x:v>
      </x:c>
      <x:c r="F67" s="8" t="n">
        <x:f>E68*F37</x:f>
        <x:v>968.75</x:v>
      </x:c>
      <x:c r="G67" s="8" t="n">
        <x:f>F68*G37</x:f>
        <x:v>1239.0625</x:v>
      </x:c>
      <x:c r="H67" s="8" t="n">
        <x:f>G68*H37</x:f>
        <x:v>1479.546875</x:v>
      </x:c>
      <x:c r="I67" s="8" t="n">
        <x:f>H68*I37</x:f>
        <x:v>1715.5614062499994</x:v>
      </x:c>
      <x:c r="J67" s="1"/>
      <x:c r="K67" s="1"/>
    </x:row>
    <x:row r="68" ht="18" customHeight="1">
      <x:c r="A68" s="1"/>
      <x:c r="B68" s="1"/>
      <x:c r="C68" s="1" t="str">
        <x:v>Closing gross NPA</x:v>
      </x:c>
      <x:c r="D68" s="2"/>
      <x:c r="E68" s="8" t="n">
        <x:f>$D15+E65-E66-E67</x:f>
        <x:v>3875</x:v>
      </x:c>
      <x:c r="F68" s="8" t="n">
        <x:f>E68+F65-F66-F67</x:f>
        <x:v>4956.25</x:v>
      </x:c>
      <x:c r="G68" s="8" t="n">
        <x:f>F68+G65-G66-G67</x:f>
        <x:v>5918.1875</x:v>
      </x:c>
      <x:c r="H68" s="8" t="n">
        <x:f>G68+H65-H66-H67</x:f>
        <x:v>6862.245624999998</x:v>
      </x:c>
      <x:c r="I68" s="8" t="n">
        <x:f>H68+I65-I66-I67</x:f>
        <x:v>7850.419118749998</x:v>
      </x:c>
      <x:c r="J68" s="1"/>
      <x:c r="K68" s="1"/>
    </x:row>
    <x:row r="69" ht="18" customHeight="1">
      <x:c r="A69" s="1"/>
      <x:c r="B69" s="1"/>
      <x:c r="C69" s="1" t="str">
        <x:v>Closing credit-loss allowance</x:v>
      </x:c>
      <x:c r="D69" s="2"/>
      <x:c r="E69" s="8" t="n">
        <x:f>$D14+E59-E67</x:f>
        <x:v>2153</x:v>
      </x:c>
      <x:c r="F69" s="8" t="n">
        <x:f>E69+F59-F67</x:f>
        <x:v>2628.3899999999994</x:v>
      </x:c>
      <x:c r="G69" s="8" t="n">
        <x:f>F69+G59-G67</x:f>
        <x:v>3021.2056999999986</x:v>
      </x:c>
      <x:c r="H69" s="8" t="n">
        <x:f>G69+H59-H67</x:f>
        <x:v>3385.681190999998</x:v>
      </x:c>
      <x:c r="I69" s="8" t="n">
        <x:f>H69+I59-I67</x:f>
        <x:v>3753.865058329998</x:v>
      </x:c>
      <x:c r="J69" s="1"/>
      <x:c r="K69" s="1"/>
    </x:row>
    <x:row r="70" ht="18" customHeight="1">
      <x:c r="A70" s="1"/>
      <x:c r="B70" s="1"/>
      <x:c r="C70" s="1" t="str">
        <x:v>Net loans</x:v>
      </x:c>
      <x:c r="D70" s="2"/>
      <x:c r="E70" s="8" t="n">
        <x:f>E45-E69</x:f>
        <x:v>110846.99999999999</x:v>
      </x:c>
      <x:c r="F70" s="8" t="n">
        <x:f>F45-F69</x:f>
        <x:v>125061.60999999997</x:v>
      </x:c>
      <x:c r="G70" s="8" t="n">
        <x:f>G45-G69</x:f>
        <x:v>141268.49429999996</x:v>
      </x:c>
      <x:c r="H70" s="8" t="n">
        <x:f>H45-H69</x:f>
        <x:v>159661.67980899994</x:v>
      </x:c>
      <x:c r="I70" s="8" t="n">
        <x:f>I45-I69</x:f>
        <x:v>180489.6528716699</x:v>
      </x:c>
      <x:c r="J70" s="1"/>
      <x:c r="K70" s="1"/>
    </x:row>
    <x:row r="71" ht="18" customHeight="1">
      <x:c r="A71" s="1"/>
      <x:c r="B71" s="1"/>
      <x:c r="C71" s="38" t="str">
        <x:v>Closing equity</x:v>
      </x:c>
      <x:c r="D71" s="39"/>
      <x:c r="E71" s="41" t="n">
        <x:f>$D13+E62-E63+E40</x:f>
        <x:v>16602.234</x:v>
      </x:c>
      <x:c r="F71" s="41" t="n">
        <x:f>E71+F62-F63+F40</x:f>
        <x:v>18378.07962</x:v>
      </x:c>
      <x:c r="G71" s="41" t="n">
        <x:f>F71+G62-G63+G40</x:f>
        <x:v>20347.3320666</x:v>
      </x:c>
      <x:c r="H71" s="41" t="n">
        <x:f>G71+H62-H63+H40</x:f>
        <x:v>22532.137978938</x:v>
      </x:c>
      <x:c r="I71" s="41" t="n">
        <x:f>H71+I62-I63+I40</x:f>
        <x:v>24957.283359374338</x:v>
      </x:c>
      <x:c r="J71" s="1"/>
      <x:c r="K71" s="1"/>
    </x:row>
    <x:row r="72" ht="18" customHeight="1">
      <x:c r="A72" s="1"/>
      <x:c r="B72" s="1"/>
      <x:c r="C72" s="1" t="str">
        <x:v>Residual liquidity / (funding gap)</x:v>
      </x:c>
      <x:c r="D72" s="2"/>
      <x:c r="E72" s="8" t="n">
        <x:f>E47+E71-E70-E49</x:f>
        <x:v>8955.234000000008</x:v>
      </x:c>
      <x:c r="F72" s="8" t="n">
        <x:f>F47+F71-F70-F49</x:f>
        <x:v>11552.469620000025</x:v>
      </x:c>
      <x:c r="G72" s="8" t="n">
        <x:f>G47+G71-G70-G49</x:f>
        <x:v>14435.117766600022</x:v>
      </x:c>
      <x:c r="H72" s="8" t="n">
        <x:f>H47+H71-H70-H49</x:f>
        <x:v>17712.622569938016</x:v>
      </x:c>
      <x:c r="I72" s="8" t="n">
        <x:f>I47+I71-I70-I49</x:f>
        <x:v>21480.00969970433</x:v>
      </x:c>
      <x:c r="J72" s="1"/>
      <x:c r="K72" s="1" t="str">
        <x:v>Funding and equity less net loans and investments. No additional funding is automatically raised.</x:v>
      </x:c>
    </x:row>
    <x:row r="73" ht="18" customHeight="1">
      <x:c r="A73" s="1"/>
      <x:c r="B73" s="1"/>
      <x:c r="C73" s="1" t="str">
        <x:v>Total assets</x:v>
      </x:c>
      <x:c r="D73" s="2"/>
      <x:c r="E73" s="8" t="n">
        <x:f>E70+E49+E72</x:f>
        <x:v>152202.234</x:v>
      </x:c>
      <x:c r="F73" s="8" t="n">
        <x:f>F70+F49+F72</x:f>
        <x:v>171606.07962</x:v>
      </x:c>
      <x:c r="G73" s="8" t="n">
        <x:f>G70+G49+G72</x:f>
        <x:v>193494.9720666</x:v>
      </x:c>
      <x:c r="H73" s="8" t="n">
        <x:f>H70+H49+H72</x:f>
        <x:v>218188.97117893797</x:v>
      </x:c>
      <x:c r="I73" s="8" t="n">
        <x:f>I70+I49+I72</x:f>
        <x:v>246049.50487537426</x:v>
      </x:c>
      <x:c r="J73" s="1"/>
      <x:c r="K73" s="1"/>
    </x:row>
    <x:row r="74" ht="18" customHeight="1">
      <x:c r="A74" s="1"/>
      <x:c r="B74" s="1"/>
      <x:c r="C74" s="1" t="str">
        <x:v>Change in residual liquidity</x:v>
      </x:c>
      <x:c r="D74" s="2"/>
      <x:c r="E74" s="8" t="n">
        <x:f>E72-($D11+$D13-$D10+$D14-$D12)</x:f>
        <x:v>2455.2340000000077</x:v>
      </x:c>
      <x:c r="F74" s="8" t="n">
        <x:f>F72-E72</x:f>
        <x:v>2597.2356200000177</x:v>
      </x:c>
      <x:c r="G74" s="8" t="n">
        <x:f>G72-F72</x:f>
        <x:v>2882.648146599997</x:v>
      </x:c>
      <x:c r="H74" s="8" t="n">
        <x:f>H72-G72</x:f>
        <x:v>3277.5048033379935</x:v>
      </x:c>
      <x:c r="I74" s="8" t="n">
        <x:f>I72-H72</x:f>
        <x:v>3767.3871297663136</x:v>
      </x:c>
      <x:c r="J74" s="1"/>
      <x:c r="K74" s="1"/>
    </x:row>
    <x:row r="75" ht="18" customHeight="1">
      <x:c r="A75" s="1"/>
      <x:c r="B75" s="1"/>
      <x:c r="C75" s="19" t="str">
        <x:v>LENDING KPIs AND VALUATION</x:v>
      </x:c>
      <x:c r="D75" s="20"/>
      <x:c r="E75" s="20"/>
      <x:c r="F75" s="20"/>
      <x:c r="G75" s="20"/>
      <x:c r="H75" s="20"/>
      <x:c r="I75" s="20"/>
      <x:c r="J75" s="1"/>
      <x:c r="K75" s="1"/>
    </x:row>
    <x:row r="76" ht="18" customHeight="1">
      <x:c r="A76" s="1"/>
      <x:c r="B76" s="1"/>
      <x:c r="C76" s="23" t="str">
        <x:v>Net interest margin</x:v>
      </x:c>
      <x:c r="D76" s="24"/>
      <x:c r="E76" s="35" t="n">
        <x:f>E54/(E46+E50)</x:f>
        <x:v>0.041023965141612204</x:v>
      </x:c>
      <x:c r="F76" s="35" t="n">
        <x:f>F54/(F46+F50)</x:f>
        <x:v>0.04078115566634856</x:v>
      </x:c>
      <x:c r="G76" s="35" t="n">
        <x:f>G54/(G46+G50)</x:f>
        <x:v>0.04054444870050753</x:v>
      </x:c>
      <x:c r="H76" s="35" t="n">
        <x:f>H54/(H46+H50)</x:f>
        <x:v>0.0403138502986613</x:v>
      </x:c>
      <x:c r="I76" s="35" t="n">
        <x:f>I54/(I46+I50)</x:f>
        <x:v>0.040089354024709076</x:v>
      </x:c>
      <x:c r="J76" s="1"/>
      <x:c r="K76" s="1"/>
    </x:row>
    <x:row r="77" ht="18" customHeight="1">
      <x:c r="A77" s="1"/>
      <x:c r="B77" s="1"/>
      <x:c r="C77" s="23" t="str">
        <x:v>Return on average equity</x:v>
      </x:c>
      <x:c r="D77" s="24"/>
      <x:c r="E77" s="35" t="n">
        <x:f>E62/(($D13+E71)/2)</x:f>
        <x:v>0.12675005823955357</x:v>
      </x:c>
      <x:c r="F77" s="35" t="n">
        <x:f>F62/((E71+F71)/2)</x:f>
        <x:v>0.12691750274822144</x:v>
      </x:c>
      <x:c r="G77" s="35" t="n">
        <x:f>G62/((F71+G71)/2)</x:f>
        <x:v>0.12712921314671347</x:v>
      </x:c>
      <x:c r="H77" s="35" t="n">
        <x:f>H62/((G71+H71)/2)</x:f>
        <x:v>0.12738065034489318</x:v>
      </x:c>
      <x:c r="I77" s="35" t="n">
        <x:f>I62/((H71+I71)/2)</x:f>
        <x:v>0.12766766324439505</x:v>
      </x:c>
      <x:c r="J77" s="1"/>
      <x:c r="K77" s="1"/>
    </x:row>
    <x:row r="78" ht="18" customHeight="1">
      <x:c r="A78" s="1"/>
      <x:c r="B78" s="1"/>
      <x:c r="C78" s="23" t="str">
        <x:v>Return on average assets</x:v>
      </x:c>
      <x:c r="D78" s="24"/>
      <x:c r="E78" s="35" t="n">
        <x:f>E62/(($D11+$D13+E73)/2)</x:f>
        <x:v>0.01394691449370829</x:v>
      </x:c>
      <x:c r="F78" s="35" t="n">
        <x:f>F62/((E73+F73)/2)</x:f>
        <x:v>0.013710624042871348</x:v>
      </x:c>
      <x:c r="G78" s="35" t="n">
        <x:f>G62/((F73+G73)/2)</x:f>
        <x:v>0.013484297275390975</x:v>
      </x:c>
      <x:c r="H78" s="35" t="n">
        <x:f>H62/((G73+H73)/2)</x:f>
        <x:v>0.013267495296962124</x:v>
      </x:c>
      <x:c r="I78" s="35" t="n">
        <x:f>I62/((H73+I73)/2)</x:f>
        <x:v>0.013059803880584732</x:v>
      </x:c>
      <x:c r="J78" s="1"/>
      <x:c r="K78" s="1"/>
    </x:row>
    <x:row r="79" ht="18" customHeight="1">
      <x:c r="A79" s="1"/>
      <x:c r="B79" s="1"/>
      <x:c r="C79" s="23" t="str">
        <x:v>Gross NPA ratio</x:v>
      </x:c>
      <x:c r="D79" s="24"/>
      <x:c r="E79" s="35" t="n">
        <x:f>E68/E45</x:f>
        <x:v>0.03429203539823009</x:v>
      </x:c>
      <x:c r="F79" s="35" t="n">
        <x:f>F68/F45</x:f>
        <x:v>0.03881470749471377</x:v>
      </x:c>
      <x:c r="G79" s="35" t="n">
        <x:f>G68/G45</x:f>
        <x:v>0.041016008072648304</x:v>
      </x:c>
      <x:c r="H79" s="35" t="n">
        <x:f>H68/H45</x:f>
        <x:v>0.04208743755748368</x:v>
      </x:c>
      <x:c r="I79" s="35" t="n">
        <x:f>I68/I45</x:f>
        <x:v>0.04260892978461596</x:v>
      </x:c>
      <x:c r="J79" s="1"/>
      <x:c r="K79" s="1"/>
    </x:row>
    <x:row r="80" ht="18" customHeight="1">
      <x:c r="A80" s="1"/>
      <x:c r="B80" s="1"/>
      <x:c r="C80" s="23" t="str">
        <x:v>Allowance / gross NPA</x:v>
      </x:c>
      <x:c r="D80" s="24"/>
      <x:c r="E80" s="35" t="n">
        <x:f>IF(E68=0,"n.a.",E69/E68)</x:f>
        <x:v>0.5556129032258065</x:v>
      </x:c>
      <x:c r="F80" s="35" t="n">
        <x:f>IF(F68=0,"n.a.",F69/F68)</x:f>
        <x:v>0.5303182849936947</x:v>
      </x:c>
      <x:c r="G80" s="35" t="n">
        <x:f>IF(G68=0,"n.a.",G69/G68)</x:f>
        <x:v>0.5104950966828946</x:v>
      </x:c>
      <x:c r="H80" s="35" t="n">
        <x:f>IF(H68=0,"n.a.",H69/H68)</x:f>
        <x:v>0.4933780246316961</x:v>
      </x:c>
      <x:c r="I80" s="35" t="n">
        <x:f>IF(I68=0,"n.a.",I69/I68)</x:f>
        <x:v>0.47817384034493643</x:v>
      </x:c>
      <x:c r="J80" s="1"/>
      <x:c r="K80" s="1"/>
    </x:row>
    <x:row r="81" ht="18" customHeight="1">
      <x:c r="A81" s="1"/>
      <x:c r="B81" s="1"/>
      <x:c r="C81" s="23" t="str">
        <x:v>Loan / deposit ratio</x:v>
      </x:c>
      <x:c r="D81" s="24"/>
      <x:c r="E81" s="35" t="n">
        <x:f>E45/E47</x:f>
        <x:v>0.8333333333333333</x:v>
      </x:c>
      <x:c r="F81" s="35" t="n">
        <x:f>F45/F47</x:f>
        <x:v>0.8333333333333331</x:v>
      </x:c>
      <x:c r="G81" s="35" t="n">
        <x:f>G45/G47</x:f>
        <x:v>0.8333333333333331</x:v>
      </x:c>
      <x:c r="H81" s="35" t="n">
        <x:f>H45/H47</x:f>
        <x:v>0.8333333333333333</x:v>
      </x:c>
      <x:c r="I81" s="35" t="n">
        <x:f>I45/I47</x:f>
        <x:v>0.8333333333333331</x:v>
      </x:c>
      <x:c r="J81" s="1"/>
      <x:c r="K81" s="1"/>
    </x:row>
    <x:row r="82" ht="18" customHeight="1">
      <x:c r="A82" s="1"/>
      <x:c r="B82" s="1"/>
      <x:c r="C82" s="23" t="str">
        <x:v>Capital adequacy proxy</x:v>
      </x:c>
      <x:c r="D82" s="24"/>
      <x:c r="E82" s="35" t="n">
        <x:f>E71*E42/(E45*E41)</x:f>
        <x:v>0.1652877278761062</x:v>
      </x:c>
      <x:c r="F82" s="35" t="n">
        <x:f>F71*F42/(F45*F41)</x:f>
        <x:v>0.16191823613830375</x:v>
      </x:c>
      <x:c r="G82" s="35" t="n">
        <x:f>G71*G42/(G45*G41)</x:f>
        <x:v>0.15864437014509702</x:v>
      </x:c>
      <x:c r="H82" s="35" t="n">
        <x:f>H71*H42/(H45*H41)</x:f>
        <x:v>0.1554680497178072</x:v>
      </x:c>
      <x:c r="I82" s="35" t="n">
        <x:f>I71*I42/(I45*I41)</x:f>
        <x:v>0.15239040208710883</x:v>
      </x:c>
      <x:c r="J82" s="1"/>
      <x:c r="K82" s="1"/>
    </x:row>
    <x:row r="83" ht="18" customHeight="1">
      <x:c r="A83" s="1"/>
      <x:c r="B83" s="1"/>
      <x:c r="C83" s="1" t="str">
        <x:v>Capital below internal target</x:v>
      </x:c>
      <x:c r="D83" s="2"/>
      <x:c r="E83" s="8" t="n">
        <x:f>MAX(0,E45*E41*E43-E71*E42)</x:f>
        <x:v>0</x:v>
      </x:c>
      <x:c r="F83" s="8" t="n">
        <x:f>MAX(0,F45*F41*F43-F71*F42)</x:f>
        <x:v>0</x:v>
      </x:c>
      <x:c r="G83" s="8" t="n">
        <x:f>MAX(0,G45*G41*G43-G71*G42)</x:f>
        <x:v>0</x:v>
      </x:c>
      <x:c r="H83" s="8" t="n">
        <x:f>MAX(0,H45*H41*H43-H71*H42)</x:f>
        <x:v>0</x:v>
      </x:c>
      <x:c r="I83" s="8" t="n">
        <x:f>MAX(0,I45*I41*I43-I71*I42)</x:f>
        <x:v>0</x:v>
      </x:c>
      <x:c r="J83" s="1"/>
      <x:c r="K83" s="1"/>
    </x:row>
    <x:row r="84" ht="18" customHeight="1">
      <x:c r="A84" s="1"/>
      <x:c r="B84" s="1"/>
      <x:c r="C84" s="1" t="str">
        <x:v>Forward book-based equity value</x:v>
      </x:c>
      <x:c r="D84" s="2"/>
      <x:c r="E84" s="8" t="n">
        <x:f>E71*$D17</x:f>
        <x:v>29884.021200000003</x:v>
      </x:c>
      <x:c r="F84" s="8" t="n">
        <x:f>F71*$D17</x:f>
        <x:v>33080.543316</x:v>
      </x:c>
      <x:c r="G84" s="8" t="n">
        <x:f>G71*$D17</x:f>
        <x:v>36625.19771988</x:v>
      </x:c>
      <x:c r="H84" s="8" t="n">
        <x:f>H71*$D17</x:f>
        <x:v>40557.8483620884</x:v>
      </x:c>
      <x:c r="I84" s="8" t="n">
        <x:f>I71*$D17</x:f>
        <x:v>44923.11004687381</x:v>
      </x:c>
      <x:c r="J84" s="1"/>
      <x:c r="K84" s="1"/>
    </x:row>
    <x:row r="85" ht="18" customHeight="1">
      <x:c r="A85" s="1"/>
      <x:c r="B85" s="1"/>
      <x:c r="C85" s="1" t="str">
        <x:v>Forward earnings-based equity value</x:v>
      </x:c>
      <x:c r="D85" s="2"/>
      <x:c r="E85" s="8" t="n">
        <x:f>E62*$D18</x:f>
        <x:v>26036.3025</x:v>
      </x:c>
      <x:c r="F85" s="8" t="n">
        <x:f>F62*$D18</x:f>
        <x:v>28857.491324999988</x:v>
      </x:c>
      <x:c r="G85" s="8" t="n">
        <x:f>G62*$D18</x:f>
        <x:v>32000.352257249997</x:v>
      </x:c>
      <x:c r="H85" s="8" t="n">
        <x:f>H62*$D18</x:f>
        <x:v>35503.096075492474</x:v>
      </x:c>
      <x:c r="I85" s="8" t="n">
        <x:f>I62*$D18</x:f>
        <x:v>39408.612432090515</x:v>
      </x:c>
      <x:c r="J85" s="1"/>
      <x:c r="K85" s="1"/>
    </x:row>
    <x:row r="86" ht="18" customHeight="1">
      <x:c r="A86" s="1"/>
      <x:c r="B86" s="1"/>
      <x:c r="C86" s="1" t="str">
        <x:v>Book value per share (INR)</x:v>
      </x:c>
      <x:c r="D86" s="33"/>
      <x:c r="E86" s="34" t="n">
        <x:f>E71/$D16</x:f>
        <x:v>166.02234</x:v>
      </x:c>
      <x:c r="F86" s="34" t="n">
        <x:f>F71/$D16</x:f>
        <x:v>183.7807962</x:v>
      </x:c>
      <x:c r="G86" s="34" t="n">
        <x:f>G71/$D16</x:f>
        <x:v>203.473320666</x:v>
      </x:c>
      <x:c r="H86" s="34" t="n">
        <x:f>H71/$D16</x:f>
        <x:v>225.32137978938002</x:v>
      </x:c>
      <x:c r="I86" s="34" t="n">
        <x:f>I71/$D16</x:f>
        <x:v>249.57283359374338</x:v>
      </x:c>
      <x:c r="J86" s="1"/>
      <x:c r="K86" s="1"/>
    </x:row>
    <x:row r="87" ht="18" customHeight="1">
      <x:c r="A87" s="1"/>
      <x:c r="B87" s="1"/>
      <x:c r="C87" s="38" t="str">
        <x:v>PV of FY:27 book-based equity value</x:v>
      </x:c>
      <x:c r="D87" s="39"/>
      <x:c r="E87" s="41" t="n">
        <x:f>E84/(1+$D19)</x:f>
        <x:v>26214.053684210525</x:v>
      </x:c>
      <x:c r="F87" s="39"/>
      <x:c r="G87" s="39"/>
      <x:c r="H87" s="39"/>
      <x:c r="I87" s="39"/>
      <x:c r="J87" s="1"/>
      <x:c r="K87" s="1" t="str">
        <x:v>One-year discount to 31 March 2026. Forward P/B and discount rate are illustrative.</x:v>
      </x:c>
    </x:row>
    <x:row r="88" ht="18" customHeight="1">
      <x:c r="A88" s="1"/>
      <x:c r="B88" s="1"/>
      <x:c r="C88" s="19" t="str">
        <x:v>MODEL CHECKS</x:v>
      </x:c>
      <x:c r="D88" s="20"/>
      <x:c r="E88" s="20"/>
      <x:c r="F88" s="20"/>
      <x:c r="G88" s="20"/>
      <x:c r="H88" s="20"/>
      <x:c r="I88" s="20"/>
      <x:c r="J88" s="1"/>
      <x:c r="K88" s="1"/>
    </x:row>
    <x:row r="89" ht="18" customHeight="1">
      <x:c r="A89" s="1"/>
      <x:c r="B89" s="1"/>
      <x:c r="C89" s="1" t="str">
        <x:v>Assets less funding and equity</x:v>
      </x:c>
      <x:c r="D89" s="33"/>
      <x:c r="E89" s="34" t="n">
        <x:f>E73-E47-E71</x:f>
        <x:v>-3.637978807091713e-12</x:v>
      </x:c>
      <x:c r="F89" s="34" t="n">
        <x:f>F73-F47-F71</x:f>
        <x:v>3.637978807091713e-12</x:v>
      </x:c>
      <x:c r="G89" s="34" t="n">
        <x:f>G73-G47-G71</x:f>
        <x:v>7.275957614183426e-12</x:v>
      </x:c>
      <x:c r="H89" s="34" t="n">
        <x:f>H73-H47-H71</x:f>
        <x:v>0</x:v>
      </x:c>
      <x:c r="I89" s="34" t="n">
        <x:f>I73-I47-I71</x:f>
        <x:v>-1.0913936421275139e-11</x:v>
      </x:c>
      <x:c r="J89" s="1"/>
      <x:c r="K89" s="1"/>
    </x:row>
    <x:row r="90" ht="18" customHeight="1">
      <x:c r="A90" s="1"/>
      <x:c r="B90" s="1"/>
      <x:c r="C90" s="1" t="str">
        <x:v>Residual liquidity shortfall</x:v>
      </x:c>
      <x:c r="D90" s="33"/>
      <x:c r="E90" s="34" t="n">
        <x:f>MAX(0,-E72)</x:f>
        <x:v>0</x:v>
      </x:c>
      <x:c r="F90" s="34" t="n">
        <x:f>MAX(0,-F72)</x:f>
        <x:v>0</x:v>
      </x:c>
      <x:c r="G90" s="34" t="n">
        <x:f>MAX(0,-G72)</x:f>
        <x:v>0</x:v>
      </x:c>
      <x:c r="H90" s="34" t="n">
        <x:f>MAX(0,-H72)</x:f>
        <x:v>0</x:v>
      </x:c>
      <x:c r="I90" s="34" t="n">
        <x:f>MAX(0,-I72)</x:f>
        <x:v>0</x:v>
      </x:c>
      <x:c r="J90" s="1"/>
      <x:c r="K90" s="1"/>
    </x:row>
    <x:row r="91" ht="18" customHeight="1">
      <x:c r="A91" s="1"/>
      <x:c r="B91" s="1"/>
      <x:c r="C91" s="1" t="str">
        <x:v>Allowance below zero</x:v>
      </x:c>
      <x:c r="D91" s="33"/>
      <x:c r="E91" s="34" t="n">
        <x:f>MAX(0,-E69)</x:f>
        <x:v>0</x:v>
      </x:c>
      <x:c r="F91" s="34" t="n">
        <x:f>MAX(0,-F69)</x:f>
        <x:v>0</x:v>
      </x:c>
      <x:c r="G91" s="34" t="n">
        <x:f>MAX(0,-G69)</x:f>
        <x:v>0</x:v>
      </x:c>
      <x:c r="H91" s="34" t="n">
        <x:f>MAX(0,-H69)</x:f>
        <x:v>0</x:v>
      </x:c>
      <x:c r="I91" s="34" t="n">
        <x:f>MAX(0,-I69)</x:f>
        <x:v>0</x:v>
      </x:c>
      <x:c r="J91" s="1"/>
      <x:c r="K91" s="1"/>
    </x:row>
    <x:row r="92" ht="18" customHeight="1">
      <x:c r="A92" s="1"/>
      <x:c r="B92" s="1"/>
      <x:c r="C92" s="1" t="str">
        <x:v>NPA above gross loans</x:v>
      </x:c>
      <x:c r="D92" s="33"/>
      <x:c r="E92" s="34" t="n">
        <x:f>MAX(0,E68-E45)</x:f>
        <x:v>0</x:v>
      </x:c>
      <x:c r="F92" s="34" t="n">
        <x:f>MAX(0,F68-F45)</x:f>
        <x:v>0</x:v>
      </x:c>
      <x:c r="G92" s="34" t="n">
        <x:f>MAX(0,G68-G45)</x:f>
        <x:v>0</x:v>
      </x:c>
      <x:c r="H92" s="34" t="n">
        <x:f>MAX(0,H68-H45)</x:f>
        <x:v>0</x:v>
      </x:c>
      <x:c r="I92" s="34" t="n">
        <x:f>MAX(0,I68-I45)</x:f>
        <x:v>0</x:v>
      </x:c>
      <x:c r="J92" s="1"/>
      <x:c r="K92" s="1"/>
    </x:row>
    <x:row r="93" ht="18" customHeight="1">
      <x:c r="A93" s="1"/>
      <x:c r="B93" s="1"/>
      <x:c r="C93" s="1"/>
      <x:c r="D93" s="2"/>
      <x:c r="E93" s="2"/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/>
      <x:c r="D94" s="2"/>
      <x:c r="E94" s="2"/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1"/>
      <x:c r="D95" s="2"/>
      <x:c r="E95" s="2"/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/>
      <x:c r="D96" s="2"/>
      <x:c r="E96" s="2"/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/>
      <x:c r="D97" s="2"/>
      <x:c r="E97" s="2"/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/>
      <x:c r="D98" s="2"/>
      <x:c r="E98" s="2"/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1"/>
      <x:c r="D99" s="2"/>
      <x:c r="E99" s="2"/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/>
      <x:c r="D100" s="2"/>
      <x:c r="E100" s="2"/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1"/>
      <x:c r="D101" s="2"/>
      <x:c r="E101" s="2"/>
      <x:c r="F101" s="2"/>
      <x:c r="G101" s="2"/>
      <x:c r="H101" s="2"/>
      <x:c r="I101" s="2"/>
      <x:c r="J101" s="1"/>
      <x:c r="K101" s="1"/>
    </x:row>
    <x:row r="102" ht="18" customHeight="1">
      <x:c r="A102" s="1"/>
      <x:c r="B102" s="1"/>
      <x:c r="C102" s="1"/>
      <x:c r="D102" s="2"/>
      <x:c r="E102" s="2"/>
      <x:c r="F102" s="2"/>
      <x:c r="G102" s="2"/>
      <x:c r="H102" s="2"/>
      <x:c r="I102" s="2"/>
      <x:c r="J102" s="1"/>
      <x:c r="K102" s="1"/>
    </x:row>
    <x:row r="103" ht="18" customHeight="1">
      <x:c r="A103" s="1"/>
      <x:c r="B103" s="1"/>
      <x:c r="C103" s="1"/>
      <x:c r="D103" s="2"/>
      <x:c r="E103" s="2"/>
      <x:c r="F103" s="2"/>
      <x:c r="G103" s="2"/>
      <x:c r="H103" s="2"/>
      <x:c r="I103" s="2"/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89:I89">
    <x:cfRule type="expression" dxfId="60" priority="1">
      <x:formula>ABS(E89)&gt;0.01</x:formula>
    </x:cfRule>
  </x:conditionalFormatting>
  <x:conditionalFormatting sqref="E90:I90">
    <x:cfRule type="expression" dxfId="61" priority="2">
      <x:formula>ABS(E90)&gt;0.01</x:formula>
    </x:cfRule>
  </x:conditionalFormatting>
  <x:conditionalFormatting sqref="E91:I91">
    <x:cfRule type="expression" dxfId="62" priority="3">
      <x:formula>ABS(E91)&gt;0.01</x:formula>
    </x:cfRule>
  </x:conditionalFormatting>
  <x:conditionalFormatting sqref="E92:I92">
    <x:cfRule type="expression" dxfId="63" priority="4">
      <x:formula>ABS(E92)&gt;0.01</x:formula>
    </x:cfRule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NBFC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LENDING, FUNDING AND CREDIT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Opening gross loans</x:v>
      </x:c>
      <x:c r="D10" s="7" t="n">
        <x:v>20000</x:v>
      </x:c>
      <x:c r="E10" s="2"/>
      <x:c r="F10" s="2"/>
      <x:c r="G10" s="2"/>
      <x:c r="H10" s="2"/>
      <x:c r="I10" s="2"/>
      <x:c r="J10" s="1"/>
      <x:c r="K10" s="1" t="str">
        <x:v>All inputs are illustrative. No bank, NBFC or reported regulatory ratio is represented.</x:v>
      </x:c>
    </x:row>
    <x:row r="11" ht="18" customHeight="1">
      <x:c r="A11" s="1"/>
      <x:c r="B11" s="1"/>
      <x:c r="C11" s="1" t="str">
        <x:v>Opening borrowings</x:v>
      </x:c>
      <x:c r="D11" s="7" t="n">
        <x:v>16000</x:v>
      </x:c>
      <x:c r="E11" s="2"/>
      <x:c r="F11" s="2"/>
      <x:c r="G11" s="2"/>
      <x:c r="H11" s="2"/>
      <x:c r="I11" s="2"/>
      <x:c r="J11" s="1"/>
      <x:c r="K11" s="1" t="str">
        <x:v>Closing gross-loan growth is after recoveries and write-offs. Disbursements are not separately forecast.</x:v>
      </x:c>
    </x:row>
    <x:row r="12" ht="18" customHeight="1">
      <x:c r="A12" s="1"/>
      <x:c r="B12" s="1"/>
      <x:c r="C12" s="1" t="str">
        <x:v>Opening investment assets</x:v>
      </x:c>
      <x:c r="D12" s="7" t="n">
        <x:v>1000</x:v>
      </x:c>
      <x:c r="E12" s="2"/>
      <x:c r="F12" s="2"/>
      <x:c r="G12" s="2"/>
      <x:c r="H12" s="2"/>
      <x:c r="I12" s="2"/>
      <x:c r="J12" s="1"/>
      <x:c r="K12" s="1" t="str">
        <x:v>Simplified spread, credit-loss and liquidity model. No full regulatory cash-flow or ALM statement.</x:v>
      </x:c>
    </x:row>
    <x:row r="13" ht="18" customHeight="1">
      <x:c r="A13" s="1"/>
      <x:c r="B13" s="1"/>
      <x:c r="C13" s="1" t="str">
        <x:v>Opening equity</x:v>
      </x:c>
      <x:c r="D13" s="7" t="n">
        <x:v>5000</x:v>
      </x:c>
      <x:c r="E13" s="2"/>
      <x:c r="F13" s="2"/>
      <x:c r="G13" s="2"/>
      <x:c r="H13" s="2"/>
      <x:c r="I13" s="2"/>
      <x:c r="J13" s="1"/>
      <x:c r="K13" s="1" t="str">
        <x:v>Cash has zero yield. No wholesale bank funding, securitization, derivatives or off-balance-sheet exposures.</x:v>
      </x:c>
    </x:row>
    <x:row r="14" ht="18" customHeight="1">
      <x:c r="A14" s="1"/>
      <x:c r="B14" s="1"/>
      <x:c r="C14" s="1" t="str">
        <x:v>Opening credit-loss allowance</x:v>
      </x:c>
      <x:c r="D14" s="7" t="n">
        <x:v>600</x:v>
      </x:c>
      <x:c r="E14" s="2"/>
      <x:c r="F14" s="2"/>
      <x:c r="G14" s="2"/>
      <x:c r="H14" s="2"/>
      <x:c r="I14" s="2"/>
      <x:c r="J14" s="1"/>
      <x:c r="K14" s="1"/>
    </x:row>
    <x:row r="15" ht="18" customHeight="1">
      <x:c r="A15" s="1"/>
      <x:c r="B15" s="1"/>
      <x:c r="C15" s="1" t="str">
        <x:v>Opening gross non-performing loans</x:v>
      </x:c>
      <x:c r="D15" s="7" t="n">
        <x:v>900</x:v>
      </x:c>
      <x:c r="E15" s="2"/>
      <x:c r="F15" s="2"/>
      <x:c r="G15" s="2"/>
      <x:c r="H15" s="2"/>
      <x:c r="I15" s="2"/>
      <x:c r="J15" s="1"/>
      <x:c r="K15" s="1"/>
    </x:row>
    <x:row r="16" ht="18" customHeight="1">
      <x:c r="A16" s="1"/>
      <x:c r="B16" s="1"/>
      <x:c r="C16" s="1" t="str">
        <x:v>Diluted shares (crore)</x:v>
      </x:c>
      <x:c r="D16" s="7" t="n">
        <x:v>100</x:v>
      </x:c>
      <x:c r="E16" s="2"/>
      <x:c r="F16" s="2"/>
      <x:c r="G16" s="2"/>
      <x:c r="H16" s="2"/>
      <x:c r="I16" s="2"/>
      <x:c r="J16" s="1"/>
      <x:c r="K16" s="1"/>
    </x:row>
    <x:row r="17" ht="18" customHeight="1">
      <x:c r="A17" s="1"/>
      <x:c r="B17" s="1"/>
      <x:c r="C17" s="1" t="str">
        <x:v>Forward price / book multiple</x:v>
      </x:c>
      <x:c r="D17" s="55" t="n">
        <x:v>2.5</x:v>
      </x:c>
      <x:c r="E17" s="2"/>
      <x:c r="F17" s="2"/>
      <x:c r="G17" s="2"/>
      <x:c r="H17" s="2"/>
      <x:c r="I17" s="2"/>
      <x:c r="J17" s="1"/>
      <x:c r="K17" s="1"/>
    </x:row>
    <x:row r="18" ht="18" customHeight="1">
      <x:c r="A18" s="1"/>
      <x:c r="B18" s="1"/>
      <x:c r="C18" s="1" t="str">
        <x:v>Forward price / earnings multiple</x:v>
      </x:c>
      <x:c r="D18" s="55" t="n">
        <x:v>18</x:v>
      </x:c>
      <x:c r="E18" s="2"/>
      <x:c r="F18" s="2"/>
      <x:c r="G18" s="2"/>
      <x:c r="H18" s="2"/>
      <x:c r="I18" s="2"/>
      <x:c r="J18" s="1"/>
      <x:c r="K18" s="1"/>
    </x:row>
    <x:row r="19" ht="18" customHeight="1">
      <x:c r="A19" s="1"/>
      <x:c r="B19" s="1"/>
      <x:c r="C19" s="1" t="str">
        <x:v>Cost of equity for one-year discount</x:v>
      </x:c>
      <x:c r="D19" s="25" t="n">
        <x:v>0.14</x:v>
      </x:c>
      <x:c r="E19" s="2"/>
      <x:c r="F19" s="2"/>
      <x:c r="G19" s="2"/>
      <x:c r="H19" s="2"/>
      <x:c r="I19" s="2"/>
      <x:c r="J19" s="1"/>
      <x:c r="K19" s="1"/>
    </x:row>
    <x:row r="20" ht="18" customHeight="1">
      <x:c r="A20" s="1"/>
      <x:c r="B20" s="1"/>
      <x:c r="C20" s="28" t="str">
        <x:v>Loan growth — active</x:v>
      </x:c>
      <x:c r="D20" s="29"/>
      <x:c r="E20" s="30" t="n">
        <x:f>IF(COUNT(INDEX(E21:E23,'Controls'!$E$5))=0,NA(),INDEX(E21:E23,'Controls'!$E$5))</x:f>
        <x:v>0.13</x:v>
      </x:c>
      <x:c r="F20" s="30" t="n">
        <x:f>IF(COUNT(INDEX(F21:F23,'Controls'!$E$5))=0,NA(),INDEX(F21:F23,'Controls'!$E$5))</x:f>
        <x:v>0.13</x:v>
      </x:c>
      <x:c r="G20" s="30" t="n">
        <x:f>IF(COUNT(INDEX(G21:G23,'Controls'!$E$5))=0,NA(),INDEX(G21:G23,'Controls'!$E$5))</x:f>
        <x:v>0.13</x:v>
      </x:c>
      <x:c r="H20" s="30" t="n">
        <x:f>IF(COUNT(INDEX(H21:H23,'Controls'!$E$5))=0,NA(),INDEX(H21:H23,'Controls'!$E$5))</x:f>
        <x:v>0.13</x:v>
      </x:c>
      <x:c r="I20" s="30" t="n">
        <x:f>IF(COUNT(INDEX(I21:I23,'Controls'!$E$5))=0,NA(),INDEX(I21:I23,'Controls'!$E$5))</x:f>
        <x:v>0.13</x:v>
      </x:c>
      <x:c r="J20" s="1"/>
      <x:c r="K20" s="1"/>
    </x:row>
    <x:row r="21" ht="18" customHeight="1">
      <x:c r="A21" s="1"/>
      <x:c r="B21" s="1"/>
      <x:c r="C21" s="23" t="str">
        <x:v>Base</x:v>
      </x:c>
      <x:c r="D21" s="24"/>
      <x:c r="E21" s="26" t="n">
        <x:v>0.13</x:v>
      </x:c>
      <x:c r="F21" s="26" t="n">
        <x:v>0.13</x:v>
      </x:c>
      <x:c r="G21" s="26" t="n">
        <x:v>0.13</x:v>
      </x:c>
      <x:c r="H21" s="26" t="n">
        <x:v>0.13</x:v>
      </x:c>
      <x:c r="I21" s="26" t="n">
        <x:v>0.13</x:v>
      </x:c>
      <x:c r="J21" s="1"/>
      <x:c r="K21" s="1"/>
    </x:row>
    <x:row r="22" ht="18" customHeight="1">
      <x:c r="A22" s="1"/>
      <x:c r="B22" s="1"/>
      <x:c r="C22" s="23" t="str">
        <x:v>Downside</x:v>
      </x:c>
      <x:c r="D22" s="24"/>
      <x:c r="E22" s="26" t="n">
        <x:v>0.07</x:v>
      </x:c>
      <x:c r="F22" s="26" t="n">
        <x:v>0.07</x:v>
      </x:c>
      <x:c r="G22" s="26" t="n">
        <x:v>0.07</x:v>
      </x:c>
      <x:c r="H22" s="26" t="n">
        <x:v>0.07</x:v>
      </x:c>
      <x:c r="I22" s="26" t="n">
        <x:v>0.07</x:v>
      </x:c>
      <x:c r="J22" s="1"/>
      <x:c r="K22" s="1"/>
    </x:row>
    <x:row r="23" ht="18" customHeight="1">
      <x:c r="A23" s="1"/>
      <x:c r="B23" s="1"/>
      <x:c r="C23" s="23" t="str">
        <x:v>Upside</x:v>
      </x:c>
      <x:c r="D23" s="24"/>
      <x:c r="E23" s="26" t="n">
        <x:v>0.18</x:v>
      </x:c>
      <x:c r="F23" s="26" t="n">
        <x:v>0.18</x:v>
      </x:c>
      <x:c r="G23" s="26" t="n">
        <x:v>0.18</x:v>
      </x:c>
      <x:c r="H23" s="26" t="n">
        <x:v>0.18</x:v>
      </x:c>
      <x:c r="I23" s="26" t="n">
        <x:v>0.18</x:v>
      </x:c>
      <x:c r="J23" s="1"/>
      <x:c r="K23" s="1"/>
    </x:row>
    <x:row r="24" ht="18" customHeight="1">
      <x:c r="A24" s="1"/>
      <x:c r="B24" s="1"/>
      <x:c r="C24" s="28" t="str">
        <x:v>Credit cost / average gross loans — active</x:v>
      </x:c>
      <x:c r="D24" s="29"/>
      <x:c r="E24" s="30" t="n">
        <x:f>IF(COUNT(INDEX(E25:E27,'Controls'!$E$5))=0,NA(),INDEX(E25:E27,'Controls'!$E$5))</x:f>
        <x:v>0.025</x:v>
      </x:c>
      <x:c r="F24" s="30" t="n">
        <x:f>IF(COUNT(INDEX(F25:F27,'Controls'!$E$5))=0,NA(),INDEX(F25:F27,'Controls'!$E$5))</x:f>
        <x:v>0.025</x:v>
      </x:c>
      <x:c r="G24" s="30" t="n">
        <x:f>IF(COUNT(INDEX(G25:G27,'Controls'!$E$5))=0,NA(),INDEX(G25:G27,'Controls'!$E$5))</x:f>
        <x:v>0.025</x:v>
      </x:c>
      <x:c r="H24" s="30" t="n">
        <x:f>IF(COUNT(INDEX(H25:H27,'Controls'!$E$5))=0,NA(),INDEX(H25:H27,'Controls'!$E$5))</x:f>
        <x:v>0.025</x:v>
      </x:c>
      <x:c r="I24" s="30" t="n">
        <x:f>IF(COUNT(INDEX(I25:I27,'Controls'!$E$5))=0,NA(),INDEX(I25:I27,'Controls'!$E$5))</x:f>
        <x:v>0.025</x:v>
      </x:c>
      <x:c r="J24" s="1"/>
      <x:c r="K24" s="1"/>
    </x:row>
    <x:row r="25" ht="18" customHeight="1">
      <x:c r="A25" s="1"/>
      <x:c r="B25" s="1"/>
      <x:c r="C25" s="23" t="str">
        <x:v>Base</x:v>
      </x:c>
      <x:c r="D25" s="24"/>
      <x:c r="E25" s="26" t="n">
        <x:v>0.025</x:v>
      </x:c>
      <x:c r="F25" s="26" t="n">
        <x:v>0.025</x:v>
      </x:c>
      <x:c r="G25" s="26" t="n">
        <x:v>0.025</x:v>
      </x:c>
      <x:c r="H25" s="26" t="n">
        <x:v>0.025</x:v>
      </x:c>
      <x:c r="I25" s="26" t="n">
        <x:v>0.025</x:v>
      </x:c>
      <x:c r="J25" s="1"/>
      <x:c r="K25" s="1"/>
    </x:row>
    <x:row r="26" ht="18" customHeight="1">
      <x:c r="A26" s="1"/>
      <x:c r="B26" s="1"/>
      <x:c r="C26" s="23" t="str">
        <x:v>Downside</x:v>
      </x:c>
      <x:c r="D26" s="24"/>
      <x:c r="E26" s="26" t="n">
        <x:v>0.04</x:v>
      </x:c>
      <x:c r="F26" s="26" t="n">
        <x:v>0.04</x:v>
      </x:c>
      <x:c r="G26" s="26" t="n">
        <x:v>0.04</x:v>
      </x:c>
      <x:c r="H26" s="26" t="n">
        <x:v>0.04</x:v>
      </x:c>
      <x:c r="I26" s="26" t="n">
        <x:v>0.04</x:v>
      </x:c>
      <x:c r="J26" s="1"/>
      <x:c r="K26" s="1"/>
    </x:row>
    <x:row r="27" ht="18" customHeight="1">
      <x:c r="A27" s="1"/>
      <x:c r="B27" s="1"/>
      <x:c r="C27" s="23" t="str">
        <x:v>Upside</x:v>
      </x:c>
      <x:c r="D27" s="24"/>
      <x:c r="E27" s="26" t="n">
        <x:v>0.018</x:v>
      </x:c>
      <x:c r="F27" s="26" t="n">
        <x:v>0.018</x:v>
      </x:c>
      <x:c r="G27" s="26" t="n">
        <x:v>0.018</x:v>
      </x:c>
      <x:c r="H27" s="26" t="n">
        <x:v>0.018</x:v>
      </x:c>
      <x:c r="I27" s="26" t="n">
        <x:v>0.018</x:v>
      </x:c>
      <x:c r="J27" s="1"/>
      <x:c r="K27" s="1"/>
    </x:row>
    <x:row r="28" ht="18" customHeight="1">
      <x:c r="A28" s="1"/>
      <x:c r="B28" s="1"/>
      <x:c r="C28" s="23" t="str">
        <x:v>Borrowing growth</x:v>
      </x:c>
      <x:c r="D28" s="24"/>
      <x:c r="E28" s="26" t="n">
        <x:v>0.13</x:v>
      </x:c>
      <x:c r="F28" s="26" t="n">
        <x:v>0.13</x:v>
      </x:c>
      <x:c r="G28" s="26" t="n">
        <x:v>0.13</x:v>
      </x:c>
      <x:c r="H28" s="26" t="n">
        <x:v>0.13</x:v>
      </x:c>
      <x:c r="I28" s="26" t="n">
        <x:v>0.13</x:v>
      </x:c>
      <x:c r="J28" s="1"/>
      <x:c r="K28" s="1"/>
    </x:row>
    <x:row r="29" ht="18" customHeight="1">
      <x:c r="A29" s="1"/>
      <x:c r="B29" s="1"/>
      <x:c r="C29" s="23" t="str">
        <x:v>Investment asset growth</x:v>
      </x:c>
      <x:c r="D29" s="24"/>
      <x:c r="E29" s="26" t="n">
        <x:v>0.08</x:v>
      </x:c>
      <x:c r="F29" s="26" t="n">
        <x:v>0.08</x:v>
      </x:c>
      <x:c r="G29" s="26" t="n">
        <x:v>0.08</x:v>
      </x:c>
      <x:c r="H29" s="26" t="n">
        <x:v>0.08</x:v>
      </x:c>
      <x:c r="I29" s="26" t="n">
        <x:v>0.08</x:v>
      </x:c>
      <x:c r="J29" s="1"/>
      <x:c r="K29" s="1"/>
    </x:row>
    <x:row r="30" ht="18" customHeight="1">
      <x:c r="A30" s="1"/>
      <x:c r="B30" s="1"/>
      <x:c r="C30" s="23" t="str">
        <x:v>Gross-loan yield</x:v>
      </x:c>
      <x:c r="D30" s="24"/>
      <x:c r="E30" s="26" t="n">
        <x:v>0.17</x:v>
      </x:c>
      <x:c r="F30" s="26" t="n">
        <x:v>0.17</x:v>
      </x:c>
      <x:c r="G30" s="26" t="n">
        <x:v>0.17</x:v>
      </x:c>
      <x:c r="H30" s="26" t="n">
        <x:v>0.17</x:v>
      </x:c>
      <x:c r="I30" s="26" t="n">
        <x:v>0.17</x:v>
      </x:c>
      <x:c r="J30" s="1"/>
      <x:c r="K30" s="1"/>
    </x:row>
    <x:row r="31" ht="18" customHeight="1">
      <x:c r="A31" s="1"/>
      <x:c r="B31" s="1"/>
      <x:c r="C31" s="23" t="str">
        <x:v>Borrowing cost</x:v>
      </x:c>
      <x:c r="D31" s="24"/>
      <x:c r="E31" s="26" t="n">
        <x:v>0.085</x:v>
      </x:c>
      <x:c r="F31" s="26" t="n">
        <x:v>0.085</x:v>
      </x:c>
      <x:c r="G31" s="26" t="n">
        <x:v>0.085</x:v>
      </x:c>
      <x:c r="H31" s="26" t="n">
        <x:v>0.085</x:v>
      </x:c>
      <x:c r="I31" s="26" t="n">
        <x:v>0.085</x:v>
      </x:c>
      <x:c r="J31" s="1"/>
      <x:c r="K31" s="1"/>
    </x:row>
    <x:row r="32" ht="18" customHeight="1">
      <x:c r="A32" s="1"/>
      <x:c r="B32" s="1"/>
      <x:c r="C32" s="23" t="str">
        <x:v>Investment yield</x:v>
      </x:c>
      <x:c r="D32" s="24"/>
      <x:c r="E32" s="26" t="n">
        <x:v>0.065</x:v>
      </x:c>
      <x:c r="F32" s="26" t="n">
        <x:v>0.065</x:v>
      </x:c>
      <x:c r="G32" s="26" t="n">
        <x:v>0.065</x:v>
      </x:c>
      <x:c r="H32" s="26" t="n">
        <x:v>0.065</x:v>
      </x:c>
      <x:c r="I32" s="26" t="n">
        <x:v>0.065</x:v>
      </x:c>
      <x:c r="J32" s="1"/>
      <x:c r="K32" s="1"/>
    </x:row>
    <x:row r="33" ht="18" customHeight="1">
      <x:c r="A33" s="1"/>
      <x:c r="B33" s="1"/>
      <x:c r="C33" s="23" t="str">
        <x:v>Fee income / average gross loans</x:v>
      </x:c>
      <x:c r="D33" s="24"/>
      <x:c r="E33" s="26" t="n">
        <x:v>0.012</x:v>
      </x:c>
      <x:c r="F33" s="26" t="n">
        <x:v>0.012</x:v>
      </x:c>
      <x:c r="G33" s="26" t="n">
        <x:v>0.012</x:v>
      </x:c>
      <x:c r="H33" s="26" t="n">
        <x:v>0.012</x:v>
      </x:c>
      <x:c r="I33" s="26" t="n">
        <x:v>0.012</x:v>
      </x:c>
      <x:c r="J33" s="1"/>
      <x:c r="K33" s="1"/>
    </x:row>
    <x:row r="34" ht="18" customHeight="1">
      <x:c r="A34" s="1"/>
      <x:c r="B34" s="1"/>
      <x:c r="C34" s="23" t="str">
        <x:v>Operating cost / net operating income</x:v>
      </x:c>
      <x:c r="D34" s="24"/>
      <x:c r="E34" s="26" t="n">
        <x:v>0.35</x:v>
      </x:c>
      <x:c r="F34" s="26" t="n">
        <x:v>0.35</x:v>
      </x:c>
      <x:c r="G34" s="26" t="n">
        <x:v>0.35</x:v>
      </x:c>
      <x:c r="H34" s="26" t="n">
        <x:v>0.35</x:v>
      </x:c>
      <x:c r="I34" s="26" t="n">
        <x:v>0.35</x:v>
      </x:c>
      <x:c r="J34" s="1"/>
      <x:c r="K34" s="1"/>
    </x:row>
    <x:row r="35" ht="18" customHeight="1">
      <x:c r="A35" s="1"/>
      <x:c r="B35" s="1"/>
      <x:c r="C35" s="23" t="str">
        <x:v>NPA slippages / opening gross loans</x:v>
      </x:c>
      <x:c r="D35" s="24"/>
      <x:c r="E35" s="26" t="n">
        <x:v>0.025</x:v>
      </x:c>
      <x:c r="F35" s="26" t="n">
        <x:v>0.025</x:v>
      </x:c>
      <x:c r="G35" s="26" t="n">
        <x:v>0.025</x:v>
      </x:c>
      <x:c r="H35" s="26" t="n">
        <x:v>0.025</x:v>
      </x:c>
      <x:c r="I35" s="26" t="n">
        <x:v>0.025</x:v>
      </x:c>
      <x:c r="J35" s="1"/>
      <x:c r="K35" s="1"/>
    </x:row>
    <x:row r="36" ht="18" customHeight="1">
      <x:c r="A36" s="1"/>
      <x:c r="B36" s="1"/>
      <x:c r="C36" s="23" t="str">
        <x:v>NPA recovery / opening gross NPA</x:v>
      </x:c>
      <x:c r="D36" s="24"/>
      <x:c r="E36" s="26" t="n">
        <x:v>0.2</x:v>
      </x:c>
      <x:c r="F36" s="26" t="n">
        <x:v>0.2</x:v>
      </x:c>
      <x:c r="G36" s="26" t="n">
        <x:v>0.2</x:v>
      </x:c>
      <x:c r="H36" s="26" t="n">
        <x:v>0.2</x:v>
      </x:c>
      <x:c r="I36" s="26" t="n">
        <x:v>0.2</x:v>
      </x:c>
      <x:c r="J36" s="1"/>
      <x:c r="K36" s="1"/>
    </x:row>
    <x:row r="37" ht="18" customHeight="1">
      <x:c r="A37" s="1"/>
      <x:c r="B37" s="1"/>
      <x:c r="C37" s="23" t="str">
        <x:v>Write-offs / opening gross NPA</x:v>
      </x:c>
      <x:c r="D37" s="24"/>
      <x:c r="E37" s="26" t="n">
        <x:v>0.25</x:v>
      </x:c>
      <x:c r="F37" s="26" t="n">
        <x:v>0.25</x:v>
      </x:c>
      <x:c r="G37" s="26" t="n">
        <x:v>0.25</x:v>
      </x:c>
      <x:c r="H37" s="26" t="n">
        <x:v>0.25</x:v>
      </x:c>
      <x:c r="I37" s="26" t="n">
        <x:v>0.25</x:v>
      </x:c>
      <x:c r="J37" s="1"/>
      <x:c r="K37" s="1"/>
    </x:row>
    <x:row r="38" ht="18" customHeight="1">
      <x:c r="A38" s="1"/>
      <x:c r="B38" s="1"/>
      <x:c r="C38" s="23" t="str">
        <x:v>Effective cash tax rate</x:v>
      </x:c>
      <x:c r="D38" s="24"/>
      <x:c r="E38" s="26" t="n">
        <x:v>0.25</x:v>
      </x:c>
      <x:c r="F38" s="26" t="n">
        <x:v>0.25</x:v>
      </x:c>
      <x:c r="G38" s="26" t="n">
        <x:v>0.25</x:v>
      </x:c>
      <x:c r="H38" s="26" t="n">
        <x:v>0.25</x:v>
      </x:c>
      <x:c r="I38" s="26" t="n">
        <x:v>0.25</x:v>
      </x:c>
      <x:c r="J38" s="1"/>
      <x:c r="K38" s="1"/>
    </x:row>
    <x:row r="39" ht="18" customHeight="1">
      <x:c r="A39" s="1"/>
      <x:c r="B39" s="1"/>
      <x:c r="C39" s="23" t="str">
        <x:v>Dividend payout</x:v>
      </x:c>
      <x:c r="D39" s="24"/>
      <x:c r="E39" s="26" t="n">
        <x:v>0.2</x:v>
      </x:c>
      <x:c r="F39" s="26" t="n">
        <x:v>0.2</x:v>
      </x:c>
      <x:c r="G39" s="26" t="n">
        <x:v>0.2</x:v>
      </x:c>
      <x:c r="H39" s="26" t="n">
        <x:v>0.2</x:v>
      </x:c>
      <x:c r="I39" s="26" t="n">
        <x:v>0.2</x:v>
      </x:c>
      <x:c r="J39" s="1"/>
      <x:c r="K39" s="1"/>
    </x:row>
    <x:row r="40" ht="18" customHeight="1">
      <x:c r="A40" s="1"/>
      <x:c r="B40" s="1"/>
      <x:c r="C40" s="1" t="str">
        <x:v>Fresh equity raised</x:v>
      </x:c>
      <x:c r="D40" s="2"/>
      <x:c r="E40" s="7" t="n">
        <x:v>0</x:v>
      </x:c>
      <x:c r="F40" s="7" t="n">
        <x:v>0</x:v>
      </x:c>
      <x:c r="G40" s="7" t="n">
        <x:v>0</x:v>
      </x:c>
      <x:c r="H40" s="7" t="n">
        <x:v>0</x:v>
      </x:c>
      <x:c r="I40" s="7" t="n">
        <x:v>0</x:v>
      </x:c>
      <x:c r="J40" s="1"/>
      <x:c r="K40" s="1"/>
    </x:row>
    <x:row r="41" ht="18" customHeight="1">
      <x:c r="A41" s="1"/>
      <x:c r="B41" s="1"/>
      <x:c r="C41" s="23" t="str">
        <x:v>Risk-weighted assets / gross loans</x:v>
      </x:c>
      <x:c r="D41" s="24"/>
      <x:c r="E41" s="26" t="n">
        <x:v>1</x:v>
      </x:c>
      <x:c r="F41" s="26" t="n">
        <x:v>1</x:v>
      </x:c>
      <x:c r="G41" s="26" t="n">
        <x:v>1</x:v>
      </x:c>
      <x:c r="H41" s="26" t="n">
        <x:v>1</x:v>
      </x:c>
      <x:c r="I41" s="26" t="n">
        <x:v>1</x:v>
      </x:c>
      <x:c r="J41" s="1"/>
      <x:c r="K41" s="1" t="str">
        <x:v>Analytical proxy. Not a regulatory risk-weight calculation.</x:v>
      </x:c>
    </x:row>
    <x:row r="42" ht="18" customHeight="1">
      <x:c r="A42" s="1"/>
      <x:c r="B42" s="1"/>
      <x:c r="C42" s="23" t="str">
        <x:v>Eligible capital / modeled book equity</x:v>
      </x:c>
      <x:c r="D42" s="24"/>
      <x:c r="E42" s="26" t="n">
        <x:v>0.9</x:v>
      </x:c>
      <x:c r="F42" s="26" t="n">
        <x:v>0.9</x:v>
      </x:c>
      <x:c r="G42" s="26" t="n">
        <x:v>0.9</x:v>
      </x:c>
      <x:c r="H42" s="26" t="n">
        <x:v>0.9</x:v>
      </x:c>
      <x:c r="I42" s="26" t="n">
        <x:v>0.9</x:v>
      </x:c>
      <x:c r="J42" s="1"/>
      <x:c r="K42" s="1"/>
    </x:row>
    <x:row r="43" ht="18" customHeight="1">
      <x:c r="A43" s="1"/>
      <x:c r="B43" s="1"/>
      <x:c r="C43" s="23" t="str">
        <x:v>Internal capital ratio target</x:v>
      </x:c>
      <x:c r="D43" s="24"/>
      <x:c r="E43" s="26" t="n">
        <x:v>0.15</x:v>
      </x:c>
      <x:c r="F43" s="26" t="n">
        <x:v>0.15</x:v>
      </x:c>
      <x:c r="G43" s="26" t="n">
        <x:v>0.15</x:v>
      </x:c>
      <x:c r="H43" s="26" t="n">
        <x:v>0.15</x:v>
      </x:c>
      <x:c r="I43" s="26" t="n">
        <x:v>0.15</x:v>
      </x:c>
      <x:c r="J43" s="1"/>
      <x:c r="K43" s="1" t="str">
        <x:v>Illustrative internal threshold, not a legal minimum.</x:v>
      </x:c>
    </x:row>
    <x:row r="44" ht="18" customHeight="1">
      <x:c r="A44" s="1"/>
      <x:c r="B44" s="1"/>
      <x:c r="C44" s="19" t="str">
        <x:v>LENDING AND FUNDING BUILD</x:v>
      </x:c>
      <x:c r="D44" s="20"/>
      <x:c r="E44" s="20"/>
      <x:c r="F44" s="20"/>
      <x:c r="G44" s="20"/>
      <x:c r="H44" s="20"/>
      <x:c r="I44" s="20"/>
      <x:c r="J44" s="1"/>
      <x:c r="K44" s="1"/>
    </x:row>
    <x:row r="45" ht="18" customHeight="1">
      <x:c r="A45" s="1"/>
      <x:c r="B45" s="1"/>
      <x:c r="C45" s="1" t="str">
        <x:v>Closing gross loans</x:v>
      </x:c>
      <x:c r="D45" s="2"/>
      <x:c r="E45" s="8" t="n">
        <x:f>$D10*(1+E20)</x:f>
        <x:v>22599.999999999996</x:v>
      </x:c>
      <x:c r="F45" s="8" t="n">
        <x:f>E45*(1+F20)</x:f>
        <x:v>25537.999999999993</x:v>
      </x:c>
      <x:c r="G45" s="8" t="n">
        <x:f>F45*(1+G20)</x:f>
        <x:v>28857.939999999988</x:v>
      </x:c>
      <x:c r="H45" s="8" t="n">
        <x:f>G45*(1+H20)</x:f>
        <x:v>32609.472199999982</x:v>
      </x:c>
      <x:c r="I45" s="8" t="n">
        <x:f>H45*(1+I20)</x:f>
        <x:v>36848.703585999974</x:v>
      </x:c>
      <x:c r="J45" s="1"/>
      <x:c r="K45" s="1"/>
    </x:row>
    <x:row r="46" ht="18" customHeight="1">
      <x:c r="A46" s="1"/>
      <x:c r="B46" s="1"/>
      <x:c r="C46" s="1" t="str">
        <x:v>Average gross loans</x:v>
      </x:c>
      <x:c r="D46" s="2"/>
      <x:c r="E46" s="8" t="n">
        <x:f>($D10+E45)/2</x:f>
        <x:v>21300</x:v>
      </x:c>
      <x:c r="F46" s="8" t="n">
        <x:f>(E45+F45)/2</x:f>
        <x:v>24068.999999999993</x:v>
      </x:c>
      <x:c r="G46" s="8" t="n">
        <x:f>(F45+G45)/2</x:f>
        <x:v>27197.96999999999</x:v>
      </x:c>
      <x:c r="H46" s="8" t="n">
        <x:f>(G45+H45)/2</x:f>
        <x:v>30733.706099999985</x:v>
      </x:c>
      <x:c r="I46" s="8" t="n">
        <x:f>(H45+I45)/2</x:f>
        <x:v>34729.087892999974</x:v>
      </x:c>
      <x:c r="J46" s="1"/>
      <x:c r="K46" s="1"/>
    </x:row>
    <x:row r="47" ht="18" customHeight="1">
      <x:c r="A47" s="1"/>
      <x:c r="B47" s="1"/>
      <x:c r="C47" s="1" t="str">
        <x:v>Closing funding balance</x:v>
      </x:c>
      <x:c r="D47" s="2"/>
      <x:c r="E47" s="8" t="n">
        <x:f>$D11*(1+E28)</x:f>
        <x:v>18080</x:v>
      </x:c>
      <x:c r="F47" s="8" t="n">
        <x:f>E47*(1+F28)</x:f>
        <x:v>20430.399999999998</x:v>
      </x:c>
      <x:c r="G47" s="8" t="n">
        <x:f>F47*(1+G28)</x:f>
        <x:v>23086.351999999995</x:v>
      </x:c>
      <x:c r="H47" s="8" t="n">
        <x:f>G47*(1+H28)</x:f>
        <x:v>26087.577759999993</x:v>
      </x:c>
      <x:c r="I47" s="8" t="n">
        <x:f>H47*(1+I28)</x:f>
        <x:v>29478.96286879999</x:v>
      </x:c>
      <x:c r="J47" s="1"/>
      <x:c r="K47" s="1"/>
    </x:row>
    <x:row r="48" ht="18" customHeight="1">
      <x:c r="A48" s="1"/>
      <x:c r="B48" s="1"/>
      <x:c r="C48" s="1" t="str">
        <x:v>Average funding balance</x:v>
      </x:c>
      <x:c r="D48" s="2"/>
      <x:c r="E48" s="8" t="n">
        <x:f>($D11+E47)/2</x:f>
        <x:v>17040</x:v>
      </x:c>
      <x:c r="F48" s="8" t="n">
        <x:f>(E47+F47)/2</x:f>
        <x:v>19255.199999999997</x:v>
      </x:c>
      <x:c r="G48" s="8" t="n">
        <x:f>(F47+G47)/2</x:f>
        <x:v>21758.375999999997</x:v>
      </x:c>
      <x:c r="H48" s="8" t="n">
        <x:f>(G47+H47)/2</x:f>
        <x:v>24586.964879999992</x:v>
      </x:c>
      <x:c r="I48" s="8" t="n">
        <x:f>(H47+I47)/2</x:f>
        <x:v>27783.27031439999</x:v>
      </x:c>
      <x:c r="J48" s="1"/>
      <x:c r="K48" s="1"/>
    </x:row>
    <x:row r="49" ht="18" customHeight="1">
      <x:c r="A49" s="1"/>
      <x:c r="B49" s="1"/>
      <x:c r="C49" s="1" t="str">
        <x:v>Closing investment assets</x:v>
      </x:c>
      <x:c r="D49" s="2"/>
      <x:c r="E49" s="8" t="n">
        <x:f>$D12*(1+E29)</x:f>
        <x:v>1080</x:v>
      </x:c>
      <x:c r="F49" s="8" t="n">
        <x:f>E49*(1+F29)</x:f>
        <x:v>1166.4</x:v>
      </x:c>
      <x:c r="G49" s="8" t="n">
        <x:f>F49*(1+G29)</x:f>
        <x:v>1259.7120000000002</x:v>
      </x:c>
      <x:c r="H49" s="8" t="n">
        <x:f>G49*(1+H29)</x:f>
        <x:v>1360.4889600000004</x:v>
      </x:c>
      <x:c r="I49" s="8" t="n">
        <x:f>H49*(1+I29)</x:f>
        <x:v>1469.3280768000004</x:v>
      </x:c>
      <x:c r="J49" s="1"/>
      <x:c r="K49" s="1"/>
    </x:row>
    <x:row r="50" ht="18" customHeight="1">
      <x:c r="A50" s="1"/>
      <x:c r="B50" s="1"/>
      <x:c r="C50" s="1" t="str">
        <x:v>Average investment assets</x:v>
      </x:c>
      <x:c r="D50" s="2"/>
      <x:c r="E50" s="8" t="n">
        <x:f>($D12+E49)/2</x:f>
        <x:v>1040</x:v>
      </x:c>
      <x:c r="F50" s="8" t="n">
        <x:f>(E49+F49)/2</x:f>
        <x:v>1123.2</x:v>
      </x:c>
      <x:c r="G50" s="8" t="n">
        <x:f>(F49+G49)/2</x:f>
        <x:v>1213.056</x:v>
      </x:c>
      <x:c r="H50" s="8" t="n">
        <x:f>(G49+H49)/2</x:f>
        <x:v>1310.1004800000003</x:v>
      </x:c>
      <x:c r="I50" s="8" t="n">
        <x:f>(H49+I49)/2</x:f>
        <x:v>1414.9085184000005</x:v>
      </x:c>
      <x:c r="J50" s="1"/>
      <x:c r="K50" s="1"/>
    </x:row>
    <x:row r="51" ht="18" customHeight="1">
      <x:c r="A51" s="1"/>
      <x:c r="B51" s="1"/>
      <x:c r="C51" s="19" t="str">
        <x:v>INCOME STATEMENT</x:v>
      </x:c>
      <x:c r="D51" s="20"/>
      <x:c r="E51" s="20"/>
      <x:c r="F51" s="20"/>
      <x:c r="G51" s="20"/>
      <x:c r="H51" s="20"/>
      <x:c r="I51" s="20"/>
      <x:c r="J51" s="1"/>
      <x:c r="K51" s="1"/>
    </x:row>
    <x:row r="52" ht="18" customHeight="1">
      <x:c r="A52" s="1"/>
      <x:c r="B52" s="1"/>
      <x:c r="C52" s="1" t="str">
        <x:v>Interest income</x:v>
      </x:c>
      <x:c r="D52" s="2"/>
      <x:c r="E52" s="8" t="n">
        <x:f>E46*E30+E50*E32</x:f>
        <x:v>3688.6000000000004</x:v>
      </x:c>
      <x:c r="F52" s="8" t="n">
        <x:f>F46*F30+F50*F32</x:f>
        <x:v>4164.737999999999</x:v>
      </x:c>
      <x:c r="G52" s="8" t="n">
        <x:f>G46*G30+G50*G32</x:f>
        <x:v>4702.503539999999</x:v>
      </x:c>
      <x:c r="H52" s="8" t="n">
        <x:f>H46*H30+H50*H32</x:f>
        <x:v>5309.886568199998</x:v>
      </x:c>
      <x:c r="I52" s="8" t="n">
        <x:f>I46*I30+I50*I32</x:f>
        <x:v>5995.913995505995</x:v>
      </x:c>
      <x:c r="J52" s="1"/>
      <x:c r="K52" s="1"/>
    </x:row>
    <x:row r="53" ht="18" customHeight="1">
      <x:c r="A53" s="1"/>
      <x:c r="B53" s="1"/>
      <x:c r="C53" s="1" t="str">
        <x:v>Interest expense</x:v>
      </x:c>
      <x:c r="D53" s="2"/>
      <x:c r="E53" s="8" t="n">
        <x:f>E48*E31</x:f>
        <x:v>1448.4</x:v>
      </x:c>
      <x:c r="F53" s="8" t="n">
        <x:f>F48*F31</x:f>
        <x:v>1636.6919999999998</x:v>
      </x:c>
      <x:c r="G53" s="8" t="n">
        <x:f>G48*G31</x:f>
        <x:v>1849.4619599999999</x:v>
      </x:c>
      <x:c r="H53" s="8" t="n">
        <x:f>H48*H31</x:f>
        <x:v>2089.8920147999993</x:v>
      </x:c>
      <x:c r="I53" s="8" t="n">
        <x:f>I48*I31</x:f>
        <x:v>2361.577976723999</x:v>
      </x:c>
      <x:c r="J53" s="1"/>
      <x:c r="K53" s="1"/>
    </x:row>
    <x:row r="54" ht="18" customHeight="1">
      <x:c r="A54" s="1"/>
      <x:c r="B54" s="1"/>
      <x:c r="C54" s="38" t="str">
        <x:v>Net interest income</x:v>
      </x:c>
      <x:c r="D54" s="39"/>
      <x:c r="E54" s="41" t="n">
        <x:f>E52-E53</x:f>
        <x:v>2240.2000000000003</x:v>
      </x:c>
      <x:c r="F54" s="41" t="n">
        <x:f>F52-F53</x:f>
        <x:v>2528.0459999999994</x:v>
      </x:c>
      <x:c r="G54" s="41" t="n">
        <x:f>G52-G53</x:f>
        <x:v>2853.041579999999</x:v>
      </x:c>
      <x:c r="H54" s="41" t="n">
        <x:f>H52-H53</x:f>
        <x:v>3219.9945533999985</x:v>
      </x:c>
      <x:c r="I54" s="41" t="n">
        <x:f>I52-I53</x:f>
        <x:v>3634.3360187819962</x:v>
      </x:c>
      <x:c r="J54" s="1"/>
      <x:c r="K54" s="1"/>
    </x:row>
    <x:row r="55" ht="18" customHeight="1">
      <x:c r="A55" s="1"/>
      <x:c r="B55" s="1"/>
      <x:c r="C55" s="1" t="str">
        <x:v>Fee and other income</x:v>
      </x:c>
      <x:c r="D55" s="2"/>
      <x:c r="E55" s="8" t="n">
        <x:f>E46*E33</x:f>
        <x:v>255.6</x:v>
      </x:c>
      <x:c r="F55" s="8" t="n">
        <x:f>F46*F33</x:f>
        <x:v>288.8279999999999</x:v>
      </x:c>
      <x:c r="G55" s="8" t="n">
        <x:f>G46*G33</x:f>
        <x:v>326.37563999999986</x:v>
      </x:c>
      <x:c r="H55" s="8" t="n">
        <x:f>H46*H33</x:f>
        <x:v>368.80447319999985</x:v>
      </x:c>
      <x:c r="I55" s="8" t="n">
        <x:f>I46*I33</x:f>
        <x:v>416.7490547159997</x:v>
      </x:c>
      <x:c r="J55" s="1"/>
      <x:c r="K55" s="1"/>
    </x:row>
    <x:row r="56" ht="18" customHeight="1">
      <x:c r="A56" s="1"/>
      <x:c r="B56" s="1"/>
      <x:c r="C56" s="1" t="str">
        <x:v>Net operating income</x:v>
      </x:c>
      <x:c r="D56" s="2"/>
      <x:c r="E56" s="8" t="n">
        <x:f>E54+E55</x:f>
        <x:v>2495.8</x:v>
      </x:c>
      <x:c r="F56" s="8" t="n">
        <x:f>F54+F55</x:f>
        <x:v>2816.8739999999993</x:v>
      </x:c>
      <x:c r="G56" s="8" t="n">
        <x:f>G54+G55</x:f>
        <x:v>3179.417219999999</x:v>
      </x:c>
      <x:c r="H56" s="8" t="n">
        <x:f>H54+H55</x:f>
        <x:v>3588.7990265999983</x:v>
      </x:c>
      <x:c r="I56" s="8" t="n">
        <x:f>I54+I55</x:f>
        <x:v>4051.085073497996</x:v>
      </x:c>
      <x:c r="J56" s="1"/>
      <x:c r="K56" s="1"/>
    </x:row>
    <x:row r="57" ht="18" customHeight="1">
      <x:c r="A57" s="1"/>
      <x:c r="B57" s="1"/>
      <x:c r="C57" s="1" t="str">
        <x:v>Operating expenses</x:v>
      </x:c>
      <x:c r="D57" s="2"/>
      <x:c r="E57" s="8" t="n">
        <x:f>E56*E34</x:f>
        <x:v>873.53</x:v>
      </x:c>
      <x:c r="F57" s="8" t="n">
        <x:f>F56*F34</x:f>
        <x:v>985.9058999999997</x:v>
      </x:c>
      <x:c r="G57" s="8" t="n">
        <x:f>G56*G34</x:f>
        <x:v>1112.7960269999996</x:v>
      </x:c>
      <x:c r="H57" s="8" t="n">
        <x:f>H56*H34</x:f>
        <x:v>1256.0796593099994</x:v>
      </x:c>
      <x:c r="I57" s="8" t="n">
        <x:f>I56*I34</x:f>
        <x:v>1417.8797757242985</x:v>
      </x:c>
      <x:c r="J57" s="1"/>
      <x:c r="K57" s="1"/>
    </x:row>
    <x:row r="58" ht="18" customHeight="1">
      <x:c r="A58" s="1"/>
      <x:c r="B58" s="1"/>
      <x:c r="C58" s="1" t="str">
        <x:v>Pre-provision operating profit</x:v>
      </x:c>
      <x:c r="D58" s="2"/>
      <x:c r="E58" s="8" t="n">
        <x:f>E56-E57</x:f>
        <x:v>1622.2700000000002</x:v>
      </x:c>
      <x:c r="F58" s="8" t="n">
        <x:f>F56-F57</x:f>
        <x:v>1830.9680999999996</x:v>
      </x:c>
      <x:c r="G58" s="8" t="n">
        <x:f>G56-G57</x:f>
        <x:v>2066.621192999999</x:v>
      </x:c>
      <x:c r="H58" s="8" t="n">
        <x:f>H56-H57</x:f>
        <x:v>2332.719367289999</x:v>
      </x:c>
      <x:c r="I58" s="8" t="n">
        <x:f>I56-I57</x:f>
        <x:v>2633.2052977736976</x:v>
      </x:c>
      <x:c r="J58" s="1"/>
      <x:c r="K58" s="1"/>
    </x:row>
    <x:row r="59" ht="18" customHeight="1">
      <x:c r="A59" s="1"/>
      <x:c r="B59" s="1"/>
      <x:c r="C59" s="1" t="str">
        <x:v>Credit-loss expense</x:v>
      </x:c>
      <x:c r="D59" s="2"/>
      <x:c r="E59" s="8" t="n">
        <x:f>E46*E24</x:f>
        <x:v>532.5</x:v>
      </x:c>
      <x:c r="F59" s="8" t="n">
        <x:f>F46*F24</x:f>
        <x:v>601.7249999999998</x:v>
      </x:c>
      <x:c r="G59" s="8" t="n">
        <x:f>G46*G24</x:f>
        <x:v>679.9492499999998</x:v>
      </x:c>
      <x:c r="H59" s="8" t="n">
        <x:f>H46*H24</x:f>
        <x:v>768.3426524999996</x:v>
      </x:c>
      <x:c r="I59" s="8" t="n">
        <x:f>I46*I24</x:f>
        <x:v>868.2271973249995</x:v>
      </x:c>
      <x:c r="J59" s="1"/>
      <x:c r="K59" s="1"/>
    </x:row>
    <x:row r="60" ht="18" customHeight="1">
      <x:c r="A60" s="1"/>
      <x:c r="B60" s="1"/>
      <x:c r="C60" s="1" t="str">
        <x:v>Profit before tax</x:v>
      </x:c>
      <x:c r="D60" s="2"/>
      <x:c r="E60" s="8" t="n">
        <x:f>E58-E59</x:f>
        <x:v>1089.7700000000002</x:v>
      </x:c>
      <x:c r="F60" s="8" t="n">
        <x:f>F58-F59</x:f>
        <x:v>1229.2430999999997</x:v>
      </x:c>
      <x:c r="G60" s="8" t="n">
        <x:f>G58-G59</x:f>
        <x:v>1386.6719429999994</x:v>
      </x:c>
      <x:c r="H60" s="8" t="n">
        <x:f>H58-H59</x:f>
        <x:v>1564.3767147899994</x:v>
      </x:c>
      <x:c r="I60" s="8" t="n">
        <x:f>I58-I59</x:f>
        <x:v>1764.9781004486981</x:v>
      </x:c>
      <x:c r="J60" s="1"/>
      <x:c r="K60" s="1"/>
    </x:row>
    <x:row r="61" ht="18" customHeight="1">
      <x:c r="A61" s="1"/>
      <x:c r="B61" s="1"/>
      <x:c r="C61" s="1" t="str">
        <x:v>Tax</x:v>
      </x:c>
      <x:c r="D61" s="2"/>
      <x:c r="E61" s="8" t="n">
        <x:f>MAX(0,E60)*E38</x:f>
        <x:v>272.44250000000005</x:v>
      </x:c>
      <x:c r="F61" s="8" t="n">
        <x:f>MAX(0,F60)*F38</x:f>
        <x:v>307.3107749999999</x:v>
      </x:c>
      <x:c r="G61" s="8" t="n">
        <x:f>MAX(0,G60)*G38</x:f>
        <x:v>346.66798574999984</x:v>
      </x:c>
      <x:c r="H61" s="8" t="n">
        <x:f>MAX(0,H60)*H38</x:f>
        <x:v>391.09417869749984</x:v>
      </x:c>
      <x:c r="I61" s="8" t="n">
        <x:f>MAX(0,I60)*I38</x:f>
        <x:v>441.24452511217453</x:v>
      </x:c>
      <x:c r="J61" s="1"/>
      <x:c r="K61" s="1"/>
    </x:row>
    <x:row r="62" ht="18" customHeight="1">
      <x:c r="A62" s="1"/>
      <x:c r="B62" s="1"/>
      <x:c r="C62" s="38" t="str">
        <x:v>Profit after tax</x:v>
      </x:c>
      <x:c r="D62" s="39"/>
      <x:c r="E62" s="41" t="n">
        <x:f>E60-E61</x:f>
        <x:v>817.3275000000001</x:v>
      </x:c>
      <x:c r="F62" s="41" t="n">
        <x:f>F60-F61</x:f>
        <x:v>921.9323249999998</x:v>
      </x:c>
      <x:c r="G62" s="41" t="n">
        <x:f>G60-G61</x:f>
        <x:v>1040.0039572499995</x:v>
      </x:c>
      <x:c r="H62" s="41" t="n">
        <x:f>H60-H61</x:f>
        <x:v>1173.2825360924994</x:v>
      </x:c>
      <x:c r="I62" s="41" t="n">
        <x:f>I60-I61</x:f>
        <x:v>1323.7335753365237</x:v>
      </x:c>
      <x:c r="J62" s="1"/>
      <x:c r="K62" s="1"/>
    </x:row>
    <x:row r="63" ht="18" customHeight="1">
      <x:c r="A63" s="1"/>
      <x:c r="B63" s="1"/>
      <x:c r="C63" s="1" t="str">
        <x:v>Dividends</x:v>
      </x:c>
      <x:c r="D63" s="2"/>
      <x:c r="E63" s="8" t="n">
        <x:f>MAX(0,E62)*E39</x:f>
        <x:v>163.46550000000002</x:v>
      </x:c>
      <x:c r="F63" s="8" t="n">
        <x:f>MAX(0,F62)*F39</x:f>
        <x:v>184.38646499999996</x:v>
      </x:c>
      <x:c r="G63" s="8" t="n">
        <x:f>MAX(0,G62)*G39</x:f>
        <x:v>208.00079144999992</x:v>
      </x:c>
      <x:c r="H63" s="8" t="n">
        <x:f>MAX(0,H62)*H39</x:f>
        <x:v>234.65650721849988</x:v>
      </x:c>
      <x:c r="I63" s="8" t="n">
        <x:f>MAX(0,I62)*I39</x:f>
        <x:v>264.74671506730476</x:v>
      </x:c>
      <x:c r="J63" s="1"/>
      <x:c r="K63" s="1"/>
    </x:row>
    <x:row r="64" ht="18" customHeight="1">
      <x:c r="A64" s="1"/>
      <x:c r="B64" s="1"/>
      <x:c r="C64" s="19" t="str">
        <x:v>ASSET QUALITY AND BALANCE SHEET</x:v>
      </x:c>
      <x:c r="D64" s="20"/>
      <x:c r="E64" s="20"/>
      <x:c r="F64" s="20"/>
      <x:c r="G64" s="20"/>
      <x:c r="H64" s="20"/>
      <x:c r="I64" s="20"/>
      <x:c r="J64" s="1"/>
      <x:c r="K64" s="1"/>
    </x:row>
    <x:row r="65" ht="18" customHeight="1">
      <x:c r="A65" s="1"/>
      <x:c r="B65" s="1"/>
      <x:c r="C65" s="1" t="str">
        <x:v>New non-performing loans</x:v>
      </x:c>
      <x:c r="D65" s="2"/>
      <x:c r="E65" s="8" t="n">
        <x:f>$D10*E35</x:f>
        <x:v>500</x:v>
      </x:c>
      <x:c r="F65" s="8" t="n">
        <x:f>E45*F35</x:f>
        <x:v>564.9999999999999</x:v>
      </x:c>
      <x:c r="G65" s="8" t="n">
        <x:f>F45*G35</x:f>
        <x:v>638.4499999999998</x:v>
      </x:c>
      <x:c r="H65" s="8" t="n">
        <x:f>G45*H35</x:f>
        <x:v>721.4484999999997</x:v>
      </x:c>
      <x:c r="I65" s="8" t="n">
        <x:f>H45*I35</x:f>
        <x:v>815.2368049999995</x:v>
      </x:c>
      <x:c r="J65" s="1"/>
      <x:c r="K65" s="1"/>
    </x:row>
    <x:row r="66" ht="18" customHeight="1">
      <x:c r="A66" s="1"/>
      <x:c r="B66" s="1"/>
      <x:c r="C66" s="1" t="str">
        <x:v>NPA recoveries</x:v>
      </x:c>
      <x:c r="D66" s="2"/>
      <x:c r="E66" s="8" t="n">
        <x:f>$D15*E36</x:f>
        <x:v>180</x:v>
      </x:c>
      <x:c r="F66" s="8" t="n">
        <x:f>E68*F36</x:f>
        <x:v>199</x:v>
      </x:c>
      <x:c r="G66" s="8" t="n">
        <x:f>F68*G36</x:f>
        <x:v>222.45000000000002</x:v>
      </x:c>
      <x:c r="H66" s="8" t="n">
        <x:f>G68*H36</x:f>
        <x:v>250.03749999999997</x:v>
      </x:c>
      <x:c r="I66" s="8" t="n">
        <x:f>H68*I36</x:f>
        <x:v>281.8103249999999</x:v>
      </x:c>
      <x:c r="J66" s="1"/>
      <x:c r="K66" s="1"/>
    </x:row>
    <x:row r="67" ht="18" customHeight="1">
      <x:c r="A67" s="1"/>
      <x:c r="B67" s="1"/>
      <x:c r="C67" s="1" t="str">
        <x:v>Write-offs</x:v>
      </x:c>
      <x:c r="D67" s="2"/>
      <x:c r="E67" s="8" t="n">
        <x:f>$D15*E37</x:f>
        <x:v>225</x:v>
      </x:c>
      <x:c r="F67" s="8" t="n">
        <x:f>E68*F37</x:f>
        <x:v>248.75</x:v>
      </x:c>
      <x:c r="G67" s="8" t="n">
        <x:f>F68*G37</x:f>
        <x:v>278.0625</x:v>
      </x:c>
      <x:c r="H67" s="8" t="n">
        <x:f>G68*H37</x:f>
        <x:v>312.54687499999994</x:v>
      </x:c>
      <x:c r="I67" s="8" t="n">
        <x:f>H68*I37</x:f>
        <x:v>352.2629062499999</x:v>
      </x:c>
      <x:c r="J67" s="1"/>
      <x:c r="K67" s="1"/>
    </x:row>
    <x:row r="68" ht="18" customHeight="1">
      <x:c r="A68" s="1"/>
      <x:c r="B68" s="1"/>
      <x:c r="C68" s="1" t="str">
        <x:v>Closing gross NPA</x:v>
      </x:c>
      <x:c r="D68" s="2"/>
      <x:c r="E68" s="8" t="n">
        <x:f>$D15+E65-E66-E67</x:f>
        <x:v>995</x:v>
      </x:c>
      <x:c r="F68" s="8" t="n">
        <x:f>E68+F65-F66-F67</x:f>
        <x:v>1112.25</x:v>
      </x:c>
      <x:c r="G68" s="8" t="n">
        <x:f>F68+G65-G66-G67</x:f>
        <x:v>1250.1874999999998</x:v>
      </x:c>
      <x:c r="H68" s="8" t="n">
        <x:f>G68+H65-H66-H67</x:f>
        <x:v>1409.0516249999996</x:v>
      </x:c>
      <x:c r="I68" s="8" t="n">
        <x:f>H68+I65-I66-I67</x:f>
        <x:v>1590.2151987499992</x:v>
      </x:c>
      <x:c r="J68" s="1"/>
      <x:c r="K68" s="1"/>
    </x:row>
    <x:row r="69" ht="18" customHeight="1">
      <x:c r="A69" s="1"/>
      <x:c r="B69" s="1"/>
      <x:c r="C69" s="1" t="str">
        <x:v>Closing credit-loss allowance</x:v>
      </x:c>
      <x:c r="D69" s="2"/>
      <x:c r="E69" s="8" t="n">
        <x:f>$D14+E59-E67</x:f>
        <x:v>907.5</x:v>
      </x:c>
      <x:c r="F69" s="8" t="n">
        <x:f>E69+F59-F67</x:f>
        <x:v>1260.475</x:v>
      </x:c>
      <x:c r="G69" s="8" t="n">
        <x:f>F69+G59-G67</x:f>
        <x:v>1662.3617499999996</x:v>
      </x:c>
      <x:c r="H69" s="8" t="n">
        <x:f>G69+H59-H67</x:f>
        <x:v>2118.157527499999</x:v>
      </x:c>
      <x:c r="I69" s="8" t="n">
        <x:f>H69+I59-I67</x:f>
        <x:v>2634.1218185749985</x:v>
      </x:c>
      <x:c r="J69" s="1"/>
      <x:c r="K69" s="1"/>
    </x:row>
    <x:row r="70" ht="18" customHeight="1">
      <x:c r="A70" s="1"/>
      <x:c r="B70" s="1"/>
      <x:c r="C70" s="1" t="str">
        <x:v>Net loans</x:v>
      </x:c>
      <x:c r="D70" s="2"/>
      <x:c r="E70" s="8" t="n">
        <x:f>E45-E69</x:f>
        <x:v>21692.499999999996</x:v>
      </x:c>
      <x:c r="F70" s="8" t="n">
        <x:f>F45-F69</x:f>
        <x:v>24277.524999999994</x:v>
      </x:c>
      <x:c r="G70" s="8" t="n">
        <x:f>G45-G69</x:f>
        <x:v>27195.578249999988</x:v>
      </x:c>
      <x:c r="H70" s="8" t="n">
        <x:f>H45-H69</x:f>
        <x:v>30491.314672499982</x:v>
      </x:c>
      <x:c r="I70" s="8" t="n">
        <x:f>I45-I69</x:f>
        <x:v>34214.58176742498</x:v>
      </x:c>
      <x:c r="J70" s="1"/>
      <x:c r="K70" s="1"/>
    </x:row>
    <x:row r="71" ht="18" customHeight="1">
      <x:c r="A71" s="1"/>
      <x:c r="B71" s="1"/>
      <x:c r="C71" s="38" t="str">
        <x:v>Closing equity</x:v>
      </x:c>
      <x:c r="D71" s="39"/>
      <x:c r="E71" s="41" t="n">
        <x:f>$D13+E62-E63+E40</x:f>
        <x:v>5653.862</x:v>
      </x:c>
      <x:c r="F71" s="41" t="n">
        <x:f>E71+F62-F63+F40</x:f>
        <x:v>6391.40786</x:v>
      </x:c>
      <x:c r="G71" s="41" t="n">
        <x:f>F71+G62-G63+G40</x:f>
        <x:v>7223.4110258</x:v>
      </x:c>
      <x:c r="H71" s="41" t="n">
        <x:f>G71+H62-H63+H40</x:f>
        <x:v>8162.037054674</x:v>
      </x:c>
      <x:c r="I71" s="41" t="n">
        <x:f>H71+I62-I63+I40</x:f>
        <x:v>9221.023914943218</x:v>
      </x:c>
      <x:c r="J71" s="1"/>
      <x:c r="K71" s="1"/>
    </x:row>
    <x:row r="72" ht="18" customHeight="1">
      <x:c r="A72" s="1"/>
      <x:c r="B72" s="1"/>
      <x:c r="C72" s="1" t="str">
        <x:v>Residual liquidity / (funding gap)</x:v>
      </x:c>
      <x:c r="D72" s="2"/>
      <x:c r="E72" s="8" t="n">
        <x:f>E47+E71-E70-E49</x:f>
        <x:v>961.3620000000046</x:v>
      </x:c>
      <x:c r="F72" s="8" t="n">
        <x:f>F47+F71-F70-F49</x:f>
        <x:v>1377.882860000003</x:v>
      </x:c>
      <x:c r="G72" s="8" t="n">
        <x:f>G47+G71-G70-G49</x:f>
        <x:v>1854.4727758000074</x:v>
      </x:c>
      <x:c r="H72" s="8" t="n">
        <x:f>H47+H71-H70-H49</x:f>
        <x:v>2397.8111821740113</x:v>
      </x:c>
      <x:c r="I72" s="8" t="n">
        <x:f>I47+I71-I70-I49</x:f>
        <x:v>3016.0769395182324</x:v>
      </x:c>
      <x:c r="J72" s="1"/>
      <x:c r="K72" s="1" t="str">
        <x:v>Funding and equity less net loans and investments. No additional funding is automatically raised.</x:v>
      </x:c>
    </x:row>
    <x:row r="73" ht="18" customHeight="1">
      <x:c r="A73" s="1"/>
      <x:c r="B73" s="1"/>
      <x:c r="C73" s="1" t="str">
        <x:v>Total assets</x:v>
      </x:c>
      <x:c r="D73" s="2"/>
      <x:c r="E73" s="8" t="n">
        <x:f>E70+E49+E72</x:f>
        <x:v>23733.862</x:v>
      </x:c>
      <x:c r="F73" s="8" t="n">
        <x:f>F70+F49+F72</x:f>
        <x:v>26821.807859999997</x:v>
      </x:c>
      <x:c r="G73" s="8" t="n">
        <x:f>G70+G49+G72</x:f>
        <x:v>30309.763025799995</x:v>
      </x:c>
      <x:c r="H73" s="8" t="n">
        <x:f>H70+H49+H72</x:f>
        <x:v>34249.614814673994</x:v>
      </x:c>
      <x:c r="I73" s="8" t="n">
        <x:f>I70+I49+I72</x:f>
        <x:v>38699.98678374321</x:v>
      </x:c>
      <x:c r="J73" s="1"/>
      <x:c r="K73" s="1"/>
    </x:row>
    <x:row r="74" ht="18" customHeight="1">
      <x:c r="A74" s="1"/>
      <x:c r="B74" s="1"/>
      <x:c r="C74" s="1" t="str">
        <x:v>Change in residual liquidity</x:v>
      </x:c>
      <x:c r="D74" s="2"/>
      <x:c r="E74" s="8" t="n">
        <x:f>E72-($D11+$D13-$D10+$D14-$D12)</x:f>
        <x:v>361.3620000000046</x:v>
      </x:c>
      <x:c r="F74" s="8" t="n">
        <x:f>F72-E72</x:f>
        <x:v>416.52085999999827</x:v>
      </x:c>
      <x:c r="G74" s="8" t="n">
        <x:f>G72-F72</x:f>
        <x:v>476.5899158000045</x:v>
      </x:c>
      <x:c r="H74" s="8" t="n">
        <x:f>H72-G72</x:f>
        <x:v>543.3384063740039</x:v>
      </x:c>
      <x:c r="I74" s="8" t="n">
        <x:f>I72-H72</x:f>
        <x:v>618.2657573442211</x:v>
      </x:c>
      <x:c r="J74" s="1"/>
      <x:c r="K74" s="1"/>
    </x:row>
    <x:row r="75" ht="18" customHeight="1">
      <x:c r="A75" s="1"/>
      <x:c r="B75" s="1"/>
      <x:c r="C75" s="19" t="str">
        <x:v>LENDING KPIs AND VALUATION</x:v>
      </x:c>
      <x:c r="D75" s="20"/>
      <x:c r="E75" s="20"/>
      <x:c r="F75" s="20"/>
      <x:c r="G75" s="20"/>
      <x:c r="H75" s="20"/>
      <x:c r="I75" s="20"/>
      <x:c r="J75" s="1"/>
      <x:c r="K75" s="1"/>
    </x:row>
    <x:row r="76" ht="18" customHeight="1">
      <x:c r="A76" s="1"/>
      <x:c r="B76" s="1"/>
      <x:c r="C76" s="23" t="str">
        <x:v>Net interest margin</x:v>
      </x:c>
      <x:c r="D76" s="24"/>
      <x:c r="E76" s="35" t="n">
        <x:f>E54/(E46+E50)</x:f>
        <x:v>0.10027752909579231</x:v>
      </x:c>
      <x:c r="F76" s="35" t="n">
        <x:f>F54/(F46+F50)</x:f>
        <x:v>0.10035034653583252</x:v>
      </x:c>
      <x:c r="G76" s="35" t="n">
        <x:f>G54/(G46+G50)</x:f>
        <x:v>0.10042022347239414</x:v>
      </x:c>
      <x:c r="H76" s="35" t="n">
        <x:f>H54/(H46+H50)</x:f>
        <x:v>0.10048726718409745</x:v>
      </x:c>
      <x:c r="I76" s="35" t="n">
        <x:f>I54/(I46+I50)</x:f>
        <x:v>0.10055158199483748</x:v>
      </x:c>
      <x:c r="J76" s="1"/>
      <x:c r="K76" s="1"/>
    </x:row>
    <x:row r="77" ht="18" customHeight="1">
      <x:c r="A77" s="1"/>
      <x:c r="B77" s="1"/>
      <x:c r="C77" s="23" t="str">
        <x:v>Return on average equity</x:v>
      </x:c>
      <x:c r="D77" s="24"/>
      <x:c r="E77" s="35" t="n">
        <x:f>E62/(($D13+E71)/2)</x:f>
        <x:v>0.15343309308868466</x:v>
      </x:c>
      <x:c r="F77" s="35" t="n">
        <x:f>F62/((E71+F71)/2)</x:f>
        <x:v>0.15307790289722903</x:v>
      </x:c>
      <x:c r="G77" s="35" t="n">
        <x:f>G62/((F71+G71)/2)</x:f>
        <x:v>0.1527752908023924</x:v>
      </x:c>
      <x:c r="H77" s="35" t="n">
        <x:f>H62/((G71+H71)/2)</x:f>
        <x:v>0.15251847459438472</x:v>
      </x:c>
      <x:c r="I77" s="35" t="n">
        <x:f>I62/((H71+I71)/2)</x:f>
        <x:v>0.15230155122279052</x:v>
      </x:c>
      <x:c r="J77" s="1"/>
      <x:c r="K77" s="1"/>
    </x:row>
    <x:row r="78" ht="18" customHeight="1">
      <x:c r="A78" s="1"/>
      <x:c r="B78" s="1"/>
      <x:c r="C78" s="23" t="str">
        <x:v>Return on average assets</x:v>
      </x:c>
      <x:c r="D78" s="24"/>
      <x:c r="E78" s="35" t="n">
        <x:f>E62/(($D11+$D13+E73)/2)</x:f>
        <x:v>0.03654178125733924</x:v>
      </x:c>
      <x:c r="F78" s="35" t="n">
        <x:f>F62/((E73+F73)/2)</x:f>
        <x:v>0.03647196556006626</x:v>
      </x:c>
      <x:c r="G78" s="35" t="n">
        <x:f>G62/((F73+G73)/2)</x:f>
        <x:v>0.036407329297101186</x:v>
      </x:c>
      <x:c r="H78" s="35" t="n">
        <x:f>H62/((G73+H73)/2)</x:f>
        <x:v>0.036347392906780386</x:v>
      </x:c>
      <x:c r="I78" s="35" t="n">
        <x:f>I62/((H73+I73)/2)</x:f>
        <x:v>0.036291728709461374</x:v>
      </x:c>
      <x:c r="J78" s="1"/>
      <x:c r="K78" s="1"/>
    </x:row>
    <x:row r="79" ht="18" customHeight="1">
      <x:c r="A79" s="1"/>
      <x:c r="B79" s="1"/>
      <x:c r="C79" s="23" t="str">
        <x:v>Gross NPA ratio</x:v>
      </x:c>
      <x:c r="D79" s="24"/>
      <x:c r="E79" s="35" t="n">
        <x:f>E68/E45</x:f>
        <x:v>0.044026548672566376</x:v>
      </x:c>
      <x:c r="F79" s="35" t="n">
        <x:f>F68/F45</x:f>
        <x:v>0.04355274492912524</x:v>
      </x:c>
      <x:c r="G79" s="35" t="n">
        <x:f>G68/G45</x:f>
        <x:v>0.043322132487627334</x:v>
      </x:c>
      <x:c r="H79" s="35" t="n">
        <x:f>H68/H45</x:f>
        <x:v>0.04320988749397791</x:v>
      </x:c>
      <x:c r="I79" s="35" t="n">
        <x:f>I68/I45</x:f>
        <x:v>0.043155254974945004</x:v>
      </x:c>
      <x:c r="J79" s="1"/>
      <x:c r="K79" s="1"/>
    </x:row>
    <x:row r="80" ht="18" customHeight="1">
      <x:c r="A80" s="1"/>
      <x:c r="B80" s="1"/>
      <x:c r="C80" s="23" t="str">
        <x:v>Allowance / gross NPA</x:v>
      </x:c>
      <x:c r="D80" s="24"/>
      <x:c r="E80" s="35" t="n">
        <x:f>IF(E68=0,"n.a.",E69/E68)</x:f>
        <x:v>0.9120603015075377</x:v>
      </x:c>
      <x:c r="F80" s="35" t="n">
        <x:f>IF(F68=0,"n.a.",F69/F68)</x:f>
        <x:v>1.1332659024499887</x:v>
      </x:c>
      <x:c r="G80" s="35" t="n">
        <x:f>IF(G68=0,"n.a.",G69/G68)</x:f>
        <x:v>1.3296899465080236</x:v>
      </x:c>
      <x:c r="H80" s="35" t="n">
        <x:f>IF(H68=0,"n.a.",H69/H68)</x:f>
        <x:v>1.5032504770717678</x:v>
      </x:c>
      <x:c r="I80" s="35" t="n">
        <x:f>IF(I68=0,"n.a.",I69/I68)</x:f>
        <x:v>1.6564561957687047</x:v>
      </x:c>
      <x:c r="J80" s="1"/>
      <x:c r="K80" s="1"/>
    </x:row>
    <x:row r="81" ht="18" customHeight="1">
      <x:c r="A81" s="1"/>
      <x:c r="B81" s="1"/>
      <x:c r="C81" s="23" t="str">
        <x:v>Gross loans / borrowings</x:v>
      </x:c>
      <x:c r="D81" s="24"/>
      <x:c r="E81" s="35" t="n">
        <x:f>E45/E47</x:f>
        <x:v>1.2499999999999998</x:v>
      </x:c>
      <x:c r="F81" s="35" t="n">
        <x:f>F45/F47</x:f>
        <x:v>1.2499999999999998</x:v>
      </x:c>
      <x:c r="G81" s="35" t="n">
        <x:f>G45/G47</x:f>
        <x:v>1.2499999999999998</x:v>
      </x:c>
      <x:c r="H81" s="35" t="n">
        <x:f>H45/H47</x:f>
        <x:v>1.2499999999999996</x:v>
      </x:c>
      <x:c r="I81" s="35" t="n">
        <x:f>I45/I47</x:f>
        <x:v>1.2499999999999996</x:v>
      </x:c>
      <x:c r="J81" s="1"/>
      <x:c r="K81" s="1"/>
    </x:row>
    <x:row r="82" ht="18" customHeight="1">
      <x:c r="A82" s="1"/>
      <x:c r="B82" s="1"/>
      <x:c r="C82" s="23" t="str">
        <x:v>Capital adequacy proxy</x:v>
      </x:c>
      <x:c r="D82" s="24"/>
      <x:c r="E82" s="35" t="n">
        <x:f>E71*E42/(E45*E41)</x:f>
        <x:v>0.22515379646017702</x:v>
      </x:c>
      <x:c r="F82" s="35" t="n">
        <x:f>F71*F42/(F45*F41)</x:f>
        <x:v>0.22524344404416954</x:v>
      </x:c>
      <x:c r="G82" s="35" t="n">
        <x:f>G71*G42/(G45*G41)</x:f>
        <x:v>0.22527837826331343</x:v>
      </x:c>
      <x:c r="H82" s="35" t="n">
        <x:f>H71*H42/(H45*H41)</x:f>
        <x:v>0.22526685817400638</x:v>
      </x:c>
      <x:c r="I82" s="35" t="n">
        <x:f>I71*I42/(I45*I41)</x:f>
        <x:v>0.2252161057465785</x:v>
      </x:c>
      <x:c r="J82" s="1"/>
      <x:c r="K82" s="1"/>
    </x:row>
    <x:row r="83" ht="18" customHeight="1">
      <x:c r="A83" s="1"/>
      <x:c r="B83" s="1"/>
      <x:c r="C83" s="1" t="str">
        <x:v>Capital below internal target</x:v>
      </x:c>
      <x:c r="D83" s="2"/>
      <x:c r="E83" s="8" t="n">
        <x:f>MAX(0,E45*E41*E43-E71*E42)</x:f>
        <x:v>0</x:v>
      </x:c>
      <x:c r="F83" s="8" t="n">
        <x:f>MAX(0,F45*F41*F43-F71*F42)</x:f>
        <x:v>0</x:v>
      </x:c>
      <x:c r="G83" s="8" t="n">
        <x:f>MAX(0,G45*G41*G43-G71*G42)</x:f>
        <x:v>0</x:v>
      </x:c>
      <x:c r="H83" s="8" t="n">
        <x:f>MAX(0,H45*H41*H43-H71*H42)</x:f>
        <x:v>0</x:v>
      </x:c>
      <x:c r="I83" s="8" t="n">
        <x:f>MAX(0,I45*I41*I43-I71*I42)</x:f>
        <x:v>0</x:v>
      </x:c>
      <x:c r="J83" s="1"/>
      <x:c r="K83" s="1"/>
    </x:row>
    <x:row r="84" ht="18" customHeight="1">
      <x:c r="A84" s="1"/>
      <x:c r="B84" s="1"/>
      <x:c r="C84" s="1" t="str">
        <x:v>Forward book-based equity value</x:v>
      </x:c>
      <x:c r="D84" s="2"/>
      <x:c r="E84" s="8" t="n">
        <x:f>E71*$D17</x:f>
        <x:v>14134.655</x:v>
      </x:c>
      <x:c r="F84" s="8" t="n">
        <x:f>F71*$D17</x:f>
        <x:v>15978.51965</x:v>
      </x:c>
      <x:c r="G84" s="8" t="n">
        <x:f>G71*$D17</x:f>
        <x:v>18058.5275645</x:v>
      </x:c>
      <x:c r="H84" s="8" t="n">
        <x:f>H71*$D17</x:f>
        <x:v>20405.092636685</x:v>
      </x:c>
      <x:c r="I84" s="8" t="n">
        <x:f>I71*$D17</x:f>
        <x:v>23052.559787358045</x:v>
      </x:c>
      <x:c r="J84" s="1"/>
      <x:c r="K84" s="1"/>
    </x:row>
    <x:row r="85" ht="18" customHeight="1">
      <x:c r="A85" s="1"/>
      <x:c r="B85" s="1"/>
      <x:c r="C85" s="1" t="str">
        <x:v>Forward earnings-based equity value</x:v>
      </x:c>
      <x:c r="D85" s="2"/>
      <x:c r="E85" s="8" t="n">
        <x:f>E62*$D18</x:f>
        <x:v>14711.895000000002</x:v>
      </x:c>
      <x:c r="F85" s="8" t="n">
        <x:f>F62*$D18</x:f>
        <x:v>16594.781849999996</x:v>
      </x:c>
      <x:c r="G85" s="8" t="n">
        <x:f>G62*$D18</x:f>
        <x:v>18720.07123049999</x:v>
      </x:c>
      <x:c r="H85" s="8" t="n">
        <x:f>H62*$D18</x:f>
        <x:v>21119.08564966499</x:v>
      </x:c>
      <x:c r="I85" s="8" t="n">
        <x:f>I62*$D18</x:f>
        <x:v>23827.204356057428</x:v>
      </x:c>
      <x:c r="J85" s="1"/>
      <x:c r="K85" s="1"/>
    </x:row>
    <x:row r="86" ht="18" customHeight="1">
      <x:c r="A86" s="1"/>
      <x:c r="B86" s="1"/>
      <x:c r="C86" s="1" t="str">
        <x:v>Book value per share (INR)</x:v>
      </x:c>
      <x:c r="D86" s="33"/>
      <x:c r="E86" s="34" t="n">
        <x:f>E71/$D16</x:f>
        <x:v>56.53862</x:v>
      </x:c>
      <x:c r="F86" s="34" t="n">
        <x:f>F71/$D16</x:f>
        <x:v>63.9140786</x:v>
      </x:c>
      <x:c r="G86" s="34" t="n">
        <x:f>G71/$D16</x:f>
        <x:v>72.234110258</x:v>
      </x:c>
      <x:c r="H86" s="34" t="n">
        <x:f>H71/$D16</x:f>
        <x:v>81.62037054673999</x:v>
      </x:c>
      <x:c r="I86" s="34" t="n">
        <x:f>I71/$D16</x:f>
        <x:v>92.21023914943218</x:v>
      </x:c>
      <x:c r="J86" s="1"/>
      <x:c r="K86" s="1"/>
    </x:row>
    <x:row r="87" ht="18" customHeight="1">
      <x:c r="A87" s="1"/>
      <x:c r="B87" s="1"/>
      <x:c r="C87" s="38" t="str">
        <x:v>PV of FY:27 book-based equity value</x:v>
      </x:c>
      <x:c r="D87" s="39"/>
      <x:c r="E87" s="41" t="n">
        <x:f>E84/(1+$D19)</x:f>
        <x:v>12398.820175438595</x:v>
      </x:c>
      <x:c r="F87" s="39"/>
      <x:c r="G87" s="39"/>
      <x:c r="H87" s="39"/>
      <x:c r="I87" s="39"/>
      <x:c r="J87" s="1"/>
      <x:c r="K87" s="1" t="str">
        <x:v>One-year discount to 31 March 2026. Forward P/B and discount rate are illustrative.</x:v>
      </x:c>
    </x:row>
    <x:row r="88" ht="18" customHeight="1">
      <x:c r="A88" s="1"/>
      <x:c r="B88" s="1"/>
      <x:c r="C88" s="19" t="str">
        <x:v>MODEL CHECKS</x:v>
      </x:c>
      <x:c r="D88" s="20"/>
      <x:c r="E88" s="20"/>
      <x:c r="F88" s="20"/>
      <x:c r="G88" s="20"/>
      <x:c r="H88" s="20"/>
      <x:c r="I88" s="20"/>
      <x:c r="J88" s="1"/>
      <x:c r="K88" s="1"/>
    </x:row>
    <x:row r="89" ht="18" customHeight="1">
      <x:c r="A89" s="1"/>
      <x:c r="B89" s="1"/>
      <x:c r="C89" s="1" t="str">
        <x:v>Assets less funding and equity</x:v>
      </x:c>
      <x:c r="D89" s="33"/>
      <x:c r="E89" s="34" t="n">
        <x:f>E73-E47-E71</x:f>
        <x:v>9.094947017729282e-13</x:v>
      </x:c>
      <x:c r="F89" s="34" t="n">
        <x:f>F73-F47-F71</x:f>
        <x:v>-9.094947017729282e-13</x:v>
      </x:c>
      <x:c r="G89" s="34" t="n">
        <x:f>G73-G47-G71</x:f>
        <x:v>0</x:v>
      </x:c>
      <x:c r="H89" s="34" t="n">
        <x:f>H73-H47-H71</x:f>
        <x:v>1.8189894035458565e-12</x:v>
      </x:c>
      <x:c r="I89" s="34" t="n">
        <x:f>I73-I47-I71</x:f>
        <x:v>1.8189894035458565e-12</x:v>
      </x:c>
      <x:c r="J89" s="1"/>
      <x:c r="K89" s="1"/>
    </x:row>
    <x:row r="90" ht="18" customHeight="1">
      <x:c r="A90" s="1"/>
      <x:c r="B90" s="1"/>
      <x:c r="C90" s="1" t="str">
        <x:v>Residual liquidity shortfall</x:v>
      </x:c>
      <x:c r="D90" s="33"/>
      <x:c r="E90" s="34" t="n">
        <x:f>MAX(0,-E72)</x:f>
        <x:v>0</x:v>
      </x:c>
      <x:c r="F90" s="34" t="n">
        <x:f>MAX(0,-F72)</x:f>
        <x:v>0</x:v>
      </x:c>
      <x:c r="G90" s="34" t="n">
        <x:f>MAX(0,-G72)</x:f>
        <x:v>0</x:v>
      </x:c>
      <x:c r="H90" s="34" t="n">
        <x:f>MAX(0,-H72)</x:f>
        <x:v>0</x:v>
      </x:c>
      <x:c r="I90" s="34" t="n">
        <x:f>MAX(0,-I72)</x:f>
        <x:v>0</x:v>
      </x:c>
      <x:c r="J90" s="1"/>
      <x:c r="K90" s="1"/>
    </x:row>
    <x:row r="91" ht="18" customHeight="1">
      <x:c r="A91" s="1"/>
      <x:c r="B91" s="1"/>
      <x:c r="C91" s="1" t="str">
        <x:v>Allowance below zero</x:v>
      </x:c>
      <x:c r="D91" s="33"/>
      <x:c r="E91" s="34" t="n">
        <x:f>MAX(0,-E69)</x:f>
        <x:v>0</x:v>
      </x:c>
      <x:c r="F91" s="34" t="n">
        <x:f>MAX(0,-F69)</x:f>
        <x:v>0</x:v>
      </x:c>
      <x:c r="G91" s="34" t="n">
        <x:f>MAX(0,-G69)</x:f>
        <x:v>0</x:v>
      </x:c>
      <x:c r="H91" s="34" t="n">
        <x:f>MAX(0,-H69)</x:f>
        <x:v>0</x:v>
      </x:c>
      <x:c r="I91" s="34" t="n">
        <x:f>MAX(0,-I69)</x:f>
        <x:v>0</x:v>
      </x:c>
      <x:c r="J91" s="1"/>
      <x:c r="K91" s="1"/>
    </x:row>
    <x:row r="92" ht="18" customHeight="1">
      <x:c r="A92" s="1"/>
      <x:c r="B92" s="1"/>
      <x:c r="C92" s="1" t="str">
        <x:v>NPA above gross loans</x:v>
      </x:c>
      <x:c r="D92" s="33"/>
      <x:c r="E92" s="34" t="n">
        <x:f>MAX(0,E68-E45)</x:f>
        <x:v>0</x:v>
      </x:c>
      <x:c r="F92" s="34" t="n">
        <x:f>MAX(0,F68-F45)</x:f>
        <x:v>0</x:v>
      </x:c>
      <x:c r="G92" s="34" t="n">
        <x:f>MAX(0,G68-G45)</x:f>
        <x:v>0</x:v>
      </x:c>
      <x:c r="H92" s="34" t="n">
        <x:f>MAX(0,H68-H45)</x:f>
        <x:v>0</x:v>
      </x:c>
      <x:c r="I92" s="34" t="n">
        <x:f>MAX(0,I68-I45)</x:f>
        <x:v>0</x:v>
      </x:c>
      <x:c r="J92" s="1"/>
      <x:c r="K92" s="1"/>
    </x:row>
    <x:row r="93" ht="18" customHeight="1">
      <x:c r="A93" s="1"/>
      <x:c r="B93" s="1"/>
      <x:c r="C93" s="1"/>
      <x:c r="D93" s="2"/>
      <x:c r="E93" s="2"/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/>
      <x:c r="D94" s="2"/>
      <x:c r="E94" s="2"/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1"/>
      <x:c r="D95" s="2"/>
      <x:c r="E95" s="2"/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/>
      <x:c r="D96" s="2"/>
      <x:c r="E96" s="2"/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/>
      <x:c r="D97" s="2"/>
      <x:c r="E97" s="2"/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/>
      <x:c r="D98" s="2"/>
      <x:c r="E98" s="2"/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1"/>
      <x:c r="D99" s="2"/>
      <x:c r="E99" s="2"/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/>
      <x:c r="D100" s="2"/>
      <x:c r="E100" s="2"/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1"/>
      <x:c r="D101" s="2"/>
      <x:c r="E101" s="2"/>
      <x:c r="F101" s="2"/>
      <x:c r="G101" s="2"/>
      <x:c r="H101" s="2"/>
      <x:c r="I101" s="2"/>
      <x:c r="J101" s="1"/>
      <x:c r="K101" s="1"/>
    </x:row>
    <x:row r="102" ht="18" customHeight="1">
      <x:c r="A102" s="1"/>
      <x:c r="B102" s="1"/>
      <x:c r="C102" s="1"/>
      <x:c r="D102" s="2"/>
      <x:c r="E102" s="2"/>
      <x:c r="F102" s="2"/>
      <x:c r="G102" s="2"/>
      <x:c r="H102" s="2"/>
      <x:c r="I102" s="2"/>
      <x:c r="J102" s="1"/>
      <x:c r="K102" s="1"/>
    </x:row>
    <x:row r="103" ht="18" customHeight="1">
      <x:c r="A103" s="1"/>
      <x:c r="B103" s="1"/>
      <x:c r="C103" s="1"/>
      <x:c r="D103" s="2"/>
      <x:c r="E103" s="2"/>
      <x:c r="F103" s="2"/>
      <x:c r="G103" s="2"/>
      <x:c r="H103" s="2"/>
      <x:c r="I103" s="2"/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89:I89">
    <x:cfRule type="expression" dxfId="64" priority="1">
      <x:formula>ABS(E89)&gt;0.01</x:formula>
    </x:cfRule>
  </x:conditionalFormatting>
  <x:conditionalFormatting sqref="E90:I90">
    <x:cfRule type="expression" dxfId="65" priority="2">
      <x:formula>ABS(E90)&gt;0.01</x:formula>
    </x:cfRule>
  </x:conditionalFormatting>
  <x:conditionalFormatting sqref="E91:I91">
    <x:cfRule type="expression" dxfId="66" priority="3">
      <x:formula>ABS(E91)&gt;0.01</x:formula>
    </x:cfRule>
  </x:conditionalFormatting>
  <x:conditionalFormatting sqref="E92:I92">
    <x:cfRule type="expression" dxfId="67" priority="4">
      <x:formula>ABS(E92)&gt;0.01</x:formula>
    </x:cfRule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General Insurance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PREMIUM, CLAIMS AND RESERVE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Gross written premium — seed</x:v>
      </x:c>
      <x:c r="D10" s="7" t="n">
        <x:v>10000</x:v>
      </x:c>
      <x:c r="E10" s="2"/>
      <x:c r="F10" s="2"/>
      <x:c r="G10" s="2"/>
      <x:c r="H10" s="2"/>
      <x:c r="I10" s="2"/>
      <x:c r="J10" s="1"/>
      <x:c r="K10" s="1" t="str">
        <x:v>All amber inputs are illustrative. General insurance only; not a life insurance embedded-value model.</x:v>
      </x:c>
    </x:row>
    <x:row r="11" ht="18" customHeight="1">
      <x:c r="A11" s="1"/>
      <x:c r="B11" s="1"/>
      <x:c r="C11" s="1" t="str">
        <x:v>Opening unearned premium reserve</x:v>
      </x:c>
      <x:c r="D11" s="7" t="n">
        <x:v>3000</x:v>
      </x:c>
      <x:c r="E11" s="2"/>
      <x:c r="F11" s="2"/>
      <x:c r="G11" s="2"/>
      <x:c r="H11" s="2"/>
      <x:c r="I11" s="2"/>
      <x:c r="J11" s="1"/>
      <x:c r="K11" s="1" t="str">
        <x:v>Assumes immediate premium collection, liquid invested assets, no fair-value changes and no fixed assets.</x:v>
      </x:c>
    </x:row>
    <x:row r="12" ht="18" customHeight="1">
      <x:c r="A12" s="1"/>
      <x:c r="B12" s="1"/>
      <x:c r="C12" s="1" t="str">
        <x:v>Opening outstanding claims reserve</x:v>
      </x:c>
      <x:c r="D12" s="7" t="n">
        <x:v>4000</x:v>
      </x:c>
      <x:c r="E12" s="2"/>
      <x:c r="F12" s="2"/>
      <x:c r="G12" s="2"/>
      <x:c r="H12" s="2"/>
      <x:c r="I12" s="2"/>
      <x:c r="J12" s="1"/>
      <x:c r="K12" s="1" t="str">
        <x:v>Solvency is intentionally not inferred from book equity. Populate actual ASM and RSM in a regulatory extension.</x:v>
      </x:c>
    </x:row>
    <x:row r="13" ht="18" customHeight="1">
      <x:c r="A13" s="1"/>
      <x:c r="B13" s="1"/>
      <x:c r="C13" s="1" t="str">
        <x:v>Opening equity</x:v>
      </x:c>
      <x:c r="D13" s="7" t="n">
        <x:v>5000</x:v>
      </x:c>
      <x:c r="E13" s="2"/>
      <x:c r="F13" s="2"/>
      <x:c r="G13" s="2"/>
      <x:c r="H13" s="2"/>
      <x:c r="I13" s="2"/>
      <x:c r="J13" s="1"/>
      <x:c r="K13" s="1"/>
    </x:row>
    <x:row r="14" ht="18" customHeight="1">
      <x:c r="A14" s="1"/>
      <x:c r="B14" s="1"/>
      <x:c r="C14" s="1" t="str">
        <x:v>Diluted shares (crore)</x:v>
      </x:c>
      <x:c r="D14" s="7" t="n">
        <x:v>100</x:v>
      </x:c>
      <x:c r="E14" s="2"/>
      <x:c r="F14" s="2"/>
      <x:c r="G14" s="2"/>
      <x:c r="H14" s="2"/>
      <x:c r="I14" s="2"/>
      <x:c r="J14" s="1"/>
      <x:c r="K14" s="1"/>
    </x:row>
    <x:row r="15" ht="18" customHeight="1">
      <x:c r="A15" s="1"/>
      <x:c r="B15" s="1"/>
      <x:c r="C15" s="1" t="str">
        <x:v>Forward price / book</x:v>
      </x:c>
      <x:c r="D15" s="55" t="n">
        <x:v>3</x:v>
      </x:c>
      <x:c r="E15" s="2"/>
      <x:c r="F15" s="2"/>
      <x:c r="G15" s="2"/>
      <x:c r="H15" s="2"/>
      <x:c r="I15" s="2"/>
      <x:c r="J15" s="1"/>
      <x:c r="K15" s="1"/>
    </x:row>
    <x:row r="16" ht="18" customHeight="1">
      <x:c r="A16" s="1"/>
      <x:c r="B16" s="1"/>
      <x:c r="C16" s="1" t="str">
        <x:v>Cost of equity</x:v>
      </x:c>
      <x:c r="D16" s="25" t="n">
        <x:v>0.14</x:v>
      </x:c>
      <x:c r="E16" s="2"/>
      <x:c r="F16" s="2"/>
      <x:c r="G16" s="2"/>
      <x:c r="H16" s="2"/>
      <x:c r="I16" s="2"/>
      <x:c r="J16" s="1"/>
      <x:c r="K16" s="1"/>
    </x:row>
    <x:row r="17" ht="18" customHeight="1">
      <x:c r="A17" s="1"/>
      <x:c r="B17" s="1"/>
      <x:c r="C17" s="28" t="str">
        <x:v>Gross written premium growth — active</x:v>
      </x:c>
      <x:c r="D17" s="29"/>
      <x:c r="E17" s="30" t="n">
        <x:f>IF(COUNT(INDEX(E18:E20,'Controls'!$E$5))=0,NA(),INDEX(E18:E20,'Controls'!$E$5))</x:f>
        <x:v>0.12</x:v>
      </x:c>
      <x:c r="F17" s="30" t="n">
        <x:f>IF(COUNT(INDEX(F18:F20,'Controls'!$E$5))=0,NA(),INDEX(F18:F20,'Controls'!$E$5))</x:f>
        <x:v>0.12</x:v>
      </x:c>
      <x:c r="G17" s="30" t="n">
        <x:f>IF(COUNT(INDEX(G18:G20,'Controls'!$E$5))=0,NA(),INDEX(G18:G20,'Controls'!$E$5))</x:f>
        <x:v>0.12</x:v>
      </x:c>
      <x:c r="H17" s="30" t="n">
        <x:f>IF(COUNT(INDEX(H18:H20,'Controls'!$E$5))=0,NA(),INDEX(H18:H20,'Controls'!$E$5))</x:f>
        <x:v>0.12</x:v>
      </x:c>
      <x:c r="I17" s="30" t="n">
        <x:f>IF(COUNT(INDEX(I18:I20,'Controls'!$E$5))=0,NA(),INDEX(I18:I20,'Controls'!$E$5))</x:f>
        <x:v>0.12</x:v>
      </x:c>
      <x:c r="J17" s="1"/>
      <x:c r="K17" s="1"/>
    </x:row>
    <x:row r="18" ht="18" customHeight="1">
      <x:c r="A18" s="1"/>
      <x:c r="B18" s="1"/>
      <x:c r="C18" s="23" t="str">
        <x:v>Base</x:v>
      </x:c>
      <x:c r="D18" s="24"/>
      <x:c r="E18" s="26" t="n">
        <x:v>0.12</x:v>
      </x:c>
      <x:c r="F18" s="26" t="n">
        <x:v>0.12</x:v>
      </x:c>
      <x:c r="G18" s="26" t="n">
        <x:v>0.12</x:v>
      </x:c>
      <x:c r="H18" s="26" t="n">
        <x:v>0.12</x:v>
      </x:c>
      <x:c r="I18" s="26" t="n">
        <x:v>0.12</x:v>
      </x:c>
      <x:c r="J18" s="1"/>
      <x:c r="K18" s="1"/>
    </x:row>
    <x:row r="19" ht="18" customHeight="1">
      <x:c r="A19" s="1"/>
      <x:c r="B19" s="1"/>
      <x:c r="C19" s="23" t="str">
        <x:v>Downside</x:v>
      </x:c>
      <x:c r="D19" s="24"/>
      <x:c r="E19" s="26" t="n">
        <x:v>0.06</x:v>
      </x:c>
      <x:c r="F19" s="26" t="n">
        <x:v>0.06</x:v>
      </x:c>
      <x:c r="G19" s="26" t="n">
        <x:v>0.06</x:v>
      </x:c>
      <x:c r="H19" s="26" t="n">
        <x:v>0.06</x:v>
      </x:c>
      <x:c r="I19" s="26" t="n">
        <x:v>0.06</x:v>
      </x:c>
      <x:c r="J19" s="1"/>
      <x:c r="K19" s="1"/>
    </x:row>
    <x:row r="20" ht="18" customHeight="1">
      <x:c r="A20" s="1"/>
      <x:c r="B20" s="1"/>
      <x:c r="C20" s="23" t="str">
        <x:v>Upside</x:v>
      </x:c>
      <x:c r="D20" s="24"/>
      <x:c r="E20" s="26" t="n">
        <x:v>0.17</x:v>
      </x:c>
      <x:c r="F20" s="26" t="n">
        <x:v>0.17</x:v>
      </x:c>
      <x:c r="G20" s="26" t="n">
        <x:v>0.17</x:v>
      </x:c>
      <x:c r="H20" s="26" t="n">
        <x:v>0.17</x:v>
      </x:c>
      <x:c r="I20" s="26" t="n">
        <x:v>0.17</x:v>
      </x:c>
      <x:c r="J20" s="1"/>
      <x:c r="K20" s="1"/>
    </x:row>
    <x:row r="21" ht="30" customHeight="1">
      <x:c r="A21" s="1"/>
      <x:c r="B21" s="1"/>
      <x:c r="C21" s="58" t="str">
        <x:v>Incurred claims / net earned premium — active</x:v>
      </x:c>
      <x:c r="D21" s="29"/>
      <x:c r="E21" s="30" t="n">
        <x:f>IF(COUNT(INDEX(E22:E24,'Controls'!$E$5))=0,NA(),INDEX(E22:E24,'Controls'!$E$5))</x:f>
        <x:v>0.7</x:v>
      </x:c>
      <x:c r="F21" s="30" t="n">
        <x:f>IF(COUNT(INDEX(F22:F24,'Controls'!$E$5))=0,NA(),INDEX(F22:F24,'Controls'!$E$5))</x:f>
        <x:v>0.7</x:v>
      </x:c>
      <x:c r="G21" s="30" t="n">
        <x:f>IF(COUNT(INDEX(G22:G24,'Controls'!$E$5))=0,NA(),INDEX(G22:G24,'Controls'!$E$5))</x:f>
        <x:v>0.7</x:v>
      </x:c>
      <x:c r="H21" s="30" t="n">
        <x:f>IF(COUNT(INDEX(H22:H24,'Controls'!$E$5))=0,NA(),INDEX(H22:H24,'Controls'!$E$5))</x:f>
        <x:v>0.7</x:v>
      </x:c>
      <x:c r="I21" s="30" t="n">
        <x:f>IF(COUNT(INDEX(I22:I24,'Controls'!$E$5))=0,NA(),INDEX(I22:I24,'Controls'!$E$5))</x:f>
        <x:v>0.7</x:v>
      </x:c>
      <x:c r="J21" s="1"/>
      <x:c r="K21" s="1"/>
    </x:row>
    <x:row r="22" ht="18" customHeight="1">
      <x:c r="A22" s="1"/>
      <x:c r="B22" s="1"/>
      <x:c r="C22" s="23" t="str">
        <x:v>Base</x:v>
      </x:c>
      <x:c r="D22" s="24"/>
      <x:c r="E22" s="26" t="n">
        <x:v>0.7</x:v>
      </x:c>
      <x:c r="F22" s="26" t="n">
        <x:v>0.7</x:v>
      </x:c>
      <x:c r="G22" s="26" t="n">
        <x:v>0.7</x:v>
      </x:c>
      <x:c r="H22" s="26" t="n">
        <x:v>0.7</x:v>
      </x:c>
      <x:c r="I22" s="26" t="n">
        <x:v>0.7</x:v>
      </x:c>
      <x:c r="J22" s="1"/>
      <x:c r="K22" s="1"/>
    </x:row>
    <x:row r="23" ht="18" customHeight="1">
      <x:c r="A23" s="1"/>
      <x:c r="B23" s="1"/>
      <x:c r="C23" s="23" t="str">
        <x:v>Downside</x:v>
      </x:c>
      <x:c r="D23" s="24"/>
      <x:c r="E23" s="26" t="n">
        <x:v>0.78</x:v>
      </x:c>
      <x:c r="F23" s="26" t="n">
        <x:v>0.78</x:v>
      </x:c>
      <x:c r="G23" s="26" t="n">
        <x:v>0.78</x:v>
      </x:c>
      <x:c r="H23" s="26" t="n">
        <x:v>0.78</x:v>
      </x:c>
      <x:c r="I23" s="26" t="n">
        <x:v>0.78</x:v>
      </x:c>
      <x:c r="J23" s="1"/>
      <x:c r="K23" s="1"/>
    </x:row>
    <x:row r="24" ht="18" customHeight="1">
      <x:c r="A24" s="1"/>
      <x:c r="B24" s="1"/>
      <x:c r="C24" s="23" t="str">
        <x:v>Upside</x:v>
      </x:c>
      <x:c r="D24" s="24"/>
      <x:c r="E24" s="26" t="n">
        <x:v>0.66</x:v>
      </x:c>
      <x:c r="F24" s="26" t="n">
        <x:v>0.66</x:v>
      </x:c>
      <x:c r="G24" s="26" t="n">
        <x:v>0.66</x:v>
      </x:c>
      <x:c r="H24" s="26" t="n">
        <x:v>0.66</x:v>
      </x:c>
      <x:c r="I24" s="26" t="n">
        <x:v>0.66</x:v>
      </x:c>
      <x:c r="J24" s="1"/>
      <x:c r="K24" s="1"/>
    </x:row>
    <x:row r="25" ht="18" customHeight="1">
      <x:c r="A25" s="1"/>
      <x:c r="B25" s="1"/>
      <x:c r="C25" s="23" t="str">
        <x:v>Net retention</x:v>
      </x:c>
      <x:c r="D25" s="24"/>
      <x:c r="E25" s="26" t="n">
        <x:v>0.75</x:v>
      </x:c>
      <x:c r="F25" s="26" t="n">
        <x:v>0.75</x:v>
      </x:c>
      <x:c r="G25" s="26" t="n">
        <x:v>0.75</x:v>
      </x:c>
      <x:c r="H25" s="26" t="n">
        <x:v>0.75</x:v>
      </x:c>
      <x:c r="I25" s="26" t="n">
        <x:v>0.75</x:v>
      </x:c>
      <x:c r="J25" s="1"/>
      <x:c r="K25" s="1"/>
    </x:row>
    <x:row r="26" ht="18" customHeight="1">
      <x:c r="A26" s="1"/>
      <x:c r="B26" s="1"/>
      <x:c r="C26" s="23" t="str">
        <x:v>Closing UPR / net written premium</x:v>
      </x:c>
      <x:c r="D26" s="24"/>
      <x:c r="E26" s="26" t="n">
        <x:v>0.45</x:v>
      </x:c>
      <x:c r="F26" s="26" t="n">
        <x:v>0.45</x:v>
      </x:c>
      <x:c r="G26" s="26" t="n">
        <x:v>0.45</x:v>
      </x:c>
      <x:c r="H26" s="26" t="n">
        <x:v>0.45</x:v>
      </x:c>
      <x:c r="I26" s="26" t="n">
        <x:v>0.45</x:v>
      </x:c>
      <x:c r="J26" s="1"/>
      <x:c r="K26" s="1"/>
    </x:row>
    <x:row r="27" ht="18" customHeight="1">
      <x:c r="A27" s="1"/>
      <x:c r="B27" s="1"/>
      <x:c r="C27" s="23" t="str">
        <x:v>Net management expense / NWP</x:v>
      </x:c>
      <x:c r="D27" s="24"/>
      <x:c r="E27" s="26" t="n">
        <x:v>0.28</x:v>
      </x:c>
      <x:c r="F27" s="26" t="n">
        <x:v>0.28</x:v>
      </x:c>
      <x:c r="G27" s="26" t="n">
        <x:v>0.28</x:v>
      </x:c>
      <x:c r="H27" s="26" t="n">
        <x:v>0.28</x:v>
      </x:c>
      <x:c r="I27" s="26" t="n">
        <x:v>0.28</x:v>
      </x:c>
      <x:c r="J27" s="1"/>
      <x:c r="K27" s="1"/>
    </x:row>
    <x:row r="28" ht="18" customHeight="1">
      <x:c r="A28" s="1"/>
      <x:c r="B28" s="1"/>
      <x:c r="C28" s="23" t="str">
        <x:v>Claims paid / incurred claims</x:v>
      </x:c>
      <x:c r="D28" s="24"/>
      <x:c r="E28" s="26" t="n">
        <x:v>0.9</x:v>
      </x:c>
      <x:c r="F28" s="26" t="n">
        <x:v>0.9</x:v>
      </x:c>
      <x:c r="G28" s="26" t="n">
        <x:v>0.9</x:v>
      </x:c>
      <x:c r="H28" s="26" t="n">
        <x:v>0.9</x:v>
      </x:c>
      <x:c r="I28" s="26" t="n">
        <x:v>0.9</x:v>
      </x:c>
      <x:c r="J28" s="1"/>
      <x:c r="K28" s="1"/>
    </x:row>
    <x:row r="29" ht="18" customHeight="1">
      <x:c r="A29" s="1"/>
      <x:c r="B29" s="1"/>
      <x:c r="C29" s="23" t="str">
        <x:v>Yield on opening investment assets</x:v>
      </x:c>
      <x:c r="D29" s="24"/>
      <x:c r="E29" s="26" t="n">
        <x:v>0.065</x:v>
      </x:c>
      <x:c r="F29" s="26" t="n">
        <x:v>0.065</x:v>
      </x:c>
      <x:c r="G29" s="26" t="n">
        <x:v>0.065</x:v>
      </x:c>
      <x:c r="H29" s="26" t="n">
        <x:v>0.065</x:v>
      </x:c>
      <x:c r="I29" s="26" t="n">
        <x:v>0.065</x:v>
      </x:c>
      <x:c r="J29" s="1"/>
      <x:c r="K29" s="1"/>
    </x:row>
    <x:row r="30" ht="18" customHeight="1">
      <x:c r="A30" s="1"/>
      <x:c r="B30" s="1"/>
      <x:c r="C30" s="23" t="str">
        <x:v>Effective tax rate</x:v>
      </x:c>
      <x:c r="D30" s="24"/>
      <x:c r="E30" s="26" t="n">
        <x:v>0.25</x:v>
      </x:c>
      <x:c r="F30" s="26" t="n">
        <x:v>0.25</x:v>
      </x:c>
      <x:c r="G30" s="26" t="n">
        <x:v>0.25</x:v>
      </x:c>
      <x:c r="H30" s="26" t="n">
        <x:v>0.25</x:v>
      </x:c>
      <x:c r="I30" s="26" t="n">
        <x:v>0.25</x:v>
      </x:c>
      <x:c r="J30" s="1"/>
      <x:c r="K30" s="1"/>
    </x:row>
    <x:row r="31" ht="18" customHeight="1">
      <x:c r="A31" s="1"/>
      <x:c r="B31" s="1"/>
      <x:c r="C31" s="23" t="str">
        <x:v>Dividend payout</x:v>
      </x:c>
      <x:c r="D31" s="24"/>
      <x:c r="E31" s="26" t="n">
        <x:v>0.25</x:v>
      </x:c>
      <x:c r="F31" s="26" t="n">
        <x:v>0.25</x:v>
      </x:c>
      <x:c r="G31" s="26" t="n">
        <x:v>0.25</x:v>
      </x:c>
      <x:c r="H31" s="26" t="n">
        <x:v>0.25</x:v>
      </x:c>
      <x:c r="I31" s="26" t="n">
        <x:v>0.25</x:v>
      </x:c>
      <x:c r="J31" s="1"/>
      <x:c r="K31" s="1"/>
    </x:row>
    <x:row r="32" ht="18" customHeight="1">
      <x:c r="A32" s="1"/>
      <x:c r="B32" s="1"/>
      <x:c r="C32" s="19" t="str">
        <x:v>UNDERWRITING AND INVESTMENT BUILD</x:v>
      </x:c>
      <x:c r="D32" s="20"/>
      <x:c r="E32" s="20"/>
      <x:c r="F32" s="20"/>
      <x:c r="G32" s="20"/>
      <x:c r="H32" s="20"/>
      <x:c r="I32" s="20"/>
      <x:c r="J32" s="1"/>
      <x:c r="K32" s="1"/>
    </x:row>
    <x:row r="33" ht="18" customHeight="1">
      <x:c r="A33" s="1"/>
      <x:c r="B33" s="1"/>
      <x:c r="C33" s="1" t="str">
        <x:v>Gross written premium</x:v>
      </x:c>
      <x:c r="D33" s="2"/>
      <x:c r="E33" s="8" t="n">
        <x:f>$D10*(1+E17)</x:f>
        <x:v>11200.000000000002</x:v>
      </x:c>
      <x:c r="F33" s="8" t="n">
        <x:f>E33*(1+F17)</x:f>
        <x:v>12544.000000000004</x:v>
      </x:c>
      <x:c r="G33" s="8" t="n">
        <x:f>F33*(1+G17)</x:f>
        <x:v>14049.280000000006</x:v>
      </x:c>
      <x:c r="H33" s="8" t="n">
        <x:f>G33*(1+H17)</x:f>
        <x:v>15735.193600000008</x:v>
      </x:c>
      <x:c r="I33" s="8" t="n">
        <x:f>H33*(1+I17)</x:f>
        <x:v>17623.41683200001</x:v>
      </x:c>
      <x:c r="J33" s="1"/>
      <x:c r="K33" s="1"/>
    </x:row>
    <x:row r="34" ht="18" customHeight="1">
      <x:c r="A34" s="1"/>
      <x:c r="B34" s="1"/>
      <x:c r="C34" s="1" t="str">
        <x:v>Net written premium</x:v>
      </x:c>
      <x:c r="D34" s="2"/>
      <x:c r="E34" s="8" t="n">
        <x:f>E33*E25</x:f>
        <x:v>8400.000000000002</x:v>
      </x:c>
      <x:c r="F34" s="8" t="n">
        <x:f>F33*F25</x:f>
        <x:v>9408.000000000004</x:v>
      </x:c>
      <x:c r="G34" s="8" t="n">
        <x:f>G33*G25</x:f>
        <x:v>10536.960000000005</x:v>
      </x:c>
      <x:c r="H34" s="8" t="n">
        <x:f>H33*H25</x:f>
        <x:v>11801.395200000006</x:v>
      </x:c>
      <x:c r="I34" s="8" t="n">
        <x:f>I33*I25</x:f>
        <x:v>13217.562624000007</x:v>
      </x:c>
      <x:c r="J34" s="1"/>
      <x:c r="K34" s="1"/>
    </x:row>
    <x:row r="35" ht="18" customHeight="1">
      <x:c r="A35" s="1"/>
      <x:c r="B35" s="1"/>
      <x:c r="C35" s="1" t="str">
        <x:v>Closing unearned premium reserve</x:v>
      </x:c>
      <x:c r="D35" s="2"/>
      <x:c r="E35" s="8" t="n">
        <x:f>E34*E26</x:f>
        <x:v>3780.000000000001</x:v>
      </x:c>
      <x:c r="F35" s="8" t="n">
        <x:f>F34*F26</x:f>
        <x:v>4233.600000000002</x:v>
      </x:c>
      <x:c r="G35" s="8" t="n">
        <x:f>G34*G26</x:f>
        <x:v>4741.632000000002</x:v>
      </x:c>
      <x:c r="H35" s="8" t="n">
        <x:f>H34*H26</x:f>
        <x:v>5310.627840000003</x:v>
      </x:c>
      <x:c r="I35" s="8" t="n">
        <x:f>I34*I26</x:f>
        <x:v>5947.903180800004</x:v>
      </x:c>
      <x:c r="J35" s="1"/>
      <x:c r="K35" s="1"/>
    </x:row>
    <x:row r="36" ht="18" customHeight="1">
      <x:c r="A36" s="1"/>
      <x:c r="B36" s="1"/>
      <x:c r="C36" s="1" t="str">
        <x:v>Net earned premium</x:v>
      </x:c>
      <x:c r="D36" s="2"/>
      <x:c r="E36" s="8" t="n">
        <x:f>E34+$D11-E35</x:f>
        <x:v>7620.000000000001</x:v>
      </x:c>
      <x:c r="F36" s="8" t="n">
        <x:f>F34+E35-F35</x:f>
        <x:v>8954.400000000001</x:v>
      </x:c>
      <x:c r="G36" s="8" t="n">
        <x:f>G34+F35-G35</x:f>
        <x:v>10028.928000000004</x:v>
      </x:c>
      <x:c r="H36" s="8" t="n">
        <x:f>H34+G35-H35</x:f>
        <x:v>11232.399360000005</x:v>
      </x:c>
      <x:c r="I36" s="8" t="n">
        <x:f>I34+H35-I35</x:f>
        <x:v>12580.287283200007</x:v>
      </x:c>
      <x:c r="J36" s="1"/>
      <x:c r="K36" s="1"/>
    </x:row>
    <x:row r="37" ht="18" customHeight="1">
      <x:c r="A37" s="1"/>
      <x:c r="B37" s="1"/>
      <x:c r="C37" s="1" t="str">
        <x:v>Incurred claims</x:v>
      </x:c>
      <x:c r="D37" s="2"/>
      <x:c r="E37" s="8" t="n">
        <x:f>E36*E21</x:f>
        <x:v>5334</x:v>
      </x:c>
      <x:c r="F37" s="8" t="n">
        <x:f>F36*F21</x:f>
        <x:v>6268.080000000001</x:v>
      </x:c>
      <x:c r="G37" s="8" t="n">
        <x:f>G36*G21</x:f>
        <x:v>7020.249600000002</x:v>
      </x:c>
      <x:c r="H37" s="8" t="n">
        <x:f>H36*H21</x:f>
        <x:v>7862.679552000003</x:v>
      </x:c>
      <x:c r="I37" s="8" t="n">
        <x:f>I36*I21</x:f>
        <x:v>8806.201098240004</x:v>
      </x:c>
      <x:c r="J37" s="1"/>
      <x:c r="K37" s="1"/>
    </x:row>
    <x:row r="38" ht="18" customHeight="1">
      <x:c r="A38" s="1"/>
      <x:c r="B38" s="1"/>
      <x:c r="C38" s="1" t="str">
        <x:v>Net management expense</x:v>
      </x:c>
      <x:c r="D38" s="2"/>
      <x:c r="E38" s="8" t="n">
        <x:f>E34*E27</x:f>
        <x:v>2352.000000000001</x:v>
      </x:c>
      <x:c r="F38" s="8" t="n">
        <x:f>F34*F27</x:f>
        <x:v>2634.240000000001</x:v>
      </x:c>
      <x:c r="G38" s="8" t="n">
        <x:f>G34*G27</x:f>
        <x:v>2950.3488000000016</x:v>
      </x:c>
      <x:c r="H38" s="8" t="n">
        <x:f>H34*H27</x:f>
        <x:v>3304.390656000002</x:v>
      </x:c>
      <x:c r="I38" s="8" t="n">
        <x:f>I34*I27</x:f>
        <x:v>3700.9175347200025</x:v>
      </x:c>
      <x:c r="J38" s="1"/>
      <x:c r="K38" s="1"/>
    </x:row>
    <x:row r="39" ht="18" customHeight="1">
      <x:c r="A39" s="1"/>
      <x:c r="B39" s="1"/>
      <x:c r="C39" s="1" t="str">
        <x:v>Underwriting profit</x:v>
      </x:c>
      <x:c r="D39" s="2"/>
      <x:c r="E39" s="8" t="n">
        <x:f>E36-E37-E38</x:f>
        <x:v>-66</x:v>
      </x:c>
      <x:c r="F39" s="8" t="n">
        <x:f>F36-F37-F38</x:f>
        <x:v>52.07999999999947</x:v>
      </x:c>
      <x:c r="G39" s="8" t="n">
        <x:f>G36-G37-G38</x:f>
        <x:v>58.32960000000003</x:v>
      </x:c>
      <x:c r="H39" s="8" t="n">
        <x:f>H36-H37-H38</x:f>
        <x:v>65.3291519999998</x:v>
      </x:c>
      <x:c r="I39" s="8" t="n">
        <x:f>I36-I37-I38</x:f>
        <x:v>73.1686502399998</x:v>
      </x:c>
      <x:c r="J39" s="1"/>
      <x:c r="K39" s="1"/>
    </x:row>
    <x:row r="40" ht="18" customHeight="1">
      <x:c r="A40" s="1"/>
      <x:c r="B40" s="1"/>
      <x:c r="C40" s="1" t="str">
        <x:v>Investment income</x:v>
      </x:c>
      <x:c r="D40" s="2"/>
      <x:c r="E40" s="8" t="n">
        <x:f>($D11+$D12+$D13)*E29</x:f>
        <x:v>780</x:v>
      </x:c>
      <x:c r="F40" s="8" t="n">
        <x:f>E49*F29</x:f>
        <x:v>891.4766250000001</x:v>
      </x:c>
      <x:c r="G40" s="8" t="n">
        <x:f>F49*G29</x:f>
        <x:v>996.2019341015628</x:v>
      </x:c>
      <x:c r="H40" s="8" t="n">
        <x:f>G49*H29</x:f>
        <x:v>1113.4119457171512</x:v>
      </x:c>
      <x:c r="I40" s="8" t="n">
        <x:f>H49*I29</x:f>
        <x:v>1244.6018137904346</x:v>
      </x:c>
      <x:c r="J40" s="1"/>
      <x:c r="K40" s="1"/>
    </x:row>
    <x:row r="41" ht="18" customHeight="1">
      <x:c r="A41" s="1"/>
      <x:c r="B41" s="1"/>
      <x:c r="C41" s="1" t="str">
        <x:v>Profit before tax</x:v>
      </x:c>
      <x:c r="D41" s="2"/>
      <x:c r="E41" s="8" t="n">
        <x:f>E39+E40</x:f>
        <x:v>714</x:v>
      </x:c>
      <x:c r="F41" s="8" t="n">
        <x:f>F39+F40</x:f>
        <x:v>943.5566249999996</x:v>
      </x:c>
      <x:c r="G41" s="8" t="n">
        <x:f>G39+G40</x:f>
        <x:v>1054.5315341015628</x:v>
      </x:c>
      <x:c r="H41" s="8" t="n">
        <x:f>H39+H40</x:f>
        <x:v>1178.741097717151</x:v>
      </x:c>
      <x:c r="I41" s="8" t="n">
        <x:f>I39+I40</x:f>
        <x:v>1317.7704640304344</x:v>
      </x:c>
      <x:c r="J41" s="1"/>
      <x:c r="K41" s="1"/>
    </x:row>
    <x:row r="42" ht="18" customHeight="1">
      <x:c r="A42" s="1"/>
      <x:c r="B42" s="1"/>
      <x:c r="C42" s="1" t="str">
        <x:v>Tax</x:v>
      </x:c>
      <x:c r="D42" s="2"/>
      <x:c r="E42" s="8" t="n">
        <x:f>MAX(0,E41)*E30</x:f>
        <x:v>178.5</x:v>
      </x:c>
      <x:c r="F42" s="8" t="n">
        <x:f>MAX(0,F41)*F30</x:f>
        <x:v>235.8891562499999</x:v>
      </x:c>
      <x:c r="G42" s="8" t="n">
        <x:f>MAX(0,G41)*G30</x:f>
        <x:v>263.6328835253907</x:v>
      </x:c>
      <x:c r="H42" s="8" t="n">
        <x:f>MAX(0,H41)*H30</x:f>
        <x:v>294.68527442928774</x:v>
      </x:c>
      <x:c r="I42" s="8" t="n">
        <x:f>MAX(0,I41)*I30</x:f>
        <x:v>329.4426160076086</x:v>
      </x:c>
      <x:c r="J42" s="1"/>
      <x:c r="K42" s="1"/>
    </x:row>
    <x:row r="43" ht="18" customHeight="1">
      <x:c r="A43" s="1"/>
      <x:c r="B43" s="1"/>
      <x:c r="C43" s="38" t="str">
        <x:v>Profit after tax</x:v>
      </x:c>
      <x:c r="D43" s="39"/>
      <x:c r="E43" s="41" t="n">
        <x:f>E41-E42</x:f>
        <x:v>535.5</x:v>
      </x:c>
      <x:c r="F43" s="41" t="n">
        <x:f>F41-F42</x:f>
        <x:v>707.6674687499997</x:v>
      </x:c>
      <x:c r="G43" s="41" t="n">
        <x:f>G41-G42</x:f>
        <x:v>790.898650576172</x:v>
      </x:c>
      <x:c r="H43" s="41" t="n">
        <x:f>H41-H42</x:f>
        <x:v>884.0558232878632</x:v>
      </x:c>
      <x:c r="I43" s="41" t="n">
        <x:f>I41-I42</x:f>
        <x:v>988.3278480228257</x:v>
      </x:c>
      <x:c r="J43" s="1"/>
      <x:c r="K43" s="1"/>
    </x:row>
    <x:row r="44" ht="18" customHeight="1">
      <x:c r="A44" s="1"/>
      <x:c r="B44" s="1"/>
      <x:c r="C44" s="1" t="str">
        <x:v>Dividends</x:v>
      </x:c>
      <x:c r="D44" s="2"/>
      <x:c r="E44" s="8" t="n">
        <x:f>MAX(0,E43)*E31</x:f>
        <x:v>133.875</x:v>
      </x:c>
      <x:c r="F44" s="8" t="n">
        <x:f>MAX(0,F43)*F31</x:f>
        <x:v>176.91686718749992</x:v>
      </x:c>
      <x:c r="G44" s="8" t="n">
        <x:f>MAX(0,G43)*G31</x:f>
        <x:v>197.724662644043</x:v>
      </x:c>
      <x:c r="H44" s="8" t="n">
        <x:f>MAX(0,H43)*H31</x:f>
        <x:v>221.0139558219658</x:v>
      </x:c>
      <x:c r="I44" s="8" t="n">
        <x:f>MAX(0,I43)*I31</x:f>
        <x:v>247.08196200570643</x:v>
      </x:c>
      <x:c r="J44" s="1"/>
      <x:c r="K44" s="1"/>
    </x:row>
    <x:row r="45" ht="18" customHeight="1">
      <x:c r="A45" s="1"/>
      <x:c r="B45" s="1"/>
      <x:c r="C45" s="1" t="str">
        <x:v>Claims paid</x:v>
      </x:c>
      <x:c r="D45" s="2"/>
      <x:c r="E45" s="8" t="n">
        <x:f>E37*E28</x:f>
        <x:v>4800.6</x:v>
      </x:c>
      <x:c r="F45" s="8" t="n">
        <x:f>F37*F28</x:f>
        <x:v>5641.272000000001</x:v>
      </x:c>
      <x:c r="G45" s="8" t="n">
        <x:f>G37*G28</x:f>
        <x:v>6318.224640000002</x:v>
      </x:c>
      <x:c r="H45" s="8" t="n">
        <x:f>H37*H28</x:f>
        <x:v>7076.411596800003</x:v>
      </x:c>
      <x:c r="I45" s="8" t="n">
        <x:f>I37*I28</x:f>
        <x:v>7925.580988416004</x:v>
      </x:c>
      <x:c r="J45" s="1"/>
      <x:c r="K45" s="1"/>
    </x:row>
    <x:row r="46" ht="18" customHeight="1">
      <x:c r="A46" s="1"/>
      <x:c r="B46" s="1"/>
      <x:c r="C46" s="1" t="str">
        <x:v>Closing claims reserve</x:v>
      </x:c>
      <x:c r="D46" s="2"/>
      <x:c r="E46" s="8" t="n">
        <x:f>$D12+E37-E45</x:f>
        <x:v>4533.4</x:v>
      </x:c>
      <x:c r="F46" s="8" t="n">
        <x:f>E46+F37-F45</x:f>
        <x:v>5160.207999999999</x:v>
      </x:c>
      <x:c r="G46" s="8" t="n">
        <x:f>F46+G37-G45</x:f>
        <x:v>5862.232959999999</x:v>
      </x:c>
      <x:c r="H46" s="8" t="n">
        <x:f>G46+H37-H45</x:f>
        <x:v>6648.500915199999</x:v>
      </x:c>
      <x:c r="I46" s="8" t="n">
        <x:f>H46+I37-I45</x:f>
        <x:v>7529.121025024</x:v>
      </x:c>
      <x:c r="J46" s="1"/>
      <x:c r="K46" s="1"/>
    </x:row>
    <x:row r="47" ht="18" customHeight="1">
      <x:c r="A47" s="1"/>
      <x:c r="B47" s="1"/>
      <x:c r="C47" s="1" t="str">
        <x:v>Closing equity</x:v>
      </x:c>
      <x:c r="D47" s="2"/>
      <x:c r="E47" s="8" t="n">
        <x:f>$D13+E43-E44</x:f>
        <x:v>5401.625</x:v>
      </x:c>
      <x:c r="F47" s="8" t="n">
        <x:f>E47+F43-F44</x:f>
        <x:v>5932.3756015625</x:v>
      </x:c>
      <x:c r="G47" s="8" t="n">
        <x:f>F47+G43-G44</x:f>
        <x:v>6525.54958949463</x:v>
      </x:c>
      <x:c r="H47" s="8" t="n">
        <x:f>G47+H43-H44</x:f>
        <x:v>7188.591456960527</x:v>
      </x:c>
      <x:c r="I47" s="8" t="n">
        <x:f>H47+I43-I44</x:f>
        <x:v>7929.837342977646</x:v>
      </x:c>
      <x:c r="J47" s="1"/>
      <x:c r="K47" s="1"/>
    </x:row>
    <x:row r="48" ht="18" customHeight="1">
      <x:c r="A48" s="1"/>
      <x:c r="B48" s="1"/>
      <x:c r="C48" s="1" t="str">
        <x:v>Cash generated before investment purchases</x:v>
      </x:c>
      <x:c r="D48" s="2"/>
      <x:c r="E48" s="8" t="n">
        <x:f>E34-E45-E38+E40-E42-E44</x:f>
        <x:v>1715.0250000000005</x:v>
      </x:c>
      <x:c r="F48" s="8" t="n">
        <x:f>F34-F45-F38+F40-F42-F44</x:f>
        <x:v>1611.158601562502</x:v>
      </x:c>
      <x:c r="G48" s="8" t="n">
        <x:f>G34-G45-G38+G40-G42-G44</x:f>
        <x:v>1803.23094793213</x:v>
      </x:c>
      <x:c r="H48" s="8" t="n">
        <x:f>H34-H45-H38+H40-H42-H44</x:f>
        <x:v>2018.305662665899</x:v>
      </x:c>
      <x:c r="I48" s="8" t="n">
        <x:f>I34-I45-I38+I40-I42-I44</x:f>
        <x:v>2259.1413366411202</x:v>
      </x:c>
      <x:c r="J48" s="1"/>
      <x:c r="K48" s="1"/>
    </x:row>
    <x:row r="49" ht="18" customHeight="1">
      <x:c r="A49" s="1"/>
      <x:c r="B49" s="1"/>
      <x:c r="C49" s="1" t="str">
        <x:v>Closing investment and cash assets</x:v>
      </x:c>
      <x:c r="D49" s="2"/>
      <x:c r="E49" s="8" t="n">
        <x:f>$D11+$D12+$D13+E48</x:f>
        <x:v>13715.025000000001</x:v>
      </x:c>
      <x:c r="F49" s="8" t="n">
        <x:f>E49+F48</x:f>
        <x:v>15326.183601562503</x:v>
      </x:c>
      <x:c r="G49" s="8" t="n">
        <x:f>F49+G48</x:f>
        <x:v>17129.41454949463</x:v>
      </x:c>
      <x:c r="H49" s="8" t="n">
        <x:f>G49+H48</x:f>
        <x:v>19147.72021216053</x:v>
      </x:c>
      <x:c r="I49" s="8" t="n">
        <x:f>H49+I48</x:f>
        <x:v>21406.86154880165</x:v>
      </x:c>
      <x:c r="J49" s="1"/>
      <x:c r="K49" s="1"/>
    </x:row>
    <x:row r="50" ht="18" customHeight="1">
      <x:c r="A50" s="1"/>
      <x:c r="B50" s="1"/>
      <x:c r="C50" s="19" t="str">
        <x:v>INSURANCE KPIs AND VALUATION</x:v>
      </x:c>
      <x:c r="D50" s="20"/>
      <x:c r="E50" s="20"/>
      <x:c r="F50" s="20"/>
      <x:c r="G50" s="20"/>
      <x:c r="H50" s="20"/>
      <x:c r="I50" s="20"/>
      <x:c r="J50" s="1"/>
      <x:c r="K50" s="1"/>
    </x:row>
    <x:row r="51" ht="18" customHeight="1">
      <x:c r="A51" s="1"/>
      <x:c r="B51" s="1"/>
      <x:c r="C51" s="23" t="str">
        <x:v>Loss ratio</x:v>
      </x:c>
      <x:c r="D51" s="24"/>
      <x:c r="E51" s="35" t="n">
        <x:f>E37/E36</x:f>
        <x:v>0.7</x:v>
      </x:c>
      <x:c r="F51" s="35" t="n">
        <x:f>F37/F36</x:f>
        <x:v>0.7</x:v>
      </x:c>
      <x:c r="G51" s="35" t="n">
        <x:f>G37/G36</x:f>
        <x:v>0.7</x:v>
      </x:c>
      <x:c r="H51" s="35" t="n">
        <x:f>H37/H36</x:f>
        <x:v>0.7</x:v>
      </x:c>
      <x:c r="I51" s="35" t="n">
        <x:f>I37/I36</x:f>
        <x:v>0.7</x:v>
      </x:c>
      <x:c r="J51" s="1"/>
      <x:c r="K51" s="1"/>
    </x:row>
    <x:row r="52" ht="18" customHeight="1">
      <x:c r="A52" s="1"/>
      <x:c r="B52" s="1"/>
      <x:c r="C52" s="23" t="str">
        <x:v>Expense ratio on written premium</x:v>
      </x:c>
      <x:c r="D52" s="24"/>
      <x:c r="E52" s="35" t="n">
        <x:f>E38/E34</x:f>
        <x:v>0.28</x:v>
      </x:c>
      <x:c r="F52" s="35" t="n">
        <x:f>F38/F34</x:f>
        <x:v>0.28</x:v>
      </x:c>
      <x:c r="G52" s="35" t="n">
        <x:f>G38/G34</x:f>
        <x:v>0.28</x:v>
      </x:c>
      <x:c r="H52" s="35" t="n">
        <x:f>H38/H34</x:f>
        <x:v>0.28</x:v>
      </x:c>
      <x:c r="I52" s="35" t="n">
        <x:f>I38/I34</x:f>
        <x:v>0.28</x:v>
      </x:c>
      <x:c r="J52" s="1"/>
      <x:c r="K52" s="1"/>
    </x:row>
    <x:row r="53" ht="18" customHeight="1">
      <x:c r="A53" s="1"/>
      <x:c r="B53" s="1"/>
      <x:c r="C53" s="23" t="str">
        <x:v>Combined ratio on mixed bases</x:v>
      </x:c>
      <x:c r="D53" s="24"/>
      <x:c r="E53" s="35" t="n">
        <x:f>E51+E52</x:f>
        <x:v>0.98</x:v>
      </x:c>
      <x:c r="F53" s="35" t="n">
        <x:f>F51+F52</x:f>
        <x:v>0.98</x:v>
      </x:c>
      <x:c r="G53" s="35" t="n">
        <x:f>G51+G52</x:f>
        <x:v>0.98</x:v>
      </x:c>
      <x:c r="H53" s="35" t="n">
        <x:f>H51+H52</x:f>
        <x:v>0.98</x:v>
      </x:c>
      <x:c r="I53" s="35" t="n">
        <x:f>I51+I52</x:f>
        <x:v>0.98</x:v>
      </x:c>
      <x:c r="J53" s="1"/>
      <x:c r="K53" s="1"/>
    </x:row>
    <x:row r="54" ht="18" customHeight="1">
      <x:c r="A54" s="1"/>
      <x:c r="B54" s="1"/>
      <x:c r="C54" s="23" t="str">
        <x:v>Underwriting margin on earned premium</x:v>
      </x:c>
      <x:c r="D54" s="24"/>
      <x:c r="E54" s="35" t="n">
        <x:f>E39/E36</x:f>
        <x:v>-0.008661417322834644</x:v>
      </x:c>
      <x:c r="F54" s="35" t="n">
        <x:f>F39/F36</x:f>
        <x:v>0.005816135084427707</x:v>
      </x:c>
      <x:c r="G54" s="35" t="n">
        <x:f>G39/G36</x:f>
        <x:v>0.005816135084427768</x:v>
      </x:c>
      <x:c r="H54" s="35" t="n">
        <x:f>H39/H36</x:f>
        <x:v>0.005816135084427746</x:v>
      </x:c>
      <x:c r="I54" s="35" t="n">
        <x:f>I39/I36</x:f>
        <x:v>0.005816135084427749</x:v>
      </x:c>
      <x:c r="J54" s="1"/>
      <x:c r="K54" s="1"/>
    </x:row>
    <x:row r="55" ht="18" customHeight="1">
      <x:c r="A55" s="1"/>
      <x:c r="B55" s="1"/>
      <x:c r="C55" s="23" t="str">
        <x:v>Return on average equity</x:v>
      </x:c>
      <x:c r="D55" s="24"/>
      <x:c r="E55" s="35" t="n">
        <x:f>E43/(($D13+E47)/2)</x:f>
        <x:v>0.10296468099936308</x:v>
      </x:c>
      <x:c r="F55" s="35" t="n">
        <x:f>F43/((E47+F47)/2)</x:f>
        <x:v>0.12487514226043732</x:v>
      </x:c>
      <x:c r="G55" s="35" t="n">
        <x:f>G43/((F47+G47)/2)</x:f>
        <x:v>0.1269711670999462</x:v>
      </x:c>
      <x:c r="H55" s="35" t="n">
        <x:f>H43/((G47+H47)/2)</x:f>
        <x:v>0.12892616756575867</x:v>
      </x:c>
      <x:c r="I55" s="35" t="n">
        <x:f>I43/((H47+I47)/2)</x:f>
        <x:v>0.130744783218064</x:v>
      </x:c>
      <x:c r="J55" s="1"/>
      <x:c r="K55" s="1"/>
    </x:row>
    <x:row r="56" ht="18" customHeight="1">
      <x:c r="A56" s="1"/>
      <x:c r="B56" s="1"/>
      <x:c r="C56" s="23" t="str">
        <x:v>Technical reserves / equity</x:v>
      </x:c>
      <x:c r="D56" s="32"/>
      <x:c r="E56" s="61" t="n">
        <x:f>(E35+E46)/E47</x:f>
        <x:v>1.5390553768541877</x:v>
      </x:c>
      <x:c r="F56" s="61" t="n">
        <x:f>(F35+F46)/F47</x:f>
        <x:v>1.5834816658483004</x:v>
      </x:c>
      <x:c r="G56" s="61" t="n">
        <x:f>(G35+G46)/G47</x:f>
        <x:v>1.6249765348609078</x:v>
      </x:c>
      <x:c r="H56" s="61" t="n">
        <x:f>(H35+H46)/H47</x:f>
        <x:v>1.6636261535798211</x:v>
      </x:c>
      <x:c r="I56" s="61" t="n">
        <x:f>(I35+I46)/I47</x:f>
        <x:v>1.6995334989763353</x:v>
      </x:c>
      <x:c r="J56" s="1"/>
      <x:c r="K56" s="1"/>
    </x:row>
    <x:row r="57" ht="18" customHeight="1">
      <x:c r="A57" s="1"/>
      <x:c r="B57" s="1"/>
      <x:c r="C57" s="1" t="str">
        <x:v>Forward book-based equity value</x:v>
      </x:c>
      <x:c r="D57" s="2"/>
      <x:c r="E57" s="8" t="n">
        <x:f>E47*$D15</x:f>
        <x:v>16204.875</x:v>
      </x:c>
      <x:c r="F57" s="8" t="n">
        <x:f>F47*$D15</x:f>
        <x:v>17797.1268046875</x:v>
      </x:c>
      <x:c r="G57" s="8" t="n">
        <x:f>G47*$D15</x:f>
        <x:v>19576.64876848389</x:v>
      </x:c>
      <x:c r="H57" s="8" t="n">
        <x:f>H47*$D15</x:f>
        <x:v>21565.77437088158</x:v>
      </x:c>
      <x:c r="I57" s="8" t="n">
        <x:f>I47*$D15</x:f>
        <x:v>23789.512028932935</x:v>
      </x:c>
      <x:c r="J57" s="1"/>
      <x:c r="K57" s="1"/>
    </x:row>
    <x:row r="58" ht="18" customHeight="1">
      <x:c r="A58" s="1"/>
      <x:c r="B58" s="1"/>
      <x:c r="C58" s="38" t="str">
        <x:v>PV of FY:27 book-based equity value</x:v>
      </x:c>
      <x:c r="D58" s="39"/>
      <x:c r="E58" s="41" t="n">
        <x:f>E57/(1+$D16)</x:f>
        <x:v>14214.802631578947</x:v>
      </x:c>
      <x:c r="F58" s="39"/>
      <x:c r="G58" s="39"/>
      <x:c r="H58" s="39"/>
      <x:c r="I58" s="39"/>
      <x:c r="J58" s="1"/>
      <x:c r="K58" s="1"/>
    </x:row>
    <x:row r="59" ht="18" customHeight="1">
      <x:c r="A59" s="1"/>
      <x:c r="B59" s="1"/>
      <x:c r="C59" s="19" t="str">
        <x:v>MODEL CHECKS</x:v>
      </x:c>
      <x:c r="D59" s="20"/>
      <x:c r="E59" s="20"/>
      <x:c r="F59" s="20"/>
      <x:c r="G59" s="20"/>
      <x:c r="H59" s="20"/>
      <x:c r="I59" s="20"/>
      <x:c r="J59" s="1"/>
      <x:c r="K59" s="1"/>
    </x:row>
    <x:row r="60" ht="18" customHeight="1">
      <x:c r="A60" s="1"/>
      <x:c r="B60" s="1"/>
      <x:c r="C60" s="1" t="str">
        <x:v>Assets less reserves and equity</x:v>
      </x:c>
      <x:c r="D60" s="33"/>
      <x:c r="E60" s="34" t="n">
        <x:f>E49-E35-E46-E47</x:f>
        <x:v>1.8189894035458565e-12</x:v>
      </x:c>
      <x:c r="F60" s="34" t="n">
        <x:f>F49-F35-F46-F47</x:f>
        <x:v>1.8189894035458565e-12</x:v>
      </x:c>
      <x:c r="G60" s="34" t="n">
        <x:f>G49-G35-G46-G47</x:f>
        <x:v>9.094947017729282e-13</x:v>
      </x:c>
      <x:c r="H60" s="34" t="n">
        <x:f>H49-H35-H46-H47</x:f>
        <x:v>9.094947017729282e-13</x:v>
      </x:c>
      <x:c r="I60" s="34" t="n">
        <x:f>I49-I35-I46-I47</x:f>
        <x:v>1.8189894035458565e-12</x:v>
      </x:c>
      <x:c r="J60" s="1"/>
      <x:c r="K60" s="1"/>
    </x:row>
    <x:row r="61" ht="18" customHeight="1">
      <x:c r="A61" s="1"/>
      <x:c r="B61" s="1"/>
      <x:c r="C61" s="1" t="str">
        <x:v>Claims reserve below zero</x:v>
      </x:c>
      <x:c r="D61" s="33"/>
      <x:c r="E61" s="34" t="n">
        <x:f>MAX(0,-E46)</x:f>
        <x:v>0</x:v>
      </x:c>
      <x:c r="F61" s="34" t="n">
        <x:f>MAX(0,-F46)</x:f>
        <x:v>0</x:v>
      </x:c>
      <x:c r="G61" s="34" t="n">
        <x:f>MAX(0,-G46)</x:f>
        <x:v>0</x:v>
      </x:c>
      <x:c r="H61" s="34" t="n">
        <x:f>MAX(0,-H46)</x:f>
        <x:v>0</x:v>
      </x:c>
      <x:c r="I61" s="34" t="n">
        <x:f>MAX(0,-I46)</x:f>
        <x:v>0</x:v>
      </x:c>
      <x:c r="J61" s="1"/>
      <x:c r="K61" s="1"/>
    </x:row>
    <x:row r="62" ht="18" customHeight="1">
      <x:c r="A62" s="1"/>
      <x:c r="B62" s="1"/>
      <x:c r="C62" s="1" t="str">
        <x:v>Earned premium below zero</x:v>
      </x:c>
      <x:c r="D62" s="33"/>
      <x:c r="E62" s="34" t="n">
        <x:f>MAX(0,-E36)</x:f>
        <x:v>0</x:v>
      </x:c>
      <x:c r="F62" s="34" t="n">
        <x:f>MAX(0,-F36)</x:f>
        <x:v>0</x:v>
      </x:c>
      <x:c r="G62" s="34" t="n">
        <x:f>MAX(0,-G36)</x:f>
        <x:v>0</x:v>
      </x:c>
      <x:c r="H62" s="34" t="n">
        <x:f>MAX(0,-H36)</x:f>
        <x:v>0</x:v>
      </x:c>
      <x:c r="I62" s="34" t="n">
        <x:f>MAX(0,-I36)</x:f>
        <x:v>0</x:v>
      </x:c>
      <x:c r="J62" s="1"/>
      <x:c r="K62" s="1"/>
    </x:row>
    <x:row r="63" ht="18" customHeight="1">
      <x:c r="A63" s="1"/>
      <x:c r="B63" s="1"/>
      <x:c r="C63" s="1"/>
      <x:c r="D63" s="2"/>
      <x:c r="E63" s="2"/>
      <x:c r="F63" s="2"/>
      <x:c r="G63" s="2"/>
      <x:c r="H63" s="2"/>
      <x:c r="I63" s="2"/>
      <x:c r="J63" s="1"/>
      <x:c r="K63" s="1"/>
    </x:row>
    <x:row r="64" ht="18" customHeight="1">
      <x:c r="A64" s="1"/>
      <x:c r="B64" s="1"/>
      <x:c r="C64" s="1"/>
      <x:c r="D64" s="2"/>
      <x:c r="E64" s="2"/>
      <x:c r="F64" s="2"/>
      <x:c r="G64" s="2"/>
      <x:c r="H64" s="2"/>
      <x:c r="I64" s="2"/>
      <x:c r="J64" s="1"/>
      <x:c r="K64" s="1"/>
    </x:row>
    <x:row r="65" ht="18" customHeight="1">
      <x:c r="A65" s="1"/>
      <x:c r="B65" s="1"/>
      <x:c r="C65" s="1"/>
      <x:c r="D65" s="2"/>
      <x:c r="E65" s="2"/>
      <x:c r="F65" s="2"/>
      <x:c r="G65" s="2"/>
      <x:c r="H65" s="2"/>
      <x:c r="I65" s="2"/>
      <x:c r="J65" s="1"/>
      <x:c r="K65" s="1"/>
    </x:row>
    <x:row r="66" ht="18" customHeight="1">
      <x:c r="A66" s="1"/>
      <x:c r="B66" s="1"/>
      <x:c r="C66" s="1"/>
      <x:c r="D66" s="2"/>
      <x:c r="E66" s="2"/>
      <x:c r="F66" s="2"/>
      <x:c r="G66" s="2"/>
      <x:c r="H66" s="2"/>
      <x:c r="I66" s="2"/>
      <x:c r="J66" s="1"/>
      <x:c r="K66" s="1"/>
    </x:row>
    <x:row r="67" ht="18" customHeight="1">
      <x:c r="A67" s="1"/>
      <x:c r="B67" s="1"/>
      <x:c r="C67" s="1"/>
      <x:c r="D67" s="2"/>
      <x:c r="E67" s="2"/>
      <x:c r="F67" s="2"/>
      <x:c r="G67" s="2"/>
      <x:c r="H67" s="2"/>
      <x:c r="I67" s="2"/>
      <x:c r="J67" s="1"/>
      <x:c r="K67" s="1"/>
    </x:row>
    <x:row r="68" ht="18" customHeight="1">
      <x:c r="A68" s="1"/>
      <x:c r="B68" s="1"/>
      <x:c r="C68" s="1"/>
      <x:c r="D68" s="2"/>
      <x:c r="E68" s="2"/>
      <x:c r="F68" s="2"/>
      <x:c r="G68" s="2"/>
      <x:c r="H68" s="2"/>
      <x:c r="I68" s="2"/>
      <x:c r="J68" s="1"/>
      <x:c r="K68" s="1"/>
    </x:row>
    <x:row r="69" ht="18" customHeight="1">
      <x:c r="A69" s="1"/>
      <x:c r="B69" s="1"/>
      <x:c r="C69" s="1"/>
      <x:c r="D69" s="2"/>
      <x:c r="E69" s="2"/>
      <x:c r="F69" s="2"/>
      <x:c r="G69" s="2"/>
      <x:c r="H69" s="2"/>
      <x:c r="I69" s="2"/>
      <x:c r="J69" s="1"/>
      <x:c r="K69" s="1"/>
    </x:row>
    <x:row r="70" ht="18" customHeight="1">
      <x:c r="A70" s="1"/>
      <x:c r="B70" s="1"/>
      <x:c r="C70" s="1"/>
      <x:c r="D70" s="2"/>
      <x:c r="E70" s="2"/>
      <x:c r="F70" s="2"/>
      <x:c r="G70" s="2"/>
      <x:c r="H70" s="2"/>
      <x:c r="I70" s="2"/>
      <x:c r="J70" s="1"/>
      <x:c r="K70" s="1"/>
    </x:row>
    <x:row r="71" ht="18" customHeight="1">
      <x:c r="A71" s="1"/>
      <x:c r="B71" s="1"/>
      <x:c r="C71" s="1"/>
      <x:c r="D71" s="2"/>
      <x:c r="E71" s="2"/>
      <x:c r="F71" s="2"/>
      <x:c r="G71" s="2"/>
      <x:c r="H71" s="2"/>
      <x:c r="I71" s="2"/>
      <x:c r="J71" s="1"/>
      <x:c r="K71" s="1"/>
    </x:row>
    <x:row r="72" ht="18" customHeight="1">
      <x:c r="A72" s="1"/>
      <x:c r="B72" s="1"/>
      <x:c r="C72" s="1"/>
      <x:c r="D72" s="2"/>
      <x:c r="E72" s="2"/>
      <x:c r="F72" s="2"/>
      <x:c r="G72" s="2"/>
      <x:c r="H72" s="2"/>
      <x:c r="I72" s="2"/>
      <x:c r="J72" s="1"/>
      <x:c r="K72" s="1"/>
    </x:row>
    <x:row r="73" ht="18" customHeight="1">
      <x:c r="A73" s="1"/>
      <x:c r="B73" s="1"/>
      <x:c r="C73" s="1"/>
      <x:c r="D73" s="2"/>
      <x:c r="E73" s="2"/>
      <x:c r="F73" s="2"/>
      <x:c r="G73" s="2"/>
      <x:c r="H73" s="2"/>
      <x:c r="I73" s="2"/>
      <x:c r="J73" s="1"/>
      <x:c r="K73" s="1"/>
    </x:row>
    <x:row r="74" ht="18" customHeight="1">
      <x:c r="A74" s="1"/>
      <x:c r="B74" s="1"/>
      <x:c r="C74" s="1"/>
      <x:c r="D74" s="2"/>
      <x:c r="E74" s="2"/>
      <x:c r="F74" s="2"/>
      <x:c r="G74" s="2"/>
      <x:c r="H74" s="2"/>
      <x:c r="I74" s="2"/>
      <x:c r="J74" s="1"/>
      <x:c r="K74" s="1"/>
    </x:row>
    <x:row r="75" ht="18" customHeight="1">
      <x:c r="A75" s="1"/>
      <x:c r="B75" s="1"/>
      <x:c r="C75" s="1"/>
      <x:c r="D75" s="2"/>
      <x:c r="E75" s="2"/>
      <x:c r="F75" s="2"/>
      <x:c r="G75" s="2"/>
      <x:c r="H75" s="2"/>
      <x:c r="I75" s="2"/>
      <x:c r="J75" s="1"/>
      <x:c r="K75" s="1"/>
    </x:row>
    <x:row r="76" ht="18" customHeight="1">
      <x:c r="A76" s="1"/>
      <x:c r="B76" s="1"/>
      <x:c r="C76" s="1"/>
      <x:c r="D76" s="2"/>
      <x:c r="E76" s="2"/>
      <x:c r="F76" s="2"/>
      <x:c r="G76" s="2"/>
      <x:c r="H76" s="2"/>
      <x:c r="I76" s="2"/>
      <x:c r="J76" s="1"/>
      <x:c r="K76" s="1"/>
    </x:row>
    <x:row r="77" ht="18" customHeight="1">
      <x:c r="A77" s="1"/>
      <x:c r="B77" s="1"/>
      <x:c r="C77" s="1"/>
      <x:c r="D77" s="2"/>
      <x:c r="E77" s="2"/>
      <x:c r="F77" s="2"/>
      <x:c r="G77" s="2"/>
      <x:c r="H77" s="2"/>
      <x:c r="I77" s="2"/>
      <x:c r="J77" s="1"/>
      <x:c r="K77" s="1"/>
    </x:row>
    <x:row r="78" ht="18" customHeight="1">
      <x:c r="A78" s="1"/>
      <x:c r="B78" s="1"/>
      <x:c r="C78" s="1"/>
      <x:c r="D78" s="2"/>
      <x:c r="E78" s="2"/>
      <x:c r="F78" s="2"/>
      <x:c r="G78" s="2"/>
      <x:c r="H78" s="2"/>
      <x:c r="I78" s="2"/>
      <x:c r="J78" s="1"/>
      <x:c r="K78" s="1"/>
    </x:row>
    <x:row r="79" ht="18" customHeight="1">
      <x:c r="A79" s="1"/>
      <x:c r="B79" s="1"/>
      <x:c r="C79" s="1"/>
      <x:c r="D79" s="2"/>
      <x:c r="E79" s="2"/>
      <x:c r="F79" s="2"/>
      <x:c r="G79" s="2"/>
      <x:c r="H79" s="2"/>
      <x:c r="I79" s="2"/>
      <x:c r="J79" s="1"/>
      <x:c r="K79" s="1"/>
    </x:row>
    <x:row r="80" ht="18" customHeight="1">
      <x:c r="A80" s="1"/>
      <x:c r="B80" s="1"/>
      <x:c r="C80" s="1"/>
      <x:c r="D80" s="2"/>
      <x:c r="E80" s="2"/>
      <x:c r="F80" s="2"/>
      <x:c r="G80" s="2"/>
      <x:c r="H80" s="2"/>
      <x:c r="I80" s="2"/>
      <x:c r="J80" s="1"/>
      <x:c r="K80" s="1"/>
    </x:row>
    <x:row r="81" ht="18" customHeight="1">
      <x:c r="A81" s="1"/>
      <x:c r="B81" s="1"/>
      <x:c r="C81" s="1"/>
      <x:c r="D81" s="2"/>
      <x:c r="E81" s="2"/>
      <x:c r="F81" s="2"/>
      <x:c r="G81" s="2"/>
      <x:c r="H81" s="2"/>
      <x:c r="I81" s="2"/>
      <x:c r="J81" s="1"/>
      <x:c r="K81" s="1"/>
    </x:row>
    <x:row r="82" ht="18" customHeight="1">
      <x:c r="A82" s="1"/>
      <x:c r="B82" s="1"/>
      <x:c r="C82" s="1"/>
      <x:c r="D82" s="2"/>
      <x:c r="E82" s="2"/>
      <x:c r="F82" s="2"/>
      <x:c r="G82" s="2"/>
      <x:c r="H82" s="2"/>
      <x:c r="I82" s="2"/>
      <x:c r="J82" s="1"/>
      <x:c r="K82" s="1"/>
    </x:row>
    <x:row r="83" ht="18" customHeight="1">
      <x:c r="A83" s="1"/>
      <x:c r="B83" s="1"/>
      <x:c r="C83" s="1"/>
      <x:c r="D83" s="2"/>
      <x:c r="E83" s="2"/>
      <x:c r="F83" s="2"/>
      <x:c r="G83" s="2"/>
      <x:c r="H83" s="2"/>
      <x:c r="I83" s="2"/>
      <x:c r="J83" s="1"/>
      <x:c r="K83" s="1"/>
    </x:row>
    <x:row r="84" ht="18" customHeight="1">
      <x:c r="A84" s="1"/>
      <x:c r="B84" s="1"/>
      <x:c r="C84" s="1"/>
      <x:c r="D84" s="2"/>
      <x:c r="E84" s="2"/>
      <x:c r="F84" s="2"/>
      <x:c r="G84" s="2"/>
      <x:c r="H84" s="2"/>
      <x:c r="I84" s="2"/>
      <x:c r="J84" s="1"/>
      <x:c r="K84" s="1"/>
    </x:row>
    <x:row r="85" ht="18" customHeight="1">
      <x:c r="A85" s="1"/>
      <x:c r="B85" s="1"/>
      <x:c r="C85" s="1"/>
      <x:c r="D85" s="2"/>
      <x:c r="E85" s="2"/>
      <x:c r="F85" s="2"/>
      <x:c r="G85" s="2"/>
      <x:c r="H85" s="2"/>
      <x:c r="I85" s="2"/>
      <x:c r="J85" s="1"/>
      <x:c r="K85" s="1"/>
    </x:row>
    <x:row r="86" ht="18" customHeight="1">
      <x:c r="A86" s="1"/>
      <x:c r="B86" s="1"/>
      <x:c r="C86" s="1"/>
      <x:c r="D86" s="2"/>
      <x:c r="E86" s="2"/>
      <x:c r="F86" s="2"/>
      <x:c r="G86" s="2"/>
      <x:c r="H86" s="2"/>
      <x:c r="I86" s="2"/>
      <x:c r="J86" s="1"/>
      <x:c r="K86" s="1"/>
    </x:row>
    <x:row r="87" ht="18" customHeight="1">
      <x:c r="A87" s="1"/>
      <x:c r="B87" s="1"/>
      <x:c r="C87" s="1"/>
      <x:c r="D87" s="2"/>
      <x:c r="E87" s="2"/>
      <x:c r="F87" s="2"/>
      <x:c r="G87" s="2"/>
      <x:c r="H87" s="2"/>
      <x:c r="I87" s="2"/>
      <x:c r="J87" s="1"/>
      <x:c r="K87" s="1"/>
    </x:row>
    <x:row r="88" ht="18" customHeight="1">
      <x:c r="A88" s="1"/>
      <x:c r="B88" s="1"/>
      <x:c r="C88" s="1"/>
      <x:c r="D88" s="2"/>
      <x:c r="E88" s="2"/>
      <x:c r="F88" s="2"/>
      <x:c r="G88" s="2"/>
      <x:c r="H88" s="2"/>
      <x:c r="I88" s="2"/>
      <x:c r="J88" s="1"/>
      <x:c r="K88" s="1"/>
    </x:row>
    <x:row r="89" ht="18" customHeight="1">
      <x:c r="A89" s="1"/>
      <x:c r="B89" s="1"/>
      <x:c r="C89" s="1"/>
      <x:c r="D89" s="2"/>
      <x:c r="E89" s="2"/>
      <x:c r="F89" s="2"/>
      <x:c r="G89" s="2"/>
      <x:c r="H89" s="2"/>
      <x:c r="I89" s="2"/>
      <x:c r="J89" s="1"/>
      <x:c r="K89" s="1"/>
    </x:row>
    <x:row r="90" ht="18" customHeight="1">
      <x:c r="A90" s="1"/>
      <x:c r="B90" s="1"/>
      <x:c r="C90" s="1"/>
      <x:c r="D90" s="2"/>
      <x:c r="E90" s="2"/>
      <x:c r="F90" s="2"/>
      <x:c r="G90" s="2"/>
      <x:c r="H90" s="2"/>
      <x:c r="I90" s="2"/>
      <x:c r="J90" s="1"/>
      <x:c r="K90" s="1"/>
    </x:row>
    <x:row r="91" ht="18" customHeight="1">
      <x:c r="A91" s="1"/>
      <x:c r="B91" s="1"/>
      <x:c r="C91" s="1"/>
      <x:c r="D91" s="2"/>
      <x:c r="E91" s="2"/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/>
      <x:c r="D92" s="2"/>
      <x:c r="E92" s="2"/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/>
      <x:c r="D93" s="2"/>
      <x:c r="E93" s="2"/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/>
      <x:c r="D94" s="2"/>
      <x:c r="E94" s="2"/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1"/>
      <x:c r="D95" s="2"/>
      <x:c r="E95" s="2"/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/>
      <x:c r="D96" s="2"/>
      <x:c r="E96" s="2"/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/>
      <x:c r="D97" s="2"/>
      <x:c r="E97" s="2"/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/>
      <x:c r="D98" s="2"/>
      <x:c r="E98" s="2"/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1"/>
      <x:c r="D99" s="2"/>
      <x:c r="E99" s="2"/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/>
      <x:c r="D100" s="2"/>
      <x:c r="E100" s="2"/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1"/>
      <x:c r="D101" s="2"/>
      <x:c r="E101" s="2"/>
      <x:c r="F101" s="2"/>
      <x:c r="G101" s="2"/>
      <x:c r="H101" s="2"/>
      <x:c r="I101" s="2"/>
      <x:c r="J101" s="1"/>
      <x:c r="K101" s="1"/>
    </x:row>
    <x:row r="102" ht="18" customHeight="1">
      <x:c r="A102" s="1"/>
      <x:c r="B102" s="1"/>
      <x:c r="C102" s="1"/>
      <x:c r="D102" s="2"/>
      <x:c r="E102" s="2"/>
      <x:c r="F102" s="2"/>
      <x:c r="G102" s="2"/>
      <x:c r="H102" s="2"/>
      <x:c r="I102" s="2"/>
      <x:c r="J102" s="1"/>
      <x:c r="K102" s="1"/>
    </x:row>
    <x:row r="103" ht="18" customHeight="1">
      <x:c r="A103" s="1"/>
      <x:c r="B103" s="1"/>
      <x:c r="C103" s="1"/>
      <x:c r="D103" s="2"/>
      <x:c r="E103" s="2"/>
      <x:c r="F103" s="2"/>
      <x:c r="G103" s="2"/>
      <x:c r="H103" s="2"/>
      <x:c r="I103" s="2"/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60:I60">
    <x:cfRule type="expression" dxfId="68" priority="1">
      <x:formula>ABS(E60)&gt;0.01</x:formula>
    </x:cfRule>
  </x:conditionalFormatting>
  <x:conditionalFormatting sqref="E61:I61">
    <x:cfRule type="expression" dxfId="69" priority="2">
      <x:formula>ABS(E61)&gt;0.01</x:formula>
    </x:cfRule>
  </x:conditionalFormatting>
  <x:conditionalFormatting sqref="E62:I62">
    <x:cfRule type="expression" dxfId="70" priority="3">
      <x:formula>ABS(E62)&gt;0.01</x:formula>
    </x:cfRule>
  </x:conditionalFormatting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4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Real Estate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Illustrative assumptions. Financial amounts in INR crore.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10" t="str">
        <x:f>'Controls'!E6</x:f>
        <x:v>Base</x:v>
      </x:c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15" t="str">
        <x:v>Metric</x:v>
      </x:c>
      <x:c r="D7" s="16" t="str">
        <x:v>Opening / seed</x:v>
      </x:c>
      <x:c r="E7" s="16" t="str">
        <x:v>FY:27E</x:v>
      </x:c>
      <x:c r="F7" s="16" t="str">
        <x:v>FY:28E</x:v>
      </x:c>
      <x:c r="G7" s="16" t="str">
        <x:v>FY:29E</x:v>
      </x:c>
      <x:c r="H7" s="16" t="str">
        <x:v>FY:30E</x:v>
      </x:c>
      <x:c r="I7" s="16" t="str">
        <x:v>FY:31E</x:v>
      </x:c>
      <x:c r="J7" s="1"/>
      <x:c r="K7" s="1"/>
    </x:row>
    <x:row r="8" ht="18" customHeight="1">
      <x:c r="A8" s="1"/>
      <x:c r="B8" s="1"/>
      <x:c r="C8" s="1"/>
      <x:c r="D8" s="2"/>
      <x:c r="E8" s="2"/>
      <x:c r="F8" s="2"/>
      <x:c r="G8" s="2"/>
      <x:c r="H8" s="2"/>
      <x:c r="I8" s="2"/>
      <x:c r="J8" s="1"/>
      <x:c r="K8" s="1"/>
    </x:row>
    <x:row r="9" ht="18" customHeight="1">
      <x:c r="A9" s="1"/>
      <x:c r="B9" s="1"/>
      <x:c r="C9" s="19" t="str">
        <x:v>DEVELOPMENT AND COLLECTION ASSUMPTIONS</x:v>
      </x:c>
      <x:c r="D9" s="20"/>
      <x:c r="E9" s="20"/>
      <x:c r="F9" s="20"/>
      <x:c r="G9" s="20"/>
      <x:c r="H9" s="20"/>
      <x:c r="I9" s="20"/>
      <x:c r="J9" s="1"/>
      <x:c r="K9" s="1"/>
    </x:row>
    <x:row r="10" ht="18" customHeight="1">
      <x:c r="A10" s="1"/>
      <x:c r="B10" s="1"/>
      <x:c r="C10" s="1" t="str">
        <x:v>Annual sales area — seed (million sq ft)</x:v>
      </x:c>
      <x:c r="D10" s="7" t="n">
        <x:v>2</x:v>
      </x:c>
      <x:c r="E10" s="2"/>
      <x:c r="F10" s="2"/>
      <x:c r="G10" s="2"/>
      <x:c r="H10" s="2"/>
      <x:c r="I10" s="2"/>
      <x:c r="J10" s="1"/>
      <x:c r="K10" s="1" t="str">
        <x:v>All inputs are illustrative. Project-level approvals, RERA escrow and construction milestones are not modeled.</x:v>
      </x:c>
    </x:row>
    <x:row r="11" ht="18" customHeight="1">
      <x:c r="A11" s="1"/>
      <x:c r="B11" s="1"/>
      <x:c r="C11" s="1" t="str">
        <x:v>Selling price — seed (INR / sq ft)</x:v>
      </x:c>
      <x:c r="D11" s="7" t="n">
        <x:v>9000</x:v>
      </x:c>
      <x:c r="E11" s="2"/>
      <x:c r="F11" s="2"/>
      <x:c r="G11" s="2"/>
      <x:c r="H11" s="2"/>
      <x:c r="I11" s="2"/>
      <x:c r="J11" s="1"/>
      <x:c r="K11" s="1" t="str">
        <x:v>Revenue recognition is an assumed completion-based archetype; assess actual contract accounting separately.</x:v>
      </x:c>
    </x:row>
    <x:row r="12" ht="18" customHeight="1">
      <x:c r="A12" s="1"/>
      <x:c r="B12" s="1"/>
      <x:c r="C12" s="1" t="str">
        <x:v>Opening unrecognized sales value</x:v>
      </x:c>
      <x:c r="D12" s="7" t="n">
        <x:v>5000</x:v>
      </x:c>
      <x:c r="E12" s="2"/>
      <x:c r="F12" s="2"/>
      <x:c r="G12" s="2"/>
      <x:c r="H12" s="2"/>
      <x:c r="I12" s="2"/>
      <x:c r="J12" s="1"/>
      <x:c r="K12" s="1" t="str">
        <x:v>Interest is expensed. Add eligible capitalization, land payments and restricted cash schedules for issuer use.</x:v>
      </x:c>
    </x:row>
    <x:row r="13" ht="18" customHeight="1">
      <x:c r="A13" s="1"/>
      <x:c r="B13" s="1"/>
      <x:c r="C13" s="1" t="str">
        <x:v>Opening project inventory</x:v>
      </x:c>
      <x:c r="D13" s="7" t="n">
        <x:v>3000</x:v>
      </x:c>
      <x:c r="E13" s="2"/>
      <x:c r="F13" s="2"/>
      <x:c r="G13" s="2"/>
      <x:c r="H13" s="2"/>
      <x:c r="I13" s="2"/>
      <x:c r="J13" s="1"/>
      <x:c r="K13" s="1"/>
    </x:row>
    <x:row r="14" ht="18" customHeight="1">
      <x:c r="A14" s="1"/>
      <x:c r="B14" s="1"/>
      <x:c r="C14" s="1" t="str">
        <x:v>Opening net contract asset / (advance)</x:v>
      </x:c>
      <x:c r="D14" s="7" t="n">
        <x:v>-1000</x:v>
      </x:c>
      <x:c r="E14" s="2"/>
      <x:c r="F14" s="2"/>
      <x:c r="G14" s="2"/>
      <x:c r="H14" s="2"/>
      <x:c r="I14" s="2"/>
      <x:c r="J14" s="1"/>
      <x:c r="K14" s="1"/>
    </x:row>
    <x:row r="15" ht="18" customHeight="1">
      <x:c r="A15" s="1"/>
      <x:c r="B15" s="1"/>
      <x:c r="C15" s="1" t="str">
        <x:v>Opening cash</x:v>
      </x:c>
      <x:c r="D15" s="7" t="n">
        <x:v>500</x:v>
      </x:c>
      <x:c r="E15" s="2"/>
      <x:c r="F15" s="2"/>
      <x:c r="G15" s="2"/>
      <x:c r="H15" s="2"/>
      <x:c r="I15" s="2"/>
      <x:c r="J15" s="1"/>
      <x:c r="K15" s="1"/>
    </x:row>
    <x:row r="16" ht="18" customHeight="1">
      <x:c r="A16" s="1"/>
      <x:c r="B16" s="1"/>
      <x:c r="C16" s="1" t="str">
        <x:v>Opening debt</x:v>
      </x:c>
      <x:c r="D16" s="7" t="n">
        <x:v>1000</x:v>
      </x:c>
      <x:c r="E16" s="2"/>
      <x:c r="F16" s="2"/>
      <x:c r="G16" s="2"/>
      <x:c r="H16" s="2"/>
      <x:c r="I16" s="2"/>
      <x:c r="J16" s="1"/>
      <x:c r="K16" s="1"/>
    </x:row>
    <x:row r="17" ht="18" customHeight="1">
      <x:c r="A17" s="1"/>
      <x:c r="B17" s="1"/>
      <x:c r="C17" s="1" t="str">
        <x:v>Diluted shares (crore)</x:v>
      </x:c>
      <x:c r="D17" s="7" t="n">
        <x:v>100</x:v>
      </x:c>
      <x:c r="E17" s="2"/>
      <x:c r="F17" s="2"/>
      <x:c r="G17" s="2"/>
      <x:c r="H17" s="2"/>
      <x:c r="I17" s="2"/>
      <x:c r="J17" s="1"/>
      <x:c r="K17" s="1"/>
    </x:row>
    <x:row r="18" ht="18" customHeight="1">
      <x:c r="A18" s="1"/>
      <x:c r="B18" s="1"/>
      <x:c r="C18" s="1" t="str">
        <x:v>Cost of equity</x:v>
      </x:c>
      <x:c r="D18" s="25" t="n">
        <x:v>0.16</x:v>
      </x:c>
      <x:c r="E18" s="2"/>
      <x:c r="F18" s="2"/>
      <x:c r="G18" s="2"/>
      <x:c r="H18" s="2"/>
      <x:c r="I18" s="2"/>
      <x:c r="J18" s="1"/>
      <x:c r="K18" s="1"/>
    </x:row>
    <x:row r="19" ht="18" customHeight="1">
      <x:c r="A19" s="1"/>
      <x:c r="B19" s="1"/>
      <x:c r="C19" s="1" t="str">
        <x:v>FY:31 residual price / book</x:v>
      </x:c>
      <x:c r="D19" s="55" t="n">
        <x:v>1</x:v>
      </x:c>
      <x:c r="E19" s="2"/>
      <x:c r="F19" s="2"/>
      <x:c r="G19" s="2"/>
      <x:c r="H19" s="2"/>
      <x:c r="I19" s="2"/>
      <x:c r="J19" s="1"/>
      <x:c r="K19" s="1"/>
    </x:row>
    <x:row r="20" ht="18" customHeight="1">
      <x:c r="A20" s="1"/>
      <x:c r="B20" s="1"/>
      <x:c r="C20" s="28" t="str">
        <x:v>Sales area growth — active</x:v>
      </x:c>
      <x:c r="D20" s="29"/>
      <x:c r="E20" s="30" t="n">
        <x:f>IF(COUNT(INDEX(E21:E23,'Controls'!$E$5))=0,NA(),INDEX(E21:E23,'Controls'!$E$5))</x:f>
        <x:v>0.1</x:v>
      </x:c>
      <x:c r="F20" s="30" t="n">
        <x:f>IF(COUNT(INDEX(F21:F23,'Controls'!$E$5))=0,NA(),INDEX(F21:F23,'Controls'!$E$5))</x:f>
        <x:v>0.1</x:v>
      </x:c>
      <x:c r="G20" s="30" t="n">
        <x:f>IF(COUNT(INDEX(G21:G23,'Controls'!$E$5))=0,NA(),INDEX(G21:G23,'Controls'!$E$5))</x:f>
        <x:v>0.1</x:v>
      </x:c>
      <x:c r="H20" s="30" t="n">
        <x:f>IF(COUNT(INDEX(H21:H23,'Controls'!$E$5))=0,NA(),INDEX(H21:H23,'Controls'!$E$5))</x:f>
        <x:v>0.1</x:v>
      </x:c>
      <x:c r="I20" s="30" t="n">
        <x:f>IF(COUNT(INDEX(I21:I23,'Controls'!$E$5))=0,NA(),INDEX(I21:I23,'Controls'!$E$5))</x:f>
        <x:v>0.1</x:v>
      </x:c>
      <x:c r="J20" s="1"/>
      <x:c r="K20" s="1"/>
    </x:row>
    <x:row r="21" ht="18" customHeight="1">
      <x:c r="A21" s="1"/>
      <x:c r="B21" s="1"/>
      <x:c r="C21" s="23" t="str">
        <x:v>Base</x:v>
      </x:c>
      <x:c r="D21" s="24"/>
      <x:c r="E21" s="26" t="n">
        <x:v>0.1</x:v>
      </x:c>
      <x:c r="F21" s="26" t="n">
        <x:v>0.1</x:v>
      </x:c>
      <x:c r="G21" s="26" t="n">
        <x:v>0.1</x:v>
      </x:c>
      <x:c r="H21" s="26" t="n">
        <x:v>0.1</x:v>
      </x:c>
      <x:c r="I21" s="26" t="n">
        <x:v>0.1</x:v>
      </x:c>
      <x:c r="J21" s="1"/>
      <x:c r="K21" s="1"/>
    </x:row>
    <x:row r="22" ht="18" customHeight="1">
      <x:c r="A22" s="1"/>
      <x:c r="B22" s="1"/>
      <x:c r="C22" s="23" t="str">
        <x:v>Downside</x:v>
      </x:c>
      <x:c r="D22" s="24"/>
      <x:c r="E22" s="26" t="n">
        <x:v>0.02</x:v>
      </x:c>
      <x:c r="F22" s="26" t="n">
        <x:v>0.02</x:v>
      </x:c>
      <x:c r="G22" s="26" t="n">
        <x:v>0.02</x:v>
      </x:c>
      <x:c r="H22" s="26" t="n">
        <x:v>0.02</x:v>
      </x:c>
      <x:c r="I22" s="26" t="n">
        <x:v>0.02</x:v>
      </x:c>
      <x:c r="J22" s="1"/>
      <x:c r="K22" s="1"/>
    </x:row>
    <x:row r="23" ht="18" customHeight="1">
      <x:c r="A23" s="1"/>
      <x:c r="B23" s="1"/>
      <x:c r="C23" s="23" t="str">
        <x:v>Upside</x:v>
      </x:c>
      <x:c r="D23" s="24"/>
      <x:c r="E23" s="26" t="n">
        <x:v>0.16</x:v>
      </x:c>
      <x:c r="F23" s="26" t="n">
        <x:v>0.16</x:v>
      </x:c>
      <x:c r="G23" s="26" t="n">
        <x:v>0.16</x:v>
      </x:c>
      <x:c r="H23" s="26" t="n">
        <x:v>0.16</x:v>
      </x:c>
      <x:c r="I23" s="26" t="n">
        <x:v>0.16</x:v>
      </x:c>
      <x:c r="J23" s="1"/>
      <x:c r="K23" s="1"/>
    </x:row>
    <x:row r="24" ht="18" customHeight="1">
      <x:c r="A24" s="1"/>
      <x:c r="B24" s="1"/>
      <x:c r="C24" s="28" t="str">
        <x:v>Selling price growth — active</x:v>
      </x:c>
      <x:c r="D24" s="29"/>
      <x:c r="E24" s="30" t="n">
        <x:f>IF(COUNT(INDEX(E25:E27,'Controls'!$E$5))=0,NA(),INDEX(E25:E27,'Controls'!$E$5))</x:f>
        <x:v>0.05</x:v>
      </x:c>
      <x:c r="F24" s="30" t="n">
        <x:f>IF(COUNT(INDEX(F25:F27,'Controls'!$E$5))=0,NA(),INDEX(F25:F27,'Controls'!$E$5))</x:f>
        <x:v>0.05</x:v>
      </x:c>
      <x:c r="G24" s="30" t="n">
        <x:f>IF(COUNT(INDEX(G25:G27,'Controls'!$E$5))=0,NA(),INDEX(G25:G27,'Controls'!$E$5))</x:f>
        <x:v>0.05</x:v>
      </x:c>
      <x:c r="H24" s="30" t="n">
        <x:f>IF(COUNT(INDEX(H25:H27,'Controls'!$E$5))=0,NA(),INDEX(H25:H27,'Controls'!$E$5))</x:f>
        <x:v>0.05</x:v>
      </x:c>
      <x:c r="I24" s="30" t="n">
        <x:f>IF(COUNT(INDEX(I25:I27,'Controls'!$E$5))=0,NA(),INDEX(I25:I27,'Controls'!$E$5))</x:f>
        <x:v>0.05</x:v>
      </x:c>
      <x:c r="J24" s="1"/>
      <x:c r="K24" s="1"/>
    </x:row>
    <x:row r="25" ht="18" customHeight="1">
      <x:c r="A25" s="1"/>
      <x:c r="B25" s="1"/>
      <x:c r="C25" s="23" t="str">
        <x:v>Base</x:v>
      </x:c>
      <x:c r="D25" s="24"/>
      <x:c r="E25" s="26" t="n">
        <x:v>0.05</x:v>
      </x:c>
      <x:c r="F25" s="26" t="n">
        <x:v>0.05</x:v>
      </x:c>
      <x:c r="G25" s="26" t="n">
        <x:v>0.05</x:v>
      </x:c>
      <x:c r="H25" s="26" t="n">
        <x:v>0.05</x:v>
      </x:c>
      <x:c r="I25" s="26" t="n">
        <x:v>0.05</x:v>
      </x:c>
      <x:c r="J25" s="1"/>
      <x:c r="K25" s="1"/>
    </x:row>
    <x:row r="26" ht="18" customHeight="1">
      <x:c r="A26" s="1"/>
      <x:c r="B26" s="1"/>
      <x:c r="C26" s="23" t="str">
        <x:v>Downside</x:v>
      </x:c>
      <x:c r="D26" s="24"/>
      <x:c r="E26" s="26" t="n">
        <x:v>-0.02</x:v>
      </x:c>
      <x:c r="F26" s="26" t="n">
        <x:v>-0.02</x:v>
      </x:c>
      <x:c r="G26" s="26" t="n">
        <x:v>-0.02</x:v>
      </x:c>
      <x:c r="H26" s="26" t="n">
        <x:v>-0.02</x:v>
      </x:c>
      <x:c r="I26" s="26" t="n">
        <x:v>-0.02</x:v>
      </x:c>
      <x:c r="J26" s="1"/>
      <x:c r="K26" s="1"/>
    </x:row>
    <x:row r="27" ht="18" customHeight="1">
      <x:c r="A27" s="1"/>
      <x:c r="B27" s="1"/>
      <x:c r="C27" s="23" t="str">
        <x:v>Upside</x:v>
      </x:c>
      <x:c r="D27" s="24"/>
      <x:c r="E27" s="26" t="n">
        <x:v>0.08</x:v>
      </x:c>
      <x:c r="F27" s="26" t="n">
        <x:v>0.08</x:v>
      </x:c>
      <x:c r="G27" s="26" t="n">
        <x:v>0.08</x:v>
      </x:c>
      <x:c r="H27" s="26" t="n">
        <x:v>0.08</x:v>
      </x:c>
      <x:c r="I27" s="26" t="n">
        <x:v>0.08</x:v>
      </x:c>
      <x:c r="J27" s="1"/>
      <x:c r="K27" s="1"/>
    </x:row>
    <x:row r="28" ht="18" customHeight="1">
      <x:c r="A28" s="1"/>
      <x:c r="B28" s="1"/>
      <x:c r="C28" s="23" t="str">
        <x:v>Opening backlog completed / recognized</x:v>
      </x:c>
      <x:c r="D28" s="24"/>
      <x:c r="E28" s="26" t="n">
        <x:v>0.3</x:v>
      </x:c>
      <x:c r="F28" s="26" t="n">
        <x:v>0.3</x:v>
      </x:c>
      <x:c r="G28" s="26" t="n">
        <x:v>0.3</x:v>
      </x:c>
      <x:c r="H28" s="26" t="n">
        <x:v>0.3</x:v>
      </x:c>
      <x:c r="I28" s="26" t="n">
        <x:v>0.3</x:v>
      </x:c>
      <x:c r="J28" s="1"/>
      <x:c r="K28" s="1" t="str">
        <x:v>Completed-contract archetype. No current-year booking is recognized until a subsequent year.</x:v>
      </x:c>
    </x:row>
    <x:row r="29" ht="18" customHeight="1">
      <x:c r="A29" s="1"/>
      <x:c r="B29" s="1"/>
      <x:c r="C29" s="23" t="str">
        <x:v>Collection / current bookings</x:v>
      </x:c>
      <x:c r="D29" s="24"/>
      <x:c r="E29" s="26" t="n">
        <x:v>0.4</x:v>
      </x:c>
      <x:c r="F29" s="26" t="n">
        <x:v>0.4</x:v>
      </x:c>
      <x:c r="G29" s="26" t="n">
        <x:v>0.4</x:v>
      </x:c>
      <x:c r="H29" s="26" t="n">
        <x:v>0.4</x:v>
      </x:c>
      <x:c r="I29" s="26" t="n">
        <x:v>0.4</x:v>
      </x:c>
      <x:c r="J29" s="1"/>
      <x:c r="K29" s="1"/>
    </x:row>
    <x:row r="30" ht="18" customHeight="1">
      <x:c r="A30" s="1"/>
      <x:c r="B30" s="1"/>
      <x:c r="C30" s="23" t="str">
        <x:v>Collection / opening unrecognized bookings</x:v>
      </x:c>
      <x:c r="D30" s="24"/>
      <x:c r="E30" s="26" t="n">
        <x:v>0.2</x:v>
      </x:c>
      <x:c r="F30" s="26" t="n">
        <x:v>0.2</x:v>
      </x:c>
      <x:c r="G30" s="26" t="n">
        <x:v>0.2</x:v>
      </x:c>
      <x:c r="H30" s="26" t="n">
        <x:v>0.2</x:v>
      </x:c>
      <x:c r="I30" s="26" t="n">
        <x:v>0.2</x:v>
      </x:c>
      <x:c r="J30" s="1"/>
      <x:c r="K30" s="1"/>
    </x:row>
    <x:row r="31" ht="18" customHeight="1">
      <x:c r="A31" s="1"/>
      <x:c r="B31" s="1"/>
      <x:c r="C31" s="23" t="str">
        <x:v>Recognized cost / recognized revenue</x:v>
      </x:c>
      <x:c r="D31" s="24"/>
      <x:c r="E31" s="26" t="n">
        <x:v>0.68</x:v>
      </x:c>
      <x:c r="F31" s="26" t="n">
        <x:v>0.68</x:v>
      </x:c>
      <x:c r="G31" s="26" t="n">
        <x:v>0.68</x:v>
      </x:c>
      <x:c r="H31" s="26" t="n">
        <x:v>0.68</x:v>
      </x:c>
      <x:c r="I31" s="26" t="n">
        <x:v>0.68</x:v>
      </x:c>
      <x:c r="J31" s="1"/>
      <x:c r="K31" s="1"/>
    </x:row>
    <x:row r="32" ht="18" customHeight="1">
      <x:c r="A32" s="1"/>
      <x:c r="B32" s="1"/>
      <x:c r="C32" s="23" t="str">
        <x:v>Cash land and construction / bookings</x:v>
      </x:c>
      <x:c r="D32" s="24"/>
      <x:c r="E32" s="26" t="n">
        <x:v>0.55</x:v>
      </x:c>
      <x:c r="F32" s="26" t="n">
        <x:v>0.55</x:v>
      </x:c>
      <x:c r="G32" s="26" t="n">
        <x:v>0.55</x:v>
      </x:c>
      <x:c r="H32" s="26" t="n">
        <x:v>0.55</x:v>
      </x:c>
      <x:c r="I32" s="26" t="n">
        <x:v>0.55</x:v>
      </x:c>
      <x:c r="J32" s="1"/>
      <x:c r="K32" s="1"/>
    </x:row>
    <x:row r="33" ht="18" customHeight="1">
      <x:c r="A33" s="1"/>
      <x:c r="B33" s="1"/>
      <x:c r="C33" s="23" t="str">
        <x:v>Selling and overhead / bookings</x:v>
      </x:c>
      <x:c r="D33" s="24"/>
      <x:c r="E33" s="26" t="n">
        <x:v>0.06</x:v>
      </x:c>
      <x:c r="F33" s="26" t="n">
        <x:v>0.06</x:v>
      </x:c>
      <x:c r="G33" s="26" t="n">
        <x:v>0.06</x:v>
      </x:c>
      <x:c r="H33" s="26" t="n">
        <x:v>0.06</x:v>
      </x:c>
      <x:c r="I33" s="26" t="n">
        <x:v>0.06</x:v>
      </x:c>
      <x:c r="J33" s="1"/>
      <x:c r="K33" s="1"/>
    </x:row>
    <x:row r="34" ht="18" customHeight="1">
      <x:c r="A34" s="1"/>
      <x:c r="B34" s="1"/>
      <x:c r="C34" s="23" t="str">
        <x:v>Interest on opening debt</x:v>
      </x:c>
      <x:c r="D34" s="24"/>
      <x:c r="E34" s="26" t="n">
        <x:v>0.09</x:v>
      </x:c>
      <x:c r="F34" s="26" t="n">
        <x:v>0.09</x:v>
      </x:c>
      <x:c r="G34" s="26" t="n">
        <x:v>0.09</x:v>
      </x:c>
      <x:c r="H34" s="26" t="n">
        <x:v>0.09</x:v>
      </x:c>
      <x:c r="I34" s="26" t="n">
        <x:v>0.09</x:v>
      </x:c>
      <x:c r="J34" s="1"/>
      <x:c r="K34" s="1"/>
    </x:row>
    <x:row r="35" ht="18" customHeight="1">
      <x:c r="A35" s="1"/>
      <x:c r="B35" s="1"/>
      <x:c r="C35" s="23" t="str">
        <x:v>Effective tax rate</x:v>
      </x:c>
      <x:c r="D35" s="24"/>
      <x:c r="E35" s="26" t="n">
        <x:v>0.25</x:v>
      </x:c>
      <x:c r="F35" s="26" t="n">
        <x:v>0.25</x:v>
      </x:c>
      <x:c r="G35" s="26" t="n">
        <x:v>0.25</x:v>
      </x:c>
      <x:c r="H35" s="26" t="n">
        <x:v>0.25</x:v>
      </x:c>
      <x:c r="I35" s="26" t="n">
        <x:v>0.25</x:v>
      </x:c>
      <x:c r="J35" s="1"/>
      <x:c r="K35" s="1"/>
    </x:row>
    <x:row r="36" ht="18" customHeight="1">
      <x:c r="A36" s="1"/>
      <x:c r="B36" s="1"/>
      <x:c r="C36" s="1" t="str">
        <x:v>New debt</x:v>
      </x:c>
      <x:c r="D36" s="2"/>
      <x:c r="E36" s="7" t="n">
        <x:v>100</x:v>
      </x:c>
      <x:c r="F36" s="7" t="n">
        <x:v>100</x:v>
      </x:c>
      <x:c r="G36" s="7" t="n">
        <x:v>100</x:v>
      </x:c>
      <x:c r="H36" s="7" t="n">
        <x:v>100</x:v>
      </x:c>
      <x:c r="I36" s="7" t="n">
        <x:v>100</x:v>
      </x:c>
      <x:c r="J36" s="1"/>
      <x:c r="K36" s="1"/>
    </x:row>
    <x:row r="37" ht="18" customHeight="1">
      <x:c r="A37" s="1"/>
      <x:c r="B37" s="1"/>
      <x:c r="C37" s="1" t="str">
        <x:v>Principal repayment</x:v>
      </x:c>
      <x:c r="D37" s="2"/>
      <x:c r="E37" s="7" t="n">
        <x:v>100</x:v>
      </x:c>
      <x:c r="F37" s="7" t="n">
        <x:v>100</x:v>
      </x:c>
      <x:c r="G37" s="7" t="n">
        <x:v>100</x:v>
      </x:c>
      <x:c r="H37" s="7" t="n">
        <x:v>100</x:v>
      </x:c>
      <x:c r="I37" s="7" t="n">
        <x:v>100</x:v>
      </x:c>
      <x:c r="J37" s="1"/>
      <x:c r="K37" s="1"/>
    </x:row>
    <x:row r="38" ht="18" customHeight="1">
      <x:c r="A38" s="1"/>
      <x:c r="B38" s="1"/>
      <x:c r="C38" s="23" t="str">
        <x:v>Dividend payout on positive PAT</x:v>
      </x:c>
      <x:c r="D38" s="24"/>
      <x:c r="E38" s="26" t="n">
        <x:v>0.2</x:v>
      </x:c>
      <x:c r="F38" s="26" t="n">
        <x:v>0.2</x:v>
      </x:c>
      <x:c r="G38" s="26" t="n">
        <x:v>0.2</x:v>
      </x:c>
      <x:c r="H38" s="26" t="n">
        <x:v>0.2</x:v>
      </x:c>
      <x:c r="I38" s="26" t="n">
        <x:v>0.2</x:v>
      </x:c>
      <x:c r="J38" s="1"/>
      <x:c r="K38" s="1"/>
    </x:row>
    <x:row r="39" ht="18" customHeight="1">
      <x:c r="A39" s="1"/>
      <x:c r="B39" s="1"/>
      <x:c r="C39" s="19" t="str">
        <x:v>BOOKINGS, RECOGNITION AND CASH BUILD</x:v>
      </x:c>
      <x:c r="D39" s="20"/>
      <x:c r="E39" s="20"/>
      <x:c r="F39" s="20"/>
      <x:c r="G39" s="20"/>
      <x:c r="H39" s="20"/>
      <x:c r="I39" s="20"/>
      <x:c r="J39" s="1"/>
      <x:c r="K39" s="1"/>
    </x:row>
    <x:row r="40" ht="18" customHeight="1">
      <x:c r="A40" s="1"/>
      <x:c r="B40" s="1"/>
      <x:c r="C40" s="1" t="str">
        <x:v>Area sold (million sq ft)</x:v>
      </x:c>
      <x:c r="D40" s="2"/>
      <x:c r="E40" s="8" t="n">
        <x:f>$D10*(1+E20)</x:f>
        <x:v>2.2</x:v>
      </x:c>
      <x:c r="F40" s="8" t="n">
        <x:f>E40*(1+F20)</x:f>
        <x:v>2.4200000000000004</x:v>
      </x:c>
      <x:c r="G40" s="8" t="n">
        <x:f>F40*(1+G20)</x:f>
        <x:v>2.662000000000001</x:v>
      </x:c>
      <x:c r="H40" s="8" t="n">
        <x:f>G40*(1+H20)</x:f>
        <x:v>2.9282000000000012</x:v>
      </x:c>
      <x:c r="I40" s="8" t="n">
        <x:f>H40*(1+I20)</x:f>
        <x:v>3.2210200000000015</x:v>
      </x:c>
      <x:c r="J40" s="1"/>
      <x:c r="K40" s="1"/>
    </x:row>
    <x:row r="41" ht="18" customHeight="1">
      <x:c r="A41" s="1"/>
      <x:c r="B41" s="1"/>
      <x:c r="C41" s="1" t="str">
        <x:v>Selling price (INR / sq ft)</x:v>
      </x:c>
      <x:c r="D41" s="2"/>
      <x:c r="E41" s="8" t="n">
        <x:f>$D11*(1+E24)</x:f>
        <x:v>9450</x:v>
      </x:c>
      <x:c r="F41" s="8" t="n">
        <x:f>E41*(1+F24)</x:f>
        <x:v>9922.5</x:v>
      </x:c>
      <x:c r="G41" s="8" t="n">
        <x:f>F41*(1+G24)</x:f>
        <x:v>10418.625</x:v>
      </x:c>
      <x:c r="H41" s="8" t="n">
        <x:f>G41*(1+H24)</x:f>
        <x:v>10939.55625</x:v>
      </x:c>
      <x:c r="I41" s="8" t="n">
        <x:f>H41*(1+I24)</x:f>
        <x:v>11486.5340625</x:v>
      </x:c>
      <x:c r="J41" s="1"/>
      <x:c r="K41" s="1"/>
    </x:row>
    <x:row r="42" ht="18" customHeight="1">
      <x:c r="A42" s="1"/>
      <x:c r="B42" s="1"/>
      <x:c r="C42" s="1" t="str">
        <x:v>Sales bookings</x:v>
      </x:c>
      <x:c r="D42" s="2"/>
      <x:c r="E42" s="10" t="n">
        <x:f>E40*'Controls'!$E$14*E41/'Controls'!$E$9</x:f>
        <x:v>2079</x:v>
      </x:c>
      <x:c r="F42" s="10" t="n">
        <x:f>F40*'Controls'!$E$14*F41/'Controls'!$E$9</x:f>
        <x:v>2401.2450000000003</x:v>
      </x:c>
      <x:c r="G42" s="10" t="n">
        <x:f>G40*'Controls'!$E$14*G41/'Controls'!$E$9</x:f>
        <x:v>2773.437975000001</x:v>
      </x:c>
      <x:c r="H42" s="10" t="n">
        <x:f>H40*'Controls'!$E$14*H41/'Controls'!$E$9</x:f>
        <x:v>3203.3208611250016</x:v>
      </x:c>
      <x:c r="I42" s="10" t="n">
        <x:f>I40*'Controls'!$E$14*I41/'Controls'!$E$9</x:f>
        <x:v>3699.8355945993767</x:v>
      </x:c>
      <x:c r="J42" s="1"/>
      <x:c r="K42" s="1"/>
    </x:row>
    <x:row r="43" ht="18" customHeight="1">
      <x:c r="A43" s="1"/>
      <x:c r="B43" s="1"/>
      <x:c r="C43" s="1" t="str">
        <x:v>Recognized revenue</x:v>
      </x:c>
      <x:c r="D43" s="2"/>
      <x:c r="E43" s="8" t="n">
        <x:f>$D12*E28</x:f>
        <x:v>1500</x:v>
      </x:c>
      <x:c r="F43" s="8" t="n">
        <x:f>E44*F28</x:f>
        <x:v>1673.7</x:v>
      </x:c>
      <x:c r="G43" s="8" t="n">
        <x:f>F44*G28</x:f>
        <x:v>1891.9635000000003</x:v>
      </x:c>
      <x:c r="H43" s="8" t="n">
        <x:f>G44*H28</x:f>
        <x:v>2156.4058425000007</x:v>
      </x:c>
      <x:c r="I43" s="8" t="n">
        <x:f>H44*I28</x:f>
        <x:v>2470.480348087501</x:v>
      </x:c>
      <x:c r="J43" s="1"/>
      <x:c r="K43" s="1"/>
    </x:row>
    <x:row r="44" ht="18" customHeight="1">
      <x:c r="A44" s="1"/>
      <x:c r="B44" s="1"/>
      <x:c r="C44" s="1" t="str">
        <x:v>Closing unrecognized sales</x:v>
      </x:c>
      <x:c r="D44" s="2"/>
      <x:c r="E44" s="8" t="n">
        <x:f>$D12+E42-E43</x:f>
        <x:v>5579</x:v>
      </x:c>
      <x:c r="F44" s="8" t="n">
        <x:f>E44+F42-F43</x:f>
        <x:v>6306.545000000001</x:v>
      </x:c>
      <x:c r="G44" s="8" t="n">
        <x:f>F44+G42-G43</x:f>
        <x:v>7188.019475000003</x:v>
      </x:c>
      <x:c r="H44" s="8" t="n">
        <x:f>G44+H42-H43</x:f>
        <x:v>8234.934493625004</x:v>
      </x:c>
      <x:c r="I44" s="8" t="n">
        <x:f>H44+I42-I43</x:f>
        <x:v>9464.28974013688</x:v>
      </x:c>
      <x:c r="J44" s="1"/>
      <x:c r="K44" s="1"/>
    </x:row>
    <x:row r="45" ht="18" customHeight="1">
      <x:c r="A45" s="1"/>
      <x:c r="B45" s="1"/>
      <x:c r="C45" s="1" t="str">
        <x:v>Customer cash collections</x:v>
      </x:c>
      <x:c r="D45" s="2"/>
      <x:c r="E45" s="8" t="n">
        <x:f>E42*E29+$D12*E30</x:f>
        <x:v>1831.6</x:v>
      </x:c>
      <x:c r="F45" s="8" t="n">
        <x:f>F42*F29+E44*F30</x:f>
        <x:v>2076.2980000000002</x:v>
      </x:c>
      <x:c r="G45" s="8" t="n">
        <x:f>G42*G29+F44*G30</x:f>
        <x:v>2370.684190000001</x:v>
      </x:c>
      <x:c r="H45" s="8" t="n">
        <x:f>H42*H29+G44*H30</x:f>
        <x:v>2718.9322394500014</x:v>
      </x:c>
      <x:c r="I45" s="8" t="n">
        <x:f>I42*I29+H44*I30</x:f>
        <x:v>3126.9211365647516</x:v>
      </x:c>
      <x:c r="J45" s="1"/>
      <x:c r="K45" s="1"/>
    </x:row>
    <x:row r="46" ht="18" customHeight="1">
      <x:c r="A46" s="1"/>
      <x:c r="B46" s="1"/>
      <x:c r="C46" s="1" t="str">
        <x:v>Recognized project cost</x:v>
      </x:c>
      <x:c r="D46" s="2"/>
      <x:c r="E46" s="8" t="n">
        <x:f>E43*E31</x:f>
        <x:v>1020.0000000000001</x:v>
      </x:c>
      <x:c r="F46" s="8" t="n">
        <x:f>F43*F31</x:f>
        <x:v>1138.1160000000002</x:v>
      </x:c>
      <x:c r="G46" s="8" t="n">
        <x:f>G43*G31</x:f>
        <x:v>1286.5351800000003</x:v>
      </x:c>
      <x:c r="H46" s="8" t="n">
        <x:f>H43*H31</x:f>
        <x:v>1466.3559729000006</x:v>
      </x:c>
      <x:c r="I46" s="8" t="n">
        <x:f>I43*I31</x:f>
        <x:v>1679.926636699501</x:v>
      </x:c>
      <x:c r="J46" s="1"/>
      <x:c r="K46" s="1"/>
    </x:row>
    <x:row r="47" ht="18" customHeight="1">
      <x:c r="A47" s="1"/>
      <x:c r="B47" s="1"/>
      <x:c r="C47" s="1" t="str">
        <x:v>Cash project expenditure</x:v>
      </x:c>
      <x:c r="D47" s="2"/>
      <x:c r="E47" s="8" t="n">
        <x:f>E42*E32</x:f>
        <x:v>1143.45</x:v>
      </x:c>
      <x:c r="F47" s="8" t="n">
        <x:f>F42*F32</x:f>
        <x:v>1320.6847500000003</x:v>
      </x:c>
      <x:c r="G47" s="8" t="n">
        <x:f>G42*G32</x:f>
        <x:v>1525.3908862500007</x:v>
      </x:c>
      <x:c r="H47" s="8" t="n">
        <x:f>H42*H32</x:f>
        <x:v>1761.826473618751</x:v>
      </x:c>
      <x:c r="I47" s="8" t="n">
        <x:f>I42*I32</x:f>
        <x:v>2034.9095770296574</x:v>
      </x:c>
      <x:c r="J47" s="1"/>
      <x:c r="K47" s="1"/>
    </x:row>
    <x:row r="48" ht="18" customHeight="1">
      <x:c r="A48" s="1"/>
      <x:c r="B48" s="1"/>
      <x:c r="C48" s="1" t="str">
        <x:v>Closing project inventory</x:v>
      </x:c>
      <x:c r="D48" s="2"/>
      <x:c r="E48" s="8" t="n">
        <x:f>$D13+E47-E46</x:f>
        <x:v>3123.45</x:v>
      </x:c>
      <x:c r="F48" s="8" t="n">
        <x:f>E48+F47-F46</x:f>
        <x:v>3306.01875</x:v>
      </x:c>
      <x:c r="G48" s="8" t="n">
        <x:f>F48+G47-G46</x:f>
        <x:v>3544.87445625</x:v>
      </x:c>
      <x:c r="H48" s="8" t="n">
        <x:f>G48+H47-H46</x:f>
        <x:v>3840.34495696875</x:v>
      </x:c>
      <x:c r="I48" s="8" t="n">
        <x:f>H48+I47-I46</x:f>
        <x:v>4195.3278972989065</x:v>
      </x:c>
      <x:c r="J48" s="1"/>
      <x:c r="K48" s="1"/>
    </x:row>
    <x:row r="49" ht="18" customHeight="1">
      <x:c r="A49" s="1"/>
      <x:c r="B49" s="1"/>
      <x:c r="C49" s="1" t="str">
        <x:v>Net contract asset / (advance)</x:v>
      </x:c>
      <x:c r="D49" s="2"/>
      <x:c r="E49" s="8" t="n">
        <x:f>$D14+E43-E45</x:f>
        <x:v>-1331.6</x:v>
      </x:c>
      <x:c r="F49" s="8" t="n">
        <x:f>E49+F43-F45</x:f>
        <x:v>-1734.198</x:v>
      </x:c>
      <x:c r="G49" s="8" t="n">
        <x:f>F49+G43-G45</x:f>
        <x:v>-2212.9186900000004</x:v>
      </x:c>
      <x:c r="H49" s="8" t="n">
        <x:f>G49+H43-H45</x:f>
        <x:v>-2775.445086950001</x:v>
      </x:c>
      <x:c r="I49" s="8" t="n">
        <x:f>H49+I43-I45</x:f>
        <x:v>-3431.8858754272514</x:v>
      </x:c>
      <x:c r="J49" s="1"/>
      <x:c r="K49" s="1"/>
    </x:row>
    <x:row r="50" ht="18" customHeight="1">
      <x:c r="A50" s="1"/>
      <x:c r="B50" s="1"/>
      <x:c r="C50" s="1" t="str">
        <x:v>Selling and overhead cash cost</x:v>
      </x:c>
      <x:c r="D50" s="2"/>
      <x:c r="E50" s="8" t="n">
        <x:f>E42*E33</x:f>
        <x:v>124.74</x:v>
      </x:c>
      <x:c r="F50" s="8" t="n">
        <x:f>F42*F33</x:f>
        <x:v>144.0747</x:v>
      </x:c>
      <x:c r="G50" s="8" t="n">
        <x:f>G42*G33</x:f>
        <x:v>166.40627850000007</x:v>
      </x:c>
      <x:c r="H50" s="8" t="n">
        <x:f>H42*H33</x:f>
        <x:v>192.19925166750008</x:v>
      </x:c>
      <x:c r="I50" s="8" t="n">
        <x:f>I42*I33</x:f>
        <x:v>221.9901356759626</x:v>
      </x:c>
      <x:c r="J50" s="1"/>
      <x:c r="K50" s="1"/>
    </x:row>
    <x:row r="51" ht="18" customHeight="1">
      <x:c r="A51" s="1"/>
      <x:c r="B51" s="1"/>
      <x:c r="C51" s="1" t="str">
        <x:v>Operating profit</x:v>
      </x:c>
      <x:c r="D51" s="2"/>
      <x:c r="E51" s="8" t="n">
        <x:f>E43-E46-E50</x:f>
        <x:v>355.2599999999999</x:v>
      </x:c>
      <x:c r="F51" s="8" t="n">
        <x:f>F43-F46-F50</x:f>
        <x:v>391.5092999999998</x:v>
      </x:c>
      <x:c r="G51" s="8" t="n">
        <x:f>G43-G46-G50</x:f>
        <x:v>439.0220414999999</x:v>
      </x:c>
      <x:c r="H51" s="8" t="n">
        <x:f>H43-H46-H50</x:f>
        <x:v>497.8506179325001</x:v>
      </x:c>
      <x:c r="I51" s="8" t="n">
        <x:f>I43-I46-I50</x:f>
        <x:v>568.5635757120376</x:v>
      </x:c>
      <x:c r="J51" s="1"/>
      <x:c r="K51" s="1"/>
    </x:row>
    <x:row r="52" ht="18" customHeight="1">
      <x:c r="A52" s="1"/>
      <x:c r="B52" s="1"/>
      <x:c r="C52" s="1" t="str">
        <x:v>Interest expense</x:v>
      </x:c>
      <x:c r="D52" s="2"/>
      <x:c r="E52" s="8" t="n">
        <x:f>$D16*E34</x:f>
        <x:v>90</x:v>
      </x:c>
      <x:c r="F52" s="8" t="n">
        <x:f>E59*F34</x:f>
        <x:v>90</x:v>
      </x:c>
      <x:c r="G52" s="8" t="n">
        <x:f>F59*G34</x:f>
        <x:v>90</x:v>
      </x:c>
      <x:c r="H52" s="8" t="n">
        <x:f>G59*H34</x:f>
        <x:v>90</x:v>
      </x:c>
      <x:c r="I52" s="8" t="n">
        <x:f>H59*I34</x:f>
        <x:v>90</x:v>
      </x:c>
      <x:c r="J52" s="1"/>
      <x:c r="K52" s="1"/>
    </x:row>
    <x:row r="53" ht="18" customHeight="1">
      <x:c r="A53" s="1"/>
      <x:c r="B53" s="1"/>
      <x:c r="C53" s="1" t="str">
        <x:v>Profit before tax</x:v>
      </x:c>
      <x:c r="D53" s="2"/>
      <x:c r="E53" s="8" t="n">
        <x:f>E51-E52</x:f>
        <x:v>265.2599999999999</x:v>
      </x:c>
      <x:c r="F53" s="8" t="n">
        <x:f>F51-F52</x:f>
        <x:v>301.5092999999998</x:v>
      </x:c>
      <x:c r="G53" s="8" t="n">
        <x:f>G51-G52</x:f>
        <x:v>349.0220414999999</x:v>
      </x:c>
      <x:c r="H53" s="8" t="n">
        <x:f>H51-H52</x:f>
        <x:v>407.8506179325001</x:v>
      </x:c>
      <x:c r="I53" s="8" t="n">
        <x:f>I51-I52</x:f>
        <x:v>478.5635757120376</x:v>
      </x:c>
      <x:c r="J53" s="1"/>
      <x:c r="K53" s="1"/>
    </x:row>
    <x:row r="54" ht="18" customHeight="1">
      <x:c r="A54" s="1"/>
      <x:c r="B54" s="1"/>
      <x:c r="C54" s="1" t="str">
        <x:v>Tax</x:v>
      </x:c>
      <x:c r="D54" s="2"/>
      <x:c r="E54" s="8" t="n">
        <x:f>MAX(0,E53)*E35</x:f>
        <x:v>66.31499999999997</x:v>
      </x:c>
      <x:c r="F54" s="8" t="n">
        <x:f>MAX(0,F53)*F35</x:f>
        <x:v>75.37732499999996</x:v>
      </x:c>
      <x:c r="G54" s="8" t="n">
        <x:f>MAX(0,G53)*G35</x:f>
        <x:v>87.25551037499997</x:v>
      </x:c>
      <x:c r="H54" s="8" t="n">
        <x:f>MAX(0,H53)*H35</x:f>
        <x:v>101.96265448312502</x:v>
      </x:c>
      <x:c r="I54" s="8" t="n">
        <x:f>MAX(0,I53)*I35</x:f>
        <x:v>119.6408939280094</x:v>
      </x:c>
      <x:c r="J54" s="1"/>
      <x:c r="K54" s="1"/>
    </x:row>
    <x:row r="55" ht="18" customHeight="1">
      <x:c r="A55" s="1"/>
      <x:c r="B55" s="1"/>
      <x:c r="C55" s="38" t="str">
        <x:v>Profit after tax</x:v>
      </x:c>
      <x:c r="D55" s="39"/>
      <x:c r="E55" s="41" t="n">
        <x:f>E53-E54</x:f>
        <x:v>198.9449999999999</x:v>
      </x:c>
      <x:c r="F55" s="41" t="n">
        <x:f>F53-F54</x:f>
        <x:v>226.13197499999987</x:v>
      </x:c>
      <x:c r="G55" s="41" t="n">
        <x:f>G53-G54</x:f>
        <x:v>261.7665311249999</x:v>
      </x:c>
      <x:c r="H55" s="41" t="n">
        <x:f>H53-H54</x:f>
        <x:v>305.8879634493751</x:v>
      </x:c>
      <x:c r="I55" s="41" t="n">
        <x:f>I53-I54</x:f>
        <x:v>358.9226817840282</x:v>
      </x:c>
      <x:c r="J55" s="1"/>
      <x:c r="K55" s="1"/>
    </x:row>
    <x:row r="56" ht="18" customHeight="1">
      <x:c r="A56" s="1"/>
      <x:c r="B56" s="1"/>
      <x:c r="C56" s="1" t="str">
        <x:v>Dividends</x:v>
      </x:c>
      <x:c r="D56" s="2"/>
      <x:c r="E56" s="8" t="n">
        <x:f>MAX(0,E55)*E38</x:f>
        <x:v>39.78899999999999</x:v>
      </x:c>
      <x:c r="F56" s="8" t="n">
        <x:f>MAX(0,F55)*F38</x:f>
        <x:v>45.226394999999975</x:v>
      </x:c>
      <x:c r="G56" s="8" t="n">
        <x:f>MAX(0,G55)*G38</x:f>
        <x:v>52.35330622499998</x:v>
      </x:c>
      <x:c r="H56" s="8" t="n">
        <x:f>MAX(0,H55)*H38</x:f>
        <x:v>61.17759268987502</x:v>
      </x:c>
      <x:c r="I56" s="8" t="n">
        <x:f>MAX(0,I55)*I38</x:f>
        <x:v>71.78453635680565</x:v>
      </x:c>
      <x:c r="J56" s="1"/>
      <x:c r="K56" s="1"/>
    </x:row>
    <x:row r="57" ht="18" customHeight="1">
      <x:c r="A57" s="1"/>
      <x:c r="B57" s="1"/>
      <x:c r="C57" s="1" t="str">
        <x:v>Operating cash after project expenditure</x:v>
      </x:c>
      <x:c r="D57" s="2"/>
      <x:c r="E57" s="8" t="n">
        <x:f>E45-E47-E50-E52-E54</x:f>
        <x:v>407.0949999999999</x:v>
      </x:c>
      <x:c r="F57" s="8" t="n">
        <x:f>F45-F47-F50-F52-F54</x:f>
        <x:v>446.16122499999994</x:v>
      </x:c>
      <x:c r="G57" s="8" t="n">
        <x:f>G45-G47-G50-G52-G54</x:f>
        <x:v>501.6315148750001</x:v>
      </x:c>
      <x:c r="H57" s="8" t="n">
        <x:f>H45-H47-H50-H52-H54</x:f>
        <x:v>572.9438596806253</x:v>
      </x:c>
      <x:c r="I57" s="8" t="n">
        <x:f>I45-I47-I50-I52-I54</x:f>
        <x:v>660.3805299311222</x:v>
      </x:c>
      <x:c r="J57" s="1"/>
      <x:c r="K57" s="1"/>
    </x:row>
    <x:row r="58" ht="18" customHeight="1">
      <x:c r="A58" s="1"/>
      <x:c r="B58" s="1"/>
      <x:c r="C58" s="1" t="str">
        <x:v>Closing cash / (funding gap)</x:v>
      </x:c>
      <x:c r="D58" s="2"/>
      <x:c r="E58" s="8" t="n">
        <x:f>$D15+E57+E36-E37-E56</x:f>
        <x:v>867.3059999999999</x:v>
      </x:c>
      <x:c r="F58" s="8" t="n">
        <x:f>E58+F57+F36-F37-F56</x:f>
        <x:v>1268.24083</x:v>
      </x:c>
      <x:c r="G58" s="8" t="n">
        <x:f>F58+G57+G36-G37-G56</x:f>
        <x:v>1717.5190386500003</x:v>
      </x:c>
      <x:c r="H58" s="8" t="n">
        <x:f>G58+H57+H36-H37-H56</x:f>
        <x:v>2229.2853056407507</x:v>
      </x:c>
      <x:c r="I58" s="8" t="n">
        <x:f>H58+I57+I36-I37-I56</x:f>
        <x:v>2817.881299215067</x:v>
      </x:c>
      <x:c r="J58" s="1"/>
      <x:c r="K58" s="1"/>
    </x:row>
    <x:row r="59" ht="18" customHeight="1">
      <x:c r="A59" s="1"/>
      <x:c r="B59" s="1"/>
      <x:c r="C59" s="1" t="str">
        <x:v>Closing debt</x:v>
      </x:c>
      <x:c r="D59" s="2"/>
      <x:c r="E59" s="8" t="n">
        <x:f>$D16+E36-E37</x:f>
        <x:v>1000</x:v>
      </x:c>
      <x:c r="F59" s="8" t="n">
        <x:f>E59+F36-F37</x:f>
        <x:v>1000</x:v>
      </x:c>
      <x:c r="G59" s="8" t="n">
        <x:f>F59+G36-G37</x:f>
        <x:v>1000</x:v>
      </x:c>
      <x:c r="H59" s="8" t="n">
        <x:f>G59+H36-H37</x:f>
        <x:v>1000</x:v>
      </x:c>
      <x:c r="I59" s="8" t="n">
        <x:f>H59+I36-I37</x:f>
        <x:v>1000</x:v>
      </x:c>
      <x:c r="J59" s="1"/>
      <x:c r="K59" s="1"/>
    </x:row>
    <x:row r="60" ht="18" customHeight="1">
      <x:c r="A60" s="1"/>
      <x:c r="B60" s="1"/>
      <x:c r="C60" s="1" t="str">
        <x:v>Closing equity</x:v>
      </x:c>
      <x:c r="D60" s="2"/>
      <x:c r="E60" s="8" t="n">
        <x:f>$D13+$D14+$D15-$D16+E55-E56</x:f>
        <x:v>1659.156</x:v>
      </x:c>
      <x:c r="F60" s="8" t="n">
        <x:f>E60+F55-F56</x:f>
        <x:v>1840.0615799999998</x:v>
      </x:c>
      <x:c r="G60" s="8" t="n">
        <x:f>F60+G55-G56</x:f>
        <x:v>2049.4748049</x:v>
      </x:c>
      <x:c r="H60" s="8" t="n">
        <x:f>G60+H55-H56</x:f>
        <x:v>2294.1851756595</x:v>
      </x:c>
      <x:c r="I60" s="8" t="n">
        <x:f>H60+I55-I56</x:f>
        <x:v>2581.3233210867224</x:v>
      </x:c>
      <x:c r="J60" s="1"/>
      <x:c r="K60" s="1"/>
    </x:row>
    <x:row r="61" ht="18" customHeight="1">
      <x:c r="A61" s="1"/>
      <x:c r="B61" s="1"/>
      <x:c r="C61" s="1" t="str">
        <x:v>Total assets</x:v>
      </x:c>
      <x:c r="D61" s="2"/>
      <x:c r="E61" s="8" t="n">
        <x:f>E48+MAX(0,E49)+E58</x:f>
        <x:v>3990.756</x:v>
      </x:c>
      <x:c r="F61" s="8" t="n">
        <x:f>F48+MAX(0,F49)+F58</x:f>
        <x:v>4574.25958</x:v>
      </x:c>
      <x:c r="G61" s="8" t="n">
        <x:f>G48+MAX(0,G49)+G58</x:f>
        <x:v>5262.3934949</x:v>
      </x:c>
      <x:c r="H61" s="8" t="n">
        <x:f>H48+MAX(0,H49)+H58</x:f>
        <x:v>6069.6302626095</x:v>
      </x:c>
      <x:c r="I61" s="8" t="n">
        <x:f>I48+MAX(0,I49)+I58</x:f>
        <x:v>7013.209196513973</x:v>
      </x:c>
      <x:c r="J61" s="1"/>
      <x:c r="K61" s="1"/>
    </x:row>
    <x:row r="62" ht="18" customHeight="1">
      <x:c r="A62" s="1"/>
      <x:c r="B62" s="1"/>
      <x:c r="C62" s="1" t="str">
        <x:v>Liabilities and equity</x:v>
      </x:c>
      <x:c r="D62" s="2"/>
      <x:c r="E62" s="8" t="n">
        <x:f>E59+MAX(0,-E49)+E60</x:f>
        <x:v>3990.756</x:v>
      </x:c>
      <x:c r="F62" s="8" t="n">
        <x:f>F59+MAX(0,-F49)+F60</x:f>
        <x:v>4574.25958</x:v>
      </x:c>
      <x:c r="G62" s="8" t="n">
        <x:f>G59+MAX(0,-G49)+G60</x:f>
        <x:v>5262.3934949</x:v>
      </x:c>
      <x:c r="H62" s="8" t="n">
        <x:f>H59+MAX(0,-H49)+H60</x:f>
        <x:v>6069.630262609501</x:v>
      </x:c>
      <x:c r="I62" s="8" t="n">
        <x:f>I59+MAX(0,-I49)+I60</x:f>
        <x:v>7013.209196513973</x:v>
      </x:c>
      <x:c r="J62" s="1"/>
      <x:c r="K62" s="1"/>
    </x:row>
    <x:row r="63" ht="18" customHeight="1">
      <x:c r="A63" s="1"/>
      <x:c r="B63" s="1"/>
      <x:c r="C63" s="19" t="str">
        <x:v>DEVELOPMENT KPIs AND EQUITY VALUATION</x:v>
      </x:c>
      <x:c r="D63" s="20"/>
      <x:c r="E63" s="20"/>
      <x:c r="F63" s="20"/>
      <x:c r="G63" s="20"/>
      <x:c r="H63" s="20"/>
      <x:c r="I63" s="20"/>
      <x:c r="J63" s="1"/>
      <x:c r="K63" s="1"/>
    </x:row>
    <x:row r="64" ht="18" customHeight="1">
      <x:c r="A64" s="1"/>
      <x:c r="B64" s="1"/>
      <x:c r="C64" s="23" t="str">
        <x:v>Collections / bookings</x:v>
      </x:c>
      <x:c r="D64" s="24"/>
      <x:c r="E64" s="35" t="n">
        <x:f>E45/E42</x:f>
        <x:v>0.881000481000481</x:v>
      </x:c>
      <x:c r="F64" s="35" t="n">
        <x:f>F45/F42</x:f>
        <x:v>0.8646756161907677</x:v>
      </x:c>
      <x:c r="G64" s="35" t="n">
        <x:f>G45/G42</x:f>
        <x:v>0.8547817587303354</x:v>
      </x:c>
      <x:c r="H64" s="35" t="n">
        <x:f>H45/H42</x:f>
        <x:v>0.8487854814815886</x:v>
      </x:c>
      <x:c r="I64" s="35" t="n">
        <x:f>I45/I42</x:f>
        <x:v>0.8451513740581057</x:v>
      </x:c>
      <x:c r="J64" s="1"/>
      <x:c r="K64" s="1"/>
    </x:row>
    <x:row r="65" ht="18" customHeight="1">
      <x:c r="A65" s="1"/>
      <x:c r="B65" s="1"/>
      <x:c r="C65" s="23" t="str">
        <x:v>Backlog / annual recognized revenue</x:v>
      </x:c>
      <x:c r="D65" s="32"/>
      <x:c r="E65" s="61" t="n">
        <x:f>E44/E43</x:f>
        <x:v>3.719333333333333</x:v>
      </x:c>
      <x:c r="F65" s="61" t="n">
        <x:f>F44/F43</x:f>
        <x:v>3.7680259305729824</x:v>
      </x:c>
      <x:c r="G65" s="61" t="n">
        <x:f>G44/G43</x:f>
        <x:v>3.799237921344678</x:v>
      </x:c>
      <x:c r="H65" s="61" t="n">
        <x:f>H44/H43</x:f>
        <x:v>3.8188240503364344</x:v>
      </x:c>
      <x:c r="I65" s="61" t="n">
        <x:f>I44/I43</x:f>
        <x:v>3.8309512348331647</x:v>
      </x:c>
      <x:c r="J65" s="1"/>
      <x:c r="K65" s="1"/>
    </x:row>
    <x:row r="66" ht="18" customHeight="1">
      <x:c r="A66" s="1"/>
      <x:c r="B66" s="1"/>
      <x:c r="C66" s="23" t="str">
        <x:v>Recognized operating margin</x:v>
      </x:c>
      <x:c r="D66" s="24"/>
      <x:c r="E66" s="35" t="n">
        <x:f>E51/E43</x:f>
        <x:v>0.2368399999999999</x:v>
      </x:c>
      <x:c r="F66" s="35" t="n">
        <x:f>F51/F43</x:f>
        <x:v>0.23391844416562096</x:v>
      </x:c>
      <x:c r="G66" s="35" t="n">
        <x:f>G51/G43</x:f>
        <x:v>0.23204572471931928</x:v>
      </x:c>
      <x:c r="H66" s="35" t="n">
        <x:f>H51/H43</x:f>
        <x:v>0.23087055697981393</x:v>
      </x:c>
      <x:c r="I66" s="35" t="n">
        <x:f>I51/I43</x:f>
        <x:v>0.23014292591001004</x:v>
      </x:c>
      <x:c r="J66" s="1"/>
      <x:c r="K66" s="1"/>
    </x:row>
    <x:row r="67" ht="18" customHeight="1">
      <x:c r="A67" s="1"/>
      <x:c r="B67" s="1"/>
      <x:c r="C67" s="23" t="str">
        <x:v>Net debt / equity</x:v>
      </x:c>
      <x:c r="D67" s="32"/>
      <x:c r="E67" s="61" t="n">
        <x:f>(E59-E58)/E60</x:f>
        <x:v>0.07997680748525159</x:v>
      </x:c>
      <x:c r="F67" s="61" t="n">
        <x:f>(F59-F58)/F60</x:f>
        <x:v>-0.14577818096718262</x:v>
      </x:c>
      <x:c r="G67" s="61" t="n">
        <x:f>(G59-G58)/G60</x:f>
        <x:v>-0.35009897996038564</x:v>
      </x:c>
      <x:c r="H67" s="61" t="n">
        <x:f>(H59-H58)/H60</x:f>
        <x:v>-0.5358265403695555</x:v>
      </x:c>
      <x:c r="I67" s="61" t="n">
        <x:f>(I59-I58)/I60</x:f>
        <x:v>-0.7042439373498355</x:v>
      </x:c>
      <x:c r="J67" s="1"/>
      <x:c r="K67" s="1"/>
    </x:row>
    <x:row r="68" ht="18" customHeight="1">
      <x:c r="A68" s="1"/>
      <x:c r="B68" s="1"/>
      <x:c r="C68" s="1" t="str">
        <x:v>PV of dividends</x:v>
      </x:c>
      <x:c r="D68" s="2"/>
      <x:c r="E68" s="8" t="n">
        <x:f>E56/(1+$D18)^1</x:f>
        <x:v>34.30086206896551</x:v>
      </x:c>
      <x:c r="F68" s="8" t="n">
        <x:f>F56/(1+$D18)^2</x:f>
        <x:v>33.6105789239001</x:v>
      </x:c>
      <x:c r="G68" s="8" t="n">
        <x:f>G56/(1+$D18)^3</x:f>
        <x:v>33.540547368306406</x:v>
      </x:c>
      <x:c r="H68" s="8" t="n">
        <x:f>H56/(1+$D18)^4</x:f>
        <x:v>33.78783983237559</x:v>
      </x:c>
      <x:c r="I68" s="8" t="n">
        <x:f>I56/(1+$D18)^5</x:f>
        <x:v>34.17755206494918</x:v>
      </x:c>
      <x:c r="J68" s="1"/>
      <x:c r="K68" s="1"/>
    </x:row>
    <x:row r="69" ht="18" customHeight="1">
      <x:c r="A69" s="1"/>
      <x:c r="B69" s="1"/>
      <x:c r="C69" s="38" t="str">
        <x:v>Dividend plus residual-book equity value</x:v>
      </x:c>
      <x:c r="D69" s="39"/>
      <x:c r="E69" s="41" t="n">
        <x:f>SUM(E68:I68)+I60*$D19/(1+$D18)^5</x:f>
        <x:v>1398.4190104200998</x:v>
      </x:c>
      <x:c r="F69" s="39"/>
      <x:c r="G69" s="39"/>
      <x:c r="H69" s="39"/>
      <x:c r="I69" s="39"/>
      <x:c r="J69" s="1"/>
      <x:c r="K69" s="1" t="str">
        <x:v>PV of dividends + FY:31 equity × exit P/B. Illustrative valuation; not project NAV.</x:v>
      </x:c>
    </x:row>
    <x:row r="70" ht="18" customHeight="1">
      <x:c r="A70" s="1"/>
      <x:c r="B70" s="1"/>
      <x:c r="C70" s="19" t="str">
        <x:v>MODEL CHECKS</x:v>
      </x:c>
      <x:c r="D70" s="20"/>
      <x:c r="E70" s="20"/>
      <x:c r="F70" s="20"/>
      <x:c r="G70" s="20"/>
      <x:c r="H70" s="20"/>
      <x:c r="I70" s="20"/>
      <x:c r="J70" s="1"/>
      <x:c r="K70" s="1"/>
    </x:row>
    <x:row r="71" ht="18" customHeight="1">
      <x:c r="A71" s="1"/>
      <x:c r="B71" s="1"/>
      <x:c r="C71" s="1" t="str">
        <x:v>Assets less liabilities and equity</x:v>
      </x:c>
      <x:c r="D71" s="33"/>
      <x:c r="E71" s="34" t="n">
        <x:f>E61-E62</x:f>
        <x:v>0</x:v>
      </x:c>
      <x:c r="F71" s="34" t="n">
        <x:f>F61-F62</x:f>
        <x:v>0</x:v>
      </x:c>
      <x:c r="G71" s="34" t="n">
        <x:f>G61-G62</x:f>
        <x:v>0</x:v>
      </x:c>
      <x:c r="H71" s="34" t="n">
        <x:f>H61-H62</x:f>
        <x:v>-9.094947017729282e-13</x:v>
      </x:c>
      <x:c r="I71" s="34" t="n">
        <x:f>I61-I62</x:f>
        <x:v>0</x:v>
      </x:c>
      <x:c r="J71" s="1"/>
      <x:c r="K71" s="1"/>
    </x:row>
    <x:row r="72" ht="18" customHeight="1">
      <x:c r="A72" s="1"/>
      <x:c r="B72" s="1"/>
      <x:c r="C72" s="1" t="str">
        <x:v>Inventory below zero</x:v>
      </x:c>
      <x:c r="D72" s="33"/>
      <x:c r="E72" s="34" t="n">
        <x:f>MAX(0,-E48)</x:f>
        <x:v>0</x:v>
      </x:c>
      <x:c r="F72" s="34" t="n">
        <x:f>MAX(0,-F48)</x:f>
        <x:v>0</x:v>
      </x:c>
      <x:c r="G72" s="34" t="n">
        <x:f>MAX(0,-G48)</x:f>
        <x:v>0</x:v>
      </x:c>
      <x:c r="H72" s="34" t="n">
        <x:f>MAX(0,-H48)</x:f>
        <x:v>0</x:v>
      </x:c>
      <x:c r="I72" s="34" t="n">
        <x:f>MAX(0,-I48)</x:f>
        <x:v>0</x:v>
      </x:c>
      <x:c r="J72" s="1"/>
      <x:c r="K72" s="1"/>
    </x:row>
    <x:row r="73" ht="18" customHeight="1">
      <x:c r="A73" s="1"/>
      <x:c r="B73" s="1"/>
      <x:c r="C73" s="1" t="str">
        <x:v>Backlog below zero</x:v>
      </x:c>
      <x:c r="D73" s="33"/>
      <x:c r="E73" s="34" t="n">
        <x:f>MAX(0,-E44)</x:f>
        <x:v>0</x:v>
      </x:c>
      <x:c r="F73" s="34" t="n">
        <x:f>MAX(0,-F44)</x:f>
        <x:v>0</x:v>
      </x:c>
      <x:c r="G73" s="34" t="n">
        <x:f>MAX(0,-G44)</x:f>
        <x:v>0</x:v>
      </x:c>
      <x:c r="H73" s="34" t="n">
        <x:f>MAX(0,-H44)</x:f>
        <x:v>0</x:v>
      </x:c>
      <x:c r="I73" s="34" t="n">
        <x:f>MAX(0,-I44)</x:f>
        <x:v>0</x:v>
      </x:c>
      <x:c r="J73" s="1"/>
      <x:c r="K73" s="1"/>
    </x:row>
    <x:row r="74" ht="18" customHeight="1">
      <x:c r="A74" s="1"/>
      <x:c r="B74" s="1"/>
      <x:c r="C74" s="1" t="str">
        <x:v>Cash funding shortfall</x:v>
      </x:c>
      <x:c r="D74" s="33"/>
      <x:c r="E74" s="34" t="n">
        <x:f>MAX(0,-E58)</x:f>
        <x:v>0</x:v>
      </x:c>
      <x:c r="F74" s="34" t="n">
        <x:f>MAX(0,-F58)</x:f>
        <x:v>0</x:v>
      </x:c>
      <x:c r="G74" s="34" t="n">
        <x:f>MAX(0,-G58)</x:f>
        <x:v>0</x:v>
      </x:c>
      <x:c r="H74" s="34" t="n">
        <x:f>MAX(0,-H58)</x:f>
        <x:v>0</x:v>
      </x:c>
      <x:c r="I74" s="34" t="n">
        <x:f>MAX(0,-I58)</x:f>
        <x:v>0</x:v>
      </x:c>
      <x:c r="J74" s="1"/>
      <x:c r="K74" s="1"/>
    </x:row>
    <x:row r="75" ht="18" customHeight="1">
      <x:c r="A75" s="1"/>
      <x:c r="B75" s="1"/>
      <x:c r="C75" s="1"/>
      <x:c r="D75" s="2"/>
      <x:c r="E75" s="2"/>
      <x:c r="F75" s="2"/>
      <x:c r="G75" s="2"/>
      <x:c r="H75" s="2"/>
      <x:c r="I75" s="2"/>
      <x:c r="J75" s="1"/>
      <x:c r="K75" s="1"/>
    </x:row>
    <x:row r="76" ht="18" customHeight="1">
      <x:c r="A76" s="1"/>
      <x:c r="B76" s="1"/>
      <x:c r="C76" s="1"/>
      <x:c r="D76" s="2"/>
      <x:c r="E76" s="2"/>
      <x:c r="F76" s="2"/>
      <x:c r="G76" s="2"/>
      <x:c r="H76" s="2"/>
      <x:c r="I76" s="2"/>
      <x:c r="J76" s="1"/>
      <x:c r="K76" s="1"/>
    </x:row>
    <x:row r="77" ht="18" customHeight="1">
      <x:c r="A77" s="1"/>
      <x:c r="B77" s="1"/>
      <x:c r="C77" s="1"/>
      <x:c r="D77" s="2"/>
      <x:c r="E77" s="2"/>
      <x:c r="F77" s="2"/>
      <x:c r="G77" s="2"/>
      <x:c r="H77" s="2"/>
      <x:c r="I77" s="2"/>
      <x:c r="J77" s="1"/>
      <x:c r="K77" s="1"/>
    </x:row>
    <x:row r="78" ht="18" customHeight="1">
      <x:c r="A78" s="1"/>
      <x:c r="B78" s="1"/>
      <x:c r="C78" s="1"/>
      <x:c r="D78" s="2"/>
      <x:c r="E78" s="2"/>
      <x:c r="F78" s="2"/>
      <x:c r="G78" s="2"/>
      <x:c r="H78" s="2"/>
      <x:c r="I78" s="2"/>
      <x:c r="J78" s="1"/>
      <x:c r="K78" s="1"/>
    </x:row>
    <x:row r="79" ht="18" customHeight="1">
      <x:c r="A79" s="1"/>
      <x:c r="B79" s="1"/>
      <x:c r="C79" s="1"/>
      <x:c r="D79" s="2"/>
      <x:c r="E79" s="2"/>
      <x:c r="F79" s="2"/>
      <x:c r="G79" s="2"/>
      <x:c r="H79" s="2"/>
      <x:c r="I79" s="2"/>
      <x:c r="J79" s="1"/>
      <x:c r="K79" s="1"/>
    </x:row>
    <x:row r="80" ht="18" customHeight="1">
      <x:c r="A80" s="1"/>
      <x:c r="B80" s="1"/>
      <x:c r="C80" s="1"/>
      <x:c r="D80" s="2"/>
      <x:c r="E80" s="2"/>
      <x:c r="F80" s="2"/>
      <x:c r="G80" s="2"/>
      <x:c r="H80" s="2"/>
      <x:c r="I80" s="2"/>
      <x:c r="J80" s="1"/>
      <x:c r="K80" s="1"/>
    </x:row>
    <x:row r="81" ht="18" customHeight="1">
      <x:c r="A81" s="1"/>
      <x:c r="B81" s="1"/>
      <x:c r="C81" s="1"/>
      <x:c r="D81" s="2"/>
      <x:c r="E81" s="2"/>
      <x:c r="F81" s="2"/>
      <x:c r="G81" s="2"/>
      <x:c r="H81" s="2"/>
      <x:c r="I81" s="2"/>
      <x:c r="J81" s="1"/>
      <x:c r="K81" s="1"/>
    </x:row>
    <x:row r="82" ht="18" customHeight="1">
      <x:c r="A82" s="1"/>
      <x:c r="B82" s="1"/>
      <x:c r="C82" s="1"/>
      <x:c r="D82" s="2"/>
      <x:c r="E82" s="2"/>
      <x:c r="F82" s="2"/>
      <x:c r="G82" s="2"/>
      <x:c r="H82" s="2"/>
      <x:c r="I82" s="2"/>
      <x:c r="J82" s="1"/>
      <x:c r="K82" s="1"/>
    </x:row>
    <x:row r="83" ht="18" customHeight="1">
      <x:c r="A83" s="1"/>
      <x:c r="B83" s="1"/>
      <x:c r="C83" s="1"/>
      <x:c r="D83" s="2"/>
      <x:c r="E83" s="2"/>
      <x:c r="F83" s="2"/>
      <x:c r="G83" s="2"/>
      <x:c r="H83" s="2"/>
      <x:c r="I83" s="2"/>
      <x:c r="J83" s="1"/>
      <x:c r="K83" s="1"/>
    </x:row>
    <x:row r="84" ht="18" customHeight="1">
      <x:c r="A84" s="1"/>
      <x:c r="B84" s="1"/>
      <x:c r="C84" s="1"/>
      <x:c r="D84" s="2"/>
      <x:c r="E84" s="2"/>
      <x:c r="F84" s="2"/>
      <x:c r="G84" s="2"/>
      <x:c r="H84" s="2"/>
      <x:c r="I84" s="2"/>
      <x:c r="J84" s="1"/>
      <x:c r="K84" s="1"/>
    </x:row>
    <x:row r="85" ht="18" customHeight="1">
      <x:c r="A85" s="1"/>
      <x:c r="B85" s="1"/>
      <x:c r="C85" s="1"/>
      <x:c r="D85" s="2"/>
      <x:c r="E85" s="2"/>
      <x:c r="F85" s="2"/>
      <x:c r="G85" s="2"/>
      <x:c r="H85" s="2"/>
      <x:c r="I85" s="2"/>
      <x:c r="J85" s="1"/>
      <x:c r="K85" s="1"/>
    </x:row>
    <x:row r="86" ht="18" customHeight="1">
      <x:c r="A86" s="1"/>
      <x:c r="B86" s="1"/>
      <x:c r="C86" s="1"/>
      <x:c r="D86" s="2"/>
      <x:c r="E86" s="2"/>
      <x:c r="F86" s="2"/>
      <x:c r="G86" s="2"/>
      <x:c r="H86" s="2"/>
      <x:c r="I86" s="2"/>
      <x:c r="J86" s="1"/>
      <x:c r="K86" s="1"/>
    </x:row>
    <x:row r="87" ht="18" customHeight="1">
      <x:c r="A87" s="1"/>
      <x:c r="B87" s="1"/>
      <x:c r="C87" s="1"/>
      <x:c r="D87" s="2"/>
      <x:c r="E87" s="2"/>
      <x:c r="F87" s="2"/>
      <x:c r="G87" s="2"/>
      <x:c r="H87" s="2"/>
      <x:c r="I87" s="2"/>
      <x:c r="J87" s="1"/>
      <x:c r="K87" s="1"/>
    </x:row>
    <x:row r="88" ht="18" customHeight="1">
      <x:c r="A88" s="1"/>
      <x:c r="B88" s="1"/>
      <x:c r="C88" s="1"/>
      <x:c r="D88" s="2"/>
      <x:c r="E88" s="2"/>
      <x:c r="F88" s="2"/>
      <x:c r="G88" s="2"/>
      <x:c r="H88" s="2"/>
      <x:c r="I88" s="2"/>
      <x:c r="J88" s="1"/>
      <x:c r="K88" s="1"/>
    </x:row>
    <x:row r="89" ht="18" customHeight="1">
      <x:c r="A89" s="1"/>
      <x:c r="B89" s="1"/>
      <x:c r="C89" s="1"/>
      <x:c r="D89" s="2"/>
      <x:c r="E89" s="2"/>
      <x:c r="F89" s="2"/>
      <x:c r="G89" s="2"/>
      <x:c r="H89" s="2"/>
      <x:c r="I89" s="2"/>
      <x:c r="J89" s="1"/>
      <x:c r="K89" s="1"/>
    </x:row>
    <x:row r="90" ht="18" customHeight="1">
      <x:c r="A90" s="1"/>
      <x:c r="B90" s="1"/>
      <x:c r="C90" s="1"/>
      <x:c r="D90" s="2"/>
      <x:c r="E90" s="2"/>
      <x:c r="F90" s="2"/>
      <x:c r="G90" s="2"/>
      <x:c r="H90" s="2"/>
      <x:c r="I90" s="2"/>
      <x:c r="J90" s="1"/>
      <x:c r="K90" s="1"/>
    </x:row>
    <x:row r="91" ht="18" customHeight="1">
      <x:c r="A91" s="1"/>
      <x:c r="B91" s="1"/>
      <x:c r="C91" s="1"/>
      <x:c r="D91" s="2"/>
      <x:c r="E91" s="2"/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/>
      <x:c r="D92" s="2"/>
      <x:c r="E92" s="2"/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/>
      <x:c r="D93" s="2"/>
      <x:c r="E93" s="2"/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/>
      <x:c r="D94" s="2"/>
      <x:c r="E94" s="2"/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1"/>
      <x:c r="D95" s="2"/>
      <x:c r="E95" s="2"/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/>
      <x:c r="D96" s="2"/>
      <x:c r="E96" s="2"/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/>
      <x:c r="D97" s="2"/>
      <x:c r="E97" s="2"/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/>
      <x:c r="D98" s="2"/>
      <x:c r="E98" s="2"/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1"/>
      <x:c r="D99" s="2"/>
      <x:c r="E99" s="2"/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/>
      <x:c r="D100" s="2"/>
      <x:c r="E100" s="2"/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1"/>
      <x:c r="D101" s="2"/>
      <x:c r="E101" s="2"/>
      <x:c r="F101" s="2"/>
      <x:c r="G101" s="2"/>
      <x:c r="H101" s="2"/>
      <x:c r="I101" s="2"/>
      <x:c r="J101" s="1"/>
      <x:c r="K101" s="1"/>
    </x:row>
    <x:row r="102" ht="18" customHeight="1">
      <x:c r="A102" s="1"/>
      <x:c r="B102" s="1"/>
      <x:c r="C102" s="1"/>
      <x:c r="D102" s="2"/>
      <x:c r="E102" s="2"/>
      <x:c r="F102" s="2"/>
      <x:c r="G102" s="2"/>
      <x:c r="H102" s="2"/>
      <x:c r="I102" s="2"/>
      <x:c r="J102" s="1"/>
      <x:c r="K102" s="1"/>
    </x:row>
    <x:row r="103" ht="18" customHeight="1">
      <x:c r="A103" s="1"/>
      <x:c r="B103" s="1"/>
      <x:c r="C103" s="1"/>
      <x:c r="D103" s="2"/>
      <x:c r="E103" s="2"/>
      <x:c r="F103" s="2"/>
      <x:c r="G103" s="2"/>
      <x:c r="H103" s="2"/>
      <x:c r="I103" s="2"/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  <x:row r="111" ht="18" customHeight="1">
      <x:c r="A111" s="1"/>
      <x:c r="B111" s="1"/>
      <x:c r="C111" s="1"/>
      <x:c r="D111" s="2"/>
      <x:c r="E111" s="2"/>
      <x:c r="F111" s="2"/>
      <x:c r="G111" s="2"/>
      <x:c r="H111" s="2"/>
      <x:c r="I111" s="2"/>
      <x:c r="J111" s="1"/>
      <x:c r="K111" s="1"/>
    </x:row>
    <x:row r="112" ht="18" customHeight="1">
      <x:c r="A112" s="1"/>
      <x:c r="B112" s="1"/>
      <x:c r="C112" s="1"/>
      <x:c r="D112" s="2"/>
      <x:c r="E112" s="2"/>
      <x:c r="F112" s="2"/>
      <x:c r="G112" s="2"/>
      <x:c r="H112" s="2"/>
      <x:c r="I112" s="2"/>
      <x:c r="J112" s="1"/>
      <x:c r="K112" s="1"/>
    </x:row>
    <x:row r="113" ht="18" customHeight="1">
      <x:c r="A113" s="1"/>
      <x:c r="B113" s="1"/>
      <x:c r="C113" s="1"/>
      <x:c r="D113" s="2"/>
      <x:c r="E113" s="2"/>
      <x:c r="F113" s="2"/>
      <x:c r="G113" s="2"/>
      <x:c r="H113" s="2"/>
      <x:c r="I113" s="2"/>
      <x:c r="J113" s="1"/>
      <x:c r="K113" s="1"/>
    </x:row>
    <x:row r="114" ht="18" customHeight="1">
      <x:c r="A114" s="1"/>
      <x:c r="B114" s="1"/>
      <x:c r="C114" s="1"/>
      <x:c r="D114" s="2"/>
      <x:c r="E114" s="2"/>
      <x:c r="F114" s="2"/>
      <x:c r="G114" s="2"/>
      <x:c r="H114" s="2"/>
      <x:c r="I114" s="2"/>
      <x:c r="J114" s="1"/>
      <x:c r="K114" s="1"/>
    </x:row>
    <x:row r="115" ht="18" customHeight="1">
      <x:c r="A115" s="1"/>
      <x:c r="B115" s="1"/>
      <x:c r="C115" s="1"/>
      <x:c r="D115" s="2"/>
      <x:c r="E115" s="2"/>
      <x:c r="F115" s="2"/>
      <x:c r="G115" s="2"/>
      <x:c r="H115" s="2"/>
      <x:c r="I115" s="2"/>
      <x:c r="J115" s="1"/>
      <x:c r="K115" s="1"/>
    </x:row>
    <x:row r="116" ht="18" customHeight="1">
      <x:c r="A116" s="1"/>
      <x:c r="B116" s="1"/>
      <x:c r="C116" s="1"/>
      <x:c r="D116" s="2"/>
      <x:c r="E116" s="2"/>
      <x:c r="F116" s="2"/>
      <x:c r="G116" s="2"/>
      <x:c r="H116" s="2"/>
      <x:c r="I116" s="2"/>
      <x:c r="J116" s="1"/>
      <x:c r="K116" s="1"/>
    </x:row>
    <x:row r="117" ht="18" customHeight="1">
      <x:c r="A117" s="1"/>
      <x:c r="B117" s="1"/>
      <x:c r="C117" s="1"/>
      <x:c r="D117" s="2"/>
      <x:c r="E117" s="2"/>
      <x:c r="F117" s="2"/>
      <x:c r="G117" s="2"/>
      <x:c r="H117" s="2"/>
      <x:c r="I117" s="2"/>
      <x:c r="J117" s="1"/>
      <x:c r="K117" s="1"/>
    </x:row>
    <x:row r="118" ht="18" customHeight="1">
      <x:c r="A118" s="1"/>
      <x:c r="B118" s="1"/>
      <x:c r="C118" s="1"/>
      <x:c r="D118" s="2"/>
      <x:c r="E118" s="2"/>
      <x:c r="F118" s="2"/>
      <x:c r="G118" s="2"/>
      <x:c r="H118" s="2"/>
      <x:c r="I118" s="2"/>
      <x:c r="J118" s="1"/>
      <x:c r="K118" s="1"/>
    </x:row>
    <x:row r="119" ht="18" customHeight="1">
      <x:c r="A119" s="1"/>
      <x:c r="B119" s="1"/>
      <x:c r="C119" s="1"/>
      <x:c r="D119" s="2"/>
      <x:c r="E119" s="2"/>
      <x:c r="F119" s="2"/>
      <x:c r="G119" s="2"/>
      <x:c r="H119" s="2"/>
      <x:c r="I119" s="2"/>
      <x:c r="J119" s="1"/>
      <x:c r="K119" s="1"/>
    </x:row>
    <x:row r="120" ht="18" customHeight="1">
      <x:c r="A120" s="1"/>
      <x:c r="B120" s="1"/>
      <x:c r="C120" s="1"/>
      <x:c r="D120" s="2"/>
      <x:c r="E120" s="2"/>
      <x:c r="F120" s="2"/>
      <x:c r="G120" s="2"/>
      <x:c r="H120" s="2"/>
      <x:c r="I120" s="2"/>
      <x:c r="J120" s="1"/>
      <x:c r="K120" s="1"/>
    </x:row>
    <x:row r="121" ht="18" customHeight="1">
      <x:c r="A121" s="1"/>
      <x:c r="B121" s="1"/>
      <x:c r="C121" s="1"/>
      <x:c r="D121" s="2"/>
      <x:c r="E121" s="2"/>
      <x:c r="F121" s="2"/>
      <x:c r="G121" s="2"/>
      <x:c r="H121" s="2"/>
      <x:c r="I121" s="2"/>
      <x:c r="J121" s="1"/>
      <x:c r="K121" s="1"/>
    </x:row>
    <x:row r="122" ht="18" customHeight="1">
      <x:c r="A122" s="1"/>
      <x:c r="B122" s="1"/>
      <x:c r="C122" s="1"/>
      <x:c r="D122" s="2"/>
      <x:c r="E122" s="2"/>
      <x:c r="F122" s="2"/>
      <x:c r="G122" s="2"/>
      <x:c r="H122" s="2"/>
      <x:c r="I122" s="2"/>
      <x:c r="J122" s="1"/>
      <x:c r="K122" s="1"/>
    </x:row>
    <x:row r="123" ht="18" customHeight="1">
      <x:c r="A123" s="1"/>
      <x:c r="B123" s="1"/>
      <x:c r="C123" s="1"/>
      <x:c r="D123" s="2"/>
      <x:c r="E123" s="2"/>
      <x:c r="F123" s="2"/>
      <x:c r="G123" s="2"/>
      <x:c r="H123" s="2"/>
      <x:c r="I123" s="2"/>
      <x:c r="J123" s="1"/>
      <x:c r="K123" s="1"/>
    </x:row>
    <x:row r="124" ht="18" customHeight="1">
      <x:c r="A124" s="1"/>
      <x:c r="B124" s="1"/>
      <x:c r="C124" s="1"/>
      <x:c r="D124" s="2"/>
      <x:c r="E124" s="2"/>
      <x:c r="F124" s="2"/>
      <x:c r="G124" s="2"/>
      <x:c r="H124" s="2"/>
      <x:c r="I124" s="2"/>
      <x:c r="J124" s="1"/>
      <x:c r="K124" s="1"/>
    </x:row>
    <x:row r="125" ht="18" customHeight="1">
      <x:c r="A125" s="1"/>
      <x:c r="B125" s="1"/>
      <x:c r="C125" s="1"/>
      <x:c r="D125" s="2"/>
      <x:c r="E125" s="2"/>
      <x:c r="F125" s="2"/>
      <x:c r="G125" s="2"/>
      <x:c r="H125" s="2"/>
      <x:c r="I125" s="2"/>
      <x:c r="J125" s="1"/>
      <x:c r="K125" s="1"/>
    </x:row>
    <x:row r="126" ht="18" customHeight="1">
      <x:c r="A126" s="1"/>
      <x:c r="B126" s="1"/>
      <x:c r="C126" s="1"/>
      <x:c r="D126" s="2"/>
      <x:c r="E126" s="2"/>
      <x:c r="F126" s="2"/>
      <x:c r="G126" s="2"/>
      <x:c r="H126" s="2"/>
      <x:c r="I126" s="2"/>
      <x:c r="J126" s="1"/>
      <x:c r="K126" s="1"/>
    </x:row>
    <x:row r="127" ht="18" customHeight="1">
      <x:c r="A127" s="1"/>
      <x:c r="B127" s="1"/>
      <x:c r="C127" s="1"/>
      <x:c r="D127" s="2"/>
      <x:c r="E127" s="2"/>
      <x:c r="F127" s="2"/>
      <x:c r="G127" s="2"/>
      <x:c r="H127" s="2"/>
      <x:c r="I127" s="2"/>
      <x:c r="J127" s="1"/>
      <x:c r="K127" s="1"/>
    </x:row>
    <x:row r="128" ht="18" customHeight="1">
      <x:c r="A128" s="1"/>
      <x:c r="B128" s="1"/>
      <x:c r="C128" s="1"/>
      <x:c r="D128" s="2"/>
      <x:c r="E128" s="2"/>
      <x:c r="F128" s="2"/>
      <x:c r="G128" s="2"/>
      <x:c r="H128" s="2"/>
      <x:c r="I128" s="2"/>
      <x:c r="J128" s="1"/>
      <x:c r="K128" s="1"/>
    </x:row>
    <x:row r="129" ht="18" customHeight="1">
      <x:c r="A129" s="1"/>
      <x:c r="B129" s="1"/>
      <x:c r="C129" s="1"/>
      <x:c r="D129" s="2"/>
      <x:c r="E129" s="2"/>
      <x:c r="F129" s="2"/>
      <x:c r="G129" s="2"/>
      <x:c r="H129" s="2"/>
      <x:c r="I129" s="2"/>
      <x:c r="J129" s="1"/>
      <x:c r="K129" s="1"/>
    </x:row>
    <x:row r="130" ht="18" customHeight="1">
      <x:c r="A130" s="1"/>
      <x:c r="B130" s="1"/>
      <x:c r="C130" s="1"/>
      <x:c r="D130" s="2"/>
      <x:c r="E130" s="2"/>
      <x:c r="F130" s="2"/>
      <x:c r="G130" s="2"/>
      <x:c r="H130" s="2"/>
      <x:c r="I130" s="2"/>
      <x:c r="J130" s="1"/>
      <x:c r="K130" s="1"/>
    </x:row>
    <x:row r="131" ht="18" customHeight="1">
      <x:c r="A131" s="1"/>
      <x:c r="B131" s="1"/>
      <x:c r="C131" s="1"/>
      <x:c r="D131" s="2"/>
      <x:c r="E131" s="2"/>
      <x:c r="F131" s="2"/>
      <x:c r="G131" s="2"/>
      <x:c r="H131" s="2"/>
      <x:c r="I131" s="2"/>
      <x:c r="J131" s="1"/>
      <x:c r="K131" s="1"/>
    </x:row>
    <x:row r="132" ht="18" customHeight="1">
      <x:c r="A132" s="1"/>
      <x:c r="B132" s="1"/>
      <x:c r="C132" s="1"/>
      <x:c r="D132" s="2"/>
      <x:c r="E132" s="2"/>
      <x:c r="F132" s="2"/>
      <x:c r="G132" s="2"/>
      <x:c r="H132" s="2"/>
      <x:c r="I132" s="2"/>
      <x:c r="J132" s="1"/>
      <x:c r="K132" s="1"/>
    </x:row>
    <x:row r="133" ht="18" customHeight="1">
      <x:c r="A133" s="1"/>
      <x:c r="B133" s="1"/>
      <x:c r="C133" s="1"/>
      <x:c r="D133" s="2"/>
      <x:c r="E133" s="2"/>
      <x:c r="F133" s="2"/>
      <x:c r="G133" s="2"/>
      <x:c r="H133" s="2"/>
      <x:c r="I133" s="2"/>
      <x:c r="J133" s="1"/>
      <x:c r="K133" s="1"/>
    </x:row>
    <x:row r="134" ht="18" customHeight="1">
      <x:c r="A134" s="1"/>
      <x:c r="B134" s="1"/>
      <x:c r="C134" s="1"/>
      <x:c r="D134" s="2"/>
      <x:c r="E134" s="2"/>
      <x:c r="F134" s="2"/>
      <x:c r="G134" s="2"/>
      <x:c r="H134" s="2"/>
      <x:c r="I134" s="2"/>
      <x:c r="J134" s="1"/>
      <x:c r="K134" s="1"/>
    </x:row>
    <x:row r="135" ht="18" customHeight="1">
      <x:c r="A135" s="1"/>
      <x:c r="B135" s="1"/>
      <x:c r="C135" s="1"/>
      <x:c r="D135" s="2"/>
      <x:c r="E135" s="2"/>
      <x:c r="F135" s="2"/>
      <x:c r="G135" s="2"/>
      <x:c r="H135" s="2"/>
      <x:c r="I135" s="2"/>
      <x:c r="J135" s="1"/>
      <x:c r="K135" s="1"/>
    </x:row>
    <x:row r="136" ht="18" customHeight="1">
      <x:c r="A136" s="1"/>
      <x:c r="B136" s="1"/>
      <x:c r="C136" s="1"/>
      <x:c r="D136" s="2"/>
      <x:c r="E136" s="2"/>
      <x:c r="F136" s="2"/>
      <x:c r="G136" s="2"/>
      <x:c r="H136" s="2"/>
      <x:c r="I136" s="2"/>
      <x:c r="J136" s="1"/>
      <x:c r="K136" s="1"/>
    </x:row>
    <x:row r="137" ht="18" customHeight="1">
      <x:c r="A137" s="1"/>
      <x:c r="B137" s="1"/>
      <x:c r="C137" s="1"/>
      <x:c r="D137" s="2"/>
      <x:c r="E137" s="2"/>
      <x:c r="F137" s="2"/>
      <x:c r="G137" s="2"/>
      <x:c r="H137" s="2"/>
      <x:c r="I137" s="2"/>
      <x:c r="J137" s="1"/>
      <x:c r="K137" s="1"/>
    </x:row>
    <x:row r="138" ht="18" customHeight="1">
      <x:c r="A138" s="1"/>
      <x:c r="B138" s="1"/>
      <x:c r="C138" s="1"/>
      <x:c r="D138" s="2"/>
      <x:c r="E138" s="2"/>
      <x:c r="F138" s="2"/>
      <x:c r="G138" s="2"/>
      <x:c r="H138" s="2"/>
      <x:c r="I138" s="2"/>
      <x:c r="J138" s="1"/>
      <x:c r="K138" s="1"/>
    </x:row>
    <x:row r="139" ht="18" customHeight="1">
      <x:c r="A139" s="1"/>
      <x:c r="B139" s="1"/>
      <x:c r="C139" s="1"/>
      <x:c r="D139" s="2"/>
      <x:c r="E139" s="2"/>
      <x:c r="F139" s="2"/>
      <x:c r="G139" s="2"/>
      <x:c r="H139" s="2"/>
      <x:c r="I139" s="2"/>
      <x:c r="J139" s="1"/>
      <x:c r="K139" s="1"/>
    </x:row>
    <x:row r="140" ht="18" customHeight="1">
      <x:c r="A140" s="1"/>
      <x:c r="B140" s="1"/>
      <x:c r="C140" s="1"/>
      <x:c r="D140" s="2"/>
      <x:c r="E140" s="2"/>
      <x:c r="F140" s="2"/>
      <x:c r="G140" s="2"/>
      <x:c r="H140" s="2"/>
      <x:c r="I140" s="2"/>
      <x:c r="J140" s="1"/>
      <x:c r="K140" s="1"/>
    </x:row>
    <x:row r="141" ht="18" customHeight="1">
      <x:c r="A141" s="1"/>
      <x:c r="B141" s="1"/>
      <x:c r="C141" s="1"/>
      <x:c r="D141" s="2"/>
      <x:c r="E141" s="2"/>
      <x:c r="F141" s="2"/>
      <x:c r="G141" s="2"/>
      <x:c r="H141" s="2"/>
      <x:c r="I141" s="2"/>
      <x:c r="J141" s="1"/>
      <x:c r="K141" s="1"/>
    </x:row>
    <x:row r="142" ht="18" customHeight="1">
      <x:c r="A142" s="1"/>
      <x:c r="B142" s="1"/>
      <x:c r="C142" s="1"/>
      <x:c r="D142" s="2"/>
      <x:c r="E142" s="2"/>
      <x:c r="F142" s="2"/>
      <x:c r="G142" s="2"/>
      <x:c r="H142" s="2"/>
      <x:c r="I142" s="2"/>
      <x:c r="J142" s="1"/>
      <x:c r="K142" s="1"/>
    </x:row>
    <x:row r="143" ht="18" customHeight="1">
      <x:c r="A143" s="1"/>
      <x:c r="B143" s="1"/>
      <x:c r="C143" s="1"/>
      <x:c r="D143" s="2"/>
      <x:c r="E143" s="2"/>
      <x:c r="F143" s="2"/>
      <x:c r="G143" s="2"/>
      <x:c r="H143" s="2"/>
      <x:c r="I143" s="2"/>
      <x:c r="J143" s="1"/>
      <x:c r="K143" s="1"/>
    </x:row>
    <x:row r="144" ht="18" customHeight="1">
      <x:c r="A144" s="1"/>
      <x:c r="B144" s="1"/>
      <x:c r="C144" s="1"/>
      <x:c r="D144" s="2"/>
      <x:c r="E144" s="2"/>
      <x:c r="F144" s="2"/>
      <x:c r="G144" s="2"/>
      <x:c r="H144" s="2"/>
      <x:c r="I144" s="2"/>
      <x:c r="J144" s="1"/>
      <x:c r="K144" s="1"/>
    </x:row>
    <x:row r="145" ht="18" customHeight="1">
      <x:c r="A145" s="1"/>
      <x:c r="B145" s="1"/>
      <x:c r="C145" s="1"/>
      <x:c r="D145" s="2"/>
      <x:c r="E145" s="2"/>
      <x:c r="F145" s="2"/>
      <x:c r="G145" s="2"/>
      <x:c r="H145" s="2"/>
      <x:c r="I145" s="2"/>
      <x:c r="J145" s="1"/>
      <x:c r="K145" s="1"/>
    </x:row>
    <x:row r="146" ht="18" customHeight="1">
      <x:c r="A146" s="1"/>
      <x:c r="B146" s="1"/>
      <x:c r="C146" s="1"/>
      <x:c r="D146" s="2"/>
      <x:c r="E146" s="2"/>
      <x:c r="F146" s="2"/>
      <x:c r="G146" s="2"/>
      <x:c r="H146" s="2"/>
      <x:c r="I146" s="2"/>
      <x:c r="J146" s="1"/>
      <x:c r="K146" s="1"/>
    </x:row>
    <x:row r="147" ht="18" customHeight="1">
      <x:c r="A147" s="1"/>
      <x:c r="B147" s="1"/>
      <x:c r="C147" s="1"/>
      <x:c r="D147" s="2"/>
      <x:c r="E147" s="2"/>
      <x:c r="F147" s="2"/>
      <x:c r="G147" s="2"/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  <x:row r="154" ht="18" customHeight="1">
      <x:c r="A154" s="1"/>
      <x:c r="B154" s="1"/>
      <x:c r="C154" s="1"/>
      <x:c r="D154" s="2"/>
      <x:c r="E154" s="2"/>
      <x:c r="F154" s="2"/>
      <x:c r="G154" s="2"/>
      <x:c r="H154" s="2"/>
      <x:c r="I154" s="2"/>
      <x:c r="J154" s="1"/>
      <x:c r="K154" s="1"/>
    </x:row>
    <x:row r="155" ht="18" customHeight="1">
      <x:c r="A155" s="1"/>
      <x:c r="B155" s="1"/>
      <x:c r="C155" s="1"/>
      <x:c r="D155" s="2"/>
      <x:c r="E155" s="2"/>
      <x:c r="F155" s="2"/>
      <x:c r="G155" s="2"/>
      <x:c r="H155" s="2"/>
      <x:c r="I155" s="2"/>
      <x:c r="J155" s="1"/>
      <x:c r="K155" s="1"/>
    </x:row>
    <x:row r="156" ht="18" customHeight="1">
      <x:c r="A156" s="1"/>
      <x:c r="B156" s="1"/>
      <x:c r="C156" s="1"/>
      <x:c r="D156" s="2"/>
      <x:c r="E156" s="2"/>
      <x:c r="F156" s="2"/>
      <x:c r="G156" s="2"/>
      <x:c r="H156" s="2"/>
      <x:c r="I156" s="2"/>
      <x:c r="J156" s="1"/>
      <x:c r="K156" s="1"/>
    </x:row>
    <x:row r="157" ht="18" customHeight="1">
      <x:c r="A157" s="1"/>
      <x:c r="B157" s="1"/>
      <x:c r="C157" s="1"/>
      <x:c r="D157" s="2"/>
      <x:c r="E157" s="2"/>
      <x:c r="F157" s="2"/>
      <x:c r="G157" s="2"/>
      <x:c r="H157" s="2"/>
      <x:c r="I157" s="2"/>
      <x:c r="J157" s="1"/>
      <x:c r="K157" s="1"/>
    </x:row>
    <x:row r="158" ht="18" customHeight="1">
      <x:c r="A158" s="1"/>
      <x:c r="B158" s="1"/>
      <x:c r="C158" s="1"/>
      <x:c r="D158" s="2"/>
      <x:c r="E158" s="2"/>
      <x:c r="F158" s="2"/>
      <x:c r="G158" s="2"/>
      <x:c r="H158" s="2"/>
      <x:c r="I158" s="2"/>
      <x:c r="J158" s="1"/>
      <x:c r="K158" s="1"/>
    </x:row>
    <x:row r="159" ht="18" customHeight="1">
      <x:c r="A159" s="1"/>
      <x:c r="B159" s="1"/>
      <x:c r="C159" s="1"/>
      <x:c r="D159" s="2"/>
      <x:c r="E159" s="2"/>
      <x:c r="F159" s="2"/>
      <x:c r="G159" s="2"/>
      <x:c r="H159" s="2"/>
      <x:c r="I159" s="2"/>
      <x:c r="J159" s="1"/>
      <x:c r="K159" s="1"/>
    </x:row>
    <x:row r="160" ht="18" customHeight="1">
      <x:c r="A160" s="1"/>
      <x:c r="B160" s="1"/>
      <x:c r="C160" s="1"/>
      <x:c r="D160" s="2"/>
      <x:c r="E160" s="2"/>
      <x:c r="F160" s="2"/>
      <x:c r="G160" s="2"/>
      <x:c r="H160" s="2"/>
      <x:c r="I160" s="2"/>
      <x:c r="J160" s="1"/>
      <x:c r="K160" s="1"/>
    </x:row>
    <x:row r="161" ht="18" customHeight="1">
      <x:c r="A161" s="1"/>
      <x:c r="B161" s="1"/>
      <x:c r="C161" s="1"/>
      <x:c r="D161" s="2"/>
      <x:c r="E161" s="2"/>
      <x:c r="F161" s="2"/>
      <x:c r="G161" s="2"/>
      <x:c r="H161" s="2"/>
      <x:c r="I161" s="2"/>
      <x:c r="J161" s="1"/>
      <x:c r="K161" s="1"/>
    </x:row>
    <x:row r="162" ht="18" customHeight="1">
      <x:c r="A162" s="1"/>
      <x:c r="B162" s="1"/>
      <x:c r="C162" s="1"/>
      <x:c r="D162" s="2"/>
      <x:c r="E162" s="2"/>
      <x:c r="F162" s="2"/>
      <x:c r="G162" s="2"/>
      <x:c r="H162" s="2"/>
      <x:c r="I162" s="2"/>
      <x:c r="J162" s="1"/>
      <x:c r="K162" s="1"/>
    </x:row>
    <x:row r="163" ht="18" customHeight="1">
      <x:c r="A163" s="1"/>
      <x:c r="B163" s="1"/>
      <x:c r="C163" s="1"/>
      <x:c r="D163" s="2"/>
      <x:c r="E163" s="2"/>
      <x:c r="F163" s="2"/>
      <x:c r="G163" s="2"/>
      <x:c r="H163" s="2"/>
      <x:c r="I163" s="2"/>
      <x:c r="J163" s="1"/>
      <x:c r="K163" s="1"/>
    </x:row>
    <x:row r="164" ht="18" customHeight="1">
      <x:c r="A164" s="1"/>
      <x:c r="B164" s="1"/>
      <x:c r="C164" s="1"/>
      <x:c r="D164" s="2"/>
      <x:c r="E164" s="2"/>
      <x:c r="F164" s="2"/>
      <x:c r="G164" s="2"/>
      <x:c r="H164" s="2"/>
      <x:c r="I164" s="2"/>
      <x:c r="J164" s="1"/>
      <x:c r="K164" s="1"/>
    </x:row>
    <x:row r="165" ht="18" customHeight="1">
      <x:c r="A165" s="1"/>
      <x:c r="B165" s="1"/>
      <x:c r="C165" s="1"/>
      <x:c r="D165" s="2"/>
      <x:c r="E165" s="2"/>
      <x:c r="F165" s="2"/>
      <x:c r="G165" s="2"/>
      <x:c r="H165" s="2"/>
      <x:c r="I165" s="2"/>
      <x:c r="J165" s="1"/>
      <x:c r="K165" s="1"/>
    </x:row>
    <x:row r="166" ht="18" customHeight="1">
      <x:c r="A166" s="1"/>
      <x:c r="B166" s="1"/>
      <x:c r="C166" s="1"/>
      <x:c r="D166" s="2"/>
      <x:c r="E166" s="2"/>
      <x:c r="F166" s="2"/>
      <x:c r="G166" s="2"/>
      <x:c r="H166" s="2"/>
      <x:c r="I166" s="2"/>
      <x:c r="J166" s="1"/>
      <x:c r="K166" s="1"/>
    </x:row>
    <x:row r="167" ht="18" customHeight="1">
      <x:c r="A167" s="1"/>
      <x:c r="B167" s="1"/>
      <x:c r="C167" s="1"/>
      <x:c r="D167" s="2"/>
      <x:c r="E167" s="2"/>
      <x:c r="F167" s="2"/>
      <x:c r="G167" s="2"/>
      <x:c r="H167" s="2"/>
      <x:c r="I167" s="2"/>
      <x:c r="J167" s="1"/>
      <x:c r="K167" s="1"/>
    </x:row>
    <x:row r="168" ht="18" customHeight="1">
      <x:c r="A168" s="1"/>
      <x:c r="B168" s="1"/>
      <x:c r="C168" s="1"/>
      <x:c r="D168" s="2"/>
      <x:c r="E168" s="2"/>
      <x:c r="F168" s="2"/>
      <x:c r="G168" s="2"/>
      <x:c r="H168" s="2"/>
      <x:c r="I168" s="2"/>
      <x:c r="J168" s="1"/>
      <x:c r="K168" s="1"/>
    </x:row>
    <x:row r="169" ht="18" customHeight="1">
      <x:c r="A169" s="1"/>
      <x:c r="B169" s="1"/>
      <x:c r="C169" s="1"/>
      <x:c r="D169" s="2"/>
      <x:c r="E169" s="2"/>
      <x:c r="F169" s="2"/>
      <x:c r="G169" s="2"/>
      <x:c r="H169" s="2"/>
      <x:c r="I169" s="2"/>
      <x:c r="J169" s="1"/>
      <x:c r="K169" s="1"/>
    </x:row>
    <x:row r="170" ht="18" customHeight="1">
      <x:c r="A170" s="1"/>
      <x:c r="B170" s="1"/>
      <x:c r="C170" s="1"/>
      <x:c r="D170" s="2"/>
      <x:c r="E170" s="2"/>
      <x:c r="F170" s="2"/>
      <x:c r="G170" s="2"/>
      <x:c r="H170" s="2"/>
      <x:c r="I170" s="2"/>
      <x:c r="J170" s="1"/>
      <x:c r="K170" s="1"/>
    </x:row>
    <x:row r="171" ht="18" customHeight="1">
      <x:c r="A171" s="1"/>
      <x:c r="B171" s="1"/>
      <x:c r="C171" s="1"/>
      <x:c r="D171" s="2"/>
      <x:c r="E171" s="2"/>
      <x:c r="F171" s="2"/>
      <x:c r="G171" s="2"/>
      <x:c r="H171" s="2"/>
      <x:c r="I171" s="2"/>
      <x:c r="J171" s="1"/>
      <x:c r="K171" s="1"/>
    </x:row>
    <x:row r="172" ht="18" customHeight="1">
      <x:c r="A172" s="1"/>
      <x:c r="B172" s="1"/>
      <x:c r="C172" s="1"/>
      <x:c r="D172" s="2"/>
      <x:c r="E172" s="2"/>
      <x:c r="F172" s="2"/>
      <x:c r="G172" s="2"/>
      <x:c r="H172" s="2"/>
      <x:c r="I172" s="2"/>
      <x:c r="J172" s="1"/>
      <x:c r="K172" s="1"/>
    </x:row>
    <x:row r="173" ht="18" customHeight="1">
      <x:c r="A173" s="1"/>
      <x:c r="B173" s="1"/>
      <x:c r="C173" s="1"/>
      <x:c r="D173" s="2"/>
      <x:c r="E173" s="2"/>
      <x:c r="F173" s="2"/>
      <x:c r="G173" s="2"/>
      <x:c r="H173" s="2"/>
      <x:c r="I173" s="2"/>
      <x:c r="J173" s="1"/>
      <x:c r="K173" s="1"/>
    </x:row>
    <x:row r="174" ht="18" customHeight="1">
      <x:c r="A174" s="1"/>
      <x:c r="B174" s="1"/>
      <x:c r="C174" s="1"/>
      <x:c r="D174" s="2"/>
      <x:c r="E174" s="2"/>
      <x:c r="F174" s="2"/>
      <x:c r="G174" s="2"/>
      <x:c r="H174" s="2"/>
      <x:c r="I174" s="2"/>
      <x:c r="J174" s="1"/>
      <x:c r="K174" s="1"/>
    </x:row>
    <x:row r="175" ht="18" customHeight="1">
      <x:c r="A175" s="1"/>
      <x:c r="B175" s="1"/>
      <x:c r="C175" s="1"/>
      <x:c r="D175" s="2"/>
      <x:c r="E175" s="2"/>
      <x:c r="F175" s="2"/>
      <x:c r="G175" s="2"/>
      <x:c r="H175" s="2"/>
      <x:c r="I175" s="2"/>
      <x:c r="J175" s="1"/>
      <x:c r="K175" s="1"/>
    </x:row>
    <x:row r="176" ht="18" customHeight="1">
      <x:c r="A176" s="1"/>
      <x:c r="B176" s="1"/>
      <x:c r="C176" s="1"/>
      <x:c r="D176" s="2"/>
      <x:c r="E176" s="2"/>
      <x:c r="F176" s="2"/>
      <x:c r="G176" s="2"/>
      <x:c r="H176" s="2"/>
      <x:c r="I176" s="2"/>
      <x:c r="J176" s="1"/>
      <x:c r="K176" s="1"/>
    </x:row>
    <x:row r="177" ht="18" customHeight="1">
      <x:c r="A177" s="1"/>
      <x:c r="B177" s="1"/>
      <x:c r="C177" s="1"/>
      <x:c r="D177" s="2"/>
      <x:c r="E177" s="2"/>
      <x:c r="F177" s="2"/>
      <x:c r="G177" s="2"/>
      <x:c r="H177" s="2"/>
      <x:c r="I177" s="2"/>
      <x:c r="J177" s="1"/>
      <x:c r="K177" s="1"/>
    </x:row>
    <x:row r="178" ht="18" customHeight="1">
      <x:c r="A178" s="1"/>
      <x:c r="B178" s="1"/>
      <x:c r="C178" s="1"/>
      <x:c r="D178" s="2"/>
      <x:c r="E178" s="2"/>
      <x:c r="F178" s="2"/>
      <x:c r="G178" s="2"/>
      <x:c r="H178" s="2"/>
      <x:c r="I178" s="2"/>
      <x:c r="J178" s="1"/>
      <x:c r="K178" s="1"/>
    </x:row>
    <x:row r="179" ht="18" customHeight="1">
      <x:c r="A179" s="1"/>
      <x:c r="B179" s="1"/>
      <x:c r="C179" s="1"/>
      <x:c r="D179" s="2"/>
      <x:c r="E179" s="2"/>
      <x:c r="F179" s="2"/>
      <x:c r="G179" s="2"/>
      <x:c r="H179" s="2"/>
      <x:c r="I179" s="2"/>
      <x:c r="J179" s="1"/>
      <x:c r="K179" s="1"/>
    </x:row>
    <x:row r="180" ht="18" customHeight="1">
      <x:c r="A180" s="1"/>
      <x:c r="B180" s="1"/>
      <x:c r="C180" s="1"/>
      <x:c r="D180" s="2"/>
      <x:c r="E180" s="2"/>
      <x:c r="F180" s="2"/>
      <x:c r="G180" s="2"/>
      <x:c r="H180" s="2"/>
      <x:c r="I180" s="2"/>
      <x:c r="J180" s="1"/>
      <x:c r="K180" s="1"/>
    </x:row>
    <x:row r="181" ht="18" customHeight="1">
      <x:c r="A181" s="1"/>
      <x:c r="B181" s="1"/>
      <x:c r="C181" s="1"/>
      <x:c r="D181" s="2"/>
      <x:c r="E181" s="2"/>
      <x:c r="F181" s="2"/>
      <x:c r="G181" s="2"/>
      <x:c r="H181" s="2"/>
      <x:c r="I181" s="2"/>
      <x:c r="J181" s="1"/>
      <x:c r="K181" s="1"/>
    </x:row>
    <x:row r="182" ht="18" customHeight="1">
      <x:c r="A182" s="1"/>
      <x:c r="B182" s="1"/>
      <x:c r="C182" s="1"/>
      <x:c r="D182" s="2"/>
      <x:c r="E182" s="2"/>
      <x:c r="F182" s="2"/>
      <x:c r="G182" s="2"/>
      <x:c r="H182" s="2"/>
      <x:c r="I182" s="2"/>
      <x:c r="J182" s="1"/>
      <x:c r="K182" s="1"/>
    </x:row>
    <x:row r="183" ht="18" customHeight="1">
      <x:c r="A183" s="1"/>
      <x:c r="B183" s="1"/>
      <x:c r="C183" s="1"/>
      <x:c r="D183" s="2"/>
      <x:c r="E183" s="2"/>
      <x:c r="F183" s="2"/>
      <x:c r="G183" s="2"/>
      <x:c r="H183" s="2"/>
      <x:c r="I183" s="2"/>
      <x:c r="J183" s="1"/>
      <x:c r="K183" s="1"/>
    </x:row>
    <x:row r="184" ht="18" customHeight="1">
      <x:c r="A184" s="1"/>
      <x:c r="B184" s="1"/>
      <x:c r="C184" s="1"/>
      <x:c r="D184" s="2"/>
      <x:c r="E184" s="2"/>
      <x:c r="F184" s="2"/>
      <x:c r="G184" s="2"/>
      <x:c r="H184" s="2"/>
      <x:c r="I184" s="2"/>
      <x:c r="J184" s="1"/>
      <x:c r="K184" s="1"/>
    </x:row>
    <x:row r="185" ht="18" customHeight="1">
      <x:c r="A185" s="1"/>
      <x:c r="B185" s="1"/>
      <x:c r="C185" s="1"/>
      <x:c r="D185" s="2"/>
      <x:c r="E185" s="2"/>
      <x:c r="F185" s="2"/>
      <x:c r="G185" s="2"/>
      <x:c r="H185" s="2"/>
      <x:c r="I185" s="2"/>
      <x:c r="J185" s="1"/>
      <x:c r="K185" s="1"/>
    </x:row>
    <x:row r="186" ht="18" customHeight="1">
      <x:c r="A186" s="1"/>
      <x:c r="B186" s="1"/>
      <x:c r="C186" s="1"/>
      <x:c r="D186" s="2"/>
      <x:c r="E186" s="2"/>
      <x:c r="F186" s="2"/>
      <x:c r="G186" s="2"/>
      <x:c r="H186" s="2"/>
      <x:c r="I186" s="2"/>
      <x:c r="J186" s="1"/>
      <x:c r="K186" s="1"/>
    </x:row>
    <x:row r="187" ht="18" customHeight="1">
      <x:c r="A187" s="1"/>
      <x:c r="B187" s="1"/>
      <x:c r="C187" s="1"/>
      <x:c r="D187" s="2"/>
      <x:c r="E187" s="2"/>
      <x:c r="F187" s="2"/>
      <x:c r="G187" s="2"/>
      <x:c r="H187" s="2"/>
      <x:c r="I187" s="2"/>
      <x:c r="J187" s="1"/>
      <x:c r="K187" s="1"/>
    </x:row>
    <x:row r="188" ht="18" customHeight="1">
      <x:c r="A188" s="1"/>
      <x:c r="B188" s="1"/>
      <x:c r="C188" s="1"/>
      <x:c r="D188" s="2"/>
      <x:c r="E188" s="2"/>
      <x:c r="F188" s="2"/>
      <x:c r="G188" s="2"/>
      <x:c r="H188" s="2"/>
      <x:c r="I188" s="2"/>
      <x:c r="J188" s="1"/>
      <x:c r="K188" s="1"/>
    </x:row>
    <x:row r="189" ht="18" customHeight="1">
      <x:c r="A189" s="1"/>
      <x:c r="B189" s="1"/>
      <x:c r="C189" s="1"/>
      <x:c r="D189" s="2"/>
      <x:c r="E189" s="2"/>
      <x:c r="F189" s="2"/>
      <x:c r="G189" s="2"/>
      <x:c r="H189" s="2"/>
      <x:c r="I189" s="2"/>
      <x:c r="J189" s="1"/>
      <x:c r="K189" s="1"/>
    </x:row>
    <x:row r="190" ht="18" customHeight="1">
      <x:c r="A190" s="1"/>
      <x:c r="B190" s="1"/>
      <x:c r="C190" s="1"/>
      <x:c r="D190" s="2"/>
      <x:c r="E190" s="2"/>
      <x:c r="F190" s="2"/>
      <x:c r="G190" s="2"/>
      <x:c r="H190" s="2"/>
      <x:c r="I190" s="2"/>
      <x:c r="J190" s="1"/>
      <x:c r="K190" s="1"/>
    </x:row>
    <x:row r="191" ht="18" customHeight="1">
      <x:c r="A191" s="1"/>
      <x:c r="B191" s="1"/>
      <x:c r="C191" s="1"/>
      <x:c r="D191" s="2"/>
      <x:c r="E191" s="2"/>
      <x:c r="F191" s="2"/>
      <x:c r="G191" s="2"/>
      <x:c r="H191" s="2"/>
      <x:c r="I191" s="2"/>
      <x:c r="J191" s="1"/>
      <x:c r="K191" s="1"/>
    </x:row>
    <x:row r="192" ht="18" customHeight="1">
      <x:c r="A192" s="1"/>
      <x:c r="B192" s="1"/>
      <x:c r="C192" s="1"/>
      <x:c r="D192" s="2"/>
      <x:c r="E192" s="2"/>
      <x:c r="F192" s="2"/>
      <x:c r="G192" s="2"/>
      <x:c r="H192" s="2"/>
      <x:c r="I192" s="2"/>
      <x:c r="J192" s="1"/>
      <x:c r="K192" s="1"/>
    </x:row>
    <x:row r="193" ht="18" customHeight="1">
      <x:c r="A193" s="1"/>
      <x:c r="B193" s="1"/>
      <x:c r="C193" s="1"/>
      <x:c r="D193" s="2"/>
      <x:c r="E193" s="2"/>
      <x:c r="F193" s="2"/>
      <x:c r="G193" s="2"/>
      <x:c r="H193" s="2"/>
      <x:c r="I193" s="2"/>
      <x:c r="J193" s="1"/>
      <x:c r="K193" s="1"/>
    </x:row>
    <x:row r="194" ht="18" customHeight="1">
      <x:c r="A194" s="1"/>
      <x:c r="B194" s="1"/>
      <x:c r="C194" s="1"/>
      <x:c r="D194" s="2"/>
      <x:c r="E194" s="2"/>
      <x:c r="F194" s="2"/>
      <x:c r="G194" s="2"/>
      <x:c r="H194" s="2"/>
      <x:c r="I194" s="2"/>
      <x:c r="J194" s="1"/>
      <x:c r="K194" s="1"/>
    </x:row>
    <x:row r="195" ht="18" customHeight="1">
      <x:c r="A195" s="1"/>
      <x:c r="B195" s="1"/>
      <x:c r="C195" s="1"/>
      <x:c r="D195" s="2"/>
      <x:c r="E195" s="2"/>
      <x:c r="F195" s="2"/>
      <x:c r="G195" s="2"/>
      <x:c r="H195" s="2"/>
      <x:c r="I195" s="2"/>
      <x:c r="J195" s="1"/>
      <x:c r="K195" s="1"/>
    </x:row>
    <x:row r="196" ht="18" customHeight="1">
      <x:c r="A196" s="1"/>
      <x:c r="B196" s="1"/>
      <x:c r="C196" s="1"/>
      <x:c r="D196" s="2"/>
      <x:c r="E196" s="2"/>
      <x:c r="F196" s="2"/>
      <x:c r="G196" s="2"/>
      <x:c r="H196" s="2"/>
      <x:c r="I196" s="2"/>
      <x:c r="J196" s="1"/>
      <x:c r="K196" s="1"/>
    </x:row>
    <x:row r="197" ht="18" customHeight="1">
      <x:c r="A197" s="1"/>
      <x:c r="B197" s="1"/>
      <x:c r="C197" s="1"/>
      <x:c r="D197" s="2"/>
      <x:c r="E197" s="2"/>
      <x:c r="F197" s="2"/>
      <x:c r="G197" s="2"/>
      <x:c r="H197" s="2"/>
      <x:c r="I197" s="2"/>
      <x:c r="J197" s="1"/>
      <x:c r="K197" s="1"/>
    </x:row>
    <x:row r="198" ht="18" customHeight="1">
      <x:c r="A198" s="1"/>
      <x:c r="B198" s="1"/>
      <x:c r="C198" s="1"/>
      <x:c r="D198" s="2"/>
      <x:c r="E198" s="2"/>
      <x:c r="F198" s="2"/>
      <x:c r="G198" s="2"/>
      <x:c r="H198" s="2"/>
      <x:c r="I198" s="2"/>
      <x:c r="J198" s="1"/>
      <x:c r="K198" s="1"/>
    </x:row>
    <x:row r="199" ht="18" customHeight="1">
      <x:c r="A199" s="1"/>
      <x:c r="B199" s="1"/>
      <x:c r="C199" s="1"/>
      <x:c r="D199" s="2"/>
      <x:c r="E199" s="2"/>
      <x:c r="F199" s="2"/>
      <x:c r="G199" s="2"/>
      <x:c r="H199" s="2"/>
      <x:c r="I199" s="2"/>
      <x:c r="J199" s="1"/>
      <x:c r="K199" s="1"/>
    </x:row>
    <x:row r="200" ht="18" customHeight="1">
      <x:c r="A200" s="1"/>
      <x:c r="B200" s="1"/>
      <x:c r="C200" s="1"/>
      <x:c r="D200" s="2"/>
      <x:c r="E200" s="2"/>
      <x:c r="F200" s="2"/>
      <x:c r="G200" s="2"/>
      <x:c r="H200" s="2"/>
      <x:c r="I200" s="2"/>
      <x:c r="J200" s="1"/>
      <x:c r="K200" s="1"/>
    </x:row>
    <x:row r="201" ht="18" customHeight="1">
      <x:c r="A201" s="1"/>
      <x:c r="B201" s="1"/>
      <x:c r="C201" s="1"/>
      <x:c r="D201" s="2"/>
      <x:c r="E201" s="2"/>
      <x:c r="F201" s="2"/>
      <x:c r="G201" s="2"/>
      <x:c r="H201" s="2"/>
      <x:c r="I201" s="2"/>
      <x:c r="J201" s="1"/>
      <x:c r="K201" s="1"/>
    </x:row>
    <x:row r="202" ht="18" customHeight="1">
      <x:c r="A202" s="1"/>
      <x:c r="B202" s="1"/>
      <x:c r="C202" s="1"/>
      <x:c r="D202" s="2"/>
      <x:c r="E202" s="2"/>
      <x:c r="F202" s="2"/>
      <x:c r="G202" s="2"/>
      <x:c r="H202" s="2"/>
      <x:c r="I202" s="2"/>
      <x:c r="J202" s="1"/>
      <x:c r="K202" s="1"/>
    </x:row>
    <x:row r="203" ht="18" customHeight="1">
      <x:c r="A203" s="1"/>
      <x:c r="B203" s="1"/>
      <x:c r="C203" s="1"/>
      <x:c r="D203" s="2"/>
      <x:c r="E203" s="2"/>
      <x:c r="F203" s="2"/>
      <x:c r="G203" s="2"/>
      <x:c r="H203" s="2"/>
      <x:c r="I203" s="2"/>
      <x:c r="J203" s="1"/>
      <x:c r="K203" s="1"/>
    </x:row>
    <x:row r="204" ht="18" customHeight="1">
      <x:c r="A204" s="1"/>
      <x:c r="B204" s="1"/>
      <x:c r="C204" s="1"/>
      <x:c r="D204" s="2"/>
      <x:c r="E204" s="2"/>
      <x:c r="F204" s="2"/>
      <x:c r="G204" s="2"/>
      <x:c r="H204" s="2"/>
      <x:c r="I204" s="2"/>
      <x:c r="J204" s="1"/>
      <x:c r="K204" s="1"/>
    </x:row>
    <x:row r="205" ht="18" customHeight="1">
      <x:c r="A205" s="1"/>
      <x:c r="B205" s="1"/>
      <x:c r="C205" s="1"/>
      <x:c r="D205" s="2"/>
      <x:c r="E205" s="2"/>
      <x:c r="F205" s="2"/>
      <x:c r="G205" s="2"/>
      <x:c r="H205" s="2"/>
      <x:c r="I205" s="2"/>
      <x:c r="J205" s="1"/>
      <x:c r="K205" s="1"/>
    </x:row>
    <x:row r="206" ht="18" customHeight="1">
      <x:c r="A206" s="1"/>
      <x:c r="B206" s="1"/>
      <x:c r="C206" s="1"/>
      <x:c r="D206" s="2"/>
      <x:c r="E206" s="2"/>
      <x:c r="F206" s="2"/>
      <x:c r="G206" s="2"/>
      <x:c r="H206" s="2"/>
      <x:c r="I206" s="2"/>
      <x:c r="J206" s="1"/>
      <x:c r="K206" s="1"/>
    </x:row>
    <x:row r="207" ht="18" customHeight="1">
      <x:c r="A207" s="1"/>
      <x:c r="B207" s="1"/>
      <x:c r="C207" s="1"/>
      <x:c r="D207" s="2"/>
      <x:c r="E207" s="2"/>
      <x:c r="F207" s="2"/>
      <x:c r="G207" s="2"/>
      <x:c r="H207" s="2"/>
      <x:c r="I207" s="2"/>
      <x:c r="J207" s="1"/>
      <x:c r="K207" s="1"/>
    </x:row>
    <x:row r="208" ht="18" customHeight="1">
      <x:c r="A208" s="1"/>
      <x:c r="B208" s="1"/>
      <x:c r="C208" s="1"/>
      <x:c r="D208" s="2"/>
      <x:c r="E208" s="2"/>
      <x:c r="F208" s="2"/>
      <x:c r="G208" s="2"/>
      <x:c r="H208" s="2"/>
      <x:c r="I208" s="2"/>
      <x:c r="J208" s="1"/>
      <x:c r="K208" s="1"/>
    </x:row>
    <x:row r="209" ht="18" customHeight="1">
      <x:c r="A209" s="1"/>
      <x:c r="B209" s="1"/>
      <x:c r="C209" s="1"/>
      <x:c r="D209" s="2"/>
      <x:c r="E209" s="2"/>
      <x:c r="F209" s="2"/>
      <x:c r="G209" s="2"/>
      <x:c r="H209" s="2"/>
      <x:c r="I209" s="2"/>
      <x:c r="J209" s="1"/>
      <x:c r="K209" s="1"/>
    </x:row>
    <x:row r="210" ht="18" customHeight="1">
      <x:c r="A210" s="1"/>
      <x:c r="B210" s="1"/>
      <x:c r="C210" s="1"/>
      <x:c r="D210" s="2"/>
      <x:c r="E210" s="2"/>
      <x:c r="F210" s="2"/>
      <x:c r="G210" s="2"/>
      <x:c r="H210" s="2"/>
      <x:c r="I210" s="2"/>
      <x:c r="J210" s="1"/>
      <x:c r="K210" s="1"/>
    </x:row>
  </x:sheetData>
  <x:conditionalFormatting sqref="E71:I71">
    <x:cfRule type="expression" dxfId="71" priority="1">
      <x:formula>ABS(E71)&gt;0.01</x:formula>
    </x:cfRule>
  </x:conditionalFormatting>
  <x:conditionalFormatting sqref="E72:I72">
    <x:cfRule type="expression" dxfId="72" priority="2">
      <x:formula>ABS(E72)&gt;0.01</x:formula>
    </x:cfRule>
  </x:conditionalFormatting>
  <x:conditionalFormatting sqref="E73:I73">
    <x:cfRule type="expression" dxfId="73" priority="3">
      <x:formula>ABS(E73)&gt;0.01</x:formula>
    </x:cfRule>
  </x:conditionalFormatting>
  <x:conditionalFormatting sqref="E74:I74">
    <x:cfRule type="expression" dxfId="74" priority="4">
      <x:formula>ABS(E74)&gt;0.01</x:formula>
    </x:cfRule>
  </x:conditionalFormatting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3" hidden="0" customWidth="1"/>
    <x:col min="4" max="4" width="40" hidden="0" customWidth="1"/>
    <x:col min="5" max="5" width="62" hidden="0" customWidth="1"/>
    <x:col min="6" max="6" width="72" hidden="0" customWidth="1"/>
    <x:col min="7" max="7" width="34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Sector KPI definitions and interpretation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/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/>
      <x:c r="D5" s="2"/>
      <x:c r="E5" s="2"/>
      <x:c r="F5" s="2"/>
      <x:c r="G5" s="2"/>
      <x:c r="H5" s="2"/>
      <x:c r="I5" s="2"/>
      <x:c r="J5" s="1"/>
      <x:c r="K5" s="1"/>
    </x:row>
    <x:row r="6" ht="18" customHeight="1">
      <x:c r="A6" s="1"/>
      <x:c r="B6" s="1"/>
      <x:c r="C6" s="42" t="str">
        <x:v>Sector</x:v>
      </x:c>
      <x:c r="D6" s="43" t="str">
        <x:v>KPI</x:v>
      </x:c>
      <x:c r="E6" s="43" t="str">
        <x:v>Definition used in workbook</x:v>
      </x:c>
      <x:c r="F6" s="43" t="str">
        <x:v>Interpretation and comparability</x:v>
      </x:c>
      <x:c r="G6" s="43" t="str">
        <x:v>Calculation range</x:v>
      </x:c>
      <x:c r="H6" s="2"/>
      <x:c r="I6" s="2"/>
      <x:c r="J6" s="1"/>
      <x:c r="K6" s="1"/>
    </x:row>
    <x:row r="7" ht="32" customHeight="1">
      <x:c r="A7" s="1"/>
      <x:c r="B7" s="1"/>
      <x:c r="C7" s="1" t="str">
        <x:v>IT Services</x:v>
      </x:c>
      <x:c r="D7" s="54" t="str">
        <x:v>Gross margin</x:v>
      </x:c>
      <x:c r="E7" s="54" t="str">
        <x:v>Gross profit / revenue</x:v>
      </x:c>
      <x:c r="F7" s="54" t="str">
        <x:v>Compare cost definitions before using peer benchmarks.</x:v>
      </x:c>
      <x:c r="G7" s="2" t="str">
        <x:v>IT Services!E79:I79</x:v>
      </x:c>
      <x:c r="H7" s="2"/>
      <x:c r="I7" s="2"/>
      <x:c r="J7" s="1"/>
      <x:c r="K7" s="1"/>
    </x:row>
    <x:row r="8" ht="32" customHeight="1">
      <x:c r="A8" s="1"/>
      <x:c r="B8" s="1"/>
      <x:c r="C8" s="1" t="str">
        <x:v>IT Services</x:v>
      </x:c>
      <x:c r="D8" s="54" t="str">
        <x:v>EBITDA margin</x:v>
      </x:c>
      <x:c r="E8" s="54" t="str">
        <x:v>EBITDA / revenue</x:v>
      </x:c>
      <x:c r="F8" s="54" t="str">
        <x:v>Pre-lease capitalization where rent is an operating expense.</x:v>
      </x:c>
      <x:c r="G8" s="2" t="str">
        <x:v>IT Services!E80:I80</x:v>
      </x:c>
      <x:c r="H8" s="2"/>
      <x:c r="I8" s="2"/>
      <x:c r="J8" s="1"/>
      <x:c r="K8" s="1"/>
    </x:row>
    <x:row r="9" ht="32" customHeight="1">
      <x:c r="A9" s="1"/>
      <x:c r="B9" s="1"/>
      <x:c r="C9" s="1" t="str">
        <x:v>IT Services</x:v>
      </x:c>
      <x:c r="D9" s="54" t="str">
        <x:v>Net margin</x:v>
      </x:c>
      <x:c r="E9" s="54" t="str">
        <x:v>PAT / revenue</x:v>
      </x:c>
      <x:c r="F9" s="54" t="str">
        <x:v>Includes modeled financing cost.</x:v>
      </x:c>
      <x:c r="G9" s="2" t="str">
        <x:v>IT Services!E81:I81</x:v>
      </x:c>
      <x:c r="H9" s="2"/>
      <x:c r="I9" s="2"/>
      <x:c r="J9" s="1"/>
      <x:c r="K9" s="1"/>
    </x:row>
    <x:row r="10" ht="32" customHeight="1">
      <x:c r="A10" s="1"/>
      <x:c r="B10" s="1"/>
      <x:c r="C10" s="1" t="str">
        <x:v>IT Services</x:v>
      </x:c>
      <x:c r="D10" s="54" t="str">
        <x:v>Operating cash conversion</x:v>
      </x:c>
      <x:c r="E10" s="54" t="str">
        <x:v>Operating cash flow after interest / EBITDA</x:v>
      </x:c>
      <x:c r="F10" s="54" t="str">
        <x:v>Tax, interest and working capital cause divergence.</x:v>
      </x:c>
      <x:c r="G10" s="2" t="str">
        <x:v>IT Services!E82:I82</x:v>
      </x:c>
      <x:c r="H10" s="2"/>
      <x:c r="I10" s="2"/>
      <x:c r="J10" s="1"/>
      <x:c r="K10" s="1"/>
    </x:row>
    <x:row r="11" ht="32" customHeight="1">
      <x:c r="A11" s="1"/>
      <x:c r="B11" s="1"/>
      <x:c r="C11" s="1" t="str">
        <x:v>IT Services</x:v>
      </x:c>
      <x:c r="D11" s="54" t="str">
        <x:v>Cash conversion cycle (days)</x:v>
      </x:c>
      <x:c r="E11" s="54" t="str">
        <x:v>Receivable days + inventory days − payable days</x:v>
      </x:c>
      <x:c r="F11" s="54" t="str">
        <x:v>Inventory and payable days use direct cost.</x:v>
      </x:c>
      <x:c r="G11" s="2" t="str">
        <x:v>IT Services!E83:I83</x:v>
      </x:c>
      <x:c r="H11" s="2"/>
      <x:c r="I11" s="2"/>
      <x:c r="J11" s="1"/>
      <x:c r="K11" s="1"/>
    </x:row>
    <x:row r="12" ht="32" customHeight="1">
      <x:c r="A12" s="1"/>
      <x:c r="B12" s="1"/>
      <x:c r="C12" s="1" t="str">
        <x:v>IT Services</x:v>
      </x:c>
      <x:c r="D12" s="54" t="str">
        <x:v>Net debt / EBITDA</x:v>
      </x:c>
      <x:c r="E12" s="54" t="str">
        <x:v>(Debt − cash) / EBITDA</x:v>
      </x:c>
      <x:c r="F12" s="54" t="str">
        <x:v>Negative ratio indicates net cash; negative cash is a funding gap.</x:v>
      </x:c>
      <x:c r="G12" s="2" t="str">
        <x:v>IT Services!E84:I84</x:v>
      </x:c>
      <x:c r="H12" s="2"/>
      <x:c r="I12" s="2"/>
      <x:c r="J12" s="1"/>
      <x:c r="K12" s="1"/>
    </x:row>
    <x:row r="13" ht="32" customHeight="1">
      <x:c r="A13" s="1"/>
      <x:c r="B13" s="1"/>
      <x:c r="C13" s="1" t="str">
        <x:v>IT Services</x:v>
      </x:c>
      <x:c r="D13" s="54" t="str">
        <x:v>EBIT / interest</x:v>
      </x:c>
      <x:c r="E13" s="54" t="str">
        <x:v>EBIT / interest expense</x:v>
      </x:c>
      <x:c r="F13" s="54" t="str">
        <x:v>Does not measure principal repayment capacity.</x:v>
      </x:c>
      <x:c r="G13" s="2" t="str">
        <x:v>IT Services!E85:I85</x:v>
      </x:c>
      <x:c r="H13" s="2"/>
      <x:c r="I13" s="2"/>
      <x:c r="J13" s="1"/>
      <x:c r="K13" s="1"/>
    </x:row>
    <x:row r="14" ht="32" customHeight="1">
      <x:c r="A14" s="1"/>
      <x:c r="B14" s="1"/>
      <x:c r="C14" s="1" t="str">
        <x:v>IT Services</x:v>
      </x:c>
      <x:c r="D14" s="54" t="str">
        <x:v>ROIC on average invested capital</x:v>
      </x:c>
      <x:c r="E14" s="54" t="str">
        <x:v>NOPAT / average (net PP&amp;E + net working capital)</x:v>
      </x:c>
      <x:c r="F14" s="54" t="str">
        <x:v>Excludes goodwill, leases and non-operating assets.</x:v>
      </x:c>
      <x:c r="G14" s="2" t="str">
        <x:v>IT Services!E86:I86</x:v>
      </x:c>
      <x:c r="H14" s="2"/>
      <x:c r="I14" s="2"/>
      <x:c r="J14" s="1"/>
      <x:c r="K14" s="1"/>
    </x:row>
    <x:row r="15" ht="32" customHeight="1">
      <x:c r="A15" s="1"/>
      <x:c r="B15" s="1"/>
      <x:c r="C15" s="1" t="str">
        <x:v>IT Services</x:v>
      </x:c>
      <x:c r="D15" s="54" t="str">
        <x:v>Revenue per delivery FTE (INR lakh)</x:v>
      </x:c>
      <x:c r="E15" s="54" t="str">
        <x:v>Revenue / average delivery FTE</x:v>
      </x:c>
      <x:c r="F15" s="54" t="str">
        <x:v>Excludes non-delivery employees from denominator.</x:v>
      </x:c>
      <x:c r="G15" s="2" t="str">
        <x:v>IT Services!E87:I87</x:v>
      </x:c>
      <x:c r="H15" s="2"/>
      <x:c r="I15" s="2"/>
      <x:c r="J15" s="1"/>
      <x:c r="K15" s="1"/>
    </x:row>
    <x:row r="16" ht="32" customHeight="1">
      <x:c r="A16" s="1"/>
      <x:c r="B16" s="1"/>
      <x:c r="C16" s="1" t="str">
        <x:v>FMCG</x:v>
      </x:c>
      <x:c r="D16" s="54" t="str">
        <x:v>Gross margin</x:v>
      </x:c>
      <x:c r="E16" s="54" t="str">
        <x:v>Gross profit / revenue</x:v>
      </x:c>
      <x:c r="F16" s="54" t="str">
        <x:v>Compare cost definitions before using peer benchmarks.</x:v>
      </x:c>
      <x:c r="G16" s="2" t="str">
        <x:v>FMCG!E79:I79</x:v>
      </x:c>
      <x:c r="H16" s="2"/>
      <x:c r="I16" s="2"/>
      <x:c r="J16" s="1"/>
      <x:c r="K16" s="1"/>
    </x:row>
    <x:row r="17" ht="32" customHeight="1">
      <x:c r="A17" s="1"/>
      <x:c r="B17" s="1"/>
      <x:c r="C17" s="1" t="str">
        <x:v>FMCG</x:v>
      </x:c>
      <x:c r="D17" s="54" t="str">
        <x:v>EBITDA margin</x:v>
      </x:c>
      <x:c r="E17" s="54" t="str">
        <x:v>EBITDA / revenue</x:v>
      </x:c>
      <x:c r="F17" s="54" t="str">
        <x:v>Pre-lease capitalization where rent is an operating expense.</x:v>
      </x:c>
      <x:c r="G17" s="2" t="str">
        <x:v>FMCG!E80:I80</x:v>
      </x:c>
      <x:c r="H17" s="2"/>
      <x:c r="I17" s="2"/>
      <x:c r="J17" s="1"/>
      <x:c r="K17" s="1"/>
    </x:row>
    <x:row r="18" ht="32" customHeight="1">
      <x:c r="A18" s="1"/>
      <x:c r="B18" s="1"/>
      <x:c r="C18" s="1" t="str">
        <x:v>FMCG</x:v>
      </x:c>
      <x:c r="D18" s="54" t="str">
        <x:v>Net margin</x:v>
      </x:c>
      <x:c r="E18" s="54" t="str">
        <x:v>PAT / revenue</x:v>
      </x:c>
      <x:c r="F18" s="54" t="str">
        <x:v>Includes modeled financing cost.</x:v>
      </x:c>
      <x:c r="G18" s="2" t="str">
        <x:v>FMCG!E81:I81</x:v>
      </x:c>
      <x:c r="H18" s="2"/>
      <x:c r="I18" s="2"/>
      <x:c r="J18" s="1"/>
      <x:c r="K18" s="1"/>
    </x:row>
    <x:row r="19" ht="32" customHeight="1">
      <x:c r="A19" s="1"/>
      <x:c r="B19" s="1"/>
      <x:c r="C19" s="1" t="str">
        <x:v>FMCG</x:v>
      </x:c>
      <x:c r="D19" s="54" t="str">
        <x:v>Operating cash conversion</x:v>
      </x:c>
      <x:c r="E19" s="54" t="str">
        <x:v>Operating cash flow after interest / EBITDA</x:v>
      </x:c>
      <x:c r="F19" s="54" t="str">
        <x:v>Tax, interest and working capital cause divergence.</x:v>
      </x:c>
      <x:c r="G19" s="2" t="str">
        <x:v>FMCG!E82:I82</x:v>
      </x:c>
      <x:c r="H19" s="2"/>
      <x:c r="I19" s="2"/>
      <x:c r="J19" s="1"/>
      <x:c r="K19" s="1"/>
    </x:row>
    <x:row r="20" ht="32" customHeight="1">
      <x:c r="A20" s="1"/>
      <x:c r="B20" s="1"/>
      <x:c r="C20" s="1" t="str">
        <x:v>FMCG</x:v>
      </x:c>
      <x:c r="D20" s="54" t="str">
        <x:v>Cash conversion cycle (days)</x:v>
      </x:c>
      <x:c r="E20" s="54" t="str">
        <x:v>Receivable days + inventory days − payable days</x:v>
      </x:c>
      <x:c r="F20" s="54" t="str">
        <x:v>Inventory and payable days use direct cost.</x:v>
      </x:c>
      <x:c r="G20" s="2" t="str">
        <x:v>FMCG!E83:I83</x:v>
      </x:c>
      <x:c r="H20" s="2"/>
      <x:c r="I20" s="2"/>
      <x:c r="J20" s="1"/>
      <x:c r="K20" s="1"/>
    </x:row>
    <x:row r="21" ht="32" customHeight="1">
      <x:c r="A21" s="1"/>
      <x:c r="B21" s="1"/>
      <x:c r="C21" s="1" t="str">
        <x:v>FMCG</x:v>
      </x:c>
      <x:c r="D21" s="54" t="str">
        <x:v>Net debt / EBITDA</x:v>
      </x:c>
      <x:c r="E21" s="54" t="str">
        <x:v>(Debt − cash) / EBITDA</x:v>
      </x:c>
      <x:c r="F21" s="54" t="str">
        <x:v>Negative ratio indicates net cash; negative cash is a funding gap.</x:v>
      </x:c>
      <x:c r="G21" s="2" t="str">
        <x:v>FMCG!E84:I84</x:v>
      </x:c>
      <x:c r="H21" s="2"/>
      <x:c r="I21" s="2"/>
      <x:c r="J21" s="1"/>
      <x:c r="K21" s="1"/>
    </x:row>
    <x:row r="22" ht="32" customHeight="1">
      <x:c r="A22" s="1"/>
      <x:c r="B22" s="1"/>
      <x:c r="C22" s="1" t="str">
        <x:v>FMCG</x:v>
      </x:c>
      <x:c r="D22" s="54" t="str">
        <x:v>EBIT / interest</x:v>
      </x:c>
      <x:c r="E22" s="54" t="str">
        <x:v>EBIT / interest expense</x:v>
      </x:c>
      <x:c r="F22" s="54" t="str">
        <x:v>Does not measure principal repayment capacity.</x:v>
      </x:c>
      <x:c r="G22" s="2" t="str">
        <x:v>FMCG!E85:I85</x:v>
      </x:c>
      <x:c r="H22" s="2"/>
      <x:c r="I22" s="2"/>
      <x:c r="J22" s="1"/>
      <x:c r="K22" s="1"/>
    </x:row>
    <x:row r="23" ht="32" customHeight="1">
      <x:c r="A23" s="1"/>
      <x:c r="B23" s="1"/>
      <x:c r="C23" s="1" t="str">
        <x:v>FMCG</x:v>
      </x:c>
      <x:c r="D23" s="54" t="str">
        <x:v>ROIC on average invested capital</x:v>
      </x:c>
      <x:c r="E23" s="54" t="str">
        <x:v>NOPAT / average (net PP&amp;E + net working capital)</x:v>
      </x:c>
      <x:c r="F23" s="54" t="str">
        <x:v>Excludes goodwill, leases and non-operating assets.</x:v>
      </x:c>
      <x:c r="G23" s="2" t="str">
        <x:v>FMCG!E86:I86</x:v>
      </x:c>
      <x:c r="H23" s="2"/>
      <x:c r="I23" s="2"/>
      <x:c r="J23" s="1"/>
      <x:c r="K23" s="1"/>
    </x:row>
    <x:row r="24" ht="32" customHeight="1">
      <x:c r="A24" s="1"/>
      <x:c r="B24" s="1"/>
      <x:c r="C24" s="1" t="str">
        <x:v>FMCG</x:v>
      </x:c>
      <x:c r="D24" s="54" t="str">
        <x:v>Gross profit per unit (INR)</x:v>
      </x:c>
      <x:c r="E24" s="54" t="str">
        <x:v>Gross profit / equivalent units sold</x:v>
      </x:c>
      <x:c r="F24" s="54" t="str">
        <x:v>Reconcile pack sizes and product mix before peer comparison.</x:v>
      </x:c>
      <x:c r="G24" s="2" t="str">
        <x:v>FMCG!E87:I87</x:v>
      </x:c>
      <x:c r="H24" s="2"/>
      <x:c r="I24" s="2"/>
      <x:c r="J24" s="1"/>
      <x:c r="K24" s="1"/>
    </x:row>
    <x:row r="25" ht="32" customHeight="1">
      <x:c r="A25" s="1"/>
      <x:c r="B25" s="1"/>
      <x:c r="C25" s="1" t="str">
        <x:v>FMCG</x:v>
      </x:c>
      <x:c r="D25" s="54" t="str">
        <x:v>Inventory turns</x:v>
      </x:c>
      <x:c r="E25" s="54" t="str">
        <x:v>Annual direct cost / closing inventory</x:v>
      </x:c>
      <x:c r="F25" s="54" t="str">
        <x:v>Uses closing inventory, not average inventory.</x:v>
      </x:c>
      <x:c r="G25" s="2" t="str">
        <x:v>FMCG!E88:I88</x:v>
      </x:c>
      <x:c r="H25" s="2"/>
      <x:c r="I25" s="2"/>
      <x:c r="J25" s="1"/>
      <x:c r="K25" s="1"/>
    </x:row>
    <x:row r="26" ht="32" customHeight="1">
      <x:c r="A26" s="1"/>
      <x:c r="B26" s="1"/>
      <x:c r="C26" s="1" t="str">
        <x:v>Automobiles</x:v>
      </x:c>
      <x:c r="D26" s="54" t="str">
        <x:v>Gross margin</x:v>
      </x:c>
      <x:c r="E26" s="54" t="str">
        <x:v>Gross profit / revenue</x:v>
      </x:c>
      <x:c r="F26" s="54" t="str">
        <x:v>Compare cost definitions before using peer benchmarks.</x:v>
      </x:c>
      <x:c r="G26" s="2" t="str">
        <x:v>Automobiles!E79:I79</x:v>
      </x:c>
      <x:c r="H26" s="2"/>
      <x:c r="I26" s="2"/>
      <x:c r="J26" s="1"/>
      <x:c r="K26" s="1"/>
    </x:row>
    <x:row r="27" ht="32" customHeight="1">
      <x:c r="A27" s="1"/>
      <x:c r="B27" s="1"/>
      <x:c r="C27" s="1" t="str">
        <x:v>Automobiles</x:v>
      </x:c>
      <x:c r="D27" s="54" t="str">
        <x:v>EBITDA margin</x:v>
      </x:c>
      <x:c r="E27" s="54" t="str">
        <x:v>EBITDA / revenue</x:v>
      </x:c>
      <x:c r="F27" s="54" t="str">
        <x:v>Pre-lease capitalization where rent is an operating expense.</x:v>
      </x:c>
      <x:c r="G27" s="2" t="str">
        <x:v>Automobiles!E80:I80</x:v>
      </x:c>
      <x:c r="H27" s="2"/>
      <x:c r="I27" s="2"/>
      <x:c r="J27" s="1"/>
      <x:c r="K27" s="1"/>
    </x:row>
    <x:row r="28" ht="32" customHeight="1">
      <x:c r="A28" s="1"/>
      <x:c r="B28" s="1"/>
      <x:c r="C28" s="1" t="str">
        <x:v>Automobiles</x:v>
      </x:c>
      <x:c r="D28" s="54" t="str">
        <x:v>Net margin</x:v>
      </x:c>
      <x:c r="E28" s="54" t="str">
        <x:v>PAT / revenue</x:v>
      </x:c>
      <x:c r="F28" s="54" t="str">
        <x:v>Includes modeled financing cost.</x:v>
      </x:c>
      <x:c r="G28" s="2" t="str">
        <x:v>Automobiles!E81:I81</x:v>
      </x:c>
      <x:c r="H28" s="2"/>
      <x:c r="I28" s="2"/>
      <x:c r="J28" s="1"/>
      <x:c r="K28" s="1"/>
    </x:row>
    <x:row r="29" ht="32" customHeight="1">
      <x:c r="A29" s="1"/>
      <x:c r="B29" s="1"/>
      <x:c r="C29" s="1" t="str">
        <x:v>Automobiles</x:v>
      </x:c>
      <x:c r="D29" s="54" t="str">
        <x:v>Operating cash conversion</x:v>
      </x:c>
      <x:c r="E29" s="54" t="str">
        <x:v>Operating cash flow after interest / EBITDA</x:v>
      </x:c>
      <x:c r="F29" s="54" t="str">
        <x:v>Tax, interest and working capital cause divergence.</x:v>
      </x:c>
      <x:c r="G29" s="2" t="str">
        <x:v>Automobiles!E82:I82</x:v>
      </x:c>
      <x:c r="H29" s="2"/>
      <x:c r="I29" s="2"/>
      <x:c r="J29" s="1"/>
      <x:c r="K29" s="1"/>
    </x:row>
    <x:row r="30" ht="32" customHeight="1">
      <x:c r="A30" s="1"/>
      <x:c r="B30" s="1"/>
      <x:c r="C30" s="1" t="str">
        <x:v>Automobiles</x:v>
      </x:c>
      <x:c r="D30" s="54" t="str">
        <x:v>Cash conversion cycle (days)</x:v>
      </x:c>
      <x:c r="E30" s="54" t="str">
        <x:v>Receivable days + inventory days − payable days</x:v>
      </x:c>
      <x:c r="F30" s="54" t="str">
        <x:v>Inventory and payable days use direct cost.</x:v>
      </x:c>
      <x:c r="G30" s="2" t="str">
        <x:v>Automobiles!E83:I83</x:v>
      </x:c>
      <x:c r="H30" s="2"/>
      <x:c r="I30" s="2"/>
      <x:c r="J30" s="1"/>
      <x:c r="K30" s="1"/>
    </x:row>
    <x:row r="31" ht="32" customHeight="1">
      <x:c r="A31" s="1"/>
      <x:c r="B31" s="1"/>
      <x:c r="C31" s="1" t="str">
        <x:v>Automobiles</x:v>
      </x:c>
      <x:c r="D31" s="54" t="str">
        <x:v>Net debt / EBITDA</x:v>
      </x:c>
      <x:c r="E31" s="54" t="str">
        <x:v>(Debt − cash) / EBITDA</x:v>
      </x:c>
      <x:c r="F31" s="54" t="str">
        <x:v>Negative ratio indicates net cash; negative cash is a funding gap.</x:v>
      </x:c>
      <x:c r="G31" s="2" t="str">
        <x:v>Automobiles!E84:I84</x:v>
      </x:c>
      <x:c r="H31" s="2"/>
      <x:c r="I31" s="2"/>
      <x:c r="J31" s="1"/>
      <x:c r="K31" s="1"/>
    </x:row>
    <x:row r="32" ht="32" customHeight="1">
      <x:c r="A32" s="1"/>
      <x:c r="B32" s="1"/>
      <x:c r="C32" s="1" t="str">
        <x:v>Automobiles</x:v>
      </x:c>
      <x:c r="D32" s="54" t="str">
        <x:v>EBIT / interest</x:v>
      </x:c>
      <x:c r="E32" s="54" t="str">
        <x:v>EBIT / interest expense</x:v>
      </x:c>
      <x:c r="F32" s="54" t="str">
        <x:v>Does not measure principal repayment capacity.</x:v>
      </x:c>
      <x:c r="G32" s="2" t="str">
        <x:v>Automobiles!E85:I85</x:v>
      </x:c>
      <x:c r="H32" s="2"/>
      <x:c r="I32" s="2"/>
      <x:c r="J32" s="1"/>
      <x:c r="K32" s="1"/>
    </x:row>
    <x:row r="33" ht="32" customHeight="1">
      <x:c r="A33" s="1"/>
      <x:c r="B33" s="1"/>
      <x:c r="C33" s="1" t="str">
        <x:v>Automobiles</x:v>
      </x:c>
      <x:c r="D33" s="54" t="str">
        <x:v>ROIC on average invested capital</x:v>
      </x:c>
      <x:c r="E33" s="54" t="str">
        <x:v>NOPAT / average (net PP&amp;E + net working capital)</x:v>
      </x:c>
      <x:c r="F33" s="54" t="str">
        <x:v>Excludes goodwill, leases and non-operating assets.</x:v>
      </x:c>
      <x:c r="G33" s="2" t="str">
        <x:v>Automobiles!E86:I86</x:v>
      </x:c>
      <x:c r="H33" s="2"/>
      <x:c r="I33" s="2"/>
      <x:c r="J33" s="1"/>
      <x:c r="K33" s="1"/>
    </x:row>
    <x:row r="34" ht="32" customHeight="1">
      <x:c r="A34" s="1"/>
      <x:c r="B34" s="1"/>
      <x:c r="C34" s="1" t="str">
        <x:v>Automobiles</x:v>
      </x:c>
      <x:c r="D34" s="54" t="str">
        <x:v>EBITDA per vehicle (INR)</x:v>
      </x:c>
      <x:c r="E34" s="54" t="str">
        <x:v>EBITDA / wholesale vehicle units</x:v>
      </x:c>
      <x:c r="F34" s="54" t="str">
        <x:v>A higher realization can be offset by materials and mix costs.</x:v>
      </x:c>
      <x:c r="G34" s="2" t="str">
        <x:v>Automobiles!E87:I87</x:v>
      </x:c>
      <x:c r="H34" s="2"/>
      <x:c r="I34" s="2"/>
      <x:c r="J34" s="1"/>
      <x:c r="K34" s="1"/>
    </x:row>
    <x:row r="35" ht="32" customHeight="1">
      <x:c r="A35" s="1"/>
      <x:c r="B35" s="1"/>
      <x:c r="C35" s="1" t="str">
        <x:v>Automobiles</x:v>
      </x:c>
      <x:c r="D35" s="54" t="str">
        <x:v>Capex per vehicle (INR)</x:v>
      </x:c>
      <x:c r="E35" s="54" t="str">
        <x:v>Cash capital expenditure / wholesale units</x:v>
      </x:c>
      <x:c r="F35" s="54" t="str">
        <x:v>Capacity capex and product development are combined.</x:v>
      </x:c>
      <x:c r="G35" s="2" t="str">
        <x:v>Automobiles!E88:I88</x:v>
      </x:c>
      <x:c r="H35" s="2"/>
      <x:c r="I35" s="2"/>
      <x:c r="J35" s="1"/>
      <x:c r="K35" s="1"/>
    </x:row>
    <x:row r="36" ht="32" customHeight="1">
      <x:c r="A36" s="1"/>
      <x:c r="B36" s="1"/>
      <x:c r="C36" s="1" t="str">
        <x:v>Cement</x:v>
      </x:c>
      <x:c r="D36" s="54" t="str">
        <x:v>Gross margin</x:v>
      </x:c>
      <x:c r="E36" s="54" t="str">
        <x:v>Gross profit / revenue</x:v>
      </x:c>
      <x:c r="F36" s="54" t="str">
        <x:v>Compare cost definitions before using peer benchmarks.</x:v>
      </x:c>
      <x:c r="G36" s="2" t="str">
        <x:v>Cement!E79:I79</x:v>
      </x:c>
      <x:c r="H36" s="2"/>
      <x:c r="I36" s="2"/>
      <x:c r="J36" s="1"/>
      <x:c r="K36" s="1"/>
    </x:row>
    <x:row r="37" ht="32" customHeight="1">
      <x:c r="A37" s="1"/>
      <x:c r="B37" s="1"/>
      <x:c r="C37" s="1" t="str">
        <x:v>Cement</x:v>
      </x:c>
      <x:c r="D37" s="54" t="str">
        <x:v>EBITDA margin</x:v>
      </x:c>
      <x:c r="E37" s="54" t="str">
        <x:v>EBITDA / revenue</x:v>
      </x:c>
      <x:c r="F37" s="54" t="str">
        <x:v>Pre-lease capitalization where rent is an operating expense.</x:v>
      </x:c>
      <x:c r="G37" s="2" t="str">
        <x:v>Cement!E80:I80</x:v>
      </x:c>
      <x:c r="H37" s="2"/>
      <x:c r="I37" s="2"/>
      <x:c r="J37" s="1"/>
      <x:c r="K37" s="1"/>
    </x:row>
    <x:row r="38" ht="32" customHeight="1">
      <x:c r="A38" s="1"/>
      <x:c r="B38" s="1"/>
      <x:c r="C38" s="1" t="str">
        <x:v>Cement</x:v>
      </x:c>
      <x:c r="D38" s="54" t="str">
        <x:v>Net margin</x:v>
      </x:c>
      <x:c r="E38" s="54" t="str">
        <x:v>PAT / revenue</x:v>
      </x:c>
      <x:c r="F38" s="54" t="str">
        <x:v>Includes modeled financing cost.</x:v>
      </x:c>
      <x:c r="G38" s="2" t="str">
        <x:v>Cement!E81:I81</x:v>
      </x:c>
      <x:c r="H38" s="2"/>
      <x:c r="I38" s="2"/>
      <x:c r="J38" s="1"/>
      <x:c r="K38" s="1"/>
    </x:row>
    <x:row r="39" ht="32" customHeight="1">
      <x:c r="A39" s="1"/>
      <x:c r="B39" s="1"/>
      <x:c r="C39" s="1" t="str">
        <x:v>Cement</x:v>
      </x:c>
      <x:c r="D39" s="54" t="str">
        <x:v>Operating cash conversion</x:v>
      </x:c>
      <x:c r="E39" s="54" t="str">
        <x:v>Operating cash flow after interest / EBITDA</x:v>
      </x:c>
      <x:c r="F39" s="54" t="str">
        <x:v>Tax, interest and working capital cause divergence.</x:v>
      </x:c>
      <x:c r="G39" s="2" t="str">
        <x:v>Cement!E82:I82</x:v>
      </x:c>
      <x:c r="H39" s="2"/>
      <x:c r="I39" s="2"/>
      <x:c r="J39" s="1"/>
      <x:c r="K39" s="1"/>
    </x:row>
    <x:row r="40" ht="32" customHeight="1">
      <x:c r="A40" s="1"/>
      <x:c r="B40" s="1"/>
      <x:c r="C40" s="1" t="str">
        <x:v>Cement</x:v>
      </x:c>
      <x:c r="D40" s="54" t="str">
        <x:v>Cash conversion cycle (days)</x:v>
      </x:c>
      <x:c r="E40" s="54" t="str">
        <x:v>Receivable days + inventory days − payable days</x:v>
      </x:c>
      <x:c r="F40" s="54" t="str">
        <x:v>Inventory and payable days use direct cost.</x:v>
      </x:c>
      <x:c r="G40" s="2" t="str">
        <x:v>Cement!E83:I83</x:v>
      </x:c>
      <x:c r="H40" s="2"/>
      <x:c r="I40" s="2"/>
      <x:c r="J40" s="1"/>
      <x:c r="K40" s="1"/>
    </x:row>
    <x:row r="41" ht="32" customHeight="1">
      <x:c r="A41" s="1"/>
      <x:c r="B41" s="1"/>
      <x:c r="C41" s="1" t="str">
        <x:v>Cement</x:v>
      </x:c>
      <x:c r="D41" s="54" t="str">
        <x:v>Net debt / EBITDA</x:v>
      </x:c>
      <x:c r="E41" s="54" t="str">
        <x:v>(Debt − cash) / EBITDA</x:v>
      </x:c>
      <x:c r="F41" s="54" t="str">
        <x:v>Negative ratio indicates net cash; negative cash is a funding gap.</x:v>
      </x:c>
      <x:c r="G41" s="2" t="str">
        <x:v>Cement!E84:I84</x:v>
      </x:c>
      <x:c r="H41" s="2"/>
      <x:c r="I41" s="2"/>
      <x:c r="J41" s="1"/>
      <x:c r="K41" s="1"/>
    </x:row>
    <x:row r="42" ht="32" customHeight="1">
      <x:c r="A42" s="1"/>
      <x:c r="B42" s="1"/>
      <x:c r="C42" s="1" t="str">
        <x:v>Cement</x:v>
      </x:c>
      <x:c r="D42" s="54" t="str">
        <x:v>EBIT / interest</x:v>
      </x:c>
      <x:c r="E42" s="54" t="str">
        <x:v>EBIT / interest expense</x:v>
      </x:c>
      <x:c r="F42" s="54" t="str">
        <x:v>Does not measure principal repayment capacity.</x:v>
      </x:c>
      <x:c r="G42" s="2" t="str">
        <x:v>Cement!E85:I85</x:v>
      </x:c>
      <x:c r="H42" s="2"/>
      <x:c r="I42" s="2"/>
      <x:c r="J42" s="1"/>
      <x:c r="K42" s="1"/>
    </x:row>
    <x:row r="43" ht="32" customHeight="1">
      <x:c r="A43" s="1"/>
      <x:c r="B43" s="1"/>
      <x:c r="C43" s="1" t="str">
        <x:v>Cement</x:v>
      </x:c>
      <x:c r="D43" s="54" t="str">
        <x:v>ROIC on average invested capital</x:v>
      </x:c>
      <x:c r="E43" s="54" t="str">
        <x:v>NOPAT / average (net PP&amp;E + net working capital)</x:v>
      </x:c>
      <x:c r="F43" s="54" t="str">
        <x:v>Excludes goodwill, leases and non-operating assets.</x:v>
      </x:c>
      <x:c r="G43" s="2" t="str">
        <x:v>Cement!E86:I86</x:v>
      </x:c>
      <x:c r="H43" s="2"/>
      <x:c r="I43" s="2"/>
      <x:c r="J43" s="1"/>
      <x:c r="K43" s="1"/>
    </x:row>
    <x:row r="44" ht="32" customHeight="1">
      <x:c r="A44" s="1"/>
      <x:c r="B44" s="1"/>
      <x:c r="C44" s="1" t="str">
        <x:v>Cement</x:v>
      </x:c>
      <x:c r="D44" s="54" t="str">
        <x:v>EBITDA per tonne (INR)</x:v>
      </x:c>
      <x:c r="E44" s="54" t="str">
        <x:v>EBITDA / saleable tonnes</x:v>
      </x:c>
      <x:c r="F44" s="54" t="str">
        <x:v>Separates unit profitability from capacity additions.</x:v>
      </x:c>
      <x:c r="G44" s="2" t="str">
        <x:v>Cement!E87:I87</x:v>
      </x:c>
      <x:c r="H44" s="2"/>
      <x:c r="I44" s="2"/>
      <x:c r="J44" s="1"/>
      <x:c r="K44" s="1"/>
    </x:row>
    <x:row r="45" ht="32" customHeight="1">
      <x:c r="A45" s="1"/>
      <x:c r="B45" s="1"/>
      <x:c r="C45" s="1" t="str">
        <x:v>Cement</x:v>
      </x:c>
      <x:c r="D45" s="54" t="str">
        <x:v>Direct cost per tonne (INR)</x:v>
      </x:c>
      <x:c r="E45" s="54" t="str">
        <x:v>Direct cash costs / saleable tonnes</x:v>
      </x:c>
      <x:c r="F45" s="54" t="str">
        <x:v>Freight and raw material definitions affect comparability.</x:v>
      </x:c>
      <x:c r="G45" s="2" t="str">
        <x:v>Cement!E88:I88</x:v>
      </x:c>
      <x:c r="H45" s="2"/>
      <x:c r="I45" s="2"/>
      <x:c r="J45" s="1"/>
      <x:c r="K45" s="1"/>
    </x:row>
    <x:row r="46" ht="32" customHeight="1">
      <x:c r="A46" s="1"/>
      <x:c r="B46" s="1"/>
      <x:c r="C46" s="1" t="str">
        <x:v>Steel</x:v>
      </x:c>
      <x:c r="D46" s="54" t="str">
        <x:v>Gross margin</x:v>
      </x:c>
      <x:c r="E46" s="54" t="str">
        <x:v>Gross profit / revenue</x:v>
      </x:c>
      <x:c r="F46" s="54" t="str">
        <x:v>Compare cost definitions before using peer benchmarks.</x:v>
      </x:c>
      <x:c r="G46" s="2" t="str">
        <x:v>Steel!E79:I79</x:v>
      </x:c>
      <x:c r="H46" s="2"/>
      <x:c r="I46" s="2"/>
      <x:c r="J46" s="1"/>
      <x:c r="K46" s="1"/>
    </x:row>
    <x:row r="47" ht="32" customHeight="1">
      <x:c r="A47" s="1"/>
      <x:c r="B47" s="1"/>
      <x:c r="C47" s="1" t="str">
        <x:v>Steel</x:v>
      </x:c>
      <x:c r="D47" s="54" t="str">
        <x:v>EBITDA margin</x:v>
      </x:c>
      <x:c r="E47" s="54" t="str">
        <x:v>EBITDA / revenue</x:v>
      </x:c>
      <x:c r="F47" s="54" t="str">
        <x:v>Pre-lease capitalization where rent is an operating expense.</x:v>
      </x:c>
      <x:c r="G47" s="2" t="str">
        <x:v>Steel!E80:I80</x:v>
      </x:c>
      <x:c r="H47" s="2"/>
      <x:c r="I47" s="2"/>
      <x:c r="J47" s="1"/>
      <x:c r="K47" s="1"/>
    </x:row>
    <x:row r="48" ht="32" customHeight="1">
      <x:c r="A48" s="1"/>
      <x:c r="B48" s="1"/>
      <x:c r="C48" s="1" t="str">
        <x:v>Steel</x:v>
      </x:c>
      <x:c r="D48" s="54" t="str">
        <x:v>Net margin</x:v>
      </x:c>
      <x:c r="E48" s="54" t="str">
        <x:v>PAT / revenue</x:v>
      </x:c>
      <x:c r="F48" s="54" t="str">
        <x:v>Includes modeled financing cost.</x:v>
      </x:c>
      <x:c r="G48" s="2" t="str">
        <x:v>Steel!E81:I81</x:v>
      </x:c>
      <x:c r="H48" s="2"/>
      <x:c r="I48" s="2"/>
      <x:c r="J48" s="1"/>
      <x:c r="K48" s="1"/>
    </x:row>
    <x:row r="49" ht="32" customHeight="1">
      <x:c r="A49" s="1"/>
      <x:c r="B49" s="1"/>
      <x:c r="C49" s="1" t="str">
        <x:v>Steel</x:v>
      </x:c>
      <x:c r="D49" s="54" t="str">
        <x:v>Operating cash conversion</x:v>
      </x:c>
      <x:c r="E49" s="54" t="str">
        <x:v>Operating cash flow after interest / EBITDA</x:v>
      </x:c>
      <x:c r="F49" s="54" t="str">
        <x:v>Tax, interest and working capital cause divergence.</x:v>
      </x:c>
      <x:c r="G49" s="2" t="str">
        <x:v>Steel!E82:I82</x:v>
      </x:c>
      <x:c r="H49" s="2"/>
      <x:c r="I49" s="2"/>
      <x:c r="J49" s="1"/>
      <x:c r="K49" s="1"/>
    </x:row>
    <x:row r="50" ht="32" customHeight="1">
      <x:c r="A50" s="1"/>
      <x:c r="B50" s="1"/>
      <x:c r="C50" s="1" t="str">
        <x:v>Steel</x:v>
      </x:c>
      <x:c r="D50" s="54" t="str">
        <x:v>Cash conversion cycle (days)</x:v>
      </x:c>
      <x:c r="E50" s="54" t="str">
        <x:v>Receivable days + inventory days − payable days</x:v>
      </x:c>
      <x:c r="F50" s="54" t="str">
        <x:v>Inventory and payable days use direct cost.</x:v>
      </x:c>
      <x:c r="G50" s="2" t="str">
        <x:v>Steel!E83:I83</x:v>
      </x:c>
      <x:c r="H50" s="2"/>
      <x:c r="I50" s="2"/>
      <x:c r="J50" s="1"/>
      <x:c r="K50" s="1"/>
    </x:row>
    <x:row r="51" ht="32" customHeight="1">
      <x:c r="A51" s="1"/>
      <x:c r="B51" s="1"/>
      <x:c r="C51" s="1" t="str">
        <x:v>Steel</x:v>
      </x:c>
      <x:c r="D51" s="54" t="str">
        <x:v>Net debt / EBITDA</x:v>
      </x:c>
      <x:c r="E51" s="54" t="str">
        <x:v>(Debt − cash) / EBITDA</x:v>
      </x:c>
      <x:c r="F51" s="54" t="str">
        <x:v>Negative ratio indicates net cash; negative cash is a funding gap.</x:v>
      </x:c>
      <x:c r="G51" s="2" t="str">
        <x:v>Steel!E84:I84</x:v>
      </x:c>
      <x:c r="H51" s="2"/>
      <x:c r="I51" s="2"/>
      <x:c r="J51" s="1"/>
      <x:c r="K51" s="1"/>
    </x:row>
    <x:row r="52" ht="32" customHeight="1">
      <x:c r="A52" s="1"/>
      <x:c r="B52" s="1"/>
      <x:c r="C52" s="1" t="str">
        <x:v>Steel</x:v>
      </x:c>
      <x:c r="D52" s="54" t="str">
        <x:v>EBIT / interest</x:v>
      </x:c>
      <x:c r="E52" s="54" t="str">
        <x:v>EBIT / interest expense</x:v>
      </x:c>
      <x:c r="F52" s="54" t="str">
        <x:v>Does not measure principal repayment capacity.</x:v>
      </x:c>
      <x:c r="G52" s="2" t="str">
        <x:v>Steel!E85:I85</x:v>
      </x:c>
      <x:c r="H52" s="2"/>
      <x:c r="I52" s="2"/>
      <x:c r="J52" s="1"/>
      <x:c r="K52" s="1"/>
    </x:row>
    <x:row r="53" ht="32" customHeight="1">
      <x:c r="A53" s="1"/>
      <x:c r="B53" s="1"/>
      <x:c r="C53" s="1" t="str">
        <x:v>Steel</x:v>
      </x:c>
      <x:c r="D53" s="54" t="str">
        <x:v>ROIC on average invested capital</x:v>
      </x:c>
      <x:c r="E53" s="54" t="str">
        <x:v>NOPAT / average (net PP&amp;E + net working capital)</x:v>
      </x:c>
      <x:c r="F53" s="54" t="str">
        <x:v>Excludes goodwill, leases and non-operating assets.</x:v>
      </x:c>
      <x:c r="G53" s="2" t="str">
        <x:v>Steel!E86:I86</x:v>
      </x:c>
      <x:c r="H53" s="2"/>
      <x:c r="I53" s="2"/>
      <x:c r="J53" s="1"/>
      <x:c r="K53" s="1"/>
    </x:row>
    <x:row r="54" ht="32" customHeight="1">
      <x:c r="A54" s="1"/>
      <x:c r="B54" s="1"/>
      <x:c r="C54" s="1" t="str">
        <x:v>Steel</x:v>
      </x:c>
      <x:c r="D54" s="54" t="str">
        <x:v>EBITDA per tonne (INR)</x:v>
      </x:c>
      <x:c r="E54" s="54" t="str">
        <x:v>EBITDA / saleable tonnes</x:v>
      </x:c>
      <x:c r="F54" s="54" t="str">
        <x:v>Separates unit profitability from capacity additions.</x:v>
      </x:c>
      <x:c r="G54" s="2" t="str">
        <x:v>Steel!E87:I87</x:v>
      </x:c>
      <x:c r="H54" s="2"/>
      <x:c r="I54" s="2"/>
      <x:c r="J54" s="1"/>
      <x:c r="K54" s="1"/>
    </x:row>
    <x:row r="55" ht="32" customHeight="1">
      <x:c r="A55" s="1"/>
      <x:c r="B55" s="1"/>
      <x:c r="C55" s="1" t="str">
        <x:v>Steel</x:v>
      </x:c>
      <x:c r="D55" s="54" t="str">
        <x:v>Direct cost per tonne (INR)</x:v>
      </x:c>
      <x:c r="E55" s="54" t="str">
        <x:v>Direct cash costs / saleable tonnes</x:v>
      </x:c>
      <x:c r="F55" s="54" t="str">
        <x:v>Freight and raw material definitions affect comparability.</x:v>
      </x:c>
      <x:c r="G55" s="2" t="str">
        <x:v>Steel!E88:I88</x:v>
      </x:c>
      <x:c r="H55" s="2"/>
      <x:c r="I55" s="2"/>
      <x:c r="J55" s="1"/>
      <x:c r="K55" s="1"/>
    </x:row>
    <x:row r="56" ht="32" customHeight="1">
      <x:c r="A56" s="1"/>
      <x:c r="B56" s="1"/>
      <x:c r="C56" s="1" t="str">
        <x:v>Pharma</x:v>
      </x:c>
      <x:c r="D56" s="54" t="str">
        <x:v>Gross margin</x:v>
      </x:c>
      <x:c r="E56" s="54" t="str">
        <x:v>Gross profit / revenue</x:v>
      </x:c>
      <x:c r="F56" s="54" t="str">
        <x:v>Compare cost definitions before using peer benchmarks.</x:v>
      </x:c>
      <x:c r="G56" s="2" t="str">
        <x:v>Pharma!E79:I79</x:v>
      </x:c>
      <x:c r="H56" s="2"/>
      <x:c r="I56" s="2"/>
      <x:c r="J56" s="1"/>
      <x:c r="K56" s="1"/>
    </x:row>
    <x:row r="57" ht="32" customHeight="1">
      <x:c r="A57" s="1"/>
      <x:c r="B57" s="1"/>
      <x:c r="C57" s="1" t="str">
        <x:v>Pharma</x:v>
      </x:c>
      <x:c r="D57" s="54" t="str">
        <x:v>EBITDA margin</x:v>
      </x:c>
      <x:c r="E57" s="54" t="str">
        <x:v>EBITDA / revenue</x:v>
      </x:c>
      <x:c r="F57" s="54" t="str">
        <x:v>Pre-lease capitalization where rent is an operating expense.</x:v>
      </x:c>
      <x:c r="G57" s="2" t="str">
        <x:v>Pharma!E80:I80</x:v>
      </x:c>
      <x:c r="H57" s="2"/>
      <x:c r="I57" s="2"/>
      <x:c r="J57" s="1"/>
      <x:c r="K57" s="1"/>
    </x:row>
    <x:row r="58" ht="32" customHeight="1">
      <x:c r="A58" s="1"/>
      <x:c r="B58" s="1"/>
      <x:c r="C58" s="1" t="str">
        <x:v>Pharma</x:v>
      </x:c>
      <x:c r="D58" s="54" t="str">
        <x:v>Net margin</x:v>
      </x:c>
      <x:c r="E58" s="54" t="str">
        <x:v>PAT / revenue</x:v>
      </x:c>
      <x:c r="F58" s="54" t="str">
        <x:v>Includes modeled financing cost.</x:v>
      </x:c>
      <x:c r="G58" s="2" t="str">
        <x:v>Pharma!E81:I81</x:v>
      </x:c>
      <x:c r="H58" s="2"/>
      <x:c r="I58" s="2"/>
      <x:c r="J58" s="1"/>
      <x:c r="K58" s="1"/>
    </x:row>
    <x:row r="59" ht="32" customHeight="1">
      <x:c r="A59" s="1"/>
      <x:c r="B59" s="1"/>
      <x:c r="C59" s="1" t="str">
        <x:v>Pharma</x:v>
      </x:c>
      <x:c r="D59" s="54" t="str">
        <x:v>Operating cash conversion</x:v>
      </x:c>
      <x:c r="E59" s="54" t="str">
        <x:v>Operating cash flow after interest / EBITDA</x:v>
      </x:c>
      <x:c r="F59" s="54" t="str">
        <x:v>Tax, interest and working capital cause divergence.</x:v>
      </x:c>
      <x:c r="G59" s="2" t="str">
        <x:v>Pharma!E82:I82</x:v>
      </x:c>
      <x:c r="H59" s="2"/>
      <x:c r="I59" s="2"/>
      <x:c r="J59" s="1"/>
      <x:c r="K59" s="1"/>
    </x:row>
    <x:row r="60" ht="32" customHeight="1">
      <x:c r="A60" s="1"/>
      <x:c r="B60" s="1"/>
      <x:c r="C60" s="1" t="str">
        <x:v>Pharma</x:v>
      </x:c>
      <x:c r="D60" s="54" t="str">
        <x:v>Cash conversion cycle (days)</x:v>
      </x:c>
      <x:c r="E60" s="54" t="str">
        <x:v>Receivable days + inventory days − payable days</x:v>
      </x:c>
      <x:c r="F60" s="54" t="str">
        <x:v>Inventory and payable days use direct cost.</x:v>
      </x:c>
      <x:c r="G60" s="2" t="str">
        <x:v>Pharma!E83:I83</x:v>
      </x:c>
      <x:c r="H60" s="2"/>
      <x:c r="I60" s="2"/>
      <x:c r="J60" s="1"/>
      <x:c r="K60" s="1"/>
    </x:row>
    <x:row r="61" ht="32" customHeight="1">
      <x:c r="A61" s="1"/>
      <x:c r="B61" s="1"/>
      <x:c r="C61" s="1" t="str">
        <x:v>Pharma</x:v>
      </x:c>
      <x:c r="D61" s="54" t="str">
        <x:v>Net debt / EBITDA</x:v>
      </x:c>
      <x:c r="E61" s="54" t="str">
        <x:v>(Debt − cash) / EBITDA</x:v>
      </x:c>
      <x:c r="F61" s="54" t="str">
        <x:v>Negative ratio indicates net cash; negative cash is a funding gap.</x:v>
      </x:c>
      <x:c r="G61" s="2" t="str">
        <x:v>Pharma!E84:I84</x:v>
      </x:c>
      <x:c r="H61" s="2"/>
      <x:c r="I61" s="2"/>
      <x:c r="J61" s="1"/>
      <x:c r="K61" s="1"/>
    </x:row>
    <x:row r="62" ht="32" customHeight="1">
      <x:c r="A62" s="1"/>
      <x:c r="B62" s="1"/>
      <x:c r="C62" s="1" t="str">
        <x:v>Pharma</x:v>
      </x:c>
      <x:c r="D62" s="54" t="str">
        <x:v>EBIT / interest</x:v>
      </x:c>
      <x:c r="E62" s="54" t="str">
        <x:v>EBIT / interest expense</x:v>
      </x:c>
      <x:c r="F62" s="54" t="str">
        <x:v>Does not measure principal repayment capacity.</x:v>
      </x:c>
      <x:c r="G62" s="2" t="str">
        <x:v>Pharma!E85:I85</x:v>
      </x:c>
      <x:c r="H62" s="2"/>
      <x:c r="I62" s="2"/>
      <x:c r="J62" s="1"/>
      <x:c r="K62" s="1"/>
    </x:row>
    <x:row r="63" ht="32" customHeight="1">
      <x:c r="A63" s="1"/>
      <x:c r="B63" s="1"/>
      <x:c r="C63" s="1" t="str">
        <x:v>Pharma</x:v>
      </x:c>
      <x:c r="D63" s="54" t="str">
        <x:v>ROIC on average invested capital</x:v>
      </x:c>
      <x:c r="E63" s="54" t="str">
        <x:v>NOPAT / average (net PP&amp;E + net working capital)</x:v>
      </x:c>
      <x:c r="F63" s="54" t="str">
        <x:v>Excludes goodwill, leases and non-operating assets.</x:v>
      </x:c>
      <x:c r="G63" s="2" t="str">
        <x:v>Pharma!E86:I86</x:v>
      </x:c>
      <x:c r="H63" s="2"/>
      <x:c r="I63" s="2"/>
      <x:c r="J63" s="1"/>
      <x:c r="K63" s="1"/>
    </x:row>
    <x:row r="64" ht="32" customHeight="1">
      <x:c r="A64" s="1"/>
      <x:c r="B64" s="1"/>
      <x:c r="C64" s="1" t="str">
        <x:v>Pharma</x:v>
      </x:c>
      <x:c r="D64" s="54" t="str">
        <x:v>Gross profit per dose (INR)</x:v>
      </x:c>
      <x:c r="E64" s="54" t="str">
        <x:v>Gross profit / equivalent doses</x:v>
      </x:c>
      <x:c r="F64" s="54" t="str">
        <x:v>Does not capture product patent life or geography-specific economics.</x:v>
      </x:c>
      <x:c r="G64" s="2" t="str">
        <x:v>Pharma!E87:I87</x:v>
      </x:c>
      <x:c r="H64" s="2"/>
      <x:c r="I64" s="2"/>
      <x:c r="J64" s="1"/>
      <x:c r="K64" s="1"/>
    </x:row>
    <x:row r="65" ht="32" customHeight="1">
      <x:c r="A65" s="1"/>
      <x:c r="B65" s="1"/>
      <x:c r="C65" s="1" t="str">
        <x:v>Pharma</x:v>
      </x:c>
      <x:c r="D65" s="54" t="str">
        <x:v>Other operating costs per dose (INR)</x:v>
      </x:c>
      <x:c r="E65" s="54" t="str">
        <x:v>Other operating cost, including R&amp;D / equivalent doses</x:v>
      </x:c>
      <x:c r="F65" s="54" t="str">
        <x:v>R&amp;D is included in the operating-cost assumption, not separately forecast.</x:v>
      </x:c>
      <x:c r="G65" s="2" t="str">
        <x:v>Pharma!E88:I88</x:v>
      </x:c>
      <x:c r="H65" s="2"/>
      <x:c r="I65" s="2"/>
      <x:c r="J65" s="1"/>
      <x:c r="K65" s="1"/>
    </x:row>
    <x:row r="66" ht="32" customHeight="1">
      <x:c r="A66" s="1"/>
      <x:c r="B66" s="1"/>
      <x:c r="C66" s="1" t="str">
        <x:v>Hospitals</x:v>
      </x:c>
      <x:c r="D66" s="54" t="str">
        <x:v>Gross margin</x:v>
      </x:c>
      <x:c r="E66" s="54" t="str">
        <x:v>Gross profit / revenue</x:v>
      </x:c>
      <x:c r="F66" s="54" t="str">
        <x:v>Compare cost definitions before using peer benchmarks.</x:v>
      </x:c>
      <x:c r="G66" s="2" t="str">
        <x:v>Hospitals!E80:I80</x:v>
      </x:c>
      <x:c r="H66" s="2"/>
      <x:c r="I66" s="2"/>
      <x:c r="J66" s="1"/>
      <x:c r="K66" s="1"/>
    </x:row>
    <x:row r="67" ht="32" customHeight="1">
      <x:c r="A67" s="1"/>
      <x:c r="B67" s="1"/>
      <x:c r="C67" s="1" t="str">
        <x:v>Hospitals</x:v>
      </x:c>
      <x:c r="D67" s="54" t="str">
        <x:v>EBITDA margin</x:v>
      </x:c>
      <x:c r="E67" s="54" t="str">
        <x:v>EBITDA / revenue</x:v>
      </x:c>
      <x:c r="F67" s="54" t="str">
        <x:v>Pre-lease capitalization where rent is an operating expense.</x:v>
      </x:c>
      <x:c r="G67" s="2" t="str">
        <x:v>Hospitals!E81:I81</x:v>
      </x:c>
      <x:c r="H67" s="2"/>
      <x:c r="I67" s="2"/>
      <x:c r="J67" s="1"/>
      <x:c r="K67" s="1"/>
    </x:row>
    <x:row r="68" ht="32" customHeight="1">
      <x:c r="A68" s="1"/>
      <x:c r="B68" s="1"/>
      <x:c r="C68" s="1" t="str">
        <x:v>Hospitals</x:v>
      </x:c>
      <x:c r="D68" s="54" t="str">
        <x:v>Net margin</x:v>
      </x:c>
      <x:c r="E68" s="54" t="str">
        <x:v>PAT / revenue</x:v>
      </x:c>
      <x:c r="F68" s="54" t="str">
        <x:v>Includes modeled financing cost.</x:v>
      </x:c>
      <x:c r="G68" s="2" t="str">
        <x:v>Hospitals!E82:I82</x:v>
      </x:c>
      <x:c r="H68" s="2"/>
      <x:c r="I68" s="2"/>
      <x:c r="J68" s="1"/>
      <x:c r="K68" s="1"/>
    </x:row>
    <x:row r="69" ht="32" customHeight="1">
      <x:c r="A69" s="1"/>
      <x:c r="B69" s="1"/>
      <x:c r="C69" s="1" t="str">
        <x:v>Hospitals</x:v>
      </x:c>
      <x:c r="D69" s="54" t="str">
        <x:v>Operating cash conversion</x:v>
      </x:c>
      <x:c r="E69" s="54" t="str">
        <x:v>Operating cash flow after interest / EBITDA</x:v>
      </x:c>
      <x:c r="F69" s="54" t="str">
        <x:v>Tax, interest and working capital cause divergence.</x:v>
      </x:c>
      <x:c r="G69" s="2" t="str">
        <x:v>Hospitals!E83:I83</x:v>
      </x:c>
      <x:c r="H69" s="2"/>
      <x:c r="I69" s="2"/>
      <x:c r="J69" s="1"/>
      <x:c r="K69" s="1"/>
    </x:row>
    <x:row r="70" ht="32" customHeight="1">
      <x:c r="A70" s="1"/>
      <x:c r="B70" s="1"/>
      <x:c r="C70" s="1" t="str">
        <x:v>Hospitals</x:v>
      </x:c>
      <x:c r="D70" s="54" t="str">
        <x:v>Cash conversion cycle (days)</x:v>
      </x:c>
      <x:c r="E70" s="54" t="str">
        <x:v>Receivable days + inventory days − payable days</x:v>
      </x:c>
      <x:c r="F70" s="54" t="str">
        <x:v>Inventory and payable days use direct cost.</x:v>
      </x:c>
      <x:c r="G70" s="2" t="str">
        <x:v>Hospitals!E84:I84</x:v>
      </x:c>
      <x:c r="H70" s="2"/>
      <x:c r="I70" s="2"/>
      <x:c r="J70" s="1"/>
      <x:c r="K70" s="1"/>
    </x:row>
    <x:row r="71" ht="32" customHeight="1">
      <x:c r="A71" s="1"/>
      <x:c r="B71" s="1"/>
      <x:c r="C71" s="1" t="str">
        <x:v>Hospitals</x:v>
      </x:c>
      <x:c r="D71" s="54" t="str">
        <x:v>Net debt / EBITDA</x:v>
      </x:c>
      <x:c r="E71" s="54" t="str">
        <x:v>(Debt − cash) / EBITDA</x:v>
      </x:c>
      <x:c r="F71" s="54" t="str">
        <x:v>Negative ratio indicates net cash; negative cash is a funding gap.</x:v>
      </x:c>
      <x:c r="G71" s="2" t="str">
        <x:v>Hospitals!E85:I85</x:v>
      </x:c>
      <x:c r="H71" s="2"/>
      <x:c r="I71" s="2"/>
      <x:c r="J71" s="1"/>
      <x:c r="K71" s="1"/>
    </x:row>
    <x:row r="72" ht="32" customHeight="1">
      <x:c r="A72" s="1"/>
      <x:c r="B72" s="1"/>
      <x:c r="C72" s="1" t="str">
        <x:v>Hospitals</x:v>
      </x:c>
      <x:c r="D72" s="54" t="str">
        <x:v>EBIT / interest</x:v>
      </x:c>
      <x:c r="E72" s="54" t="str">
        <x:v>EBIT / interest expense</x:v>
      </x:c>
      <x:c r="F72" s="54" t="str">
        <x:v>Does not measure principal repayment capacity.</x:v>
      </x:c>
      <x:c r="G72" s="2" t="str">
        <x:v>Hospitals!E86:I86</x:v>
      </x:c>
      <x:c r="H72" s="2"/>
      <x:c r="I72" s="2"/>
      <x:c r="J72" s="1"/>
      <x:c r="K72" s="1"/>
    </x:row>
    <x:row r="73" ht="32" customHeight="1">
      <x:c r="A73" s="1"/>
      <x:c r="B73" s="1"/>
      <x:c r="C73" s="1" t="str">
        <x:v>Hospitals</x:v>
      </x:c>
      <x:c r="D73" s="54" t="str">
        <x:v>ROIC on average invested capital</x:v>
      </x:c>
      <x:c r="E73" s="54" t="str">
        <x:v>NOPAT / average (net PP&amp;E + net working capital)</x:v>
      </x:c>
      <x:c r="F73" s="54" t="str">
        <x:v>Excludes goodwill, leases and non-operating assets.</x:v>
      </x:c>
      <x:c r="G73" s="2" t="str">
        <x:v>Hospitals!E87:I87</x:v>
      </x:c>
      <x:c r="H73" s="2"/>
      <x:c r="I73" s="2"/>
      <x:c r="J73" s="1"/>
      <x:c r="K73" s="1"/>
    </x:row>
    <x:row r="74" ht="32" customHeight="1">
      <x:c r="A74" s="1"/>
      <x:c r="B74" s="1"/>
      <x:c r="C74" s="1" t="str">
        <x:v>Hospitals</x:v>
      </x:c>
      <x:c r="D74" s="54" t="str">
        <x:v>Estimated inpatient discharges</x:v>
      </x:c>
      <x:c r="E74" s="54" t="str">
        <x:v>Occupied bed-days / average length of stay</x:v>
      </x:c>
      <x:c r="F74" s="54" t="str">
        <x:v>Assumes modeled bed-days relate to inpatient stays.</x:v>
      </x:c>
      <x:c r="G74" s="2" t="str">
        <x:v>Hospitals!E88:I88</x:v>
      </x:c>
      <x:c r="H74" s="2"/>
      <x:c r="I74" s="2"/>
      <x:c r="J74" s="1"/>
      <x:c r="K74" s="1"/>
    </x:row>
    <x:row r="75" ht="32" customHeight="1">
      <x:c r="A75" s="1"/>
      <x:c r="B75" s="1"/>
      <x:c r="C75" s="1" t="str">
        <x:v>Hospitals</x:v>
      </x:c>
      <x:c r="D75" s="54" t="str">
        <x:v>EBITDA per operational bed (INR lakh)</x:v>
      </x:c>
      <x:c r="E75" s="54" t="str">
        <x:v>EBITDA / average operational beds</x:v>
      </x:c>
      <x:c r="F75" s="54" t="str">
        <x:v>Expansion beds may have lower initial utilization.</x:v>
      </x:c>
      <x:c r="G75" s="2" t="str">
        <x:v>Hospitals!E89:I89</x:v>
      </x:c>
      <x:c r="H75" s="2"/>
      <x:c r="I75" s="2"/>
      <x:c r="J75" s="1"/>
      <x:c r="K75" s="1"/>
    </x:row>
    <x:row r="76" ht="32" customHeight="1">
      <x:c r="A76" s="1"/>
      <x:c r="B76" s="1"/>
      <x:c r="C76" s="1" t="str">
        <x:v>Telecom</x:v>
      </x:c>
      <x:c r="D76" s="54" t="str">
        <x:v>Gross margin</x:v>
      </x:c>
      <x:c r="E76" s="54" t="str">
        <x:v>Gross profit / revenue</x:v>
      </x:c>
      <x:c r="F76" s="54" t="str">
        <x:v>Compare cost definitions before using peer benchmarks.</x:v>
      </x:c>
      <x:c r="G76" s="2" t="str">
        <x:v>Telecom!E79:I79</x:v>
      </x:c>
      <x:c r="H76" s="2"/>
      <x:c r="I76" s="2"/>
      <x:c r="J76" s="1"/>
      <x:c r="K76" s="1"/>
    </x:row>
    <x:row r="77" ht="32" customHeight="1">
      <x:c r="A77" s="1"/>
      <x:c r="B77" s="1"/>
      <x:c r="C77" s="1" t="str">
        <x:v>Telecom</x:v>
      </x:c>
      <x:c r="D77" s="54" t="str">
        <x:v>EBITDA margin</x:v>
      </x:c>
      <x:c r="E77" s="54" t="str">
        <x:v>EBITDA / revenue</x:v>
      </x:c>
      <x:c r="F77" s="54" t="str">
        <x:v>Pre-lease capitalization where rent is an operating expense.</x:v>
      </x:c>
      <x:c r="G77" s="2" t="str">
        <x:v>Telecom!E80:I80</x:v>
      </x:c>
      <x:c r="H77" s="2"/>
      <x:c r="I77" s="2"/>
      <x:c r="J77" s="1"/>
      <x:c r="K77" s="1"/>
    </x:row>
    <x:row r="78" ht="32" customHeight="1">
      <x:c r="A78" s="1"/>
      <x:c r="B78" s="1"/>
      <x:c r="C78" s="1" t="str">
        <x:v>Telecom</x:v>
      </x:c>
      <x:c r="D78" s="54" t="str">
        <x:v>Net margin</x:v>
      </x:c>
      <x:c r="E78" s="54" t="str">
        <x:v>PAT / revenue</x:v>
      </x:c>
      <x:c r="F78" s="54" t="str">
        <x:v>Includes modeled financing cost.</x:v>
      </x:c>
      <x:c r="G78" s="2" t="str">
        <x:v>Telecom!E81:I81</x:v>
      </x:c>
      <x:c r="H78" s="2"/>
      <x:c r="I78" s="2"/>
      <x:c r="J78" s="1"/>
      <x:c r="K78" s="1"/>
    </x:row>
    <x:row r="79" ht="32" customHeight="1">
      <x:c r="A79" s="1"/>
      <x:c r="B79" s="1"/>
      <x:c r="C79" s="1" t="str">
        <x:v>Telecom</x:v>
      </x:c>
      <x:c r="D79" s="54" t="str">
        <x:v>Operating cash conversion</x:v>
      </x:c>
      <x:c r="E79" s="54" t="str">
        <x:v>Operating cash flow after interest / EBITDA</x:v>
      </x:c>
      <x:c r="F79" s="54" t="str">
        <x:v>Tax, interest and working capital cause divergence.</x:v>
      </x:c>
      <x:c r="G79" s="2" t="str">
        <x:v>Telecom!E82:I82</x:v>
      </x:c>
      <x:c r="H79" s="2"/>
      <x:c r="I79" s="2"/>
      <x:c r="J79" s="1"/>
      <x:c r="K79" s="1"/>
    </x:row>
    <x:row r="80" ht="32" customHeight="1">
      <x:c r="A80" s="1"/>
      <x:c r="B80" s="1"/>
      <x:c r="C80" s="1" t="str">
        <x:v>Telecom</x:v>
      </x:c>
      <x:c r="D80" s="54" t="str">
        <x:v>Cash conversion cycle (days)</x:v>
      </x:c>
      <x:c r="E80" s="54" t="str">
        <x:v>Receivable days + inventory days − payable days</x:v>
      </x:c>
      <x:c r="F80" s="54" t="str">
        <x:v>Inventory and payable days use direct cost.</x:v>
      </x:c>
      <x:c r="G80" s="2" t="str">
        <x:v>Telecom!E83:I83</x:v>
      </x:c>
      <x:c r="H80" s="2"/>
      <x:c r="I80" s="2"/>
      <x:c r="J80" s="1"/>
      <x:c r="K80" s="1"/>
    </x:row>
    <x:row r="81" ht="32" customHeight="1">
      <x:c r="A81" s="1"/>
      <x:c r="B81" s="1"/>
      <x:c r="C81" s="1" t="str">
        <x:v>Telecom</x:v>
      </x:c>
      <x:c r="D81" s="54" t="str">
        <x:v>Net debt / EBITDA</x:v>
      </x:c>
      <x:c r="E81" s="54" t="str">
        <x:v>(Debt − cash) / EBITDA</x:v>
      </x:c>
      <x:c r="F81" s="54" t="str">
        <x:v>Negative ratio indicates net cash; negative cash is a funding gap.</x:v>
      </x:c>
      <x:c r="G81" s="2" t="str">
        <x:v>Telecom!E84:I84</x:v>
      </x:c>
      <x:c r="H81" s="2"/>
      <x:c r="I81" s="2"/>
      <x:c r="J81" s="1"/>
      <x:c r="K81" s="1"/>
    </x:row>
    <x:row r="82" ht="32" customHeight="1">
      <x:c r="A82" s="1"/>
      <x:c r="B82" s="1"/>
      <x:c r="C82" s="1" t="str">
        <x:v>Telecom</x:v>
      </x:c>
      <x:c r="D82" s="54" t="str">
        <x:v>EBIT / interest</x:v>
      </x:c>
      <x:c r="E82" s="54" t="str">
        <x:v>EBIT / interest expense</x:v>
      </x:c>
      <x:c r="F82" s="54" t="str">
        <x:v>Does not measure principal repayment capacity.</x:v>
      </x:c>
      <x:c r="G82" s="2" t="str">
        <x:v>Telecom!E85:I85</x:v>
      </x:c>
      <x:c r="H82" s="2"/>
      <x:c r="I82" s="2"/>
      <x:c r="J82" s="1"/>
      <x:c r="K82" s="1"/>
    </x:row>
    <x:row r="83" ht="32" customHeight="1">
      <x:c r="A83" s="1"/>
      <x:c r="B83" s="1"/>
      <x:c r="C83" s="1" t="str">
        <x:v>Telecom</x:v>
      </x:c>
      <x:c r="D83" s="54" t="str">
        <x:v>ROIC on average invested capital</x:v>
      </x:c>
      <x:c r="E83" s="54" t="str">
        <x:v>NOPAT / average (net PP&amp;E + net working capital)</x:v>
      </x:c>
      <x:c r="F83" s="54" t="str">
        <x:v>Excludes goodwill, leases and non-operating assets.</x:v>
      </x:c>
      <x:c r="G83" s="2" t="str">
        <x:v>Telecom!E86:I86</x:v>
      </x:c>
      <x:c r="H83" s="2"/>
      <x:c r="I83" s="2"/>
      <x:c r="J83" s="1"/>
      <x:c r="K83" s="1"/>
    </x:row>
    <x:row r="84" ht="32" customHeight="1">
      <x:c r="A84" s="1"/>
      <x:c r="B84" s="1"/>
      <x:c r="C84" s="1" t="str">
        <x:v>Telecom</x:v>
      </x:c>
      <x:c r="D84" s="54" t="str">
        <x:v>Monthly EBITDA per subscriber (INR)</x:v>
      </x:c>
      <x:c r="E84" s="54" t="str">
        <x:v>EBITDA / average subscribers / 12</x:v>
      </x:c>
      <x:c r="F84" s="54" t="str">
        <x:v>Mobile-only blended measure.</x:v>
      </x:c>
      <x:c r="G84" s="2" t="str">
        <x:v>Telecom!E87:I87</x:v>
      </x:c>
      <x:c r="H84" s="2"/>
      <x:c r="I84" s="2"/>
      <x:c r="J84" s="1"/>
      <x:c r="K84" s="1"/>
    </x:row>
    <x:row r="85" ht="32" customHeight="1">
      <x:c r="A85" s="1"/>
      <x:c r="B85" s="1"/>
      <x:c r="C85" s="1" t="str">
        <x:v>Renewable Power</x:v>
      </x:c>
      <x:c r="D85" s="54" t="str">
        <x:v>Gross margin</x:v>
      </x:c>
      <x:c r="E85" s="54" t="str">
        <x:v>Gross profit / revenue</x:v>
      </x:c>
      <x:c r="F85" s="54" t="str">
        <x:v>Compare cost definitions before using peer benchmarks.</x:v>
      </x:c>
      <x:c r="G85" s="2" t="str">
        <x:v>Renewable Power!E79:I79</x:v>
      </x:c>
      <x:c r="H85" s="2"/>
      <x:c r="I85" s="2"/>
      <x:c r="J85" s="1"/>
      <x:c r="K85" s="1"/>
    </x:row>
    <x:row r="86" ht="32" customHeight="1">
      <x:c r="A86" s="1"/>
      <x:c r="B86" s="1"/>
      <x:c r="C86" s="1" t="str">
        <x:v>Renewable Power</x:v>
      </x:c>
      <x:c r="D86" s="54" t="str">
        <x:v>EBITDA margin</x:v>
      </x:c>
      <x:c r="E86" s="54" t="str">
        <x:v>EBITDA / revenue</x:v>
      </x:c>
      <x:c r="F86" s="54" t="str">
        <x:v>Pre-lease capitalization where rent is an operating expense.</x:v>
      </x:c>
      <x:c r="G86" s="2" t="str">
        <x:v>Renewable Power!E80:I80</x:v>
      </x:c>
      <x:c r="H86" s="2"/>
      <x:c r="I86" s="2"/>
      <x:c r="J86" s="1"/>
      <x:c r="K86" s="1"/>
    </x:row>
    <x:row r="87" ht="32" customHeight="1">
      <x:c r="A87" s="1"/>
      <x:c r="B87" s="1"/>
      <x:c r="C87" s="1" t="str">
        <x:v>Renewable Power</x:v>
      </x:c>
      <x:c r="D87" s="54" t="str">
        <x:v>Net margin</x:v>
      </x:c>
      <x:c r="E87" s="54" t="str">
        <x:v>PAT / revenue</x:v>
      </x:c>
      <x:c r="F87" s="54" t="str">
        <x:v>Includes modeled financing cost.</x:v>
      </x:c>
      <x:c r="G87" s="2" t="str">
        <x:v>Renewable Power!E81:I81</x:v>
      </x:c>
      <x:c r="H87" s="2"/>
      <x:c r="I87" s="2"/>
      <x:c r="J87" s="1"/>
      <x:c r="K87" s="1"/>
    </x:row>
    <x:row r="88" ht="32" customHeight="1">
      <x:c r="A88" s="1"/>
      <x:c r="B88" s="1"/>
      <x:c r="C88" s="1" t="str">
        <x:v>Renewable Power</x:v>
      </x:c>
      <x:c r="D88" s="54" t="str">
        <x:v>Operating cash conversion</x:v>
      </x:c>
      <x:c r="E88" s="54" t="str">
        <x:v>Operating cash flow after interest / EBITDA</x:v>
      </x:c>
      <x:c r="F88" s="54" t="str">
        <x:v>Tax, interest and working capital cause divergence.</x:v>
      </x:c>
      <x:c r="G88" s="2" t="str">
        <x:v>Renewable Power!E82:I82</x:v>
      </x:c>
      <x:c r="H88" s="2"/>
      <x:c r="I88" s="2"/>
      <x:c r="J88" s="1"/>
      <x:c r="K88" s="1"/>
    </x:row>
    <x:row r="89" ht="32" customHeight="1">
      <x:c r="A89" s="1"/>
      <x:c r="B89" s="1"/>
      <x:c r="C89" s="1" t="str">
        <x:v>Renewable Power</x:v>
      </x:c>
      <x:c r="D89" s="54" t="str">
        <x:v>Cash conversion cycle (days)</x:v>
      </x:c>
      <x:c r="E89" s="54" t="str">
        <x:v>Receivable days + inventory days − payable days</x:v>
      </x:c>
      <x:c r="F89" s="54" t="str">
        <x:v>Inventory and payable days use direct cost.</x:v>
      </x:c>
      <x:c r="G89" s="2" t="str">
        <x:v>Renewable Power!E83:I83</x:v>
      </x:c>
      <x:c r="H89" s="2"/>
      <x:c r="I89" s="2"/>
      <x:c r="J89" s="1"/>
      <x:c r="K89" s="1"/>
    </x:row>
    <x:row r="90" ht="32" customHeight="1">
      <x:c r="A90" s="1"/>
      <x:c r="B90" s="1"/>
      <x:c r="C90" s="1" t="str">
        <x:v>Renewable Power</x:v>
      </x:c>
      <x:c r="D90" s="54" t="str">
        <x:v>Net debt / EBITDA</x:v>
      </x:c>
      <x:c r="E90" s="54" t="str">
        <x:v>(Debt − cash) / EBITDA</x:v>
      </x:c>
      <x:c r="F90" s="54" t="str">
        <x:v>Negative ratio indicates net cash; negative cash is a funding gap.</x:v>
      </x:c>
      <x:c r="G90" s="2" t="str">
        <x:v>Renewable Power!E84:I84</x:v>
      </x:c>
      <x:c r="H90" s="2"/>
      <x:c r="I90" s="2"/>
      <x:c r="J90" s="1"/>
      <x:c r="K90" s="1"/>
    </x:row>
    <x:row r="91" ht="32" customHeight="1">
      <x:c r="A91" s="1"/>
      <x:c r="B91" s="1"/>
      <x:c r="C91" s="1" t="str">
        <x:v>Renewable Power</x:v>
      </x:c>
      <x:c r="D91" s="54" t="str">
        <x:v>EBIT / interest</x:v>
      </x:c>
      <x:c r="E91" s="54" t="str">
        <x:v>EBIT / interest expense</x:v>
      </x:c>
      <x:c r="F91" s="54" t="str">
        <x:v>Does not measure principal repayment capacity.</x:v>
      </x:c>
      <x:c r="G91" s="2" t="str">
        <x:v>Renewable Power!E85:I85</x:v>
      </x:c>
      <x:c r="H91" s="2"/>
      <x:c r="I91" s="2"/>
      <x:c r="J91" s="1"/>
      <x:c r="K91" s="1"/>
    </x:row>
    <x:row r="92" ht="32" customHeight="1">
      <x:c r="A92" s="1"/>
      <x:c r="B92" s="1"/>
      <x:c r="C92" s="1" t="str">
        <x:v>Renewable Power</x:v>
      </x:c>
      <x:c r="D92" s="54" t="str">
        <x:v>ROIC on average invested capital</x:v>
      </x:c>
      <x:c r="E92" s="54" t="str">
        <x:v>NOPAT / average (net PP&amp;E + net working capital)</x:v>
      </x:c>
      <x:c r="F92" s="54" t="str">
        <x:v>Excludes goodwill, leases and non-operating assets.</x:v>
      </x:c>
      <x:c r="G92" s="2" t="str">
        <x:v>Renewable Power!E86:I86</x:v>
      </x:c>
      <x:c r="H92" s="2"/>
      <x:c r="I92" s="2"/>
      <x:c r="J92" s="1"/>
      <x:c r="K92" s="1"/>
    </x:row>
    <x:row r="93" ht="32" customHeight="1">
      <x:c r="A93" s="1"/>
      <x:c r="B93" s="1"/>
      <x:c r="C93" s="1" t="str">
        <x:v>Renewable Power</x:v>
      </x:c>
      <x:c r="D93" s="54" t="str">
        <x:v>EBITDA / generated kWh (INR)</x:v>
      </x:c>
      <x:c r="E93" s="54" t="str">
        <x:v>EBITDA / generation</x:v>
      </x:c>
      <x:c r="F93" s="54" t="str">
        <x:v>Check curtailment, auxiliary use and collection lags.</x:v>
      </x:c>
      <x:c r="G93" s="2" t="str">
        <x:v>Renewable Power!E87:I87</x:v>
      </x:c>
      <x:c r="H93" s="2"/>
      <x:c r="I93" s="2"/>
      <x:c r="J93" s="1"/>
      <x:c r="K93" s="1"/>
    </x:row>
    <x:row r="94" ht="32" customHeight="1">
      <x:c r="A94" s="1"/>
      <x:c r="B94" s="1"/>
      <x:c r="C94" s="1" t="str">
        <x:v>Hotels</x:v>
      </x:c>
      <x:c r="D94" s="54" t="str">
        <x:v>Gross margin</x:v>
      </x:c>
      <x:c r="E94" s="54" t="str">
        <x:v>Gross profit / revenue</x:v>
      </x:c>
      <x:c r="F94" s="54" t="str">
        <x:v>Compare cost definitions before using peer benchmarks.</x:v>
      </x:c>
      <x:c r="G94" s="2" t="str">
        <x:v>Hotels!E80:I80</x:v>
      </x:c>
      <x:c r="H94" s="2"/>
      <x:c r="I94" s="2"/>
      <x:c r="J94" s="1"/>
      <x:c r="K94" s="1"/>
    </x:row>
    <x:row r="95" ht="32" customHeight="1">
      <x:c r="A95" s="1"/>
      <x:c r="B95" s="1"/>
      <x:c r="C95" s="1" t="str">
        <x:v>Hotels</x:v>
      </x:c>
      <x:c r="D95" s="54" t="str">
        <x:v>EBITDA margin</x:v>
      </x:c>
      <x:c r="E95" s="54" t="str">
        <x:v>EBITDA / revenue</x:v>
      </x:c>
      <x:c r="F95" s="54" t="str">
        <x:v>Pre-lease capitalization where rent is an operating expense.</x:v>
      </x:c>
      <x:c r="G95" s="2" t="str">
        <x:v>Hotels!E81:I81</x:v>
      </x:c>
      <x:c r="H95" s="2"/>
      <x:c r="I95" s="2"/>
      <x:c r="J95" s="1"/>
      <x:c r="K95" s="1"/>
    </x:row>
    <x:row r="96" ht="32" customHeight="1">
      <x:c r="A96" s="1"/>
      <x:c r="B96" s="1"/>
      <x:c r="C96" s="1" t="str">
        <x:v>Hotels</x:v>
      </x:c>
      <x:c r="D96" s="54" t="str">
        <x:v>Net margin</x:v>
      </x:c>
      <x:c r="E96" s="54" t="str">
        <x:v>PAT / revenue</x:v>
      </x:c>
      <x:c r="F96" s="54" t="str">
        <x:v>Includes modeled financing cost.</x:v>
      </x:c>
      <x:c r="G96" s="2" t="str">
        <x:v>Hotels!E82:I82</x:v>
      </x:c>
      <x:c r="H96" s="2"/>
      <x:c r="I96" s="2"/>
      <x:c r="J96" s="1"/>
      <x:c r="K96" s="1"/>
    </x:row>
    <x:row r="97" ht="32" customHeight="1">
      <x:c r="A97" s="1"/>
      <x:c r="B97" s="1"/>
      <x:c r="C97" s="1" t="str">
        <x:v>Hotels</x:v>
      </x:c>
      <x:c r="D97" s="54" t="str">
        <x:v>Operating cash conversion</x:v>
      </x:c>
      <x:c r="E97" s="54" t="str">
        <x:v>Operating cash flow after interest / EBITDA</x:v>
      </x:c>
      <x:c r="F97" s="54" t="str">
        <x:v>Tax, interest and working capital cause divergence.</x:v>
      </x:c>
      <x:c r="G97" s="2" t="str">
        <x:v>Hotels!E83:I83</x:v>
      </x:c>
      <x:c r="H97" s="2"/>
      <x:c r="I97" s="2"/>
      <x:c r="J97" s="1"/>
      <x:c r="K97" s="1"/>
    </x:row>
    <x:row r="98" ht="32" customHeight="1">
      <x:c r="A98" s="1"/>
      <x:c r="B98" s="1"/>
      <x:c r="C98" s="1" t="str">
        <x:v>Hotels</x:v>
      </x:c>
      <x:c r="D98" s="54" t="str">
        <x:v>Cash conversion cycle (days)</x:v>
      </x:c>
      <x:c r="E98" s="54" t="str">
        <x:v>Receivable days + inventory days − payable days</x:v>
      </x:c>
      <x:c r="F98" s="54" t="str">
        <x:v>Inventory and payable days use direct cost.</x:v>
      </x:c>
      <x:c r="G98" s="2" t="str">
        <x:v>Hotels!E84:I84</x:v>
      </x:c>
      <x:c r="H98" s="2"/>
      <x:c r="I98" s="2"/>
      <x:c r="J98" s="1"/>
      <x:c r="K98" s="1"/>
    </x:row>
    <x:row r="99" ht="32" customHeight="1">
      <x:c r="A99" s="1"/>
      <x:c r="B99" s="1"/>
      <x:c r="C99" s="1" t="str">
        <x:v>Hotels</x:v>
      </x:c>
      <x:c r="D99" s="54" t="str">
        <x:v>Net debt / EBITDA</x:v>
      </x:c>
      <x:c r="E99" s="54" t="str">
        <x:v>(Debt − cash) / EBITDA</x:v>
      </x:c>
      <x:c r="F99" s="54" t="str">
        <x:v>Negative ratio indicates net cash; negative cash is a funding gap.</x:v>
      </x:c>
      <x:c r="G99" s="2" t="str">
        <x:v>Hotels!E85:I85</x:v>
      </x:c>
      <x:c r="H99" s="2"/>
      <x:c r="I99" s="2"/>
      <x:c r="J99" s="1"/>
      <x:c r="K99" s="1"/>
    </x:row>
    <x:row r="100" ht="32" customHeight="1">
      <x:c r="A100" s="1"/>
      <x:c r="B100" s="1"/>
      <x:c r="C100" s="1" t="str">
        <x:v>Hotels</x:v>
      </x:c>
      <x:c r="D100" s="54" t="str">
        <x:v>EBIT / interest</x:v>
      </x:c>
      <x:c r="E100" s="54" t="str">
        <x:v>EBIT / interest expense</x:v>
      </x:c>
      <x:c r="F100" s="54" t="str">
        <x:v>Does not measure principal repayment capacity.</x:v>
      </x:c>
      <x:c r="G100" s="2" t="str">
        <x:v>Hotels!E86:I86</x:v>
      </x:c>
      <x:c r="H100" s="2"/>
      <x:c r="I100" s="2"/>
      <x:c r="J100" s="1"/>
      <x:c r="K100" s="1"/>
    </x:row>
    <x:row r="101" ht="32" customHeight="1">
      <x:c r="A101" s="1"/>
      <x:c r="B101" s="1"/>
      <x:c r="C101" s="1" t="str">
        <x:v>Hotels</x:v>
      </x:c>
      <x:c r="D101" s="54" t="str">
        <x:v>ROIC on average invested capital</x:v>
      </x:c>
      <x:c r="E101" s="54" t="str">
        <x:v>NOPAT / average (net PP&amp;E + net working capital)</x:v>
      </x:c>
      <x:c r="F101" s="54" t="str">
        <x:v>Excludes goodwill, leases and non-operating assets.</x:v>
      </x:c>
      <x:c r="G101" s="2" t="str">
        <x:v>Hotels!E87:I87</x:v>
      </x:c>
      <x:c r="H101" s="2"/>
      <x:c r="I101" s="2"/>
      <x:c r="J101" s="1"/>
      <x:c r="K101" s="1"/>
    </x:row>
    <x:row r="102" ht="32" customHeight="1">
      <x:c r="A102" s="1"/>
      <x:c r="B102" s="1"/>
      <x:c r="C102" s="1" t="str">
        <x:v>Hotels</x:v>
      </x:c>
      <x:c r="D102" s="54" t="str">
        <x:v>Room RevPAR (INR)</x:v>
      </x:c>
      <x:c r="E102" s="54" t="str">
        <x:v>Room ADR × occupancy</x:v>
      </x:c>
      <x:c r="F102" s="54" t="str">
        <x:v>Excludes food, beverage and other revenue.</x:v>
      </x:c>
      <x:c r="G102" s="2" t="str">
        <x:v>Hotels!E88:I88</x:v>
      </x:c>
      <x:c r="H102" s="2"/>
      <x:c r="I102" s="2"/>
      <x:c r="J102" s="1"/>
      <x:c r="K102" s="1"/>
    </x:row>
    <x:row r="103" ht="32" customHeight="1">
      <x:c r="A103" s="1"/>
      <x:c r="B103" s="1"/>
      <x:c r="C103" s="1" t="str">
        <x:v>Hotels</x:v>
      </x:c>
      <x:c r="D103" s="54" t="str">
        <x:v>Total revenue per available room-day (INR)</x:v>
      </x:c>
      <x:c r="E103" s="54" t="str">
        <x:v>Total hotel revenue / available room-days</x:v>
      </x:c>
      <x:c r="F103" s="54" t="str">
        <x:v>Includes ancillary revenue, unlike room RevPAR.</x:v>
      </x:c>
      <x:c r="G103" s="2" t="str">
        <x:v>Hotels!E89:I89</x:v>
      </x:c>
      <x:c r="H103" s="2"/>
      <x:c r="I103" s="2"/>
      <x:c r="J103" s="1"/>
      <x:c r="K103" s="1"/>
    </x:row>
    <x:row r="104" ht="32" customHeight="1">
      <x:c r="A104" s="1"/>
      <x:c r="B104" s="1"/>
      <x:c r="C104" s="1" t="str">
        <x:v>Retail</x:v>
      </x:c>
      <x:c r="D104" s="54" t="str">
        <x:v>Gross margin</x:v>
      </x:c>
      <x:c r="E104" s="54" t="str">
        <x:v>Gross profit / revenue</x:v>
      </x:c>
      <x:c r="F104" s="54" t="str">
        <x:v>Compare cost definitions before using peer benchmarks.</x:v>
      </x:c>
      <x:c r="G104" s="2" t="str">
        <x:v>Retail!E79:I79</x:v>
      </x:c>
      <x:c r="H104" s="2"/>
      <x:c r="I104" s="2"/>
      <x:c r="J104" s="1"/>
      <x:c r="K104" s="1"/>
    </x:row>
    <x:row r="105" ht="32" customHeight="1">
      <x:c r="A105" s="1"/>
      <x:c r="B105" s="1"/>
      <x:c r="C105" s="1" t="str">
        <x:v>Retail</x:v>
      </x:c>
      <x:c r="D105" s="54" t="str">
        <x:v>EBITDA margin</x:v>
      </x:c>
      <x:c r="E105" s="54" t="str">
        <x:v>EBITDA / revenue</x:v>
      </x:c>
      <x:c r="F105" s="54" t="str">
        <x:v>Pre-lease capitalization where rent is an operating expense.</x:v>
      </x:c>
      <x:c r="G105" s="2" t="str">
        <x:v>Retail!E80:I80</x:v>
      </x:c>
      <x:c r="H105" s="2"/>
      <x:c r="I105" s="2"/>
      <x:c r="J105" s="1"/>
      <x:c r="K105" s="1"/>
    </x:row>
    <x:row r="106" ht="32" customHeight="1">
      <x:c r="A106" s="1"/>
      <x:c r="B106" s="1"/>
      <x:c r="C106" s="1" t="str">
        <x:v>Retail</x:v>
      </x:c>
      <x:c r="D106" s="54" t="str">
        <x:v>Net margin</x:v>
      </x:c>
      <x:c r="E106" s="54" t="str">
        <x:v>PAT / revenue</x:v>
      </x:c>
      <x:c r="F106" s="54" t="str">
        <x:v>Includes modeled financing cost.</x:v>
      </x:c>
      <x:c r="G106" s="2" t="str">
        <x:v>Retail!E81:I81</x:v>
      </x:c>
      <x:c r="H106" s="2"/>
      <x:c r="I106" s="2"/>
      <x:c r="J106" s="1"/>
      <x:c r="K106" s="1"/>
    </x:row>
    <x:row r="107" ht="32" customHeight="1">
      <x:c r="A107" s="1"/>
      <x:c r="B107" s="1"/>
      <x:c r="C107" s="1" t="str">
        <x:v>Retail</x:v>
      </x:c>
      <x:c r="D107" s="54" t="str">
        <x:v>Operating cash conversion</x:v>
      </x:c>
      <x:c r="E107" s="54" t="str">
        <x:v>Operating cash flow after interest / EBITDA</x:v>
      </x:c>
      <x:c r="F107" s="54" t="str">
        <x:v>Tax, interest and working capital cause divergence.</x:v>
      </x:c>
      <x:c r="G107" s="2" t="str">
        <x:v>Retail!E82:I82</x:v>
      </x:c>
      <x:c r="H107" s="2"/>
      <x:c r="I107" s="2"/>
      <x:c r="J107" s="1"/>
      <x:c r="K107" s="1"/>
    </x:row>
    <x:row r="108" ht="32" customHeight="1">
      <x:c r="A108" s="1"/>
      <x:c r="B108" s="1"/>
      <x:c r="C108" s="1" t="str">
        <x:v>Retail</x:v>
      </x:c>
      <x:c r="D108" s="54" t="str">
        <x:v>Cash conversion cycle (days)</x:v>
      </x:c>
      <x:c r="E108" s="54" t="str">
        <x:v>Receivable days + inventory days − payable days</x:v>
      </x:c>
      <x:c r="F108" s="54" t="str">
        <x:v>Inventory and payable days use direct cost.</x:v>
      </x:c>
      <x:c r="G108" s="2" t="str">
        <x:v>Retail!E83:I83</x:v>
      </x:c>
      <x:c r="H108" s="2"/>
      <x:c r="I108" s="2"/>
      <x:c r="J108" s="1"/>
      <x:c r="K108" s="1"/>
    </x:row>
    <x:row r="109" ht="32" customHeight="1">
      <x:c r="A109" s="1"/>
      <x:c r="B109" s="1"/>
      <x:c r="C109" s="1" t="str">
        <x:v>Retail</x:v>
      </x:c>
      <x:c r="D109" s="54" t="str">
        <x:v>Net debt / EBITDA</x:v>
      </x:c>
      <x:c r="E109" s="54" t="str">
        <x:v>(Debt − cash) / EBITDA</x:v>
      </x:c>
      <x:c r="F109" s="54" t="str">
        <x:v>Negative ratio indicates net cash; negative cash is a funding gap.</x:v>
      </x:c>
      <x:c r="G109" s="2" t="str">
        <x:v>Retail!E84:I84</x:v>
      </x:c>
      <x:c r="H109" s="2"/>
      <x:c r="I109" s="2"/>
      <x:c r="J109" s="1"/>
      <x:c r="K109" s="1"/>
    </x:row>
    <x:row r="110" ht="32" customHeight="1">
      <x:c r="A110" s="1"/>
      <x:c r="B110" s="1"/>
      <x:c r="C110" s="1" t="str">
        <x:v>Retail</x:v>
      </x:c>
      <x:c r="D110" s="54" t="str">
        <x:v>EBIT / interest</x:v>
      </x:c>
      <x:c r="E110" s="54" t="str">
        <x:v>EBIT / interest expense</x:v>
      </x:c>
      <x:c r="F110" s="54" t="str">
        <x:v>Does not measure principal repayment capacity.</x:v>
      </x:c>
      <x:c r="G110" s="2" t="str">
        <x:v>Retail!E85:I85</x:v>
      </x:c>
      <x:c r="H110" s="2"/>
      <x:c r="I110" s="2"/>
      <x:c r="J110" s="1"/>
      <x:c r="K110" s="1"/>
    </x:row>
    <x:row r="111" ht="32" customHeight="1">
      <x:c r="A111" s="1"/>
      <x:c r="B111" s="1"/>
      <x:c r="C111" s="1" t="str">
        <x:v>Retail</x:v>
      </x:c>
      <x:c r="D111" s="54" t="str">
        <x:v>ROIC on average invested capital</x:v>
      </x:c>
      <x:c r="E111" s="54" t="str">
        <x:v>NOPAT / average (net PP&amp;E + net working capital)</x:v>
      </x:c>
      <x:c r="F111" s="54" t="str">
        <x:v>Excludes goodwill, leases and non-operating assets.</x:v>
      </x:c>
      <x:c r="G111" s="2" t="str">
        <x:v>Retail!E86:I86</x:v>
      </x:c>
      <x:c r="H111" s="2"/>
      <x:c r="I111" s="2"/>
      <x:c r="J111" s="1"/>
      <x:c r="K111" s="1"/>
    </x:row>
    <x:row r="112" ht="32" customHeight="1">
      <x:c r="A112" s="1"/>
      <x:c r="B112" s="1"/>
      <x:c r="C112" s="1" t="str">
        <x:v>Retail</x:v>
      </x:c>
      <x:c r="D112" s="54" t="str">
        <x:v>Merchandise inventory turns</x:v>
      </x:c>
      <x:c r="E112" s="54" t="str">
        <x:v>Merchandise cost / closing inventory</x:v>
      </x:c>
      <x:c r="F112" s="54" t="str">
        <x:v>Uses closing stock. Add markdowns, shrinkage and average inventory for issuer work.</x:v>
      </x:c>
      <x:c r="G112" s="2" t="str">
        <x:v>Retail!E87:I87</x:v>
      </x:c>
      <x:c r="H112" s="2"/>
      <x:c r="I112" s="2"/>
      <x:c r="J112" s="1"/>
      <x:c r="K112" s="1"/>
    </x:row>
    <x:row r="113" ht="32" customHeight="1">
      <x:c r="A113" s="1"/>
      <x:c r="B113" s="1"/>
      <x:c r="C113" s="1" t="str">
        <x:v>Retail</x:v>
      </x:c>
      <x:c r="D113" s="54" t="str">
        <x:v>EBITDA per sq ft (INR)</x:v>
      </x:c>
      <x:c r="E113" s="54" t="str">
        <x:v>EBITDA / average selling area</x:v>
      </x:c>
      <x:c r="F113" s="54" t="str">
        <x:v>Align selling area with revenue-generating time.</x:v>
      </x:c>
      <x:c r="G113" s="2" t="str">
        <x:v>Retail!E88:I88</x:v>
      </x:c>
      <x:c r="H113" s="2"/>
      <x:c r="I113" s="2"/>
      <x:c r="J113" s="1"/>
      <x:c r="K113" s="1"/>
    </x:row>
    <x:row r="114" ht="32" customHeight="1">
      <x:c r="A114" s="1"/>
      <x:c r="B114" s="1"/>
      <x:c r="C114" s="1" t="str">
        <x:v>EPC</x:v>
      </x:c>
      <x:c r="D114" s="54" t="str">
        <x:v>Gross margin</x:v>
      </x:c>
      <x:c r="E114" s="54" t="str">
        <x:v>Gross profit / revenue</x:v>
      </x:c>
      <x:c r="F114" s="54" t="str">
        <x:v>Compare cost definitions before using peer benchmarks.</x:v>
      </x:c>
      <x:c r="G114" s="2" t="str">
        <x:v>EPC!E82:I82</x:v>
      </x:c>
      <x:c r="H114" s="2"/>
      <x:c r="I114" s="2"/>
      <x:c r="J114" s="1"/>
      <x:c r="K114" s="1"/>
    </x:row>
    <x:row r="115" ht="32" customHeight="1">
      <x:c r="A115" s="1"/>
      <x:c r="B115" s="1"/>
      <x:c r="C115" s="1" t="str">
        <x:v>EPC</x:v>
      </x:c>
      <x:c r="D115" s="54" t="str">
        <x:v>EBITDA margin</x:v>
      </x:c>
      <x:c r="E115" s="54" t="str">
        <x:v>EBITDA / revenue</x:v>
      </x:c>
      <x:c r="F115" s="54" t="str">
        <x:v>Pre-lease capitalization where rent is an operating expense.</x:v>
      </x:c>
      <x:c r="G115" s="2" t="str">
        <x:v>EPC!E83:I83</x:v>
      </x:c>
      <x:c r="H115" s="2"/>
      <x:c r="I115" s="2"/>
      <x:c r="J115" s="1"/>
      <x:c r="K115" s="1"/>
    </x:row>
    <x:row r="116" ht="32" customHeight="1">
      <x:c r="A116" s="1"/>
      <x:c r="B116" s="1"/>
      <x:c r="C116" s="1" t="str">
        <x:v>EPC</x:v>
      </x:c>
      <x:c r="D116" s="54" t="str">
        <x:v>Net margin</x:v>
      </x:c>
      <x:c r="E116" s="54" t="str">
        <x:v>PAT / revenue</x:v>
      </x:c>
      <x:c r="F116" s="54" t="str">
        <x:v>Includes modeled financing cost.</x:v>
      </x:c>
      <x:c r="G116" s="2" t="str">
        <x:v>EPC!E84:I84</x:v>
      </x:c>
      <x:c r="H116" s="2"/>
      <x:c r="I116" s="2"/>
      <x:c r="J116" s="1"/>
      <x:c r="K116" s="1"/>
    </x:row>
    <x:row r="117" ht="32" customHeight="1">
      <x:c r="A117" s="1"/>
      <x:c r="B117" s="1"/>
      <x:c r="C117" s="1" t="str">
        <x:v>EPC</x:v>
      </x:c>
      <x:c r="D117" s="54" t="str">
        <x:v>Operating cash conversion</x:v>
      </x:c>
      <x:c r="E117" s="54" t="str">
        <x:v>Operating cash flow after interest / EBITDA</x:v>
      </x:c>
      <x:c r="F117" s="54" t="str">
        <x:v>Tax, interest and working capital cause divergence.</x:v>
      </x:c>
      <x:c r="G117" s="2" t="str">
        <x:v>EPC!E85:I85</x:v>
      </x:c>
      <x:c r="H117" s="2"/>
      <x:c r="I117" s="2"/>
      <x:c r="J117" s="1"/>
      <x:c r="K117" s="1"/>
    </x:row>
    <x:row r="118" ht="32" customHeight="1">
      <x:c r="A118" s="1"/>
      <x:c r="B118" s="1"/>
      <x:c r="C118" s="1" t="str">
        <x:v>EPC</x:v>
      </x:c>
      <x:c r="D118" s="54" t="str">
        <x:v>Cash conversion cycle (days)</x:v>
      </x:c>
      <x:c r="E118" s="54" t="str">
        <x:v>Receivable days + inventory days − payable days</x:v>
      </x:c>
      <x:c r="F118" s="54" t="str">
        <x:v>Inventory and payable days use direct cost.</x:v>
      </x:c>
      <x:c r="G118" s="2" t="str">
        <x:v>EPC!E86:I86</x:v>
      </x:c>
      <x:c r="H118" s="2"/>
      <x:c r="I118" s="2"/>
      <x:c r="J118" s="1"/>
      <x:c r="K118" s="1"/>
    </x:row>
    <x:row r="119" ht="32" customHeight="1">
      <x:c r="A119" s="1"/>
      <x:c r="B119" s="1"/>
      <x:c r="C119" s="1" t="str">
        <x:v>EPC</x:v>
      </x:c>
      <x:c r="D119" s="54" t="str">
        <x:v>Net debt / EBITDA</x:v>
      </x:c>
      <x:c r="E119" s="54" t="str">
        <x:v>(Debt − cash) / EBITDA</x:v>
      </x:c>
      <x:c r="F119" s="54" t="str">
        <x:v>Negative ratio indicates net cash; negative cash is a funding gap.</x:v>
      </x:c>
      <x:c r="G119" s="2" t="str">
        <x:v>EPC!E87:I87</x:v>
      </x:c>
      <x:c r="H119" s="2"/>
      <x:c r="I119" s="2"/>
      <x:c r="J119" s="1"/>
      <x:c r="K119" s="1"/>
    </x:row>
    <x:row r="120" ht="32" customHeight="1">
      <x:c r="A120" s="1"/>
      <x:c r="B120" s="1"/>
      <x:c r="C120" s="1" t="str">
        <x:v>EPC</x:v>
      </x:c>
      <x:c r="D120" s="54" t="str">
        <x:v>EBIT / interest</x:v>
      </x:c>
      <x:c r="E120" s="54" t="str">
        <x:v>EBIT / interest expense</x:v>
      </x:c>
      <x:c r="F120" s="54" t="str">
        <x:v>Does not measure principal repayment capacity.</x:v>
      </x:c>
      <x:c r="G120" s="2" t="str">
        <x:v>EPC!E88:I88</x:v>
      </x:c>
      <x:c r="H120" s="2"/>
      <x:c r="I120" s="2"/>
      <x:c r="J120" s="1"/>
      <x:c r="K120" s="1"/>
    </x:row>
    <x:row r="121" ht="32" customHeight="1">
      <x:c r="A121" s="1"/>
      <x:c r="B121" s="1"/>
      <x:c r="C121" s="1" t="str">
        <x:v>EPC</x:v>
      </x:c>
      <x:c r="D121" s="54" t="str">
        <x:v>ROIC on average invested capital</x:v>
      </x:c>
      <x:c r="E121" s="54" t="str">
        <x:v>NOPAT / average (net PP&amp;E + net working capital)</x:v>
      </x:c>
      <x:c r="F121" s="54" t="str">
        <x:v>Excludes goodwill, leases and non-operating assets.</x:v>
      </x:c>
      <x:c r="G121" s="2" t="str">
        <x:v>EPC!E89:I89</x:v>
      </x:c>
      <x:c r="H121" s="2"/>
      <x:c r="I121" s="2"/>
      <x:c r="J121" s="1"/>
      <x:c r="K121" s="1"/>
    </x:row>
    <x:row r="122" ht="32" customHeight="1">
      <x:c r="A122" s="1"/>
      <x:c r="B122" s="1"/>
      <x:c r="C122" s="1" t="str">
        <x:v>EPC</x:v>
      </x:c>
      <x:c r="D122" s="54" t="str">
        <x:v>Closing order book / revenue</x:v>
      </x:c>
      <x:c r="E122" s="54" t="str">
        <x:v>Closing executable book / annual revenue</x:v>
      </x:c>
      <x:c r="F122" s="54" t="str">
        <x:v>Not equivalent to guaranteed years of revenue.</x:v>
      </x:c>
      <x:c r="G122" s="2" t="str">
        <x:v>EPC!E90:I90</x:v>
      </x:c>
      <x:c r="H122" s="2"/>
      <x:c r="I122" s="2"/>
      <x:c r="J122" s="1"/>
      <x:c r="K122" s="1"/>
    </x:row>
    <x:row r="123" ht="32" customHeight="1">
      <x:c r="A123" s="1"/>
      <x:c r="B123" s="1"/>
      <x:c r="C123" s="1" t="str">
        <x:v>EPC</x:v>
      </x:c>
      <x:c r="D123" s="54" t="str">
        <x:v>Book-to-bill ratio</x:v>
      </x:c>
      <x:c r="E123" s="54" t="str">
        <x:v>New orders won / recognized revenue</x:v>
      </x:c>
      <x:c r="F123" s="54" t="str">
        <x:v>Above 1x expands the backlog before cancellations.</x:v>
      </x:c>
      <x:c r="G123" s="2" t="str">
        <x:v>EPC!E91:I91</x:v>
      </x:c>
      <x:c r="H123" s="2"/>
      <x:c r="I123" s="2"/>
      <x:c r="J123" s="1"/>
      <x:c r="K123" s="1"/>
    </x:row>
    <x:row r="124" ht="32" customHeight="1">
      <x:c r="A124" s="1"/>
      <x:c r="B124" s="1"/>
      <x:c r="C124" s="1" t="str">
        <x:v>Banking</x:v>
      </x:c>
      <x:c r="D124" s="54" t="str">
        <x:v>Net interest margin</x:v>
      </x:c>
      <x:c r="E124" s="54" t="str">
        <x:v>NII / average loans plus investments</x:v>
      </x:c>
      <x:c r="F124" s="54" t="str">
        <x:v>Earning assets exclude residual non-interest-bearing cash.</x:v>
      </x:c>
      <x:c r="G124" s="2" t="str">
        <x:v>Banking!E76:I76</x:v>
      </x:c>
      <x:c r="H124" s="2"/>
      <x:c r="I124" s="2"/>
      <x:c r="J124" s="1"/>
      <x:c r="K124" s="1"/>
    </x:row>
    <x:row r="125" ht="32" customHeight="1">
      <x:c r="A125" s="1"/>
      <x:c r="B125" s="1"/>
      <x:c r="C125" s="1" t="str">
        <x:v>Banking</x:v>
      </x:c>
      <x:c r="D125" s="54" t="str">
        <x:v>Return on average equity</x:v>
      </x:c>
      <x:c r="E125" s="54" t="str">
        <x:v>PAT / average book equity</x:v>
      </x:c>
      <x:c r="F125" s="54" t="str">
        <x:v>New equity timing is approximated by average balances.</x:v>
      </x:c>
      <x:c r="G125" s="2" t="str">
        <x:v>Banking!E77:I77</x:v>
      </x:c>
      <x:c r="H125" s="2"/>
      <x:c r="I125" s="2"/>
      <x:c r="J125" s="1"/>
      <x:c r="K125" s="1"/>
    </x:row>
    <x:row r="126" ht="32" customHeight="1">
      <x:c r="A126" s="1"/>
      <x:c r="B126" s="1"/>
      <x:c r="C126" s="1" t="str">
        <x:v>Banking</x:v>
      </x:c>
      <x:c r="D126" s="54" t="str">
        <x:v>Return on average assets</x:v>
      </x:c>
      <x:c r="E126" s="54" t="str">
        <x:v>PAT / average total assets</x:v>
      </x:c>
      <x:c r="F126" s="54" t="str">
        <x:v>Balance-sheet proxy excludes other liabilities.</x:v>
      </x:c>
      <x:c r="G126" s="2" t="str">
        <x:v>Banking!E78:I78</x:v>
      </x:c>
      <x:c r="H126" s="2"/>
      <x:c r="I126" s="2"/>
      <x:c r="J126" s="1"/>
      <x:c r="K126" s="1"/>
    </x:row>
    <x:row r="127" ht="32" customHeight="1">
      <x:c r="A127" s="1"/>
      <x:c r="B127" s="1"/>
      <x:c r="C127" s="1" t="str">
        <x:v>Banking</x:v>
      </x:c>
      <x:c r="D127" s="54" t="str">
        <x:v>Gross NPA ratio</x:v>
      </x:c>
      <x:c r="E127" s="54" t="str">
        <x:v>Gross NPA / gross loans</x:v>
      </x:c>
      <x:c r="F127" s="54" t="str">
        <x:v>Regulatory recognition and issuer stage definitions need reconciliation.</x:v>
      </x:c>
      <x:c r="G127" s="2" t="str">
        <x:v>Banking!E79:I79</x:v>
      </x:c>
      <x:c r="H127" s="2"/>
      <x:c r="I127" s="2"/>
      <x:c r="J127" s="1"/>
      <x:c r="K127" s="1"/>
    </x:row>
    <x:row r="128" ht="32" customHeight="1">
      <x:c r="A128" s="1"/>
      <x:c r="B128" s="1"/>
      <x:c r="C128" s="1" t="str">
        <x:v>Banking</x:v>
      </x:c>
      <x:c r="D128" s="54" t="str">
        <x:v>Allowance / gross NPA</x:v>
      </x:c>
      <x:c r="E128" s="54" t="str">
        <x:v>Total allowance / gross NPA</x:v>
      </x:c>
      <x:c r="F128" s="54" t="str">
        <x:v>Not a reported provision coverage ratio; includes performing-loan allowance.</x:v>
      </x:c>
      <x:c r="G128" s="2" t="str">
        <x:v>Banking!E80:I80</x:v>
      </x:c>
      <x:c r="H128" s="2"/>
      <x:c r="I128" s="2"/>
      <x:c r="J128" s="1"/>
      <x:c r="K128" s="1"/>
    </x:row>
    <x:row r="129" ht="32" customHeight="1">
      <x:c r="A129" s="1"/>
      <x:c r="B129" s="1"/>
      <x:c r="C129" s="1" t="str">
        <x:v>Banking</x:v>
      </x:c>
      <x:c r="D129" s="54" t="str">
        <x:v>Loan / deposit ratio</x:v>
      </x:c>
      <x:c r="E129" s="54" t="str">
        <x:v>Gross loans / funding balance</x:v>
      </x:c>
      <x:c r="F129" s="54" t="str">
        <x:v>Funding composition and maturities are not modeled.</x:v>
      </x:c>
      <x:c r="G129" s="2" t="str">
        <x:v>Banking!E81:I81</x:v>
      </x:c>
      <x:c r="H129" s="2"/>
      <x:c r="I129" s="2"/>
      <x:c r="J129" s="1"/>
      <x:c r="K129" s="1"/>
    </x:row>
    <x:row r="130" ht="32" customHeight="1">
      <x:c r="A130" s="1"/>
      <x:c r="B130" s="1"/>
      <x:c r="C130" s="1" t="str">
        <x:v>Banking</x:v>
      </x:c>
      <x:c r="D130" s="54" t="str">
        <x:v>Capital adequacy proxy</x:v>
      </x:c>
      <x:c r="E130" s="54" t="str">
        <x:v>Eligible modeled capital / estimated RWA</x:v>
      </x:c>
      <x:c r="F130" s="54" t="str">
        <x:v>Proxy only. Not CET1, CRAR or a regulatory solvency conclusion.</x:v>
      </x:c>
      <x:c r="G130" s="2" t="str">
        <x:v>Banking!E82:I82</x:v>
      </x:c>
      <x:c r="H130" s="2"/>
      <x:c r="I130" s="2"/>
      <x:c r="J130" s="1"/>
      <x:c r="K130" s="1"/>
    </x:row>
    <x:row r="131" ht="32" customHeight="1">
      <x:c r="A131" s="1"/>
      <x:c r="B131" s="1"/>
      <x:c r="C131" s="1" t="str">
        <x:v>NBFC</x:v>
      </x:c>
      <x:c r="D131" s="54" t="str">
        <x:v>Net interest margin</x:v>
      </x:c>
      <x:c r="E131" s="54" t="str">
        <x:v>NII / average loans plus investments</x:v>
      </x:c>
      <x:c r="F131" s="54" t="str">
        <x:v>Earning assets exclude residual non-interest-bearing cash.</x:v>
      </x:c>
      <x:c r="G131" s="2" t="str">
        <x:v>NBFC!E76:I76</x:v>
      </x:c>
      <x:c r="H131" s="2"/>
      <x:c r="I131" s="2"/>
      <x:c r="J131" s="1"/>
      <x:c r="K131" s="1"/>
    </x:row>
    <x:row r="132" ht="32" customHeight="1">
      <x:c r="A132" s="1"/>
      <x:c r="B132" s="1"/>
      <x:c r="C132" s="1" t="str">
        <x:v>NBFC</x:v>
      </x:c>
      <x:c r="D132" s="54" t="str">
        <x:v>Return on average equity</x:v>
      </x:c>
      <x:c r="E132" s="54" t="str">
        <x:v>PAT / average book equity</x:v>
      </x:c>
      <x:c r="F132" s="54" t="str">
        <x:v>New equity timing is approximated by average balances.</x:v>
      </x:c>
      <x:c r="G132" s="2" t="str">
        <x:v>NBFC!E77:I77</x:v>
      </x:c>
      <x:c r="H132" s="2"/>
      <x:c r="I132" s="2"/>
      <x:c r="J132" s="1"/>
      <x:c r="K132" s="1"/>
    </x:row>
    <x:row r="133" ht="32" customHeight="1">
      <x:c r="A133" s="1"/>
      <x:c r="B133" s="1"/>
      <x:c r="C133" s="1" t="str">
        <x:v>NBFC</x:v>
      </x:c>
      <x:c r="D133" s="54" t="str">
        <x:v>Return on average assets</x:v>
      </x:c>
      <x:c r="E133" s="54" t="str">
        <x:v>PAT / average total assets</x:v>
      </x:c>
      <x:c r="F133" s="54" t="str">
        <x:v>Balance-sheet proxy excludes other liabilities.</x:v>
      </x:c>
      <x:c r="G133" s="2" t="str">
        <x:v>NBFC!E78:I78</x:v>
      </x:c>
      <x:c r="H133" s="2"/>
      <x:c r="I133" s="2"/>
      <x:c r="J133" s="1"/>
      <x:c r="K133" s="1"/>
    </x:row>
    <x:row r="134" ht="32" customHeight="1">
      <x:c r="A134" s="1"/>
      <x:c r="B134" s="1"/>
      <x:c r="C134" s="1" t="str">
        <x:v>NBFC</x:v>
      </x:c>
      <x:c r="D134" s="54" t="str">
        <x:v>Gross NPA ratio</x:v>
      </x:c>
      <x:c r="E134" s="54" t="str">
        <x:v>Gross NPA / gross loans</x:v>
      </x:c>
      <x:c r="F134" s="54" t="str">
        <x:v>Regulatory recognition and issuer stage definitions need reconciliation.</x:v>
      </x:c>
      <x:c r="G134" s="2" t="str">
        <x:v>NBFC!E79:I79</x:v>
      </x:c>
      <x:c r="H134" s="2"/>
      <x:c r="I134" s="2"/>
      <x:c r="J134" s="1"/>
      <x:c r="K134" s="1"/>
    </x:row>
    <x:row r="135" ht="32" customHeight="1">
      <x:c r="A135" s="1"/>
      <x:c r="B135" s="1"/>
      <x:c r="C135" s="1" t="str">
        <x:v>NBFC</x:v>
      </x:c>
      <x:c r="D135" s="54" t="str">
        <x:v>Allowance / gross NPA</x:v>
      </x:c>
      <x:c r="E135" s="54" t="str">
        <x:v>Total allowance / gross NPA</x:v>
      </x:c>
      <x:c r="F135" s="54" t="str">
        <x:v>Not a reported provision coverage ratio; includes performing-loan allowance.</x:v>
      </x:c>
      <x:c r="G135" s="2" t="str">
        <x:v>NBFC!E80:I80</x:v>
      </x:c>
      <x:c r="H135" s="2"/>
      <x:c r="I135" s="2"/>
      <x:c r="J135" s="1"/>
      <x:c r="K135" s="1"/>
    </x:row>
    <x:row r="136" ht="32" customHeight="1">
      <x:c r="A136" s="1"/>
      <x:c r="B136" s="1"/>
      <x:c r="C136" s="1" t="str">
        <x:v>NBFC</x:v>
      </x:c>
      <x:c r="D136" s="54" t="str">
        <x:v>Gross loans / borrowings</x:v>
      </x:c>
      <x:c r="E136" s="54" t="str">
        <x:v>Gross loans / funding balance</x:v>
      </x:c>
      <x:c r="F136" s="54" t="str">
        <x:v>Funding composition and maturities are not modeled.</x:v>
      </x:c>
      <x:c r="G136" s="2" t="str">
        <x:v>NBFC!E81:I81</x:v>
      </x:c>
      <x:c r="H136" s="2"/>
      <x:c r="I136" s="2"/>
      <x:c r="J136" s="1"/>
      <x:c r="K136" s="1"/>
    </x:row>
    <x:row r="137" ht="32" customHeight="1">
      <x:c r="A137" s="1"/>
      <x:c r="B137" s="1"/>
      <x:c r="C137" s="1" t="str">
        <x:v>NBFC</x:v>
      </x:c>
      <x:c r="D137" s="54" t="str">
        <x:v>Capital adequacy proxy</x:v>
      </x:c>
      <x:c r="E137" s="54" t="str">
        <x:v>Eligible modeled capital / estimated RWA</x:v>
      </x:c>
      <x:c r="F137" s="54" t="str">
        <x:v>Proxy only. Not CET1, CRAR or a regulatory solvency conclusion.</x:v>
      </x:c>
      <x:c r="G137" s="2" t="str">
        <x:v>NBFC!E82:I82</x:v>
      </x:c>
      <x:c r="H137" s="2"/>
      <x:c r="I137" s="2"/>
      <x:c r="J137" s="1"/>
      <x:c r="K137" s="1"/>
    </x:row>
    <x:row r="138" ht="32" customHeight="1">
      <x:c r="A138" s="1"/>
      <x:c r="B138" s="1"/>
      <x:c r="C138" s="1" t="str">
        <x:v>General Insurance</x:v>
      </x:c>
      <x:c r="D138" s="54" t="str">
        <x:v>Loss ratio</x:v>
      </x:c>
      <x:c r="E138" s="54" t="str">
        <x:v>Net incurred claims / net earned premium</x:v>
      </x:c>
      <x:c r="F138" s="54" t="str">
        <x:v>Separate catastrophe and prior-year development for real insurers.</x:v>
      </x:c>
      <x:c r="G138" s="2" t="str">
        <x:v>General Insurance!E51:I51</x:v>
      </x:c>
      <x:c r="H138" s="2"/>
      <x:c r="I138" s="2"/>
      <x:c r="J138" s="1"/>
      <x:c r="K138" s="1"/>
    </x:row>
    <x:row r="139" ht="32" customHeight="1">
      <x:c r="A139" s="1"/>
      <x:c r="B139" s="1"/>
      <x:c r="C139" s="1" t="str">
        <x:v>General Insurance</x:v>
      </x:c>
      <x:c r="D139" s="54" t="str">
        <x:v>Expense ratio on written premium</x:v>
      </x:c>
      <x:c r="E139" s="54" t="str">
        <x:v>Net management expense / net written premium</x:v>
      </x:c>
      <x:c r="F139" s="54" t="str">
        <x:v>Net expense includes reinsurance commission offsets.</x:v>
      </x:c>
      <x:c r="G139" s="2" t="str">
        <x:v>General Insurance!E52:I52</x:v>
      </x:c>
      <x:c r="H139" s="2"/>
      <x:c r="I139" s="2"/>
      <x:c r="J139" s="1"/>
      <x:c r="K139" s="1"/>
    </x:row>
    <x:row r="140" ht="32" customHeight="1">
      <x:c r="A140" s="1"/>
      <x:c r="B140" s="1"/>
      <x:c r="C140" s="1" t="str">
        <x:v>General Insurance</x:v>
      </x:c>
      <x:c r="D140" s="54" t="str">
        <x:v>Combined ratio on mixed bases</x:v>
      </x:c>
      <x:c r="E140" s="54" t="str">
        <x:v>Claims / NEP + net expenses / NWP</x:v>
      </x:c>
      <x:c r="F140" s="54" t="str">
        <x:v>Matches the cited Indian issuer convention; not exactly 1 − underwriting margin when NWP differs from NEP.</x:v>
      </x:c>
      <x:c r="G140" s="2" t="str">
        <x:v>General Insurance!E53:I53</x:v>
      </x:c>
      <x:c r="H140" s="2"/>
      <x:c r="I140" s="2"/>
      <x:c r="J140" s="1"/>
      <x:c r="K140" s="1"/>
    </x:row>
    <x:row r="141" ht="32" customHeight="1">
      <x:c r="A141" s="1"/>
      <x:c r="B141" s="1"/>
      <x:c r="C141" s="1" t="str">
        <x:v>General Insurance</x:v>
      </x:c>
      <x:c r="D141" s="54" t="str">
        <x:v>Underwriting margin on earned premium</x:v>
      </x:c>
      <x:c r="E141" s="54" t="str">
        <x:v>Underwriting profit / NEP</x:v>
      </x:c>
      <x:c r="F141" s="54" t="str">
        <x:v>Direct measure of modeled underwriting profitability.</x:v>
      </x:c>
      <x:c r="G141" s="2" t="str">
        <x:v>General Insurance!E54:I54</x:v>
      </x:c>
      <x:c r="H141" s="2"/>
      <x:c r="I141" s="2"/>
      <x:c r="J141" s="1"/>
      <x:c r="K141" s="1"/>
    </x:row>
    <x:row r="142" ht="32" customHeight="1">
      <x:c r="A142" s="1"/>
      <x:c r="B142" s="1"/>
      <x:c r="C142" s="1" t="str">
        <x:v>General Insurance</x:v>
      </x:c>
      <x:c r="D142" s="54" t="str">
        <x:v>Return on average equity</x:v>
      </x:c>
      <x:c r="E142" s="54" t="str">
        <x:v>PAT / average equity</x:v>
      </x:c>
      <x:c r="F142" s="54" t="str">
        <x:v>Investment income can mask underwriting losses.</x:v>
      </x:c>
      <x:c r="G142" s="2" t="str">
        <x:v>General Insurance!E55:I55</x:v>
      </x:c>
      <x:c r="H142" s="2"/>
      <x:c r="I142" s="2"/>
      <x:c r="J142" s="1"/>
      <x:c r="K142" s="1"/>
    </x:row>
    <x:row r="143" ht="32" customHeight="1">
      <x:c r="A143" s="1"/>
      <x:c r="B143" s="1"/>
      <x:c r="C143" s="1" t="str">
        <x:v>General Insurance</x:v>
      </x:c>
      <x:c r="D143" s="54" t="str">
        <x:v>Technical reserves / equity</x:v>
      </x:c>
      <x:c r="E143" s="54" t="str">
        <x:v>(UPR + outstanding claims reserve) / equity</x:v>
      </x:c>
      <x:c r="F143" s="54" t="str">
        <x:v>Not regulatory solvency. No actuarial risk-margin model.</x:v>
      </x:c>
      <x:c r="G143" s="2" t="str">
        <x:v>General Insurance!E56:I56</x:v>
      </x:c>
      <x:c r="H143" s="2"/>
      <x:c r="I143" s="2"/>
      <x:c r="J143" s="1"/>
      <x:c r="K143" s="1"/>
    </x:row>
    <x:row r="144" ht="32" customHeight="1">
      <x:c r="A144" s="1"/>
      <x:c r="B144" s="1"/>
      <x:c r="C144" s="1" t="str">
        <x:v>Real Estate</x:v>
      </x:c>
      <x:c r="D144" s="54" t="str">
        <x:v>Collections / bookings</x:v>
      </x:c>
      <x:c r="E144" s="54" t="str">
        <x:v>Customer collections / current sales bookings</x:v>
      </x:c>
      <x:c r="F144" s="54" t="str">
        <x:v>Can exceed 100% due to collections from earlier bookings.</x:v>
      </x:c>
      <x:c r="G144" s="2" t="str">
        <x:v>Real Estate!E64:I64</x:v>
      </x:c>
      <x:c r="H144" s="2"/>
      <x:c r="I144" s="2"/>
      <x:c r="J144" s="1"/>
      <x:c r="K144" s="1"/>
    </x:row>
    <x:row r="145" ht="32" customHeight="1">
      <x:c r="A145" s="1"/>
      <x:c r="B145" s="1"/>
      <x:c r="C145" s="1" t="str">
        <x:v>Real Estate</x:v>
      </x:c>
      <x:c r="D145" s="54" t="str">
        <x:v>Backlog / annual recognized revenue</x:v>
      </x:c>
      <x:c r="E145" s="54" t="str">
        <x:v>Closing unrecognized sales / current recognized revenue</x:v>
      </x:c>
      <x:c r="F145" s="54" t="str">
        <x:v>Depends on project completion timing.</x:v>
      </x:c>
      <x:c r="G145" s="2" t="str">
        <x:v>Real Estate!E65:I65</x:v>
      </x:c>
      <x:c r="H145" s="2"/>
      <x:c r="I145" s="2"/>
      <x:c r="J145" s="1"/>
      <x:c r="K145" s="1"/>
    </x:row>
    <x:row r="146" ht="32" customHeight="1">
      <x:c r="A146" s="1"/>
      <x:c r="B146" s="1"/>
      <x:c r="C146" s="1" t="str">
        <x:v>Real Estate</x:v>
      </x:c>
      <x:c r="D146" s="54" t="str">
        <x:v>Recognized operating margin</x:v>
      </x:c>
      <x:c r="E146" s="54" t="str">
        <x:v>Recognized EBIT / recognized revenue</x:v>
      </x:c>
      <x:c r="F146" s="54" t="str">
        <x:v>Bookings are not accounting revenue.</x:v>
      </x:c>
      <x:c r="G146" s="2" t="str">
        <x:v>Real Estate!E66:I66</x:v>
      </x:c>
      <x:c r="H146" s="2"/>
      <x:c r="I146" s="2"/>
      <x:c r="J146" s="1"/>
      <x:c r="K146" s="1"/>
    </x:row>
    <x:row r="147" ht="32" customHeight="1">
      <x:c r="A147" s="1"/>
      <x:c r="B147" s="1"/>
      <x:c r="C147" s="1" t="str">
        <x:v>Real Estate</x:v>
      </x:c>
      <x:c r="D147" s="54" t="str">
        <x:v>Net debt / equity</x:v>
      </x:c>
      <x:c r="E147" s="54" t="str">
        <x:v>Debt minus cash / equity</x:v>
      </x:c>
      <x:c r="F147" s="54" t="str">
        <x:v>Restricted RERA cash must be separated before company use.</x:v>
      </x:c>
      <x:c r="G147" s="2" t="str">
        <x:v>Real Estate!E67:I67</x:v>
      </x:c>
      <x:c r="H147" s="2"/>
      <x:c r="I147" s="2"/>
      <x:c r="J147" s="1"/>
      <x:c r="K147" s="1"/>
    </x:row>
    <x:row r="148" ht="18" customHeight="1">
      <x:c r="A148" s="1"/>
      <x:c r="B148" s="1"/>
      <x:c r="C148" s="1"/>
      <x:c r="D148" s="2"/>
      <x:c r="E148" s="2"/>
      <x:c r="F148" s="2"/>
      <x:c r="G148" s="2"/>
      <x:c r="H148" s="2"/>
      <x:c r="I148" s="2"/>
      <x:c r="J148" s="1"/>
      <x:c r="K148" s="1"/>
    </x:row>
    <x:row r="149" ht="18" customHeight="1">
      <x:c r="A149" s="1"/>
      <x:c r="B149" s="1"/>
      <x:c r="C149" s="1"/>
      <x:c r="D149" s="2"/>
      <x:c r="E149" s="2"/>
      <x:c r="F149" s="2"/>
      <x:c r="G149" s="2"/>
      <x:c r="H149" s="2"/>
      <x:c r="I149" s="2"/>
      <x:c r="J149" s="1"/>
      <x:c r="K149" s="1"/>
    </x:row>
    <x:row r="150" ht="18" customHeight="1">
      <x:c r="A150" s="1"/>
      <x:c r="B150" s="1"/>
      <x:c r="C150" s="1"/>
      <x:c r="D150" s="2"/>
      <x:c r="E150" s="2"/>
      <x:c r="F150" s="2"/>
      <x:c r="G150" s="2"/>
      <x:c r="H150" s="2"/>
      <x:c r="I150" s="2"/>
      <x:c r="J150" s="1"/>
      <x:c r="K150" s="1"/>
    </x:row>
    <x:row r="151" ht="18" customHeight="1">
      <x:c r="A151" s="1"/>
      <x:c r="B151" s="1"/>
      <x:c r="C151" s="1"/>
      <x:c r="D151" s="2"/>
      <x:c r="E151" s="2"/>
      <x:c r="F151" s="2"/>
      <x:c r="G151" s="2"/>
      <x:c r="H151" s="2"/>
      <x:c r="I151" s="2"/>
      <x:c r="J151" s="1"/>
      <x:c r="K151" s="1"/>
    </x:row>
    <x:row r="152" ht="18" customHeight="1">
      <x:c r="A152" s="1"/>
      <x:c r="B152" s="1"/>
      <x:c r="C152" s="1"/>
      <x:c r="D152" s="2"/>
      <x:c r="E152" s="2"/>
      <x:c r="F152" s="2"/>
      <x:c r="G152" s="2"/>
      <x:c r="H152" s="2"/>
      <x:c r="I152" s="2"/>
      <x:c r="J152" s="1"/>
      <x:c r="K152" s="1"/>
    </x:row>
    <x:row r="153" ht="18" customHeight="1">
      <x:c r="A153" s="1"/>
      <x:c r="B153" s="1"/>
      <x:c r="C153" s="1"/>
      <x:c r="D153" s="2"/>
      <x:c r="E153" s="2"/>
      <x:c r="F153" s="2"/>
      <x:c r="G153" s="2"/>
      <x:c r="H153" s="2"/>
      <x:c r="I153" s="2"/>
      <x:c r="J153" s="1"/>
      <x:c r="K153" s="1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4" hidden="0" customWidth="1"/>
    <x:col min="4" max="4" width="4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Financial reconciliations and input checks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 t="str">
        <x:v>Zero = no exception. Positive shortfalls require funding or assumption changes. Values in INR crore unless named otherwise.</x:v>
      </x:c>
      <x:c r="D4" s="2"/>
      <x:c r="E4" s="2"/>
      <x:c r="F4" s="2"/>
      <x:c r="G4" s="2"/>
      <x:c r="H4" s="2"/>
      <x:c r="I4" s="2"/>
      <x:c r="J4" s="1"/>
      <x:c r="K4" s="1"/>
    </x:row>
    <x:row r="5" ht="18" customHeight="1">
      <x:c r="A5" s="1"/>
      <x:c r="B5" s="1"/>
      <x:c r="C5" s="1" t="str">
        <x:v>Selected case</x:v>
      </x:c>
      <x:c r="D5" s="2"/>
      <x:c r="E5" s="2"/>
      <x:c r="F5" s="10" t="str">
        <x:f>'Controls'!E6</x:f>
        <x:v>Base</x:v>
      </x:c>
      <x:c r="G5" s="2"/>
      <x:c r="H5" s="2"/>
      <x:c r="I5" s="2"/>
      <x:c r="J5" s="1"/>
      <x:c r="K5" s="1"/>
    </x:row>
    <x:row r="6" ht="18" customHeight="1">
      <x:c r="A6" s="1"/>
      <x:c r="B6" s="1"/>
      <x:c r="C6" s="1"/>
      <x:c r="D6" s="2"/>
      <x:c r="E6" s="2"/>
      <x:c r="F6" s="2"/>
      <x:c r="G6" s="2"/>
      <x:c r="H6" s="2"/>
      <x:c r="I6" s="2"/>
      <x:c r="J6" s="1"/>
      <x:c r="K6" s="1"/>
    </x:row>
    <x:row r="7" ht="18" customHeight="1">
      <x:c r="A7" s="1"/>
      <x:c r="B7" s="1"/>
      <x:c r="C7" s="42" t="str">
        <x:v>Sector</x:v>
      </x:c>
      <x:c r="D7" s="43" t="str">
        <x:v>Review item</x:v>
      </x:c>
      <x:c r="E7" s="43" t="str">
        <x:v>FY:27E</x:v>
      </x:c>
      <x:c r="F7" s="43" t="str">
        <x:v>FY:28E</x:v>
      </x:c>
      <x:c r="G7" s="43" t="str">
        <x:v>FY:29E</x:v>
      </x:c>
      <x:c r="H7" s="43" t="str">
        <x:v>FY:30E</x:v>
      </x:c>
      <x:c r="I7" s="43" t="str">
        <x:v>FY:31E</x:v>
      </x:c>
      <x:c r="J7" s="1"/>
      <x:c r="K7" s="1"/>
    </x:row>
    <x:row r="8" ht="18" customHeight="1">
      <x:c r="A8" s="1"/>
      <x:c r="B8" s="1"/>
      <x:c r="C8" s="1" t="str">
        <x:v>IT Services</x:v>
      </x:c>
      <x:c r="D8" s="2" t="str">
        <x:v>Assets less liabilities and equity</x:v>
      </x:c>
      <x:c r="E8" s="33" t="n">
        <x:f>'IT Services'!E99</x:f>
        <x:v>0</x:v>
      </x:c>
      <x:c r="F8" s="33" t="n">
        <x:f>'IT Services'!F99</x:f>
        <x:v>-4.547473508864641e-13</x:v>
      </x:c>
      <x:c r="G8" s="33" t="n">
        <x:f>'IT Services'!G99</x:f>
        <x:v>0</x:v>
      </x:c>
      <x:c r="H8" s="33" t="n">
        <x:f>'IT Services'!H99</x:f>
        <x:v>0</x:v>
      </x:c>
      <x:c r="I8" s="33" t="n">
        <x:f>'IT Services'!I99</x:f>
        <x:v>-9.094947017729282e-13</x:v>
      </x:c>
      <x:c r="J8" s="1"/>
      <x:c r="K8" s="1"/>
    </x:row>
    <x:row r="9" ht="18" customHeight="1">
      <x:c r="A9" s="1"/>
      <x:c r="B9" s="1"/>
      <x:c r="C9" s="1" t="str">
        <x:v>IT Services</x:v>
      </x:c>
      <x:c r="D9" s="2" t="str">
        <x:v>Cash funding shortfall</x:v>
      </x:c>
      <x:c r="E9" s="33" t="n">
        <x:f>'IT Services'!E100</x:f>
        <x:v>0</x:v>
      </x:c>
      <x:c r="F9" s="33" t="n">
        <x:f>'IT Services'!F100</x:f>
        <x:v>0</x:v>
      </x:c>
      <x:c r="G9" s="33" t="n">
        <x:f>'IT Services'!G100</x:f>
        <x:v>0</x:v>
      </x:c>
      <x:c r="H9" s="33" t="n">
        <x:f>'IT Services'!H100</x:f>
        <x:v>0</x:v>
      </x:c>
      <x:c r="I9" s="33" t="n">
        <x:f>'IT Services'!I100</x:f>
        <x:v>0</x:v>
      </x:c>
      <x:c r="J9" s="1"/>
      <x:c r="K9" s="1"/>
    </x:row>
    <x:row r="10" ht="18" customHeight="1">
      <x:c r="A10" s="1"/>
      <x:c r="B10" s="1"/>
      <x:c r="C10" s="1" t="str">
        <x:v>IT Services</x:v>
      </x:c>
      <x:c r="D10" s="2" t="str">
        <x:v>Debt below zero</x:v>
      </x:c>
      <x:c r="E10" s="33" t="n">
        <x:f>'IT Services'!E101</x:f>
        <x:v>0</x:v>
      </x:c>
      <x:c r="F10" s="33" t="n">
        <x:f>'IT Services'!F101</x:f>
        <x:v>0</x:v>
      </x:c>
      <x:c r="G10" s="33" t="n">
        <x:f>'IT Services'!G101</x:f>
        <x:v>0</x:v>
      </x:c>
      <x:c r="H10" s="33" t="n">
        <x:f>'IT Services'!H101</x:f>
        <x:v>0</x:v>
      </x:c>
      <x:c r="I10" s="33" t="n">
        <x:f>'IT Services'!I101</x:f>
        <x:v>0</x:v>
      </x:c>
      <x:c r="J10" s="1"/>
      <x:c r="K10" s="1"/>
    </x:row>
    <x:row r="11" ht="18" customHeight="1">
      <x:c r="A11" s="1"/>
      <x:c r="B11" s="1"/>
      <x:c r="C11" s="1" t="str">
        <x:v>IT Services</x:v>
      </x:c>
      <x:c r="D11" s="2" t="str">
        <x:v>Utilization above 100%</x:v>
      </x:c>
      <x:c r="E11" s="33" t="n">
        <x:f>'IT Services'!E102</x:f>
        <x:v>0</x:v>
      </x:c>
      <x:c r="F11" s="33" t="n">
        <x:f>'IT Services'!F102</x:f>
        <x:v>0</x:v>
      </x:c>
      <x:c r="G11" s="33" t="n">
        <x:f>'IT Services'!G102</x:f>
        <x:v>0</x:v>
      </x:c>
      <x:c r="H11" s="33" t="n">
        <x:f>'IT Services'!H102</x:f>
        <x:v>0</x:v>
      </x:c>
      <x:c r="I11" s="33" t="n">
        <x:f>'IT Services'!I102</x:f>
        <x:v>0</x:v>
      </x:c>
      <x:c r="J11" s="1"/>
      <x:c r="K11" s="1"/>
    </x:row>
    <x:row r="12" ht="18" customHeight="1">
      <x:c r="A12" s="1"/>
      <x:c r="B12" s="1"/>
      <x:c r="C12" s="1" t="str">
        <x:v>IT Services</x:v>
      </x:c>
      <x:c r="D12" s="2" t="str">
        <x:v>Net PP&amp;E below zero</x:v>
      </x:c>
      <x:c r="E12" s="33" t="n">
        <x:f>'IT Services'!E103</x:f>
        <x:v>0</x:v>
      </x:c>
      <x:c r="F12" s="33" t="n">
        <x:f>'IT Services'!F103</x:f>
        <x:v>0</x:v>
      </x:c>
      <x:c r="G12" s="33" t="n">
        <x:f>'IT Services'!G103</x:f>
        <x:v>0</x:v>
      </x:c>
      <x:c r="H12" s="33" t="n">
        <x:f>'IT Services'!H103</x:f>
        <x:v>0</x:v>
      </x:c>
      <x:c r="I12" s="33" t="n">
        <x:f>'IT Services'!I103</x:f>
        <x:v>0</x:v>
      </x:c>
      <x:c r="J12" s="1"/>
      <x:c r="K12" s="1"/>
    </x:row>
    <x:row r="13" ht="18" customHeight="1">
      <x:c r="A13" s="1"/>
      <x:c r="B13" s="1"/>
      <x:c r="C13" s="1" t="str">
        <x:v>FMCG</x:v>
      </x:c>
      <x:c r="D13" s="2" t="str">
        <x:v>Assets less liabilities and equity</x:v>
      </x:c>
      <x:c r="E13" s="33" t="n">
        <x:f>'FMCG'!E100</x:f>
        <x:v>0</x:v>
      </x:c>
      <x:c r="F13" s="33" t="n">
        <x:f>'FMCG'!F100</x:f>
        <x:v>-2.2737367544323206e-13</x:v>
      </x:c>
      <x:c r="G13" s="33" t="n">
        <x:f>'FMCG'!G100</x:f>
        <x:v>-4.547473508864641e-13</x:v>
      </x:c>
      <x:c r="H13" s="33" t="n">
        <x:f>'FMCG'!H100</x:f>
        <x:v>2.2737367544323206e-13</x:v>
      </x:c>
      <x:c r="I13" s="33" t="n">
        <x:f>'FMCG'!I100</x:f>
        <x:v>-2.2737367544323206e-13</x:v>
      </x:c>
      <x:c r="J13" s="1"/>
      <x:c r="K13" s="1"/>
    </x:row>
    <x:row r="14" ht="18" customHeight="1">
      <x:c r="A14" s="1"/>
      <x:c r="B14" s="1"/>
      <x:c r="C14" s="1" t="str">
        <x:v>FMCG</x:v>
      </x:c>
      <x:c r="D14" s="2" t="str">
        <x:v>Cash funding shortfall</x:v>
      </x:c>
      <x:c r="E14" s="33" t="n">
        <x:f>'FMCG'!E101</x:f>
        <x:v>0</x:v>
      </x:c>
      <x:c r="F14" s="33" t="n">
        <x:f>'FMCG'!F101</x:f>
        <x:v>0</x:v>
      </x:c>
      <x:c r="G14" s="33" t="n">
        <x:f>'FMCG'!G101</x:f>
        <x:v>0</x:v>
      </x:c>
      <x:c r="H14" s="33" t="n">
        <x:f>'FMCG'!H101</x:f>
        <x:v>0</x:v>
      </x:c>
      <x:c r="I14" s="33" t="n">
        <x:f>'FMCG'!I101</x:f>
        <x:v>0</x:v>
      </x:c>
      <x:c r="J14" s="1"/>
      <x:c r="K14" s="1"/>
    </x:row>
    <x:row r="15" ht="18" customHeight="1">
      <x:c r="A15" s="1"/>
      <x:c r="B15" s="1"/>
      <x:c r="C15" s="1" t="str">
        <x:v>FMCG</x:v>
      </x:c>
      <x:c r="D15" s="2" t="str">
        <x:v>Debt below zero</x:v>
      </x:c>
      <x:c r="E15" s="33" t="n">
        <x:f>'FMCG'!E102</x:f>
        <x:v>0</x:v>
      </x:c>
      <x:c r="F15" s="33" t="n">
        <x:f>'FMCG'!F102</x:f>
        <x:v>0</x:v>
      </x:c>
      <x:c r="G15" s="33" t="n">
        <x:f>'FMCG'!G102</x:f>
        <x:v>0</x:v>
      </x:c>
      <x:c r="H15" s="33" t="n">
        <x:f>'FMCG'!H102</x:f>
        <x:v>0</x:v>
      </x:c>
      <x:c r="I15" s="33" t="n">
        <x:f>'FMCG'!I102</x:f>
        <x:v>0</x:v>
      </x:c>
      <x:c r="J15" s="1"/>
      <x:c r="K15" s="1"/>
    </x:row>
    <x:row r="16" ht="18" customHeight="1">
      <x:c r="A16" s="1"/>
      <x:c r="B16" s="1"/>
      <x:c r="C16" s="1" t="str">
        <x:v>FMCG</x:v>
      </x:c>
      <x:c r="D16" s="2" t="str">
        <x:v>Utilization above 100%</x:v>
      </x:c>
      <x:c r="E16" s="33" t="n">
        <x:f>'FMCG'!E103</x:f>
        <x:v>0</x:v>
      </x:c>
      <x:c r="F16" s="33" t="n">
        <x:f>'FMCG'!F103</x:f>
        <x:v>0</x:v>
      </x:c>
      <x:c r="G16" s="33" t="n">
        <x:f>'FMCG'!G103</x:f>
        <x:v>0</x:v>
      </x:c>
      <x:c r="H16" s="33" t="n">
        <x:f>'FMCG'!H103</x:f>
        <x:v>0</x:v>
      </x:c>
      <x:c r="I16" s="33" t="n">
        <x:f>'FMCG'!I103</x:f>
        <x:v>0</x:v>
      </x:c>
      <x:c r="J16" s="1"/>
      <x:c r="K16" s="1"/>
    </x:row>
    <x:row r="17" ht="18" customHeight="1">
      <x:c r="A17" s="1"/>
      <x:c r="B17" s="1"/>
      <x:c r="C17" s="1" t="str">
        <x:v>FMCG</x:v>
      </x:c>
      <x:c r="D17" s="2" t="str">
        <x:v>Net PP&amp;E below zero</x:v>
      </x:c>
      <x:c r="E17" s="33" t="n">
        <x:f>'FMCG'!E104</x:f>
        <x:v>0</x:v>
      </x:c>
      <x:c r="F17" s="33" t="n">
        <x:f>'FMCG'!F104</x:f>
        <x:v>0</x:v>
      </x:c>
      <x:c r="G17" s="33" t="n">
        <x:f>'FMCG'!G104</x:f>
        <x:v>0</x:v>
      </x:c>
      <x:c r="H17" s="33" t="n">
        <x:f>'FMCG'!H104</x:f>
        <x:v>0</x:v>
      </x:c>
      <x:c r="I17" s="33" t="n">
        <x:f>'FMCG'!I104</x:f>
        <x:v>0</x:v>
      </x:c>
      <x:c r="J17" s="1"/>
      <x:c r="K17" s="1"/>
    </x:row>
    <x:row r="18" ht="18" customHeight="1">
      <x:c r="A18" s="1"/>
      <x:c r="B18" s="1"/>
      <x:c r="C18" s="1" t="str">
        <x:v>Automobiles</x:v>
      </x:c>
      <x:c r="D18" s="2" t="str">
        <x:v>Assets less liabilities and equity</x:v>
      </x:c>
      <x:c r="E18" s="33" t="n">
        <x:f>'Automobiles'!E100</x:f>
        <x:v>-1.8189894035458565e-12</x:v>
      </x:c>
      <x:c r="F18" s="33" t="n">
        <x:f>'Automobiles'!F100</x:f>
        <x:v>0</x:v>
      </x:c>
      <x:c r="G18" s="33" t="n">
        <x:f>'Automobiles'!G100</x:f>
        <x:v>0</x:v>
      </x:c>
      <x:c r="H18" s="33" t="n">
        <x:f>'Automobiles'!H100</x:f>
        <x:v>0</x:v>
      </x:c>
      <x:c r="I18" s="33" t="n">
        <x:f>'Automobiles'!I100</x:f>
        <x:v>-3.637978807091713e-12</x:v>
      </x:c>
      <x:c r="J18" s="1"/>
      <x:c r="K18" s="1"/>
    </x:row>
    <x:row r="19" ht="18" customHeight="1">
      <x:c r="A19" s="1"/>
      <x:c r="B19" s="1"/>
      <x:c r="C19" s="1" t="str">
        <x:v>Automobiles</x:v>
      </x:c>
      <x:c r="D19" s="2" t="str">
        <x:v>Cash funding shortfall</x:v>
      </x:c>
      <x:c r="E19" s="33" t="n">
        <x:f>'Automobiles'!E101</x:f>
        <x:v>0</x:v>
      </x:c>
      <x:c r="F19" s="33" t="n">
        <x:f>'Automobiles'!F101</x:f>
        <x:v>0</x:v>
      </x:c>
      <x:c r="G19" s="33" t="n">
        <x:f>'Automobiles'!G101</x:f>
        <x:v>0</x:v>
      </x:c>
      <x:c r="H19" s="33" t="n">
        <x:f>'Automobiles'!H101</x:f>
        <x:v>0</x:v>
      </x:c>
      <x:c r="I19" s="33" t="n">
        <x:f>'Automobiles'!I101</x:f>
        <x:v>0</x:v>
      </x:c>
      <x:c r="J19" s="1"/>
      <x:c r="K19" s="1"/>
    </x:row>
    <x:row r="20" ht="18" customHeight="1">
      <x:c r="A20" s="1"/>
      <x:c r="B20" s="1"/>
      <x:c r="C20" s="1" t="str">
        <x:v>Automobiles</x:v>
      </x:c>
      <x:c r="D20" s="2" t="str">
        <x:v>Debt below zero</x:v>
      </x:c>
      <x:c r="E20" s="33" t="n">
        <x:f>'Automobiles'!E102</x:f>
        <x:v>0</x:v>
      </x:c>
      <x:c r="F20" s="33" t="n">
        <x:f>'Automobiles'!F102</x:f>
        <x:v>0</x:v>
      </x:c>
      <x:c r="G20" s="33" t="n">
        <x:f>'Automobiles'!G102</x:f>
        <x:v>0</x:v>
      </x:c>
      <x:c r="H20" s="33" t="n">
        <x:f>'Automobiles'!H102</x:f>
        <x:v>0</x:v>
      </x:c>
      <x:c r="I20" s="33" t="n">
        <x:f>'Automobiles'!I102</x:f>
        <x:v>0</x:v>
      </x:c>
      <x:c r="J20" s="1"/>
      <x:c r="K20" s="1"/>
    </x:row>
    <x:row r="21" ht="18" customHeight="1">
      <x:c r="A21" s="1"/>
      <x:c r="B21" s="1"/>
      <x:c r="C21" s="1" t="str">
        <x:v>Automobiles</x:v>
      </x:c>
      <x:c r="D21" s="2" t="str">
        <x:v>Utilization above 100%</x:v>
      </x:c>
      <x:c r="E21" s="33" t="n">
        <x:f>'Automobiles'!E103</x:f>
        <x:v>0</x:v>
      </x:c>
      <x:c r="F21" s="33" t="n">
        <x:f>'Automobiles'!F103</x:f>
        <x:v>0</x:v>
      </x:c>
      <x:c r="G21" s="33" t="n">
        <x:f>'Automobiles'!G103</x:f>
        <x:v>0</x:v>
      </x:c>
      <x:c r="H21" s="33" t="n">
        <x:f>'Automobiles'!H103</x:f>
        <x:v>0</x:v>
      </x:c>
      <x:c r="I21" s="33" t="n">
        <x:f>'Automobiles'!I103</x:f>
        <x:v>0</x:v>
      </x:c>
      <x:c r="J21" s="1"/>
      <x:c r="K21" s="1"/>
    </x:row>
    <x:row r="22" ht="18" customHeight="1">
      <x:c r="A22" s="1"/>
      <x:c r="B22" s="1"/>
      <x:c r="C22" s="1" t="str">
        <x:v>Automobiles</x:v>
      </x:c>
      <x:c r="D22" s="2" t="str">
        <x:v>Net PP&amp;E below zero</x:v>
      </x:c>
      <x:c r="E22" s="33" t="n">
        <x:f>'Automobiles'!E104</x:f>
        <x:v>0</x:v>
      </x:c>
      <x:c r="F22" s="33" t="n">
        <x:f>'Automobiles'!F104</x:f>
        <x:v>0</x:v>
      </x:c>
      <x:c r="G22" s="33" t="n">
        <x:f>'Automobiles'!G104</x:f>
        <x:v>0</x:v>
      </x:c>
      <x:c r="H22" s="33" t="n">
        <x:f>'Automobiles'!H104</x:f>
        <x:v>0</x:v>
      </x:c>
      <x:c r="I22" s="33" t="n">
        <x:f>'Automobiles'!I104</x:f>
        <x:v>0</x:v>
      </x:c>
      <x:c r="J22" s="1"/>
      <x:c r="K22" s="1"/>
    </x:row>
    <x:row r="23" ht="18" customHeight="1">
      <x:c r="A23" s="1"/>
      <x:c r="B23" s="1"/>
      <x:c r="C23" s="1" t="str">
        <x:v>Cement</x:v>
      </x:c>
      <x:c r="D23" s="2" t="str">
        <x:v>Assets less liabilities and equity</x:v>
      </x:c>
      <x:c r="E23" s="33" t="n">
        <x:f>'Cement'!E100</x:f>
        <x:v>0</x:v>
      </x:c>
      <x:c r="F23" s="33" t="n">
        <x:f>'Cement'!F100</x:f>
        <x:v>1.8189894035458565e-12</x:v>
      </x:c>
      <x:c r="G23" s="33" t="n">
        <x:f>'Cement'!G100</x:f>
        <x:v>0</x:v>
      </x:c>
      <x:c r="H23" s="33" t="n">
        <x:f>'Cement'!H100</x:f>
        <x:v>-1.8189894035458565e-12</x:v>
      </x:c>
      <x:c r="I23" s="33" t="n">
        <x:f>'Cement'!I100</x:f>
        <x:v>-1.8189894035458565e-12</x:v>
      </x:c>
      <x:c r="J23" s="1"/>
      <x:c r="K23" s="1"/>
    </x:row>
    <x:row r="24" ht="18" customHeight="1">
      <x:c r="A24" s="1"/>
      <x:c r="B24" s="1"/>
      <x:c r="C24" s="1" t="str">
        <x:v>Cement</x:v>
      </x:c>
      <x:c r="D24" s="2" t="str">
        <x:v>Cash funding shortfall</x:v>
      </x:c>
      <x:c r="E24" s="33" t="n">
        <x:f>'Cement'!E101</x:f>
        <x:v>0</x:v>
      </x:c>
      <x:c r="F24" s="33" t="n">
        <x:f>'Cement'!F101</x:f>
        <x:v>0</x:v>
      </x:c>
      <x:c r="G24" s="33" t="n">
        <x:f>'Cement'!G101</x:f>
        <x:v>0</x:v>
      </x:c>
      <x:c r="H24" s="33" t="n">
        <x:f>'Cement'!H101</x:f>
        <x:v>0</x:v>
      </x:c>
      <x:c r="I24" s="33" t="n">
        <x:f>'Cement'!I101</x:f>
        <x:v>0</x:v>
      </x:c>
      <x:c r="J24" s="1"/>
      <x:c r="K24" s="1"/>
    </x:row>
    <x:row r="25" ht="18" customHeight="1">
      <x:c r="A25" s="1"/>
      <x:c r="B25" s="1"/>
      <x:c r="C25" s="1" t="str">
        <x:v>Cement</x:v>
      </x:c>
      <x:c r="D25" s="2" t="str">
        <x:v>Debt below zero</x:v>
      </x:c>
      <x:c r="E25" s="33" t="n">
        <x:f>'Cement'!E102</x:f>
        <x:v>0</x:v>
      </x:c>
      <x:c r="F25" s="33" t="n">
        <x:f>'Cement'!F102</x:f>
        <x:v>0</x:v>
      </x:c>
      <x:c r="G25" s="33" t="n">
        <x:f>'Cement'!G102</x:f>
        <x:v>0</x:v>
      </x:c>
      <x:c r="H25" s="33" t="n">
        <x:f>'Cement'!H102</x:f>
        <x:v>0</x:v>
      </x:c>
      <x:c r="I25" s="33" t="n">
        <x:f>'Cement'!I102</x:f>
        <x:v>0</x:v>
      </x:c>
      <x:c r="J25" s="1"/>
      <x:c r="K25" s="1"/>
    </x:row>
    <x:row r="26" ht="18" customHeight="1">
      <x:c r="A26" s="1"/>
      <x:c r="B26" s="1"/>
      <x:c r="C26" s="1" t="str">
        <x:v>Cement</x:v>
      </x:c>
      <x:c r="D26" s="2" t="str">
        <x:v>Utilization above 100%</x:v>
      </x:c>
      <x:c r="E26" s="33" t="n">
        <x:f>'Cement'!E103</x:f>
        <x:v>0</x:v>
      </x:c>
      <x:c r="F26" s="33" t="n">
        <x:f>'Cement'!F103</x:f>
        <x:v>0</x:v>
      </x:c>
      <x:c r="G26" s="33" t="n">
        <x:f>'Cement'!G103</x:f>
        <x:v>0</x:v>
      </x:c>
      <x:c r="H26" s="33" t="n">
        <x:f>'Cement'!H103</x:f>
        <x:v>0</x:v>
      </x:c>
      <x:c r="I26" s="33" t="n">
        <x:f>'Cement'!I103</x:f>
        <x:v>0</x:v>
      </x:c>
      <x:c r="J26" s="1"/>
      <x:c r="K26" s="1"/>
    </x:row>
    <x:row r="27" ht="18" customHeight="1">
      <x:c r="A27" s="1"/>
      <x:c r="B27" s="1"/>
      <x:c r="C27" s="1" t="str">
        <x:v>Cement</x:v>
      </x:c>
      <x:c r="D27" s="2" t="str">
        <x:v>Net PP&amp;E below zero</x:v>
      </x:c>
      <x:c r="E27" s="33" t="n">
        <x:f>'Cement'!E104</x:f>
        <x:v>0</x:v>
      </x:c>
      <x:c r="F27" s="33" t="n">
        <x:f>'Cement'!F104</x:f>
        <x:v>0</x:v>
      </x:c>
      <x:c r="G27" s="33" t="n">
        <x:f>'Cement'!G104</x:f>
        <x:v>0</x:v>
      </x:c>
      <x:c r="H27" s="33" t="n">
        <x:f>'Cement'!H104</x:f>
        <x:v>0</x:v>
      </x:c>
      <x:c r="I27" s="33" t="n">
        <x:f>'Cement'!I104</x:f>
        <x:v>0</x:v>
      </x:c>
      <x:c r="J27" s="1"/>
      <x:c r="K27" s="1"/>
    </x:row>
    <x:row r="28" ht="18" customHeight="1">
      <x:c r="A28" s="1"/>
      <x:c r="B28" s="1"/>
      <x:c r="C28" s="1" t="str">
        <x:v>Steel</x:v>
      </x:c>
      <x:c r="D28" s="2" t="str">
        <x:v>Assets less liabilities and equity</x:v>
      </x:c>
      <x:c r="E28" s="33" t="n">
        <x:f>'Steel'!E100</x:f>
        <x:v>-3.637978807091713e-12</x:v>
      </x:c>
      <x:c r="F28" s="33" t="n">
        <x:f>'Steel'!F100</x:f>
        <x:v>-7.275957614183426e-12</x:v>
      </x:c>
      <x:c r="G28" s="33" t="n">
        <x:f>'Steel'!G100</x:f>
        <x:v>-7.275957614183426e-12</x:v>
      </x:c>
      <x:c r="H28" s="33" t="n">
        <x:f>'Steel'!H100</x:f>
        <x:v>0</x:v>
      </x:c>
      <x:c r="I28" s="33" t="n">
        <x:f>'Steel'!I100</x:f>
        <x:v>0</x:v>
      </x:c>
      <x:c r="J28" s="1"/>
      <x:c r="K28" s="1"/>
    </x:row>
    <x:row r="29" ht="18" customHeight="1">
      <x:c r="A29" s="1"/>
      <x:c r="B29" s="1"/>
      <x:c r="C29" s="1" t="str">
        <x:v>Steel</x:v>
      </x:c>
      <x:c r="D29" s="2" t="str">
        <x:v>Cash funding shortfall</x:v>
      </x:c>
      <x:c r="E29" s="33" t="n">
        <x:f>'Steel'!E101</x:f>
        <x:v>0</x:v>
      </x:c>
      <x:c r="F29" s="33" t="n">
        <x:f>'Steel'!F101</x:f>
        <x:v>0</x:v>
      </x:c>
      <x:c r="G29" s="33" t="n">
        <x:f>'Steel'!G101</x:f>
        <x:v>0</x:v>
      </x:c>
      <x:c r="H29" s="33" t="n">
        <x:f>'Steel'!H101</x:f>
        <x:v>0</x:v>
      </x:c>
      <x:c r="I29" s="33" t="n">
        <x:f>'Steel'!I101</x:f>
        <x:v>0</x:v>
      </x:c>
      <x:c r="J29" s="1"/>
      <x:c r="K29" s="1"/>
    </x:row>
    <x:row r="30" ht="18" customHeight="1">
      <x:c r="A30" s="1"/>
      <x:c r="B30" s="1"/>
      <x:c r="C30" s="1" t="str">
        <x:v>Steel</x:v>
      </x:c>
      <x:c r="D30" s="2" t="str">
        <x:v>Debt below zero</x:v>
      </x:c>
      <x:c r="E30" s="33" t="n">
        <x:f>'Steel'!E102</x:f>
        <x:v>0</x:v>
      </x:c>
      <x:c r="F30" s="33" t="n">
        <x:f>'Steel'!F102</x:f>
        <x:v>0</x:v>
      </x:c>
      <x:c r="G30" s="33" t="n">
        <x:f>'Steel'!G102</x:f>
        <x:v>0</x:v>
      </x:c>
      <x:c r="H30" s="33" t="n">
        <x:f>'Steel'!H102</x:f>
        <x:v>0</x:v>
      </x:c>
      <x:c r="I30" s="33" t="n">
        <x:f>'Steel'!I102</x:f>
        <x:v>0</x:v>
      </x:c>
      <x:c r="J30" s="1"/>
      <x:c r="K30" s="1"/>
    </x:row>
    <x:row r="31" ht="18" customHeight="1">
      <x:c r="A31" s="1"/>
      <x:c r="B31" s="1"/>
      <x:c r="C31" s="1" t="str">
        <x:v>Steel</x:v>
      </x:c>
      <x:c r="D31" s="2" t="str">
        <x:v>Utilization above 100%</x:v>
      </x:c>
      <x:c r="E31" s="33" t="n">
        <x:f>'Steel'!E103</x:f>
        <x:v>0</x:v>
      </x:c>
      <x:c r="F31" s="33" t="n">
        <x:f>'Steel'!F103</x:f>
        <x:v>0</x:v>
      </x:c>
      <x:c r="G31" s="33" t="n">
        <x:f>'Steel'!G103</x:f>
        <x:v>0</x:v>
      </x:c>
      <x:c r="H31" s="33" t="n">
        <x:f>'Steel'!H103</x:f>
        <x:v>0</x:v>
      </x:c>
      <x:c r="I31" s="33" t="n">
        <x:f>'Steel'!I103</x:f>
        <x:v>0</x:v>
      </x:c>
      <x:c r="J31" s="1"/>
      <x:c r="K31" s="1"/>
    </x:row>
    <x:row r="32" ht="18" customHeight="1">
      <x:c r="A32" s="1"/>
      <x:c r="B32" s="1"/>
      <x:c r="C32" s="1" t="str">
        <x:v>Steel</x:v>
      </x:c>
      <x:c r="D32" s="2" t="str">
        <x:v>Net PP&amp;E below zero</x:v>
      </x:c>
      <x:c r="E32" s="33" t="n">
        <x:f>'Steel'!E104</x:f>
        <x:v>0</x:v>
      </x:c>
      <x:c r="F32" s="33" t="n">
        <x:f>'Steel'!F104</x:f>
        <x:v>0</x:v>
      </x:c>
      <x:c r="G32" s="33" t="n">
        <x:f>'Steel'!G104</x:f>
        <x:v>0</x:v>
      </x:c>
      <x:c r="H32" s="33" t="n">
        <x:f>'Steel'!H104</x:f>
        <x:v>0</x:v>
      </x:c>
      <x:c r="I32" s="33" t="n">
        <x:f>'Steel'!I104</x:f>
        <x:v>0</x:v>
      </x:c>
      <x:c r="J32" s="1"/>
      <x:c r="K32" s="1"/>
    </x:row>
    <x:row r="33" ht="18" customHeight="1">
      <x:c r="A33" s="1"/>
      <x:c r="B33" s="1"/>
      <x:c r="C33" s="1" t="str">
        <x:v>Pharma</x:v>
      </x:c>
      <x:c r="D33" s="2" t="str">
        <x:v>Assets less liabilities and equity</x:v>
      </x:c>
      <x:c r="E33" s="33" t="n">
        <x:f>'Pharma'!E100</x:f>
        <x:v>-9.094947017729282e-13</x:v>
      </x:c>
      <x:c r="F33" s="33" t="n">
        <x:f>'Pharma'!F100</x:f>
        <x:v>-9.094947017729282e-13</x:v>
      </x:c>
      <x:c r="G33" s="33" t="n">
        <x:f>'Pharma'!G100</x:f>
        <x:v>-1.8189894035458565e-12</x:v>
      </x:c>
      <x:c r="H33" s="33" t="n">
        <x:f>'Pharma'!H100</x:f>
        <x:v>0</x:v>
      </x:c>
      <x:c r="I33" s="33" t="n">
        <x:f>'Pharma'!I100</x:f>
        <x:v>1.8189894035458565e-12</x:v>
      </x:c>
      <x:c r="J33" s="1"/>
      <x:c r="K33" s="1"/>
    </x:row>
    <x:row r="34" ht="18" customHeight="1">
      <x:c r="A34" s="1"/>
      <x:c r="B34" s="1"/>
      <x:c r="C34" s="1" t="str">
        <x:v>Pharma</x:v>
      </x:c>
      <x:c r="D34" s="2" t="str">
        <x:v>Cash funding shortfall</x:v>
      </x:c>
      <x:c r="E34" s="33" t="n">
        <x:f>'Pharma'!E101</x:f>
        <x:v>0</x:v>
      </x:c>
      <x:c r="F34" s="33" t="n">
        <x:f>'Pharma'!F101</x:f>
        <x:v>0</x:v>
      </x:c>
      <x:c r="G34" s="33" t="n">
        <x:f>'Pharma'!G101</x:f>
        <x:v>0</x:v>
      </x:c>
      <x:c r="H34" s="33" t="n">
        <x:f>'Pharma'!H101</x:f>
        <x:v>0</x:v>
      </x:c>
      <x:c r="I34" s="33" t="n">
        <x:f>'Pharma'!I101</x:f>
        <x:v>0</x:v>
      </x:c>
      <x:c r="J34" s="1"/>
      <x:c r="K34" s="1"/>
    </x:row>
    <x:row r="35" ht="18" customHeight="1">
      <x:c r="A35" s="1"/>
      <x:c r="B35" s="1"/>
      <x:c r="C35" s="1" t="str">
        <x:v>Pharma</x:v>
      </x:c>
      <x:c r="D35" s="2" t="str">
        <x:v>Debt below zero</x:v>
      </x:c>
      <x:c r="E35" s="33" t="n">
        <x:f>'Pharma'!E102</x:f>
        <x:v>0</x:v>
      </x:c>
      <x:c r="F35" s="33" t="n">
        <x:f>'Pharma'!F102</x:f>
        <x:v>0</x:v>
      </x:c>
      <x:c r="G35" s="33" t="n">
        <x:f>'Pharma'!G102</x:f>
        <x:v>0</x:v>
      </x:c>
      <x:c r="H35" s="33" t="n">
        <x:f>'Pharma'!H102</x:f>
        <x:v>0</x:v>
      </x:c>
      <x:c r="I35" s="33" t="n">
        <x:f>'Pharma'!I102</x:f>
        <x:v>0</x:v>
      </x:c>
      <x:c r="J35" s="1"/>
      <x:c r="K35" s="1"/>
    </x:row>
    <x:row r="36" ht="18" customHeight="1">
      <x:c r="A36" s="1"/>
      <x:c r="B36" s="1"/>
      <x:c r="C36" s="1" t="str">
        <x:v>Pharma</x:v>
      </x:c>
      <x:c r="D36" s="2" t="str">
        <x:v>Utilization above 100%</x:v>
      </x:c>
      <x:c r="E36" s="33" t="n">
        <x:f>'Pharma'!E103</x:f>
        <x:v>0</x:v>
      </x:c>
      <x:c r="F36" s="33" t="n">
        <x:f>'Pharma'!F103</x:f>
        <x:v>0</x:v>
      </x:c>
      <x:c r="G36" s="33" t="n">
        <x:f>'Pharma'!G103</x:f>
        <x:v>0</x:v>
      </x:c>
      <x:c r="H36" s="33" t="n">
        <x:f>'Pharma'!H103</x:f>
        <x:v>0</x:v>
      </x:c>
      <x:c r="I36" s="33" t="n">
        <x:f>'Pharma'!I103</x:f>
        <x:v>0</x:v>
      </x:c>
      <x:c r="J36" s="1"/>
      <x:c r="K36" s="1"/>
    </x:row>
    <x:row r="37" ht="18" customHeight="1">
      <x:c r="A37" s="1"/>
      <x:c r="B37" s="1"/>
      <x:c r="C37" s="1" t="str">
        <x:v>Pharma</x:v>
      </x:c>
      <x:c r="D37" s="2" t="str">
        <x:v>Net PP&amp;E below zero</x:v>
      </x:c>
      <x:c r="E37" s="33" t="n">
        <x:f>'Pharma'!E104</x:f>
        <x:v>0</x:v>
      </x:c>
      <x:c r="F37" s="33" t="n">
        <x:f>'Pharma'!F104</x:f>
        <x:v>0</x:v>
      </x:c>
      <x:c r="G37" s="33" t="n">
        <x:f>'Pharma'!G104</x:f>
        <x:v>0</x:v>
      </x:c>
      <x:c r="H37" s="33" t="n">
        <x:f>'Pharma'!H104</x:f>
        <x:v>0</x:v>
      </x:c>
      <x:c r="I37" s="33" t="n">
        <x:f>'Pharma'!I104</x:f>
        <x:v>0</x:v>
      </x:c>
      <x:c r="J37" s="1"/>
      <x:c r="K37" s="1"/>
    </x:row>
    <x:row r="38" ht="18" customHeight="1">
      <x:c r="A38" s="1"/>
      <x:c r="B38" s="1"/>
      <x:c r="C38" s="1" t="str">
        <x:v>Hospitals</x:v>
      </x:c>
      <x:c r="D38" s="2" t="str">
        <x:v>Assets less liabilities and equity</x:v>
      </x:c>
      <x:c r="E38" s="33" t="n">
        <x:f>'Hospitals'!E101</x:f>
        <x:v>0</x:v>
      </x:c>
      <x:c r="F38" s="33" t="n">
        <x:f>'Hospitals'!F101</x:f>
        <x:v>4.547473508864641e-13</x:v>
      </x:c>
      <x:c r="G38" s="33" t="n">
        <x:f>'Hospitals'!G101</x:f>
        <x:v>9.094947017729282e-13</x:v>
      </x:c>
      <x:c r="H38" s="33" t="n">
        <x:f>'Hospitals'!H101</x:f>
        <x:v>0</x:v>
      </x:c>
      <x:c r="I38" s="33" t="n">
        <x:f>'Hospitals'!I101</x:f>
        <x:v>0</x:v>
      </x:c>
      <x:c r="J38" s="1"/>
      <x:c r="K38" s="1"/>
    </x:row>
    <x:row r="39" ht="18" customHeight="1">
      <x:c r="A39" s="1"/>
      <x:c r="B39" s="1"/>
      <x:c r="C39" s="1" t="str">
        <x:v>Hospitals</x:v>
      </x:c>
      <x:c r="D39" s="2" t="str">
        <x:v>Cash funding shortfall</x:v>
      </x:c>
      <x:c r="E39" s="33" t="n">
        <x:f>'Hospitals'!E102</x:f>
        <x:v>0</x:v>
      </x:c>
      <x:c r="F39" s="33" t="n">
        <x:f>'Hospitals'!F102</x:f>
        <x:v>0</x:v>
      </x:c>
      <x:c r="G39" s="33" t="n">
        <x:f>'Hospitals'!G102</x:f>
        <x:v>0</x:v>
      </x:c>
      <x:c r="H39" s="33" t="n">
        <x:f>'Hospitals'!H102</x:f>
        <x:v>0</x:v>
      </x:c>
      <x:c r="I39" s="33" t="n">
        <x:f>'Hospitals'!I102</x:f>
        <x:v>0</x:v>
      </x:c>
      <x:c r="J39" s="1"/>
      <x:c r="K39" s="1"/>
    </x:row>
    <x:row r="40" ht="18" customHeight="1">
      <x:c r="A40" s="1"/>
      <x:c r="B40" s="1"/>
      <x:c r="C40" s="1" t="str">
        <x:v>Hospitals</x:v>
      </x:c>
      <x:c r="D40" s="2" t="str">
        <x:v>Debt below zero</x:v>
      </x:c>
      <x:c r="E40" s="33" t="n">
        <x:f>'Hospitals'!E103</x:f>
        <x:v>0</x:v>
      </x:c>
      <x:c r="F40" s="33" t="n">
        <x:f>'Hospitals'!F103</x:f>
        <x:v>0</x:v>
      </x:c>
      <x:c r="G40" s="33" t="n">
        <x:f>'Hospitals'!G103</x:f>
        <x:v>0</x:v>
      </x:c>
      <x:c r="H40" s="33" t="n">
        <x:f>'Hospitals'!H103</x:f>
        <x:v>0</x:v>
      </x:c>
      <x:c r="I40" s="33" t="n">
        <x:f>'Hospitals'!I103</x:f>
        <x:v>0</x:v>
      </x:c>
      <x:c r="J40" s="1"/>
      <x:c r="K40" s="1"/>
    </x:row>
    <x:row r="41" ht="18" customHeight="1">
      <x:c r="A41" s="1"/>
      <x:c r="B41" s="1"/>
      <x:c r="C41" s="1" t="str">
        <x:v>Hospitals</x:v>
      </x:c>
      <x:c r="D41" s="2" t="str">
        <x:v>Utilization above 100%</x:v>
      </x:c>
      <x:c r="E41" s="33" t="n">
        <x:f>'Hospitals'!E104</x:f>
        <x:v>0</x:v>
      </x:c>
      <x:c r="F41" s="33" t="n">
        <x:f>'Hospitals'!F104</x:f>
        <x:v>0</x:v>
      </x:c>
      <x:c r="G41" s="33" t="n">
        <x:f>'Hospitals'!G104</x:f>
        <x:v>0</x:v>
      </x:c>
      <x:c r="H41" s="33" t="n">
        <x:f>'Hospitals'!H104</x:f>
        <x:v>0</x:v>
      </x:c>
      <x:c r="I41" s="33" t="n">
        <x:f>'Hospitals'!I104</x:f>
        <x:v>0</x:v>
      </x:c>
      <x:c r="J41" s="1"/>
      <x:c r="K41" s="1"/>
    </x:row>
    <x:row r="42" ht="18" customHeight="1">
      <x:c r="A42" s="1"/>
      <x:c r="B42" s="1"/>
      <x:c r="C42" s="1" t="str">
        <x:v>Hospitals</x:v>
      </x:c>
      <x:c r="D42" s="2" t="str">
        <x:v>Net PP&amp;E below zero</x:v>
      </x:c>
      <x:c r="E42" s="33" t="n">
        <x:f>'Hospitals'!E105</x:f>
        <x:v>0</x:v>
      </x:c>
      <x:c r="F42" s="33" t="n">
        <x:f>'Hospitals'!F105</x:f>
        <x:v>0</x:v>
      </x:c>
      <x:c r="G42" s="33" t="n">
        <x:f>'Hospitals'!G105</x:f>
        <x:v>0</x:v>
      </x:c>
      <x:c r="H42" s="33" t="n">
        <x:f>'Hospitals'!H105</x:f>
        <x:v>0</x:v>
      </x:c>
      <x:c r="I42" s="33" t="n">
        <x:f>'Hospitals'!I105</x:f>
        <x:v>0</x:v>
      </x:c>
      <x:c r="J42" s="1"/>
      <x:c r="K42" s="1"/>
    </x:row>
    <x:row r="43" ht="18" customHeight="1">
      <x:c r="A43" s="1"/>
      <x:c r="B43" s="1"/>
      <x:c r="C43" s="1" t="str">
        <x:v>Telecom</x:v>
      </x:c>
      <x:c r="D43" s="2" t="str">
        <x:v>Assets less liabilities and equity</x:v>
      </x:c>
      <x:c r="E43" s="33" t="n">
        <x:f>'Telecom'!E99</x:f>
        <x:v>0</x:v>
      </x:c>
      <x:c r="F43" s="33" t="n">
        <x:f>'Telecom'!F99</x:f>
        <x:v>0</x:v>
      </x:c>
      <x:c r="G43" s="33" t="n">
        <x:f>'Telecom'!G99</x:f>
        <x:v>0</x:v>
      </x:c>
      <x:c r="H43" s="33" t="n">
        <x:f>'Telecom'!H99</x:f>
        <x:v>0</x:v>
      </x:c>
      <x:c r="I43" s="33" t="n">
        <x:f>'Telecom'!I99</x:f>
        <x:v>-3.637978807091713e-12</x:v>
      </x:c>
      <x:c r="J43" s="1"/>
      <x:c r="K43" s="1"/>
    </x:row>
    <x:row r="44" ht="18" customHeight="1">
      <x:c r="A44" s="1"/>
      <x:c r="B44" s="1"/>
      <x:c r="C44" s="1" t="str">
        <x:v>Telecom</x:v>
      </x:c>
      <x:c r="D44" s="2" t="str">
        <x:v>Cash funding shortfall</x:v>
      </x:c>
      <x:c r="E44" s="33" t="n">
        <x:f>'Telecom'!E100</x:f>
        <x:v>0</x:v>
      </x:c>
      <x:c r="F44" s="33" t="n">
        <x:f>'Telecom'!F100</x:f>
        <x:v>0</x:v>
      </x:c>
      <x:c r="G44" s="33" t="n">
        <x:f>'Telecom'!G100</x:f>
        <x:v>0</x:v>
      </x:c>
      <x:c r="H44" s="33" t="n">
        <x:f>'Telecom'!H100</x:f>
        <x:v>0</x:v>
      </x:c>
      <x:c r="I44" s="33" t="n">
        <x:f>'Telecom'!I100</x:f>
        <x:v>0</x:v>
      </x:c>
      <x:c r="J44" s="1"/>
      <x:c r="K44" s="1"/>
    </x:row>
    <x:row r="45" ht="18" customHeight="1">
      <x:c r="A45" s="1"/>
      <x:c r="B45" s="1"/>
      <x:c r="C45" s="1" t="str">
        <x:v>Telecom</x:v>
      </x:c>
      <x:c r="D45" s="2" t="str">
        <x:v>Debt below zero</x:v>
      </x:c>
      <x:c r="E45" s="33" t="n">
        <x:f>'Telecom'!E101</x:f>
        <x:v>0</x:v>
      </x:c>
      <x:c r="F45" s="33" t="n">
        <x:f>'Telecom'!F101</x:f>
        <x:v>0</x:v>
      </x:c>
      <x:c r="G45" s="33" t="n">
        <x:f>'Telecom'!G101</x:f>
        <x:v>0</x:v>
      </x:c>
      <x:c r="H45" s="33" t="n">
        <x:f>'Telecom'!H101</x:f>
        <x:v>0</x:v>
      </x:c>
      <x:c r="I45" s="33" t="n">
        <x:f>'Telecom'!I101</x:f>
        <x:v>0</x:v>
      </x:c>
      <x:c r="J45" s="1"/>
      <x:c r="K45" s="1"/>
    </x:row>
    <x:row r="46" ht="18" customHeight="1">
      <x:c r="A46" s="1"/>
      <x:c r="B46" s="1"/>
      <x:c r="C46" s="1" t="str">
        <x:v>Telecom</x:v>
      </x:c>
      <x:c r="D46" s="2" t="str">
        <x:v>Utilization above 100%</x:v>
      </x:c>
      <x:c r="E46" s="33" t="n">
        <x:f>'Telecom'!E102</x:f>
        <x:v>0</x:v>
      </x:c>
      <x:c r="F46" s="33" t="n">
        <x:f>'Telecom'!F102</x:f>
        <x:v>0</x:v>
      </x:c>
      <x:c r="G46" s="33" t="n">
        <x:f>'Telecom'!G102</x:f>
        <x:v>0</x:v>
      </x:c>
      <x:c r="H46" s="33" t="n">
        <x:f>'Telecom'!H102</x:f>
        <x:v>0</x:v>
      </x:c>
      <x:c r="I46" s="33" t="n">
        <x:f>'Telecom'!I102</x:f>
        <x:v>0</x:v>
      </x:c>
      <x:c r="J46" s="1"/>
      <x:c r="K46" s="1"/>
    </x:row>
    <x:row r="47" ht="18" customHeight="1">
      <x:c r="A47" s="1"/>
      <x:c r="B47" s="1"/>
      <x:c r="C47" s="1" t="str">
        <x:v>Telecom</x:v>
      </x:c>
      <x:c r="D47" s="2" t="str">
        <x:v>Net PP&amp;E below zero</x:v>
      </x:c>
      <x:c r="E47" s="33" t="n">
        <x:f>'Telecom'!E103</x:f>
        <x:v>0</x:v>
      </x:c>
      <x:c r="F47" s="33" t="n">
        <x:f>'Telecom'!F103</x:f>
        <x:v>0</x:v>
      </x:c>
      <x:c r="G47" s="33" t="n">
        <x:f>'Telecom'!G103</x:f>
        <x:v>0</x:v>
      </x:c>
      <x:c r="H47" s="33" t="n">
        <x:f>'Telecom'!H103</x:f>
        <x:v>0</x:v>
      </x:c>
      <x:c r="I47" s="33" t="n">
        <x:f>'Telecom'!I103</x:f>
        <x:v>0</x:v>
      </x:c>
      <x:c r="J47" s="1"/>
      <x:c r="K47" s="1"/>
    </x:row>
    <x:row r="48" ht="18" customHeight="1">
      <x:c r="A48" s="1"/>
      <x:c r="B48" s="1"/>
      <x:c r="C48" s="1" t="str">
        <x:v>Renewable Power</x:v>
      </x:c>
      <x:c r="D48" s="2" t="str">
        <x:v>Assets less liabilities and equity</x:v>
      </x:c>
      <x:c r="E48" s="33" t="n">
        <x:f>'Renewable Power'!E99</x:f>
        <x:v>0</x:v>
      </x:c>
      <x:c r="F48" s="33" t="n">
        <x:f>'Renewable Power'!F99</x:f>
        <x:v>9.094947017729282e-13</x:v>
      </x:c>
      <x:c r="G48" s="33" t="n">
        <x:f>'Renewable Power'!G99</x:f>
        <x:v>1.8189894035458565e-12</x:v>
      </x:c>
      <x:c r="H48" s="33" t="n">
        <x:f>'Renewable Power'!H99</x:f>
        <x:v>1.8189894035458565e-12</x:v>
      </x:c>
      <x:c r="I48" s="33" t="n">
        <x:f>'Renewable Power'!I99</x:f>
        <x:v>1.8189894035458565e-12</x:v>
      </x:c>
      <x:c r="J48" s="1"/>
      <x:c r="K48" s="1"/>
    </x:row>
    <x:row r="49" ht="18" customHeight="1">
      <x:c r="A49" s="1"/>
      <x:c r="B49" s="1"/>
      <x:c r="C49" s="1" t="str">
        <x:v>Renewable Power</x:v>
      </x:c>
      <x:c r="D49" s="2" t="str">
        <x:v>Cash funding shortfall</x:v>
      </x:c>
      <x:c r="E49" s="33" t="n">
        <x:f>'Renewable Power'!E100</x:f>
        <x:v>0</x:v>
      </x:c>
      <x:c r="F49" s="33" t="n">
        <x:f>'Renewable Power'!F100</x:f>
        <x:v>0</x:v>
      </x:c>
      <x:c r="G49" s="33" t="n">
        <x:f>'Renewable Power'!G100</x:f>
        <x:v>0</x:v>
      </x:c>
      <x:c r="H49" s="33" t="n">
        <x:f>'Renewable Power'!H100</x:f>
        <x:v>0</x:v>
      </x:c>
      <x:c r="I49" s="33" t="n">
        <x:f>'Renewable Power'!I100</x:f>
        <x:v>0</x:v>
      </x:c>
      <x:c r="J49" s="1"/>
      <x:c r="K49" s="1"/>
    </x:row>
    <x:row r="50" ht="18" customHeight="1">
      <x:c r="A50" s="1"/>
      <x:c r="B50" s="1"/>
      <x:c r="C50" s="1" t="str">
        <x:v>Renewable Power</x:v>
      </x:c>
      <x:c r="D50" s="2" t="str">
        <x:v>Debt below zero</x:v>
      </x:c>
      <x:c r="E50" s="33" t="n">
        <x:f>'Renewable Power'!E101</x:f>
        <x:v>0</x:v>
      </x:c>
      <x:c r="F50" s="33" t="n">
        <x:f>'Renewable Power'!F101</x:f>
        <x:v>0</x:v>
      </x:c>
      <x:c r="G50" s="33" t="n">
        <x:f>'Renewable Power'!G101</x:f>
        <x:v>0</x:v>
      </x:c>
      <x:c r="H50" s="33" t="n">
        <x:f>'Renewable Power'!H101</x:f>
        <x:v>0</x:v>
      </x:c>
      <x:c r="I50" s="33" t="n">
        <x:f>'Renewable Power'!I101</x:f>
        <x:v>0</x:v>
      </x:c>
      <x:c r="J50" s="1"/>
      <x:c r="K50" s="1"/>
    </x:row>
    <x:row r="51" ht="18" customHeight="1">
      <x:c r="A51" s="1"/>
      <x:c r="B51" s="1"/>
      <x:c r="C51" s="1" t="str">
        <x:v>Renewable Power</x:v>
      </x:c>
      <x:c r="D51" s="2" t="str">
        <x:v>Utilization above 100%</x:v>
      </x:c>
      <x:c r="E51" s="33" t="n">
        <x:f>'Renewable Power'!E102</x:f>
        <x:v>0</x:v>
      </x:c>
      <x:c r="F51" s="33" t="n">
        <x:f>'Renewable Power'!F102</x:f>
        <x:v>0</x:v>
      </x:c>
      <x:c r="G51" s="33" t="n">
        <x:f>'Renewable Power'!G102</x:f>
        <x:v>0</x:v>
      </x:c>
      <x:c r="H51" s="33" t="n">
        <x:f>'Renewable Power'!H102</x:f>
        <x:v>0</x:v>
      </x:c>
      <x:c r="I51" s="33" t="n">
        <x:f>'Renewable Power'!I102</x:f>
        <x:v>0</x:v>
      </x:c>
      <x:c r="J51" s="1"/>
      <x:c r="K51" s="1"/>
    </x:row>
    <x:row r="52" ht="18" customHeight="1">
      <x:c r="A52" s="1"/>
      <x:c r="B52" s="1"/>
      <x:c r="C52" s="1" t="str">
        <x:v>Renewable Power</x:v>
      </x:c>
      <x:c r="D52" s="2" t="str">
        <x:v>Net PP&amp;E below zero</x:v>
      </x:c>
      <x:c r="E52" s="33" t="n">
        <x:f>'Renewable Power'!E103</x:f>
        <x:v>0</x:v>
      </x:c>
      <x:c r="F52" s="33" t="n">
        <x:f>'Renewable Power'!F103</x:f>
        <x:v>0</x:v>
      </x:c>
      <x:c r="G52" s="33" t="n">
        <x:f>'Renewable Power'!G103</x:f>
        <x:v>0</x:v>
      </x:c>
      <x:c r="H52" s="33" t="n">
        <x:f>'Renewable Power'!H103</x:f>
        <x:v>0</x:v>
      </x:c>
      <x:c r="I52" s="33" t="n">
        <x:f>'Renewable Power'!I103</x:f>
        <x:v>0</x:v>
      </x:c>
      <x:c r="J52" s="1"/>
      <x:c r="K52" s="1"/>
    </x:row>
    <x:row r="53" ht="18" customHeight="1">
      <x:c r="A53" s="1"/>
      <x:c r="B53" s="1"/>
      <x:c r="C53" s="1" t="str">
        <x:v>Hotels</x:v>
      </x:c>
      <x:c r="D53" s="2" t="str">
        <x:v>Assets less liabilities and equity</x:v>
      </x:c>
      <x:c r="E53" s="33" t="n">
        <x:f>'Hotels'!E101</x:f>
        <x:v>0</x:v>
      </x:c>
      <x:c r="F53" s="33" t="n">
        <x:f>'Hotels'!F101</x:f>
        <x:v>4.547473508864641e-13</x:v>
      </x:c>
      <x:c r="G53" s="33" t="n">
        <x:f>'Hotels'!G101</x:f>
        <x:v>4.547473508864641e-13</x:v>
      </x:c>
      <x:c r="H53" s="33" t="n">
        <x:f>'Hotels'!H101</x:f>
        <x:v>4.547473508864641e-13</x:v>
      </x:c>
      <x:c r="I53" s="33" t="n">
        <x:f>'Hotels'!I101</x:f>
        <x:v>4.547473508864641e-13</x:v>
      </x:c>
      <x:c r="J53" s="1"/>
      <x:c r="K53" s="1"/>
    </x:row>
    <x:row r="54" ht="18" customHeight="1">
      <x:c r="A54" s="1"/>
      <x:c r="B54" s="1"/>
      <x:c r="C54" s="1" t="str">
        <x:v>Hotels</x:v>
      </x:c>
      <x:c r="D54" s="2" t="str">
        <x:v>Cash funding shortfall</x:v>
      </x:c>
      <x:c r="E54" s="33" t="n">
        <x:f>'Hotels'!E102</x:f>
        <x:v>0</x:v>
      </x:c>
      <x:c r="F54" s="33" t="n">
        <x:f>'Hotels'!F102</x:f>
        <x:v>0</x:v>
      </x:c>
      <x:c r="G54" s="33" t="n">
        <x:f>'Hotels'!G102</x:f>
        <x:v>0</x:v>
      </x:c>
      <x:c r="H54" s="33" t="n">
        <x:f>'Hotels'!H102</x:f>
        <x:v>0</x:v>
      </x:c>
      <x:c r="I54" s="33" t="n">
        <x:f>'Hotels'!I102</x:f>
        <x:v>0</x:v>
      </x:c>
      <x:c r="J54" s="1"/>
      <x:c r="K54" s="1"/>
    </x:row>
    <x:row r="55" ht="18" customHeight="1">
      <x:c r="A55" s="1"/>
      <x:c r="B55" s="1"/>
      <x:c r="C55" s="1" t="str">
        <x:v>Hotels</x:v>
      </x:c>
      <x:c r="D55" s="2" t="str">
        <x:v>Debt below zero</x:v>
      </x:c>
      <x:c r="E55" s="33" t="n">
        <x:f>'Hotels'!E103</x:f>
        <x:v>0</x:v>
      </x:c>
      <x:c r="F55" s="33" t="n">
        <x:f>'Hotels'!F103</x:f>
        <x:v>0</x:v>
      </x:c>
      <x:c r="G55" s="33" t="n">
        <x:f>'Hotels'!G103</x:f>
        <x:v>0</x:v>
      </x:c>
      <x:c r="H55" s="33" t="n">
        <x:f>'Hotels'!H103</x:f>
        <x:v>0</x:v>
      </x:c>
      <x:c r="I55" s="33" t="n">
        <x:f>'Hotels'!I103</x:f>
        <x:v>0</x:v>
      </x:c>
      <x:c r="J55" s="1"/>
      <x:c r="K55" s="1"/>
    </x:row>
    <x:row r="56" ht="18" customHeight="1">
      <x:c r="A56" s="1"/>
      <x:c r="B56" s="1"/>
      <x:c r="C56" s="1" t="str">
        <x:v>Hotels</x:v>
      </x:c>
      <x:c r="D56" s="2" t="str">
        <x:v>Utilization above 100%</x:v>
      </x:c>
      <x:c r="E56" s="33" t="n">
        <x:f>'Hotels'!E104</x:f>
        <x:v>0</x:v>
      </x:c>
      <x:c r="F56" s="33" t="n">
        <x:f>'Hotels'!F104</x:f>
        <x:v>0</x:v>
      </x:c>
      <x:c r="G56" s="33" t="n">
        <x:f>'Hotels'!G104</x:f>
        <x:v>0</x:v>
      </x:c>
      <x:c r="H56" s="33" t="n">
        <x:f>'Hotels'!H104</x:f>
        <x:v>0</x:v>
      </x:c>
      <x:c r="I56" s="33" t="n">
        <x:f>'Hotels'!I104</x:f>
        <x:v>0</x:v>
      </x:c>
      <x:c r="J56" s="1"/>
      <x:c r="K56" s="1"/>
    </x:row>
    <x:row r="57" ht="18" customHeight="1">
      <x:c r="A57" s="1"/>
      <x:c r="B57" s="1"/>
      <x:c r="C57" s="1" t="str">
        <x:v>Hotels</x:v>
      </x:c>
      <x:c r="D57" s="2" t="str">
        <x:v>Net PP&amp;E below zero</x:v>
      </x:c>
      <x:c r="E57" s="33" t="n">
        <x:f>'Hotels'!E105</x:f>
        <x:v>0</x:v>
      </x:c>
      <x:c r="F57" s="33" t="n">
        <x:f>'Hotels'!F105</x:f>
        <x:v>0</x:v>
      </x:c>
      <x:c r="G57" s="33" t="n">
        <x:f>'Hotels'!G105</x:f>
        <x:v>0</x:v>
      </x:c>
      <x:c r="H57" s="33" t="n">
        <x:f>'Hotels'!H105</x:f>
        <x:v>0</x:v>
      </x:c>
      <x:c r="I57" s="33" t="n">
        <x:f>'Hotels'!I105</x:f>
        <x:v>0</x:v>
      </x:c>
      <x:c r="J57" s="1"/>
      <x:c r="K57" s="1"/>
    </x:row>
    <x:row r="58" ht="18" customHeight="1">
      <x:c r="A58" s="1"/>
      <x:c r="B58" s="1"/>
      <x:c r="C58" s="1" t="str">
        <x:v>Retail</x:v>
      </x:c>
      <x:c r="D58" s="2" t="str">
        <x:v>Assets less liabilities and equity</x:v>
      </x:c>
      <x:c r="E58" s="33" t="n">
        <x:f>'Retail'!E100</x:f>
        <x:v>2.2737367544323206e-13</x:v>
      </x:c>
      <x:c r="F58" s="33" t="n">
        <x:f>'Retail'!F100</x:f>
        <x:v>0</x:v>
      </x:c>
      <x:c r="G58" s="33" t="n">
        <x:f>'Retail'!G100</x:f>
        <x:v>0</x:v>
      </x:c>
      <x:c r="H58" s="33" t="n">
        <x:f>'Retail'!H100</x:f>
        <x:v>0</x:v>
      </x:c>
      <x:c r="I58" s="33" t="n">
        <x:f>'Retail'!I100</x:f>
        <x:v>0</x:v>
      </x:c>
      <x:c r="J58" s="1"/>
      <x:c r="K58" s="1"/>
    </x:row>
    <x:row r="59" ht="18" customHeight="1">
      <x:c r="A59" s="1"/>
      <x:c r="B59" s="1"/>
      <x:c r="C59" s="1" t="str">
        <x:v>Retail</x:v>
      </x:c>
      <x:c r="D59" s="2" t="str">
        <x:v>Cash funding shortfall</x:v>
      </x:c>
      <x:c r="E59" s="33" t="n">
        <x:f>'Retail'!E101</x:f>
        <x:v>0</x:v>
      </x:c>
      <x:c r="F59" s="33" t="n">
        <x:f>'Retail'!F101</x:f>
        <x:v>0</x:v>
      </x:c>
      <x:c r="G59" s="33" t="n">
        <x:f>'Retail'!G101</x:f>
        <x:v>0</x:v>
      </x:c>
      <x:c r="H59" s="33" t="n">
        <x:f>'Retail'!H101</x:f>
        <x:v>0</x:v>
      </x:c>
      <x:c r="I59" s="33" t="n">
        <x:f>'Retail'!I101</x:f>
        <x:v>0</x:v>
      </x:c>
      <x:c r="J59" s="1"/>
      <x:c r="K59" s="1"/>
    </x:row>
    <x:row r="60" ht="18" customHeight="1">
      <x:c r="A60" s="1"/>
      <x:c r="B60" s="1"/>
      <x:c r="C60" s="1" t="str">
        <x:v>Retail</x:v>
      </x:c>
      <x:c r="D60" s="2" t="str">
        <x:v>Debt below zero</x:v>
      </x:c>
      <x:c r="E60" s="33" t="n">
        <x:f>'Retail'!E102</x:f>
        <x:v>0</x:v>
      </x:c>
      <x:c r="F60" s="33" t="n">
        <x:f>'Retail'!F102</x:f>
        <x:v>0</x:v>
      </x:c>
      <x:c r="G60" s="33" t="n">
        <x:f>'Retail'!G102</x:f>
        <x:v>0</x:v>
      </x:c>
      <x:c r="H60" s="33" t="n">
        <x:f>'Retail'!H102</x:f>
        <x:v>0</x:v>
      </x:c>
      <x:c r="I60" s="33" t="n">
        <x:f>'Retail'!I102</x:f>
        <x:v>0</x:v>
      </x:c>
      <x:c r="J60" s="1"/>
      <x:c r="K60" s="1"/>
    </x:row>
    <x:row r="61" ht="18" customHeight="1">
      <x:c r="A61" s="1"/>
      <x:c r="B61" s="1"/>
      <x:c r="C61" s="1" t="str">
        <x:v>Retail</x:v>
      </x:c>
      <x:c r="D61" s="2" t="str">
        <x:v>Utilization above 100%</x:v>
      </x:c>
      <x:c r="E61" s="33" t="n">
        <x:f>'Retail'!E103</x:f>
        <x:v>0</x:v>
      </x:c>
      <x:c r="F61" s="33" t="n">
        <x:f>'Retail'!F103</x:f>
        <x:v>0</x:v>
      </x:c>
      <x:c r="G61" s="33" t="n">
        <x:f>'Retail'!G103</x:f>
        <x:v>0</x:v>
      </x:c>
      <x:c r="H61" s="33" t="n">
        <x:f>'Retail'!H103</x:f>
        <x:v>0</x:v>
      </x:c>
      <x:c r="I61" s="33" t="n">
        <x:f>'Retail'!I103</x:f>
        <x:v>0</x:v>
      </x:c>
      <x:c r="J61" s="1"/>
      <x:c r="K61" s="1"/>
    </x:row>
    <x:row r="62" ht="18" customHeight="1">
      <x:c r="A62" s="1"/>
      <x:c r="B62" s="1"/>
      <x:c r="C62" s="1" t="str">
        <x:v>Retail</x:v>
      </x:c>
      <x:c r="D62" s="2" t="str">
        <x:v>Net PP&amp;E below zero</x:v>
      </x:c>
      <x:c r="E62" s="33" t="n">
        <x:f>'Retail'!E104</x:f>
        <x:v>0</x:v>
      </x:c>
      <x:c r="F62" s="33" t="n">
        <x:f>'Retail'!F104</x:f>
        <x:v>0</x:v>
      </x:c>
      <x:c r="G62" s="33" t="n">
        <x:f>'Retail'!G104</x:f>
        <x:v>0</x:v>
      </x:c>
      <x:c r="H62" s="33" t="n">
        <x:f>'Retail'!H104</x:f>
        <x:v>0</x:v>
      </x:c>
      <x:c r="I62" s="33" t="n">
        <x:f>'Retail'!I104</x:f>
        <x:v>0</x:v>
      </x:c>
      <x:c r="J62" s="1"/>
      <x:c r="K62" s="1"/>
    </x:row>
    <x:row r="63" ht="18" customHeight="1">
      <x:c r="A63" s="1"/>
      <x:c r="B63" s="1"/>
      <x:c r="C63" s="1" t="str">
        <x:v>EPC</x:v>
      </x:c>
      <x:c r="D63" s="2" t="str">
        <x:v>Assets less liabilities and equity</x:v>
      </x:c>
      <x:c r="E63" s="33" t="n">
        <x:f>'EPC'!E103</x:f>
        <x:v>4.547473508864641e-13</x:v>
      </x:c>
      <x:c r="F63" s="33" t="n">
        <x:f>'EPC'!F103</x:f>
        <x:v>0</x:v>
      </x:c>
      <x:c r="G63" s="33" t="n">
        <x:f>'EPC'!G103</x:f>
        <x:v>0</x:v>
      </x:c>
      <x:c r="H63" s="33" t="n">
        <x:f>'EPC'!H103</x:f>
        <x:v>0</x:v>
      </x:c>
      <x:c r="I63" s="33" t="n">
        <x:f>'EPC'!I103</x:f>
        <x:v>-4.547473508864641e-13</x:v>
      </x:c>
      <x:c r="J63" s="1"/>
      <x:c r="K63" s="1"/>
    </x:row>
    <x:row r="64" ht="18" customHeight="1">
      <x:c r="A64" s="1"/>
      <x:c r="B64" s="1"/>
      <x:c r="C64" s="1" t="str">
        <x:v>EPC</x:v>
      </x:c>
      <x:c r="D64" s="2" t="str">
        <x:v>Cash funding shortfall</x:v>
      </x:c>
      <x:c r="E64" s="33" t="n">
        <x:f>'EPC'!E104</x:f>
        <x:v>0</x:v>
      </x:c>
      <x:c r="F64" s="33" t="n">
        <x:f>'EPC'!F104</x:f>
        <x:v>0</x:v>
      </x:c>
      <x:c r="G64" s="33" t="n">
        <x:f>'EPC'!G104</x:f>
        <x:v>0</x:v>
      </x:c>
      <x:c r="H64" s="33" t="n">
        <x:f>'EPC'!H104</x:f>
        <x:v>0</x:v>
      </x:c>
      <x:c r="I64" s="33" t="n">
        <x:f>'EPC'!I104</x:f>
        <x:v>0</x:v>
      </x:c>
      <x:c r="J64" s="1"/>
      <x:c r="K64" s="1"/>
    </x:row>
    <x:row r="65" ht="18" customHeight="1">
      <x:c r="A65" s="1"/>
      <x:c r="B65" s="1"/>
      <x:c r="C65" s="1" t="str">
        <x:v>EPC</x:v>
      </x:c>
      <x:c r="D65" s="2" t="str">
        <x:v>Debt below zero</x:v>
      </x:c>
      <x:c r="E65" s="33" t="n">
        <x:f>'EPC'!E105</x:f>
        <x:v>0</x:v>
      </x:c>
      <x:c r="F65" s="33" t="n">
        <x:f>'EPC'!F105</x:f>
        <x:v>0</x:v>
      </x:c>
      <x:c r="G65" s="33" t="n">
        <x:f>'EPC'!G105</x:f>
        <x:v>0</x:v>
      </x:c>
      <x:c r="H65" s="33" t="n">
        <x:f>'EPC'!H105</x:f>
        <x:v>0</x:v>
      </x:c>
      <x:c r="I65" s="33" t="n">
        <x:f>'EPC'!I105</x:f>
        <x:v>0</x:v>
      </x:c>
      <x:c r="J65" s="1"/>
      <x:c r="K65" s="1"/>
    </x:row>
    <x:row r="66" ht="18" customHeight="1">
      <x:c r="A66" s="1"/>
      <x:c r="B66" s="1"/>
      <x:c r="C66" s="1" t="str">
        <x:v>EPC</x:v>
      </x:c>
      <x:c r="D66" s="2" t="str">
        <x:v>Utilization above 100%</x:v>
      </x:c>
      <x:c r="E66" s="33" t="n">
        <x:f>'EPC'!E106</x:f>
        <x:v>0</x:v>
      </x:c>
      <x:c r="F66" s="33" t="n">
        <x:f>'EPC'!F106</x:f>
        <x:v>0</x:v>
      </x:c>
      <x:c r="G66" s="33" t="n">
        <x:f>'EPC'!G106</x:f>
        <x:v>0</x:v>
      </x:c>
      <x:c r="H66" s="33" t="n">
        <x:f>'EPC'!H106</x:f>
        <x:v>0</x:v>
      </x:c>
      <x:c r="I66" s="33" t="n">
        <x:f>'EPC'!I106</x:f>
        <x:v>0</x:v>
      </x:c>
      <x:c r="J66" s="1"/>
      <x:c r="K66" s="1"/>
    </x:row>
    <x:row r="67" ht="18" customHeight="1">
      <x:c r="A67" s="1"/>
      <x:c r="B67" s="1"/>
      <x:c r="C67" s="1" t="str">
        <x:v>EPC</x:v>
      </x:c>
      <x:c r="D67" s="2" t="str">
        <x:v>Net PP&amp;E below zero</x:v>
      </x:c>
      <x:c r="E67" s="33" t="n">
        <x:f>'EPC'!E107</x:f>
        <x:v>0</x:v>
      </x:c>
      <x:c r="F67" s="33" t="n">
        <x:f>'EPC'!F107</x:f>
        <x:v>0</x:v>
      </x:c>
      <x:c r="G67" s="33" t="n">
        <x:f>'EPC'!G107</x:f>
        <x:v>0</x:v>
      </x:c>
      <x:c r="H67" s="33" t="n">
        <x:f>'EPC'!H107</x:f>
        <x:v>0</x:v>
      </x:c>
      <x:c r="I67" s="33" t="n">
        <x:f>'EPC'!I107</x:f>
        <x:v>0</x:v>
      </x:c>
      <x:c r="J67" s="1"/>
      <x:c r="K67" s="1"/>
    </x:row>
    <x:row r="68" ht="18" customHeight="1">
      <x:c r="A68" s="1"/>
      <x:c r="B68" s="1"/>
      <x:c r="C68" s="1" t="str">
        <x:v>Banking</x:v>
      </x:c>
      <x:c r="D68" s="2" t="str">
        <x:v>Assets less funding and equity</x:v>
      </x:c>
      <x:c r="E68" s="33" t="n">
        <x:f>'Banking'!E89</x:f>
        <x:v>-3.637978807091713e-12</x:v>
      </x:c>
      <x:c r="F68" s="33" t="n">
        <x:f>'Banking'!F89</x:f>
        <x:v>3.637978807091713e-12</x:v>
      </x:c>
      <x:c r="G68" s="33" t="n">
        <x:f>'Banking'!G89</x:f>
        <x:v>7.275957614183426e-12</x:v>
      </x:c>
      <x:c r="H68" s="33" t="n">
        <x:f>'Banking'!H89</x:f>
        <x:v>0</x:v>
      </x:c>
      <x:c r="I68" s="33" t="n">
        <x:f>'Banking'!I89</x:f>
        <x:v>-1.0913936421275139e-11</x:v>
      </x:c>
      <x:c r="J68" s="1"/>
      <x:c r="K68" s="1"/>
    </x:row>
    <x:row r="69" ht="18" customHeight="1">
      <x:c r="A69" s="1"/>
      <x:c r="B69" s="1"/>
      <x:c r="C69" s="1" t="str">
        <x:v>Banking</x:v>
      </x:c>
      <x:c r="D69" s="2" t="str">
        <x:v>Residual liquidity shortfall</x:v>
      </x:c>
      <x:c r="E69" s="33" t="n">
        <x:f>'Banking'!E90</x:f>
        <x:v>0</x:v>
      </x:c>
      <x:c r="F69" s="33" t="n">
        <x:f>'Banking'!F90</x:f>
        <x:v>0</x:v>
      </x:c>
      <x:c r="G69" s="33" t="n">
        <x:f>'Banking'!G90</x:f>
        <x:v>0</x:v>
      </x:c>
      <x:c r="H69" s="33" t="n">
        <x:f>'Banking'!H90</x:f>
        <x:v>0</x:v>
      </x:c>
      <x:c r="I69" s="33" t="n">
        <x:f>'Banking'!I90</x:f>
        <x:v>0</x:v>
      </x:c>
      <x:c r="J69" s="1"/>
      <x:c r="K69" s="1"/>
    </x:row>
    <x:row r="70" ht="18" customHeight="1">
      <x:c r="A70" s="1"/>
      <x:c r="B70" s="1"/>
      <x:c r="C70" s="1" t="str">
        <x:v>Banking</x:v>
      </x:c>
      <x:c r="D70" s="2" t="str">
        <x:v>Allowance below zero</x:v>
      </x:c>
      <x:c r="E70" s="33" t="n">
        <x:f>'Banking'!E91</x:f>
        <x:v>0</x:v>
      </x:c>
      <x:c r="F70" s="33" t="n">
        <x:f>'Banking'!F91</x:f>
        <x:v>0</x:v>
      </x:c>
      <x:c r="G70" s="33" t="n">
        <x:f>'Banking'!G91</x:f>
        <x:v>0</x:v>
      </x:c>
      <x:c r="H70" s="33" t="n">
        <x:f>'Banking'!H91</x:f>
        <x:v>0</x:v>
      </x:c>
      <x:c r="I70" s="33" t="n">
        <x:f>'Banking'!I91</x:f>
        <x:v>0</x:v>
      </x:c>
      <x:c r="J70" s="1"/>
      <x:c r="K70" s="1"/>
    </x:row>
    <x:row r="71" ht="18" customHeight="1">
      <x:c r="A71" s="1"/>
      <x:c r="B71" s="1"/>
      <x:c r="C71" s="1" t="str">
        <x:v>Banking</x:v>
      </x:c>
      <x:c r="D71" s="2" t="str">
        <x:v>NPA above gross loans</x:v>
      </x:c>
      <x:c r="E71" s="33" t="n">
        <x:f>'Banking'!E92</x:f>
        <x:v>0</x:v>
      </x:c>
      <x:c r="F71" s="33" t="n">
        <x:f>'Banking'!F92</x:f>
        <x:v>0</x:v>
      </x:c>
      <x:c r="G71" s="33" t="n">
        <x:f>'Banking'!G92</x:f>
        <x:v>0</x:v>
      </x:c>
      <x:c r="H71" s="33" t="n">
        <x:f>'Banking'!H92</x:f>
        <x:v>0</x:v>
      </x:c>
      <x:c r="I71" s="33" t="n">
        <x:f>'Banking'!I92</x:f>
        <x:v>0</x:v>
      </x:c>
      <x:c r="J71" s="1"/>
      <x:c r="K71" s="1"/>
    </x:row>
    <x:row r="72" ht="18" customHeight="1">
      <x:c r="A72" s="1"/>
      <x:c r="B72" s="1"/>
      <x:c r="C72" s="1" t="str">
        <x:v>NBFC</x:v>
      </x:c>
      <x:c r="D72" s="2" t="str">
        <x:v>Assets less funding and equity</x:v>
      </x:c>
      <x:c r="E72" s="33" t="n">
        <x:f>'NBFC'!E89</x:f>
        <x:v>9.094947017729282e-13</x:v>
      </x:c>
      <x:c r="F72" s="33" t="n">
        <x:f>'NBFC'!F89</x:f>
        <x:v>-9.094947017729282e-13</x:v>
      </x:c>
      <x:c r="G72" s="33" t="n">
        <x:f>'NBFC'!G89</x:f>
        <x:v>0</x:v>
      </x:c>
      <x:c r="H72" s="33" t="n">
        <x:f>'NBFC'!H89</x:f>
        <x:v>1.8189894035458565e-12</x:v>
      </x:c>
      <x:c r="I72" s="33" t="n">
        <x:f>'NBFC'!I89</x:f>
        <x:v>1.8189894035458565e-12</x:v>
      </x:c>
      <x:c r="J72" s="1"/>
      <x:c r="K72" s="1"/>
    </x:row>
    <x:row r="73" ht="18" customHeight="1">
      <x:c r="A73" s="1"/>
      <x:c r="B73" s="1"/>
      <x:c r="C73" s="1" t="str">
        <x:v>NBFC</x:v>
      </x:c>
      <x:c r="D73" s="2" t="str">
        <x:v>Residual liquidity shortfall</x:v>
      </x:c>
      <x:c r="E73" s="33" t="n">
        <x:f>'NBFC'!E90</x:f>
        <x:v>0</x:v>
      </x:c>
      <x:c r="F73" s="33" t="n">
        <x:f>'NBFC'!F90</x:f>
        <x:v>0</x:v>
      </x:c>
      <x:c r="G73" s="33" t="n">
        <x:f>'NBFC'!G90</x:f>
        <x:v>0</x:v>
      </x:c>
      <x:c r="H73" s="33" t="n">
        <x:f>'NBFC'!H90</x:f>
        <x:v>0</x:v>
      </x:c>
      <x:c r="I73" s="33" t="n">
        <x:f>'NBFC'!I90</x:f>
        <x:v>0</x:v>
      </x:c>
      <x:c r="J73" s="1"/>
      <x:c r="K73" s="1"/>
    </x:row>
    <x:row r="74" ht="18" customHeight="1">
      <x:c r="A74" s="1"/>
      <x:c r="B74" s="1"/>
      <x:c r="C74" s="1" t="str">
        <x:v>NBFC</x:v>
      </x:c>
      <x:c r="D74" s="2" t="str">
        <x:v>Allowance below zero</x:v>
      </x:c>
      <x:c r="E74" s="33" t="n">
        <x:f>'NBFC'!E91</x:f>
        <x:v>0</x:v>
      </x:c>
      <x:c r="F74" s="33" t="n">
        <x:f>'NBFC'!F91</x:f>
        <x:v>0</x:v>
      </x:c>
      <x:c r="G74" s="33" t="n">
        <x:f>'NBFC'!G91</x:f>
        <x:v>0</x:v>
      </x:c>
      <x:c r="H74" s="33" t="n">
        <x:f>'NBFC'!H91</x:f>
        <x:v>0</x:v>
      </x:c>
      <x:c r="I74" s="33" t="n">
        <x:f>'NBFC'!I91</x:f>
        <x:v>0</x:v>
      </x:c>
      <x:c r="J74" s="1"/>
      <x:c r="K74" s="1"/>
    </x:row>
    <x:row r="75" ht="18" customHeight="1">
      <x:c r="A75" s="1"/>
      <x:c r="B75" s="1"/>
      <x:c r="C75" s="1" t="str">
        <x:v>NBFC</x:v>
      </x:c>
      <x:c r="D75" s="2" t="str">
        <x:v>NPA above gross loans</x:v>
      </x:c>
      <x:c r="E75" s="33" t="n">
        <x:f>'NBFC'!E92</x:f>
        <x:v>0</x:v>
      </x:c>
      <x:c r="F75" s="33" t="n">
        <x:f>'NBFC'!F92</x:f>
        <x:v>0</x:v>
      </x:c>
      <x:c r="G75" s="33" t="n">
        <x:f>'NBFC'!G92</x:f>
        <x:v>0</x:v>
      </x:c>
      <x:c r="H75" s="33" t="n">
        <x:f>'NBFC'!H92</x:f>
        <x:v>0</x:v>
      </x:c>
      <x:c r="I75" s="33" t="n">
        <x:f>'NBFC'!I92</x:f>
        <x:v>0</x:v>
      </x:c>
      <x:c r="J75" s="1"/>
      <x:c r="K75" s="1"/>
    </x:row>
    <x:row r="76" ht="18" customHeight="1">
      <x:c r="A76" s="1"/>
      <x:c r="B76" s="1"/>
      <x:c r="C76" s="1" t="str">
        <x:v>General Insurance</x:v>
      </x:c>
      <x:c r="D76" s="2" t="str">
        <x:v>Assets less reserves and equity</x:v>
      </x:c>
      <x:c r="E76" s="33" t="n">
        <x:f>'General Insurance'!E60</x:f>
        <x:v>1.8189894035458565e-12</x:v>
      </x:c>
      <x:c r="F76" s="33" t="n">
        <x:f>'General Insurance'!F60</x:f>
        <x:v>1.8189894035458565e-12</x:v>
      </x:c>
      <x:c r="G76" s="33" t="n">
        <x:f>'General Insurance'!G60</x:f>
        <x:v>9.094947017729282e-13</x:v>
      </x:c>
      <x:c r="H76" s="33" t="n">
        <x:f>'General Insurance'!H60</x:f>
        <x:v>9.094947017729282e-13</x:v>
      </x:c>
      <x:c r="I76" s="33" t="n">
        <x:f>'General Insurance'!I60</x:f>
        <x:v>1.8189894035458565e-12</x:v>
      </x:c>
      <x:c r="J76" s="1"/>
      <x:c r="K76" s="1"/>
    </x:row>
    <x:row r="77" ht="18" customHeight="1">
      <x:c r="A77" s="1"/>
      <x:c r="B77" s="1"/>
      <x:c r="C77" s="1" t="str">
        <x:v>General Insurance</x:v>
      </x:c>
      <x:c r="D77" s="2" t="str">
        <x:v>Claims reserve below zero</x:v>
      </x:c>
      <x:c r="E77" s="33" t="n">
        <x:f>'General Insurance'!E61</x:f>
        <x:v>0</x:v>
      </x:c>
      <x:c r="F77" s="33" t="n">
        <x:f>'General Insurance'!F61</x:f>
        <x:v>0</x:v>
      </x:c>
      <x:c r="G77" s="33" t="n">
        <x:f>'General Insurance'!G61</x:f>
        <x:v>0</x:v>
      </x:c>
      <x:c r="H77" s="33" t="n">
        <x:f>'General Insurance'!H61</x:f>
        <x:v>0</x:v>
      </x:c>
      <x:c r="I77" s="33" t="n">
        <x:f>'General Insurance'!I61</x:f>
        <x:v>0</x:v>
      </x:c>
      <x:c r="J77" s="1"/>
      <x:c r="K77" s="1"/>
    </x:row>
    <x:row r="78" ht="18" customHeight="1">
      <x:c r="A78" s="1"/>
      <x:c r="B78" s="1"/>
      <x:c r="C78" s="1" t="str">
        <x:v>General Insurance</x:v>
      </x:c>
      <x:c r="D78" s="2" t="str">
        <x:v>Earned premium below zero</x:v>
      </x:c>
      <x:c r="E78" s="33" t="n">
        <x:f>'General Insurance'!E62</x:f>
        <x:v>0</x:v>
      </x:c>
      <x:c r="F78" s="33" t="n">
        <x:f>'General Insurance'!F62</x:f>
        <x:v>0</x:v>
      </x:c>
      <x:c r="G78" s="33" t="n">
        <x:f>'General Insurance'!G62</x:f>
        <x:v>0</x:v>
      </x:c>
      <x:c r="H78" s="33" t="n">
        <x:f>'General Insurance'!H62</x:f>
        <x:v>0</x:v>
      </x:c>
      <x:c r="I78" s="33" t="n">
        <x:f>'General Insurance'!I62</x:f>
        <x:v>0</x:v>
      </x:c>
      <x:c r="J78" s="1"/>
      <x:c r="K78" s="1"/>
    </x:row>
    <x:row r="79" ht="18" customHeight="1">
      <x:c r="A79" s="1"/>
      <x:c r="B79" s="1"/>
      <x:c r="C79" s="1" t="str">
        <x:v>Real Estate</x:v>
      </x:c>
      <x:c r="D79" s="2" t="str">
        <x:v>Assets less liabilities and equity</x:v>
      </x:c>
      <x:c r="E79" s="33" t="n">
        <x:f>'Real Estate'!E71</x:f>
        <x:v>0</x:v>
      </x:c>
      <x:c r="F79" s="33" t="n">
        <x:f>'Real Estate'!F71</x:f>
        <x:v>0</x:v>
      </x:c>
      <x:c r="G79" s="33" t="n">
        <x:f>'Real Estate'!G71</x:f>
        <x:v>0</x:v>
      </x:c>
      <x:c r="H79" s="33" t="n">
        <x:f>'Real Estate'!H71</x:f>
        <x:v>-9.094947017729282e-13</x:v>
      </x:c>
      <x:c r="I79" s="33" t="n">
        <x:f>'Real Estate'!I71</x:f>
        <x:v>0</x:v>
      </x:c>
      <x:c r="J79" s="1"/>
      <x:c r="K79" s="1"/>
    </x:row>
    <x:row r="80" ht="18" customHeight="1">
      <x:c r="A80" s="1"/>
      <x:c r="B80" s="1"/>
      <x:c r="C80" s="1" t="str">
        <x:v>Real Estate</x:v>
      </x:c>
      <x:c r="D80" s="2" t="str">
        <x:v>Inventory below zero</x:v>
      </x:c>
      <x:c r="E80" s="33" t="n">
        <x:f>'Real Estate'!E72</x:f>
        <x:v>0</x:v>
      </x:c>
      <x:c r="F80" s="33" t="n">
        <x:f>'Real Estate'!F72</x:f>
        <x:v>0</x:v>
      </x:c>
      <x:c r="G80" s="33" t="n">
        <x:f>'Real Estate'!G72</x:f>
        <x:v>0</x:v>
      </x:c>
      <x:c r="H80" s="33" t="n">
        <x:f>'Real Estate'!H72</x:f>
        <x:v>0</x:v>
      </x:c>
      <x:c r="I80" s="33" t="n">
        <x:f>'Real Estate'!I72</x:f>
        <x:v>0</x:v>
      </x:c>
      <x:c r="J80" s="1"/>
      <x:c r="K80" s="1"/>
    </x:row>
    <x:row r="81" ht="18" customHeight="1">
      <x:c r="A81" s="1"/>
      <x:c r="B81" s="1"/>
      <x:c r="C81" s="1" t="str">
        <x:v>Real Estate</x:v>
      </x:c>
      <x:c r="D81" s="2" t="str">
        <x:v>Backlog below zero</x:v>
      </x:c>
      <x:c r="E81" s="33" t="n">
        <x:f>'Real Estate'!E73</x:f>
        <x:v>0</x:v>
      </x:c>
      <x:c r="F81" s="33" t="n">
        <x:f>'Real Estate'!F73</x:f>
        <x:v>0</x:v>
      </x:c>
      <x:c r="G81" s="33" t="n">
        <x:f>'Real Estate'!G73</x:f>
        <x:v>0</x:v>
      </x:c>
      <x:c r="H81" s="33" t="n">
        <x:f>'Real Estate'!H73</x:f>
        <x:v>0</x:v>
      </x:c>
      <x:c r="I81" s="33" t="n">
        <x:f>'Real Estate'!I73</x:f>
        <x:v>0</x:v>
      </x:c>
      <x:c r="J81" s="1"/>
      <x:c r="K81" s="1"/>
    </x:row>
    <x:row r="82" ht="18" customHeight="1">
      <x:c r="A82" s="1"/>
      <x:c r="B82" s="1"/>
      <x:c r="C82" s="1" t="str">
        <x:v>Real Estate</x:v>
      </x:c>
      <x:c r="D82" s="2" t="str">
        <x:v>Cash funding shortfall</x:v>
      </x:c>
      <x:c r="E82" s="33" t="n">
        <x:f>'Real Estate'!E74</x:f>
        <x:v>0</x:v>
      </x:c>
      <x:c r="F82" s="33" t="n">
        <x:f>'Real Estate'!F74</x:f>
        <x:v>0</x:v>
      </x:c>
      <x:c r="G82" s="33" t="n">
        <x:f>'Real Estate'!G74</x:f>
        <x:v>0</x:v>
      </x:c>
      <x:c r="H82" s="33" t="n">
        <x:f>'Real Estate'!H74</x:f>
        <x:v>0</x:v>
      </x:c>
      <x:c r="I82" s="33" t="n">
        <x:f>'Real Estate'!I74</x:f>
        <x:v>0</x:v>
      </x:c>
      <x:c r="J82" s="1"/>
      <x:c r="K82" s="1"/>
    </x:row>
    <x:row r="83" ht="18" customHeight="1">
      <x:c r="A83" s="1"/>
      <x:c r="B83" s="1"/>
      <x:c r="C83" s="1"/>
      <x:c r="D83" s="2"/>
      <x:c r="E83" s="2"/>
      <x:c r="F83" s="2"/>
      <x:c r="G83" s="2"/>
      <x:c r="H83" s="2"/>
      <x:c r="I83" s="2"/>
      <x:c r="J83" s="1"/>
      <x:c r="K83" s="1"/>
    </x:row>
    <x:row r="84" ht="18" customHeight="1">
      <x:c r="A84" s="1"/>
      <x:c r="B84" s="1"/>
      <x:c r="C84" s="1"/>
      <x:c r="D84" s="2"/>
      <x:c r="E84" s="2"/>
      <x:c r="F84" s="2"/>
      <x:c r="G84" s="2"/>
      <x:c r="H84" s="2"/>
      <x:c r="I84" s="2"/>
      <x:c r="J84" s="1"/>
      <x:c r="K84" s="1"/>
    </x:row>
    <x:row r="85" ht="18" customHeight="1">
      <x:c r="A85" s="1"/>
      <x:c r="B85" s="1"/>
      <x:c r="C85" s="1"/>
      <x:c r="D85" s="2"/>
      <x:c r="E85" s="2"/>
      <x:c r="F85" s="2"/>
      <x:c r="G85" s="2"/>
      <x:c r="H85" s="2"/>
      <x:c r="I85" s="2"/>
      <x:c r="J85" s="1"/>
      <x:c r="K85" s="1"/>
    </x:row>
    <x:row r="86" ht="18" customHeight="1">
      <x:c r="A86" s="1"/>
      <x:c r="B86" s="1"/>
      <x:c r="C86" s="1"/>
      <x:c r="D86" s="2"/>
      <x:c r="E86" s="2"/>
      <x:c r="F86" s="2"/>
      <x:c r="G86" s="2"/>
      <x:c r="H86" s="2"/>
      <x:c r="I86" s="2"/>
      <x:c r="J86" s="1"/>
      <x:c r="K86" s="1"/>
    </x:row>
    <x:row r="87" ht="18" customHeight="1">
      <x:c r="A87" s="1"/>
      <x:c r="B87" s="1"/>
      <x:c r="C87" s="1"/>
      <x:c r="D87" s="2"/>
      <x:c r="E87" s="2"/>
      <x:c r="F87" s="2"/>
      <x:c r="G87" s="2"/>
      <x:c r="H87" s="2"/>
      <x:c r="I87" s="2"/>
      <x:c r="J87" s="1"/>
      <x:c r="K87" s="1"/>
    </x:row>
    <x:row r="88" ht="18" customHeight="1">
      <x:c r="A88" s="1"/>
      <x:c r="B88" s="1"/>
      <x:c r="C88" s="1"/>
      <x:c r="D88" s="2"/>
      <x:c r="E88" s="2"/>
      <x:c r="F88" s="2"/>
      <x:c r="G88" s="2"/>
      <x:c r="H88" s="2"/>
      <x:c r="I88" s="2"/>
      <x:c r="J88" s="1"/>
      <x:c r="K88" s="1"/>
    </x:row>
    <x:row r="89" ht="18" customHeight="1">
      <x:c r="A89" s="1"/>
      <x:c r="B89" s="1"/>
      <x:c r="C89" s="1"/>
      <x:c r="D89" s="2"/>
      <x:c r="E89" s="2"/>
      <x:c r="F89" s="2"/>
      <x:c r="G89" s="2"/>
      <x:c r="H89" s="2"/>
      <x:c r="I89" s="2"/>
      <x:c r="J89" s="1"/>
      <x:c r="K89" s="1"/>
    </x:row>
    <x:row r="90" ht="18" customHeight="1">
      <x:c r="A90" s="1"/>
      <x:c r="B90" s="1"/>
      <x:c r="C90" s="1"/>
      <x:c r="D90" s="2"/>
      <x:c r="E90" s="2"/>
      <x:c r="F90" s="2"/>
      <x:c r="G90" s="2"/>
      <x:c r="H90" s="2"/>
      <x:c r="I90" s="2"/>
      <x:c r="J90" s="1"/>
      <x:c r="K90" s="1"/>
    </x:row>
    <x:row r="91" ht="18" customHeight="1">
      <x:c r="A91" s="1"/>
      <x:c r="B91" s="1"/>
      <x:c r="C91" s="1"/>
      <x:c r="D91" s="2"/>
      <x:c r="E91" s="2"/>
      <x:c r="F91" s="2"/>
      <x:c r="G91" s="2"/>
      <x:c r="H91" s="2"/>
      <x:c r="I91" s="2"/>
      <x:c r="J91" s="1"/>
      <x:c r="K91" s="1"/>
    </x:row>
    <x:row r="92" ht="18" customHeight="1">
      <x:c r="A92" s="1"/>
      <x:c r="B92" s="1"/>
      <x:c r="C92" s="1"/>
      <x:c r="D92" s="2"/>
      <x:c r="E92" s="2"/>
      <x:c r="F92" s="2"/>
      <x:c r="G92" s="2"/>
      <x:c r="H92" s="2"/>
      <x:c r="I92" s="2"/>
      <x:c r="J92" s="1"/>
      <x:c r="K92" s="1"/>
    </x:row>
    <x:row r="93" ht="18" customHeight="1">
      <x:c r="A93" s="1"/>
      <x:c r="B93" s="1"/>
      <x:c r="C93" s="1"/>
      <x:c r="D93" s="2"/>
      <x:c r="E93" s="2"/>
      <x:c r="F93" s="2"/>
      <x:c r="G93" s="2"/>
      <x:c r="H93" s="2"/>
      <x:c r="I93" s="2"/>
      <x:c r="J93" s="1"/>
      <x:c r="K93" s="1"/>
    </x:row>
    <x:row r="94" ht="18" customHeight="1">
      <x:c r="A94" s="1"/>
      <x:c r="B94" s="1"/>
      <x:c r="C94" s="1"/>
      <x:c r="D94" s="2"/>
      <x:c r="E94" s="2"/>
      <x:c r="F94" s="2"/>
      <x:c r="G94" s="2"/>
      <x:c r="H94" s="2"/>
      <x:c r="I94" s="2"/>
      <x:c r="J94" s="1"/>
      <x:c r="K94" s="1"/>
    </x:row>
    <x:row r="95" ht="18" customHeight="1">
      <x:c r="A95" s="1"/>
      <x:c r="B95" s="1"/>
      <x:c r="C95" s="1"/>
      <x:c r="D95" s="2"/>
      <x:c r="E95" s="2"/>
      <x:c r="F95" s="2"/>
      <x:c r="G95" s="2"/>
      <x:c r="H95" s="2"/>
      <x:c r="I95" s="2"/>
      <x:c r="J95" s="1"/>
      <x:c r="K95" s="1"/>
    </x:row>
    <x:row r="96" ht="18" customHeight="1">
      <x:c r="A96" s="1"/>
      <x:c r="B96" s="1"/>
      <x:c r="C96" s="1"/>
      <x:c r="D96" s="2"/>
      <x:c r="E96" s="2"/>
      <x:c r="F96" s="2"/>
      <x:c r="G96" s="2"/>
      <x:c r="H96" s="2"/>
      <x:c r="I96" s="2"/>
      <x:c r="J96" s="1"/>
      <x:c r="K96" s="1"/>
    </x:row>
    <x:row r="97" ht="18" customHeight="1">
      <x:c r="A97" s="1"/>
      <x:c r="B97" s="1"/>
      <x:c r="C97" s="1"/>
      <x:c r="D97" s="2"/>
      <x:c r="E97" s="2"/>
      <x:c r="F97" s="2"/>
      <x:c r="G97" s="2"/>
      <x:c r="H97" s="2"/>
      <x:c r="I97" s="2"/>
      <x:c r="J97" s="1"/>
      <x:c r="K97" s="1"/>
    </x:row>
    <x:row r="98" ht="18" customHeight="1">
      <x:c r="A98" s="1"/>
      <x:c r="B98" s="1"/>
      <x:c r="C98" s="1"/>
      <x:c r="D98" s="2"/>
      <x:c r="E98" s="2"/>
      <x:c r="F98" s="2"/>
      <x:c r="G98" s="2"/>
      <x:c r="H98" s="2"/>
      <x:c r="I98" s="2"/>
      <x:c r="J98" s="1"/>
      <x:c r="K98" s="1"/>
    </x:row>
    <x:row r="99" ht="18" customHeight="1">
      <x:c r="A99" s="1"/>
      <x:c r="B99" s="1"/>
      <x:c r="C99" s="1"/>
      <x:c r="D99" s="2"/>
      <x:c r="E99" s="2"/>
      <x:c r="F99" s="2"/>
      <x:c r="G99" s="2"/>
      <x:c r="H99" s="2"/>
      <x:c r="I99" s="2"/>
      <x:c r="J99" s="1"/>
      <x:c r="K99" s="1"/>
    </x:row>
    <x:row r="100" ht="18" customHeight="1">
      <x:c r="A100" s="1"/>
      <x:c r="B100" s="1"/>
      <x:c r="C100" s="1"/>
      <x:c r="D100" s="2"/>
      <x:c r="E100" s="2"/>
      <x:c r="F100" s="2"/>
      <x:c r="G100" s="2"/>
      <x:c r="H100" s="2"/>
      <x:c r="I100" s="2"/>
      <x:c r="J100" s="1"/>
      <x:c r="K100" s="1"/>
    </x:row>
    <x:row r="101" ht="18" customHeight="1">
      <x:c r="A101" s="1"/>
      <x:c r="B101" s="1"/>
      <x:c r="C101" s="1"/>
      <x:c r="D101" s="2"/>
      <x:c r="E101" s="2"/>
      <x:c r="F101" s="2"/>
      <x:c r="G101" s="2"/>
      <x:c r="H101" s="2"/>
      <x:c r="I101" s="2"/>
      <x:c r="J101" s="1"/>
      <x:c r="K101" s="1"/>
    </x:row>
    <x:row r="102" ht="18" customHeight="1">
      <x:c r="A102" s="1"/>
      <x:c r="B102" s="1"/>
      <x:c r="C102" s="1"/>
      <x:c r="D102" s="2"/>
      <x:c r="E102" s="2"/>
      <x:c r="F102" s="2"/>
      <x:c r="G102" s="2"/>
      <x:c r="H102" s="2"/>
      <x:c r="I102" s="2"/>
      <x:c r="J102" s="1"/>
      <x:c r="K102" s="1"/>
    </x:row>
    <x:row r="103" ht="18" customHeight="1">
      <x:c r="A103" s="1"/>
      <x:c r="B103" s="1"/>
      <x:c r="C103" s="1"/>
      <x:c r="D103" s="2"/>
      <x:c r="E103" s="2"/>
      <x:c r="F103" s="2"/>
      <x:c r="G103" s="2"/>
      <x:c r="H103" s="2"/>
      <x:c r="I103" s="2"/>
      <x:c r="J103" s="1"/>
      <x:c r="K103" s="1"/>
    </x:row>
    <x:row r="104" ht="18" customHeight="1">
      <x:c r="A104" s="1"/>
      <x:c r="B104" s="1"/>
      <x:c r="C104" s="1"/>
      <x:c r="D104" s="2"/>
      <x:c r="E104" s="2"/>
      <x:c r="F104" s="2"/>
      <x:c r="G104" s="2"/>
      <x:c r="H104" s="2"/>
      <x:c r="I104" s="2"/>
      <x:c r="J104" s="1"/>
      <x:c r="K104" s="1"/>
    </x:row>
    <x:row r="105" ht="18" customHeight="1">
      <x:c r="A105" s="1"/>
      <x:c r="B105" s="1"/>
      <x:c r="C105" s="1"/>
      <x:c r="D105" s="2"/>
      <x:c r="E105" s="2"/>
      <x:c r="F105" s="2"/>
      <x:c r="G105" s="2"/>
      <x:c r="H105" s="2"/>
      <x:c r="I105" s="2"/>
      <x:c r="J105" s="1"/>
      <x:c r="K105" s="1"/>
    </x:row>
    <x:row r="106" ht="18" customHeight="1">
      <x:c r="A106" s="1"/>
      <x:c r="B106" s="1"/>
      <x:c r="C106" s="1"/>
      <x:c r="D106" s="2"/>
      <x:c r="E106" s="2"/>
      <x:c r="F106" s="2"/>
      <x:c r="G106" s="2"/>
      <x:c r="H106" s="2"/>
      <x:c r="I106" s="2"/>
      <x:c r="J106" s="1"/>
      <x:c r="K106" s="1"/>
    </x:row>
    <x:row r="107" ht="18" customHeight="1">
      <x:c r="A107" s="1"/>
      <x:c r="B107" s="1"/>
      <x:c r="C107" s="1"/>
      <x:c r="D107" s="2"/>
      <x:c r="E107" s="2"/>
      <x:c r="F107" s="2"/>
      <x:c r="G107" s="2"/>
      <x:c r="H107" s="2"/>
      <x:c r="I107" s="2"/>
      <x:c r="J107" s="1"/>
      <x:c r="K107" s="1"/>
    </x:row>
    <x:row r="108" ht="18" customHeight="1">
      <x:c r="A108" s="1"/>
      <x:c r="B108" s="1"/>
      <x:c r="C108" s="1"/>
      <x:c r="D108" s="2"/>
      <x:c r="E108" s="2"/>
      <x:c r="F108" s="2"/>
      <x:c r="G108" s="2"/>
      <x:c r="H108" s="2"/>
      <x:c r="I108" s="2"/>
      <x:c r="J108" s="1"/>
      <x:c r="K108" s="1"/>
    </x:row>
    <x:row r="109" ht="18" customHeight="1">
      <x:c r="A109" s="1"/>
      <x:c r="B109" s="1"/>
      <x:c r="C109" s="1"/>
      <x:c r="D109" s="2"/>
      <x:c r="E109" s="2"/>
      <x:c r="F109" s="2"/>
      <x:c r="G109" s="2"/>
      <x:c r="H109" s="2"/>
      <x:c r="I109" s="2"/>
      <x:c r="J109" s="1"/>
      <x:c r="K109" s="1"/>
    </x:row>
    <x:row r="110" ht="18" customHeight="1">
      <x:c r="A110" s="1"/>
      <x:c r="B110" s="1"/>
      <x:c r="C110" s="1"/>
      <x:c r="D110" s="2"/>
      <x:c r="E110" s="2"/>
      <x:c r="F110" s="2"/>
      <x:c r="G110" s="2"/>
      <x:c r="H110" s="2"/>
      <x:c r="I110" s="2"/>
      <x:c r="J110" s="1"/>
      <x:c r="K110" s="1"/>
    </x:row>
  </x:sheetData>
  <x:conditionalFormatting sqref="E8:I82">
    <x:cfRule type="expression" dxfId="75" priority="1">
      <x:formula>ABS(E8)&gt;0.01</x:formula>
    </x:cfRule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84919D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34" hidden="0" customWidth="1"/>
    <x:col min="4" max="4" width="130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3" hidden="0" customWidth="1"/>
    <x:col min="11" max="11" width="88" hidden="0" customWidth="1"/>
  </x:cols>
  <x:sheetData>
    <x:row r="1" ht="18" customHeight="1">
      <x:c r="A1" s="1"/>
      <x:c r="B1" s="1"/>
      <x:c r="C1" s="1"/>
      <x:c r="D1" s="2"/>
      <x:c r="E1" s="2"/>
      <x:c r="F1" s="2"/>
      <x:c r="G1" s="2"/>
      <x:c r="H1" s="2"/>
      <x:c r="I1" s="2"/>
      <x:c r="J1" s="1"/>
      <x:c r="K1" s="1"/>
    </x:row>
    <x:row r="2" ht="18" customHeight="1">
      <x:c r="A2" s="1"/>
      <x:c r="B2" s="1"/>
      <x:c r="C2" s="3" t="str">
        <x:v>Model methodology and source references</x:v>
      </x:c>
      <x:c r="D2" s="2"/>
      <x:c r="E2" s="2"/>
      <x:c r="F2" s="2"/>
      <x:c r="G2" s="2"/>
      <x:c r="H2" s="2"/>
      <x:c r="I2" s="2"/>
      <x:c r="J2" s="1"/>
      <x:c r="K2" s="1"/>
    </x:row>
    <x:row r="3" ht="18" customHeight="1">
      <x:c r="A3" s="1"/>
      <x:c r="B3" s="1"/>
      <x:c r="C3" s="4"/>
      <x:c r="D3" s="5"/>
      <x:c r="E3" s="5"/>
      <x:c r="F3" s="5"/>
      <x:c r="G3" s="5"/>
      <x:c r="H3" s="5"/>
      <x:c r="I3" s="5"/>
      <x:c r="J3" s="1"/>
      <x:c r="K3" s="1"/>
    </x:row>
    <x:row r="4" ht="18" customHeight="1">
      <x:c r="A4" s="1"/>
      <x:c r="B4" s="1"/>
      <x:c r="C4" s="1"/>
      <x:c r="D4" s="2"/>
      <x:c r="E4" s="2"/>
      <x:c r="F4" s="2"/>
      <x:c r="G4" s="2"/>
      <x:c r="H4" s="2"/>
      <x:c r="I4" s="2"/>
      <x:c r="J4" s="1"/>
      <x:c r="K4" s="1"/>
    </x:row>
    <x:row r="5" ht="42" customHeight="1">
      <x:c r="A5" s="1"/>
      <x:c r="B5" s="1"/>
      <x:c r="C5" s="1" t="str">
        <x:v>Purpose</x:v>
      </x:c>
      <x:c r="D5" s="54" t="str">
        <x:v>Reusable, editable financial model library for client discussion and subsequent company-specific adaptation.</x:v>
      </x:c>
      <x:c r="E5" s="2"/>
      <x:c r="F5" s="2"/>
      <x:c r="G5" s="2"/>
      <x:c r="H5" s="2"/>
      <x:c r="I5" s="2"/>
      <x:c r="J5" s="1"/>
      <x:c r="K5" s="1"/>
    </x:row>
    <x:row r="6" ht="42" customHeight="1">
      <x:c r="A6" s="1"/>
      <x:c r="B6" s="1"/>
      <x:c r="C6" s="1" t="str">
        <x:v>Data status</x:v>
      </x:c>
      <x:c r="D6" s="54" t="str">
        <x:v>Every financial input is a deliberately constructed illustration. No actual company accounts, prices or sector forecasts are imported.</x:v>
      </x:c>
      <x:c r="E6" s="2"/>
      <x:c r="F6" s="2"/>
      <x:c r="G6" s="2"/>
      <x:c r="H6" s="2"/>
      <x:c r="I6" s="2"/>
      <x:c r="J6" s="1"/>
      <x:c r="K6" s="1"/>
    </x:row>
    <x:row r="7" ht="42" customHeight="1">
      <x:c r="A7" s="1"/>
      <x:c r="B7" s="1"/>
      <x:c r="C7" s="1" t="str">
        <x:v>Model date</x:v>
      </x:c>
      <x:c r="D7" s="54" t="str">
        <x:v>Opening balance sheets and valuation date: 31 March 2026. Forecast year ends: 31 March 2027 through 31 March 2031.</x:v>
      </x:c>
      <x:c r="E7" s="2"/>
      <x:c r="F7" s="2"/>
      <x:c r="G7" s="2"/>
      <x:c r="H7" s="2"/>
      <x:c r="I7" s="2"/>
      <x:c r="J7" s="1"/>
      <x:c r="K7" s="1"/>
    </x:row>
    <x:row r="8" ht="42" customHeight="1">
      <x:c r="A8" s="1"/>
      <x:c r="B8" s="1"/>
      <x:c r="C8" s="1" t="str">
        <x:v>Scenario mechanics</x:v>
      </x:c>
      <x:c r="D8" s="54" t="str">
        <x:v>Controls E5 selects 1 Base, 2 Downside or 3 Upside. Active rows pick period-specific inputs. Ungrouped assumptions are shared across cases.</x:v>
      </x:c>
      <x:c r="E8" s="2"/>
      <x:c r="F8" s="2"/>
      <x:c r="G8" s="2"/>
      <x:c r="H8" s="2"/>
      <x:c r="I8" s="2"/>
      <x:c r="J8" s="1"/>
      <x:c r="K8" s="1"/>
    </x:row>
    <x:row r="9" ht="42" customHeight="1">
      <x:c r="A9" s="1"/>
      <x:c r="B9" s="1"/>
      <x:c r="C9" s="1" t="str">
        <x:v>How to use</x:v>
      </x:c>
      <x:c r="D9" s="54" t="str">
        <x:v>Select a sector, replace amber inputs, calibrate units and accounting policies, and review reconciliations and cash shortfalls. Keep calculated cells intact.</x:v>
      </x:c>
      <x:c r="E9" s="2"/>
      <x:c r="F9" s="2"/>
      <x:c r="G9" s="2"/>
      <x:c r="H9" s="2"/>
      <x:c r="I9" s="2"/>
      <x:c r="J9" s="1"/>
      <x:c r="K9" s="1"/>
    </x:row>
    <x:row r="10" ht="42" customHeight="1">
      <x:c r="A10" s="1"/>
      <x:c r="B10" s="1"/>
      <x:c r="C10" s="1" t="str">
        <x:v>Blue and amber inputs</x:v>
      </x:c>
      <x:c r="D10" s="54" t="str">
        <x:v>Numerical inputs are editable and highlighted. Blank selected scenario drivers deliberately produce #N/A rather than silently becoming zero.</x:v>
      </x:c>
      <x:c r="E10" s="2"/>
      <x:c r="F10" s="2"/>
      <x:c r="G10" s="2"/>
      <x:c r="H10" s="2"/>
      <x:c r="I10" s="2"/>
      <x:c r="J10" s="1"/>
      <x:c r="K10" s="1"/>
    </x:row>
    <x:row r="11" ht="42" customHeight="1">
      <x:c r="A11" s="1"/>
      <x:c r="B11" s="1"/>
      <x:c r="C11" s="1" t="str">
        <x:v>Units</x:v>
      </x:c>
      <x:c r="D11" s="54" t="str">
        <x:v>INR crore for financial amounts. Shares in crore. One crore = 10 million INR. Physical units and pricing units are stated beside each driver.</x:v>
      </x:c>
      <x:c r="E11" s="2"/>
      <x:c r="F11" s="2"/>
      <x:c r="G11" s="2"/>
      <x:c r="H11" s="2"/>
      <x:c r="I11" s="2"/>
      <x:c r="J11" s="1"/>
      <x:c r="K11" s="1"/>
    </x:row>
    <x:row r="12" ht="42" customHeight="1">
      <x:c r="A12" s="1"/>
      <x:c r="B12" s="1"/>
      <x:c r="C12" s="1" t="str">
        <x:v>Calendar simplification</x:v>
      </x:c>
      <x:c r="D12" s="54" t="str">
        <x:v>Annual ratios use 365 days, and power generation uses 8,760 hours, including leap years. Adjust for asset-level precision.</x:v>
      </x:c>
      <x:c r="E12" s="2"/>
      <x:c r="F12" s="2"/>
      <x:c r="G12" s="2"/>
      <x:c r="H12" s="2"/>
      <x:c r="I12" s="2"/>
      <x:c r="J12" s="1"/>
      <x:c r="K12" s="1"/>
    </x:row>
    <x:row r="13" ht="42" customHeight="1">
      <x:c r="A13" s="1"/>
      <x:c r="B13" s="1"/>
      <x:c r="C13" s="1" t="str">
        <x:v>Operating statements</x:v>
      </x:c>
      <x:c r="D13" s="54" t="str">
        <x:v>Revenue is driven by capacity, volume, utilization and realization. Costs, working capital, PP&amp;E, debt, cash and retained earnings feed integrated statements.</x:v>
      </x:c>
      <x:c r="E13" s="2"/>
      <x:c r="F13" s="2"/>
      <x:c r="G13" s="2"/>
      <x:c r="H13" s="2"/>
      <x:c r="I13" s="2"/>
      <x:c r="J13" s="1"/>
      <x:c r="K13" s="1"/>
    </x:row>
    <x:row r="14" ht="42" customHeight="1">
      <x:c r="A14" s="1"/>
      <x:c r="B14" s="1"/>
      <x:c r="C14" s="1" t="str">
        <x:v>Opening working capital</x:v>
      </x:c>
      <x:c r="D14" s="54" t="str">
        <x:v>Opening net working capital is one net input. Forecast receivables, inventory and payables are modeled individually. Opening equity is assets minus liabilities.</x:v>
      </x:c>
      <x:c r="E14" s="2"/>
      <x:c r="F14" s="2"/>
      <x:c r="G14" s="2"/>
      <x:c r="H14" s="2"/>
      <x:c r="I14" s="2"/>
      <x:c r="J14" s="1"/>
      <x:c r="K14" s="1"/>
    </x:row>
    <x:row r="15" ht="42" customHeight="1">
      <x:c r="A15" s="1"/>
      <x:c r="B15" s="1"/>
      <x:c r="C15" s="1" t="str">
        <x:v>Cost convention</x:v>
      </x:c>
      <x:c r="D15" s="54" t="str">
        <x:v>Expense and capex lines show positive values and are subtracted in profit or cash calculations. Negative cash remains visible as an unfunded gap.</x:v>
      </x:c>
      <x:c r="E15" s="2"/>
      <x:c r="F15" s="2"/>
      <x:c r="G15" s="2"/>
      <x:c r="H15" s="2"/>
      <x:c r="I15" s="2"/>
      <x:c r="J15" s="1"/>
      <x:c r="K15" s="1"/>
    </x:row>
    <x:row r="16" ht="42" customHeight="1">
      <x:c r="A16" s="1"/>
      <x:c r="B16" s="1"/>
      <x:c r="C16" s="1" t="str">
        <x:v>Capital expenditure</x:v>
      </x:c>
      <x:c r="D16" s="54" t="str">
        <x:v>Cash capex becomes PP&amp;E immediately; depreciation applies to opening net PP&amp;E. No construction-in-progress, impairment or disposal schedules.</x:v>
      </x:c>
      <x:c r="E16" s="2"/>
      <x:c r="F16" s="2"/>
      <x:c r="G16" s="2"/>
      <x:c r="H16" s="2"/>
      <x:c r="I16" s="2"/>
      <x:c r="J16" s="1"/>
      <x:c r="K16" s="1"/>
    </x:row>
    <x:row r="17" ht="42" customHeight="1">
      <x:c r="A17" s="1"/>
      <x:c r="B17" s="1"/>
      <x:c r="C17" s="1" t="str">
        <x:v>DCF</x:v>
      </x:c>
      <x:c r="D17" s="54" t="str">
        <x:v>End-of-year FCFF discounting. Terminal NOPAT grows at g and reinvestment equals terminal NOPAT × g / incremental ROIC. WACC must exceed g.</x:v>
      </x:c>
      <x:c r="E17" s="2"/>
      <x:c r="F17" s="2"/>
      <x:c r="G17" s="2"/>
      <x:c r="H17" s="2"/>
      <x:c r="I17" s="2"/>
      <x:c r="J17" s="1"/>
      <x:c r="K17" s="1"/>
    </x:row>
    <x:row r="18" ht="42" customHeight="1">
      <x:c r="A18" s="1"/>
      <x:c r="B18" s="1"/>
      <x:c r="C18" s="1" t="str">
        <x:v>Enterprise to equity</x:v>
      </x:c>
      <x:c r="D18" s="54" t="str">
        <x:v>DCF and forward-multiple EV subtract opening debt and add opening cash. No minority interests, associates, lease adjustments or non-core assets.</x:v>
      </x:c>
      <x:c r="E18" s="2"/>
      <x:c r="F18" s="2"/>
      <x:c r="G18" s="2"/>
      <x:c r="H18" s="2"/>
      <x:c r="I18" s="2"/>
      <x:c r="J18" s="1"/>
      <x:c r="K18" s="1"/>
    </x:row>
    <x:row r="19" ht="42" customHeight="1">
      <x:c r="A19" s="1"/>
      <x:c r="B19" s="1"/>
      <x:c r="C19" s="1" t="str">
        <x:v>Forward multiples</x:v>
      </x:c>
      <x:c r="D19" s="54" t="str">
        <x:v>EV/EBITDA uses FY:27 EBITDA. Lender and insurer P/B values use FY:27 book equity discounted one year. These are illustrative heuristics.</x:v>
      </x:c>
      <x:c r="E19" s="2"/>
      <x:c r="F19" s="2"/>
      <x:c r="G19" s="2"/>
      <x:c r="H19" s="2"/>
      <x:c r="I19" s="2"/>
      <x:c r="J19" s="1"/>
      <x:c r="K19" s="1"/>
    </x:row>
    <x:row r="20" ht="42" customHeight="1">
      <x:c r="A20" s="1"/>
      <x:c r="B20" s="1"/>
      <x:c r="C20" s="1" t="str">
        <x:v>Lease consistency</x:v>
      </x:c>
      <x:c r="D20" s="54" t="str">
        <x:v>Retail rent is expensed; use pre-Ind AS 116 peer multiples. Other operating models also omit separately capitalized leases.</x:v>
      </x:c>
      <x:c r="E20" s="2"/>
      <x:c r="F20" s="2"/>
      <x:c r="G20" s="2"/>
      <x:c r="H20" s="2"/>
      <x:c r="I20" s="2"/>
      <x:c r="J20" s="1"/>
      <x:c r="K20" s="1"/>
    </x:row>
    <x:row r="21" ht="42" customHeight="1">
      <x:c r="A21" s="1"/>
      <x:c r="B21" s="1"/>
      <x:c r="C21" s="1" t="str">
        <x:v>Lending models</x:v>
      </x:c>
      <x:c r="D21" s="54" t="str">
        <x:v>Loan growth, spread, fee income, credit cost, gross NPA, allowances and funding are modeled. Residual liquidity is explicitly the excess of funding over asset deployment.</x:v>
      </x:c>
      <x:c r="E21" s="2"/>
      <x:c r="F21" s="2"/>
      <x:c r="G21" s="2"/>
      <x:c r="H21" s="2"/>
      <x:c r="I21" s="2"/>
      <x:c r="J21" s="1"/>
      <x:c r="K21" s="1"/>
    </x:row>
    <x:row r="22" ht="42" customHeight="1">
      <x:c r="A22" s="1"/>
      <x:c r="B22" s="1"/>
      <x:c r="C22" s="1" t="str">
        <x:v>Credit conventions</x:v>
      </x:c>
      <x:c r="D22" s="54" t="str">
        <x:v>Closing gross loans are specified after write-offs and recoveries. Allowances roll through credit expense and write-offs. NPA and allowance are distinct measures.</x:v>
      </x:c>
      <x:c r="E22" s="2"/>
      <x:c r="F22" s="2"/>
      <x:c r="G22" s="2"/>
      <x:c r="H22" s="2"/>
      <x:c r="I22" s="2"/>
      <x:c r="J22" s="1"/>
      <x:c r="K22" s="1"/>
    </x:row>
    <x:row r="23" ht="42" customHeight="1">
      <x:c r="A23" s="1"/>
      <x:c r="B23" s="1"/>
      <x:c r="C23" s="1" t="str">
        <x:v>Insurance conventions</x:v>
      </x:c>
      <x:c r="D23" s="54" t="str">
        <x:v>General insurance only. Earned premium reconciles written premium and UPR. Claims and reserve roll-forwards drive cash and investment assets.</x:v>
      </x:c>
      <x:c r="E23" s="2"/>
      <x:c r="F23" s="2"/>
      <x:c r="G23" s="2"/>
      <x:c r="H23" s="2"/>
      <x:c r="I23" s="2"/>
      <x:c r="J23" s="1"/>
      <x:c r="K23" s="1"/>
    </x:row>
    <x:row r="24" ht="42" customHeight="1">
      <x:c r="A24" s="1"/>
      <x:c r="B24" s="1"/>
      <x:c r="C24" s="1" t="str">
        <x:v>Combined ratio</x:v>
      </x:c>
      <x:c r="D24" s="54" t="str">
        <x:v>Claims / net earned premium plus net management expense / net written premium. This mixed-base measure differs from 1 minus underwriting margin.</x:v>
      </x:c>
      <x:c r="E24" s="2"/>
      <x:c r="F24" s="2"/>
      <x:c r="G24" s="2"/>
      <x:c r="H24" s="2"/>
      <x:c r="I24" s="2"/>
      <x:c r="J24" s="1"/>
      <x:c r="K24" s="1"/>
    </x:row>
    <x:row r="25" ht="42" customHeight="1">
      <x:c r="A25" s="1"/>
      <x:c r="B25" s="1"/>
      <x:c r="C25" s="1" t="str">
        <x:v>Real estate conventions</x:v>
      </x:c>
      <x:c r="D25" s="54" t="str">
        <x:v>Bookings, recognized revenue and collections are separate. Project inventory and contract asset/advance balances reconcile accrual profit to cash.</x:v>
      </x:c>
      <x:c r="E25" s="2"/>
      <x:c r="F25" s="2"/>
      <x:c r="G25" s="2"/>
      <x:c r="H25" s="2"/>
      <x:c r="I25" s="2"/>
      <x:c r="J25" s="1"/>
      <x:c r="K25" s="1"/>
    </x:row>
    <x:row r="26" ht="42" customHeight="1">
      <x:c r="A26" s="1"/>
      <x:c r="B26" s="1"/>
      <x:c r="C26" s="1" t="str">
        <x:v>Real estate valuation</x:v>
      </x:c>
      <x:c r="D26" s="54" t="str">
        <x:v>Discounted dividends plus residual book equity. A true project NAV needs project-level saleable area, cost to complete, escrow and discount schedules.</x:v>
      </x:c>
      <x:c r="E26" s="2"/>
      <x:c r="F26" s="2"/>
      <x:c r="G26" s="2"/>
      <x:c r="H26" s="2"/>
      <x:c r="I26" s="2"/>
      <x:c r="J26" s="1"/>
      <x:c r="K26" s="1"/>
    </x:row>
    <x:row r="27" ht="42" customHeight="1">
      <x:c r="A27" s="1"/>
      <x:c r="B27" s="1"/>
      <x:c r="C27" s="1" t="str">
        <x:v>Tax</x:v>
      </x:c>
      <x:c r="D27" s="54" t="str">
        <x:v>25% default is illustrative. No statutory-rate claim is made. Deferred tax, tax losses, GST, MAT and incentive eligibility are excluded.</x:v>
      </x:c>
      <x:c r="E27" s="2"/>
      <x:c r="F27" s="2"/>
      <x:c r="G27" s="2"/>
      <x:c r="H27" s="2"/>
      <x:c r="I27" s="2"/>
      <x:c r="J27" s="1"/>
      <x:c r="K27" s="1"/>
    </x:row>
    <x:row r="28" ht="42" customHeight="1">
      <x:c r="A28" s="1"/>
      <x:c r="B28" s="1"/>
      <x:c r="C28" s="1" t="str">
        <x:v>Excluded sectors</x:v>
      </x:c>
      <x:c r="D28" s="54" t="str">
        <x:v>No dedicated life insurance, oil &amp; gas, logistics, aviation, chemicals, agriculture, utilities distribution or platform-commerce model. Extend the appropriate archetype.</x:v>
      </x:c>
      <x:c r="E28" s="2"/>
      <x:c r="F28" s="2"/>
      <x:c r="G28" s="2"/>
      <x:c r="H28" s="2"/>
      <x:c r="I28" s="2"/>
      <x:c r="J28" s="1"/>
      <x:c r="K28" s="1"/>
    </x:row>
    <x:row r="29" ht="42" customHeight="1">
      <x:c r="A29" s="1"/>
      <x:c r="B29" s="1"/>
      <x:c r="C29" s="1" t="str">
        <x:v>Client customization</x:v>
      </x:c>
      <x:c r="D29" s="54" t="str">
        <x:v>Add 3 years of verified actuals, issuer disclosures, segment splits, capital structure and market-derived multiples before issuing a company-specific valuation.</x:v>
      </x:c>
      <x:c r="E29" s="2"/>
      <x:c r="F29" s="2"/>
      <x:c r="G29" s="2"/>
      <x:c r="H29" s="2"/>
      <x:c r="I29" s="2"/>
      <x:c r="J29" s="1"/>
      <x:c r="K29" s="1"/>
    </x:row>
    <x:row r="30" ht="42" customHeight="1">
      <x:c r="A30" s="1"/>
      <x:c r="B30" s="1"/>
      <x:c r="C30" s="1" t="str">
        <x:v>Source use</x:v>
      </x:c>
      <x:c r="D30" s="54" t="str">
        <x:v>The links below are definition and disclosure references only. Their numerical observations are not used in the illustrative models. Accessed 25 September 2026.</x:v>
      </x:c>
      <x:c r="E30" s="2"/>
      <x:c r="F30" s="2"/>
      <x:c r="G30" s="2"/>
      <x:c r="H30" s="2"/>
      <x:c r="I30" s="2"/>
      <x:c r="J30" s="1"/>
      <x:c r="K30" s="1"/>
    </x:row>
    <x:row r="31" ht="42" customHeight="1">
      <x:c r="A31" s="1"/>
      <x:c r="B31" s="1"/>
      <x:c r="C31" s="1" t="str">
        <x:v>TRAI indicators</x:v>
      </x:c>
      <x:c r="D31" s="54" t="str">
        <x:v>https://www.trai.gov.in/release-publication/reports/performance-indicators-reports</x:v>
      </x:c>
      <x:c r="E31" s="2"/>
      <x:c r="F31" s="2"/>
      <x:c r="G31" s="2"/>
      <x:c r="H31" s="2"/>
      <x:c r="I31" s="2"/>
      <x:c r="J31" s="1"/>
      <x:c r="K31" s="1"/>
    </x:row>
    <x:row r="32" ht="42" customHeight="1">
      <x:c r="A32" s="1"/>
      <x:c r="B32" s="1"/>
      <x:c r="C32" s="1" t="str">
        <x:v>RBI financial stability</x:v>
      </x:c>
      <x:c r="D32" s="54" t="str">
        <x:v>https://www.rbi.org.in/Scripts/PublicationReportDetails.aspx?ID=1294</x:v>
      </x:c>
      <x:c r="E32" s="2"/>
      <x:c r="F32" s="2"/>
      <x:c r="G32" s="2"/>
      <x:c r="H32" s="2"/>
      <x:c r="I32" s="2"/>
      <x:c r="J32" s="1"/>
      <x:c r="K32" s="1"/>
    </x:row>
    <x:row r="33" ht="42" customHeight="1">
      <x:c r="A33" s="1"/>
      <x:c r="B33" s="1"/>
      <x:c r="C33" s="1" t="str">
        <x:v>IRDAI annual reports</x:v>
      </x:c>
      <x:c r="D33" s="54" t="str">
        <x:v>https://irdai.gov.in/web/policy-holder/irdai-annual-reports</x:v>
      </x:c>
      <x:c r="E33" s="2"/>
      <x:c r="F33" s="2"/>
      <x:c r="G33" s="2"/>
      <x:c r="H33" s="2"/>
      <x:c r="I33" s="2"/>
      <x:c r="J33" s="1"/>
      <x:c r="K33" s="1"/>
    </x:row>
    <x:row r="34" ht="42" customHeight="1">
      <x:c r="A34" s="1"/>
      <x:c r="B34" s="1"/>
      <x:c r="C34" s="1" t="str">
        <x:v>Infosys disclosure reference</x:v>
      </x:c>
      <x:c r="D34" s="54" t="str">
        <x:v>https://www.infosys.com/investors/reports-filings/annual-report/annual-reports/ar-2024-25.html</x:v>
      </x:c>
      <x:c r="E34" s="2"/>
      <x:c r="F34" s="2"/>
      <x:c r="G34" s="2"/>
      <x:c r="H34" s="2"/>
      <x:c r="I34" s="2"/>
      <x:c r="J34" s="1"/>
      <x:c r="K34" s="1"/>
    </x:row>
    <x:row r="35" ht="42" customHeight="1">
      <x:c r="A35" s="1"/>
      <x:c r="B35" s="1"/>
      <x:c r="C35" s="1" t="str">
        <x:v>Hospital KPI disclosure</x:v>
      </x:c>
      <x:c r="D35" s="54" t="str">
        <x:v>https://www.apollohospitals.com/sites/default/files/2025-11/ahel-investor-presentation-september-25-inr.pdf</x:v>
      </x:c>
      <x:c r="E35" s="2"/>
      <x:c r="F35" s="2"/>
      <x:c r="G35" s="2"/>
      <x:c r="H35" s="2"/>
      <x:c r="I35" s="2"/>
      <x:c r="J35" s="1"/>
      <x:c r="K35" s="1"/>
    </x:row>
    <x:row r="36" ht="42" customHeight="1">
      <x:c r="A36" s="1"/>
      <x:c r="B36" s="1"/>
      <x:c r="C36" s="1" t="str">
        <x:v>Cement unit economics</x:v>
      </x:c>
      <x:c r="D36" s="54" t="str">
        <x:v>https://www.ultratechcement.com/content/dam/ultratechcementwebsite/pdf/financials/investor-update/Result-Presentation-Q1-FY25.pdf</x:v>
      </x:c>
      <x:c r="E36" s="2"/>
      <x:c r="F36" s="2"/>
      <x:c r="G36" s="2"/>
      <x:c r="H36" s="2"/>
      <x:c r="I36" s="2"/>
      <x:c r="J36" s="1"/>
      <x:c r="K36" s="1"/>
    </x:row>
    <x:row r="37" ht="42" customHeight="1">
      <x:c r="A37" s="1"/>
      <x:c r="B37" s="1"/>
      <x:c r="C37" s="1" t="str">
        <x:v>Insurance ratio definition</x:v>
      </x:c>
      <x:c r="D37" s="54" t="str">
        <x:v>https://www.icicilombard.com/docs/default-source/public-disclosures/2025-2026/q1-2026/press-release/icici-lombard-press-release-q4-fy2025-financial-performance.pdf</x:v>
      </x:c>
      <x:c r="E37" s="2"/>
      <x:c r="F37" s="2"/>
      <x:c r="G37" s="2"/>
      <x:c r="H37" s="2"/>
      <x:c r="I37" s="2"/>
      <x:c r="J37" s="1"/>
      <x:c r="K37" s="1"/>
    </x:row>
    <x:row r="38" ht="42" customHeight="1">
      <x:c r="A38" s="1"/>
      <x:c r="B38" s="1"/>
      <x:c r="C38" s="1" t="str">
        <x:v>Verification scope</x:v>
      </x:c>
      <x:c r="D38" s="54" t="str">
        <x:v>Recalculated and checked with the workbook calculation engine. Excel desktop recalculation has not been independently tested.</x:v>
      </x:c>
      <x:c r="E38" s="2"/>
      <x:c r="F38" s="2"/>
      <x:c r="G38" s="2"/>
      <x:c r="H38" s="2"/>
      <x:c r="I38" s="2"/>
      <x:c r="J38" s="1"/>
      <x:c r="K38" s="1"/>
    </x:row>
    <x:row r="39" ht="18" customHeight="1">
      <x:c r="A39" s="1"/>
      <x:c r="B39" s="1"/>
      <x:c r="C39" s="1"/>
      <x:c r="D39" s="2"/>
      <x:c r="E39" s="2"/>
      <x:c r="F39" s="2"/>
      <x:c r="G39" s="2"/>
      <x:c r="H39" s="2"/>
      <x:c r="I39" s="2"/>
      <x:c r="J39" s="1"/>
      <x:c r="K39" s="1"/>
    </x:row>
    <x:row r="40" ht="18" customHeight="1">
      <x:c r="A40" s="1"/>
      <x:c r="B40" s="1"/>
      <x:c r="C40" s="1"/>
      <x:c r="D40" s="2"/>
      <x:c r="E40" s="2"/>
      <x:c r="F40" s="2"/>
      <x:c r="G40" s="2"/>
      <x:c r="H40" s="2"/>
      <x:c r="I40" s="2"/>
      <x:c r="J40" s="1"/>
      <x:c r="K40" s="1"/>
    </x:row>
    <x:row r="41" ht="18" customHeight="1">
      <x:c r="A41" s="1"/>
      <x:c r="B41" s="1"/>
      <x:c r="C41" s="1"/>
      <x:c r="D41" s="2"/>
      <x:c r="E41" s="2"/>
      <x:c r="F41" s="2"/>
      <x:c r="G41" s="2"/>
      <x:c r="H41" s="2"/>
      <x:c r="I41" s="2"/>
      <x:c r="J41" s="1"/>
      <x:c r="K41" s="1"/>
    </x:row>
    <x:row r="42" ht="18" customHeight="1">
      <x:c r="A42" s="1"/>
      <x:c r="B42" s="1"/>
      <x:c r="C42" s="1"/>
      <x:c r="D42" s="2"/>
      <x:c r="E42" s="2"/>
      <x:c r="F42" s="2"/>
      <x:c r="G42" s="2"/>
      <x:c r="H42" s="2"/>
      <x:c r="I42" s="2"/>
      <x:c r="J42" s="1"/>
      <x:c r="K42" s="1"/>
    </x:row>
    <x:row r="43" ht="18" customHeight="1">
      <x:c r="A43" s="1"/>
      <x:c r="B43" s="1"/>
      <x:c r="C43" s="1"/>
      <x:c r="D43" s="2"/>
      <x:c r="E43" s="2"/>
      <x:c r="F43" s="2"/>
      <x:c r="G43" s="2"/>
      <x:c r="H43" s="2"/>
      <x:c r="I43" s="2"/>
      <x:c r="J43" s="1"/>
      <x:c r="K43" s="1"/>
    </x:row>
    <x:row r="44" ht="18" customHeight="1">
      <x:c r="A44" s="1"/>
      <x:c r="B44" s="1"/>
      <x:c r="C44" s="1"/>
      <x:c r="D44" s="2"/>
      <x:c r="E44" s="2"/>
      <x:c r="F44" s="2"/>
      <x:c r="G44" s="2"/>
      <x:c r="H44" s="2"/>
      <x:c r="I44" s="2"/>
      <x:c r="J44" s="1"/>
      <x:c r="K44" s="1"/>
    </x:row>
    <x:row r="45" ht="18" customHeight="1">
      <x:c r="A45" s="1"/>
      <x:c r="B45" s="1"/>
      <x:c r="C45" s="1"/>
      <x:c r="D45" s="2"/>
      <x:c r="E45" s="2"/>
      <x:c r="F45" s="2"/>
      <x:c r="G45" s="2"/>
      <x:c r="H45" s="2"/>
      <x:c r="I45" s="2"/>
      <x:c r="J45" s="1"/>
      <x:c r="K45" s="1"/>
    </x:row>
    <x:row r="46" ht="18" customHeight="1">
      <x:c r="A46" s="1"/>
      <x:c r="B46" s="1"/>
      <x:c r="C46" s="1"/>
      <x:c r="D46" s="2"/>
      <x:c r="E46" s="2"/>
      <x:c r="F46" s="2"/>
      <x:c r="G46" s="2"/>
      <x:c r="H46" s="2"/>
      <x:c r="I46" s="2"/>
      <x:c r="J46" s="1"/>
      <x:c r="K46" s="1"/>
    </x:row>
    <x:row r="47" ht="18" customHeight="1">
      <x:c r="A47" s="1"/>
      <x:c r="B47" s="1"/>
      <x:c r="C47" s="1"/>
      <x:c r="D47" s="2"/>
      <x:c r="E47" s="2"/>
      <x:c r="F47" s="2"/>
      <x:c r="G47" s="2"/>
      <x:c r="H47" s="2"/>
      <x:c r="I47" s="2"/>
      <x:c r="J47" s="1"/>
      <x:c r="K47" s="1"/>
    </x:row>
    <x:row r="48" ht="18" customHeight="1">
      <x:c r="A48" s="1"/>
      <x:c r="B48" s="1"/>
      <x:c r="C48" s="1"/>
      <x:c r="D48" s="2"/>
      <x:c r="E48" s="2"/>
      <x:c r="F48" s="2"/>
      <x:c r="G48" s="2"/>
      <x:c r="H48" s="2"/>
      <x:c r="I48" s="2"/>
      <x:c r="J48" s="1"/>
      <x:c r="K48" s="1"/>
    </x:row>
    <x:row r="49" ht="18" customHeight="1">
      <x:c r="A49" s="1"/>
      <x:c r="B49" s="1"/>
      <x:c r="C49" s="1"/>
      <x:c r="D49" s="2"/>
      <x:c r="E49" s="2"/>
      <x:c r="F49" s="2"/>
      <x:c r="G49" s="2"/>
      <x:c r="H49" s="2"/>
      <x:c r="I49" s="2"/>
      <x:c r="J49" s="1"/>
      <x:c r="K49" s="1"/>
    </x:row>
    <x:row r="50" ht="18" customHeight="1">
      <x:c r="A50" s="1"/>
      <x:c r="B50" s="1"/>
      <x:c r="C50" s="1"/>
      <x:c r="D50" s="2"/>
      <x:c r="E50" s="2"/>
      <x:c r="F50" s="2"/>
      <x:c r="G50" s="2"/>
      <x:c r="H50" s="2"/>
      <x:c r="I50" s="2"/>
      <x:c r="J50" s="1"/>
      <x:c r="K50" s="1"/>
    </x:row>
    <x:row r="51" ht="18" customHeight="1">
      <x:c r="A51" s="1"/>
      <x:c r="B51" s="1"/>
      <x:c r="C51" s="1"/>
      <x:c r="D51" s="2"/>
      <x:c r="E51" s="2"/>
      <x:c r="F51" s="2"/>
      <x:c r="G51" s="2"/>
      <x:c r="H51" s="2"/>
      <x:c r="I51" s="2"/>
      <x:c r="J51" s="1"/>
      <x:c r="K51" s="1"/>
    </x:row>
    <x:row r="52" ht="18" customHeight="1">
      <x:c r="A52" s="1"/>
      <x:c r="B52" s="1"/>
      <x:c r="C52" s="1"/>
      <x:c r="D52" s="2"/>
      <x:c r="E52" s="2"/>
      <x:c r="F52" s="2"/>
      <x:c r="G52" s="2"/>
      <x:c r="H52" s="2"/>
      <x:c r="I52" s="2"/>
      <x:c r="J52" s="1"/>
      <x:c r="K52" s="1"/>
    </x:row>
    <x:row r="53" ht="18" customHeight="1">
      <x:c r="A53" s="1"/>
      <x:c r="B53" s="1"/>
      <x:c r="C53" s="1"/>
      <x:c r="D53" s="2"/>
      <x:c r="E53" s="2"/>
      <x:c r="F53" s="2"/>
      <x:c r="G53" s="2"/>
      <x:c r="H53" s="2"/>
      <x:c r="I53" s="2"/>
      <x:c r="J53" s="1"/>
      <x:c r="K53" s="1"/>
    </x:row>
    <x:row r="54" ht="18" customHeight="1">
      <x:c r="A54" s="1"/>
      <x:c r="B54" s="1"/>
      <x:c r="C54" s="1"/>
      <x:c r="D54" s="2"/>
      <x:c r="E54" s="2"/>
      <x:c r="F54" s="2"/>
      <x:c r="G54" s="2"/>
      <x:c r="H54" s="2"/>
      <x:c r="I54" s="2"/>
      <x:c r="J54" s="1"/>
      <x:c r="K54" s="1"/>
    </x:row>
    <x:row r="55" ht="18" customHeight="1">
      <x:c r="A55" s="1"/>
      <x:c r="B55" s="1"/>
      <x:c r="C55" s="1"/>
      <x:c r="D55" s="2"/>
      <x:c r="E55" s="2"/>
      <x:c r="F55" s="2"/>
      <x:c r="G55" s="2"/>
      <x:c r="H55" s="2"/>
      <x:c r="I55" s="2"/>
      <x:c r="J55" s="1"/>
      <x:c r="K55" s="1"/>
    </x:row>
    <x:row r="56" ht="18" customHeight="1">
      <x:c r="A56" s="1"/>
      <x:c r="B56" s="1"/>
      <x:c r="C56" s="1"/>
      <x:c r="D56" s="2"/>
      <x:c r="E56" s="2"/>
      <x:c r="F56" s="2"/>
      <x:c r="G56" s="2"/>
      <x:c r="H56" s="2"/>
      <x:c r="I56" s="2"/>
      <x:c r="J56" s="1"/>
      <x:c r="K56" s="1"/>
    </x:row>
    <x:row r="57" ht="18" customHeight="1">
      <x:c r="A57" s="1"/>
      <x:c r="B57" s="1"/>
      <x:c r="C57" s="1"/>
      <x:c r="D57" s="2"/>
      <x:c r="E57" s="2"/>
      <x:c r="F57" s="2"/>
      <x:c r="G57" s="2"/>
      <x:c r="H57" s="2"/>
      <x:c r="I57" s="2"/>
      <x:c r="J57" s="1"/>
      <x:c r="K57" s="1"/>
    </x:row>
    <x:row r="58" ht="18" customHeight="1">
      <x:c r="A58" s="1"/>
      <x:c r="B58" s="1"/>
      <x:c r="C58" s="1"/>
      <x:c r="D58" s="2"/>
      <x:c r="E58" s="2"/>
      <x:c r="F58" s="2"/>
      <x:c r="G58" s="2"/>
      <x:c r="H58" s="2"/>
      <x:c r="I58" s="2"/>
      <x:c r="J58" s="1"/>
      <x:c r="K58" s="1"/>
    </x:row>
    <x:row r="59" ht="18" customHeight="1">
      <x:c r="A59" s="1"/>
      <x:c r="B59" s="1"/>
      <x:c r="C59" s="1"/>
      <x:c r="D59" s="2"/>
      <x:c r="E59" s="2"/>
      <x:c r="F59" s="2"/>
      <x:c r="G59" s="2"/>
      <x:c r="H59" s="2"/>
      <x:c r="I59" s="2"/>
      <x:c r="J59" s="1"/>
      <x:c r="K59" s="1"/>
    </x:row>
    <x:row r="60" ht="18" customHeight="1">
      <x:c r="A60" s="1"/>
      <x:c r="B60" s="1"/>
      <x:c r="C60" s="1"/>
      <x:c r="D60" s="2"/>
      <x:c r="E60" s="2"/>
      <x:c r="F60" s="2"/>
      <x:c r="G60" s="2"/>
      <x:c r="H60" s="2"/>
      <x:c r="I60" s="2"/>
      <x:c r="J60" s="1"/>
      <x:c r="K60" s="1"/>
    </x:row>
    <x:row r="61" ht="18" customHeight="1">
      <x:c r="A61" s="1"/>
      <x:c r="B61" s="1"/>
      <x:c r="C61" s="1"/>
      <x:c r="D61" s="2"/>
      <x:c r="E61" s="2"/>
      <x:c r="F61" s="2"/>
      <x:c r="G61" s="2"/>
      <x:c r="H61" s="2"/>
      <x:c r="I61" s="2"/>
      <x:c r="J61" s="1"/>
      <x:c r="K61" s="1"/>
    </x:row>
    <x:row r="62" ht="18" customHeight="1">
      <x:c r="A62" s="1"/>
      <x:c r="B62" s="1"/>
      <x:c r="C62" s="1"/>
      <x:c r="D62" s="2"/>
      <x:c r="E62" s="2"/>
      <x:c r="F62" s="2"/>
      <x:c r="G62" s="2"/>
      <x:c r="H62" s="2"/>
      <x:c r="I62" s="2"/>
      <x:c r="J62" s="1"/>
      <x:c r="K62" s="1"/>
    </x:row>
    <x:row r="63" ht="18" customHeight="1">
      <x:c r="A63" s="1"/>
      <x:c r="B63" s="1"/>
      <x:c r="C63" s="1"/>
      <x:c r="D63" s="2"/>
      <x:c r="E63" s="2"/>
      <x:c r="F63" s="2"/>
      <x:c r="G63" s="2"/>
      <x:c r="H63" s="2"/>
      <x:c r="I63" s="2"/>
      <x:c r="J63" s="1"/>
      <x:c r="K63" s="1"/>
    </x:row>
    <x:row r="64" ht="18" customHeight="1">
      <x:c r="A64" s="1"/>
      <x:c r="B64" s="1"/>
      <x:c r="C64" s="1"/>
      <x:c r="D64" s="2"/>
      <x:c r="E64" s="2"/>
      <x:c r="F64" s="2"/>
      <x:c r="G64" s="2"/>
      <x:c r="H64" s="2"/>
      <x:c r="I64" s="2"/>
      <x:c r="J64" s="1"/>
      <x:c r="K64" s="1"/>
    </x:row>
    <x:row r="65" ht="18" customHeight="1">
      <x:c r="A65" s="1"/>
      <x:c r="B65" s="1"/>
      <x:c r="C65" s="1"/>
      <x:c r="D65" s="2"/>
      <x:c r="E65" s="2"/>
      <x:c r="F65" s="2"/>
      <x:c r="G65" s="2"/>
      <x:c r="H65" s="2"/>
      <x:c r="I65" s="2"/>
      <x:c r="J65" s="1"/>
      <x:c r="K65" s="1"/>
    </x:row>
    <x:row r="66" ht="18" customHeight="1">
      <x:c r="A66" s="1"/>
      <x:c r="B66" s="1"/>
      <x:c r="C66" s="1"/>
      <x:c r="D66" s="2"/>
      <x:c r="E66" s="2"/>
      <x:c r="F66" s="2"/>
      <x:c r="G66" s="2"/>
      <x:c r="H66" s="2"/>
      <x:c r="I66" s="2"/>
      <x:c r="J66" s="1"/>
      <x:c r="K66" s="1"/>
    </x:row>
    <x:row r="67" ht="18" customHeight="1">
      <x:c r="A67" s="1"/>
      <x:c r="B67" s="1"/>
      <x:c r="C67" s="1"/>
      <x:c r="D67" s="2"/>
      <x:c r="E67" s="2"/>
      <x:c r="F67" s="2"/>
      <x:c r="G67" s="2"/>
      <x:c r="H67" s="2"/>
      <x:c r="I67" s="2"/>
      <x:c r="J67" s="1"/>
      <x:c r="K67" s="1"/>
    </x:row>
    <x:row r="68" ht="18" customHeight="1">
      <x:c r="A68" s="1"/>
      <x:c r="B68" s="1"/>
      <x:c r="C68" s="1"/>
      <x:c r="D68" s="2"/>
      <x:c r="E68" s="2"/>
      <x:c r="F68" s="2"/>
      <x:c r="G68" s="2"/>
      <x:c r="H68" s="2"/>
      <x:c r="I68" s="2"/>
      <x:c r="J68" s="1"/>
      <x:c r="K68" s="1"/>
    </x:row>
    <x:row r="69" ht="18" customHeight="1">
      <x:c r="A69" s="1"/>
      <x:c r="B69" s="1"/>
      <x:c r="C69" s="1"/>
      <x:c r="D69" s="2"/>
      <x:c r="E69" s="2"/>
      <x:c r="F69" s="2"/>
      <x:c r="G69" s="2"/>
      <x:c r="H69" s="2"/>
      <x:c r="I69" s="2"/>
      <x:c r="J69" s="1"/>
      <x:c r="K69" s="1"/>
    </x:row>
    <x:row r="70" ht="18" customHeight="1">
      <x:c r="A70" s="1"/>
      <x:c r="B70" s="1"/>
      <x:c r="C70" s="1"/>
      <x:c r="D70" s="2"/>
      <x:c r="E70" s="2"/>
      <x:c r="F70" s="2"/>
      <x:c r="G70" s="2"/>
      <x:c r="H70" s="2"/>
      <x:c r="I70" s="2"/>
      <x:c r="J70" s="1"/>
      <x:c r="K70" s="1"/>
    </x:row>
    <x:row r="71" ht="18" customHeight="1">
      <x:c r="A71" s="1"/>
      <x:c r="B71" s="1"/>
      <x:c r="C71" s="1"/>
      <x:c r="D71" s="2"/>
      <x:c r="E71" s="2"/>
      <x:c r="F71" s="2"/>
      <x:c r="G71" s="2"/>
      <x:c r="H71" s="2"/>
      <x:c r="I71" s="2"/>
      <x:c r="J71" s="1"/>
      <x:c r="K71" s="1"/>
    </x:row>
    <x:row r="72" ht="18" customHeight="1">
      <x:c r="A72" s="1"/>
      <x:c r="B72" s="1"/>
      <x:c r="C72" s="1"/>
      <x:c r="D72" s="2"/>
      <x:c r="E72" s="2"/>
      <x:c r="F72" s="2"/>
      <x:c r="G72" s="2"/>
      <x:c r="H72" s="2"/>
      <x:c r="I72" s="2"/>
      <x:c r="J72" s="1"/>
      <x:c r="K72" s="1"/>
    </x:row>
    <x:row r="73" ht="18" customHeight="1">
      <x:c r="A73" s="1"/>
      <x:c r="B73" s="1"/>
      <x:c r="C73" s="1"/>
      <x:c r="D73" s="2"/>
      <x:c r="E73" s="2"/>
      <x:c r="F73" s="2"/>
      <x:c r="G73" s="2"/>
      <x:c r="H73" s="2"/>
      <x:c r="I73" s="2"/>
      <x:c r="J73" s="1"/>
      <x:c r="K73" s="1"/>
    </x:row>
    <x:row r="74" ht="18" customHeight="1">
      <x:c r="A74" s="1"/>
      <x:c r="B74" s="1"/>
      <x:c r="C74" s="1"/>
      <x:c r="D74" s="2"/>
      <x:c r="E74" s="2"/>
      <x:c r="F74" s="2"/>
      <x:c r="G74" s="2"/>
      <x:c r="H74" s="2"/>
      <x:c r="I74" s="2"/>
      <x:c r="J74" s="1"/>
      <x:c r="K74" s="1"/>
    </x:row>
    <x:row r="75" ht="18" customHeight="1">
      <x:c r="A75" s="1"/>
      <x:c r="B75" s="1"/>
      <x:c r="C75" s="1"/>
      <x:c r="D75" s="2"/>
      <x:c r="E75" s="2"/>
      <x:c r="F75" s="2"/>
      <x:c r="G75" s="2"/>
      <x:c r="H75" s="2"/>
      <x:c r="I75" s="2"/>
      <x:c r="J75" s="1"/>
      <x:c r="K75" s="1"/>
    </x:row>
  </x:sheetData>
  <x:pageMargins left="0.7" right="0.7" top="0.75" bottom="0.75" header="0.3" footer="0.3"/>
</x:worksheet>
</file>