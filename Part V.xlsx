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10.10.13.145\IID common Folder\Handbook 2024-25\Draft Handbook\Arundhati\"/>
    </mc:Choice>
  </mc:AlternateContent>
  <bookViews>
    <workbookView xWindow="0" yWindow="0" windowWidth="28800" windowHeight="12210"/>
  </bookViews>
  <sheets>
    <sheet name="Index" sheetId="21" r:id="rId1"/>
    <sheet name="90" sheetId="1" r:id="rId2"/>
    <sheet name="91" sheetId="2" r:id="rId3"/>
    <sheet name="92" sheetId="3" r:id="rId4"/>
    <sheet name="93" sheetId="4" r:id="rId5"/>
    <sheet name="94" sheetId="5" r:id="rId6"/>
    <sheet name="95" sheetId="6" r:id="rId7"/>
    <sheet name="96" sheetId="19" r:id="rId8"/>
    <sheet name="97" sheetId="24" r:id="rId9"/>
    <sheet name="98" sheetId="28" r:id="rId10"/>
    <sheet name="99" sheetId="12" r:id="rId11"/>
    <sheet name="100" sheetId="22" r:id="rId12"/>
    <sheet name="101" sheetId="13" r:id="rId13"/>
    <sheet name="102" sheetId="23" r:id="rId14"/>
    <sheet name="103" sheetId="26" r:id="rId15"/>
    <sheet name="104" sheetId="27" r:id="rId16"/>
  </sheets>
  <definedNames>
    <definedName name="Z_768B3E0E_F495_46F6_9147_5C5FB8FD8BE3_.wvu.PrintArea" localSheetId="7" hidden="1">'96'!$B$1:$JV$40</definedName>
    <definedName name="Z_768B3E0E_F495_46F6_9147_5C5FB8FD8BE3_.wvu.PrintTitles" localSheetId="7" hidden="1">'96'!$B:$B</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40" i="28" l="1"/>
  <c r="K40" i="28"/>
  <c r="GL34" i="27" l="1"/>
  <c r="GK34" i="27"/>
  <c r="GJ34" i="27"/>
  <c r="GI34" i="27"/>
  <c r="GH34" i="27"/>
  <c r="GG34" i="27"/>
  <c r="GF34" i="27"/>
  <c r="GE34" i="27"/>
  <c r="GD34" i="27"/>
  <c r="GC34" i="27"/>
  <c r="GB34" i="27"/>
  <c r="GA34" i="27"/>
  <c r="FZ34" i="27"/>
  <c r="FY34" i="27"/>
  <c r="FX34" i="27"/>
  <c r="FW34" i="27"/>
  <c r="FV34" i="27"/>
  <c r="FU34" i="27"/>
  <c r="FT34" i="27"/>
  <c r="FS34" i="27"/>
  <c r="GL33" i="27"/>
  <c r="GK33" i="27"/>
  <c r="GJ33" i="27"/>
  <c r="GI33" i="27"/>
  <c r="GH33" i="27"/>
  <c r="GG33" i="27"/>
  <c r="GF33" i="27"/>
  <c r="GE33" i="27"/>
  <c r="GD33" i="27"/>
  <c r="GC33" i="27"/>
  <c r="GB33" i="27"/>
  <c r="GA33" i="27"/>
  <c r="FZ33" i="27"/>
  <c r="FY33" i="27"/>
  <c r="FX33" i="27"/>
  <c r="FW33" i="27"/>
  <c r="FV33" i="27"/>
  <c r="FU33" i="27"/>
  <c r="FT33" i="27"/>
  <c r="FS33" i="27"/>
  <c r="GL32" i="27"/>
  <c r="GK32" i="27"/>
  <c r="GJ32" i="27"/>
  <c r="GI32" i="27"/>
  <c r="GH32" i="27"/>
  <c r="GG32" i="27"/>
  <c r="GF32" i="27"/>
  <c r="GE32" i="27"/>
  <c r="GD32" i="27"/>
  <c r="GC32" i="27"/>
  <c r="GB32" i="27"/>
  <c r="GA32" i="27"/>
  <c r="FZ32" i="27"/>
  <c r="FY32" i="27"/>
  <c r="FX32" i="27"/>
  <c r="FW32" i="27"/>
  <c r="FV32" i="27"/>
  <c r="FU32" i="27"/>
  <c r="FT32" i="27"/>
  <c r="FS32" i="27"/>
  <c r="GL31" i="27"/>
  <c r="GK31" i="27"/>
  <c r="GJ31" i="27"/>
  <c r="GI31" i="27"/>
  <c r="GH31" i="27"/>
  <c r="GG31" i="27"/>
  <c r="GF31" i="27"/>
  <c r="GE31" i="27"/>
  <c r="GD31" i="27"/>
  <c r="GC31" i="27"/>
  <c r="GB31" i="27"/>
  <c r="GA31" i="27"/>
  <c r="FZ31" i="27"/>
  <c r="FY31" i="27"/>
  <c r="FX31" i="27"/>
  <c r="FW31" i="27"/>
  <c r="FV31" i="27"/>
  <c r="FU31" i="27"/>
  <c r="FT31" i="27"/>
  <c r="FS31" i="27"/>
  <c r="GL30" i="27"/>
  <c r="GK30" i="27"/>
  <c r="GJ30" i="27"/>
  <c r="GI30" i="27"/>
  <c r="GH30" i="27"/>
  <c r="GG30" i="27"/>
  <c r="GF30" i="27"/>
  <c r="GE30" i="27"/>
  <c r="GD30" i="27"/>
  <c r="GC30" i="27"/>
  <c r="GB30" i="27"/>
  <c r="GA30" i="27"/>
  <c r="FZ30" i="27"/>
  <c r="FY30" i="27"/>
  <c r="FX30" i="27"/>
  <c r="FW30" i="27"/>
  <c r="FV30" i="27"/>
  <c r="FU30" i="27"/>
  <c r="FT30" i="27"/>
  <c r="FS30" i="27"/>
  <c r="GL29" i="27"/>
  <c r="GK29" i="27"/>
  <c r="GJ29" i="27"/>
  <c r="GI29" i="27"/>
  <c r="GH29" i="27"/>
  <c r="GG29" i="27"/>
  <c r="GF29" i="27"/>
  <c r="GE29" i="27"/>
  <c r="GD29" i="27"/>
  <c r="GC29" i="27"/>
  <c r="GB29" i="27"/>
  <c r="GA29" i="27"/>
  <c r="FZ29" i="27"/>
  <c r="FY29" i="27"/>
  <c r="FX29" i="27"/>
  <c r="FW29" i="27"/>
  <c r="FV29" i="27"/>
  <c r="FU29" i="27"/>
  <c r="FT29" i="27"/>
  <c r="FS29" i="27"/>
  <c r="GL28" i="27"/>
  <c r="GK28" i="27"/>
  <c r="GJ28" i="27"/>
  <c r="GI28" i="27"/>
  <c r="GH28" i="27"/>
  <c r="GG28" i="27"/>
  <c r="GF28" i="27"/>
  <c r="GE28" i="27"/>
  <c r="GD28" i="27"/>
  <c r="GC28" i="27"/>
  <c r="GB28" i="27"/>
  <c r="GA28" i="27"/>
  <c r="FZ28" i="27"/>
  <c r="FY28" i="27"/>
  <c r="FX28" i="27"/>
  <c r="FW28" i="27"/>
  <c r="FV28" i="27"/>
  <c r="FU28" i="27"/>
  <c r="FT28" i="27"/>
  <c r="FS28" i="27"/>
  <c r="GL27" i="27"/>
  <c r="GK27" i="27"/>
  <c r="GJ27" i="27"/>
  <c r="GI27" i="27"/>
  <c r="GH27" i="27"/>
  <c r="GG27" i="27"/>
  <c r="GF27" i="27"/>
  <c r="GE27" i="27"/>
  <c r="GD27" i="27"/>
  <c r="GC27" i="27"/>
  <c r="GB27" i="27"/>
  <c r="GA27" i="27"/>
  <c r="FZ27" i="27"/>
  <c r="FY27" i="27"/>
  <c r="FX27" i="27"/>
  <c r="FW27" i="27"/>
  <c r="FV27" i="27"/>
  <c r="FU27" i="27"/>
  <c r="FT27" i="27"/>
  <c r="FS27" i="27"/>
  <c r="GL26" i="27"/>
  <c r="GK26" i="27"/>
  <c r="GJ26" i="27"/>
  <c r="GI26" i="27"/>
  <c r="GH26" i="27"/>
  <c r="GG26" i="27"/>
  <c r="GF26" i="27"/>
  <c r="GE26" i="27"/>
  <c r="GD26" i="27"/>
  <c r="GC26" i="27"/>
  <c r="GB26" i="27"/>
  <c r="GA26" i="27"/>
  <c r="FZ26" i="27"/>
  <c r="FY26" i="27"/>
  <c r="FX26" i="27"/>
  <c r="FW26" i="27"/>
  <c r="FV26" i="27"/>
  <c r="FU26" i="27"/>
  <c r="FT26" i="27"/>
  <c r="FS26" i="27"/>
  <c r="GL25" i="27"/>
  <c r="GK25" i="27"/>
  <c r="GJ25" i="27"/>
  <c r="GI25" i="27"/>
  <c r="GH25" i="27"/>
  <c r="GG25" i="27"/>
  <c r="GF25" i="27"/>
  <c r="GE25" i="27"/>
  <c r="GD25" i="27"/>
  <c r="GC25" i="27"/>
  <c r="GB25" i="27"/>
  <c r="GA25" i="27"/>
  <c r="FZ25" i="27"/>
  <c r="FY25" i="27"/>
  <c r="FX25" i="27"/>
  <c r="FW25" i="27"/>
  <c r="FV25" i="27"/>
  <c r="FU25" i="27"/>
  <c r="FT25" i="27"/>
  <c r="FS25" i="27"/>
  <c r="GL24" i="27"/>
  <c r="GK24" i="27"/>
  <c r="GJ24" i="27"/>
  <c r="GI24" i="27"/>
  <c r="GH24" i="27"/>
  <c r="GG24" i="27"/>
  <c r="GF24" i="27"/>
  <c r="GE24" i="27"/>
  <c r="GD24" i="27"/>
  <c r="GC24" i="27"/>
  <c r="GB24" i="27"/>
  <c r="GA24" i="27"/>
  <c r="FZ24" i="27"/>
  <c r="FY24" i="27"/>
  <c r="FX24" i="27"/>
  <c r="FW24" i="27"/>
  <c r="FV24" i="27"/>
  <c r="FU24" i="27"/>
  <c r="FT24" i="27"/>
  <c r="FS24" i="27"/>
  <c r="GL23" i="27"/>
  <c r="GK23" i="27"/>
  <c r="GJ23" i="27"/>
  <c r="GI23" i="27"/>
  <c r="GH23" i="27"/>
  <c r="GG23" i="27"/>
  <c r="GF23" i="27"/>
  <c r="GE23" i="27"/>
  <c r="GD23" i="27"/>
  <c r="GC23" i="27"/>
  <c r="GB23" i="27"/>
  <c r="GA23" i="27"/>
  <c r="FZ23" i="27"/>
  <c r="FY23" i="27"/>
  <c r="FX23" i="27"/>
  <c r="FW23" i="27"/>
  <c r="FV23" i="27"/>
  <c r="FU23" i="27"/>
  <c r="FT23" i="27"/>
  <c r="FS23" i="27"/>
  <c r="GL22" i="27"/>
  <c r="GK22" i="27"/>
  <c r="GJ22" i="27"/>
  <c r="GI22" i="27"/>
  <c r="GH22" i="27"/>
  <c r="GG22" i="27"/>
  <c r="GF22" i="27"/>
  <c r="GE22" i="27"/>
  <c r="GD22" i="27"/>
  <c r="GC22" i="27"/>
  <c r="GB22" i="27"/>
  <c r="GA22" i="27"/>
  <c r="FZ22" i="27"/>
  <c r="FY22" i="27"/>
  <c r="FX22" i="27"/>
  <c r="FW22" i="27"/>
  <c r="FV22" i="27"/>
  <c r="FU22" i="27"/>
  <c r="FT22" i="27"/>
  <c r="FS22" i="27"/>
  <c r="CU16" i="26" l="1"/>
  <c r="FR33" i="27" l="1"/>
  <c r="FQ33" i="27"/>
  <c r="FP33" i="27"/>
  <c r="FO33" i="27"/>
  <c r="FN33" i="27"/>
  <c r="FM33" i="27"/>
  <c r="FL33" i="27"/>
  <c r="FK33" i="27"/>
  <c r="FJ33" i="27"/>
  <c r="FI33" i="27"/>
  <c r="FH33" i="27"/>
  <c r="FG33" i="27"/>
  <c r="FF33" i="27"/>
  <c r="FE33" i="27"/>
  <c r="FD33" i="27"/>
  <c r="FC33" i="27"/>
  <c r="FB33" i="27"/>
  <c r="FA33" i="27"/>
  <c r="EZ33" i="27"/>
  <c r="EX33" i="27"/>
  <c r="EW33" i="27"/>
  <c r="EV33" i="27"/>
  <c r="EU33" i="27"/>
  <c r="FR32" i="27"/>
  <c r="FQ32" i="27"/>
  <c r="FP32" i="27"/>
  <c r="FO32" i="27"/>
  <c r="FN32" i="27"/>
  <c r="FM32" i="27"/>
  <c r="FL32" i="27"/>
  <c r="FK32" i="27"/>
  <c r="FJ32" i="27"/>
  <c r="FI32" i="27"/>
  <c r="FH32" i="27"/>
  <c r="FG32" i="27"/>
  <c r="FF32" i="27"/>
  <c r="FE32" i="27"/>
  <c r="FD32" i="27"/>
  <c r="FC32" i="27"/>
  <c r="FB32" i="27"/>
  <c r="FA32" i="27"/>
  <c r="EZ32" i="27"/>
  <c r="EX32" i="27"/>
  <c r="EW32" i="27"/>
  <c r="EV32" i="27"/>
  <c r="EU32" i="27"/>
  <c r="EL32" i="27"/>
  <c r="EK32" i="27"/>
  <c r="EJ32" i="27"/>
  <c r="EI32" i="27"/>
  <c r="EH32" i="27"/>
  <c r="EG32" i="27"/>
  <c r="FR31" i="27"/>
  <c r="FQ31" i="27"/>
  <c r="FP31" i="27"/>
  <c r="FO31" i="27"/>
  <c r="FN31" i="27"/>
  <c r="FM31" i="27"/>
  <c r="FL31" i="27"/>
  <c r="FK31" i="27"/>
  <c r="FJ31" i="27"/>
  <c r="FI31" i="27"/>
  <c r="FH31" i="27"/>
  <c r="FG31" i="27"/>
  <c r="FF31" i="27"/>
  <c r="FE31" i="27"/>
  <c r="FD31" i="27"/>
  <c r="FC31" i="27"/>
  <c r="FB31" i="27"/>
  <c r="FA31" i="27"/>
  <c r="EZ31" i="27"/>
  <c r="EX31" i="27"/>
  <c r="EW31" i="27"/>
  <c r="EV31" i="27"/>
  <c r="EU31" i="27"/>
  <c r="FR30" i="27"/>
  <c r="FQ30" i="27"/>
  <c r="FP30" i="27"/>
  <c r="FO30" i="27"/>
  <c r="FN30" i="27"/>
  <c r="FM30" i="27"/>
  <c r="FL30" i="27"/>
  <c r="FK30" i="27"/>
  <c r="FJ30" i="27"/>
  <c r="FI30" i="27"/>
  <c r="FH30" i="27"/>
  <c r="FG30" i="27"/>
  <c r="FF30" i="27"/>
  <c r="FE30" i="27"/>
  <c r="FD30" i="27"/>
  <c r="FC30" i="27"/>
  <c r="FB30" i="27"/>
  <c r="FA30" i="27"/>
  <c r="EZ30" i="27"/>
  <c r="EX30" i="27"/>
  <c r="EW30" i="27"/>
  <c r="EV30" i="27"/>
  <c r="EU30" i="27"/>
  <c r="EL30" i="27"/>
  <c r="EK30" i="27"/>
  <c r="FR29" i="27"/>
  <c r="FQ29" i="27"/>
  <c r="FP29" i="27"/>
  <c r="FO29" i="27"/>
  <c r="FN29" i="27"/>
  <c r="FM29" i="27"/>
  <c r="FL29" i="27"/>
  <c r="FK29" i="27"/>
  <c r="FJ29" i="27"/>
  <c r="FI29" i="27"/>
  <c r="FH29" i="27"/>
  <c r="FG29" i="27"/>
  <c r="FF29" i="27"/>
  <c r="FE29" i="27"/>
  <c r="FD29" i="27"/>
  <c r="FC29" i="27"/>
  <c r="FB29" i="27"/>
  <c r="FA29" i="27"/>
  <c r="EZ29" i="27"/>
  <c r="EX29" i="27"/>
  <c r="EW29" i="27"/>
  <c r="EV29" i="27"/>
  <c r="EU29" i="27"/>
  <c r="EL29" i="27"/>
  <c r="EK29" i="27"/>
  <c r="EJ29" i="27"/>
  <c r="EI29" i="27"/>
  <c r="EH29" i="27"/>
  <c r="EG29" i="27"/>
  <c r="EF29" i="27"/>
  <c r="EE29" i="27"/>
  <c r="FR28" i="27"/>
  <c r="FQ28" i="27"/>
  <c r="FP28" i="27"/>
  <c r="FO28" i="27"/>
  <c r="FN28" i="27"/>
  <c r="FM28" i="27"/>
  <c r="FL28" i="27"/>
  <c r="FK28" i="27"/>
  <c r="FJ28" i="27"/>
  <c r="FI28" i="27"/>
  <c r="FH28" i="27"/>
  <c r="FG28" i="27"/>
  <c r="FF28" i="27"/>
  <c r="FE28" i="27"/>
  <c r="FD28" i="27"/>
  <c r="FC28" i="27"/>
  <c r="FB28" i="27"/>
  <c r="FA28" i="27"/>
  <c r="EZ28" i="27"/>
  <c r="EY28" i="27"/>
  <c r="EX28" i="27"/>
  <c r="EW28" i="27"/>
  <c r="EV28" i="27"/>
  <c r="EU28" i="27"/>
  <c r="FR27" i="27"/>
  <c r="FQ27" i="27"/>
  <c r="FP27" i="27"/>
  <c r="FO27" i="27"/>
  <c r="FN27" i="27"/>
  <c r="FM27" i="27"/>
  <c r="FL27" i="27"/>
  <c r="FK27" i="27"/>
  <c r="FJ27" i="27"/>
  <c r="FI27" i="27"/>
  <c r="FH27" i="27"/>
  <c r="FG27" i="27"/>
  <c r="FF27" i="27"/>
  <c r="FE27" i="27"/>
  <c r="FD27" i="27"/>
  <c r="FC27" i="27"/>
  <c r="FB27" i="27"/>
  <c r="FA27" i="27"/>
  <c r="EZ27" i="27"/>
  <c r="EX27" i="27"/>
  <c r="EW27" i="27"/>
  <c r="EV27" i="27"/>
  <c r="EU27" i="27"/>
  <c r="EM27" i="27"/>
  <c r="EL27" i="27"/>
  <c r="EK27" i="27"/>
  <c r="EJ27" i="27"/>
  <c r="EI27" i="27"/>
  <c r="EH27" i="27"/>
  <c r="EG27" i="27"/>
  <c r="EF27" i="27"/>
  <c r="EE27" i="27"/>
  <c r="FR26" i="27"/>
  <c r="FQ26" i="27"/>
  <c r="FP26" i="27"/>
  <c r="FO26" i="27"/>
  <c r="FN26" i="27"/>
  <c r="FM26" i="27"/>
  <c r="FL26" i="27"/>
  <c r="FK26" i="27"/>
  <c r="FJ26" i="27"/>
  <c r="FI26" i="27"/>
  <c r="FH26" i="27"/>
  <c r="FG26" i="27"/>
  <c r="FF26" i="27"/>
  <c r="FE26" i="27"/>
  <c r="FD26" i="27"/>
  <c r="FC26" i="27"/>
  <c r="FB26" i="27"/>
  <c r="FA26" i="27"/>
  <c r="EZ26" i="27"/>
  <c r="EY26" i="27"/>
  <c r="EX26" i="27"/>
  <c r="EW26" i="27"/>
  <c r="EV26" i="27"/>
  <c r="EU26" i="27"/>
  <c r="EL26" i="27"/>
  <c r="EK26" i="27"/>
  <c r="FR25" i="27"/>
  <c r="FQ25" i="27"/>
  <c r="FP25" i="27"/>
  <c r="FO25" i="27"/>
  <c r="FN25" i="27"/>
  <c r="FM25" i="27"/>
  <c r="FL25" i="27"/>
  <c r="FK25" i="27"/>
  <c r="FJ25" i="27"/>
  <c r="FI25" i="27"/>
  <c r="FH25" i="27"/>
  <c r="FG25" i="27"/>
  <c r="FF25" i="27"/>
  <c r="FE25" i="27"/>
  <c r="FD25" i="27"/>
  <c r="FC25" i="27"/>
  <c r="FB25" i="27"/>
  <c r="FA25" i="27"/>
  <c r="EZ25" i="27"/>
  <c r="EX25" i="27"/>
  <c r="EW25" i="27"/>
  <c r="EV25" i="27"/>
  <c r="EU25" i="27"/>
  <c r="EI25" i="27"/>
  <c r="EH25" i="27"/>
  <c r="EG25" i="27"/>
  <c r="FR24" i="27"/>
  <c r="FQ24" i="27"/>
  <c r="FP24" i="27"/>
  <c r="FO24" i="27"/>
  <c r="FN24" i="27"/>
  <c r="FM24" i="27"/>
  <c r="FL24" i="27"/>
  <c r="FK24" i="27"/>
  <c r="FJ24" i="27"/>
  <c r="FI24" i="27"/>
  <c r="FH24" i="27"/>
  <c r="FG24" i="27"/>
  <c r="FF24" i="27"/>
  <c r="FE24" i="27"/>
  <c r="FD24" i="27"/>
  <c r="FC24" i="27"/>
  <c r="FB24" i="27"/>
  <c r="FA24" i="27"/>
  <c r="EZ24" i="27"/>
  <c r="EX24" i="27"/>
  <c r="EW24" i="27"/>
  <c r="EV24" i="27"/>
  <c r="EU24" i="27"/>
  <c r="EK24" i="27"/>
  <c r="EJ24" i="27"/>
  <c r="EI24" i="27"/>
  <c r="EH24" i="27"/>
  <c r="EG24" i="27"/>
  <c r="EF24" i="27"/>
  <c r="EE24" i="27"/>
  <c r="FR23" i="27"/>
  <c r="FQ23" i="27"/>
  <c r="FP23" i="27"/>
  <c r="FO23" i="27"/>
  <c r="FN23" i="27"/>
  <c r="FM23" i="27"/>
  <c r="FL23" i="27"/>
  <c r="FK23" i="27"/>
  <c r="FJ23" i="27"/>
  <c r="FI23" i="27"/>
  <c r="FH23" i="27"/>
  <c r="FG23" i="27"/>
  <c r="FF23" i="27"/>
  <c r="FE23" i="27"/>
  <c r="FD23" i="27"/>
  <c r="FC23" i="27"/>
  <c r="FB23" i="27"/>
  <c r="FA23" i="27"/>
  <c r="EZ23" i="27"/>
  <c r="EY23" i="27"/>
  <c r="EX23" i="27"/>
  <c r="EW23" i="27"/>
  <c r="EV23" i="27"/>
  <c r="EU23" i="27"/>
  <c r="EM23" i="27"/>
  <c r="FR22" i="27"/>
  <c r="FQ22" i="27"/>
  <c r="FP22" i="27"/>
  <c r="FO22" i="27"/>
  <c r="FN22" i="27"/>
  <c r="FM22" i="27"/>
  <c r="FL22" i="27"/>
  <c r="FK22" i="27"/>
  <c r="FJ22" i="27"/>
  <c r="FI22" i="27"/>
  <c r="FH22" i="27"/>
  <c r="FH34" i="27" s="1"/>
  <c r="FG22" i="27"/>
  <c r="FF22" i="27"/>
  <c r="FE22" i="27"/>
  <c r="FD22" i="27"/>
  <c r="FC22" i="27"/>
  <c r="FB22" i="27"/>
  <c r="FA22" i="27"/>
  <c r="EZ22" i="27"/>
  <c r="EX22" i="27"/>
  <c r="EW22" i="27"/>
  <c r="EV22" i="27"/>
  <c r="EU22" i="27"/>
  <c r="EU34" i="27" s="1"/>
  <c r="EM22" i="27"/>
  <c r="EI22" i="27"/>
  <c r="EH22" i="27"/>
  <c r="EG22" i="27"/>
  <c r="EF22" i="27"/>
  <c r="EE22" i="27"/>
  <c r="ET17" i="27"/>
  <c r="ET33" i="27" s="1"/>
  <c r="ES17" i="27"/>
  <c r="ES33" i="27" s="1"/>
  <c r="ER17" i="27"/>
  <c r="EQ17" i="27"/>
  <c r="EP17" i="27"/>
  <c r="EO17" i="27"/>
  <c r="EN17" i="27"/>
  <c r="EM17" i="27"/>
  <c r="EM26" i="27" s="1"/>
  <c r="EL17" i="27"/>
  <c r="EL22" i="27" s="1"/>
  <c r="EK17" i="27"/>
  <c r="EK22" i="27" s="1"/>
  <c r="EJ17" i="27"/>
  <c r="EJ22" i="27" s="1"/>
  <c r="EI17" i="27"/>
  <c r="EI30" i="27" s="1"/>
  <c r="EH17" i="27"/>
  <c r="EH30" i="27" s="1"/>
  <c r="EG17" i="27"/>
  <c r="EG30" i="27" s="1"/>
  <c r="EF17" i="27"/>
  <c r="EF32" i="27" s="1"/>
  <c r="EE17" i="27"/>
  <c r="EY33" i="27" s="1"/>
  <c r="FI34" i="27" l="1"/>
  <c r="FM34" i="27"/>
  <c r="EY30" i="27"/>
  <c r="FP34" i="27"/>
  <c r="EH31" i="27"/>
  <c r="EH26" i="27"/>
  <c r="EE33" i="27"/>
  <c r="FR34" i="27"/>
  <c r="EI26" i="27"/>
  <c r="EJ31" i="27"/>
  <c r="EF33" i="27"/>
  <c r="EY22" i="27"/>
  <c r="EY34" i="27" s="1"/>
  <c r="EE23" i="27"/>
  <c r="EL24" i="27"/>
  <c r="EJ26" i="27"/>
  <c r="EK31" i="27"/>
  <c r="EG33" i="27"/>
  <c r="FK34" i="27"/>
  <c r="EG26" i="27"/>
  <c r="EW34" i="27"/>
  <c r="EI31" i="27"/>
  <c r="EY32" i="27"/>
  <c r="EX34" i="27"/>
  <c r="EZ34" i="27"/>
  <c r="EF23" i="27"/>
  <c r="EF34" i="27" s="1"/>
  <c r="EM24" i="27"/>
  <c r="EM34" i="27" s="1"/>
  <c r="EY27" i="27"/>
  <c r="EE28" i="27"/>
  <c r="EL31" i="27"/>
  <c r="EH33" i="27"/>
  <c r="EE31" i="27"/>
  <c r="EE26" i="27"/>
  <c r="EE34" i="27" s="1"/>
  <c r="EF26" i="27"/>
  <c r="EV34" i="27"/>
  <c r="FA34" i="27"/>
  <c r="EI33" i="27"/>
  <c r="EI34" i="27" s="1"/>
  <c r="EH23" i="27"/>
  <c r="EH34" i="27" s="1"/>
  <c r="EG28" i="27"/>
  <c r="EF30" i="27"/>
  <c r="EI23" i="27"/>
  <c r="EH28" i="27"/>
  <c r="EY29" i="27"/>
  <c r="FJ34" i="27"/>
  <c r="FL34" i="27"/>
  <c r="FN34" i="27"/>
  <c r="EY25" i="27"/>
  <c r="EF31" i="27"/>
  <c r="FO34" i="27"/>
  <c r="EG31" i="27"/>
  <c r="FQ34" i="27"/>
  <c r="EG23" i="27"/>
  <c r="EG34" i="27" s="1"/>
  <c r="EF28" i="27"/>
  <c r="EE30" i="27"/>
  <c r="FB34" i="27"/>
  <c r="FC34" i="27"/>
  <c r="FD34" i="27"/>
  <c r="EJ23" i="27"/>
  <c r="EI28" i="27"/>
  <c r="FE34" i="27"/>
  <c r="EK23" i="27"/>
  <c r="EY24" i="27"/>
  <c r="EE25" i="27"/>
  <c r="EY31" i="27"/>
  <c r="EE32" i="27"/>
  <c r="FF34" i="27"/>
  <c r="EL23" i="27"/>
  <c r="EF25" i="27"/>
  <c r="EJ30" i="27"/>
  <c r="EQ33" i="27"/>
  <c r="EQ32" i="27"/>
  <c r="EQ31" i="27"/>
  <c r="EQ30" i="27"/>
  <c r="EQ29" i="27"/>
  <c r="EQ24" i="27"/>
  <c r="EQ28" i="27"/>
  <c r="EQ27" i="27"/>
  <c r="EQ26" i="27"/>
  <c r="EQ25" i="27"/>
  <c r="EQ23" i="27"/>
  <c r="EQ22" i="27"/>
  <c r="ER33" i="27"/>
  <c r="ER32" i="27"/>
  <c r="ER31" i="27"/>
  <c r="ER30" i="27"/>
  <c r="ER29" i="27"/>
  <c r="ER28" i="27"/>
  <c r="ER27" i="27"/>
  <c r="ER26" i="27"/>
  <c r="ER25" i="27"/>
  <c r="ER24" i="27"/>
  <c r="ER22" i="27"/>
  <c r="ER23" i="27"/>
  <c r="FG34" i="27"/>
  <c r="EJ28" i="27"/>
  <c r="EM33" i="27"/>
  <c r="EM32" i="27"/>
  <c r="EM31" i="27"/>
  <c r="EM29" i="27"/>
  <c r="EM30" i="27"/>
  <c r="EJ25" i="27"/>
  <c r="EK28" i="27"/>
  <c r="EJ33" i="27"/>
  <c r="EN33" i="27"/>
  <c r="EN23" i="27"/>
  <c r="EN22" i="27"/>
  <c r="EN32" i="27"/>
  <c r="EN31" i="27"/>
  <c r="EN30" i="27"/>
  <c r="EN29" i="27"/>
  <c r="EN28" i="27"/>
  <c r="EN27" i="27"/>
  <c r="EN26" i="27"/>
  <c r="EN25" i="27"/>
  <c r="EN24" i="27"/>
  <c r="EK25" i="27"/>
  <c r="EL28" i="27"/>
  <c r="EK33" i="27"/>
  <c r="EO33" i="27"/>
  <c r="EO32" i="27"/>
  <c r="EO30" i="27"/>
  <c r="EO28" i="27"/>
  <c r="EO26" i="27"/>
  <c r="EO24" i="27"/>
  <c r="EO23" i="27"/>
  <c r="EO31" i="27"/>
  <c r="EO29" i="27"/>
  <c r="EO27" i="27"/>
  <c r="EO25" i="27"/>
  <c r="EO22" i="27"/>
  <c r="EL25" i="27"/>
  <c r="EM28" i="27"/>
  <c r="EL33" i="27"/>
  <c r="EP33" i="27"/>
  <c r="EP32" i="27"/>
  <c r="EP31" i="27"/>
  <c r="EP30" i="27"/>
  <c r="EP29" i="27"/>
  <c r="EP28" i="27"/>
  <c r="EP27" i="27"/>
  <c r="EP26" i="27"/>
  <c r="EP25" i="27"/>
  <c r="EP24" i="27"/>
  <c r="EP23" i="27"/>
  <c r="EP22" i="27"/>
  <c r="EM25" i="27"/>
  <c r="ES22" i="27"/>
  <c r="ES23" i="27"/>
  <c r="ES24" i="27"/>
  <c r="ES25" i="27"/>
  <c r="ES26" i="27"/>
  <c r="ES27" i="27"/>
  <c r="ES28" i="27"/>
  <c r="ES29" i="27"/>
  <c r="ES30" i="27"/>
  <c r="ES31" i="27"/>
  <c r="ES32" i="27"/>
  <c r="ET22" i="27"/>
  <c r="ET23" i="27"/>
  <c r="ET24" i="27"/>
  <c r="ET25" i="27"/>
  <c r="ET26" i="27"/>
  <c r="ET27" i="27"/>
  <c r="ET28" i="27"/>
  <c r="ET29" i="27"/>
  <c r="ET30" i="27"/>
  <c r="ET31" i="27"/>
  <c r="ET32" i="27"/>
  <c r="EL34" i="27" l="1"/>
  <c r="EP34" i="27"/>
  <c r="EJ34" i="27"/>
  <c r="EQ34" i="27"/>
  <c r="EK34" i="27"/>
  <c r="ET34" i="27"/>
  <c r="ER34" i="27"/>
  <c r="EO34" i="27"/>
  <c r="ES34" i="27"/>
  <c r="EN34" i="27"/>
  <c r="V16" i="26" l="1"/>
  <c r="K16" i="26"/>
</calcChain>
</file>

<file path=xl/sharedStrings.xml><?xml version="1.0" encoding="utf-8"?>
<sst xmlns="http://schemas.openxmlformats.org/spreadsheetml/2006/main" count="2317" uniqueCount="415">
  <si>
    <r>
      <t>(As on 31</t>
    </r>
    <r>
      <rPr>
        <b/>
        <vertAlign val="superscript"/>
        <sz val="10"/>
        <rFont val="Arial"/>
        <family val="2"/>
      </rPr>
      <t>st</t>
    </r>
    <r>
      <rPr>
        <b/>
        <sz val="10"/>
        <rFont val="Arial"/>
        <family val="2"/>
      </rPr>
      <t xml:space="preserve"> March)</t>
    </r>
  </si>
  <si>
    <t>S.No.</t>
  </si>
  <si>
    <t xml:space="preserve"> Insurer</t>
  </si>
  <si>
    <t>Public Sector</t>
  </si>
  <si>
    <t>Life Insurance Corporation of India</t>
  </si>
  <si>
    <t>Private Sector</t>
  </si>
  <si>
    <t>Aditya Birla Sunlife Insurance Company Ltd.</t>
  </si>
  <si>
    <t>Ageas Federal Life Insurance Company Ltd.</t>
  </si>
  <si>
    <t>Aviva Life Insurance Company India Ltd.</t>
  </si>
  <si>
    <t>Bajaj Allianz Life Insurance Company Ltd.</t>
  </si>
  <si>
    <t>Bharti AXA Life Insurance Company Ltd.</t>
  </si>
  <si>
    <t>Edelweiss Tokio Life Insurance Company Ltd.</t>
  </si>
  <si>
    <t>Exide Life Insurance Company Ltd.</t>
  </si>
  <si>
    <t>Future Generali India Life Insurance Company Ltd.</t>
  </si>
  <si>
    <t>HDFC Life Insurance Company Ltd.</t>
  </si>
  <si>
    <t>ICICI Prudential Life Insurance Company Ltd.</t>
  </si>
  <si>
    <t>IndiaFirst Life Insurance Company Ltd.</t>
  </si>
  <si>
    <t>Kotak Mahindra Life Insurance Ltd.</t>
  </si>
  <si>
    <t>MaxLife  Insurance Company Ltd.</t>
  </si>
  <si>
    <t>PNB Metlife India Insurance Company Ltd.</t>
  </si>
  <si>
    <t>Pramerica Life Insurance Company Ltd.</t>
  </si>
  <si>
    <t>Reliance Nippon  Life Insurance Company Ltd.</t>
  </si>
  <si>
    <t>Sahara  India Life Insurance Company Ltd.</t>
  </si>
  <si>
    <t>SBI Life Insurance Company Ltd.</t>
  </si>
  <si>
    <t>Shriram Life Insurance Company Ltd.</t>
  </si>
  <si>
    <t>Star Union Dai-ichi Life Insurance Company Ltd.</t>
  </si>
  <si>
    <t>TATA AIA Life Insurance Company Ltd.</t>
  </si>
  <si>
    <t>Private Sector Total</t>
  </si>
  <si>
    <t>Grand Total</t>
  </si>
  <si>
    <r>
      <t>(As on 31</t>
    </r>
    <r>
      <rPr>
        <b/>
        <vertAlign val="superscript"/>
        <sz val="10"/>
        <rFont val="Arial"/>
        <family val="2"/>
      </rPr>
      <t>st</t>
    </r>
    <r>
      <rPr>
        <b/>
        <sz val="10"/>
        <rFont val="Arial"/>
        <family val="2"/>
      </rPr>
      <t xml:space="preserve"> March) </t>
    </r>
  </si>
  <si>
    <t>Canara HSBC Life Insurance Company Ltd.</t>
  </si>
  <si>
    <t>Individual Agent</t>
  </si>
  <si>
    <t>Corporate Agent</t>
  </si>
  <si>
    <t>2014-15</t>
  </si>
  <si>
    <t>2015-16</t>
  </si>
  <si>
    <t>2016-17</t>
  </si>
  <si>
    <t>2017-18</t>
  </si>
  <si>
    <t>2018-19</t>
  </si>
  <si>
    <t>2019-20</t>
  </si>
  <si>
    <t>2020-21</t>
  </si>
  <si>
    <t>2021-22</t>
  </si>
  <si>
    <t>2022-23</t>
  </si>
  <si>
    <t>-</t>
  </si>
  <si>
    <t>Private Average</t>
  </si>
  <si>
    <t>Industry Average</t>
  </si>
  <si>
    <t>(in ₹lakhs)</t>
  </si>
  <si>
    <t>(in Rupees)</t>
  </si>
  <si>
    <t>NA</t>
  </si>
  <si>
    <t>Insurer</t>
  </si>
  <si>
    <t>Brokers</t>
  </si>
  <si>
    <t>Individual Agents</t>
  </si>
  <si>
    <t>Point of Sales</t>
  </si>
  <si>
    <t>Total</t>
  </si>
  <si>
    <t>3. The leads obtained through referral arrangements have been included in the respective channels.</t>
  </si>
  <si>
    <t>2. Figures in bracket show percentage to total individual new business procured through respective channels.</t>
  </si>
  <si>
    <t>1. New business premium includes first year premium and single premium.</t>
  </si>
  <si>
    <t>Note:</t>
  </si>
  <si>
    <t>** Business procured through Company website only.</t>
  </si>
  <si>
    <t xml:space="preserve">* Any entity other than banks but licensed as a corporate agent. </t>
  </si>
  <si>
    <t>(0.02)</t>
  </si>
  <si>
    <t>(0.03)</t>
  </si>
  <si>
    <t>(0.004)</t>
  </si>
  <si>
    <t>(0.01)</t>
  </si>
  <si>
    <t>(0.05)</t>
  </si>
  <si>
    <t>(0.06)</t>
  </si>
  <si>
    <t>(0.04)</t>
  </si>
  <si>
    <t>14.61</t>
  </si>
  <si>
    <t>7.98</t>
  </si>
  <si>
    <t>9396</t>
  </si>
  <si>
    <t>3219</t>
  </si>
  <si>
    <t>Referrals</t>
  </si>
  <si>
    <t>(100.00)</t>
  </si>
  <si>
    <t>28846645</t>
  </si>
  <si>
    <t>28162617</t>
  </si>
  <si>
    <t>(0.00)</t>
  </si>
  <si>
    <t>(0.001)</t>
  </si>
  <si>
    <t>0</t>
  </si>
  <si>
    <t>(0)</t>
  </si>
  <si>
    <t>-1.13</t>
  </si>
  <si>
    <t>309</t>
  </si>
  <si>
    <t>778</t>
  </si>
  <si>
    <t>Others if any</t>
  </si>
  <si>
    <t>(0.07)</t>
  </si>
  <si>
    <t>(0.08)</t>
  </si>
  <si>
    <t>(0.29)</t>
  </si>
  <si>
    <t>(0.12)</t>
  </si>
  <si>
    <t>(0.20)</t>
  </si>
  <si>
    <t>83076</t>
  </si>
  <si>
    <t>14019</t>
  </si>
  <si>
    <t>(0.52)</t>
  </si>
  <si>
    <t>(0.86)</t>
  </si>
  <si>
    <t>(1.06)</t>
  </si>
  <si>
    <t>(1.11)</t>
  </si>
  <si>
    <t>(1.04)</t>
  </si>
  <si>
    <t>(0.98)</t>
  </si>
  <si>
    <t>(0.77)</t>
  </si>
  <si>
    <t>302.83</t>
  </si>
  <si>
    <t>304536</t>
  </si>
  <si>
    <t>292352</t>
  </si>
  <si>
    <t>205214</t>
  </si>
  <si>
    <t>Online**</t>
  </si>
  <si>
    <t>(0.10)</t>
  </si>
  <si>
    <t>0.03</t>
  </si>
  <si>
    <t>11533</t>
  </si>
  <si>
    <t>5099</t>
  </si>
  <si>
    <t>1</t>
  </si>
  <si>
    <t>IMF</t>
  </si>
  <si>
    <t>(0.18)</t>
  </si>
  <si>
    <t>(0.51)</t>
  </si>
  <si>
    <t>(0.50)</t>
  </si>
  <si>
    <t>(0.46)</t>
  </si>
  <si>
    <t>(0.21)</t>
  </si>
  <si>
    <t>143009</t>
  </si>
  <si>
    <t>59742</t>
  </si>
  <si>
    <t>19</t>
  </si>
  <si>
    <t>Web-Aggregators</t>
  </si>
  <si>
    <t>(0.002)</t>
  </si>
  <si>
    <t>(0.30)</t>
  </si>
  <si>
    <t>(0.09)</t>
  </si>
  <si>
    <t>0.32</t>
  </si>
  <si>
    <t>16583</t>
  </si>
  <si>
    <t>24329</t>
  </si>
  <si>
    <t>Common Service Centres (CSCs)</t>
  </si>
  <si>
    <t>(2.62)</t>
  </si>
  <si>
    <t>(3.62)</t>
  </si>
  <si>
    <t>(3.27)</t>
  </si>
  <si>
    <t>(2.34)</t>
  </si>
  <si>
    <t>(2.20)</t>
  </si>
  <si>
    <t>(2.18)</t>
  </si>
  <si>
    <t>(2.05)</t>
  </si>
  <si>
    <t>(1.86)</t>
  </si>
  <si>
    <t>21.25</t>
  </si>
  <si>
    <t>17.01</t>
  </si>
  <si>
    <t>942614</t>
  </si>
  <si>
    <t>619183</t>
  </si>
  <si>
    <t>MI Agents</t>
  </si>
  <si>
    <t>(4.36)</t>
  </si>
  <si>
    <t>(4.42)</t>
  </si>
  <si>
    <t>(2.53)</t>
  </si>
  <si>
    <t>(2.86)</t>
  </si>
  <si>
    <t>(2.58)</t>
  </si>
  <si>
    <t>(2.73)</t>
  </si>
  <si>
    <t>(2.79)</t>
  </si>
  <si>
    <t>(2.31)</t>
  </si>
  <si>
    <t>(2.11)</t>
  </si>
  <si>
    <t>2543.97</t>
  </si>
  <si>
    <t>2450.70</t>
  </si>
  <si>
    <t>Direct Selling</t>
  </si>
  <si>
    <t>(1.60)</t>
  </si>
  <si>
    <t>(1.84)</t>
  </si>
  <si>
    <t>(1.55)</t>
  </si>
  <si>
    <t>(1.66)</t>
  </si>
  <si>
    <t>(0.99)</t>
  </si>
  <si>
    <t>(1.08)</t>
  </si>
  <si>
    <t>(0.97)</t>
  </si>
  <si>
    <t>(0.84)</t>
  </si>
  <si>
    <t>(0.92)</t>
  </si>
  <si>
    <t>934.18</t>
  </si>
  <si>
    <t>1019.93</t>
  </si>
  <si>
    <t>(1.97)</t>
  </si>
  <si>
    <t>(1.72)</t>
  </si>
  <si>
    <t>(1.39)</t>
  </si>
  <si>
    <t>(1.44)</t>
  </si>
  <si>
    <t>(1.70)</t>
  </si>
  <si>
    <t>(1.57)</t>
  </si>
  <si>
    <t>(1.52)</t>
  </si>
  <si>
    <t>(1.65)</t>
  </si>
  <si>
    <t>(1.14)</t>
  </si>
  <si>
    <t>(1.19)</t>
  </si>
  <si>
    <t>809.56</t>
  </si>
  <si>
    <t>795.50</t>
  </si>
  <si>
    <t>Corporate Agents- Others*</t>
  </si>
  <si>
    <t>(31.94)</t>
  </si>
  <si>
    <t>(29.00)</t>
  </si>
  <si>
    <t>(23.82)</t>
  </si>
  <si>
    <t>(20.84)</t>
  </si>
  <si>
    <t>(12.92)</t>
  </si>
  <si>
    <t>(13.02)</t>
  </si>
  <si>
    <t>(11.22)</t>
  </si>
  <si>
    <t>(11.85)</t>
  </si>
  <si>
    <t>(11.36)</t>
  </si>
  <si>
    <t>(10.90)</t>
  </si>
  <si>
    <t>(10.16)</t>
  </si>
  <si>
    <t>(9.33)</t>
  </si>
  <si>
    <t>13891.93</t>
  </si>
  <si>
    <t>11547.45</t>
  </si>
  <si>
    <t>Corporate Agents-Banks</t>
  </si>
  <si>
    <t>(55.01)</t>
  </si>
  <si>
    <t>(58.18)</t>
  </si>
  <si>
    <t>(68.27)</t>
  </si>
  <si>
    <t>(71.42)</t>
  </si>
  <si>
    <t>(78.40)</t>
  </si>
  <si>
    <t>(77.06)</t>
  </si>
  <si>
    <t>(76.11)</t>
  </si>
  <si>
    <t>(78.64)</t>
  </si>
  <si>
    <t>(79.85)</t>
  </si>
  <si>
    <t>(81.52)</t>
  </si>
  <si>
    <t>(82.76)</t>
  </si>
  <si>
    <t>(83.71)</t>
  </si>
  <si>
    <t>Premium (₹Crore)</t>
  </si>
  <si>
    <t>Number of Policies Issued</t>
  </si>
  <si>
    <t>Particulars</t>
  </si>
  <si>
    <t>Number of Schemes</t>
  </si>
  <si>
    <t>Number of Lives Covered</t>
  </si>
  <si>
    <t>1678.66</t>
  </si>
  <si>
    <t>(2.90)</t>
  </si>
  <si>
    <t>1283.07</t>
  </si>
  <si>
    <t>(2.22)</t>
  </si>
  <si>
    <t>625.51</t>
  </si>
  <si>
    <t>431.10</t>
  </si>
  <si>
    <t>(0.75)</t>
  </si>
  <si>
    <t>53767.68</t>
  </si>
  <si>
    <t>(93.05)</t>
  </si>
  <si>
    <t>0.18</t>
  </si>
  <si>
    <t>Web Aggregators</t>
  </si>
  <si>
    <t>Point of Sales (POS)</t>
  </si>
  <si>
    <t>Others If Any</t>
  </si>
  <si>
    <t>57786</t>
  </si>
  <si>
    <t>*Any entity other than banks but licensed as a corporate agent.</t>
  </si>
  <si>
    <t># Does not include its overseas new business premium</t>
  </si>
  <si>
    <t>1. First row across each insurer shows the absolute figures whereas second row shows percentage to total individual new business of each insurer procured through the respective channel.</t>
  </si>
  <si>
    <t>2. New business premium includes first year premium and single premium.</t>
  </si>
  <si>
    <t>Corporate Agents</t>
  </si>
  <si>
    <t>Total Group New Business</t>
  </si>
  <si>
    <t xml:space="preserve">Banks </t>
  </si>
  <si>
    <t>Others*</t>
  </si>
  <si>
    <t>Schemes</t>
  </si>
  <si>
    <t>Lives covered</t>
  </si>
  <si>
    <t>* Any entity other than banks but licensed as a corporate agent.</t>
  </si>
  <si>
    <t>Andhra Pradesh</t>
  </si>
  <si>
    <t>Bihar</t>
  </si>
  <si>
    <t>Chandigarh</t>
  </si>
  <si>
    <t>Gujarat</t>
  </si>
  <si>
    <t>Haryana</t>
  </si>
  <si>
    <t>Jharkhand</t>
  </si>
  <si>
    <t>Karnataka</t>
  </si>
  <si>
    <t>Kerala</t>
  </si>
  <si>
    <t>Madhya Pradesh</t>
  </si>
  <si>
    <t>Maharashtra</t>
  </si>
  <si>
    <t>Punjab</t>
  </si>
  <si>
    <t>Rajasthan</t>
  </si>
  <si>
    <t>Tamil Nadu</t>
  </si>
  <si>
    <t>Telangana</t>
  </si>
  <si>
    <t>Uttar Pradesh</t>
  </si>
  <si>
    <t>West Bengal</t>
  </si>
  <si>
    <t>Assam</t>
  </si>
  <si>
    <t>Chattisgarh</t>
  </si>
  <si>
    <t>Himachal Pradesh</t>
  </si>
  <si>
    <t>Jammu &amp; Kashmir</t>
  </si>
  <si>
    <t>Sikkim</t>
  </si>
  <si>
    <t>Total Individual New Business</t>
  </si>
  <si>
    <t>Policies</t>
  </si>
  <si>
    <t>State / Union Territory</t>
  </si>
  <si>
    <t>LIC</t>
  </si>
  <si>
    <t>Aditya Birla Sunlife</t>
  </si>
  <si>
    <t>Ageas Federal</t>
  </si>
  <si>
    <t>Aviva</t>
  </si>
  <si>
    <t>Bajaj Allianz</t>
  </si>
  <si>
    <t>Bharti AXA</t>
  </si>
  <si>
    <t>Canara HSBC</t>
  </si>
  <si>
    <t>Edelweiss Tokio</t>
  </si>
  <si>
    <t>ICICI Prudential</t>
  </si>
  <si>
    <t>IndiaFirst</t>
  </si>
  <si>
    <t>Kotak Mahindra</t>
  </si>
  <si>
    <t>PNB Metlife</t>
  </si>
  <si>
    <t>Pramerica</t>
  </si>
  <si>
    <t>Reliance Nippon</t>
  </si>
  <si>
    <t>Sahara</t>
  </si>
  <si>
    <t>SBI Life</t>
  </si>
  <si>
    <t>Shriram</t>
  </si>
  <si>
    <t>Star Union</t>
  </si>
  <si>
    <t>Tata AIA</t>
  </si>
  <si>
    <t>Arunachal Pradesh</t>
  </si>
  <si>
    <t>Goa</t>
  </si>
  <si>
    <t>Manipur</t>
  </si>
  <si>
    <t>Meghalaya</t>
  </si>
  <si>
    <t>Mizoram</t>
  </si>
  <si>
    <t>Nagaland</t>
  </si>
  <si>
    <t>odisha</t>
  </si>
  <si>
    <t>Tripura</t>
  </si>
  <si>
    <t>Uttrakhand</t>
  </si>
  <si>
    <t>Andaman &amp; Nicobar Is</t>
  </si>
  <si>
    <t>Daman &amp; Diu, Dadra &amp; Nagra Haveli</t>
  </si>
  <si>
    <t>Delhi</t>
  </si>
  <si>
    <t>Ladakh</t>
  </si>
  <si>
    <t>Lakshadweep</t>
  </si>
  <si>
    <t>Puducherry</t>
  </si>
  <si>
    <t>CONTENTS</t>
  </si>
  <si>
    <t>PART V: INSURANCE DISTRIBUTION CHANNELS</t>
  </si>
  <si>
    <t>Acko Life</t>
  </si>
  <si>
    <t>Credit Access Life</t>
  </si>
  <si>
    <t>Go Digit Life</t>
  </si>
  <si>
    <t>2023-24</t>
  </si>
  <si>
    <t>2.  “Life insurance business of Sahara India Life Insurance Company Ltd (SILIC) is transferred to SBI Life Insurance Company Ltd (SBI Life) by IRDAI vide its Order dt. 2.6.2023 and the above data / information for the FY 2023-24 does not include data / information pertaining to SILIC".</t>
  </si>
  <si>
    <r>
      <rPr>
        <b/>
        <sz val="10"/>
        <rFont val="Arial"/>
        <family val="2"/>
      </rPr>
      <t>Note</t>
    </r>
    <r>
      <rPr>
        <sz val="10"/>
        <rFont val="Arial"/>
        <family val="2"/>
      </rPr>
      <t xml:space="preserve">: 1.The '-' cells indicate no business procured during the financial year </t>
    </r>
  </si>
  <si>
    <r>
      <rPr>
        <b/>
        <sz val="10"/>
        <color theme="1"/>
        <rFont val="Arial"/>
        <family val="2"/>
      </rPr>
      <t>Note</t>
    </r>
    <r>
      <rPr>
        <sz val="10"/>
        <color theme="1"/>
        <rFont val="Arial"/>
        <family val="2"/>
      </rPr>
      <t xml:space="preserve">: 1.The '-' cells indicate no business procured during the financial year </t>
    </r>
  </si>
  <si>
    <t>4.  “Life insurance business of Sahara India Life Insurance Company Ltd (SILIC) is transferred to SBI Life Insurance Company Ltd (SBI Life) by IRDAI vide its Order dt. 2.6.2023 and the above data / information for the FY 2023-24 does not include data / information pertaining to SILIC".</t>
  </si>
  <si>
    <r>
      <t>(As on 31</t>
    </r>
    <r>
      <rPr>
        <b/>
        <vertAlign val="superscript"/>
        <sz val="10"/>
        <color theme="1"/>
        <rFont val="Arial"/>
        <family val="2"/>
      </rPr>
      <t>st</t>
    </r>
    <r>
      <rPr>
        <b/>
        <sz val="10"/>
        <color theme="1"/>
        <rFont val="Arial"/>
        <family val="2"/>
      </rPr>
      <t xml:space="preserve"> March)</t>
    </r>
  </si>
  <si>
    <t>State</t>
  </si>
  <si>
    <t>New Delhi</t>
  </si>
  <si>
    <t>Tamilnadu</t>
  </si>
  <si>
    <t>Uttarakhand</t>
  </si>
  <si>
    <r>
      <t>(As on 31</t>
    </r>
    <r>
      <rPr>
        <vertAlign val="superscript"/>
        <sz val="10"/>
        <color indexed="8"/>
        <rFont val="Arial"/>
        <family val="2"/>
      </rPr>
      <t>st</t>
    </r>
    <r>
      <rPr>
        <sz val="10"/>
        <color indexed="8"/>
        <rFont val="Arial"/>
        <family val="2"/>
      </rPr>
      <t xml:space="preserve"> March)</t>
    </r>
  </si>
  <si>
    <t>State/UT</t>
  </si>
  <si>
    <t>Chhattisgarh</t>
  </si>
  <si>
    <t>Jammu and Kashmir</t>
  </si>
  <si>
    <t>Odisha</t>
  </si>
  <si>
    <t>Segment</t>
  </si>
  <si>
    <t>Corporate Agents - Banks</t>
  </si>
  <si>
    <t>Corporate Agents - Others</t>
  </si>
  <si>
    <t>Referral Arrangements</t>
  </si>
  <si>
    <t>Direct Business</t>
  </si>
  <si>
    <t>Micro Insurance Agents</t>
  </si>
  <si>
    <t>Others</t>
  </si>
  <si>
    <t>Fire</t>
  </si>
  <si>
    <t>Marine (Cargo)</t>
  </si>
  <si>
    <t>Marine (Hull)</t>
  </si>
  <si>
    <t>Aviation</t>
  </si>
  <si>
    <t>Engineering</t>
  </si>
  <si>
    <t>Motor Own Damage</t>
  </si>
  <si>
    <t>Motor Third Party</t>
  </si>
  <si>
    <t>Liability Insurance</t>
  </si>
  <si>
    <t>Crop Insurance</t>
  </si>
  <si>
    <t>Credit Insurance</t>
  </si>
  <si>
    <t>Miscellaneous</t>
  </si>
  <si>
    <t>Name of the Channel</t>
  </si>
  <si>
    <t>Individual Insurance including Family /Floater Policies</t>
  </si>
  <si>
    <t>Group Business (including Government Sponsored Insurance Schemes &amp; RSBY)</t>
  </si>
  <si>
    <t xml:space="preserve">Individual Insurance including Family /floater policies </t>
  </si>
  <si>
    <t>Group Business (Including government sponsored Insurance schemes and RSBY)</t>
  </si>
  <si>
    <t>Government Business (Including RSBY &amp; Other Government Sponsored Schemes)</t>
  </si>
  <si>
    <t>Group Business (Excluding Government Business)</t>
  </si>
  <si>
    <t>Individual Business</t>
  </si>
  <si>
    <t>No.of policies Issued</t>
  </si>
  <si>
    <t>No. of Persons Covered ('000s)</t>
  </si>
  <si>
    <t>Gross Premium (₹Lakh)</t>
  </si>
  <si>
    <t>No. of claims paid</t>
  </si>
  <si>
    <t>Claims Paid (₹Lakh)</t>
  </si>
  <si>
    <t>Corporate Agent - Banks</t>
  </si>
  <si>
    <t>Corporate Agent - Other than Banks</t>
  </si>
  <si>
    <t>Direct Sale - Online</t>
  </si>
  <si>
    <t>Direct Sale - Other than Online</t>
  </si>
  <si>
    <t>Micro-insurance Agents</t>
  </si>
  <si>
    <t>Web- aggregators</t>
  </si>
  <si>
    <t>Insurance Marketing Firms</t>
  </si>
  <si>
    <t>Common Service Centers</t>
  </si>
  <si>
    <t>SHARE OF DIFFERENT CHANNELS IN HEALTH INSURANCE BUSINESS</t>
  </si>
  <si>
    <t>Total (Individual + Group)</t>
  </si>
  <si>
    <t>No. of Persons Covered</t>
  </si>
  <si>
    <t xml:space="preserve">Gross Premium </t>
  </si>
  <si>
    <t xml:space="preserve">No. of claims paid </t>
  </si>
  <si>
    <t xml:space="preserve">Amount of Claims Paid </t>
  </si>
  <si>
    <t>Amount of Claims Paid</t>
  </si>
  <si>
    <t>No. of persons Covered</t>
  </si>
  <si>
    <t>Gross Direct Premium</t>
  </si>
  <si>
    <t>Direct Sale -  Other than Online</t>
  </si>
  <si>
    <t>Bandhan Life Insurance Limited</t>
  </si>
  <si>
    <t>Go Digit Life Insurance Ltd.</t>
  </si>
  <si>
    <t>Credit Access Life Insurance Ltd.</t>
  </si>
  <si>
    <t>Acko Life Insurance Ltd.</t>
  </si>
  <si>
    <t>Bandhan Life Insurance Ltd.</t>
  </si>
  <si>
    <t>2. There are no registered brokers in other states/Uts</t>
  </si>
  <si>
    <t>Note: 1. Data includes only valid licensed brokers as on 31st March.</t>
  </si>
  <si>
    <t>TABLE 90: NUMBER OF INDIVIDUAL AGENTS OF LIFE INSURERS</t>
  </si>
  <si>
    <t>TABLE 104: CHANNEL WISE - HEALTH INSURANCE BUSINESS (EXCLUDING TRAVEL AND PERSONAL ACCIDENT INSURANCE)</t>
  </si>
  <si>
    <t>CHANNEL WISE - HEALTH INSURANCE BUSINESS (EXCLUDING TRAVEL AND PERSONAL ACCIDENT INSURANCE)</t>
  </si>
  <si>
    <t>CHANNEL-WISE GENERAL INSURANCE BUSINESS</t>
  </si>
  <si>
    <t xml:space="preserve"> CHANNEL-WISE INSURER-WISE LIFE INSURANCE - GROUP NEW BUSINESS (2023-24)</t>
  </si>
  <si>
    <t>TABLE 103: CHANNEL-WISE GENERAL INSURANCE BUSINESS</t>
  </si>
  <si>
    <t>TABLE 101: CHANNEL WISE - LIFE INSURANCE GROUP NEW BUSINESS</t>
  </si>
  <si>
    <t>CHANNEL WISE - LIFE INSURANCE GROUP NEW BUSINESS</t>
  </si>
  <si>
    <t xml:space="preserve"> TABLE 99: CHANNEL-WISE - LIFE INSURANCE - INDIVIDUAL NEW BUSINESS</t>
  </si>
  <si>
    <t xml:space="preserve">TABLE 91: NUMBER OF CORPORATE AGENTS  OF LIFE INSURERS </t>
  </si>
  <si>
    <t>TABLE 92: NUMBER OF MICRO INSURANCE AGENTS (LIFE) - INSURER-WISE</t>
  </si>
  <si>
    <t>TABLE 93:  AVERAGE NUMBER OF INDIVIDUAL POLICIES SOLD BY INDIVIDUAL AND CORPORATE AGENTS</t>
  </si>
  <si>
    <t>TABLE 94: AVERAGE NEW BUSINESS PREMIUM INCOME PER INDIVIDUAL AND CORPORATE AGENTS</t>
  </si>
  <si>
    <t>TABLE 95:  AVERAGE  PREMIUM INCOME PER POLICY FOR INDIVIDUAL AND CORPORATE AGENTS</t>
  </si>
  <si>
    <t>TABLE 96: INSURER-WISE STATE-WISE  DISTRIBUTION OF INDIVIDUAL AGENTS OF LIFE INSURERS</t>
  </si>
  <si>
    <t>TABLE 97: STATE-WISE NUMBER OF REGISTERED BROKERS</t>
  </si>
  <si>
    <t xml:space="preserve">Exide Life </t>
  </si>
  <si>
    <t>(Gross Direct Premium in ₹Crore)</t>
  </si>
  <si>
    <t>NUMBER OF INDIVIDUAL AGENTS OF LIFE INSURERS</t>
  </si>
  <si>
    <t xml:space="preserve">NUMBER OF CORPORATE AGENTS  OF LIFE INSURERS </t>
  </si>
  <si>
    <t>NUMBER OF MICRO INSURANCE AGENTS (LIFE) - INSURER-WISE</t>
  </si>
  <si>
    <t>AVERAGE NUMBER OF INDIVIDUAL POLICIES SOLD BY INDIVIDUAL AND CORPORATE AGENTS</t>
  </si>
  <si>
    <t>AVERAGE NEW BUSINESS PREMIUM INCOME PER INDIVIDUAL AND CORPORATE AGENTS</t>
  </si>
  <si>
    <t>AVERAGE  PREMIUM INCOME PER POLICY FOR INDIVIDUAL AND CORPORATE AGENTS</t>
  </si>
  <si>
    <t>INSURER-WISE STATE-WISE  DISTRIBUTION OF INDIVIDUAL AGENTS OF LIFE INSURERS</t>
  </si>
  <si>
    <t>STATE-WISE NUMBER OF REGISTERED BROKERS</t>
  </si>
  <si>
    <t xml:space="preserve">STATE WISE NUMBER OF INSURANCE MARKETING FIRMS                     </t>
  </si>
  <si>
    <t>CHANNEL-WISE - LIFE INSURANCE - INDIVIDUAL NEW BUSINESS</t>
  </si>
  <si>
    <t>CHANNEL-WISE -  INSURER WISE - LIFE INSURANCE INDIVIDUAL NEW BUSINESS (2023-24)</t>
  </si>
  <si>
    <t xml:space="preserve">Table No. </t>
  </si>
  <si>
    <t>2. The data is sourced through regulatory returns filed by the insurers and is reported on actual basis</t>
  </si>
  <si>
    <r>
      <rPr>
        <b/>
        <sz val="10"/>
        <rFont val="Arial"/>
        <family val="2"/>
      </rPr>
      <t>Note:</t>
    </r>
    <r>
      <rPr>
        <sz val="10"/>
        <rFont val="Arial"/>
        <family val="2"/>
      </rPr>
      <t xml:space="preserve">  1. “Life insurance business of Sahara India Life Insurance Company Ltd (SILIC) is transferred to SBI Life Insurance Company Ltd (SBI Life) by IRDAI vide its Order dt. 2.6.2023 and the above data / information for the FY 2023-24 does not include data / information pertaining to SILIC".</t>
    </r>
  </si>
  <si>
    <t>3. The data is sourced through regulatory returns filed by the insurers and is reported on actual basis</t>
  </si>
  <si>
    <t>Note:  1. “Life insurance business of Sahara India Life Insurance Company Ltd (SILIC) is transferred to SBI Life Insurance Company Ltd (SBI Life) by IRDAI vide its Order dt. 2.6.2023 and the above data / information for the FY 2023-24 does not include data / information pertaining to SILIC".</t>
  </si>
  <si>
    <t>5. The data is sourced through regulatory returns filed by the insurers and is reported on actual basis</t>
  </si>
  <si>
    <t>HANDBOOK ON INDIAN INSURANCE STATISTICS 2024-25</t>
  </si>
  <si>
    <t>2024-25</t>
  </si>
  <si>
    <t xml:space="preserve"> TABLE 100: CHANNEL-WISE -  INSURER WISE - LIFE INSURANCE INDIVIDUAL NEW BUSINESS (2024-25)</t>
  </si>
  <si>
    <t>TABLE 102: CHANNEL-WISE INSURER-WISE LIFE INSURANCE - GROUP NEW BUSINESS (2024-25)</t>
  </si>
  <si>
    <t>Generali Central</t>
  </si>
  <si>
    <t>HDFC Life</t>
  </si>
  <si>
    <t>Axis Max Life</t>
  </si>
  <si>
    <t>Axis MaxLife  Insurance Company Ltd.</t>
  </si>
  <si>
    <t>6. Exide Life Insurance Company has merged with HDFC Life Insurance Company effective from the End of Day 14th October, 2022</t>
  </si>
  <si>
    <t>7. Aegon life Insurance Company limited has been changed to Bandhan Life Insurance Limited with effect from 05.04.2024</t>
  </si>
  <si>
    <t>8. Edelweiss Tokio Life Insurance Company Limited has been changed to Edelweiss Life Insurance Company Limited with effect from 03.06.2024</t>
  </si>
  <si>
    <t>9. Max Life Insurance Company Limited has been changed to Axis Max Life Insurance Limited with effect from 12.12.2024</t>
  </si>
  <si>
    <t>Edelweiss Life Insurance Company Ltd.</t>
  </si>
  <si>
    <t xml:space="preserve">TABLE 98: STATE AND UT WISE NUMBER OF INSURANCE MARKETING FIRMS                     </t>
  </si>
  <si>
    <t xml:space="preserve">  (As on 31st March 2025)</t>
  </si>
  <si>
    <t>Andaman and Nicobar Islands</t>
  </si>
  <si>
    <t>Dadra and Nagar Haveli and Daman and Diu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</si>
</sst>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3" formatCode="_ * #,##0.00_ ;_ * \-#,##0.00_ ;_ * &quot;-&quot;??_ ;_ @_ "/>
    <numFmt numFmtId="164" formatCode="_(&quot;$&quot;* #,##0.00_);_(&quot;$&quot;* \(#,##0.00\);_(&quot;$&quot;* &quot;-&quot;??_);_(@_)"/>
    <numFmt numFmtId="165" formatCode="_(* #,##0.00_);_(* \(#,##0.00\);_(* &quot;-&quot;??_);_(@_)"/>
    <numFmt numFmtId="166" formatCode="_(* #,##0_);_(* \(#,##0\);_(* &quot;-&quot;??_);_(@_)"/>
    <numFmt numFmtId="167" formatCode="0_);\(0\)"/>
    <numFmt numFmtId="168" formatCode="_ * #,##0_ ;_ * \-#,##0_ ;_ * &quot;-&quot;??_ ;_ @_ "/>
    <numFmt numFmtId="169" formatCode="0.0"/>
    <numFmt numFmtId="170" formatCode="0.000%"/>
    <numFmt numFmtId="171" formatCode="0.00_);\(0.00\)"/>
    <numFmt numFmtId="172" formatCode="0.000_);\(0.000\)"/>
    <numFmt numFmtId="173" formatCode="0.00;[Red]0.00"/>
    <numFmt numFmtId="174" formatCode="0.00000"/>
    <numFmt numFmtId="175" formatCode="0.0000"/>
    <numFmt numFmtId="176" formatCode="0.000"/>
    <numFmt numFmtId="177" formatCode="0.0%"/>
    <numFmt numFmtId="178" formatCode="0.000000000"/>
  </numFmts>
  <fonts count="23" x14ac:knownFonts="1">
    <font>
      <sz val="11"/>
      <color theme="1"/>
      <name val="Calibri"/>
      <family val="2"/>
      <scheme val="minor"/>
    </font>
    <font>
      <sz val="11"/>
      <color theme="1"/>
      <name val="Calibri"/>
      <family val="2"/>
      <scheme val="minor"/>
    </font>
    <font>
      <sz val="10"/>
      <name val="Arial"/>
      <family val="2"/>
    </font>
    <font>
      <b/>
      <sz val="10"/>
      <name val="Arial"/>
      <family val="2"/>
    </font>
    <font>
      <sz val="10"/>
      <color indexed="81"/>
      <name val="Arial"/>
      <family val="2"/>
    </font>
    <font>
      <b/>
      <vertAlign val="superscript"/>
      <sz val="10"/>
      <name val="Arial"/>
      <family val="2"/>
    </font>
    <font>
      <b/>
      <sz val="10"/>
      <color indexed="81"/>
      <name val="Arial"/>
      <family val="2"/>
    </font>
    <font>
      <b/>
      <sz val="10"/>
      <color theme="1"/>
      <name val="Arial"/>
      <family val="2"/>
    </font>
    <font>
      <sz val="10"/>
      <color theme="1"/>
      <name val="Arial"/>
      <family val="2"/>
    </font>
    <font>
      <i/>
      <sz val="10"/>
      <name val="Arial"/>
      <family val="2"/>
    </font>
    <font>
      <sz val="10"/>
      <name val="Arial"/>
      <family val="2"/>
    </font>
    <font>
      <sz val="11"/>
      <color indexed="8"/>
      <name val="Calibri"/>
      <family val="2"/>
    </font>
    <font>
      <sz val="10"/>
      <color rgb="FF000000"/>
      <name val="Arial"/>
      <family val="2"/>
    </font>
    <font>
      <i/>
      <sz val="10"/>
      <color theme="1"/>
      <name val="Arial"/>
      <family val="2"/>
    </font>
    <font>
      <b/>
      <sz val="11"/>
      <color rgb="FF000000"/>
      <name val="Arial"/>
      <family val="2"/>
    </font>
    <font>
      <b/>
      <vertAlign val="superscript"/>
      <sz val="10"/>
      <color theme="1"/>
      <name val="Arial"/>
      <family val="2"/>
    </font>
    <font>
      <b/>
      <sz val="11"/>
      <color theme="1"/>
      <name val="Calibri"/>
      <family val="2"/>
      <scheme val="minor"/>
    </font>
    <font>
      <b/>
      <sz val="12"/>
      <color theme="1"/>
      <name val="Arial"/>
      <family val="2"/>
    </font>
    <font>
      <vertAlign val="superscript"/>
      <sz val="10"/>
      <color indexed="8"/>
      <name val="Arial"/>
      <family val="2"/>
    </font>
    <font>
      <sz val="10"/>
      <color indexed="8"/>
      <name val="Arial"/>
      <family val="2"/>
    </font>
    <font>
      <b/>
      <sz val="10"/>
      <color rgb="FF000000"/>
      <name val="Arial"/>
      <family val="2"/>
    </font>
    <font>
      <sz val="10"/>
      <color rgb="FFFF0000"/>
      <name val="Arial"/>
      <family val="2"/>
    </font>
    <font>
      <u/>
      <sz val="11"/>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bgColor indexed="64"/>
      </patternFill>
    </fill>
  </fills>
  <borders count="24">
    <border>
      <left/>
      <right/>
      <top/>
      <bottom/>
      <diagonal/>
    </border>
    <border>
      <left style="thin">
        <color indexed="64"/>
      </left>
      <right style="thin">
        <color indexed="64"/>
      </right>
      <top/>
      <bottom/>
      <diagonal/>
    </border>
    <border>
      <left/>
      <right style="thin">
        <color auto="1"/>
      </right>
      <top/>
      <bottom/>
      <diagonal/>
    </border>
    <border>
      <left style="thin">
        <color auto="1"/>
      </left>
      <right style="thin">
        <color indexed="64"/>
      </right>
      <top/>
      <bottom style="thin">
        <color auto="1"/>
      </bottom>
      <diagonal/>
    </border>
    <border>
      <left/>
      <right/>
      <top/>
      <bottom style="thin">
        <color auto="1"/>
      </bottom>
      <diagonal/>
    </border>
    <border>
      <left style="thin">
        <color auto="1"/>
      </left>
      <right/>
      <top/>
      <bottom/>
      <diagonal/>
    </border>
    <border>
      <left/>
      <right/>
      <top style="thin">
        <color auto="1"/>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thin">
        <color auto="1"/>
      </top>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top style="thin">
        <color indexed="64"/>
      </top>
      <bottom/>
      <diagonal/>
    </border>
    <border>
      <left style="thin">
        <color auto="1"/>
      </left>
      <right/>
      <top/>
      <bottom style="thin">
        <color auto="1"/>
      </bottom>
      <diagonal/>
    </border>
  </borders>
  <cellStyleXfs count="29">
    <xf numFmtId="0" fontId="0" fillId="0" borderId="0"/>
    <xf numFmtId="0" fontId="2" fillId="0" borderId="0" applyNumberFormat="0" applyFill="0" applyBorder="0" applyAlignment="0" applyProtection="0"/>
    <xf numFmtId="0" fontId="2" fillId="0" borderId="0"/>
    <xf numFmtId="0" fontId="1" fillId="0" borderId="0"/>
    <xf numFmtId="165" fontId="2" fillId="0" borderId="0" applyFon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165" fontId="1" fillId="0" borderId="0" applyFont="0" applyFill="0" applyBorder="0" applyAlignment="0" applyProtection="0"/>
    <xf numFmtId="0" fontId="1" fillId="0" borderId="0"/>
    <xf numFmtId="0" fontId="10" fillId="0" borderId="0"/>
    <xf numFmtId="9" fontId="1" fillId="0" borderId="0" applyFont="0" applyFill="0" applyBorder="0" applyAlignment="0" applyProtection="0"/>
    <xf numFmtId="0" fontId="2" fillId="0" borderId="0"/>
    <xf numFmtId="0" fontId="2" fillId="0" borderId="0"/>
    <xf numFmtId="0" fontId="11" fillId="0" borderId="0"/>
    <xf numFmtId="9" fontId="2" fillId="0" borderId="0" applyFont="0" applyFill="0" applyBorder="0" applyAlignment="0" applyProtection="0"/>
    <xf numFmtId="9" fontId="1" fillId="0" borderId="0" applyFont="0" applyFill="0" applyBorder="0" applyAlignment="0" applyProtection="0"/>
    <xf numFmtId="0" fontId="2" fillId="0" borderId="0"/>
    <xf numFmtId="43" fontId="1" fillId="0" borderId="0" applyFon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 fillId="0" borderId="0"/>
    <xf numFmtId="164" fontId="2" fillId="0" borderId="0" applyFont="0" applyFill="0" applyBorder="0" applyAlignment="0" applyProtection="0"/>
    <xf numFmtId="9" fontId="2" fillId="0" borderId="0" applyFont="0" applyFill="0" applyBorder="0" applyAlignment="0" applyProtection="0"/>
    <xf numFmtId="0" fontId="2" fillId="0" borderId="0" applyNumberFormat="0" applyFill="0" applyBorder="0" applyAlignment="0" applyProtection="0"/>
    <xf numFmtId="0" fontId="2" fillId="0" borderId="0"/>
    <xf numFmtId="0" fontId="2" fillId="0" borderId="0"/>
    <xf numFmtId="0" fontId="22" fillId="0" borderId="0" applyNumberFormat="0" applyFill="0" applyBorder="0" applyAlignment="0" applyProtection="0"/>
  </cellStyleXfs>
  <cellXfs count="657">
    <xf numFmtId="0" fontId="0" fillId="0" borderId="0" xfId="0"/>
    <xf numFmtId="0" fontId="4" fillId="0" borderId="0" xfId="1" applyFont="1" applyFill="1" applyBorder="1" applyAlignment="1">
      <alignment vertical="center" wrapText="1"/>
    </xf>
    <xf numFmtId="0" fontId="6" fillId="0" borderId="0" xfId="1" applyFont="1" applyFill="1" applyBorder="1" applyAlignment="1">
      <alignment horizontal="center" vertical="center"/>
    </xf>
    <xf numFmtId="0" fontId="6" fillId="0" borderId="0" xfId="1" applyFont="1" applyFill="1" applyBorder="1" applyAlignment="1">
      <alignment horizontal="center" vertical="center" wrapText="1"/>
    </xf>
    <xf numFmtId="0" fontId="6" fillId="0" borderId="0" xfId="1" applyFont="1" applyFill="1" applyBorder="1" applyAlignment="1">
      <alignment vertical="center" wrapText="1"/>
    </xf>
    <xf numFmtId="1" fontId="4" fillId="0" borderId="0" xfId="1" applyNumberFormat="1" applyFont="1" applyFill="1" applyBorder="1" applyAlignment="1">
      <alignment vertical="center" wrapText="1"/>
    </xf>
    <xf numFmtId="0" fontId="2" fillId="0" borderId="0" xfId="5" applyFont="1" applyFill="1"/>
    <xf numFmtId="0" fontId="2" fillId="0" borderId="0" xfId="5" applyFont="1" applyFill="1" applyBorder="1" applyAlignment="1">
      <alignment horizontal="center" vertical="center" wrapText="1"/>
    </xf>
    <xf numFmtId="0" fontId="2" fillId="0" borderId="0" xfId="5" applyFont="1" applyFill="1" applyBorder="1" applyAlignment="1">
      <alignment horizontal="left" vertical="center"/>
    </xf>
    <xf numFmtId="2" fontId="2" fillId="0" borderId="0" xfId="5" applyNumberFormat="1" applyFont="1" applyFill="1"/>
    <xf numFmtId="0" fontId="2" fillId="0" borderId="0" xfId="19" applyFont="1" applyBorder="1"/>
    <xf numFmtId="2" fontId="2" fillId="0" borderId="0" xfId="19" applyNumberFormat="1" applyFont="1" applyBorder="1"/>
    <xf numFmtId="0" fontId="3" fillId="0" borderId="0" xfId="19" applyFont="1" applyBorder="1"/>
    <xf numFmtId="0" fontId="2" fillId="0" borderId="0" xfId="21" applyFont="1" applyFill="1"/>
    <xf numFmtId="0" fontId="3" fillId="0" borderId="0" xfId="19" applyFont="1" applyFill="1" applyBorder="1" applyAlignment="1">
      <alignment horizontal="center" vertical="top"/>
    </xf>
    <xf numFmtId="0" fontId="3" fillId="0" borderId="0" xfId="19" applyFont="1" applyFill="1" applyBorder="1" applyAlignment="1">
      <alignment vertical="top" wrapText="1"/>
    </xf>
    <xf numFmtId="0" fontId="2" fillId="0" borderId="0" xfId="21" applyFont="1"/>
    <xf numFmtId="2" fontId="2" fillId="0" borderId="0" xfId="21" applyNumberFormat="1" applyFont="1"/>
    <xf numFmtId="0" fontId="3" fillId="0" borderId="0" xfId="21" applyFont="1"/>
    <xf numFmtId="2" fontId="3" fillId="0" borderId="0" xfId="21" applyNumberFormat="1" applyFont="1"/>
    <xf numFmtId="0" fontId="3" fillId="0" borderId="0" xfId="21" applyFont="1" applyBorder="1"/>
    <xf numFmtId="0" fontId="2" fillId="0" borderId="0" xfId="21" applyFont="1" applyBorder="1"/>
    <xf numFmtId="0" fontId="2" fillId="0" borderId="0" xfId="19" applyFont="1" applyFill="1" applyBorder="1"/>
    <xf numFmtId="0" fontId="3" fillId="0" borderId="0" xfId="19" applyFont="1" applyFill="1" applyBorder="1" applyAlignment="1">
      <alignment horizontal="left" vertical="center"/>
    </xf>
    <xf numFmtId="0" fontId="2" fillId="0" borderId="0" xfId="19" applyFont="1" applyFill="1" applyBorder="1" applyAlignment="1">
      <alignment vertical="top"/>
    </xf>
    <xf numFmtId="0" fontId="3" fillId="0" borderId="13" xfId="21" applyFont="1" applyBorder="1"/>
    <xf numFmtId="1" fontId="3" fillId="0" borderId="12" xfId="21" applyNumberFormat="1" applyFont="1" applyBorder="1"/>
    <xf numFmtId="2" fontId="3" fillId="0" borderId="15" xfId="21" applyNumberFormat="1" applyFont="1" applyBorder="1"/>
    <xf numFmtId="2" fontId="2" fillId="0" borderId="0" xfId="21" applyNumberFormat="1" applyFont="1" applyFill="1"/>
    <xf numFmtId="0" fontId="3" fillId="0" borderId="0" xfId="21" applyFont="1" applyFill="1"/>
    <xf numFmtId="2" fontId="3" fillId="0" borderId="0" xfId="21" applyNumberFormat="1" applyFont="1" applyFill="1"/>
    <xf numFmtId="0" fontId="3" fillId="0" borderId="0" xfId="21" applyFont="1" applyFill="1" applyBorder="1"/>
    <xf numFmtId="0" fontId="2" fillId="0" borderId="0" xfId="21" applyFont="1" applyFill="1" applyBorder="1"/>
    <xf numFmtId="2" fontId="2" fillId="0" borderId="0" xfId="21" applyNumberFormat="1" applyFont="1" applyFill="1" applyBorder="1"/>
    <xf numFmtId="0" fontId="3" fillId="0" borderId="8" xfId="21" applyFont="1" applyFill="1" applyBorder="1" applyAlignment="1">
      <alignment vertical="top"/>
    </xf>
    <xf numFmtId="2" fontId="3" fillId="0" borderId="8" xfId="21" applyNumberFormat="1" applyFont="1" applyFill="1" applyBorder="1" applyAlignment="1">
      <alignment horizontal="center" vertical="top" wrapText="1"/>
    </xf>
    <xf numFmtId="0" fontId="2" fillId="0" borderId="16" xfId="19" applyFont="1" applyBorder="1"/>
    <xf numFmtId="0" fontId="3" fillId="0" borderId="1" xfId="21" applyFont="1" applyFill="1" applyBorder="1" applyAlignment="1">
      <alignment vertical="top"/>
    </xf>
    <xf numFmtId="2" fontId="3" fillId="0" borderId="1" xfId="21" applyNumberFormat="1" applyFont="1" applyFill="1" applyBorder="1" applyAlignment="1">
      <alignment vertical="top"/>
    </xf>
    <xf numFmtId="0" fontId="3" fillId="0" borderId="1" xfId="21" applyFont="1" applyFill="1" applyBorder="1" applyAlignment="1">
      <alignment horizontal="center" vertical="top" wrapText="1"/>
    </xf>
    <xf numFmtId="10" fontId="2" fillId="0" borderId="0" xfId="24" applyNumberFormat="1" applyFont="1" applyFill="1" applyBorder="1" applyAlignment="1">
      <alignment horizontal="right"/>
    </xf>
    <xf numFmtId="10" fontId="3" fillId="0" borderId="0" xfId="24" applyNumberFormat="1" applyFont="1" applyFill="1" applyBorder="1" applyAlignment="1">
      <alignment horizontal="right"/>
    </xf>
    <xf numFmtId="171" fontId="3" fillId="0" borderId="0" xfId="21" applyNumberFormat="1" applyFont="1"/>
    <xf numFmtId="2" fontId="3" fillId="0" borderId="0" xfId="21" applyNumberFormat="1" applyFont="1" applyBorder="1"/>
    <xf numFmtId="0" fontId="3" fillId="0" borderId="8" xfId="19" applyFont="1" applyFill="1" applyBorder="1" applyAlignment="1">
      <alignment horizontal="center"/>
    </xf>
    <xf numFmtId="2" fontId="3" fillId="0" borderId="8" xfId="19" applyNumberFormat="1" applyFont="1" applyFill="1" applyBorder="1" applyAlignment="1">
      <alignment horizontal="center" wrapText="1"/>
    </xf>
    <xf numFmtId="0" fontId="2" fillId="0" borderId="0" xfId="19" applyFont="1" applyBorder="1" applyAlignment="1">
      <alignment horizontal="center"/>
    </xf>
    <xf numFmtId="1" fontId="2" fillId="0" borderId="1" xfId="19" applyNumberFormat="1" applyFont="1" applyFill="1" applyBorder="1" applyProtection="1">
      <protection locked="0"/>
    </xf>
    <xf numFmtId="2" fontId="2" fillId="0" borderId="1" xfId="19" applyNumberFormat="1" applyFont="1" applyFill="1" applyBorder="1" applyProtection="1">
      <protection locked="0"/>
    </xf>
    <xf numFmtId="1" fontId="2" fillId="0" borderId="0" xfId="19" applyNumberFormat="1" applyFont="1" applyFill="1" applyBorder="1" applyProtection="1">
      <protection locked="0"/>
    </xf>
    <xf numFmtId="2" fontId="2" fillId="0" borderId="0" xfId="19" applyNumberFormat="1" applyFont="1" applyFill="1" applyBorder="1" applyProtection="1">
      <protection locked="0"/>
    </xf>
    <xf numFmtId="1" fontId="3" fillId="0" borderId="0" xfId="19" applyNumberFormat="1" applyFont="1" applyFill="1" applyBorder="1" applyProtection="1">
      <protection locked="0"/>
    </xf>
    <xf numFmtId="2" fontId="3" fillId="0" borderId="0" xfId="19" applyNumberFormat="1" applyFont="1" applyFill="1" applyBorder="1" applyProtection="1">
      <protection locked="0"/>
    </xf>
    <xf numFmtId="167" fontId="2" fillId="0" borderId="0" xfId="19" applyNumberFormat="1" applyFont="1" applyFill="1" applyBorder="1" applyAlignment="1">
      <alignment horizontal="right"/>
    </xf>
    <xf numFmtId="2" fontId="2" fillId="0" borderId="0" xfId="19" applyNumberFormat="1" applyFont="1" applyFill="1" applyBorder="1" applyAlignment="1">
      <alignment horizontal="right"/>
    </xf>
    <xf numFmtId="167" fontId="3" fillId="0" borderId="0" xfId="19" applyNumberFormat="1" applyFont="1" applyFill="1" applyBorder="1" applyAlignment="1">
      <alignment horizontal="right"/>
    </xf>
    <xf numFmtId="2" fontId="3" fillId="0" borderId="0" xfId="19" applyNumberFormat="1" applyFont="1" applyFill="1" applyBorder="1" applyAlignment="1">
      <alignment horizontal="right"/>
    </xf>
    <xf numFmtId="1" fontId="3" fillId="0" borderId="0" xfId="19" applyNumberFormat="1" applyFont="1" applyFill="1" applyBorder="1"/>
    <xf numFmtId="2" fontId="3" fillId="0" borderId="0" xfId="19" applyNumberFormat="1" applyFont="1" applyFill="1" applyBorder="1"/>
    <xf numFmtId="174" fontId="3" fillId="0" borderId="0" xfId="19" applyNumberFormat="1" applyFont="1" applyBorder="1"/>
    <xf numFmtId="1" fontId="3" fillId="0" borderId="0" xfId="19" applyNumberFormat="1" applyFont="1" applyBorder="1"/>
    <xf numFmtId="2" fontId="3" fillId="0" borderId="0" xfId="19" applyNumberFormat="1" applyFont="1" applyBorder="1"/>
    <xf numFmtId="0" fontId="2" fillId="0" borderId="0" xfId="19" applyFont="1" applyFill="1" applyBorder="1" applyAlignment="1">
      <alignment vertical="top" wrapText="1"/>
    </xf>
    <xf numFmtId="2" fontId="2" fillId="0" borderId="0" xfId="19" applyNumberFormat="1" applyFont="1" applyFill="1" applyBorder="1"/>
    <xf numFmtId="10" fontId="2" fillId="0" borderId="0" xfId="24" applyNumberFormat="1" applyFont="1" applyFill="1" applyBorder="1"/>
    <xf numFmtId="0" fontId="3" fillId="0" borderId="0" xfId="19" applyFont="1" applyFill="1" applyBorder="1"/>
    <xf numFmtId="0" fontId="8" fillId="0" borderId="0" xfId="6" applyFont="1" applyFill="1"/>
    <xf numFmtId="0" fontId="8" fillId="0" borderId="0" xfId="6" applyFont="1" applyFill="1" applyBorder="1" applyAlignment="1">
      <alignment horizontal="center" vertical="center"/>
    </xf>
    <xf numFmtId="2" fontId="8" fillId="0" borderId="0" xfId="6" applyNumberFormat="1" applyFont="1" applyFill="1"/>
    <xf numFmtId="0" fontId="8" fillId="0" borderId="0" xfId="19" applyFont="1" applyFill="1" applyBorder="1"/>
    <xf numFmtId="0" fontId="7" fillId="0" borderId="0" xfId="19" applyFont="1" applyFill="1" applyBorder="1" applyAlignment="1">
      <alignment vertical="top" wrapText="1"/>
    </xf>
    <xf numFmtId="0" fontId="7" fillId="0" borderId="0" xfId="19" applyFont="1" applyFill="1" applyBorder="1" applyAlignment="1">
      <alignment horizontal="center" vertical="top"/>
    </xf>
    <xf numFmtId="0" fontId="7" fillId="0" borderId="0" xfId="19" applyFont="1" applyFill="1" applyBorder="1"/>
    <xf numFmtId="2" fontId="8" fillId="0" borderId="0" xfId="19" applyNumberFormat="1" applyFont="1" applyFill="1" applyBorder="1"/>
    <xf numFmtId="0" fontId="7" fillId="0" borderId="8" xfId="20" applyFont="1" applyFill="1" applyBorder="1" applyAlignment="1">
      <alignment horizontal="center"/>
    </xf>
    <xf numFmtId="0" fontId="8" fillId="0" borderId="0" xfId="20" applyFont="1" applyFill="1" applyBorder="1"/>
    <xf numFmtId="0" fontId="8" fillId="0" borderId="0" xfId="20" applyFont="1" applyFill="1"/>
    <xf numFmtId="0" fontId="8" fillId="0" borderId="0" xfId="20" applyFont="1" applyFill="1" applyAlignment="1">
      <alignment horizontal="right"/>
    </xf>
    <xf numFmtId="0" fontId="8" fillId="0" borderId="0" xfId="20" applyFont="1" applyFill="1" applyBorder="1" applyAlignment="1">
      <alignment horizontal="right"/>
    </xf>
    <xf numFmtId="0" fontId="8" fillId="0" borderId="0" xfId="21" applyFont="1" applyFill="1"/>
    <xf numFmtId="0" fontId="3" fillId="0" borderId="8" xfId="22" applyFont="1" applyFill="1" applyBorder="1" applyAlignment="1">
      <alignment horizontal="center"/>
    </xf>
    <xf numFmtId="2" fontId="3" fillId="0" borderId="8" xfId="22" applyNumberFormat="1" applyFont="1" applyFill="1" applyBorder="1" applyAlignment="1">
      <alignment horizontal="center"/>
    </xf>
    <xf numFmtId="2" fontId="2" fillId="0" borderId="12" xfId="21" applyNumberFormat="1" applyFont="1" applyFill="1" applyBorder="1"/>
    <xf numFmtId="1" fontId="2" fillId="0" borderId="12" xfId="21" applyNumberFormat="1" applyFont="1" applyFill="1" applyBorder="1"/>
    <xf numFmtId="2" fontId="2" fillId="0" borderId="13" xfId="21" applyNumberFormat="1" applyFont="1" applyFill="1" applyBorder="1"/>
    <xf numFmtId="0" fontId="3" fillId="0" borderId="13" xfId="21" applyFont="1" applyFill="1" applyBorder="1"/>
    <xf numFmtId="0" fontId="2" fillId="0" borderId="13" xfId="21" applyFont="1" applyFill="1" applyBorder="1"/>
    <xf numFmtId="2" fontId="2" fillId="0" borderId="14" xfId="21" applyNumberFormat="1" applyFont="1" applyFill="1" applyBorder="1"/>
    <xf numFmtId="1" fontId="3" fillId="0" borderId="12" xfId="21" applyNumberFormat="1" applyFont="1" applyFill="1" applyBorder="1"/>
    <xf numFmtId="2" fontId="3" fillId="0" borderId="15" xfId="21" applyNumberFormat="1" applyFont="1" applyFill="1" applyBorder="1"/>
    <xf numFmtId="0" fontId="8" fillId="0" borderId="0" xfId="7" applyFont="1" applyFill="1" applyBorder="1"/>
    <xf numFmtId="0" fontId="7" fillId="0" borderId="0" xfId="7" applyFont="1" applyFill="1" applyBorder="1"/>
    <xf numFmtId="0" fontId="2" fillId="0" borderId="0" xfId="1" applyFont="1" applyFill="1"/>
    <xf numFmtId="0" fontId="3" fillId="0" borderId="0" xfId="7" applyFont="1" applyFill="1"/>
    <xf numFmtId="0" fontId="2" fillId="0" borderId="0" xfId="7" applyFont="1" applyFill="1"/>
    <xf numFmtId="0" fontId="0" fillId="0" borderId="0" xfId="0" applyFill="1" applyAlignment="1"/>
    <xf numFmtId="0" fontId="7" fillId="0" borderId="8" xfId="7" applyFont="1" applyFill="1" applyBorder="1" applyAlignment="1">
      <alignment horizontal="center" vertical="center"/>
    </xf>
    <xf numFmtId="0" fontId="3" fillId="0" borderId="8" xfId="7" applyFont="1" applyFill="1" applyBorder="1" applyAlignment="1">
      <alignment horizontal="center"/>
    </xf>
    <xf numFmtId="0" fontId="3" fillId="0" borderId="8" xfId="1" applyFont="1" applyFill="1" applyBorder="1" applyAlignment="1">
      <alignment horizontal="center" vertical="center" wrapText="1"/>
    </xf>
    <xf numFmtId="164" fontId="3" fillId="0" borderId="8" xfId="23" applyFont="1" applyFill="1" applyBorder="1" applyAlignment="1">
      <alignment horizontal="center" vertical="top"/>
    </xf>
    <xf numFmtId="1" fontId="2" fillId="0" borderId="0" xfId="21" applyNumberFormat="1" applyFont="1" applyFill="1" applyBorder="1" applyAlignment="1">
      <alignment vertical="top" wrapText="1"/>
    </xf>
    <xf numFmtId="0" fontId="6" fillId="0" borderId="8" xfId="1" applyFont="1" applyFill="1" applyBorder="1" applyAlignment="1">
      <alignment vertical="center" wrapText="1"/>
    </xf>
    <xf numFmtId="0" fontId="2" fillId="0" borderId="8" xfId="5" applyFont="1" applyFill="1" applyBorder="1" applyAlignment="1">
      <alignment horizontal="center" vertical="center" wrapText="1"/>
    </xf>
    <xf numFmtId="0" fontId="8" fillId="0" borderId="8" xfId="7" applyFont="1" applyFill="1" applyBorder="1"/>
    <xf numFmtId="0" fontId="7" fillId="0" borderId="8" xfId="7" applyFont="1" applyFill="1" applyBorder="1"/>
    <xf numFmtId="0" fontId="3" fillId="0" borderId="8" xfId="7" applyFont="1" applyFill="1" applyBorder="1"/>
    <xf numFmtId="43" fontId="3" fillId="0" borderId="8" xfId="7" applyNumberFormat="1" applyFont="1" applyFill="1" applyBorder="1"/>
    <xf numFmtId="166" fontId="3" fillId="0" borderId="8" xfId="4" applyNumberFormat="1" applyFont="1" applyFill="1" applyBorder="1" applyAlignment="1"/>
    <xf numFmtId="2" fontId="8" fillId="0" borderId="8" xfId="19" applyNumberFormat="1" applyFont="1" applyFill="1" applyBorder="1"/>
    <xf numFmtId="10" fontId="8" fillId="0" borderId="8" xfId="11" applyNumberFormat="1" applyFont="1" applyFill="1" applyBorder="1"/>
    <xf numFmtId="2" fontId="7" fillId="0" borderId="8" xfId="19" applyNumberFormat="1" applyFont="1" applyFill="1" applyBorder="1"/>
    <xf numFmtId="0" fontId="12" fillId="0" borderId="8" xfId="0" applyFont="1" applyFill="1" applyBorder="1" applyAlignment="1">
      <alignment horizontal="center" vertical="center"/>
    </xf>
    <xf numFmtId="0" fontId="3" fillId="0" borderId="8" xfId="5" applyFont="1" applyFill="1" applyBorder="1" applyAlignment="1">
      <alignment horizontal="center" vertical="center" wrapText="1"/>
    </xf>
    <xf numFmtId="0" fontId="3" fillId="0" borderId="8" xfId="2" applyFont="1" applyFill="1" applyBorder="1" applyAlignment="1">
      <alignment horizontal="left" vertical="center"/>
    </xf>
    <xf numFmtId="0" fontId="2" fillId="0" borderId="8" xfId="2" applyFont="1" applyFill="1" applyBorder="1" applyAlignment="1">
      <alignment horizontal="center" vertical="center"/>
    </xf>
    <xf numFmtId="0" fontId="2" fillId="0" borderId="8" xfId="2" applyFont="1" applyFill="1" applyBorder="1" applyAlignment="1">
      <alignment horizontal="left" vertical="center"/>
    </xf>
    <xf numFmtId="1" fontId="2" fillId="0" borderId="8" xfId="5" applyNumberFormat="1" applyFont="1" applyFill="1" applyBorder="1" applyAlignment="1">
      <alignment horizontal="right" vertical="center"/>
    </xf>
    <xf numFmtId="0" fontId="2" fillId="0" borderId="8" xfId="5" applyFont="1" applyFill="1" applyBorder="1" applyAlignment="1">
      <alignment horizontal="right" vertical="center"/>
    </xf>
    <xf numFmtId="0" fontId="2" fillId="0" borderId="8" xfId="2" quotePrefix="1" applyFont="1" applyFill="1" applyBorder="1" applyAlignment="1">
      <alignment horizontal="left" vertical="center"/>
    </xf>
    <xf numFmtId="1" fontId="2" fillId="0" borderId="8" xfId="5" applyNumberFormat="1" applyFont="1" applyFill="1" applyBorder="1" applyAlignment="1">
      <alignment horizontal="right" vertical="center" wrapText="1"/>
    </xf>
    <xf numFmtId="1" fontId="3" fillId="0" borderId="8" xfId="5" applyNumberFormat="1" applyFont="1" applyFill="1" applyBorder="1" applyAlignment="1">
      <alignment horizontal="right" vertical="center"/>
    </xf>
    <xf numFmtId="0" fontId="3" fillId="0" borderId="8" xfId="5" applyFont="1" applyFill="1" applyBorder="1" applyAlignment="1">
      <alignment horizontal="right" vertical="center"/>
    </xf>
    <xf numFmtId="166" fontId="2" fillId="0" borderId="8" xfId="4" applyNumberFormat="1" applyFont="1" applyFill="1" applyBorder="1" applyAlignment="1">
      <alignment horizontal="right" vertical="center" wrapText="1"/>
    </xf>
    <xf numFmtId="166" fontId="3" fillId="0" borderId="8" xfId="4" applyNumberFormat="1" applyFont="1" applyFill="1" applyBorder="1" applyAlignment="1">
      <alignment horizontal="right" vertical="center"/>
    </xf>
    <xf numFmtId="166" fontId="6" fillId="0" borderId="8" xfId="4" applyNumberFormat="1" applyFont="1" applyFill="1" applyBorder="1" applyAlignment="1">
      <alignment horizontal="right" vertical="center" wrapText="1"/>
    </xf>
    <xf numFmtId="166" fontId="3" fillId="0" borderId="8" xfId="4" applyNumberFormat="1" applyFont="1" applyFill="1" applyBorder="1" applyAlignment="1">
      <alignment horizontal="right" vertical="center" wrapText="1"/>
    </xf>
    <xf numFmtId="0" fontId="7" fillId="0" borderId="8" xfId="6" applyFont="1" applyFill="1" applyBorder="1" applyAlignment="1">
      <alignment horizontal="center" vertical="center"/>
    </xf>
    <xf numFmtId="0" fontId="7" fillId="0" borderId="8" xfId="2" applyFont="1" applyFill="1" applyBorder="1" applyAlignment="1">
      <alignment horizontal="left" vertical="center"/>
    </xf>
    <xf numFmtId="0" fontId="8" fillId="0" borderId="8" xfId="2" applyFont="1" applyFill="1" applyBorder="1" applyAlignment="1">
      <alignment horizontal="left" vertical="center"/>
    </xf>
    <xf numFmtId="0" fontId="7" fillId="0" borderId="8" xfId="3" applyNumberFormat="1" applyFont="1" applyFill="1" applyBorder="1" applyAlignment="1">
      <alignment horizontal="center" vertical="center"/>
    </xf>
    <xf numFmtId="0" fontId="7" fillId="0" borderId="8" xfId="2" applyFont="1" applyFill="1" applyBorder="1" applyAlignment="1">
      <alignment horizontal="center" vertical="center"/>
    </xf>
    <xf numFmtId="0" fontId="7" fillId="0" borderId="8" xfId="6" applyFont="1" applyFill="1" applyBorder="1" applyAlignment="1">
      <alignment horizontal="right" vertical="center"/>
    </xf>
    <xf numFmtId="0" fontId="8" fillId="0" borderId="8" xfId="6" applyFont="1" applyFill="1" applyBorder="1" applyAlignment="1">
      <alignment horizontal="right" vertical="center"/>
    </xf>
    <xf numFmtId="0" fontId="8" fillId="0" borderId="8" xfId="2" applyFont="1" applyFill="1" applyBorder="1" applyAlignment="1">
      <alignment horizontal="center" vertical="center"/>
    </xf>
    <xf numFmtId="166" fontId="8" fillId="0" borderId="8" xfId="4" applyNumberFormat="1" applyFont="1" applyFill="1" applyBorder="1" applyAlignment="1">
      <alignment horizontal="right" vertical="center"/>
    </xf>
    <xf numFmtId="1" fontId="8" fillId="0" borderId="8" xfId="6" applyNumberFormat="1" applyFont="1" applyFill="1" applyBorder="1" applyAlignment="1">
      <alignment horizontal="right" vertical="center"/>
    </xf>
    <xf numFmtId="167" fontId="8" fillId="0" borderId="8" xfId="6" applyNumberFormat="1" applyFont="1" applyFill="1" applyBorder="1" applyAlignment="1">
      <alignment horizontal="right" vertical="center" wrapText="1"/>
    </xf>
    <xf numFmtId="0" fontId="8" fillId="0" borderId="8" xfId="6" applyNumberFormat="1" applyFont="1" applyFill="1" applyBorder="1" applyAlignment="1">
      <alignment horizontal="right" vertical="center"/>
    </xf>
    <xf numFmtId="0" fontId="7" fillId="0" borderId="8" xfId="7" applyFont="1" applyFill="1" applyBorder="1" applyAlignment="1">
      <alignment horizontal="left" vertical="center"/>
    </xf>
    <xf numFmtId="166" fontId="7" fillId="0" borderId="8" xfId="4" applyNumberFormat="1" applyFont="1" applyFill="1" applyBorder="1" applyAlignment="1">
      <alignment horizontal="right" vertical="center"/>
    </xf>
    <xf numFmtId="0" fontId="8" fillId="0" borderId="0" xfId="6" applyFont="1" applyFill="1" applyAlignment="1">
      <alignment horizontal="center"/>
    </xf>
    <xf numFmtId="166" fontId="6" fillId="0" borderId="8" xfId="1" applyNumberFormat="1" applyFont="1" applyFill="1" applyBorder="1" applyAlignment="1">
      <alignment horizontal="right" vertical="center" wrapText="1"/>
    </xf>
    <xf numFmtId="0" fontId="6" fillId="0" borderId="8" xfId="1" applyFont="1" applyFill="1" applyBorder="1" applyAlignment="1">
      <alignment horizontal="right" vertical="center" wrapText="1"/>
    </xf>
    <xf numFmtId="0" fontId="2" fillId="0" borderId="8" xfId="7" applyFont="1" applyFill="1" applyBorder="1"/>
    <xf numFmtId="2" fontId="2" fillId="0" borderId="8" xfId="7" applyNumberFormat="1" applyFont="1" applyFill="1" applyBorder="1"/>
    <xf numFmtId="0" fontId="2" fillId="0" borderId="8" xfId="1" applyFont="1" applyFill="1" applyBorder="1" applyAlignment="1">
      <alignment wrapText="1"/>
    </xf>
    <xf numFmtId="0" fontId="2" fillId="0" borderId="0" xfId="1" applyFont="1" applyFill="1" applyAlignment="1">
      <alignment wrapText="1"/>
    </xf>
    <xf numFmtId="0" fontId="9" fillId="0" borderId="0" xfId="1" applyFont="1" applyFill="1" applyBorder="1" applyAlignment="1">
      <alignment wrapText="1"/>
    </xf>
    <xf numFmtId="0" fontId="3" fillId="0" borderId="0" xfId="6" quotePrefix="1" applyFont="1" applyFill="1" applyBorder="1" applyAlignment="1" applyProtection="1">
      <alignment vertical="center"/>
    </xf>
    <xf numFmtId="0" fontId="3" fillId="0" borderId="0" xfId="6" applyFont="1" applyFill="1" applyBorder="1" applyAlignment="1" applyProtection="1">
      <alignment horizontal="center" vertical="center"/>
    </xf>
    <xf numFmtId="0" fontId="2" fillId="0" borderId="0" xfId="6" applyFont="1" applyFill="1" applyProtection="1"/>
    <xf numFmtId="0" fontId="3" fillId="0" borderId="0" xfId="6" applyFont="1" applyFill="1" applyAlignment="1" applyProtection="1">
      <alignment horizontal="center"/>
    </xf>
    <xf numFmtId="0" fontId="3" fillId="0" borderId="8" xfId="6" applyFont="1" applyFill="1" applyBorder="1" applyAlignment="1" applyProtection="1">
      <alignment horizontal="right"/>
    </xf>
    <xf numFmtId="0" fontId="3" fillId="0" borderId="0" xfId="6" applyFont="1" applyFill="1" applyAlignment="1" applyProtection="1">
      <alignment horizontal="right"/>
    </xf>
    <xf numFmtId="0" fontId="2" fillId="0" borderId="8" xfId="6" applyFont="1" applyFill="1" applyBorder="1" applyAlignment="1" applyProtection="1">
      <alignment vertical="center"/>
    </xf>
    <xf numFmtId="0" fontId="2" fillId="0" borderId="0" xfId="6" applyFont="1" applyFill="1" applyAlignment="1" applyProtection="1">
      <alignment horizontal="right"/>
    </xf>
    <xf numFmtId="0" fontId="2" fillId="0" borderId="8" xfId="6" applyFont="1" applyFill="1" applyBorder="1" applyAlignment="1" applyProtection="1">
      <alignment vertical="center" wrapText="1"/>
    </xf>
    <xf numFmtId="0" fontId="3" fillId="0" borderId="8" xfId="6" applyFont="1" applyFill="1" applyBorder="1" applyAlignment="1" applyProtection="1">
      <alignment vertical="center"/>
    </xf>
    <xf numFmtId="0" fontId="2" fillId="0" borderId="0" xfId="6" applyFont="1" applyFill="1" applyBorder="1" applyAlignment="1" applyProtection="1">
      <alignment vertical="top" wrapText="1"/>
    </xf>
    <xf numFmtId="0" fontId="2" fillId="0" borderId="0" xfId="6" applyFont="1" applyFill="1" applyAlignment="1" applyProtection="1">
      <alignment horizontal="left"/>
    </xf>
    <xf numFmtId="1" fontId="2" fillId="0" borderId="0" xfId="6" applyNumberFormat="1" applyFont="1" applyFill="1" applyProtection="1"/>
    <xf numFmtId="0" fontId="0" fillId="0" borderId="0" xfId="0" applyProtection="1"/>
    <xf numFmtId="0" fontId="7" fillId="0" borderId="8" xfId="0" applyFont="1" applyBorder="1" applyAlignment="1" applyProtection="1">
      <alignment horizontal="center" vertical="center" wrapText="1"/>
    </xf>
    <xf numFmtId="0" fontId="7" fillId="0" borderId="8" xfId="0" applyFont="1" applyBorder="1" applyAlignment="1" applyProtection="1">
      <alignment horizontal="center" vertical="center"/>
    </xf>
    <xf numFmtId="0" fontId="7" fillId="0" borderId="8" xfId="0" applyFont="1" applyBorder="1" applyAlignment="1" applyProtection="1">
      <alignment horizontal="center"/>
    </xf>
    <xf numFmtId="0" fontId="7" fillId="0" borderId="0" xfId="0" applyFont="1" applyBorder="1" applyAlignment="1" applyProtection="1">
      <alignment horizontal="center" vertical="center"/>
    </xf>
    <xf numFmtId="0" fontId="7" fillId="0" borderId="0" xfId="0" applyFont="1" applyBorder="1" applyAlignment="1" applyProtection="1">
      <alignment horizontal="center"/>
    </xf>
    <xf numFmtId="0" fontId="7" fillId="0" borderId="0" xfId="0" applyFont="1" applyBorder="1" applyAlignment="1" applyProtection="1">
      <alignment horizontal="center"/>
      <protection locked="0"/>
    </xf>
    <xf numFmtId="0" fontId="0" fillId="0" borderId="0" xfId="0" applyBorder="1"/>
    <xf numFmtId="0" fontId="17" fillId="0" borderId="0" xfId="0" applyFont="1" applyBorder="1" applyAlignment="1" applyProtection="1">
      <alignment horizontal="center" vertical="center" wrapText="1"/>
    </xf>
    <xf numFmtId="0" fontId="7" fillId="0" borderId="8" xfId="0" applyFont="1" applyBorder="1" applyAlignment="1" applyProtection="1">
      <alignment vertical="center"/>
    </xf>
    <xf numFmtId="0" fontId="7" fillId="0" borderId="8" xfId="0" applyFont="1" applyBorder="1" applyAlignment="1" applyProtection="1">
      <alignment horizontal="center" wrapText="1"/>
    </xf>
    <xf numFmtId="0" fontId="7" fillId="0" borderId="8" xfId="0" applyFont="1" applyBorder="1" applyAlignment="1" applyProtection="1">
      <alignment horizontal="center" wrapText="1"/>
      <protection locked="0"/>
    </xf>
    <xf numFmtId="0" fontId="8" fillId="0" borderId="8" xfId="0" applyFont="1" applyBorder="1" applyAlignment="1" applyProtection="1">
      <alignment vertical="center"/>
    </xf>
    <xf numFmtId="0" fontId="8" fillId="0" borderId="8" xfId="0" applyFont="1" applyBorder="1" applyAlignment="1" applyProtection="1">
      <alignment horizontal="right" vertical="center"/>
    </xf>
    <xf numFmtId="0" fontId="8" fillId="0" borderId="8" xfId="0" applyFont="1" applyBorder="1" applyAlignment="1" applyProtection="1">
      <alignment horizontal="right" vertical="center" wrapText="1"/>
    </xf>
    <xf numFmtId="0" fontId="12" fillId="0" borderId="8" xfId="0" applyFont="1" applyBorder="1" applyAlignment="1" applyProtection="1">
      <alignment horizontal="right" vertical="center"/>
    </xf>
    <xf numFmtId="0" fontId="8" fillId="0" borderId="8" xfId="0" applyFont="1" applyBorder="1" applyProtection="1"/>
    <xf numFmtId="0" fontId="0" fillId="0" borderId="8" xfId="0" applyNumberFormat="1" applyBorder="1"/>
    <xf numFmtId="49" fontId="8" fillId="0" borderId="8" xfId="0" applyNumberFormat="1" applyFont="1" applyBorder="1" applyAlignment="1" applyProtection="1">
      <alignment horizontal="right" vertical="center"/>
    </xf>
    <xf numFmtId="0" fontId="8" fillId="0" borderId="8" xfId="0" applyFont="1" applyBorder="1" applyAlignment="1" applyProtection="1">
      <alignment horizontal="right"/>
    </xf>
    <xf numFmtId="0" fontId="7" fillId="0" borderId="8" xfId="0" applyFont="1" applyBorder="1" applyAlignment="1" applyProtection="1">
      <alignment horizontal="right" vertical="center"/>
    </xf>
    <xf numFmtId="0" fontId="20" fillId="0" borderId="8" xfId="0" applyFont="1" applyBorder="1" applyAlignment="1" applyProtection="1">
      <alignment horizontal="right" vertical="center"/>
    </xf>
    <xf numFmtId="0" fontId="7" fillId="0" borderId="8" xfId="0" applyFont="1" applyBorder="1" applyProtection="1"/>
    <xf numFmtId="0" fontId="8" fillId="0" borderId="0" xfId="0" applyFont="1" applyProtection="1"/>
    <xf numFmtId="0" fontId="7" fillId="0" borderId="8" xfId="0" applyFont="1" applyFill="1" applyBorder="1" applyAlignment="1">
      <alignment horizontal="center" vertical="center"/>
    </xf>
    <xf numFmtId="0" fontId="7" fillId="0" borderId="8" xfId="0" applyFont="1" applyFill="1" applyBorder="1" applyAlignment="1" applyProtection="1">
      <alignment horizontal="center" vertical="center"/>
      <protection locked="0"/>
    </xf>
    <xf numFmtId="166" fontId="8" fillId="0" borderId="8" xfId="4" applyNumberFormat="1" applyFont="1" applyFill="1" applyBorder="1" applyAlignment="1">
      <alignment horizontal="left" vertical="center" wrapText="1"/>
    </xf>
    <xf numFmtId="43" fontId="8" fillId="0" borderId="8" xfId="18" applyFont="1" applyFill="1" applyBorder="1" applyAlignment="1">
      <alignment horizontal="left" vertical="center" wrapText="1"/>
    </xf>
    <xf numFmtId="43" fontId="8" fillId="0" borderId="8" xfId="18" applyFont="1" applyFill="1" applyBorder="1" applyAlignment="1">
      <alignment horizontal="right" vertical="center"/>
    </xf>
    <xf numFmtId="43" fontId="8" fillId="0" borderId="8" xfId="18" applyFont="1" applyFill="1" applyBorder="1" applyAlignment="1" applyProtection="1">
      <alignment horizontal="right" vertical="center"/>
      <protection locked="0"/>
    </xf>
    <xf numFmtId="43" fontId="7" fillId="0" borderId="8" xfId="18" applyFont="1" applyFill="1" applyBorder="1" applyAlignment="1">
      <alignment horizontal="left" vertical="center" wrapText="1"/>
    </xf>
    <xf numFmtId="43" fontId="7" fillId="0" borderId="8" xfId="18" applyFont="1" applyFill="1" applyBorder="1" applyAlignment="1">
      <alignment horizontal="right" vertical="center"/>
    </xf>
    <xf numFmtId="43" fontId="7" fillId="0" borderId="8" xfId="18" applyFont="1" applyFill="1" applyBorder="1" applyAlignment="1" applyProtection="1">
      <alignment horizontal="right" vertical="center"/>
      <protection locked="0"/>
    </xf>
    <xf numFmtId="0" fontId="7" fillId="0" borderId="0" xfId="13" applyFont="1" applyFill="1" applyAlignment="1">
      <alignment wrapText="1"/>
    </xf>
    <xf numFmtId="1" fontId="7" fillId="0" borderId="0" xfId="0" applyNumberFormat="1" applyFont="1" applyFill="1" applyAlignment="1">
      <alignment wrapText="1"/>
    </xf>
    <xf numFmtId="1" fontId="7" fillId="0" borderId="0" xfId="0" applyNumberFormat="1" applyFont="1" applyFill="1" applyAlignment="1">
      <alignment vertical="center" wrapText="1"/>
    </xf>
    <xf numFmtId="1" fontId="7" fillId="0" borderId="0" xfId="27" applyNumberFormat="1" applyFont="1" applyFill="1" applyAlignment="1">
      <alignment vertical="center" wrapText="1"/>
    </xf>
    <xf numFmtId="1" fontId="8" fillId="0" borderId="0" xfId="27" applyNumberFormat="1" applyFont="1" applyFill="1"/>
    <xf numFmtId="1" fontId="13" fillId="0" borderId="0" xfId="27" applyNumberFormat="1" applyFont="1" applyFill="1"/>
    <xf numFmtId="1" fontId="8" fillId="0" borderId="0" xfId="27" applyNumberFormat="1" applyFont="1" applyFill="1" applyAlignment="1">
      <alignment vertical="center"/>
    </xf>
    <xf numFmtId="1" fontId="8" fillId="0" borderId="7" xfId="14" applyNumberFormat="1" applyFont="1" applyFill="1" applyBorder="1" applyAlignment="1">
      <alignment horizontal="left" vertical="top" wrapText="1"/>
    </xf>
    <xf numFmtId="1" fontId="8" fillId="0" borderId="7" xfId="27" applyNumberFormat="1" applyFont="1" applyFill="1" applyBorder="1"/>
    <xf numFmtId="1" fontId="8" fillId="0" borderId="7" xfId="0" applyNumberFormat="1" applyFont="1" applyFill="1" applyBorder="1" applyAlignment="1">
      <alignment wrapText="1"/>
    </xf>
    <xf numFmtId="1" fontId="8" fillId="0" borderId="7" xfId="14" applyNumberFormat="1" applyFont="1" applyFill="1" applyBorder="1" applyAlignment="1" applyProtection="1">
      <alignment horizontal="right" vertical="center"/>
      <protection locked="0"/>
    </xf>
    <xf numFmtId="2" fontId="8" fillId="0" borderId="7" xfId="14" applyNumberFormat="1" applyFont="1" applyFill="1" applyBorder="1" applyAlignment="1" applyProtection="1">
      <alignment horizontal="right" vertical="center"/>
      <protection locked="0"/>
    </xf>
    <xf numFmtId="1" fontId="8" fillId="0" borderId="7" xfId="0" applyNumberFormat="1" applyFont="1" applyFill="1" applyBorder="1" applyAlignment="1">
      <alignment horizontal="right"/>
    </xf>
    <xf numFmtId="1" fontId="8" fillId="0" borderId="7" xfId="27" applyNumberFormat="1" applyFont="1" applyFill="1" applyBorder="1" applyAlignment="1">
      <alignment horizontal="right"/>
    </xf>
    <xf numFmtId="1" fontId="8" fillId="0" borderId="0" xfId="27" applyNumberFormat="1" applyFont="1" applyFill="1" applyAlignment="1">
      <alignment horizontal="right" vertical="center"/>
    </xf>
    <xf numFmtId="1" fontId="8" fillId="0" borderId="7" xfId="27" applyNumberFormat="1" applyFont="1" applyFill="1" applyBorder="1" applyAlignment="1" applyProtection="1">
      <alignment horizontal="right"/>
      <protection locked="0"/>
    </xf>
    <xf numFmtId="1" fontId="8" fillId="0" borderId="1" xfId="14" applyNumberFormat="1" applyFont="1" applyFill="1" applyBorder="1" applyAlignment="1">
      <alignment horizontal="left" vertical="top" wrapText="1"/>
    </xf>
    <xf numFmtId="1" fontId="8" fillId="0" borderId="1" xfId="27" applyNumberFormat="1" applyFont="1" applyFill="1" applyBorder="1"/>
    <xf numFmtId="1" fontId="8" fillId="0" borderId="1" xfId="0" applyNumberFormat="1" applyFont="1" applyFill="1" applyBorder="1" applyAlignment="1">
      <alignment wrapText="1"/>
    </xf>
    <xf numFmtId="1" fontId="8" fillId="0" borderId="1" xfId="14" applyNumberFormat="1" applyFont="1" applyFill="1" applyBorder="1" applyAlignment="1" applyProtection="1">
      <alignment horizontal="right" vertical="center"/>
      <protection locked="0"/>
    </xf>
    <xf numFmtId="2" fontId="8" fillId="0" borderId="1" xfId="14" applyNumberFormat="1" applyFont="1" applyFill="1" applyBorder="1" applyAlignment="1" applyProtection="1">
      <alignment horizontal="right" vertical="center"/>
      <protection locked="0"/>
    </xf>
    <xf numFmtId="1" fontId="8" fillId="0" borderId="1" xfId="0" applyNumberFormat="1" applyFont="1" applyFill="1" applyBorder="1" applyAlignment="1">
      <alignment horizontal="right"/>
    </xf>
    <xf numFmtId="1" fontId="8" fillId="0" borderId="1" xfId="27" applyNumberFormat="1" applyFont="1" applyFill="1" applyBorder="1" applyAlignment="1">
      <alignment horizontal="right"/>
    </xf>
    <xf numFmtId="1" fontId="8" fillId="0" borderId="1" xfId="27" applyNumberFormat="1" applyFont="1" applyFill="1" applyBorder="1" applyAlignment="1" applyProtection="1">
      <alignment horizontal="right"/>
      <protection locked="0"/>
    </xf>
    <xf numFmtId="2" fontId="8" fillId="0" borderId="1" xfId="27" applyNumberFormat="1" applyFont="1" applyFill="1" applyBorder="1"/>
    <xf numFmtId="169" fontId="8" fillId="0" borderId="1" xfId="0" applyNumberFormat="1" applyFont="1" applyFill="1" applyBorder="1" applyAlignment="1">
      <alignment wrapText="1"/>
    </xf>
    <xf numFmtId="2" fontId="8" fillId="0" borderId="1" xfId="0" applyNumberFormat="1" applyFont="1" applyFill="1" applyBorder="1" applyAlignment="1">
      <alignment horizontal="right"/>
    </xf>
    <xf numFmtId="176" fontId="8" fillId="0" borderId="1" xfId="14" applyNumberFormat="1" applyFont="1" applyFill="1" applyBorder="1" applyAlignment="1" applyProtection="1">
      <alignment horizontal="right" vertical="center"/>
      <protection locked="0"/>
    </xf>
    <xf numFmtId="1" fontId="8" fillId="0" borderId="0" xfId="27" applyNumberFormat="1" applyFont="1" applyFill="1" applyAlignment="1" applyProtection="1">
      <alignment horizontal="right" vertical="center"/>
      <protection locked="0"/>
    </xf>
    <xf numFmtId="1" fontId="7" fillId="0" borderId="3" xfId="14" applyNumberFormat="1" applyFont="1" applyFill="1" applyBorder="1" applyAlignment="1">
      <alignment horizontal="left" vertical="top" wrapText="1"/>
    </xf>
    <xf numFmtId="1" fontId="7" fillId="0" borderId="3" xfId="27" applyNumberFormat="1" applyFont="1" applyFill="1" applyBorder="1"/>
    <xf numFmtId="1" fontId="7" fillId="0" borderId="3" xfId="0" applyNumberFormat="1" applyFont="1" applyFill="1" applyBorder="1" applyAlignment="1">
      <alignment wrapText="1"/>
    </xf>
    <xf numFmtId="1" fontId="7" fillId="0" borderId="3" xfId="14" applyNumberFormat="1" applyFont="1" applyFill="1" applyBorder="1" applyAlignment="1">
      <alignment horizontal="right" vertical="center"/>
    </xf>
    <xf numFmtId="1" fontId="7" fillId="0" borderId="3" xfId="0" applyNumberFormat="1" applyFont="1" applyFill="1" applyBorder="1" applyAlignment="1">
      <alignment horizontal="right"/>
    </xf>
    <xf numFmtId="1" fontId="7" fillId="0" borderId="3" xfId="27" applyNumberFormat="1" applyFont="1" applyFill="1" applyBorder="1" applyAlignment="1">
      <alignment horizontal="right"/>
    </xf>
    <xf numFmtId="1" fontId="7" fillId="0" borderId="0" xfId="27" applyNumberFormat="1" applyFont="1" applyFill="1" applyAlignment="1">
      <alignment horizontal="right" vertical="center"/>
    </xf>
    <xf numFmtId="1" fontId="7" fillId="0" borderId="3" xfId="27" applyNumberFormat="1" applyFont="1" applyFill="1" applyBorder="1" applyAlignment="1" applyProtection="1">
      <alignment horizontal="right"/>
      <protection locked="0"/>
    </xf>
    <xf numFmtId="1" fontId="7" fillId="0" borderId="0" xfId="27" applyNumberFormat="1" applyFont="1" applyFill="1"/>
    <xf numFmtId="0" fontId="7" fillId="0" borderId="4" xfId="13" applyFont="1" applyFill="1" applyBorder="1"/>
    <xf numFmtId="0" fontId="7" fillId="0" borderId="4" xfId="0" applyFont="1" applyFill="1" applyBorder="1" applyAlignment="1">
      <alignment wrapText="1"/>
    </xf>
    <xf numFmtId="1" fontId="7" fillId="0" borderId="4" xfId="0" applyNumberFormat="1" applyFont="1" applyFill="1" applyBorder="1" applyAlignment="1">
      <alignment vertical="center"/>
    </xf>
    <xf numFmtId="0" fontId="7" fillId="0" borderId="8" xfId="13" applyFont="1" applyFill="1" applyBorder="1" applyAlignment="1">
      <alignment horizontal="center" wrapText="1"/>
    </xf>
    <xf numFmtId="0" fontId="7" fillId="0" borderId="8" xfId="13" applyFont="1" applyFill="1" applyBorder="1" applyAlignment="1">
      <alignment horizontal="center" vertical="top" wrapText="1"/>
    </xf>
    <xf numFmtId="0" fontId="7" fillId="0" borderId="7" xfId="13" applyFont="1" applyFill="1" applyBorder="1" applyAlignment="1">
      <alignment horizontal="center" wrapText="1"/>
    </xf>
    <xf numFmtId="0" fontId="7" fillId="0" borderId="7" xfId="13" applyFont="1" applyFill="1" applyBorder="1" applyAlignment="1">
      <alignment horizontal="center" vertical="top" wrapText="1"/>
    </xf>
    <xf numFmtId="0" fontId="7" fillId="0" borderId="8" xfId="14" applyFont="1" applyFill="1" applyBorder="1" applyAlignment="1">
      <alignment horizontal="center" vertical="center" wrapText="1"/>
    </xf>
    <xf numFmtId="1" fontId="7" fillId="0" borderId="8" xfId="14" applyNumberFormat="1" applyFont="1" applyFill="1" applyBorder="1" applyAlignment="1">
      <alignment horizontal="center" vertical="top" wrapText="1"/>
    </xf>
    <xf numFmtId="9" fontId="8" fillId="0" borderId="7" xfId="0" applyNumberFormat="1" applyFont="1" applyFill="1" applyBorder="1" applyAlignment="1">
      <alignment horizontal="right"/>
    </xf>
    <xf numFmtId="9" fontId="8" fillId="0" borderId="7" xfId="11" applyFont="1" applyFill="1" applyBorder="1"/>
    <xf numFmtId="9" fontId="8" fillId="0" borderId="7" xfId="0" applyNumberFormat="1" applyFont="1" applyFill="1" applyBorder="1" applyAlignment="1">
      <alignment vertical="center" wrapText="1"/>
    </xf>
    <xf numFmtId="9" fontId="8" fillId="0" borderId="7" xfId="11" applyFont="1" applyFill="1" applyBorder="1" applyAlignment="1" applyProtection="1">
      <alignment horizontal="right" vertical="center"/>
      <protection locked="0"/>
    </xf>
    <xf numFmtId="9" fontId="8" fillId="0" borderId="7" xfId="15" applyFont="1" applyFill="1" applyBorder="1" applyAlignment="1">
      <alignment horizontal="right"/>
    </xf>
    <xf numFmtId="9" fontId="8" fillId="0" borderId="7" xfId="15" applyFont="1" applyFill="1" applyBorder="1" applyAlignment="1" applyProtection="1">
      <alignment horizontal="right"/>
      <protection locked="0"/>
    </xf>
    <xf numFmtId="9" fontId="8" fillId="0" borderId="1" xfId="0" applyNumberFormat="1" applyFont="1" applyFill="1" applyBorder="1" applyAlignment="1">
      <alignment horizontal="right"/>
    </xf>
    <xf numFmtId="9" fontId="8" fillId="0" borderId="1" xfId="11" applyFont="1" applyFill="1" applyBorder="1"/>
    <xf numFmtId="9" fontId="8" fillId="0" borderId="1" xfId="0" applyNumberFormat="1" applyFont="1" applyFill="1" applyBorder="1" applyAlignment="1">
      <alignment vertical="center" wrapText="1"/>
    </xf>
    <xf numFmtId="9" fontId="8" fillId="0" borderId="1" xfId="11" applyFont="1" applyFill="1" applyBorder="1" applyAlignment="1" applyProtection="1">
      <alignment horizontal="right" vertical="center"/>
      <protection locked="0"/>
    </xf>
    <xf numFmtId="9" fontId="8" fillId="0" borderId="1" xfId="27" applyNumberFormat="1" applyFont="1" applyFill="1" applyBorder="1" applyAlignment="1">
      <alignment horizontal="right"/>
    </xf>
    <xf numFmtId="9" fontId="8" fillId="0" borderId="1" xfId="27" applyNumberFormat="1" applyFont="1" applyFill="1" applyBorder="1" applyAlignment="1" applyProtection="1">
      <alignment horizontal="right"/>
      <protection locked="0"/>
    </xf>
    <xf numFmtId="177" fontId="8" fillId="0" borderId="1" xfId="11" applyNumberFormat="1" applyFont="1" applyFill="1" applyBorder="1" applyAlignment="1" applyProtection="1">
      <alignment horizontal="right" vertical="center"/>
      <protection locked="0"/>
    </xf>
    <xf numFmtId="9" fontId="8" fillId="0" borderId="1" xfId="11" applyFont="1" applyFill="1" applyBorder="1" applyAlignment="1">
      <alignment horizontal="left" vertical="top" wrapText="1"/>
    </xf>
    <xf numFmtId="9" fontId="8" fillId="0" borderId="1" xfId="11" applyFont="1" applyFill="1" applyBorder="1" applyAlignment="1">
      <alignment horizontal="right"/>
    </xf>
    <xf numFmtId="9" fontId="8" fillId="0" borderId="1" xfId="11" applyFont="1" applyFill="1" applyBorder="1" applyAlignment="1">
      <alignment vertical="center" wrapText="1"/>
    </xf>
    <xf numFmtId="9" fontId="8" fillId="0" borderId="1" xfId="11" applyFont="1" applyFill="1" applyBorder="1" applyAlignment="1" applyProtection="1">
      <alignment horizontal="right"/>
      <protection locked="0"/>
    </xf>
    <xf numFmtId="9" fontId="8" fillId="0" borderId="0" xfId="11" applyFont="1" applyFill="1"/>
    <xf numFmtId="170" fontId="8" fillId="0" borderId="1" xfId="0" applyNumberFormat="1" applyFont="1" applyFill="1" applyBorder="1" applyAlignment="1">
      <alignment vertical="center" wrapText="1"/>
    </xf>
    <xf numFmtId="10" fontId="8" fillId="0" borderId="1" xfId="11" applyNumberFormat="1" applyFont="1" applyFill="1" applyBorder="1" applyAlignment="1" applyProtection="1">
      <alignment horizontal="right" vertical="center"/>
      <protection locked="0"/>
    </xf>
    <xf numFmtId="9" fontId="8" fillId="0" borderId="1" xfId="16" applyFont="1" applyFill="1" applyBorder="1"/>
    <xf numFmtId="9" fontId="8" fillId="0" borderId="1" xfId="16" applyFont="1" applyFill="1" applyBorder="1" applyProtection="1">
      <protection locked="0"/>
    </xf>
    <xf numFmtId="9" fontId="8" fillId="0" borderId="1" xfId="27" applyNumberFormat="1" applyFont="1" applyFill="1" applyBorder="1"/>
    <xf numFmtId="9" fontId="8" fillId="0" borderId="1" xfId="27" applyNumberFormat="1" applyFont="1" applyFill="1" applyBorder="1" applyProtection="1">
      <protection locked="0"/>
    </xf>
    <xf numFmtId="9" fontId="7" fillId="0" borderId="3" xfId="11" applyFont="1" applyFill="1" applyBorder="1"/>
    <xf numFmtId="9" fontId="7" fillId="0" borderId="3" xfId="0" applyNumberFormat="1" applyFont="1" applyFill="1" applyBorder="1" applyAlignment="1">
      <alignment horizontal="right"/>
    </xf>
    <xf numFmtId="9" fontId="7" fillId="0" borderId="3" xfId="16" applyFont="1" applyFill="1" applyBorder="1" applyAlignment="1">
      <alignment vertical="center" wrapText="1"/>
    </xf>
    <xf numFmtId="9" fontId="8" fillId="0" borderId="3" xfId="11" applyFont="1" applyFill="1" applyBorder="1" applyAlignment="1" applyProtection="1">
      <alignment horizontal="right" vertical="center"/>
      <protection locked="0"/>
    </xf>
    <xf numFmtId="9" fontId="7" fillId="0" borderId="3" xfId="27" applyNumberFormat="1" applyFont="1" applyFill="1" applyBorder="1"/>
    <xf numFmtId="9" fontId="7" fillId="0" borderId="3" xfId="27" applyNumberFormat="1" applyFont="1" applyFill="1" applyBorder="1" applyProtection="1">
      <protection locked="0"/>
    </xf>
    <xf numFmtId="0" fontId="8" fillId="0" borderId="0" xfId="0" applyFont="1" applyFill="1"/>
    <xf numFmtId="0" fontId="7" fillId="0" borderId="8" xfId="2" applyFont="1" applyFill="1" applyBorder="1" applyAlignment="1">
      <alignment horizontal="right" vertical="center"/>
    </xf>
    <xf numFmtId="0" fontId="8" fillId="0" borderId="8" xfId="2" applyFont="1" applyFill="1" applyBorder="1" applyAlignment="1">
      <alignment horizontal="right" vertical="center"/>
    </xf>
    <xf numFmtId="168" fontId="8" fillId="0" borderId="8" xfId="7" applyNumberFormat="1" applyFont="1" applyFill="1" applyBorder="1" applyAlignment="1">
      <alignment vertical="center"/>
    </xf>
    <xf numFmtId="1" fontId="8" fillId="0" borderId="8" xfId="7" applyNumberFormat="1" applyFont="1" applyFill="1" applyBorder="1" applyAlignment="1">
      <alignment horizontal="right"/>
    </xf>
    <xf numFmtId="1" fontId="8" fillId="0" borderId="8" xfId="7" applyNumberFormat="1" applyFont="1" applyFill="1" applyBorder="1"/>
    <xf numFmtId="168" fontId="8" fillId="0" borderId="8" xfId="7" applyNumberFormat="1" applyFont="1" applyFill="1" applyBorder="1" applyAlignment="1">
      <alignment horizontal="right" vertical="center"/>
    </xf>
    <xf numFmtId="0" fontId="7" fillId="0" borderId="8" xfId="7" applyFont="1" applyFill="1" applyBorder="1" applyAlignment="1">
      <alignment horizontal="right" vertical="center"/>
    </xf>
    <xf numFmtId="0" fontId="7" fillId="0" borderId="8" xfId="7" applyFont="1" applyFill="1" applyBorder="1" applyAlignment="1">
      <alignment vertical="center"/>
    </xf>
    <xf numFmtId="168" fontId="7" fillId="0" borderId="8" xfId="7" applyNumberFormat="1" applyFont="1" applyFill="1" applyBorder="1" applyAlignment="1">
      <alignment vertical="center"/>
    </xf>
    <xf numFmtId="169" fontId="7" fillId="0" borderId="8" xfId="7" applyNumberFormat="1" applyFont="1" applyFill="1" applyBorder="1"/>
    <xf numFmtId="1" fontId="7" fillId="0" borderId="8" xfId="7" applyNumberFormat="1" applyFont="1" applyFill="1" applyBorder="1" applyAlignment="1">
      <alignment horizontal="right"/>
    </xf>
    <xf numFmtId="1" fontId="7" fillId="0" borderId="8" xfId="7" applyNumberFormat="1" applyFont="1" applyFill="1" applyBorder="1"/>
    <xf numFmtId="169" fontId="8" fillId="0" borderId="8" xfId="7" applyNumberFormat="1" applyFont="1" applyFill="1" applyBorder="1"/>
    <xf numFmtId="0" fontId="3" fillId="0" borderId="8" xfId="1" applyFont="1" applyFill="1" applyBorder="1" applyAlignment="1">
      <alignment wrapText="1"/>
    </xf>
    <xf numFmtId="0" fontId="3" fillId="0" borderId="8" xfId="1" applyFont="1" applyFill="1" applyBorder="1" applyAlignment="1">
      <alignment horizontal="center" wrapText="1"/>
    </xf>
    <xf numFmtId="0" fontId="3" fillId="0" borderId="8" xfId="2" applyFont="1" applyFill="1" applyBorder="1" applyAlignment="1">
      <alignment horizontal="right" vertical="center"/>
    </xf>
    <xf numFmtId="0" fontId="2" fillId="0" borderId="8" xfId="2" applyFont="1" applyFill="1" applyBorder="1" applyAlignment="1">
      <alignment horizontal="right" vertical="center"/>
    </xf>
    <xf numFmtId="166" fontId="2" fillId="0" borderId="8" xfId="4" applyNumberFormat="1" applyFont="1" applyFill="1" applyBorder="1" applyAlignment="1"/>
    <xf numFmtId="166" fontId="2" fillId="0" borderId="8" xfId="4" applyNumberFormat="1" applyFont="1" applyFill="1" applyBorder="1"/>
    <xf numFmtId="166" fontId="2" fillId="0" borderId="8" xfId="8" applyNumberFormat="1" applyFont="1" applyFill="1" applyBorder="1"/>
    <xf numFmtId="1" fontId="2" fillId="0" borderId="8" xfId="1" applyNumberFormat="1" applyFont="1" applyFill="1" applyBorder="1"/>
    <xf numFmtId="166" fontId="2" fillId="0" borderId="8" xfId="4" applyNumberFormat="1" applyFont="1" applyFill="1" applyBorder="1" applyAlignment="1">
      <alignment horizontal="right"/>
    </xf>
    <xf numFmtId="166" fontId="3" fillId="0" borderId="8" xfId="4" applyNumberFormat="1" applyFont="1" applyFill="1" applyBorder="1"/>
    <xf numFmtId="166" fontId="3" fillId="0" borderId="8" xfId="8" applyNumberFormat="1" applyFont="1" applyFill="1" applyBorder="1"/>
    <xf numFmtId="43" fontId="2" fillId="0" borderId="8" xfId="7" applyNumberFormat="1" applyFont="1" applyFill="1" applyBorder="1"/>
    <xf numFmtId="43" fontId="2" fillId="0" borderId="8" xfId="7" applyNumberFormat="1" applyFont="1" applyFill="1" applyBorder="1" applyAlignment="1">
      <alignment horizontal="right"/>
    </xf>
    <xf numFmtId="2" fontId="3" fillId="0" borderId="8" xfId="7" applyNumberFormat="1" applyFont="1" applyFill="1" applyBorder="1"/>
    <xf numFmtId="166" fontId="2" fillId="0" borderId="8" xfId="4" applyNumberFormat="1" applyFont="1" applyFill="1" applyBorder="1" applyAlignment="1" applyProtection="1">
      <alignment horizontal="right" vertical="center"/>
    </xf>
    <xf numFmtId="166" fontId="2" fillId="0" borderId="8" xfId="4" applyNumberFormat="1" applyFont="1" applyFill="1" applyBorder="1" applyAlignment="1" applyProtection="1">
      <alignment horizontal="right" vertical="center" wrapText="1"/>
    </xf>
    <xf numFmtId="49" fontId="2" fillId="0" borderId="8" xfId="4" quotePrefix="1" applyNumberFormat="1" applyFont="1" applyFill="1" applyBorder="1" applyAlignment="1" applyProtection="1">
      <alignment horizontal="right" vertical="center"/>
    </xf>
    <xf numFmtId="166" fontId="2" fillId="0" borderId="8" xfId="4" applyNumberFormat="1" applyFont="1" applyFill="1" applyBorder="1" applyAlignment="1" applyProtection="1">
      <alignment horizontal="right"/>
    </xf>
    <xf numFmtId="166" fontId="2" fillId="0" borderId="8" xfId="6" applyNumberFormat="1" applyFont="1" applyFill="1" applyBorder="1" applyAlignment="1" applyProtection="1">
      <alignment horizontal="right"/>
    </xf>
    <xf numFmtId="166" fontId="2" fillId="0" borderId="8" xfId="4" quotePrefix="1" applyNumberFormat="1" applyFont="1" applyFill="1" applyBorder="1" applyAlignment="1" applyProtection="1">
      <alignment horizontal="right" vertical="center" wrapText="1"/>
    </xf>
    <xf numFmtId="166" fontId="2" fillId="0" borderId="8" xfId="4" applyNumberFormat="1" applyFont="1" applyFill="1" applyBorder="1" applyProtection="1"/>
    <xf numFmtId="166" fontId="3" fillId="0" borderId="8" xfId="4" applyNumberFormat="1" applyFont="1" applyFill="1" applyBorder="1" applyAlignment="1" applyProtection="1">
      <alignment horizontal="right" vertical="center"/>
    </xf>
    <xf numFmtId="166" fontId="3" fillId="0" borderId="8" xfId="4" applyNumberFormat="1" applyFont="1" applyFill="1" applyBorder="1" applyAlignment="1" applyProtection="1">
      <alignment horizontal="right" vertical="center" wrapText="1"/>
    </xf>
    <xf numFmtId="166" fontId="3" fillId="0" borderId="8" xfId="4" applyNumberFormat="1" applyFont="1" applyFill="1" applyBorder="1" applyAlignment="1" applyProtection="1">
      <alignment horizontal="right"/>
    </xf>
    <xf numFmtId="166" fontId="3" fillId="0" borderId="8" xfId="6" applyNumberFormat="1" applyFont="1" applyFill="1" applyBorder="1" applyAlignment="1" applyProtection="1">
      <alignment horizontal="right"/>
    </xf>
    <xf numFmtId="9" fontId="2" fillId="0" borderId="0" xfId="11" applyFont="1" applyFill="1"/>
    <xf numFmtId="0" fontId="16" fillId="0" borderId="0" xfId="0" applyFont="1"/>
    <xf numFmtId="0" fontId="7" fillId="0" borderId="0" xfId="0" applyFont="1" applyBorder="1" applyAlignment="1" applyProtection="1">
      <alignment vertical="center"/>
    </xf>
    <xf numFmtId="0" fontId="3" fillId="0" borderId="8" xfId="21" applyFont="1" applyFill="1" applyBorder="1"/>
    <xf numFmtId="1" fontId="2" fillId="0" borderId="8" xfId="21" applyNumberFormat="1" applyFont="1" applyFill="1" applyBorder="1"/>
    <xf numFmtId="10" fontId="2" fillId="0" borderId="8" xfId="11" applyNumberFormat="1" applyFont="1" applyFill="1" applyBorder="1"/>
    <xf numFmtId="1" fontId="3" fillId="0" borderId="8" xfId="21" applyNumberFormat="1" applyFont="1" applyFill="1" applyBorder="1"/>
    <xf numFmtId="0" fontId="8" fillId="0" borderId="8" xfId="22" applyFont="1" applyFill="1" applyBorder="1"/>
    <xf numFmtId="0" fontId="2" fillId="0" borderId="8" xfId="21" applyFont="1" applyFill="1" applyBorder="1"/>
    <xf numFmtId="1" fontId="8" fillId="0" borderId="8" xfId="22" applyNumberFormat="1" applyFont="1" applyFill="1" applyBorder="1"/>
    <xf numFmtId="49" fontId="8" fillId="0" borderId="8" xfId="22" applyNumberFormat="1" applyFont="1" applyFill="1" applyBorder="1" applyAlignment="1">
      <alignment horizontal="right"/>
    </xf>
    <xf numFmtId="2" fontId="8" fillId="0" borderId="8" xfId="22" applyNumberFormat="1" applyFont="1" applyFill="1" applyBorder="1"/>
    <xf numFmtId="2" fontId="2" fillId="0" borderId="8" xfId="21" applyNumberFormat="1" applyFont="1" applyFill="1" applyBorder="1"/>
    <xf numFmtId="171" fontId="2" fillId="0" borderId="8" xfId="21" quotePrefix="1" applyNumberFormat="1" applyFont="1" applyFill="1" applyBorder="1" applyAlignment="1">
      <alignment horizontal="right"/>
    </xf>
    <xf numFmtId="171" fontId="8" fillId="0" borderId="8" xfId="22" applyNumberFormat="1" applyFont="1" applyFill="1" applyBorder="1"/>
    <xf numFmtId="0" fontId="8" fillId="0" borderId="8" xfId="22" applyNumberFormat="1" applyFont="1" applyFill="1" applyBorder="1"/>
    <xf numFmtId="1" fontId="2" fillId="0" borderId="8" xfId="21" applyNumberFormat="1" applyFont="1" applyFill="1" applyBorder="1" applyAlignment="1">
      <alignment horizontal="right"/>
    </xf>
    <xf numFmtId="171" fontId="2" fillId="0" borderId="8" xfId="21" applyNumberFormat="1" applyFont="1" applyFill="1" applyBorder="1" applyAlignment="1">
      <alignment horizontal="right"/>
    </xf>
    <xf numFmtId="167" fontId="2" fillId="0" borderId="8" xfId="21" applyNumberFormat="1" applyFont="1" applyFill="1" applyBorder="1" applyAlignment="1">
      <alignment horizontal="right"/>
    </xf>
    <xf numFmtId="49" fontId="2" fillId="0" borderId="8" xfId="21" applyNumberFormat="1" applyFont="1" applyFill="1" applyBorder="1" applyAlignment="1">
      <alignment horizontal="right"/>
    </xf>
    <xf numFmtId="0" fontId="8" fillId="0" borderId="8" xfId="22" applyFont="1" applyFill="1" applyBorder="1" applyAlignment="1">
      <alignment horizontal="right"/>
    </xf>
    <xf numFmtId="0" fontId="7" fillId="0" borderId="8" xfId="22" applyFont="1" applyFill="1" applyBorder="1"/>
    <xf numFmtId="1" fontId="7" fillId="0" borderId="8" xfId="22" applyNumberFormat="1" applyFont="1" applyFill="1" applyBorder="1"/>
    <xf numFmtId="49" fontId="7" fillId="0" borderId="8" xfId="22" applyNumberFormat="1" applyFont="1" applyFill="1" applyBorder="1" applyAlignment="1">
      <alignment horizontal="right"/>
    </xf>
    <xf numFmtId="171" fontId="7" fillId="0" borderId="8" xfId="22" applyNumberFormat="1" applyFont="1" applyFill="1" applyBorder="1"/>
    <xf numFmtId="2" fontId="7" fillId="0" borderId="8" xfId="22" applyNumberFormat="1" applyFont="1" applyFill="1" applyBorder="1"/>
    <xf numFmtId="2" fontId="3" fillId="0" borderId="8" xfId="21" applyNumberFormat="1" applyFont="1" applyFill="1" applyBorder="1"/>
    <xf numFmtId="171" fontId="3" fillId="0" borderId="8" xfId="21" quotePrefix="1" applyNumberFormat="1" applyFont="1" applyFill="1" applyBorder="1" applyAlignment="1">
      <alignment horizontal="right"/>
    </xf>
    <xf numFmtId="167" fontId="8" fillId="0" borderId="8" xfId="22" applyNumberFormat="1" applyFont="1" applyFill="1" applyBorder="1"/>
    <xf numFmtId="0" fontId="7" fillId="0" borderId="0" xfId="7" applyFont="1" applyFill="1" applyBorder="1" applyAlignment="1">
      <alignment horizontal="center" vertical="center"/>
    </xf>
    <xf numFmtId="0" fontId="7" fillId="0" borderId="8" xfId="7" applyFont="1" applyFill="1" applyBorder="1" applyAlignment="1">
      <alignment horizontal="center" vertical="center" wrapText="1"/>
    </xf>
    <xf numFmtId="0" fontId="3" fillId="0" borderId="8" xfId="3" applyNumberFormat="1" applyFont="1" applyFill="1" applyBorder="1" applyAlignment="1">
      <alignment horizontal="center" vertical="center"/>
    </xf>
    <xf numFmtId="0" fontId="2" fillId="0" borderId="2" xfId="19" applyFont="1" applyBorder="1" applyAlignment="1">
      <alignment horizontal="center"/>
    </xf>
    <xf numFmtId="166" fontId="3" fillId="0" borderId="0" xfId="6" applyNumberFormat="1" applyFont="1" applyFill="1" applyBorder="1" applyAlignment="1" applyProtection="1">
      <alignment horizontal="right"/>
    </xf>
    <xf numFmtId="0" fontId="3" fillId="0" borderId="8" xfId="2" applyFont="1" applyFill="1" applyBorder="1" applyAlignment="1">
      <alignment horizontal="center" vertical="center"/>
    </xf>
    <xf numFmtId="0" fontId="4" fillId="0" borderId="8" xfId="1" applyFont="1" applyFill="1" applyBorder="1" applyAlignment="1">
      <alignment vertical="center" wrapText="1"/>
    </xf>
    <xf numFmtId="10" fontId="2" fillId="0" borderId="5" xfId="24" applyNumberFormat="1" applyFont="1" applyFill="1" applyBorder="1" applyAlignment="1">
      <alignment horizontal="right"/>
    </xf>
    <xf numFmtId="0" fontId="3" fillId="0" borderId="8" xfId="2" applyFont="1" applyFill="1" applyBorder="1" applyAlignment="1">
      <alignment horizontal="center" vertical="center"/>
    </xf>
    <xf numFmtId="1" fontId="3" fillId="0" borderId="8" xfId="6" applyNumberFormat="1" applyFont="1" applyFill="1" applyBorder="1" applyAlignment="1" applyProtection="1">
      <alignment horizontal="center" vertical="center" wrapText="1"/>
    </xf>
    <xf numFmtId="0" fontId="3" fillId="0" borderId="8" xfId="6" applyFont="1" applyFill="1" applyBorder="1" applyAlignment="1" applyProtection="1">
      <alignment horizontal="center" vertical="center" wrapText="1"/>
    </xf>
    <xf numFmtId="0" fontId="2" fillId="0" borderId="0" xfId="6" applyFont="1" applyFill="1" applyBorder="1" applyAlignment="1" applyProtection="1">
      <alignment horizontal="left" vertical="top" wrapText="1"/>
    </xf>
    <xf numFmtId="0" fontId="3" fillId="0" borderId="8" xfId="21" applyFont="1" applyFill="1" applyBorder="1" applyAlignment="1">
      <alignment horizontal="center" vertical="top" wrapText="1"/>
    </xf>
    <xf numFmtId="0" fontId="3" fillId="0" borderId="8" xfId="21" applyFont="1" applyFill="1" applyBorder="1" applyAlignment="1">
      <alignment horizontal="center" vertical="top"/>
    </xf>
    <xf numFmtId="166" fontId="7" fillId="0" borderId="8" xfId="4" applyNumberFormat="1" applyFont="1" applyFill="1" applyBorder="1" applyAlignment="1">
      <alignment horizontal="left" vertical="center" wrapText="1"/>
    </xf>
    <xf numFmtId="1" fontId="7" fillId="0" borderId="8" xfId="14" applyNumberFormat="1" applyFont="1" applyFill="1" applyBorder="1" applyAlignment="1">
      <alignment horizontal="center" vertical="center" wrapText="1"/>
    </xf>
    <xf numFmtId="1" fontId="7" fillId="0" borderId="8" xfId="0" applyNumberFormat="1" applyFont="1" applyFill="1" applyBorder="1" applyAlignment="1">
      <alignment horizontal="center" vertical="center" wrapText="1"/>
    </xf>
    <xf numFmtId="0" fontId="12" fillId="0" borderId="16" xfId="0" applyFont="1" applyFill="1" applyBorder="1" applyAlignment="1">
      <alignment horizontal="center" vertical="center"/>
    </xf>
    <xf numFmtId="0" fontId="12" fillId="0" borderId="8" xfId="0" applyFont="1" applyFill="1" applyBorder="1" applyAlignment="1">
      <alignment horizontal="center" vertical="center" wrapText="1"/>
    </xf>
    <xf numFmtId="0" fontId="8" fillId="2" borderId="8" xfId="0" applyFont="1" applyFill="1" applyBorder="1" applyAlignment="1">
      <alignment horizontal="center" vertical="center"/>
    </xf>
    <xf numFmtId="0" fontId="8" fillId="0" borderId="0" xfId="0" applyFont="1" applyAlignment="1">
      <alignment horizontal="center" vertical="center"/>
    </xf>
    <xf numFmtId="0" fontId="20" fillId="0" borderId="8" xfId="0" applyFont="1" applyFill="1" applyBorder="1" applyAlignment="1">
      <alignment horizontal="center" vertical="center"/>
    </xf>
    <xf numFmtId="0" fontId="16" fillId="0" borderId="0" xfId="0" applyFont="1" applyFill="1" applyAlignment="1"/>
    <xf numFmtId="1" fontId="7" fillId="0" borderId="4" xfId="27" applyNumberFormat="1" applyFont="1" applyFill="1" applyBorder="1" applyAlignment="1">
      <alignment horizontal="left" vertical="center" wrapText="1"/>
    </xf>
    <xf numFmtId="1" fontId="7" fillId="0" borderId="0" xfId="27" applyNumberFormat="1" applyFont="1" applyFill="1" applyAlignment="1">
      <alignment horizontal="left" vertical="center" wrapText="1"/>
    </xf>
    <xf numFmtId="0" fontId="7" fillId="0" borderId="0" xfId="17" quotePrefix="1" applyFont="1" applyFill="1" applyBorder="1" applyAlignment="1">
      <alignment horizontal="left" vertical="center" wrapText="1"/>
    </xf>
    <xf numFmtId="0" fontId="3" fillId="0" borderId="4" xfId="22" applyFont="1" applyBorder="1" applyAlignment="1">
      <alignment vertical="center"/>
    </xf>
    <xf numFmtId="166" fontId="8" fillId="0" borderId="8" xfId="4" applyNumberFormat="1" applyFont="1" applyFill="1" applyBorder="1" applyAlignment="1">
      <alignment horizontal="right"/>
    </xf>
    <xf numFmtId="165" fontId="8" fillId="0" borderId="8" xfId="4" applyFont="1" applyFill="1" applyBorder="1" applyAlignment="1">
      <alignment horizontal="right"/>
    </xf>
    <xf numFmtId="165" fontId="8" fillId="0" borderId="8" xfId="4" applyFont="1" applyFill="1" applyBorder="1"/>
    <xf numFmtId="49" fontId="8" fillId="0" borderId="8" xfId="20" applyNumberFormat="1" applyFont="1" applyFill="1" applyBorder="1" applyAlignment="1">
      <alignment horizontal="right"/>
    </xf>
    <xf numFmtId="171" fontId="8" fillId="0" borderId="8" xfId="20" applyNumberFormat="1" applyFont="1" applyFill="1" applyBorder="1" applyAlignment="1">
      <alignment horizontal="right"/>
    </xf>
    <xf numFmtId="171" fontId="8" fillId="0" borderId="8" xfId="20" applyNumberFormat="1" applyFont="1" applyFill="1" applyBorder="1"/>
    <xf numFmtId="2" fontId="8" fillId="0" borderId="8" xfId="20" applyNumberFormat="1" applyFont="1" applyFill="1" applyBorder="1" applyAlignment="1">
      <alignment horizontal="right"/>
    </xf>
    <xf numFmtId="2" fontId="8" fillId="0" borderId="8" xfId="20" applyNumberFormat="1" applyFont="1" applyFill="1" applyBorder="1"/>
    <xf numFmtId="172" fontId="8" fillId="0" borderId="8" xfId="20" applyNumberFormat="1" applyFont="1" applyFill="1" applyBorder="1" applyAlignment="1">
      <alignment horizontal="right"/>
    </xf>
    <xf numFmtId="1" fontId="8" fillId="0" borderId="8" xfId="20" applyNumberFormat="1" applyFont="1" applyFill="1" applyBorder="1" applyAlignment="1">
      <alignment horizontal="right"/>
    </xf>
    <xf numFmtId="2" fontId="8" fillId="0" borderId="8" xfId="1" applyNumberFormat="1" applyFont="1" applyFill="1" applyBorder="1" applyAlignment="1">
      <alignment horizontal="right"/>
    </xf>
    <xf numFmtId="49" fontId="8" fillId="0" borderId="8" xfId="1" applyNumberFormat="1" applyFont="1" applyFill="1" applyBorder="1" applyAlignment="1">
      <alignment horizontal="right"/>
    </xf>
    <xf numFmtId="166" fontId="7" fillId="0" borderId="8" xfId="4" applyNumberFormat="1" applyFont="1" applyFill="1" applyBorder="1" applyAlignment="1">
      <alignment horizontal="right"/>
    </xf>
    <xf numFmtId="165" fontId="7" fillId="0" borderId="8" xfId="4" applyFont="1" applyFill="1" applyBorder="1" applyAlignment="1">
      <alignment horizontal="right"/>
    </xf>
    <xf numFmtId="165" fontId="7" fillId="0" borderId="8" xfId="4" applyFont="1" applyFill="1" applyBorder="1" applyAlignment="1">
      <alignment horizontal="right" wrapText="1"/>
    </xf>
    <xf numFmtId="171" fontId="7" fillId="0" borderId="8" xfId="20" applyNumberFormat="1" applyFont="1" applyFill="1" applyBorder="1"/>
    <xf numFmtId="49" fontId="7" fillId="0" borderId="8" xfId="20" applyNumberFormat="1" applyFont="1" applyFill="1" applyBorder="1" applyAlignment="1">
      <alignment horizontal="right"/>
    </xf>
    <xf numFmtId="171" fontId="7" fillId="0" borderId="8" xfId="20" applyNumberFormat="1" applyFont="1" applyFill="1" applyBorder="1" applyAlignment="1">
      <alignment horizontal="right" wrapText="1"/>
    </xf>
    <xf numFmtId="170" fontId="8" fillId="0" borderId="8" xfId="11" applyNumberFormat="1" applyFont="1" applyFill="1" applyBorder="1"/>
    <xf numFmtId="9" fontId="21" fillId="0" borderId="0" xfId="11" applyFont="1" applyFill="1"/>
    <xf numFmtId="0" fontId="2" fillId="0" borderId="0" xfId="1" applyFont="1" applyFill="1" applyBorder="1" applyAlignment="1">
      <alignment vertical="top"/>
    </xf>
    <xf numFmtId="0" fontId="2" fillId="0" borderId="0" xfId="7" applyFont="1" applyFill="1" applyBorder="1"/>
    <xf numFmtId="0" fontId="2" fillId="0" borderId="0" xfId="1" applyFont="1" applyFill="1" applyBorder="1"/>
    <xf numFmtId="0" fontId="3" fillId="0" borderId="0" xfId="1" applyFont="1" applyFill="1" applyBorder="1"/>
    <xf numFmtId="0" fontId="2" fillId="0" borderId="0" xfId="25" applyFont="1" applyFill="1" applyBorder="1" applyAlignment="1" applyProtection="1">
      <alignment vertical="center"/>
      <protection locked="0"/>
    </xf>
    <xf numFmtId="0" fontId="2" fillId="0" borderId="0" xfId="25" applyFont="1" applyFill="1" applyBorder="1" applyAlignment="1" applyProtection="1">
      <alignment vertical="center" wrapText="1"/>
      <protection locked="0"/>
    </xf>
    <xf numFmtId="0" fontId="2" fillId="0" borderId="0" xfId="6" applyFont="1" applyFill="1" applyBorder="1" applyAlignment="1" applyProtection="1">
      <alignment horizontal="left"/>
    </xf>
    <xf numFmtId="1" fontId="2" fillId="0" borderId="0" xfId="6" applyNumberFormat="1" applyFont="1" applyFill="1" applyBorder="1" applyProtection="1"/>
    <xf numFmtId="0" fontId="2" fillId="0" borderId="0" xfId="6" applyFont="1" applyFill="1" applyBorder="1" applyProtection="1"/>
    <xf numFmtId="0" fontId="2" fillId="0" borderId="8" xfId="6" applyFont="1" applyFill="1" applyBorder="1" applyAlignment="1" applyProtection="1">
      <alignment horizontal="center" vertical="center"/>
    </xf>
    <xf numFmtId="0" fontId="8" fillId="0" borderId="8" xfId="0" applyFont="1" applyBorder="1" applyAlignment="1" applyProtection="1">
      <alignment horizontal="center" vertical="center"/>
    </xf>
    <xf numFmtId="175" fontId="2" fillId="0" borderId="0" xfId="19" applyNumberFormat="1" applyFont="1" applyFill="1" applyBorder="1"/>
    <xf numFmtId="0" fontId="2" fillId="0" borderId="8" xfId="19" applyFont="1" applyBorder="1"/>
    <xf numFmtId="0" fontId="3" fillId="0" borderId="8" xfId="19" applyFont="1" applyFill="1" applyBorder="1"/>
    <xf numFmtId="2" fontId="3" fillId="0" borderId="8" xfId="19" applyNumberFormat="1" applyFont="1" applyFill="1" applyBorder="1"/>
    <xf numFmtId="1" fontId="2" fillId="0" borderId="8" xfId="19" applyNumberFormat="1" applyFont="1" applyFill="1" applyBorder="1" applyProtection="1">
      <protection locked="0"/>
    </xf>
    <xf numFmtId="2" fontId="2" fillId="0" borderId="8" xfId="19" applyNumberFormat="1" applyFont="1" applyFill="1" applyBorder="1" applyProtection="1">
      <protection locked="0"/>
    </xf>
    <xf numFmtId="10" fontId="2" fillId="0" borderId="8" xfId="24" applyNumberFormat="1" applyFont="1" applyFill="1" applyBorder="1" applyAlignment="1">
      <alignment horizontal="right"/>
    </xf>
    <xf numFmtId="0" fontId="2" fillId="0" borderId="8" xfId="19" applyFont="1" applyBorder="1" applyAlignment="1">
      <alignment horizontal="center"/>
    </xf>
    <xf numFmtId="10" fontId="3" fillId="0" borderId="8" xfId="24" applyNumberFormat="1" applyFont="1" applyFill="1" applyBorder="1" applyAlignment="1">
      <alignment horizontal="right"/>
    </xf>
    <xf numFmtId="0" fontId="3" fillId="0" borderId="8" xfId="19" applyFont="1" applyBorder="1" applyAlignment="1">
      <alignment horizontal="left" vertical="center"/>
    </xf>
    <xf numFmtId="2" fontId="3" fillId="0" borderId="0" xfId="21" applyNumberFormat="1" applyFont="1" applyFill="1" applyBorder="1"/>
    <xf numFmtId="178" fontId="2" fillId="0" borderId="0" xfId="21" applyNumberFormat="1" applyFont="1" applyFill="1" applyBorder="1"/>
    <xf numFmtId="0" fontId="2" fillId="0" borderId="0" xfId="21" applyFont="1" applyFill="1" applyBorder="1" applyAlignment="1">
      <alignment vertical="top"/>
    </xf>
    <xf numFmtId="0" fontId="8" fillId="0" borderId="0" xfId="0" applyFont="1" applyFill="1" applyAlignment="1">
      <alignment horizontal="right" vertical="center"/>
    </xf>
    <xf numFmtId="0" fontId="7" fillId="0" borderId="0" xfId="0" applyFont="1" applyFill="1" applyAlignment="1">
      <alignment vertical="center"/>
    </xf>
    <xf numFmtId="0" fontId="7" fillId="0" borderId="0" xfId="17" quotePrefix="1" applyFont="1" applyFill="1" applyBorder="1" applyAlignment="1">
      <alignment vertical="center"/>
    </xf>
    <xf numFmtId="0" fontId="8" fillId="0" borderId="0" xfId="0" applyFont="1" applyFill="1" applyBorder="1" applyAlignment="1">
      <alignment horizontal="left" vertical="center"/>
    </xf>
    <xf numFmtId="0" fontId="8" fillId="0" borderId="0" xfId="0" applyFont="1" applyFill="1" applyAlignment="1">
      <alignment horizontal="left" vertical="center"/>
    </xf>
    <xf numFmtId="0" fontId="8" fillId="0" borderId="0" xfId="0" applyFont="1" applyFill="1" applyBorder="1" applyAlignment="1">
      <alignment vertical="center"/>
    </xf>
    <xf numFmtId="0" fontId="8" fillId="0" borderId="0" xfId="0" applyFont="1" applyFill="1" applyAlignment="1">
      <alignment vertical="center"/>
    </xf>
    <xf numFmtId="0" fontId="8" fillId="0" borderId="0" xfId="0" applyFont="1" applyFill="1" applyAlignment="1">
      <alignment horizontal="center" vertical="center"/>
    </xf>
    <xf numFmtId="43" fontId="8" fillId="0" borderId="8" xfId="0" applyNumberFormat="1" applyFont="1" applyFill="1" applyBorder="1" applyAlignment="1" applyProtection="1">
      <alignment vertical="center"/>
      <protection locked="0"/>
    </xf>
    <xf numFmtId="43" fontId="8" fillId="0" borderId="0" xfId="0" applyNumberFormat="1" applyFont="1" applyFill="1" applyAlignment="1">
      <alignment vertical="center"/>
    </xf>
    <xf numFmtId="43" fontId="7" fillId="0" borderId="8" xfId="0" applyNumberFormat="1" applyFont="1" applyFill="1" applyBorder="1" applyAlignment="1" applyProtection="1">
      <alignment vertical="center"/>
      <protection locked="0"/>
    </xf>
    <xf numFmtId="0" fontId="8" fillId="0" borderId="0" xfId="0" applyFont="1" applyFill="1" applyAlignment="1">
      <alignment vertical="center" wrapText="1"/>
    </xf>
    <xf numFmtId="1" fontId="8" fillId="0" borderId="0" xfId="0" applyNumberFormat="1" applyFont="1" applyFill="1" applyBorder="1" applyAlignment="1">
      <alignment vertical="center"/>
    </xf>
    <xf numFmtId="167" fontId="8" fillId="0" borderId="0" xfId="0" applyNumberFormat="1" applyFont="1" applyFill="1" applyBorder="1" applyAlignment="1">
      <alignment vertical="center"/>
    </xf>
    <xf numFmtId="1" fontId="7" fillId="0" borderId="0" xfId="0" applyNumberFormat="1" applyFont="1" applyFill="1" applyBorder="1" applyAlignment="1">
      <alignment vertical="center"/>
    </xf>
    <xf numFmtId="2" fontId="2" fillId="0" borderId="0" xfId="21" applyNumberFormat="1" applyFont="1" applyBorder="1"/>
    <xf numFmtId="0" fontId="3" fillId="0" borderId="7" xfId="19" applyFont="1" applyBorder="1" applyAlignment="1">
      <alignment horizontal="left" vertical="center"/>
    </xf>
    <xf numFmtId="0" fontId="22" fillId="2" borderId="8" xfId="28" applyFill="1" applyBorder="1" applyAlignment="1">
      <alignment horizontal="left" vertical="center"/>
    </xf>
    <xf numFmtId="0" fontId="22" fillId="0" borderId="0" xfId="28" applyAlignment="1">
      <alignment horizontal="left" vertical="center"/>
    </xf>
    <xf numFmtId="0" fontId="22" fillId="0" borderId="22" xfId="28" applyFill="1" applyBorder="1" applyAlignment="1">
      <alignment horizontal="left" vertical="center"/>
    </xf>
    <xf numFmtId="0" fontId="22" fillId="0" borderId="22" xfId="28" applyFill="1" applyBorder="1" applyAlignment="1">
      <alignment horizontal="left" vertical="center" wrapText="1"/>
    </xf>
    <xf numFmtId="0" fontId="7" fillId="0" borderId="0" xfId="7" applyFont="1" applyFill="1" applyBorder="1" applyAlignment="1">
      <alignment horizontal="center" vertical="center"/>
    </xf>
    <xf numFmtId="0" fontId="2" fillId="0" borderId="0" xfId="25" applyFont="1" applyFill="1" applyBorder="1" applyAlignment="1" applyProtection="1">
      <alignment horizontal="left" vertical="center" wrapText="1"/>
      <protection locked="0"/>
    </xf>
    <xf numFmtId="0" fontId="2" fillId="0" borderId="0" xfId="6" applyFont="1" applyFill="1" applyBorder="1" applyAlignment="1" applyProtection="1">
      <alignment horizontal="left" vertical="top" wrapText="1"/>
    </xf>
    <xf numFmtId="0" fontId="3" fillId="0" borderId="8" xfId="6" applyFont="1" applyFill="1" applyBorder="1" applyAlignment="1" applyProtection="1">
      <alignment horizontal="center" vertical="center" wrapText="1"/>
    </xf>
    <xf numFmtId="1" fontId="7" fillId="0" borderId="8" xfId="14" applyNumberFormat="1" applyFont="1" applyFill="1" applyBorder="1" applyAlignment="1">
      <alignment horizontal="center" vertical="center" wrapText="1"/>
    </xf>
    <xf numFmtId="0" fontId="3" fillId="0" borderId="3" xfId="3" applyNumberFormat="1" applyFont="1" applyFill="1" applyBorder="1" applyAlignment="1">
      <alignment horizontal="center" vertical="center"/>
    </xf>
    <xf numFmtId="0" fontId="6" fillId="0" borderId="3" xfId="1" applyFont="1" applyFill="1" applyBorder="1" applyAlignment="1">
      <alignment horizontal="center" vertical="center"/>
    </xf>
    <xf numFmtId="0" fontId="3" fillId="0" borderId="3" xfId="1" applyFont="1" applyFill="1" applyBorder="1" applyAlignment="1">
      <alignment horizontal="center" vertical="center"/>
    </xf>
    <xf numFmtId="0" fontId="3" fillId="3" borderId="8" xfId="5" applyFont="1" applyFill="1" applyBorder="1" applyAlignment="1">
      <alignment horizontal="center" vertical="center" wrapText="1"/>
    </xf>
    <xf numFmtId="0" fontId="8" fillId="0" borderId="8" xfId="6" applyFont="1" applyFill="1" applyBorder="1" applyAlignment="1">
      <alignment horizontal="center" vertical="center"/>
    </xf>
    <xf numFmtId="0" fontId="8" fillId="0" borderId="8" xfId="6" applyFont="1" applyFill="1" applyBorder="1"/>
    <xf numFmtId="0" fontId="3" fillId="3" borderId="8" xfId="7" applyFont="1" applyFill="1" applyBorder="1" applyAlignment="1">
      <alignment horizontal="center"/>
    </xf>
    <xf numFmtId="0" fontId="2" fillId="0" borderId="8" xfId="1" applyFont="1" applyFill="1" applyBorder="1"/>
    <xf numFmtId="1" fontId="3" fillId="0" borderId="3" xfId="6" applyNumberFormat="1" applyFont="1" applyFill="1" applyBorder="1" applyAlignment="1" applyProtection="1">
      <alignment horizontal="center" vertical="center" wrapText="1"/>
    </xf>
    <xf numFmtId="0" fontId="3" fillId="0" borderId="3" xfId="6" applyFont="1" applyFill="1" applyBorder="1" applyAlignment="1" applyProtection="1">
      <alignment horizontal="center" vertical="center"/>
    </xf>
    <xf numFmtId="0" fontId="3" fillId="0" borderId="3" xfId="6" applyFont="1" applyFill="1" applyBorder="1" applyAlignment="1" applyProtection="1">
      <alignment horizontal="center" vertical="center" wrapText="1"/>
    </xf>
    <xf numFmtId="0" fontId="3" fillId="0" borderId="3" xfId="6" applyFont="1" applyFill="1" applyBorder="1" applyAlignment="1" applyProtection="1">
      <alignment horizontal="right"/>
    </xf>
    <xf numFmtId="0" fontId="7" fillId="0" borderId="8" xfId="0" applyFont="1" applyFill="1" applyBorder="1" applyAlignment="1" applyProtection="1">
      <alignment horizontal="center" wrapText="1"/>
    </xf>
    <xf numFmtId="0" fontId="0" fillId="0" borderId="8" xfId="0" applyBorder="1"/>
    <xf numFmtId="0" fontId="2" fillId="2" borderId="0" xfId="25" applyFont="1" applyFill="1" applyBorder="1" applyAlignment="1" applyProtection="1">
      <alignment horizontal="left" vertical="center" wrapText="1"/>
      <protection locked="0"/>
    </xf>
    <xf numFmtId="0" fontId="7" fillId="0" borderId="3" xfId="20" applyFont="1" applyFill="1" applyBorder="1" applyAlignment="1">
      <alignment horizontal="center"/>
    </xf>
    <xf numFmtId="2" fontId="7" fillId="0" borderId="3" xfId="19" applyNumberFormat="1" applyFont="1" applyFill="1" applyBorder="1"/>
    <xf numFmtId="0" fontId="7" fillId="0" borderId="3" xfId="22" applyFont="1" applyFill="1" applyBorder="1" applyAlignment="1">
      <alignment horizontal="center"/>
    </xf>
    <xf numFmtId="0" fontId="3" fillId="0" borderId="3" xfId="22" applyFont="1" applyFill="1" applyBorder="1" applyAlignment="1">
      <alignment horizontal="center"/>
    </xf>
    <xf numFmtId="2" fontId="3" fillId="0" borderId="3" xfId="22" applyNumberFormat="1" applyFont="1" applyFill="1" applyBorder="1" applyAlignment="1">
      <alignment horizontal="center"/>
    </xf>
    <xf numFmtId="0" fontId="3" fillId="0" borderId="3" xfId="21" applyFont="1" applyFill="1" applyBorder="1" applyAlignment="1">
      <alignment horizontal="center" vertical="center"/>
    </xf>
    <xf numFmtId="43" fontId="8" fillId="2" borderId="8" xfId="18" applyFont="1" applyFill="1" applyBorder="1"/>
    <xf numFmtId="43" fontId="7" fillId="2" borderId="8" xfId="18" applyFont="1" applyFill="1" applyBorder="1"/>
    <xf numFmtId="166" fontId="7" fillId="0" borderId="3" xfId="4" applyNumberFormat="1" applyFont="1" applyFill="1" applyBorder="1" applyAlignment="1">
      <alignment horizontal="left" vertical="center" wrapText="1"/>
    </xf>
    <xf numFmtId="0" fontId="7" fillId="0" borderId="3" xfId="0" applyFont="1" applyFill="1" applyBorder="1" applyAlignment="1">
      <alignment horizontal="center" vertical="center"/>
    </xf>
    <xf numFmtId="0" fontId="7" fillId="0" borderId="3" xfId="0" applyFont="1" applyFill="1" applyBorder="1" applyAlignment="1" applyProtection="1">
      <alignment horizontal="center" vertical="center"/>
      <protection locked="0"/>
    </xf>
    <xf numFmtId="0" fontId="7" fillId="0" borderId="8" xfId="0" applyFont="1" applyFill="1" applyBorder="1" applyAlignment="1">
      <alignment horizontal="right" vertical="center"/>
    </xf>
    <xf numFmtId="43" fontId="8" fillId="2" borderId="8" xfId="0" applyNumberFormat="1" applyFont="1" applyFill="1" applyBorder="1" applyAlignment="1">
      <alignment vertical="center"/>
    </xf>
    <xf numFmtId="43" fontId="8" fillId="0" borderId="8" xfId="0" applyNumberFormat="1" applyFont="1" applyFill="1" applyBorder="1" applyAlignment="1">
      <alignment vertical="center"/>
    </xf>
    <xf numFmtId="0" fontId="6" fillId="0" borderId="8" xfId="1" applyFont="1" applyFill="1" applyBorder="1" applyAlignment="1">
      <alignment horizontal="center" vertical="center"/>
    </xf>
    <xf numFmtId="166" fontId="2" fillId="0" borderId="8" xfId="8" applyNumberFormat="1" applyFont="1" applyFill="1" applyBorder="1" applyAlignment="1">
      <alignment vertical="center" wrapText="1"/>
    </xf>
    <xf numFmtId="166" fontId="6" fillId="0" borderId="8" xfId="8" applyNumberFormat="1" applyFont="1" applyFill="1" applyBorder="1" applyAlignment="1">
      <alignment vertical="center" wrapText="1"/>
    </xf>
    <xf numFmtId="0" fontId="8" fillId="0" borderId="8" xfId="6" applyFont="1" applyFill="1" applyBorder="1" applyAlignment="1">
      <alignment vertical="center"/>
    </xf>
    <xf numFmtId="166" fontId="7" fillId="0" borderId="8" xfId="6" applyNumberFormat="1" applyFont="1" applyFill="1" applyBorder="1" applyAlignment="1">
      <alignment horizontal="right" vertical="center"/>
    </xf>
    <xf numFmtId="0" fontId="7" fillId="0" borderId="8" xfId="6" applyFont="1" applyFill="1" applyBorder="1" applyAlignment="1">
      <alignment vertical="center"/>
    </xf>
    <xf numFmtId="166" fontId="2" fillId="0" borderId="8" xfId="8" applyNumberFormat="1" applyFont="1" applyFill="1" applyBorder="1" applyAlignment="1"/>
    <xf numFmtId="166" fontId="2" fillId="0" borderId="8" xfId="8" applyNumberFormat="1" applyFont="1" applyFill="1" applyBorder="1" applyAlignment="1" applyProtection="1">
      <alignment horizontal="right"/>
    </xf>
    <xf numFmtId="166" fontId="3" fillId="0" borderId="8" xfId="8" applyNumberFormat="1" applyFont="1" applyFill="1" applyBorder="1" applyAlignment="1" applyProtection="1">
      <alignment horizontal="right"/>
    </xf>
    <xf numFmtId="0" fontId="8" fillId="0" borderId="0" xfId="0" applyFont="1" applyBorder="1" applyAlignment="1">
      <alignment vertical="center"/>
    </xf>
    <xf numFmtId="0" fontId="0" fillId="0" borderId="0" xfId="0" applyBorder="1" applyAlignment="1">
      <alignment vertical="center"/>
    </xf>
    <xf numFmtId="43" fontId="7" fillId="0" borderId="8" xfId="0" applyNumberFormat="1" applyFont="1" applyFill="1" applyBorder="1" applyAlignment="1">
      <alignment vertical="center"/>
    </xf>
    <xf numFmtId="1" fontId="8" fillId="0" borderId="22" xfId="27" applyNumberFormat="1" applyFont="1" applyFill="1" applyBorder="1" applyAlignment="1" applyProtection="1">
      <alignment horizontal="right"/>
      <protection locked="0"/>
    </xf>
    <xf numFmtId="1" fontId="8" fillId="0" borderId="5" xfId="27" applyNumberFormat="1" applyFont="1" applyFill="1" applyBorder="1" applyAlignment="1" applyProtection="1">
      <alignment horizontal="right"/>
      <protection locked="0"/>
    </xf>
    <xf numFmtId="1" fontId="7" fillId="0" borderId="23" xfId="27" applyNumberFormat="1" applyFont="1" applyFill="1" applyBorder="1" applyAlignment="1" applyProtection="1">
      <alignment horizontal="right"/>
      <protection locked="0"/>
    </xf>
    <xf numFmtId="1" fontId="8" fillId="0" borderId="8" xfId="27" applyNumberFormat="1" applyFont="1" applyFill="1" applyBorder="1"/>
    <xf numFmtId="1" fontId="7" fillId="0" borderId="8" xfId="27" applyNumberFormat="1" applyFont="1" applyFill="1" applyBorder="1"/>
    <xf numFmtId="1" fontId="7" fillId="0" borderId="9" xfId="14" applyNumberFormat="1" applyFont="1" applyFill="1" applyBorder="1" applyAlignment="1">
      <alignment horizontal="center" vertical="top" wrapText="1"/>
    </xf>
    <xf numFmtId="9" fontId="8" fillId="0" borderId="8" xfId="11" applyFont="1" applyFill="1" applyBorder="1"/>
    <xf numFmtId="10" fontId="8" fillId="2" borderId="8" xfId="11" applyNumberFormat="1" applyFont="1" applyFill="1" applyBorder="1"/>
    <xf numFmtId="9" fontId="8" fillId="2" borderId="8" xfId="11" applyFont="1" applyFill="1" applyBorder="1"/>
    <xf numFmtId="1" fontId="0" fillId="0" borderId="0" xfId="0" applyNumberFormat="1" applyBorder="1" applyAlignment="1">
      <alignment horizontal="right" vertical="center"/>
    </xf>
    <xf numFmtId="0" fontId="7" fillId="0" borderId="8" xfId="0" applyFont="1" applyBorder="1" applyAlignment="1" applyProtection="1">
      <alignment vertical="center" wrapText="1"/>
    </xf>
    <xf numFmtId="0" fontId="7" fillId="0" borderId="8" xfId="0" applyFont="1" applyBorder="1" applyAlignment="1" applyProtection="1">
      <alignment horizontal="left" vertical="center" wrapText="1"/>
    </xf>
    <xf numFmtId="0" fontId="7" fillId="0" borderId="8" xfId="0" applyFont="1" applyBorder="1" applyAlignment="1" applyProtection="1">
      <alignment horizontal="right" vertical="center"/>
      <protection locked="0"/>
    </xf>
    <xf numFmtId="1" fontId="7" fillId="0" borderId="8" xfId="0" applyNumberFormat="1" applyFont="1" applyBorder="1" applyAlignment="1" applyProtection="1">
      <alignment horizontal="right" vertical="center"/>
    </xf>
    <xf numFmtId="0" fontId="8" fillId="0" borderId="8" xfId="0" applyFont="1" applyBorder="1" applyAlignment="1" applyProtection="1">
      <alignment vertical="center" wrapText="1"/>
    </xf>
    <xf numFmtId="0" fontId="8" fillId="0" borderId="8" xfId="0" applyFont="1" applyBorder="1" applyAlignment="1" applyProtection="1">
      <alignment horizontal="left"/>
      <protection locked="0"/>
    </xf>
    <xf numFmtId="0" fontId="8" fillId="0" borderId="8" xfId="0" applyFont="1" applyBorder="1" applyAlignment="1" applyProtection="1">
      <alignment horizontal="left" vertical="center" wrapText="1"/>
    </xf>
    <xf numFmtId="0" fontId="0" fillId="0" borderId="8" xfId="0" applyBorder="1" applyAlignment="1" applyProtection="1">
      <alignment horizontal="right"/>
    </xf>
    <xf numFmtId="0" fontId="8" fillId="0" borderId="8" xfId="0" applyFont="1" applyBorder="1" applyAlignment="1" applyProtection="1">
      <alignment horizontal="right" wrapText="1"/>
    </xf>
    <xf numFmtId="0" fontId="0" fillId="0" borderId="8" xfId="0" applyBorder="1" applyProtection="1"/>
    <xf numFmtId="0" fontId="0" fillId="0" borderId="8" xfId="0" applyBorder="1" applyAlignment="1" applyProtection="1">
      <alignment horizontal="right"/>
      <protection locked="0"/>
    </xf>
    <xf numFmtId="1" fontId="0" fillId="0" borderId="8" xfId="18" applyNumberFormat="1" applyFont="1" applyBorder="1" applyAlignment="1">
      <alignment horizontal="right" vertical="center"/>
    </xf>
    <xf numFmtId="43" fontId="0" fillId="0" borderId="0" xfId="18" applyFont="1" applyBorder="1"/>
    <xf numFmtId="43" fontId="0" fillId="0" borderId="0" xfId="0" applyNumberFormat="1" applyBorder="1"/>
    <xf numFmtId="43" fontId="8" fillId="0" borderId="8" xfId="18" applyFont="1" applyBorder="1" applyAlignment="1">
      <alignment horizontal="left"/>
    </xf>
    <xf numFmtId="43" fontId="0" fillId="0" borderId="8" xfId="0" applyNumberFormat="1" applyBorder="1" applyAlignment="1" applyProtection="1">
      <alignment horizontal="right"/>
      <protection locked="0"/>
    </xf>
    <xf numFmtId="0" fontId="0" fillId="0" borderId="8" xfId="0" applyBorder="1" applyAlignment="1" applyProtection="1">
      <alignment horizontal="left"/>
    </xf>
    <xf numFmtId="0" fontId="8" fillId="0" borderId="8" xfId="0" applyFont="1" applyFill="1" applyBorder="1" applyAlignment="1" applyProtection="1">
      <alignment horizontal="left" vertical="center" wrapText="1"/>
    </xf>
    <xf numFmtId="0" fontId="7" fillId="0" borderId="8" xfId="0" applyFont="1" applyFill="1" applyBorder="1" applyAlignment="1" applyProtection="1">
      <alignment horizontal="left" vertical="center" wrapText="1"/>
    </xf>
    <xf numFmtId="0" fontId="7" fillId="0" borderId="8" xfId="0" applyFont="1" applyBorder="1" applyAlignment="1" applyProtection="1">
      <alignment horizontal="left" vertical="center"/>
    </xf>
    <xf numFmtId="0" fontId="7" fillId="0" borderId="8" xfId="0" applyFont="1" applyBorder="1" applyAlignment="1" applyProtection="1">
      <alignment horizontal="right"/>
    </xf>
    <xf numFmtId="0" fontId="7" fillId="0" borderId="8" xfId="0" applyFont="1" applyFill="1" applyBorder="1" applyAlignment="1" applyProtection="1">
      <alignment horizontal="right"/>
    </xf>
    <xf numFmtId="0" fontId="7" fillId="0" borderId="8" xfId="0" applyFont="1" applyBorder="1" applyAlignment="1" applyProtection="1">
      <alignment horizontal="right" wrapText="1"/>
    </xf>
    <xf numFmtId="0" fontId="7" fillId="0" borderId="8" xfId="0" applyFont="1" applyBorder="1" applyAlignment="1" applyProtection="1">
      <alignment horizontal="right" wrapText="1"/>
      <protection locked="0"/>
    </xf>
    <xf numFmtId="1" fontId="16" fillId="0" borderId="8" xfId="18" applyNumberFormat="1" applyFont="1" applyBorder="1" applyAlignment="1">
      <alignment horizontal="right" vertical="center"/>
    </xf>
    <xf numFmtId="0" fontId="0" fillId="0" borderId="0" xfId="0" applyBorder="1" applyProtection="1"/>
    <xf numFmtId="0" fontId="0" fillId="0" borderId="0" xfId="0" applyBorder="1" applyAlignment="1" applyProtection="1">
      <alignment horizontal="left"/>
    </xf>
    <xf numFmtId="0" fontId="0" fillId="0" borderId="0" xfId="0" applyBorder="1" applyAlignment="1" applyProtection="1">
      <alignment horizontal="right"/>
      <protection locked="0"/>
    </xf>
    <xf numFmtId="1" fontId="0" fillId="0" borderId="0" xfId="18" applyNumberFormat="1" applyFont="1" applyBorder="1" applyAlignment="1">
      <alignment horizontal="right" vertical="center"/>
    </xf>
    <xf numFmtId="0" fontId="0" fillId="0" borderId="0" xfId="0" applyBorder="1" applyAlignment="1">
      <alignment horizontal="left"/>
    </xf>
    <xf numFmtId="0" fontId="0" fillId="0" borderId="0" xfId="0" applyBorder="1" applyAlignment="1">
      <alignment horizontal="right"/>
    </xf>
    <xf numFmtId="0" fontId="16" fillId="0" borderId="8" xfId="0" applyFont="1" applyBorder="1"/>
    <xf numFmtId="0" fontId="14" fillId="0" borderId="8" xfId="9" applyFont="1" applyFill="1" applyBorder="1" applyAlignment="1">
      <alignment horizontal="center" vertical="center"/>
    </xf>
    <xf numFmtId="0" fontId="20" fillId="0" borderId="8" xfId="9" applyFont="1" applyFill="1" applyBorder="1" applyAlignment="1">
      <alignment horizontal="center" vertical="center"/>
    </xf>
    <xf numFmtId="0" fontId="2" fillId="0" borderId="8" xfId="25" applyFont="1" applyFill="1" applyBorder="1" applyAlignment="1" applyProtection="1">
      <alignment horizontal="left" vertical="center" wrapText="1"/>
      <protection locked="0"/>
    </xf>
    <xf numFmtId="0" fontId="3" fillId="0" borderId="8" xfId="2" applyFont="1" applyFill="1" applyBorder="1" applyAlignment="1">
      <alignment horizontal="center" vertical="center"/>
    </xf>
    <xf numFmtId="0" fontId="7" fillId="0" borderId="8" xfId="6" quotePrefix="1" applyFont="1" applyFill="1" applyBorder="1" applyAlignment="1">
      <alignment horizontal="center" vertical="center"/>
    </xf>
    <xf numFmtId="0" fontId="2" fillId="0" borderId="0" xfId="5" applyFont="1" applyFill="1" applyBorder="1" applyAlignment="1">
      <alignment horizontal="left" vertical="top" wrapText="1"/>
    </xf>
    <xf numFmtId="0" fontId="3" fillId="0" borderId="0" xfId="5" quotePrefix="1" applyFont="1" applyFill="1" applyBorder="1" applyAlignment="1">
      <alignment horizontal="center" vertical="center"/>
    </xf>
    <xf numFmtId="0" fontId="3" fillId="0" borderId="4" xfId="5" applyFont="1" applyFill="1" applyBorder="1" applyAlignment="1">
      <alignment horizontal="center" vertical="top"/>
    </xf>
    <xf numFmtId="0" fontId="2" fillId="0" borderId="9" xfId="25" applyFont="1" applyFill="1" applyBorder="1" applyAlignment="1" applyProtection="1">
      <alignment horizontal="center" vertical="center" wrapText="1"/>
      <protection locked="0"/>
    </xf>
    <xf numFmtId="0" fontId="2" fillId="0" borderId="10" xfId="25" applyFont="1" applyFill="1" applyBorder="1" applyAlignment="1" applyProtection="1">
      <alignment horizontal="center" vertical="center" wrapText="1"/>
      <protection locked="0"/>
    </xf>
    <xf numFmtId="0" fontId="2" fillId="0" borderId="11" xfId="25" applyFont="1" applyFill="1" applyBorder="1" applyAlignment="1" applyProtection="1">
      <alignment horizontal="center" vertical="center" wrapText="1"/>
      <protection locked="0"/>
    </xf>
    <xf numFmtId="0" fontId="7" fillId="0" borderId="0" xfId="6" quotePrefix="1" applyFont="1" applyFill="1" applyBorder="1" applyAlignment="1">
      <alignment horizontal="center" vertical="center"/>
    </xf>
    <xf numFmtId="0" fontId="7" fillId="0" borderId="4" xfId="6" applyFont="1" applyFill="1" applyBorder="1" applyAlignment="1">
      <alignment horizontal="center" vertical="center"/>
    </xf>
    <xf numFmtId="0" fontId="2" fillId="2" borderId="8" xfId="25" applyFont="1" applyFill="1" applyBorder="1" applyAlignment="1" applyProtection="1">
      <alignment horizontal="left" vertical="center" wrapText="1"/>
      <protection locked="0"/>
    </xf>
    <xf numFmtId="0" fontId="8" fillId="0" borderId="8" xfId="1" applyFont="1" applyFill="1" applyBorder="1" applyAlignment="1">
      <alignment horizontal="left" vertical="center"/>
    </xf>
    <xf numFmtId="0" fontId="7" fillId="0" borderId="0" xfId="7" applyFont="1" applyFill="1" applyBorder="1" applyAlignment="1">
      <alignment horizontal="center" vertical="center"/>
    </xf>
    <xf numFmtId="0" fontId="7" fillId="0" borderId="8" xfId="3" applyNumberFormat="1" applyFont="1" applyFill="1" applyBorder="1" applyAlignment="1">
      <alignment horizontal="center" vertical="center"/>
    </xf>
    <xf numFmtId="0" fontId="7" fillId="0" borderId="9" xfId="7" applyFont="1" applyFill="1" applyBorder="1" applyAlignment="1">
      <alignment horizontal="center" vertical="center" wrapText="1"/>
    </xf>
    <xf numFmtId="0" fontId="7" fillId="0" borderId="10" xfId="7" applyFont="1" applyFill="1" applyBorder="1" applyAlignment="1">
      <alignment horizontal="center" vertical="center" wrapText="1"/>
    </xf>
    <xf numFmtId="0" fontId="7" fillId="0" borderId="11" xfId="7" applyFont="1" applyFill="1" applyBorder="1" applyAlignment="1">
      <alignment horizontal="center" vertical="center" wrapText="1"/>
    </xf>
    <xf numFmtId="0" fontId="7" fillId="0" borderId="8" xfId="7" applyFont="1" applyFill="1" applyBorder="1" applyAlignment="1">
      <alignment horizontal="center" vertical="center" wrapText="1"/>
    </xf>
    <xf numFmtId="0" fontId="2" fillId="0" borderId="5" xfId="25" applyFont="1" applyFill="1" applyBorder="1" applyAlignment="1" applyProtection="1">
      <alignment horizontal="left" vertical="center" wrapText="1"/>
      <protection locked="0"/>
    </xf>
    <xf numFmtId="0" fontId="2" fillId="0" borderId="0" xfId="25" applyFont="1" applyFill="1" applyBorder="1" applyAlignment="1" applyProtection="1">
      <alignment horizontal="left" vertical="center" wrapText="1"/>
      <protection locked="0"/>
    </xf>
    <xf numFmtId="0" fontId="2" fillId="0" borderId="6" xfId="1" applyFont="1" applyFill="1" applyBorder="1" applyAlignment="1">
      <alignment horizontal="left" vertical="top"/>
    </xf>
    <xf numFmtId="0" fontId="3" fillId="0" borderId="8" xfId="3" applyNumberFormat="1" applyFont="1" applyFill="1" applyBorder="1" applyAlignment="1">
      <alignment horizontal="center" vertical="center"/>
    </xf>
    <xf numFmtId="0" fontId="8" fillId="0" borderId="4" xfId="7" applyFont="1" applyFill="1" applyBorder="1" applyAlignment="1">
      <alignment horizontal="right" vertical="top"/>
    </xf>
    <xf numFmtId="0" fontId="8" fillId="0" borderId="0" xfId="7" applyFont="1" applyFill="1" applyBorder="1" applyAlignment="1">
      <alignment horizontal="right" vertical="top"/>
    </xf>
    <xf numFmtId="0" fontId="7" fillId="0" borderId="0" xfId="1" applyFont="1" applyFill="1" applyBorder="1" applyAlignment="1">
      <alignment horizontal="center" vertical="center"/>
    </xf>
    <xf numFmtId="0" fontId="2" fillId="0" borderId="4" xfId="1" applyFont="1" applyFill="1" applyBorder="1" applyAlignment="1">
      <alignment horizontal="right" vertical="center"/>
    </xf>
    <xf numFmtId="0" fontId="2" fillId="0" borderId="0" xfId="1" applyFont="1" applyFill="1" applyBorder="1" applyAlignment="1">
      <alignment horizontal="right" vertical="center"/>
    </xf>
    <xf numFmtId="1" fontId="3" fillId="0" borderId="9" xfId="6" applyNumberFormat="1" applyFont="1" applyFill="1" applyBorder="1" applyAlignment="1" applyProtection="1">
      <alignment horizontal="center" vertical="center" wrapText="1"/>
    </xf>
    <xf numFmtId="1" fontId="3" fillId="0" borderId="10" xfId="6" applyNumberFormat="1" applyFont="1" applyFill="1" applyBorder="1" applyAlignment="1" applyProtection="1">
      <alignment horizontal="center" vertical="center" wrapText="1"/>
    </xf>
    <xf numFmtId="1" fontId="3" fillId="0" borderId="11" xfId="6" applyNumberFormat="1" applyFont="1" applyFill="1" applyBorder="1" applyAlignment="1" applyProtection="1">
      <alignment horizontal="center" vertical="center" wrapText="1"/>
    </xf>
    <xf numFmtId="0" fontId="3" fillId="0" borderId="9" xfId="6" quotePrefix="1" applyFont="1" applyFill="1" applyBorder="1" applyAlignment="1" applyProtection="1">
      <alignment horizontal="center" vertical="center" wrapText="1"/>
    </xf>
    <xf numFmtId="0" fontId="3" fillId="0" borderId="10" xfId="6" quotePrefix="1" applyFont="1" applyFill="1" applyBorder="1" applyAlignment="1" applyProtection="1">
      <alignment horizontal="center" vertical="center" wrapText="1"/>
    </xf>
    <xf numFmtId="0" fontId="3" fillId="0" borderId="11" xfId="6" quotePrefix="1" applyFont="1" applyFill="1" applyBorder="1" applyAlignment="1" applyProtection="1">
      <alignment horizontal="center" vertical="center" wrapText="1"/>
    </xf>
    <xf numFmtId="1" fontId="3" fillId="0" borderId="8" xfId="25" applyNumberFormat="1" applyFont="1" applyFill="1" applyBorder="1" applyAlignment="1" applyProtection="1">
      <alignment horizontal="center" vertical="center" wrapText="1"/>
    </xf>
    <xf numFmtId="1" fontId="3" fillId="0" borderId="8" xfId="6" applyNumberFormat="1" applyFont="1" applyFill="1" applyBorder="1" applyAlignment="1" applyProtection="1">
      <alignment horizontal="center" vertical="center" wrapText="1"/>
    </xf>
    <xf numFmtId="1" fontId="3" fillId="0" borderId="9" xfId="6" quotePrefix="1" applyNumberFormat="1" applyFont="1" applyFill="1" applyBorder="1" applyAlignment="1" applyProtection="1">
      <alignment horizontal="center" vertical="center" wrapText="1"/>
    </xf>
    <xf numFmtId="1" fontId="3" fillId="0" borderId="10" xfId="6" quotePrefix="1" applyNumberFormat="1" applyFont="1" applyFill="1" applyBorder="1" applyAlignment="1" applyProtection="1">
      <alignment horizontal="center" vertical="center" wrapText="1"/>
    </xf>
    <xf numFmtId="1" fontId="3" fillId="0" borderId="11" xfId="6" quotePrefix="1" applyNumberFormat="1" applyFont="1" applyFill="1" applyBorder="1" applyAlignment="1" applyProtection="1">
      <alignment horizontal="center" vertical="center" wrapText="1"/>
    </xf>
    <xf numFmtId="0" fontId="3" fillId="0" borderId="8" xfId="6" quotePrefix="1" applyFont="1" applyFill="1" applyBorder="1" applyAlignment="1" applyProtection="1">
      <alignment horizontal="center" vertical="center" wrapText="1"/>
    </xf>
    <xf numFmtId="0" fontId="3" fillId="0" borderId="8" xfId="6" applyFont="1" applyFill="1" applyBorder="1" applyAlignment="1" applyProtection="1">
      <alignment horizontal="center" vertical="center" wrapText="1"/>
    </xf>
    <xf numFmtId="0" fontId="3" fillId="0" borderId="9" xfId="6" applyFont="1" applyFill="1" applyBorder="1" applyAlignment="1" applyProtection="1">
      <alignment horizontal="center" vertical="center" wrapText="1"/>
    </xf>
    <xf numFmtId="0" fontId="3" fillId="0" borderId="10" xfId="6" applyFont="1" applyFill="1" applyBorder="1" applyAlignment="1" applyProtection="1">
      <alignment horizontal="center" vertical="center" wrapText="1"/>
    </xf>
    <xf numFmtId="0" fontId="3" fillId="0" borderId="11" xfId="6" applyFont="1" applyFill="1" applyBorder="1" applyAlignment="1" applyProtection="1">
      <alignment horizontal="center" vertical="center" wrapText="1"/>
    </xf>
    <xf numFmtId="0" fontId="2" fillId="0" borderId="0" xfId="6" applyFont="1" applyFill="1" applyBorder="1" applyAlignment="1" applyProtection="1">
      <alignment horizontal="left" vertical="top" wrapText="1"/>
    </xf>
    <xf numFmtId="0" fontId="7" fillId="0" borderId="0" xfId="0" applyFont="1" applyBorder="1" applyAlignment="1" applyProtection="1">
      <alignment horizontal="center" vertical="top" wrapText="1"/>
    </xf>
    <xf numFmtId="0" fontId="8" fillId="0" borderId="4" xfId="0" applyFont="1" applyBorder="1" applyAlignment="1" applyProtection="1">
      <alignment horizontal="right"/>
    </xf>
    <xf numFmtId="0" fontId="7" fillId="0" borderId="0" xfId="0" applyFont="1" applyBorder="1" applyAlignment="1" applyProtection="1">
      <alignment horizontal="center" vertical="center" wrapText="1"/>
    </xf>
    <xf numFmtId="0" fontId="8" fillId="0" borderId="0" xfId="0" applyFont="1" applyBorder="1" applyAlignment="1" applyProtection="1">
      <alignment horizontal="center" vertical="center" wrapText="1"/>
    </xf>
    <xf numFmtId="0" fontId="7" fillId="0" borderId="0" xfId="19" applyFont="1" applyFill="1" applyBorder="1" applyAlignment="1">
      <alignment horizontal="center" vertical="center"/>
    </xf>
    <xf numFmtId="0" fontId="7" fillId="0" borderId="8" xfId="20" applyFont="1" applyFill="1" applyBorder="1" applyAlignment="1">
      <alignment horizontal="left" vertical="top"/>
    </xf>
    <xf numFmtId="0" fontId="8" fillId="0" borderId="8" xfId="20" applyFont="1" applyFill="1" applyBorder="1" applyAlignment="1">
      <alignment horizontal="left" vertical="center"/>
    </xf>
    <xf numFmtId="0" fontId="8" fillId="0" borderId="8" xfId="20" applyFont="1" applyFill="1" applyBorder="1" applyAlignment="1">
      <alignment horizontal="center" vertical="center" wrapText="1"/>
    </xf>
    <xf numFmtId="0" fontId="8" fillId="0" borderId="8" xfId="20" applyFont="1" applyFill="1" applyBorder="1" applyAlignment="1">
      <alignment horizontal="left" vertical="center" wrapText="1"/>
    </xf>
    <xf numFmtId="0" fontId="7" fillId="0" borderId="8" xfId="20" applyFont="1" applyFill="1" applyBorder="1" applyAlignment="1">
      <alignment horizontal="left" vertical="top" wrapText="1"/>
    </xf>
    <xf numFmtId="0" fontId="7" fillId="0" borderId="8" xfId="20" applyFont="1" applyFill="1" applyBorder="1" applyAlignment="1">
      <alignment horizontal="left" vertical="center" wrapText="1"/>
    </xf>
    <xf numFmtId="173" fontId="7" fillId="0" borderId="9" xfId="20" applyNumberFormat="1" applyFont="1" applyFill="1" applyBorder="1" applyAlignment="1">
      <alignment horizontal="center" wrapText="1"/>
    </xf>
    <xf numFmtId="173" fontId="7" fillId="0" borderId="10" xfId="20" applyNumberFormat="1" applyFont="1" applyFill="1" applyBorder="1" applyAlignment="1">
      <alignment horizontal="center" wrapText="1"/>
    </xf>
    <xf numFmtId="173" fontId="7" fillId="0" borderId="11" xfId="20" applyNumberFormat="1" applyFont="1" applyFill="1" applyBorder="1" applyAlignment="1">
      <alignment horizontal="center" wrapText="1"/>
    </xf>
    <xf numFmtId="0" fontId="7" fillId="0" borderId="8" xfId="20" applyFont="1" applyFill="1" applyBorder="1" applyAlignment="1">
      <alignment horizontal="left" vertical="center"/>
    </xf>
    <xf numFmtId="0" fontId="3" fillId="0" borderId="8" xfId="19" applyFont="1" applyFill="1" applyBorder="1" applyAlignment="1">
      <alignment horizontal="center" vertical="top" wrapText="1"/>
    </xf>
    <xf numFmtId="0" fontId="3" fillId="0" borderId="4" xfId="19" applyFont="1" applyFill="1" applyBorder="1" applyAlignment="1">
      <alignment horizontal="center" vertical="center"/>
    </xf>
    <xf numFmtId="0" fontId="3" fillId="0" borderId="8" xfId="19" applyFont="1" applyFill="1" applyBorder="1" applyAlignment="1">
      <alignment horizontal="center" vertical="center"/>
    </xf>
    <xf numFmtId="0" fontId="3" fillId="0" borderId="8" xfId="19" applyFont="1" applyFill="1" applyBorder="1" applyAlignment="1">
      <alignment horizontal="center" vertical="top"/>
    </xf>
    <xf numFmtId="2" fontId="3" fillId="0" borderId="8" xfId="19" applyNumberFormat="1" applyFont="1" applyFill="1" applyBorder="1" applyAlignment="1">
      <alignment horizontal="center" vertical="top" wrapText="1"/>
    </xf>
    <xf numFmtId="164" fontId="3" fillId="0" borderId="8" xfId="23" applyFont="1" applyFill="1" applyBorder="1" applyAlignment="1">
      <alignment horizontal="center" vertical="center"/>
    </xf>
    <xf numFmtId="0" fontId="2" fillId="0" borderId="8" xfId="19" applyFont="1" applyFill="1" applyBorder="1" applyAlignment="1">
      <alignment horizontal="center" vertical="center"/>
    </xf>
    <xf numFmtId="0" fontId="2" fillId="0" borderId="8" xfId="19" applyFont="1" applyFill="1" applyBorder="1" applyAlignment="1">
      <alignment horizontal="left" vertical="center" wrapText="1"/>
    </xf>
    <xf numFmtId="0" fontId="2" fillId="0" borderId="8" xfId="19" applyFont="1" applyFill="1" applyBorder="1" applyAlignment="1">
      <alignment horizontal="center" vertical="center" wrapText="1"/>
    </xf>
    <xf numFmtId="0" fontId="2" fillId="0" borderId="8" xfId="19" applyFont="1" applyFill="1" applyBorder="1" applyAlignment="1">
      <alignment horizontal="left" vertical="center"/>
    </xf>
    <xf numFmtId="0" fontId="2" fillId="0" borderId="8" xfId="19" applyFont="1" applyBorder="1" applyAlignment="1">
      <alignment horizontal="center" vertical="center"/>
    </xf>
    <xf numFmtId="0" fontId="3" fillId="0" borderId="8" xfId="19" applyFont="1" applyFill="1" applyBorder="1" applyAlignment="1">
      <alignment horizontal="left" vertical="center"/>
    </xf>
    <xf numFmtId="0" fontId="2" fillId="0" borderId="7" xfId="22" applyFont="1" applyFill="1" applyBorder="1" applyAlignment="1">
      <alignment horizontal="center" vertical="center" wrapText="1"/>
    </xf>
    <xf numFmtId="0" fontId="2" fillId="0" borderId="3" xfId="22" applyFont="1" applyFill="1" applyBorder="1" applyAlignment="1">
      <alignment horizontal="center" vertical="center" wrapText="1"/>
    </xf>
    <xf numFmtId="0" fontId="2" fillId="0" borderId="7" xfId="22" applyFont="1" applyFill="1" applyBorder="1" applyAlignment="1">
      <alignment horizontal="left" vertical="top" wrapText="1"/>
    </xf>
    <xf numFmtId="0" fontId="2" fillId="0" borderId="3" xfId="22" applyFont="1" applyFill="1" applyBorder="1" applyAlignment="1">
      <alignment horizontal="left" vertical="top" wrapText="1"/>
    </xf>
    <xf numFmtId="0" fontId="3" fillId="0" borderId="7" xfId="22" applyFont="1" applyFill="1" applyBorder="1" applyAlignment="1">
      <alignment horizontal="left" vertical="top" wrapText="1"/>
    </xf>
    <xf numFmtId="0" fontId="3" fillId="0" borderId="3" xfId="22" applyFont="1" applyFill="1" applyBorder="1" applyAlignment="1">
      <alignment horizontal="left" vertical="top" wrapText="1"/>
    </xf>
    <xf numFmtId="0" fontId="3" fillId="0" borderId="7" xfId="22" applyFont="1" applyFill="1" applyBorder="1" applyAlignment="1">
      <alignment horizontal="center" vertical="center" wrapText="1"/>
    </xf>
    <xf numFmtId="0" fontId="3" fillId="0" borderId="3" xfId="22" applyFont="1" applyFill="1" applyBorder="1" applyAlignment="1">
      <alignment horizontal="center" vertical="center" wrapText="1"/>
    </xf>
    <xf numFmtId="0" fontId="3" fillId="0" borderId="4" xfId="22" applyFont="1" applyFill="1" applyBorder="1" applyAlignment="1">
      <alignment horizontal="center" vertical="center"/>
    </xf>
    <xf numFmtId="0" fontId="3" fillId="0" borderId="0" xfId="22" applyFont="1" applyFill="1" applyBorder="1" applyAlignment="1">
      <alignment horizontal="center" vertical="center"/>
    </xf>
    <xf numFmtId="0" fontId="3" fillId="0" borderId="7" xfId="20" applyFont="1" applyFill="1" applyBorder="1" applyAlignment="1">
      <alignment horizontal="left" vertical="center"/>
    </xf>
    <xf numFmtId="0" fontId="3" fillId="0" borderId="3" xfId="20" applyFont="1" applyFill="1" applyBorder="1" applyAlignment="1">
      <alignment horizontal="left" vertical="center"/>
    </xf>
    <xf numFmtId="173" fontId="3" fillId="0" borderId="9" xfId="22" applyNumberFormat="1" applyFont="1" applyFill="1" applyBorder="1" applyAlignment="1">
      <alignment horizontal="center" vertical="center" wrapText="1"/>
    </xf>
    <xf numFmtId="173" fontId="3" fillId="0" borderId="10" xfId="22" applyNumberFormat="1" applyFont="1" applyFill="1" applyBorder="1" applyAlignment="1">
      <alignment horizontal="center" vertical="center" wrapText="1"/>
    </xf>
    <xf numFmtId="173" fontId="3" fillId="0" borderId="11" xfId="22" applyNumberFormat="1" applyFont="1" applyFill="1" applyBorder="1" applyAlignment="1">
      <alignment horizontal="center" vertical="center" wrapText="1"/>
    </xf>
    <xf numFmtId="173" fontId="3" fillId="0" borderId="8" xfId="22" applyNumberFormat="1" applyFont="1" applyFill="1" applyBorder="1" applyAlignment="1">
      <alignment horizontal="center" vertical="center"/>
    </xf>
    <xf numFmtId="0" fontId="2" fillId="0" borderId="0" xfId="21" applyFont="1" applyAlignment="1">
      <alignment horizontal="left" vertical="center" wrapText="1"/>
    </xf>
    <xf numFmtId="0" fontId="0" fillId="0" borderId="0" xfId="0" applyAlignment="1">
      <alignment wrapText="1"/>
    </xf>
    <xf numFmtId="0" fontId="3" fillId="0" borderId="8" xfId="21" applyFont="1" applyFill="1" applyBorder="1" applyAlignment="1">
      <alignment horizontal="center" vertical="top" wrapText="1"/>
    </xf>
    <xf numFmtId="0" fontId="3" fillId="0" borderId="8" xfId="21" applyFont="1" applyFill="1" applyBorder="1" applyAlignment="1">
      <alignment horizontal="center" vertical="top"/>
    </xf>
    <xf numFmtId="0" fontId="2" fillId="0" borderId="2" xfId="19" applyFont="1" applyFill="1" applyBorder="1" applyAlignment="1">
      <alignment horizontal="center" vertical="center"/>
    </xf>
    <xf numFmtId="0" fontId="2" fillId="0" borderId="1" xfId="19" applyFont="1" applyFill="1" applyBorder="1" applyAlignment="1">
      <alignment horizontal="left" vertical="center" wrapText="1"/>
    </xf>
    <xf numFmtId="0" fontId="3" fillId="0" borderId="7" xfId="19" applyFont="1" applyFill="1" applyBorder="1" applyAlignment="1">
      <alignment horizontal="center" vertical="center"/>
    </xf>
    <xf numFmtId="0" fontId="3" fillId="0" borderId="1" xfId="19" applyFont="1" applyFill="1" applyBorder="1" applyAlignment="1">
      <alignment horizontal="center" vertical="center"/>
    </xf>
    <xf numFmtId="0" fontId="3" fillId="0" borderId="3" xfId="19" applyFont="1" applyFill="1" applyBorder="1" applyAlignment="1">
      <alignment horizontal="center" vertical="center"/>
    </xf>
    <xf numFmtId="0" fontId="2" fillId="0" borderId="2" xfId="19" applyFont="1" applyFill="1" applyBorder="1" applyAlignment="1">
      <alignment horizontal="center" vertical="center" wrapText="1"/>
    </xf>
    <xf numFmtId="0" fontId="2" fillId="0" borderId="1" xfId="19" applyFont="1" applyFill="1" applyBorder="1" applyAlignment="1">
      <alignment horizontal="left" vertical="center"/>
    </xf>
    <xf numFmtId="0" fontId="2" fillId="0" borderId="2" xfId="19" applyFont="1" applyFill="1" applyBorder="1" applyAlignment="1">
      <alignment horizontal="left" vertical="center" wrapText="1"/>
    </xf>
    <xf numFmtId="0" fontId="3" fillId="0" borderId="1" xfId="19" applyFont="1" applyFill="1" applyBorder="1" applyAlignment="1">
      <alignment horizontal="left" vertical="center" wrapText="1"/>
    </xf>
    <xf numFmtId="0" fontId="3" fillId="0" borderId="4" xfId="22" applyFont="1" applyBorder="1" applyAlignment="1">
      <alignment horizontal="center" vertical="center" wrapText="1"/>
    </xf>
    <xf numFmtId="0" fontId="2" fillId="0" borderId="0" xfId="21" applyFont="1" applyFill="1" applyBorder="1" applyAlignment="1">
      <alignment horizontal="left" vertical="center" wrapText="1"/>
    </xf>
    <xf numFmtId="166" fontId="7" fillId="0" borderId="9" xfId="4" applyNumberFormat="1" applyFont="1" applyFill="1" applyBorder="1" applyAlignment="1">
      <alignment horizontal="center" vertical="center" wrapText="1"/>
    </xf>
    <xf numFmtId="166" fontId="7" fillId="0" borderId="10" xfId="4" applyNumberFormat="1" applyFont="1" applyFill="1" applyBorder="1" applyAlignment="1">
      <alignment horizontal="center" vertical="center" wrapText="1"/>
    </xf>
    <xf numFmtId="166" fontId="7" fillId="0" borderId="11" xfId="4" applyNumberFormat="1" applyFont="1" applyFill="1" applyBorder="1" applyAlignment="1">
      <alignment horizontal="center" vertical="center" wrapText="1"/>
    </xf>
    <xf numFmtId="166" fontId="7" fillId="0" borderId="8" xfId="4" applyNumberFormat="1" applyFont="1" applyFill="1" applyBorder="1" applyAlignment="1">
      <alignment horizontal="center" vertical="center" wrapText="1"/>
    </xf>
    <xf numFmtId="0" fontId="8" fillId="0" borderId="0" xfId="17" applyFont="1" applyFill="1" applyBorder="1" applyAlignment="1">
      <alignment horizontal="left" vertical="center"/>
    </xf>
    <xf numFmtId="166" fontId="7" fillId="0" borderId="8" xfId="4" applyNumberFormat="1" applyFont="1" applyFill="1" applyBorder="1" applyAlignment="1">
      <alignment horizontal="left" vertical="center" wrapText="1"/>
    </xf>
    <xf numFmtId="1" fontId="7" fillId="0" borderId="8" xfId="14" applyNumberFormat="1" applyFont="1" applyFill="1" applyBorder="1" applyAlignment="1">
      <alignment horizontal="center" vertical="center" wrapText="1"/>
    </xf>
    <xf numFmtId="1" fontId="7" fillId="0" borderId="8" xfId="27" applyNumberFormat="1" applyFont="1" applyFill="1" applyBorder="1" applyAlignment="1">
      <alignment horizontal="center"/>
    </xf>
    <xf numFmtId="1" fontId="7" fillId="0" borderId="20" xfId="14" applyNumberFormat="1" applyFont="1" applyFill="1" applyBorder="1" applyAlignment="1">
      <alignment horizontal="center" vertical="center" wrapText="1"/>
    </xf>
    <xf numFmtId="1" fontId="7" fillId="0" borderId="10" xfId="14" applyNumberFormat="1" applyFont="1" applyFill="1" applyBorder="1" applyAlignment="1">
      <alignment horizontal="center" vertical="center" wrapText="1"/>
    </xf>
    <xf numFmtId="1" fontId="7" fillId="0" borderId="21" xfId="14" applyNumberFormat="1" applyFont="1" applyFill="1" applyBorder="1" applyAlignment="1">
      <alignment horizontal="center" vertical="center" wrapText="1"/>
    </xf>
    <xf numFmtId="1" fontId="7" fillId="0" borderId="17" xfId="14" applyNumberFormat="1" applyFont="1" applyFill="1" applyBorder="1" applyAlignment="1">
      <alignment horizontal="center" vertical="center" wrapText="1"/>
    </xf>
    <xf numFmtId="1" fontId="7" fillId="0" borderId="18" xfId="14" applyNumberFormat="1" applyFont="1" applyFill="1" applyBorder="1" applyAlignment="1">
      <alignment horizontal="center" vertical="center" wrapText="1"/>
    </xf>
    <xf numFmtId="1" fontId="7" fillId="0" borderId="19" xfId="14" applyNumberFormat="1" applyFont="1" applyFill="1" applyBorder="1" applyAlignment="1">
      <alignment horizontal="center" vertical="center" wrapText="1"/>
    </xf>
    <xf numFmtId="1" fontId="7" fillId="0" borderId="9" xfId="27" applyNumberFormat="1" applyFont="1" applyFill="1" applyBorder="1" applyAlignment="1">
      <alignment horizontal="center"/>
    </xf>
    <xf numFmtId="1" fontId="7" fillId="0" borderId="10" xfId="27" applyNumberFormat="1" applyFont="1" applyFill="1" applyBorder="1" applyAlignment="1">
      <alignment horizontal="center"/>
    </xf>
    <xf numFmtId="1" fontId="7" fillId="0" borderId="11" xfId="27" applyNumberFormat="1" applyFont="1" applyFill="1" applyBorder="1" applyAlignment="1">
      <alignment horizontal="center"/>
    </xf>
    <xf numFmtId="0" fontId="7" fillId="0" borderId="9" xfId="13" applyFont="1" applyFill="1" applyBorder="1" applyAlignment="1">
      <alignment horizontal="center" vertical="center"/>
    </xf>
    <xf numFmtId="0" fontId="7" fillId="0" borderId="10" xfId="13" applyFont="1" applyFill="1" applyBorder="1" applyAlignment="1">
      <alignment horizontal="center" vertical="center"/>
    </xf>
    <xf numFmtId="0" fontId="7" fillId="0" borderId="11" xfId="13" applyFont="1" applyFill="1" applyBorder="1" applyAlignment="1">
      <alignment horizontal="center" vertical="center"/>
    </xf>
    <xf numFmtId="1" fontId="7" fillId="0" borderId="8" xfId="0" applyNumberFormat="1" applyFont="1" applyFill="1" applyBorder="1" applyAlignment="1">
      <alignment horizontal="center" vertical="center" wrapText="1"/>
    </xf>
    <xf numFmtId="0" fontId="7" fillId="0" borderId="9" xfId="13" applyFont="1" applyFill="1" applyBorder="1" applyAlignment="1">
      <alignment horizontal="center" vertical="center" wrapText="1"/>
    </xf>
    <xf numFmtId="0" fontId="7" fillId="0" borderId="10" xfId="13" applyFont="1" applyFill="1" applyBorder="1" applyAlignment="1">
      <alignment horizontal="center" vertical="center" wrapText="1"/>
    </xf>
    <xf numFmtId="0" fontId="7" fillId="0" borderId="11" xfId="13" applyFont="1" applyFill="1" applyBorder="1" applyAlignment="1">
      <alignment horizontal="center" vertical="center" wrapText="1"/>
    </xf>
    <xf numFmtId="1" fontId="7" fillId="0" borderId="6" xfId="27" applyNumberFormat="1" applyFont="1" applyFill="1" applyBorder="1" applyAlignment="1">
      <alignment horizontal="center" vertical="center" wrapText="1"/>
    </xf>
    <xf numFmtId="1" fontId="7" fillId="0" borderId="0" xfId="27" applyNumberFormat="1" applyFont="1" applyFill="1" applyAlignment="1">
      <alignment horizontal="center" vertical="center" wrapText="1"/>
    </xf>
    <xf numFmtId="1" fontId="7" fillId="0" borderId="4" xfId="27" applyNumberFormat="1" applyFont="1" applyFill="1" applyBorder="1" applyAlignment="1">
      <alignment horizontal="center" vertical="center" wrapText="1"/>
    </xf>
    <xf numFmtId="0" fontId="7" fillId="0" borderId="9" xfId="13" applyFont="1" applyFill="1" applyBorder="1" applyAlignment="1">
      <alignment horizontal="center" vertical="top" wrapText="1"/>
    </xf>
    <xf numFmtId="0" fontId="7" fillId="0" borderId="10" xfId="13" applyFont="1" applyFill="1" applyBorder="1" applyAlignment="1">
      <alignment horizontal="center" vertical="top" wrapText="1"/>
    </xf>
    <xf numFmtId="0" fontId="7" fillId="0" borderId="11" xfId="13" applyFont="1" applyFill="1" applyBorder="1" applyAlignment="1">
      <alignment horizontal="center" vertical="top" wrapText="1"/>
    </xf>
    <xf numFmtId="0" fontId="7" fillId="0" borderId="9" xfId="13" applyFont="1" applyFill="1" applyBorder="1" applyAlignment="1">
      <alignment horizontal="center" vertical="top"/>
    </xf>
    <xf numFmtId="0" fontId="7" fillId="0" borderId="10" xfId="13" applyFont="1" applyFill="1" applyBorder="1" applyAlignment="1">
      <alignment horizontal="center" vertical="top"/>
    </xf>
    <xf numFmtId="0" fontId="7" fillId="0" borderId="11" xfId="13" applyFont="1" applyFill="1" applyBorder="1" applyAlignment="1">
      <alignment horizontal="center" vertical="top"/>
    </xf>
  </cellXfs>
  <cellStyles count="29">
    <cellStyle name="Comma" xfId="8" builtinId="3"/>
    <cellStyle name="Comma 2" xfId="18"/>
    <cellStyle name="Comma 2 5" xfId="4"/>
    <cellStyle name="Currency 2 2" xfId="23"/>
    <cellStyle name="Excel Built-in Normal" xfId="14"/>
    <cellStyle name="Hyperlink" xfId="28" builtinId="8"/>
    <cellStyle name="Normal" xfId="0" builtinId="0"/>
    <cellStyle name="Normal 10 2" xfId="12"/>
    <cellStyle name="Normal 10 2 2" xfId="7"/>
    <cellStyle name="Normal 10 2 3" xfId="27"/>
    <cellStyle name="Normal 10 3" xfId="5"/>
    <cellStyle name="Normal 11" xfId="9"/>
    <cellStyle name="Normal 12" xfId="19"/>
    <cellStyle name="Normal 2" xfId="10"/>
    <cellStyle name="Normal 2 10 2" xfId="13"/>
    <cellStyle name="Normal 2 2 2" xfId="17"/>
    <cellStyle name="Normal 2 2 2 2" xfId="21"/>
    <cellStyle name="Normal 2 4 2" xfId="26"/>
    <cellStyle name="Normal 2 5 3" xfId="6"/>
    <cellStyle name="Normal 3 2 2" xfId="1"/>
    <cellStyle name="Normal 3 5" xfId="22"/>
    <cellStyle name="Normal 4" xfId="20"/>
    <cellStyle name="Normal 5 2" xfId="25"/>
    <cellStyle name="Normal 7" xfId="2"/>
    <cellStyle name="Normal 8" xfId="3"/>
    <cellStyle name="Percent" xfId="11" builtinId="5"/>
    <cellStyle name="Percent 2 15 2" xfId="16"/>
    <cellStyle name="Percent 2 2 2" xfId="24"/>
    <cellStyle name="Percent 4" xfId="15"/>
  </cellStyles>
  <dxfs count="7">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strike val="0"/>
        <outline val="0"/>
        <shadow val="0"/>
        <u val="none"/>
        <vertAlign val="baseline"/>
        <sz val="10"/>
        <name val="Arial"/>
        <scheme val="none"/>
      </font>
      <fill>
        <patternFill patternType="none">
          <fgColor indexed="64"/>
          <bgColor auto="1"/>
        </patternFill>
      </fill>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0"/>
        <color rgb="FF000000"/>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id="1" name="Table13" displayName="Table13" ref="A3:B19" totalsRowShown="0" headerRowDxfId="6" dataDxfId="4" headerRowBorderDxfId="5" tableBorderDxfId="3" totalsRowBorderDxfId="2" headerRowCellStyle="Percent 2 2 2">
  <autoFilter ref="A3:B19">
    <filterColumn colId="0" hiddenButton="1"/>
    <filterColumn colId="1" hiddenButton="1"/>
  </autoFilter>
  <tableColumns count="2">
    <tableColumn id="1" name="Table No. " dataDxfId="1"/>
    <tableColumn id="2" name="Particular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externalLinkPath" Target="/Life%20dept.%20Jan%202007/Life%20Statistics%20Formats/March,%202008%20quarter.xls" TargetMode="External"/><Relationship Id="rId2" Type="http://schemas.openxmlformats.org/officeDocument/2006/relationships/externalLinkPath" Target="/Life%20dept.%20Jan%202007/Life%20Statistics%20Formats/June,%202007%20quarter.xls" TargetMode="External"/><Relationship Id="rId1" Type="http://schemas.openxmlformats.org/officeDocument/2006/relationships/externalLinkPath" Target="/Life%20dept.%20Jan%202007/Life%20Statistics%20Formats/December,%202007%20quarter.xls" TargetMode="External"/><Relationship Id="rId5" Type="http://schemas.openxmlformats.org/officeDocument/2006/relationships/printerSettings" Target="../printerSettings/printerSettings2.bin"/><Relationship Id="rId4" Type="http://schemas.openxmlformats.org/officeDocument/2006/relationships/externalLinkPath" Target="/Life%20dept.%20Jan%202007/Life%20Statistics%20Formats/September,%202007%20quarter.xl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19"/>
  <sheetViews>
    <sheetView tabSelected="1" zoomScaleNormal="100" workbookViewId="0">
      <pane xSplit="1" ySplit="4" topLeftCell="B5" activePane="bottomRight" state="frozen"/>
      <selection pane="topRight" activeCell="B1" sqref="B1"/>
      <selection pane="bottomLeft" activeCell="A5" sqref="A5"/>
      <selection pane="bottomRight" activeCell="A2" sqref="A2:B2"/>
    </sheetView>
  </sheetViews>
  <sheetFormatPr defaultColWidth="9.140625" defaultRowHeight="15" x14ac:dyDescent="0.25"/>
  <cols>
    <col min="1" max="1" width="23.85546875" style="95" customWidth="1"/>
    <col min="2" max="2" width="88.5703125" style="95" customWidth="1"/>
    <col min="3" max="16384" width="9.140625" style="95"/>
  </cols>
  <sheetData>
    <row r="1" spans="1:2" x14ac:dyDescent="0.25">
      <c r="A1" s="519" t="s">
        <v>398</v>
      </c>
      <c r="B1" s="519"/>
    </row>
    <row r="2" spans="1:2" x14ac:dyDescent="0.25">
      <c r="A2" s="520" t="s">
        <v>287</v>
      </c>
      <c r="B2" s="520"/>
    </row>
    <row r="3" spans="1:2" s="361" customFormat="1" ht="36.75" customHeight="1" x14ac:dyDescent="0.25">
      <c r="A3" s="357" t="s">
        <v>392</v>
      </c>
      <c r="B3" s="360" t="s">
        <v>201</v>
      </c>
    </row>
    <row r="4" spans="1:2" x14ac:dyDescent="0.25">
      <c r="A4" s="111"/>
      <c r="B4" s="360" t="s">
        <v>288</v>
      </c>
    </row>
    <row r="5" spans="1:2" x14ac:dyDescent="0.25">
      <c r="A5" s="358">
        <v>90</v>
      </c>
      <c r="B5" s="427" t="s">
        <v>381</v>
      </c>
    </row>
    <row r="6" spans="1:2" x14ac:dyDescent="0.25">
      <c r="A6" s="359">
        <v>91</v>
      </c>
      <c r="B6" s="428" t="s">
        <v>382</v>
      </c>
    </row>
    <row r="7" spans="1:2" x14ac:dyDescent="0.25">
      <c r="A7" s="359">
        <v>92</v>
      </c>
      <c r="B7" s="428" t="s">
        <v>383</v>
      </c>
    </row>
    <row r="8" spans="1:2" x14ac:dyDescent="0.25">
      <c r="A8" s="359">
        <v>93</v>
      </c>
      <c r="B8" s="428" t="s">
        <v>384</v>
      </c>
    </row>
    <row r="9" spans="1:2" x14ac:dyDescent="0.25">
      <c r="A9" s="359">
        <v>94</v>
      </c>
      <c r="B9" s="428" t="s">
        <v>385</v>
      </c>
    </row>
    <row r="10" spans="1:2" x14ac:dyDescent="0.25">
      <c r="A10" s="359">
        <v>95</v>
      </c>
      <c r="B10" s="428" t="s">
        <v>386</v>
      </c>
    </row>
    <row r="11" spans="1:2" x14ac:dyDescent="0.25">
      <c r="A11" s="359">
        <v>96</v>
      </c>
      <c r="B11" s="428" t="s">
        <v>387</v>
      </c>
    </row>
    <row r="12" spans="1:2" x14ac:dyDescent="0.25">
      <c r="A12" s="359">
        <v>97</v>
      </c>
      <c r="B12" s="428" t="s">
        <v>388</v>
      </c>
    </row>
    <row r="13" spans="1:2" x14ac:dyDescent="0.25">
      <c r="A13" s="359">
        <v>98</v>
      </c>
      <c r="B13" s="428" t="s">
        <v>389</v>
      </c>
    </row>
    <row r="14" spans="1:2" x14ac:dyDescent="0.25">
      <c r="A14" s="359">
        <v>99</v>
      </c>
      <c r="B14" s="428" t="s">
        <v>390</v>
      </c>
    </row>
    <row r="15" spans="1:2" x14ac:dyDescent="0.25">
      <c r="A15" s="359">
        <v>100</v>
      </c>
      <c r="B15" s="428" t="s">
        <v>391</v>
      </c>
    </row>
    <row r="16" spans="1:2" x14ac:dyDescent="0.25">
      <c r="A16" s="356">
        <v>101</v>
      </c>
      <c r="B16" s="429" t="s">
        <v>370</v>
      </c>
    </row>
    <row r="17" spans="1:2" x14ac:dyDescent="0.25">
      <c r="A17" s="356">
        <v>102</v>
      </c>
      <c r="B17" s="429" t="s">
        <v>367</v>
      </c>
    </row>
    <row r="18" spans="1:2" x14ac:dyDescent="0.25">
      <c r="A18" s="356">
        <v>103</v>
      </c>
      <c r="B18" s="429" t="s">
        <v>366</v>
      </c>
    </row>
    <row r="19" spans="1:2" ht="30" x14ac:dyDescent="0.25">
      <c r="A19" s="356">
        <v>104</v>
      </c>
      <c r="B19" s="430" t="s">
        <v>365</v>
      </c>
    </row>
  </sheetData>
  <mergeCells count="2">
    <mergeCell ref="A1:B1"/>
    <mergeCell ref="A2:B2"/>
  </mergeCells>
  <hyperlinks>
    <hyperlink ref="B5" location="'90'!A1" display="NUMBER OF INDIVIDUAL AGENTS OF LIFE INSURERS"/>
    <hyperlink ref="B6" location="'91'!A1" display="NUMBER OF CORPORATE AGENTS  OF LIFE INSURERS "/>
    <hyperlink ref="B7" location="'92'!A1" display="NUMBER OF MICRO INSURANCE AGENTS (LIFE) - INSURER-WISE"/>
    <hyperlink ref="B8" location="'93'!A1" display="AVERAGE NUMBER OF INDIVIDUAL POLICIES SOLD BY INDIVIDUAL AND CORPORATE AGENTS"/>
    <hyperlink ref="B9" location="'94'!A1" display="AVERAGE NEW BUSINESS PREMIUM INCOME PER INDIVIDUAL AND CORPORATE AGENTS"/>
    <hyperlink ref="B10" location="'95'!A1" display="AVERAGE  PREMIUM INCOME PER POLICY FOR INDIVIDUAL AND CORPORATE AGENTS"/>
    <hyperlink ref="B11" location="'96'!A1" display="INSURER-WISE STATE-WISE  DISTRIBUTION OF INDIVIDUAL AGENTS OF LIFE INSURERS"/>
    <hyperlink ref="B12" location="'97'!A1" display="STATE-WISE NUMBER OF REGISTERED BROKERS"/>
    <hyperlink ref="B13" location="'98'!A1" display="STATE WISE NUMBER OF INSURANCE MARKETING FIRMS                     "/>
    <hyperlink ref="B14" location="'99'!A1" display="CHANNEL-WISE - LIFE INSURANCE - INDIVIDUAL NEW BUSINESS"/>
    <hyperlink ref="B15" location="'100'!A1" display="CHANNEL-WISE -  INSURER WISE - LIFE INSURANCE INDIVIDUAL NEW BUSINESS (2023-24)"/>
    <hyperlink ref="B16" location="'101'!A1" display="CHANNEL WISE - LIFE INSURANCE GROUP NEW BUSINESS"/>
    <hyperlink ref="B17" location="'102'!A1" display=" CHANNEL-WISE INSURER-WISE LIFE INSURANCE - GROUP NEW BUSINESS (2023-24)"/>
    <hyperlink ref="B18" location="'103'!A1" display="CHANNEL-WISE GENERAL INSURANCE BUSINESS"/>
    <hyperlink ref="B19" location="'104'!A1" display="CHANNEL WISE - HEALTH INSURANCE BUSINESS (EXCLUDING TRAVEL AND PERSONAL ACCIDENT INSURANCE)"/>
  </hyperlink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B050"/>
  </sheetPr>
  <dimension ref="A1:M38"/>
  <sheetViews>
    <sheetView zoomScale="98" zoomScaleNormal="98" workbookViewId="0">
      <pane xSplit="2" ySplit="3" topLeftCell="C4" activePane="bottomRight" state="frozen"/>
      <selection pane="topRight" activeCell="C1" sqref="C1"/>
      <selection pane="bottomLeft" activeCell="A4" sqref="A4"/>
      <selection pane="bottomRight" activeCell="M33" sqref="M33"/>
    </sheetView>
  </sheetViews>
  <sheetFormatPr defaultColWidth="9.140625" defaultRowHeight="24" customHeight="1" x14ac:dyDescent="0.25"/>
  <cols>
    <col min="1" max="1" width="6.7109375" style="1" customWidth="1"/>
    <col min="2" max="2" width="43.42578125" style="1" bestFit="1" customWidth="1"/>
    <col min="3" max="12" width="12.7109375" style="1" customWidth="1"/>
    <col min="13" max="13" width="14.140625" style="1" customWidth="1"/>
    <col min="14" max="16384" width="9.140625" style="1"/>
  </cols>
  <sheetData>
    <row r="1" spans="1:13" ht="26.25" customHeight="1" x14ac:dyDescent="0.25">
      <c r="A1" s="523" t="s">
        <v>363</v>
      </c>
      <c r="B1" s="523"/>
      <c r="C1" s="523"/>
      <c r="D1" s="523"/>
      <c r="E1" s="523"/>
      <c r="F1" s="523"/>
      <c r="G1" s="523"/>
      <c r="H1" s="523"/>
      <c r="I1" s="523"/>
      <c r="J1" s="523"/>
      <c r="K1" s="523"/>
      <c r="L1" s="523"/>
      <c r="M1" s="523"/>
    </row>
    <row r="2" spans="1:13" ht="24" customHeight="1" x14ac:dyDescent="0.25">
      <c r="A2" s="522" t="s">
        <v>0</v>
      </c>
      <c r="B2" s="522"/>
      <c r="C2" s="522"/>
      <c r="D2" s="522"/>
      <c r="E2" s="522"/>
      <c r="F2" s="522"/>
      <c r="G2" s="522"/>
      <c r="H2" s="522"/>
      <c r="I2" s="522"/>
      <c r="J2" s="522"/>
      <c r="K2" s="522"/>
      <c r="L2" s="522"/>
      <c r="M2" s="522"/>
    </row>
    <row r="3" spans="1:13" s="2" customFormat="1" ht="24" customHeight="1" x14ac:dyDescent="0.25">
      <c r="A3" s="436" t="s">
        <v>1</v>
      </c>
      <c r="B3" s="436" t="s">
        <v>2</v>
      </c>
      <c r="C3" s="437">
        <v>2015</v>
      </c>
      <c r="D3" s="438">
        <v>2016</v>
      </c>
      <c r="E3" s="437">
        <v>2017</v>
      </c>
      <c r="F3" s="437">
        <v>2018</v>
      </c>
      <c r="G3" s="437">
        <v>2019</v>
      </c>
      <c r="H3" s="437">
        <v>2020</v>
      </c>
      <c r="I3" s="437">
        <v>2021</v>
      </c>
      <c r="J3" s="437">
        <v>2022</v>
      </c>
      <c r="K3" s="437">
        <v>2023</v>
      </c>
      <c r="L3" s="437">
        <v>2024</v>
      </c>
      <c r="M3" s="465">
        <v>2025</v>
      </c>
    </row>
    <row r="4" spans="1:13" s="3" customFormat="1" ht="24" customHeight="1" x14ac:dyDescent="0.25">
      <c r="A4" s="113"/>
      <c r="B4" s="113" t="s">
        <v>3</v>
      </c>
      <c r="C4" s="122"/>
      <c r="D4" s="122"/>
      <c r="E4" s="122"/>
      <c r="F4" s="122"/>
      <c r="G4" s="122"/>
      <c r="H4" s="122"/>
      <c r="I4" s="122"/>
      <c r="J4" s="122"/>
      <c r="K4" s="122"/>
      <c r="L4" s="122"/>
    </row>
    <row r="5" spans="1:13" ht="24" customHeight="1" x14ac:dyDescent="0.25">
      <c r="A5" s="114">
        <v>1</v>
      </c>
      <c r="B5" s="115" t="s">
        <v>4</v>
      </c>
      <c r="C5" s="122">
        <v>1163604</v>
      </c>
      <c r="D5" s="122">
        <v>1061560</v>
      </c>
      <c r="E5" s="122">
        <v>1131180.9703473845</v>
      </c>
      <c r="F5" s="122">
        <v>1148811</v>
      </c>
      <c r="G5" s="122">
        <v>1179229</v>
      </c>
      <c r="H5" s="122">
        <v>1208826</v>
      </c>
      <c r="I5" s="122">
        <v>1353808</v>
      </c>
      <c r="J5" s="122">
        <v>1326432</v>
      </c>
      <c r="K5" s="122">
        <v>1347325</v>
      </c>
      <c r="L5" s="122">
        <v>1414743</v>
      </c>
      <c r="M5" s="466">
        <v>1486851</v>
      </c>
    </row>
    <row r="6" spans="1:13" ht="24" customHeight="1" x14ac:dyDescent="0.25">
      <c r="A6" s="344"/>
      <c r="B6" s="113" t="s">
        <v>5</v>
      </c>
      <c r="C6" s="122"/>
      <c r="D6" s="122"/>
      <c r="E6" s="122"/>
      <c r="F6" s="122"/>
      <c r="G6" s="122"/>
      <c r="H6" s="122"/>
      <c r="I6" s="122"/>
      <c r="J6" s="122"/>
      <c r="K6" s="122"/>
      <c r="L6" s="122"/>
      <c r="M6" s="345"/>
    </row>
    <row r="7" spans="1:13" ht="24" customHeight="1" x14ac:dyDescent="0.25">
      <c r="A7" s="114">
        <v>2</v>
      </c>
      <c r="B7" s="115" t="s">
        <v>359</v>
      </c>
      <c r="C7" s="122">
        <v>0</v>
      </c>
      <c r="D7" s="122">
        <v>0</v>
      </c>
      <c r="E7" s="122">
        <v>0</v>
      </c>
      <c r="F7" s="122">
        <v>0</v>
      </c>
      <c r="G7" s="122">
        <v>0</v>
      </c>
      <c r="H7" s="122">
        <v>0</v>
      </c>
      <c r="I7" s="122">
        <v>0</v>
      </c>
      <c r="J7" s="122">
        <v>0</v>
      </c>
      <c r="K7" s="122">
        <v>0</v>
      </c>
      <c r="L7" s="122">
        <v>0</v>
      </c>
      <c r="M7" s="345">
        <v>0</v>
      </c>
    </row>
    <row r="8" spans="1:13" ht="24" customHeight="1" x14ac:dyDescent="0.25">
      <c r="A8" s="114">
        <v>3</v>
      </c>
      <c r="B8" s="115" t="s">
        <v>6</v>
      </c>
      <c r="C8" s="122">
        <v>90537</v>
      </c>
      <c r="D8" s="122">
        <v>110658</v>
      </c>
      <c r="E8" s="122">
        <v>82048</v>
      </c>
      <c r="F8" s="122">
        <v>91720</v>
      </c>
      <c r="G8" s="122">
        <v>81528</v>
      </c>
      <c r="H8" s="122">
        <v>85995</v>
      </c>
      <c r="I8" s="122">
        <v>94775</v>
      </c>
      <c r="J8" s="122">
        <v>79904</v>
      </c>
      <c r="K8" s="122">
        <v>64831</v>
      </c>
      <c r="L8" s="122">
        <v>60613</v>
      </c>
      <c r="M8" s="345">
        <v>66314</v>
      </c>
    </row>
    <row r="9" spans="1:13" ht="24" customHeight="1" x14ac:dyDescent="0.25">
      <c r="A9" s="114">
        <v>4</v>
      </c>
      <c r="B9" s="115" t="s">
        <v>360</v>
      </c>
      <c r="C9" s="122">
        <v>7973</v>
      </c>
      <c r="D9" s="122">
        <v>6222</v>
      </c>
      <c r="E9" s="122">
        <v>5814</v>
      </c>
      <c r="F9" s="122">
        <v>5739</v>
      </c>
      <c r="G9" s="122">
        <v>5671</v>
      </c>
      <c r="H9" s="122">
        <v>1661</v>
      </c>
      <c r="I9" s="122">
        <v>364</v>
      </c>
      <c r="J9" s="122">
        <v>208</v>
      </c>
      <c r="K9" s="122">
        <v>172</v>
      </c>
      <c r="L9" s="122">
        <v>172</v>
      </c>
      <c r="M9" s="345">
        <v>171</v>
      </c>
    </row>
    <row r="10" spans="1:13" ht="24" customHeight="1" x14ac:dyDescent="0.25">
      <c r="A10" s="114">
        <v>5</v>
      </c>
      <c r="B10" s="115" t="s">
        <v>7</v>
      </c>
      <c r="C10" s="122">
        <v>13089</v>
      </c>
      <c r="D10" s="122">
        <v>9309</v>
      </c>
      <c r="E10" s="122">
        <v>7915</v>
      </c>
      <c r="F10" s="122">
        <v>10763</v>
      </c>
      <c r="G10" s="122">
        <v>14402</v>
      </c>
      <c r="H10" s="122">
        <v>10603</v>
      </c>
      <c r="I10" s="122">
        <v>11671</v>
      </c>
      <c r="J10" s="122">
        <v>13024</v>
      </c>
      <c r="K10" s="122">
        <v>2676</v>
      </c>
      <c r="L10" s="122">
        <v>5444</v>
      </c>
      <c r="M10" s="345">
        <v>6785</v>
      </c>
    </row>
    <row r="11" spans="1:13" ht="24" customHeight="1" x14ac:dyDescent="0.25">
      <c r="A11" s="114">
        <v>6</v>
      </c>
      <c r="B11" s="115" t="s">
        <v>8</v>
      </c>
      <c r="C11" s="122">
        <v>18935</v>
      </c>
      <c r="D11" s="122">
        <v>10443</v>
      </c>
      <c r="E11" s="122">
        <v>13648</v>
      </c>
      <c r="F11" s="122">
        <v>16431</v>
      </c>
      <c r="G11" s="122">
        <v>13803</v>
      </c>
      <c r="H11" s="122">
        <v>11285</v>
      </c>
      <c r="I11" s="122">
        <v>6990</v>
      </c>
      <c r="J11" s="122">
        <v>5087</v>
      </c>
      <c r="K11" s="122">
        <v>3256</v>
      </c>
      <c r="L11" s="122">
        <v>2921</v>
      </c>
      <c r="M11" s="345">
        <v>2997</v>
      </c>
    </row>
    <row r="12" spans="1:13" ht="24" customHeight="1" x14ac:dyDescent="0.25">
      <c r="A12" s="114">
        <v>7</v>
      </c>
      <c r="B12" s="115" t="s">
        <v>9</v>
      </c>
      <c r="C12" s="122">
        <v>120982</v>
      </c>
      <c r="D12" s="122">
        <v>89975</v>
      </c>
      <c r="E12" s="122">
        <v>77097</v>
      </c>
      <c r="F12" s="122">
        <v>70763</v>
      </c>
      <c r="G12" s="122">
        <v>72719</v>
      </c>
      <c r="H12" s="122">
        <v>80524</v>
      </c>
      <c r="I12" s="122">
        <v>88102</v>
      </c>
      <c r="J12" s="122">
        <v>96139</v>
      </c>
      <c r="K12" s="122">
        <v>125912</v>
      </c>
      <c r="L12" s="122">
        <v>150841</v>
      </c>
      <c r="M12" s="345">
        <v>161076</v>
      </c>
    </row>
    <row r="13" spans="1:13" ht="24" customHeight="1" x14ac:dyDescent="0.25">
      <c r="A13" s="114">
        <v>8</v>
      </c>
      <c r="B13" s="115" t="s">
        <v>10</v>
      </c>
      <c r="C13" s="122">
        <v>19132</v>
      </c>
      <c r="D13" s="122">
        <v>20561</v>
      </c>
      <c r="E13" s="122">
        <v>18535</v>
      </c>
      <c r="F13" s="122">
        <v>28638</v>
      </c>
      <c r="G13" s="122">
        <v>39382</v>
      </c>
      <c r="H13" s="122">
        <v>43316</v>
      </c>
      <c r="I13" s="122">
        <v>33213</v>
      </c>
      <c r="J13" s="122">
        <v>37645</v>
      </c>
      <c r="K13" s="122">
        <v>44457</v>
      </c>
      <c r="L13" s="122">
        <v>53587</v>
      </c>
      <c r="M13" s="345">
        <v>55001</v>
      </c>
    </row>
    <row r="14" spans="1:13" ht="24" customHeight="1" x14ac:dyDescent="0.25">
      <c r="A14" s="114">
        <v>9</v>
      </c>
      <c r="B14" s="115" t="s">
        <v>30</v>
      </c>
      <c r="C14" s="122">
        <v>0</v>
      </c>
      <c r="D14" s="122">
        <v>0</v>
      </c>
      <c r="E14" s="122">
        <v>0</v>
      </c>
      <c r="F14" s="122">
        <v>0</v>
      </c>
      <c r="G14" s="122">
        <v>0</v>
      </c>
      <c r="H14" s="122">
        <v>54</v>
      </c>
      <c r="I14" s="122">
        <v>246</v>
      </c>
      <c r="J14" s="122">
        <v>157</v>
      </c>
      <c r="K14" s="122">
        <v>127</v>
      </c>
      <c r="L14" s="122">
        <v>126</v>
      </c>
      <c r="M14" s="345">
        <v>25</v>
      </c>
    </row>
    <row r="15" spans="1:13" ht="24" customHeight="1" x14ac:dyDescent="0.25">
      <c r="A15" s="114">
        <v>10</v>
      </c>
      <c r="B15" s="115" t="s">
        <v>358</v>
      </c>
      <c r="C15" s="122">
        <v>0</v>
      </c>
      <c r="D15" s="122">
        <v>0</v>
      </c>
      <c r="E15" s="122">
        <v>0</v>
      </c>
      <c r="F15" s="122">
        <v>0</v>
      </c>
      <c r="G15" s="122">
        <v>0</v>
      </c>
      <c r="H15" s="122">
        <v>0</v>
      </c>
      <c r="I15" s="122">
        <v>0</v>
      </c>
      <c r="J15" s="122">
        <v>0</v>
      </c>
      <c r="K15" s="122">
        <v>0</v>
      </c>
      <c r="L15" s="122">
        <v>0</v>
      </c>
      <c r="M15" s="345">
        <v>0</v>
      </c>
    </row>
    <row r="16" spans="1:13" ht="24" customHeight="1" x14ac:dyDescent="0.25">
      <c r="A16" s="114">
        <v>11</v>
      </c>
      <c r="B16" s="115" t="s">
        <v>11</v>
      </c>
      <c r="C16" s="122">
        <v>10421</v>
      </c>
      <c r="D16" s="122">
        <v>15490</v>
      </c>
      <c r="E16" s="122">
        <v>21449</v>
      </c>
      <c r="F16" s="122">
        <v>31031</v>
      </c>
      <c r="G16" s="122">
        <v>43681</v>
      </c>
      <c r="H16" s="122">
        <v>51723</v>
      </c>
      <c r="I16" s="122">
        <v>57773</v>
      </c>
      <c r="J16" s="122">
        <v>63484</v>
      </c>
      <c r="K16" s="122">
        <v>69034</v>
      </c>
      <c r="L16" s="122">
        <v>75904</v>
      </c>
      <c r="M16" s="345">
        <v>72801</v>
      </c>
    </row>
    <row r="17" spans="1:13" ht="24" customHeight="1" x14ac:dyDescent="0.25">
      <c r="A17" s="114">
        <v>12</v>
      </c>
      <c r="B17" s="115" t="s">
        <v>12</v>
      </c>
      <c r="C17" s="122">
        <v>32357</v>
      </c>
      <c r="D17" s="122">
        <v>50300</v>
      </c>
      <c r="E17" s="122">
        <v>56034</v>
      </c>
      <c r="F17" s="122">
        <v>46126</v>
      </c>
      <c r="G17" s="122">
        <v>49833</v>
      </c>
      <c r="H17" s="122">
        <v>44383</v>
      </c>
      <c r="I17" s="122">
        <v>36928</v>
      </c>
      <c r="J17" s="122">
        <v>37100</v>
      </c>
      <c r="K17" s="122">
        <v>0</v>
      </c>
      <c r="L17" s="122">
        <v>0</v>
      </c>
      <c r="M17" s="345" t="s">
        <v>42</v>
      </c>
    </row>
    <row r="18" spans="1:13" ht="24" customHeight="1" x14ac:dyDescent="0.25">
      <c r="A18" s="114">
        <v>13</v>
      </c>
      <c r="B18" s="115" t="s">
        <v>13</v>
      </c>
      <c r="C18" s="122">
        <v>17150</v>
      </c>
      <c r="D18" s="122">
        <v>17919</v>
      </c>
      <c r="E18" s="122">
        <v>8755</v>
      </c>
      <c r="F18" s="122">
        <v>11890</v>
      </c>
      <c r="G18" s="122">
        <v>7629</v>
      </c>
      <c r="H18" s="122">
        <v>3928</v>
      </c>
      <c r="I18" s="122">
        <v>2861</v>
      </c>
      <c r="J18" s="122">
        <v>6178</v>
      </c>
      <c r="K18" s="122">
        <v>8814</v>
      </c>
      <c r="L18" s="122">
        <v>9718</v>
      </c>
      <c r="M18" s="345">
        <v>9710</v>
      </c>
    </row>
    <row r="19" spans="1:13" ht="24" customHeight="1" x14ac:dyDescent="0.25">
      <c r="A19" s="114">
        <v>14</v>
      </c>
      <c r="B19" s="115" t="s">
        <v>357</v>
      </c>
      <c r="C19" s="122">
        <v>0</v>
      </c>
      <c r="D19" s="122">
        <v>0</v>
      </c>
      <c r="E19" s="122">
        <v>0</v>
      </c>
      <c r="F19" s="122">
        <v>0</v>
      </c>
      <c r="G19" s="122">
        <v>0</v>
      </c>
      <c r="H19" s="122">
        <v>0</v>
      </c>
      <c r="I19" s="122">
        <v>0</v>
      </c>
      <c r="J19" s="122">
        <v>0</v>
      </c>
      <c r="K19" s="122">
        <v>0</v>
      </c>
      <c r="L19" s="122">
        <v>14</v>
      </c>
      <c r="M19" s="345">
        <v>266</v>
      </c>
    </row>
    <row r="20" spans="1:13" ht="24" customHeight="1" x14ac:dyDescent="0.25">
      <c r="A20" s="114">
        <v>15</v>
      </c>
      <c r="B20" s="115" t="s">
        <v>14</v>
      </c>
      <c r="C20" s="122">
        <v>65214</v>
      </c>
      <c r="D20" s="122">
        <v>82381</v>
      </c>
      <c r="E20" s="122">
        <v>54516</v>
      </c>
      <c r="F20" s="122">
        <v>77048</v>
      </c>
      <c r="G20" s="122">
        <v>91172</v>
      </c>
      <c r="H20" s="122">
        <v>107662</v>
      </c>
      <c r="I20" s="122">
        <v>112012</v>
      </c>
      <c r="J20" s="122">
        <v>115442</v>
      </c>
      <c r="K20" s="122">
        <v>179435</v>
      </c>
      <c r="L20" s="122">
        <v>214275</v>
      </c>
      <c r="M20" s="345">
        <v>243575</v>
      </c>
    </row>
    <row r="21" spans="1:13" ht="24" customHeight="1" x14ac:dyDescent="0.25">
      <c r="A21" s="114">
        <v>16</v>
      </c>
      <c r="B21" s="115" t="s">
        <v>15</v>
      </c>
      <c r="C21" s="122">
        <v>132463</v>
      </c>
      <c r="D21" s="122">
        <v>121016</v>
      </c>
      <c r="E21" s="122">
        <v>136114</v>
      </c>
      <c r="F21" s="122">
        <v>151563</v>
      </c>
      <c r="G21" s="122">
        <v>170572</v>
      </c>
      <c r="H21" s="122">
        <v>190924</v>
      </c>
      <c r="I21" s="122">
        <v>187560</v>
      </c>
      <c r="J21" s="122">
        <v>198924</v>
      </c>
      <c r="K21" s="122">
        <v>201472</v>
      </c>
      <c r="L21" s="122">
        <v>209521</v>
      </c>
      <c r="M21" s="345">
        <v>229441</v>
      </c>
    </row>
    <row r="22" spans="1:13" ht="24" customHeight="1" x14ac:dyDescent="0.25">
      <c r="A22" s="114">
        <v>17</v>
      </c>
      <c r="B22" s="115" t="s">
        <v>16</v>
      </c>
      <c r="C22" s="122">
        <v>4325</v>
      </c>
      <c r="D22" s="122">
        <v>2468</v>
      </c>
      <c r="E22" s="122">
        <v>2910</v>
      </c>
      <c r="F22" s="122">
        <v>1660</v>
      </c>
      <c r="G22" s="122">
        <v>2038</v>
      </c>
      <c r="H22" s="122">
        <v>2540</v>
      </c>
      <c r="I22" s="122">
        <v>1914</v>
      </c>
      <c r="J22" s="122">
        <v>1903</v>
      </c>
      <c r="K22" s="122">
        <v>1881</v>
      </c>
      <c r="L22" s="122">
        <v>1678</v>
      </c>
      <c r="M22" s="345">
        <v>5532</v>
      </c>
    </row>
    <row r="23" spans="1:13" ht="24" customHeight="1" x14ac:dyDescent="0.25">
      <c r="A23" s="114">
        <v>18</v>
      </c>
      <c r="B23" s="115" t="s">
        <v>17</v>
      </c>
      <c r="C23" s="122">
        <v>55548</v>
      </c>
      <c r="D23" s="122">
        <v>86303</v>
      </c>
      <c r="E23" s="122">
        <v>96729</v>
      </c>
      <c r="F23" s="122">
        <v>94688</v>
      </c>
      <c r="G23" s="122">
        <v>124500</v>
      </c>
      <c r="H23" s="122">
        <v>124690</v>
      </c>
      <c r="I23" s="122">
        <v>109321</v>
      </c>
      <c r="J23" s="122">
        <v>110730</v>
      </c>
      <c r="K23" s="122">
        <v>112697</v>
      </c>
      <c r="L23" s="122">
        <v>119016</v>
      </c>
      <c r="M23" s="345">
        <v>114436</v>
      </c>
    </row>
    <row r="24" spans="1:13" ht="24" customHeight="1" x14ac:dyDescent="0.25">
      <c r="A24" s="114">
        <v>19</v>
      </c>
      <c r="B24" s="115" t="s">
        <v>18</v>
      </c>
      <c r="C24" s="122">
        <v>43505</v>
      </c>
      <c r="D24" s="122">
        <v>45276</v>
      </c>
      <c r="E24" s="122">
        <v>54283</v>
      </c>
      <c r="F24" s="122">
        <v>56968</v>
      </c>
      <c r="G24" s="122">
        <v>50854</v>
      </c>
      <c r="H24" s="122">
        <v>45979</v>
      </c>
      <c r="I24" s="122">
        <v>55217</v>
      </c>
      <c r="J24" s="122">
        <v>61143</v>
      </c>
      <c r="K24" s="122">
        <v>70344</v>
      </c>
      <c r="L24" s="122">
        <v>102693</v>
      </c>
      <c r="M24" s="345">
        <v>125311</v>
      </c>
    </row>
    <row r="25" spans="1:13" ht="24" customHeight="1" x14ac:dyDescent="0.25">
      <c r="A25" s="114">
        <v>20</v>
      </c>
      <c r="B25" s="115" t="s">
        <v>19</v>
      </c>
      <c r="C25" s="122">
        <v>17017</v>
      </c>
      <c r="D25" s="122">
        <v>7989</v>
      </c>
      <c r="E25" s="122">
        <v>6248</v>
      </c>
      <c r="F25" s="122">
        <v>6452</v>
      </c>
      <c r="G25" s="122">
        <v>7338</v>
      </c>
      <c r="H25" s="122">
        <v>8829</v>
      </c>
      <c r="I25" s="122">
        <v>90</v>
      </c>
      <c r="J25" s="122">
        <v>12770</v>
      </c>
      <c r="K25" s="122">
        <v>19509</v>
      </c>
      <c r="L25" s="122">
        <v>28172</v>
      </c>
      <c r="M25" s="345">
        <v>36659</v>
      </c>
    </row>
    <row r="26" spans="1:13" ht="24" customHeight="1" x14ac:dyDescent="0.25">
      <c r="A26" s="114">
        <v>21</v>
      </c>
      <c r="B26" s="118" t="s">
        <v>20</v>
      </c>
      <c r="C26" s="122">
        <v>1995</v>
      </c>
      <c r="D26" s="122">
        <v>4439</v>
      </c>
      <c r="E26" s="122">
        <v>7889</v>
      </c>
      <c r="F26" s="122">
        <v>12318</v>
      </c>
      <c r="G26" s="122">
        <v>14250</v>
      </c>
      <c r="H26" s="122">
        <v>15351</v>
      </c>
      <c r="I26" s="122">
        <v>14901</v>
      </c>
      <c r="J26" s="122">
        <v>14314</v>
      </c>
      <c r="K26" s="122">
        <v>14857</v>
      </c>
      <c r="L26" s="122">
        <v>16687</v>
      </c>
      <c r="M26" s="345">
        <v>18249</v>
      </c>
    </row>
    <row r="27" spans="1:13" ht="24" customHeight="1" x14ac:dyDescent="0.25">
      <c r="A27" s="114">
        <v>22</v>
      </c>
      <c r="B27" s="115" t="s">
        <v>21</v>
      </c>
      <c r="C27" s="122">
        <v>105022</v>
      </c>
      <c r="D27" s="122">
        <v>129693</v>
      </c>
      <c r="E27" s="122">
        <v>162276</v>
      </c>
      <c r="F27" s="122">
        <v>65099</v>
      </c>
      <c r="G27" s="122">
        <v>55492</v>
      </c>
      <c r="H27" s="122">
        <v>63016</v>
      </c>
      <c r="I27" s="122">
        <v>42604</v>
      </c>
      <c r="J27" s="122">
        <v>46538</v>
      </c>
      <c r="K27" s="122">
        <v>54013</v>
      </c>
      <c r="L27" s="122">
        <v>61036</v>
      </c>
      <c r="M27" s="345">
        <v>68793</v>
      </c>
    </row>
    <row r="28" spans="1:13" ht="24" customHeight="1" x14ac:dyDescent="0.25">
      <c r="A28" s="114">
        <v>23</v>
      </c>
      <c r="B28" s="115" t="s">
        <v>22</v>
      </c>
      <c r="C28" s="122">
        <v>11362</v>
      </c>
      <c r="D28" s="122">
        <v>11477</v>
      </c>
      <c r="E28" s="122">
        <v>10402</v>
      </c>
      <c r="F28" s="122">
        <v>10480</v>
      </c>
      <c r="G28" s="122">
        <v>10439</v>
      </c>
      <c r="H28" s="122">
        <v>10398</v>
      </c>
      <c r="I28" s="122">
        <v>10374</v>
      </c>
      <c r="J28" s="122">
        <v>10318</v>
      </c>
      <c r="K28" s="122">
        <v>10246</v>
      </c>
      <c r="L28" s="122">
        <v>0</v>
      </c>
      <c r="M28" s="345">
        <v>0</v>
      </c>
    </row>
    <row r="29" spans="1:13" ht="24" customHeight="1" x14ac:dyDescent="0.25">
      <c r="A29" s="114">
        <v>24</v>
      </c>
      <c r="B29" s="115" t="s">
        <v>23</v>
      </c>
      <c r="C29" s="122">
        <v>83656</v>
      </c>
      <c r="D29" s="122">
        <v>92619</v>
      </c>
      <c r="E29" s="122">
        <v>95355</v>
      </c>
      <c r="F29" s="122">
        <v>108261</v>
      </c>
      <c r="G29" s="122">
        <v>123613</v>
      </c>
      <c r="H29" s="122">
        <v>130417</v>
      </c>
      <c r="I29" s="122">
        <v>170096</v>
      </c>
      <c r="J29" s="122">
        <v>146057</v>
      </c>
      <c r="K29" s="122">
        <v>208774</v>
      </c>
      <c r="L29" s="122">
        <v>246078</v>
      </c>
      <c r="M29" s="345">
        <v>240304</v>
      </c>
    </row>
    <row r="30" spans="1:13" ht="24" customHeight="1" x14ac:dyDescent="0.25">
      <c r="A30" s="114">
        <v>25</v>
      </c>
      <c r="B30" s="115" t="s">
        <v>24</v>
      </c>
      <c r="C30" s="122">
        <v>4460</v>
      </c>
      <c r="D30" s="122">
        <v>4422</v>
      </c>
      <c r="E30" s="122">
        <v>4508</v>
      </c>
      <c r="F30" s="122">
        <v>4498</v>
      </c>
      <c r="G30" s="122">
        <v>4455</v>
      </c>
      <c r="H30" s="122">
        <v>4436</v>
      </c>
      <c r="I30" s="122">
        <v>3784</v>
      </c>
      <c r="J30" s="122">
        <v>3784</v>
      </c>
      <c r="K30" s="122">
        <v>3327</v>
      </c>
      <c r="L30" s="122">
        <v>3003</v>
      </c>
      <c r="M30" s="345">
        <v>2639</v>
      </c>
    </row>
    <row r="31" spans="1:13" ht="24" customHeight="1" x14ac:dyDescent="0.25">
      <c r="A31" s="114">
        <v>26</v>
      </c>
      <c r="B31" s="115" t="s">
        <v>25</v>
      </c>
      <c r="C31" s="122">
        <v>8167</v>
      </c>
      <c r="D31" s="122">
        <v>8507</v>
      </c>
      <c r="E31" s="122">
        <v>9112</v>
      </c>
      <c r="F31" s="122">
        <v>4757</v>
      </c>
      <c r="G31" s="122">
        <v>2678</v>
      </c>
      <c r="H31" s="122">
        <v>999</v>
      </c>
      <c r="I31" s="122">
        <v>261</v>
      </c>
      <c r="J31" s="122">
        <v>163</v>
      </c>
      <c r="K31" s="122">
        <v>393</v>
      </c>
      <c r="L31" s="122">
        <v>1540</v>
      </c>
      <c r="M31" s="345">
        <v>3640</v>
      </c>
    </row>
    <row r="32" spans="1:13" ht="24" customHeight="1" x14ac:dyDescent="0.25">
      <c r="A32" s="114">
        <v>27</v>
      </c>
      <c r="B32" s="115" t="s">
        <v>26</v>
      </c>
      <c r="C32" s="122">
        <v>40993</v>
      </c>
      <c r="D32" s="122">
        <v>27538</v>
      </c>
      <c r="E32" s="122">
        <v>25704</v>
      </c>
      <c r="F32" s="122">
        <v>26963</v>
      </c>
      <c r="G32" s="122">
        <v>29469</v>
      </c>
      <c r="H32" s="122">
        <v>30926</v>
      </c>
      <c r="I32" s="122">
        <v>50367</v>
      </c>
      <c r="J32" s="122">
        <v>55165</v>
      </c>
      <c r="K32" s="122">
        <v>84656</v>
      </c>
      <c r="L32" s="122">
        <v>117656</v>
      </c>
      <c r="M32" s="345">
        <v>172868</v>
      </c>
    </row>
    <row r="33" spans="1:13" s="4" customFormat="1" ht="24" customHeight="1" x14ac:dyDescent="0.25">
      <c r="A33" s="101"/>
      <c r="B33" s="101" t="s">
        <v>27</v>
      </c>
      <c r="C33" s="124">
        <v>904303</v>
      </c>
      <c r="D33" s="125">
        <v>955005</v>
      </c>
      <c r="E33" s="123">
        <v>957341</v>
      </c>
      <c r="F33" s="123">
        <v>933856</v>
      </c>
      <c r="G33" s="124">
        <v>1015518</v>
      </c>
      <c r="H33" s="124">
        <v>1069639</v>
      </c>
      <c r="I33" s="124">
        <v>1101269</v>
      </c>
      <c r="J33" s="124">
        <v>1116177</v>
      </c>
      <c r="K33" s="141">
        <v>1280883</v>
      </c>
      <c r="L33" s="142">
        <v>1480695</v>
      </c>
      <c r="M33" s="467">
        <v>1636593</v>
      </c>
    </row>
    <row r="34" spans="1:13" s="4" customFormat="1" ht="24" customHeight="1" x14ac:dyDescent="0.25">
      <c r="A34" s="101"/>
      <c r="B34" s="101" t="s">
        <v>28</v>
      </c>
      <c r="C34" s="124">
        <v>2067907</v>
      </c>
      <c r="D34" s="125">
        <v>2016565</v>
      </c>
      <c r="E34" s="123">
        <v>2088521.9703473845</v>
      </c>
      <c r="F34" s="123">
        <v>2082667</v>
      </c>
      <c r="G34" s="124">
        <v>2194747</v>
      </c>
      <c r="H34" s="124">
        <v>2278465</v>
      </c>
      <c r="I34" s="124">
        <v>2455077</v>
      </c>
      <c r="J34" s="124">
        <v>2442609</v>
      </c>
      <c r="K34" s="141">
        <v>2628208</v>
      </c>
      <c r="L34" s="142">
        <v>2895438</v>
      </c>
      <c r="M34" s="467">
        <v>3123444</v>
      </c>
    </row>
    <row r="35" spans="1:13" ht="24" customHeight="1" x14ac:dyDescent="0.25">
      <c r="C35" s="5"/>
      <c r="D35" s="5"/>
      <c r="E35" s="5"/>
      <c r="F35" s="5"/>
      <c r="G35" s="5"/>
      <c r="H35" s="5"/>
      <c r="I35" s="5"/>
      <c r="J35" s="5"/>
    </row>
    <row r="36" spans="1:13" ht="39" customHeight="1" x14ac:dyDescent="0.25">
      <c r="A36" s="521" t="s">
        <v>394</v>
      </c>
      <c r="B36" s="521"/>
      <c r="C36" s="521"/>
      <c r="D36" s="521"/>
      <c r="E36" s="521"/>
      <c r="F36" s="521"/>
      <c r="G36" s="521"/>
      <c r="H36" s="521"/>
      <c r="I36" s="521"/>
      <c r="J36" s="521"/>
      <c r="K36" s="521"/>
      <c r="L36" s="521"/>
    </row>
    <row r="37" spans="1:13" ht="24" customHeight="1" x14ac:dyDescent="0.25">
      <c r="A37" s="521" t="s">
        <v>393</v>
      </c>
      <c r="B37" s="521"/>
      <c r="C37" s="521"/>
      <c r="D37" s="521"/>
      <c r="E37" s="521"/>
      <c r="F37" s="521"/>
      <c r="G37" s="521"/>
      <c r="H37" s="521"/>
      <c r="I37" s="521"/>
      <c r="J37" s="521"/>
      <c r="K37" s="521"/>
      <c r="L37" s="521"/>
    </row>
    <row r="38" spans="1:13" ht="24" customHeight="1" x14ac:dyDescent="0.2">
      <c r="L38" s="343"/>
    </row>
  </sheetData>
  <dataConsolidate link="1">
    <dataRefs count="4">
      <dataRef ref="C17:D17" sheet="Agents (ins.wise)" r:id="rId1"/>
      <dataRef ref="C16:D16" sheet="Agents (ins.wise)" r:id="rId2"/>
      <dataRef ref="C18:D18" sheet="Agents (ins.wise)" r:id="rId3"/>
      <dataRef ref="C16:D16" sheet="Agents (ins.wise)" r:id="rId4"/>
    </dataRefs>
  </dataConsolidate>
  <mergeCells count="4">
    <mergeCell ref="A36:L36"/>
    <mergeCell ref="A37:L37"/>
    <mergeCell ref="A2:M2"/>
    <mergeCell ref="A1:M1"/>
  </mergeCells>
  <printOptions horizontalCentered="1" verticalCentered="1"/>
  <pageMargins left="0.26" right="0.2" top="0.2" bottom="0.2" header="0.48" footer="0.5"/>
  <pageSetup paperSize="9" scale="75" orientation="landscape" r:id="rId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00B050"/>
  </sheetPr>
  <dimension ref="A1:M42"/>
  <sheetViews>
    <sheetView zoomScale="104" zoomScaleNormal="104" workbookViewId="0">
      <pane xSplit="2" ySplit="3" topLeftCell="C4" activePane="bottomRight" state="frozen"/>
      <selection pane="topRight" activeCell="C1" sqref="C1"/>
      <selection pane="bottomLeft" activeCell="A4" sqref="A4"/>
      <selection pane="bottomRight" activeCell="M33" sqref="M33"/>
    </sheetView>
  </sheetViews>
  <sheetFormatPr defaultColWidth="9.140625" defaultRowHeight="19.5" customHeight="1" x14ac:dyDescent="0.2"/>
  <cols>
    <col min="1" max="1" width="5.140625" style="6" customWidth="1"/>
    <col min="2" max="2" width="43.42578125" style="6" bestFit="1" customWidth="1"/>
    <col min="3" max="12" width="7.5703125" style="6" customWidth="1"/>
    <col min="13" max="16384" width="9.140625" style="6"/>
  </cols>
  <sheetData>
    <row r="1" spans="1:13" ht="19.5" customHeight="1" x14ac:dyDescent="0.2">
      <c r="A1" s="525" t="s">
        <v>372</v>
      </c>
      <c r="B1" s="525"/>
      <c r="C1" s="525"/>
      <c r="D1" s="525"/>
      <c r="E1" s="525"/>
      <c r="F1" s="525"/>
      <c r="G1" s="525"/>
      <c r="H1" s="525"/>
      <c r="I1" s="525"/>
      <c r="J1" s="525"/>
      <c r="K1" s="525"/>
      <c r="L1" s="525"/>
    </row>
    <row r="2" spans="1:13" ht="19.5" customHeight="1" x14ac:dyDescent="0.2">
      <c r="A2" s="526" t="s">
        <v>29</v>
      </c>
      <c r="B2" s="526"/>
      <c r="C2" s="526"/>
      <c r="D2" s="526"/>
      <c r="E2" s="526"/>
      <c r="F2" s="526"/>
      <c r="G2" s="526"/>
      <c r="H2" s="526"/>
      <c r="I2" s="526"/>
      <c r="J2" s="526"/>
      <c r="K2" s="526"/>
      <c r="L2" s="526"/>
    </row>
    <row r="3" spans="1:13" s="7" customFormat="1" ht="19.5" customHeight="1" x14ac:dyDescent="0.25">
      <c r="A3" s="341" t="s">
        <v>1</v>
      </c>
      <c r="B3" s="341" t="s">
        <v>2</v>
      </c>
      <c r="C3" s="112">
        <v>2015</v>
      </c>
      <c r="D3" s="112">
        <v>2016</v>
      </c>
      <c r="E3" s="112">
        <v>2017</v>
      </c>
      <c r="F3" s="112">
        <v>2018</v>
      </c>
      <c r="G3" s="112">
        <v>2019</v>
      </c>
      <c r="H3" s="112">
        <v>2020</v>
      </c>
      <c r="I3" s="112">
        <v>2021</v>
      </c>
      <c r="J3" s="112">
        <v>2022</v>
      </c>
      <c r="K3" s="112">
        <v>2023</v>
      </c>
      <c r="L3" s="112">
        <v>2024</v>
      </c>
      <c r="M3" s="439">
        <v>2025</v>
      </c>
    </row>
    <row r="4" spans="1:13" s="7" customFormat="1" ht="19.5" customHeight="1" x14ac:dyDescent="0.25">
      <c r="A4" s="113"/>
      <c r="B4" s="113" t="s">
        <v>3</v>
      </c>
      <c r="C4" s="112"/>
      <c r="D4" s="112"/>
      <c r="E4" s="112"/>
      <c r="F4" s="112"/>
      <c r="G4" s="112"/>
      <c r="H4" s="112"/>
      <c r="I4" s="112"/>
      <c r="J4" s="112"/>
      <c r="K4" s="102"/>
      <c r="L4" s="102"/>
      <c r="M4" s="102"/>
    </row>
    <row r="5" spans="1:13" s="8" customFormat="1" ht="19.5" customHeight="1" x14ac:dyDescent="0.25">
      <c r="A5" s="114">
        <v>1</v>
      </c>
      <c r="B5" s="115" t="s">
        <v>4</v>
      </c>
      <c r="C5" s="116">
        <v>142</v>
      </c>
      <c r="D5" s="116">
        <v>119</v>
      </c>
      <c r="E5" s="117">
        <v>107</v>
      </c>
      <c r="F5" s="117">
        <v>104</v>
      </c>
      <c r="G5" s="117">
        <v>122</v>
      </c>
      <c r="H5" s="117">
        <v>127</v>
      </c>
      <c r="I5" s="117">
        <v>110</v>
      </c>
      <c r="J5" s="117">
        <v>131</v>
      </c>
      <c r="K5" s="117">
        <v>145</v>
      </c>
      <c r="L5" s="117">
        <v>168</v>
      </c>
      <c r="M5" s="117">
        <v>183</v>
      </c>
    </row>
    <row r="6" spans="1:13" s="8" customFormat="1" ht="19.5" customHeight="1" x14ac:dyDescent="0.25">
      <c r="A6" s="114"/>
      <c r="B6" s="113" t="s">
        <v>5</v>
      </c>
      <c r="C6" s="116"/>
      <c r="D6" s="116"/>
      <c r="E6" s="117"/>
      <c r="F6" s="117"/>
      <c r="G6" s="117"/>
      <c r="H6" s="117"/>
      <c r="I6" s="117"/>
      <c r="J6" s="117"/>
      <c r="K6" s="117"/>
      <c r="L6" s="117"/>
      <c r="M6" s="117"/>
    </row>
    <row r="7" spans="1:13" s="8" customFormat="1" ht="19.5" customHeight="1" x14ac:dyDescent="0.25">
      <c r="A7" s="114">
        <v>2</v>
      </c>
      <c r="B7" s="115" t="s">
        <v>359</v>
      </c>
      <c r="C7" s="122">
        <v>0</v>
      </c>
      <c r="D7" s="122">
        <v>0</v>
      </c>
      <c r="E7" s="122">
        <v>0</v>
      </c>
      <c r="F7" s="122">
        <v>0</v>
      </c>
      <c r="G7" s="122">
        <v>0</v>
      </c>
      <c r="H7" s="122">
        <v>0</v>
      </c>
      <c r="I7" s="122">
        <v>0</v>
      </c>
      <c r="J7" s="122">
        <v>0</v>
      </c>
      <c r="K7" s="122">
        <v>0</v>
      </c>
      <c r="L7" s="117">
        <v>1</v>
      </c>
      <c r="M7" s="117">
        <v>2</v>
      </c>
    </row>
    <row r="8" spans="1:13" s="8" customFormat="1" ht="19.5" customHeight="1" x14ac:dyDescent="0.25">
      <c r="A8" s="114">
        <v>3</v>
      </c>
      <c r="B8" s="115" t="s">
        <v>6</v>
      </c>
      <c r="C8" s="116">
        <v>34</v>
      </c>
      <c r="D8" s="116">
        <v>32</v>
      </c>
      <c r="E8" s="117">
        <v>37</v>
      </c>
      <c r="F8" s="117">
        <v>33</v>
      </c>
      <c r="G8" s="117">
        <v>33</v>
      </c>
      <c r="H8" s="117">
        <v>34</v>
      </c>
      <c r="I8" s="117">
        <v>28</v>
      </c>
      <c r="J8" s="117">
        <v>31</v>
      </c>
      <c r="K8" s="116">
        <v>27</v>
      </c>
      <c r="L8" s="117">
        <v>42</v>
      </c>
      <c r="M8" s="117">
        <v>48</v>
      </c>
    </row>
    <row r="9" spans="1:13" s="8" customFormat="1" ht="19.5" customHeight="1" x14ac:dyDescent="0.25">
      <c r="A9" s="114">
        <v>4</v>
      </c>
      <c r="B9" s="115" t="s">
        <v>360</v>
      </c>
      <c r="C9" s="116">
        <v>7</v>
      </c>
      <c r="D9" s="116">
        <v>6</v>
      </c>
      <c r="E9" s="117">
        <v>7</v>
      </c>
      <c r="F9" s="117">
        <v>8</v>
      </c>
      <c r="G9" s="117">
        <v>8</v>
      </c>
      <c r="H9" s="117">
        <v>8</v>
      </c>
      <c r="I9" s="117">
        <v>11</v>
      </c>
      <c r="J9" s="117">
        <v>14</v>
      </c>
      <c r="K9" s="117">
        <v>11</v>
      </c>
      <c r="L9" s="117">
        <v>12</v>
      </c>
      <c r="M9" s="117">
        <v>21</v>
      </c>
    </row>
    <row r="10" spans="1:13" s="8" customFormat="1" ht="19.5" customHeight="1" x14ac:dyDescent="0.25">
      <c r="A10" s="114">
        <v>5</v>
      </c>
      <c r="B10" s="115" t="s">
        <v>7</v>
      </c>
      <c r="C10" s="116">
        <v>2</v>
      </c>
      <c r="D10" s="116">
        <v>3</v>
      </c>
      <c r="E10" s="117">
        <v>2</v>
      </c>
      <c r="F10" s="117">
        <v>3</v>
      </c>
      <c r="G10" s="117">
        <v>5</v>
      </c>
      <c r="H10" s="117">
        <v>5</v>
      </c>
      <c r="I10" s="117">
        <v>4</v>
      </c>
      <c r="J10" s="117">
        <v>5</v>
      </c>
      <c r="K10" s="117">
        <v>3</v>
      </c>
      <c r="L10" s="117">
        <v>4</v>
      </c>
      <c r="M10" s="117">
        <v>6</v>
      </c>
    </row>
    <row r="11" spans="1:13" s="8" customFormat="1" ht="19.5" customHeight="1" x14ac:dyDescent="0.25">
      <c r="A11" s="114">
        <v>6</v>
      </c>
      <c r="B11" s="115" t="s">
        <v>8</v>
      </c>
      <c r="C11" s="116">
        <v>5</v>
      </c>
      <c r="D11" s="116">
        <v>4</v>
      </c>
      <c r="E11" s="117">
        <v>3</v>
      </c>
      <c r="F11" s="117">
        <v>6</v>
      </c>
      <c r="G11" s="117">
        <v>8</v>
      </c>
      <c r="H11" s="117">
        <v>8</v>
      </c>
      <c r="I11" s="117">
        <v>8</v>
      </c>
      <c r="J11" s="117">
        <v>9</v>
      </c>
      <c r="K11" s="117">
        <v>9</v>
      </c>
      <c r="L11" s="117">
        <v>9</v>
      </c>
      <c r="M11" s="117">
        <v>6</v>
      </c>
    </row>
    <row r="12" spans="1:13" s="8" customFormat="1" ht="19.5" customHeight="1" x14ac:dyDescent="0.25">
      <c r="A12" s="114">
        <v>7</v>
      </c>
      <c r="B12" s="115" t="s">
        <v>9</v>
      </c>
      <c r="C12" s="116">
        <v>47</v>
      </c>
      <c r="D12" s="116">
        <v>37</v>
      </c>
      <c r="E12" s="117">
        <v>41</v>
      </c>
      <c r="F12" s="117">
        <v>44</v>
      </c>
      <c r="G12" s="117">
        <v>63</v>
      </c>
      <c r="H12" s="117">
        <v>69</v>
      </c>
      <c r="I12" s="117">
        <v>62</v>
      </c>
      <c r="J12" s="117">
        <v>70</v>
      </c>
      <c r="K12" s="117">
        <v>56</v>
      </c>
      <c r="L12" s="117">
        <v>87</v>
      </c>
      <c r="M12" s="117">
        <v>115</v>
      </c>
    </row>
    <row r="13" spans="1:13" s="8" customFormat="1" ht="19.5" customHeight="1" x14ac:dyDescent="0.25">
      <c r="A13" s="114">
        <v>8</v>
      </c>
      <c r="B13" s="115" t="s">
        <v>10</v>
      </c>
      <c r="C13" s="116">
        <v>6</v>
      </c>
      <c r="D13" s="116">
        <v>3</v>
      </c>
      <c r="E13" s="117">
        <v>6</v>
      </c>
      <c r="F13" s="117">
        <v>13</v>
      </c>
      <c r="G13" s="117">
        <v>31</v>
      </c>
      <c r="H13" s="117">
        <v>35</v>
      </c>
      <c r="I13" s="117">
        <v>33</v>
      </c>
      <c r="J13" s="117">
        <v>38</v>
      </c>
      <c r="K13" s="117">
        <v>23</v>
      </c>
      <c r="L13" s="117">
        <v>24</v>
      </c>
      <c r="M13" s="117">
        <v>24</v>
      </c>
    </row>
    <row r="14" spans="1:13" s="8" customFormat="1" ht="19.5" customHeight="1" x14ac:dyDescent="0.25">
      <c r="A14" s="114">
        <v>9</v>
      </c>
      <c r="B14" s="115" t="s">
        <v>30</v>
      </c>
      <c r="C14" s="116">
        <v>4</v>
      </c>
      <c r="D14" s="116">
        <v>3</v>
      </c>
      <c r="E14" s="117">
        <v>5</v>
      </c>
      <c r="F14" s="117">
        <v>7</v>
      </c>
      <c r="G14" s="117">
        <v>12</v>
      </c>
      <c r="H14" s="117">
        <v>13</v>
      </c>
      <c r="I14" s="117">
        <v>9</v>
      </c>
      <c r="J14" s="117">
        <v>11</v>
      </c>
      <c r="K14" s="117">
        <v>11</v>
      </c>
      <c r="L14" s="117">
        <v>12</v>
      </c>
      <c r="M14" s="117">
        <v>13</v>
      </c>
    </row>
    <row r="15" spans="1:13" s="8" customFormat="1" ht="19.5" customHeight="1" x14ac:dyDescent="0.25">
      <c r="A15" s="114">
        <v>10</v>
      </c>
      <c r="B15" s="115" t="s">
        <v>358</v>
      </c>
      <c r="C15" s="122">
        <v>0</v>
      </c>
      <c r="D15" s="122">
        <v>0</v>
      </c>
      <c r="E15" s="122">
        <v>0</v>
      </c>
      <c r="F15" s="122">
        <v>0</v>
      </c>
      <c r="G15" s="122">
        <v>0</v>
      </c>
      <c r="H15" s="122">
        <v>0</v>
      </c>
      <c r="I15" s="122">
        <v>0</v>
      </c>
      <c r="J15" s="122">
        <v>0</v>
      </c>
      <c r="K15" s="122">
        <v>0</v>
      </c>
      <c r="L15" s="117">
        <v>1</v>
      </c>
      <c r="M15" s="117">
        <v>5</v>
      </c>
    </row>
    <row r="16" spans="1:13" s="8" customFormat="1" ht="19.5" customHeight="1" x14ac:dyDescent="0.25">
      <c r="A16" s="114">
        <v>11</v>
      </c>
      <c r="B16" s="115" t="s">
        <v>11</v>
      </c>
      <c r="C16" s="116">
        <v>2</v>
      </c>
      <c r="D16" s="116">
        <v>2</v>
      </c>
      <c r="E16" s="117">
        <v>2</v>
      </c>
      <c r="F16" s="117">
        <v>2</v>
      </c>
      <c r="G16" s="117">
        <v>3</v>
      </c>
      <c r="H16" s="117">
        <v>8</v>
      </c>
      <c r="I16" s="117">
        <v>6</v>
      </c>
      <c r="J16" s="117">
        <v>11</v>
      </c>
      <c r="K16" s="117">
        <v>7</v>
      </c>
      <c r="L16" s="117">
        <v>8</v>
      </c>
      <c r="M16" s="117">
        <v>9</v>
      </c>
    </row>
    <row r="17" spans="1:13" s="8" customFormat="1" ht="19.5" customHeight="1" x14ac:dyDescent="0.25">
      <c r="A17" s="114">
        <v>12</v>
      </c>
      <c r="B17" s="115" t="s">
        <v>12</v>
      </c>
      <c r="C17" s="116">
        <v>14</v>
      </c>
      <c r="D17" s="116">
        <v>20</v>
      </c>
      <c r="E17" s="117">
        <v>29</v>
      </c>
      <c r="F17" s="117">
        <v>41</v>
      </c>
      <c r="G17" s="117">
        <v>56</v>
      </c>
      <c r="H17" s="117">
        <v>59</v>
      </c>
      <c r="I17" s="117">
        <v>55</v>
      </c>
      <c r="J17" s="117">
        <v>61</v>
      </c>
      <c r="K17" s="117">
        <v>48</v>
      </c>
      <c r="L17" s="117"/>
      <c r="M17" s="117"/>
    </row>
    <row r="18" spans="1:13" s="8" customFormat="1" ht="19.5" customHeight="1" x14ac:dyDescent="0.25">
      <c r="A18" s="114">
        <v>13</v>
      </c>
      <c r="B18" s="115" t="s">
        <v>13</v>
      </c>
      <c r="C18" s="116">
        <v>2</v>
      </c>
      <c r="D18" s="116">
        <v>2</v>
      </c>
      <c r="E18" s="117">
        <v>9</v>
      </c>
      <c r="F18" s="117">
        <v>14</v>
      </c>
      <c r="G18" s="117">
        <v>18</v>
      </c>
      <c r="H18" s="117">
        <v>19</v>
      </c>
      <c r="I18" s="117">
        <v>14</v>
      </c>
      <c r="J18" s="117">
        <v>17</v>
      </c>
      <c r="K18" s="117">
        <v>21</v>
      </c>
      <c r="L18" s="117">
        <v>21</v>
      </c>
      <c r="M18" s="117">
        <v>28</v>
      </c>
    </row>
    <row r="19" spans="1:13" s="8" customFormat="1" ht="19.5" customHeight="1" x14ac:dyDescent="0.25">
      <c r="A19" s="114">
        <v>14</v>
      </c>
      <c r="B19" s="115" t="s">
        <v>357</v>
      </c>
      <c r="C19" s="122">
        <v>0</v>
      </c>
      <c r="D19" s="122">
        <v>0</v>
      </c>
      <c r="E19" s="122">
        <v>0</v>
      </c>
      <c r="F19" s="122">
        <v>0</v>
      </c>
      <c r="G19" s="122">
        <v>0</v>
      </c>
      <c r="H19" s="122">
        <v>0</v>
      </c>
      <c r="I19" s="122">
        <v>0</v>
      </c>
      <c r="J19" s="122">
        <v>0</v>
      </c>
      <c r="K19" s="122">
        <v>0</v>
      </c>
      <c r="L19" s="117">
        <v>12</v>
      </c>
      <c r="M19" s="117">
        <v>31</v>
      </c>
    </row>
    <row r="20" spans="1:13" s="8" customFormat="1" ht="19.5" customHeight="1" x14ac:dyDescent="0.25">
      <c r="A20" s="114">
        <v>15</v>
      </c>
      <c r="B20" s="115" t="s">
        <v>14</v>
      </c>
      <c r="C20" s="116">
        <v>11</v>
      </c>
      <c r="D20" s="116">
        <v>12</v>
      </c>
      <c r="E20" s="117">
        <v>57</v>
      </c>
      <c r="F20" s="117">
        <v>81</v>
      </c>
      <c r="G20" s="117">
        <v>125</v>
      </c>
      <c r="H20" s="117">
        <v>153</v>
      </c>
      <c r="I20" s="117">
        <v>150</v>
      </c>
      <c r="J20" s="117">
        <v>177</v>
      </c>
      <c r="K20" s="117">
        <v>170</v>
      </c>
      <c r="L20" s="117">
        <v>209</v>
      </c>
      <c r="M20" s="117">
        <v>236</v>
      </c>
    </row>
    <row r="21" spans="1:13" s="8" customFormat="1" ht="19.5" customHeight="1" x14ac:dyDescent="0.25">
      <c r="A21" s="114">
        <v>16</v>
      </c>
      <c r="B21" s="115" t="s">
        <v>15</v>
      </c>
      <c r="C21" s="116">
        <v>11</v>
      </c>
      <c r="D21" s="116">
        <v>11</v>
      </c>
      <c r="E21" s="117">
        <v>23</v>
      </c>
      <c r="F21" s="117">
        <v>36</v>
      </c>
      <c r="G21" s="117">
        <v>70</v>
      </c>
      <c r="H21" s="117">
        <v>102</v>
      </c>
      <c r="I21" s="117">
        <v>104</v>
      </c>
      <c r="J21" s="117">
        <v>125</v>
      </c>
      <c r="K21" s="117">
        <v>169</v>
      </c>
      <c r="L21" s="117">
        <v>217</v>
      </c>
      <c r="M21" s="117">
        <v>277</v>
      </c>
    </row>
    <row r="22" spans="1:13" s="8" customFormat="1" ht="19.5" customHeight="1" x14ac:dyDescent="0.25">
      <c r="A22" s="114">
        <v>17</v>
      </c>
      <c r="B22" s="115" t="s">
        <v>16</v>
      </c>
      <c r="C22" s="116">
        <v>12</v>
      </c>
      <c r="D22" s="116">
        <v>10</v>
      </c>
      <c r="E22" s="117">
        <v>10</v>
      </c>
      <c r="F22" s="117">
        <v>11</v>
      </c>
      <c r="G22" s="117">
        <v>22</v>
      </c>
      <c r="H22" s="117">
        <v>25</v>
      </c>
      <c r="I22" s="117">
        <v>22</v>
      </c>
      <c r="J22" s="117">
        <v>22</v>
      </c>
      <c r="K22" s="117">
        <v>24</v>
      </c>
      <c r="L22" s="117">
        <v>26</v>
      </c>
      <c r="M22" s="117">
        <v>29</v>
      </c>
    </row>
    <row r="23" spans="1:13" s="8" customFormat="1" ht="19.5" customHeight="1" x14ac:dyDescent="0.25">
      <c r="A23" s="114">
        <v>18</v>
      </c>
      <c r="B23" s="115" t="s">
        <v>17</v>
      </c>
      <c r="C23" s="116">
        <v>34</v>
      </c>
      <c r="D23" s="116">
        <v>23</v>
      </c>
      <c r="E23" s="117">
        <v>34</v>
      </c>
      <c r="F23" s="117">
        <v>47</v>
      </c>
      <c r="G23" s="117">
        <v>77</v>
      </c>
      <c r="H23" s="117">
        <v>95</v>
      </c>
      <c r="I23" s="117">
        <v>76</v>
      </c>
      <c r="J23" s="117">
        <v>89</v>
      </c>
      <c r="K23" s="117">
        <v>49</v>
      </c>
      <c r="L23" s="117">
        <v>74</v>
      </c>
      <c r="M23" s="117">
        <v>99</v>
      </c>
    </row>
    <row r="24" spans="1:13" s="8" customFormat="1" ht="19.5" customHeight="1" x14ac:dyDescent="0.25">
      <c r="A24" s="114">
        <v>19</v>
      </c>
      <c r="B24" s="115" t="s">
        <v>18</v>
      </c>
      <c r="C24" s="116">
        <v>23</v>
      </c>
      <c r="D24" s="116">
        <v>19</v>
      </c>
      <c r="E24" s="117">
        <v>23</v>
      </c>
      <c r="F24" s="117">
        <v>22</v>
      </c>
      <c r="G24" s="117">
        <v>29</v>
      </c>
      <c r="H24" s="117">
        <v>28</v>
      </c>
      <c r="I24" s="117">
        <v>19</v>
      </c>
      <c r="J24" s="117">
        <v>26</v>
      </c>
      <c r="K24" s="117">
        <v>32</v>
      </c>
      <c r="L24" s="117">
        <v>55</v>
      </c>
      <c r="M24" s="117">
        <v>85</v>
      </c>
    </row>
    <row r="25" spans="1:13" s="8" customFormat="1" ht="19.5" customHeight="1" x14ac:dyDescent="0.25">
      <c r="A25" s="114">
        <v>20</v>
      </c>
      <c r="B25" s="115" t="s">
        <v>19</v>
      </c>
      <c r="C25" s="116">
        <v>12</v>
      </c>
      <c r="D25" s="116">
        <v>13</v>
      </c>
      <c r="E25" s="117">
        <v>13</v>
      </c>
      <c r="F25" s="117">
        <v>11</v>
      </c>
      <c r="G25" s="117">
        <v>14</v>
      </c>
      <c r="H25" s="117">
        <v>17</v>
      </c>
      <c r="I25" s="117">
        <v>17</v>
      </c>
      <c r="J25" s="117">
        <v>25</v>
      </c>
      <c r="K25" s="117">
        <v>38</v>
      </c>
      <c r="L25" s="117">
        <v>34</v>
      </c>
      <c r="M25" s="117">
        <v>43</v>
      </c>
    </row>
    <row r="26" spans="1:13" s="8" customFormat="1" ht="19.5" customHeight="1" x14ac:dyDescent="0.25">
      <c r="A26" s="114">
        <v>21</v>
      </c>
      <c r="B26" s="118" t="s">
        <v>20</v>
      </c>
      <c r="C26" s="116">
        <v>15</v>
      </c>
      <c r="D26" s="116">
        <v>9</v>
      </c>
      <c r="E26" s="117">
        <v>6</v>
      </c>
      <c r="F26" s="117">
        <v>12</v>
      </c>
      <c r="G26" s="117">
        <v>18</v>
      </c>
      <c r="H26" s="117">
        <v>17</v>
      </c>
      <c r="I26" s="117">
        <v>14</v>
      </c>
      <c r="J26" s="117">
        <v>14</v>
      </c>
      <c r="K26" s="117">
        <v>17</v>
      </c>
      <c r="L26" s="117">
        <v>26</v>
      </c>
      <c r="M26" s="117">
        <v>48</v>
      </c>
    </row>
    <row r="27" spans="1:13" s="8" customFormat="1" ht="19.5" customHeight="1" x14ac:dyDescent="0.25">
      <c r="A27" s="114">
        <v>22</v>
      </c>
      <c r="B27" s="115" t="s">
        <v>21</v>
      </c>
      <c r="C27" s="116">
        <v>16</v>
      </c>
      <c r="D27" s="116">
        <v>8</v>
      </c>
      <c r="E27" s="117">
        <v>22</v>
      </c>
      <c r="F27" s="117">
        <v>30</v>
      </c>
      <c r="G27" s="117">
        <v>42</v>
      </c>
      <c r="H27" s="117">
        <v>42</v>
      </c>
      <c r="I27" s="117">
        <v>36</v>
      </c>
      <c r="J27" s="117">
        <v>44</v>
      </c>
      <c r="K27" s="117">
        <v>34</v>
      </c>
      <c r="L27" s="117">
        <v>37</v>
      </c>
      <c r="M27" s="117">
        <v>38</v>
      </c>
    </row>
    <row r="28" spans="1:13" s="8" customFormat="1" ht="19.5" customHeight="1" x14ac:dyDescent="0.25">
      <c r="A28" s="114">
        <v>23</v>
      </c>
      <c r="B28" s="115" t="s">
        <v>22</v>
      </c>
      <c r="C28" s="116">
        <v>5</v>
      </c>
      <c r="D28" s="116">
        <v>4</v>
      </c>
      <c r="E28" s="117">
        <v>4</v>
      </c>
      <c r="F28" s="117">
        <v>2</v>
      </c>
      <c r="G28" s="117">
        <v>2</v>
      </c>
      <c r="H28" s="117">
        <v>0</v>
      </c>
      <c r="I28" s="117">
        <v>1</v>
      </c>
      <c r="J28" s="117">
        <v>1</v>
      </c>
      <c r="K28" s="117">
        <v>2</v>
      </c>
      <c r="L28" s="117">
        <v>0</v>
      </c>
      <c r="M28" s="117">
        <v>0</v>
      </c>
    </row>
    <row r="29" spans="1:13" s="8" customFormat="1" ht="19.5" customHeight="1" x14ac:dyDescent="0.25">
      <c r="A29" s="114">
        <v>24</v>
      </c>
      <c r="B29" s="115" t="s">
        <v>23</v>
      </c>
      <c r="C29" s="116">
        <v>82</v>
      </c>
      <c r="D29" s="116">
        <v>60</v>
      </c>
      <c r="E29" s="117">
        <v>77</v>
      </c>
      <c r="F29" s="117">
        <v>76</v>
      </c>
      <c r="G29" s="117">
        <v>89</v>
      </c>
      <c r="H29" s="117">
        <v>92</v>
      </c>
      <c r="I29" s="117">
        <v>91</v>
      </c>
      <c r="J29" s="117">
        <v>103</v>
      </c>
      <c r="K29" s="117">
        <v>77</v>
      </c>
      <c r="L29" s="117">
        <v>91</v>
      </c>
      <c r="M29" s="117">
        <v>73</v>
      </c>
    </row>
    <row r="30" spans="1:13" s="8" customFormat="1" ht="19.5" customHeight="1" x14ac:dyDescent="0.25">
      <c r="A30" s="114">
        <v>25</v>
      </c>
      <c r="B30" s="115" t="s">
        <v>24</v>
      </c>
      <c r="C30" s="116">
        <v>8</v>
      </c>
      <c r="D30" s="116">
        <v>6</v>
      </c>
      <c r="E30" s="117">
        <v>5</v>
      </c>
      <c r="F30" s="117">
        <v>5</v>
      </c>
      <c r="G30" s="117">
        <v>5</v>
      </c>
      <c r="H30" s="117">
        <v>7</v>
      </c>
      <c r="I30" s="117">
        <v>3</v>
      </c>
      <c r="J30" s="117">
        <v>5</v>
      </c>
      <c r="K30" s="117">
        <v>14</v>
      </c>
      <c r="L30" s="117">
        <v>36</v>
      </c>
      <c r="M30" s="117">
        <v>59</v>
      </c>
    </row>
    <row r="31" spans="1:13" s="8" customFormat="1" ht="19.5" customHeight="1" x14ac:dyDescent="0.25">
      <c r="A31" s="114">
        <v>26</v>
      </c>
      <c r="B31" s="115" t="s">
        <v>25</v>
      </c>
      <c r="C31" s="116">
        <v>7</v>
      </c>
      <c r="D31" s="116">
        <v>7</v>
      </c>
      <c r="E31" s="117">
        <v>7</v>
      </c>
      <c r="F31" s="117">
        <v>7</v>
      </c>
      <c r="G31" s="117">
        <v>5</v>
      </c>
      <c r="H31" s="117">
        <v>4</v>
      </c>
      <c r="I31" s="117">
        <v>3</v>
      </c>
      <c r="J31" s="117">
        <v>5</v>
      </c>
      <c r="K31" s="117">
        <v>10</v>
      </c>
      <c r="L31" s="117">
        <v>12</v>
      </c>
      <c r="M31" s="117">
        <v>21</v>
      </c>
    </row>
    <row r="32" spans="1:13" s="8" customFormat="1" ht="19.5" customHeight="1" x14ac:dyDescent="0.25">
      <c r="A32" s="114">
        <v>27</v>
      </c>
      <c r="B32" s="115" t="s">
        <v>26</v>
      </c>
      <c r="C32" s="119">
        <v>2</v>
      </c>
      <c r="D32" s="116">
        <v>3</v>
      </c>
      <c r="E32" s="117">
        <v>4</v>
      </c>
      <c r="F32" s="117">
        <v>8</v>
      </c>
      <c r="G32" s="117">
        <v>9</v>
      </c>
      <c r="H32" s="117">
        <v>11</v>
      </c>
      <c r="I32" s="117">
        <v>11</v>
      </c>
      <c r="J32" s="117">
        <v>18</v>
      </c>
      <c r="K32" s="117">
        <v>25</v>
      </c>
      <c r="L32" s="117">
        <v>50</v>
      </c>
      <c r="M32" s="117">
        <v>67</v>
      </c>
    </row>
    <row r="33" spans="1:13" s="8" customFormat="1" ht="19.5" customHeight="1" x14ac:dyDescent="0.25">
      <c r="A33" s="114"/>
      <c r="B33" s="101" t="s">
        <v>27</v>
      </c>
      <c r="C33" s="121">
        <v>361</v>
      </c>
      <c r="D33" s="121">
        <v>297</v>
      </c>
      <c r="E33" s="121">
        <v>426</v>
      </c>
      <c r="F33" s="121">
        <v>519</v>
      </c>
      <c r="G33" s="121">
        <v>744</v>
      </c>
      <c r="H33" s="121">
        <v>851</v>
      </c>
      <c r="I33" s="121">
        <v>777</v>
      </c>
      <c r="J33" s="121">
        <v>921</v>
      </c>
      <c r="K33" s="120">
        <v>877</v>
      </c>
      <c r="L33" s="121">
        <v>1100</v>
      </c>
      <c r="M33" s="121">
        <v>1383</v>
      </c>
    </row>
    <row r="34" spans="1:13" s="8" customFormat="1" ht="19.5" customHeight="1" x14ac:dyDescent="0.25">
      <c r="A34" s="101"/>
      <c r="B34" s="101" t="s">
        <v>28</v>
      </c>
      <c r="C34" s="120">
        <v>503</v>
      </c>
      <c r="D34" s="120">
        <v>416</v>
      </c>
      <c r="E34" s="120">
        <v>533</v>
      </c>
      <c r="F34" s="120">
        <v>623</v>
      </c>
      <c r="G34" s="120">
        <v>866</v>
      </c>
      <c r="H34" s="120">
        <v>978</v>
      </c>
      <c r="I34" s="120">
        <v>887</v>
      </c>
      <c r="J34" s="120">
        <v>1052</v>
      </c>
      <c r="K34" s="120">
        <v>1022</v>
      </c>
      <c r="L34" s="121">
        <v>1268</v>
      </c>
      <c r="M34" s="121">
        <v>1566</v>
      </c>
    </row>
    <row r="35" spans="1:13" ht="19.5" customHeight="1" x14ac:dyDescent="0.2">
      <c r="C35" s="524"/>
      <c r="D35" s="524"/>
    </row>
    <row r="36" spans="1:13" ht="42.75" customHeight="1" x14ac:dyDescent="0.2">
      <c r="A36" s="527" t="s">
        <v>394</v>
      </c>
      <c r="B36" s="528"/>
      <c r="C36" s="528"/>
      <c r="D36" s="528"/>
      <c r="E36" s="528"/>
      <c r="F36" s="528"/>
      <c r="G36" s="528"/>
      <c r="H36" s="528"/>
      <c r="I36" s="528"/>
      <c r="J36" s="528"/>
      <c r="K36" s="528"/>
      <c r="L36" s="529"/>
      <c r="M36" s="8"/>
    </row>
    <row r="37" spans="1:13" ht="19.5" customHeight="1" x14ac:dyDescent="0.2">
      <c r="A37" s="521" t="s">
        <v>393</v>
      </c>
      <c r="B37" s="521"/>
      <c r="C37" s="521"/>
      <c r="D37" s="521"/>
      <c r="E37" s="521"/>
      <c r="F37" s="521"/>
      <c r="G37" s="521"/>
      <c r="H37" s="521"/>
      <c r="I37" s="521"/>
      <c r="J37" s="521"/>
      <c r="K37" s="521"/>
      <c r="L37" s="521"/>
    </row>
    <row r="38" spans="1:13" ht="19.5" customHeight="1" x14ac:dyDescent="0.2">
      <c r="C38" s="9"/>
    </row>
    <row r="39" spans="1:13" ht="19.5" customHeight="1" x14ac:dyDescent="0.2">
      <c r="C39" s="9"/>
    </row>
    <row r="40" spans="1:13" ht="19.5" customHeight="1" x14ac:dyDescent="0.2">
      <c r="C40" s="9"/>
    </row>
    <row r="41" spans="1:13" ht="19.5" customHeight="1" x14ac:dyDescent="0.2">
      <c r="C41" s="9"/>
    </row>
    <row r="42" spans="1:13" ht="19.5" customHeight="1" x14ac:dyDescent="0.2">
      <c r="C42" s="9"/>
    </row>
  </sheetData>
  <mergeCells count="5">
    <mergeCell ref="C35:D35"/>
    <mergeCell ref="A1:L1"/>
    <mergeCell ref="A2:L2"/>
    <mergeCell ref="A36:L36"/>
    <mergeCell ref="A37:L37"/>
  </mergeCells>
  <printOptions horizontalCentered="1" verticalCentered="1"/>
  <pageMargins left="0.23622047244094491" right="0.23622047244094491" top="0.15748031496062992" bottom="0.62992125984251968" header="0.31496062992125984" footer="0.51181102362204722"/>
  <pageSetup scale="98"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00B050"/>
    <pageSetUpPr fitToPage="1"/>
  </sheetPr>
  <dimension ref="A1:M42"/>
  <sheetViews>
    <sheetView zoomScaleNormal="100" workbookViewId="0">
      <pane xSplit="2" ySplit="3" topLeftCell="C22" activePane="bottomRight" state="frozen"/>
      <selection pane="topRight" activeCell="C1" sqref="C1"/>
      <selection pane="bottomLeft" activeCell="A4" sqref="A4"/>
      <selection pane="bottomRight" activeCell="M3" sqref="M3"/>
    </sheetView>
  </sheetViews>
  <sheetFormatPr defaultColWidth="9.140625" defaultRowHeight="12.75" x14ac:dyDescent="0.2"/>
  <cols>
    <col min="1" max="1" width="6.7109375" style="140" customWidth="1"/>
    <col min="2" max="2" width="52" style="66" bestFit="1" customWidth="1"/>
    <col min="3" max="12" width="10.85546875" style="66" customWidth="1"/>
    <col min="13" max="16384" width="9.140625" style="66"/>
  </cols>
  <sheetData>
    <row r="1" spans="1:13" ht="27" customHeight="1" x14ac:dyDescent="0.2">
      <c r="A1" s="530" t="s">
        <v>373</v>
      </c>
      <c r="B1" s="530"/>
      <c r="C1" s="530"/>
      <c r="D1" s="530"/>
      <c r="E1" s="530"/>
      <c r="F1" s="530"/>
      <c r="G1" s="530"/>
      <c r="H1" s="530"/>
      <c r="I1" s="530"/>
      <c r="J1" s="530"/>
      <c r="K1" s="530"/>
      <c r="L1" s="530"/>
    </row>
    <row r="2" spans="1:13" ht="18.75" customHeight="1" x14ac:dyDescent="0.2">
      <c r="A2" s="531" t="s">
        <v>297</v>
      </c>
      <c r="B2" s="531"/>
      <c r="C2" s="531"/>
      <c r="D2" s="531"/>
      <c r="E2" s="531"/>
      <c r="F2" s="531"/>
      <c r="G2" s="531"/>
      <c r="H2" s="531"/>
      <c r="I2" s="531"/>
      <c r="J2" s="531"/>
      <c r="K2" s="531"/>
      <c r="L2" s="531"/>
    </row>
    <row r="3" spans="1:13" s="67" customFormat="1" ht="24" customHeight="1" x14ac:dyDescent="0.25">
      <c r="A3" s="129" t="s">
        <v>1</v>
      </c>
      <c r="B3" s="129" t="s">
        <v>2</v>
      </c>
      <c r="C3" s="126">
        <v>2015</v>
      </c>
      <c r="D3" s="126">
        <v>2016</v>
      </c>
      <c r="E3" s="126">
        <v>2017</v>
      </c>
      <c r="F3" s="126">
        <v>2018</v>
      </c>
      <c r="G3" s="126">
        <v>2019</v>
      </c>
      <c r="H3" s="126">
        <v>2020</v>
      </c>
      <c r="I3" s="126">
        <v>2021</v>
      </c>
      <c r="J3" s="126">
        <v>2022</v>
      </c>
      <c r="K3" s="126">
        <v>2023</v>
      </c>
      <c r="L3" s="126">
        <v>2024</v>
      </c>
      <c r="M3" s="126">
        <v>2025</v>
      </c>
    </row>
    <row r="4" spans="1:13" s="67" customFormat="1" ht="24" customHeight="1" x14ac:dyDescent="0.25">
      <c r="A4" s="130"/>
      <c r="B4" s="127" t="s">
        <v>3</v>
      </c>
      <c r="C4" s="131"/>
      <c r="D4" s="131"/>
      <c r="E4" s="131"/>
      <c r="F4" s="131"/>
      <c r="G4" s="131"/>
      <c r="H4" s="131"/>
      <c r="I4" s="131"/>
      <c r="J4" s="131"/>
      <c r="K4" s="131"/>
      <c r="L4" s="132"/>
      <c r="M4" s="440"/>
    </row>
    <row r="5" spans="1:13" ht="24" customHeight="1" x14ac:dyDescent="0.2">
      <c r="A5" s="133">
        <v>1</v>
      </c>
      <c r="B5" s="128" t="s">
        <v>4</v>
      </c>
      <c r="C5" s="134">
        <v>19379</v>
      </c>
      <c r="D5" s="134">
        <v>18574</v>
      </c>
      <c r="E5" s="134">
        <v>19301</v>
      </c>
      <c r="F5" s="134">
        <v>19183</v>
      </c>
      <c r="G5" s="134">
        <v>19926</v>
      </c>
      <c r="H5" s="134">
        <v>20907</v>
      </c>
      <c r="I5" s="134">
        <v>21547</v>
      </c>
      <c r="J5" s="134">
        <v>19780</v>
      </c>
      <c r="K5" s="134">
        <v>19437</v>
      </c>
      <c r="L5" s="132">
        <v>19166</v>
      </c>
      <c r="M5" s="441">
        <v>18655</v>
      </c>
    </row>
    <row r="6" spans="1:13" ht="24" customHeight="1" x14ac:dyDescent="0.2">
      <c r="A6" s="133"/>
      <c r="B6" s="127" t="s">
        <v>5</v>
      </c>
      <c r="C6" s="135"/>
      <c r="D6" s="136"/>
      <c r="E6" s="137"/>
      <c r="F6" s="132"/>
      <c r="G6" s="132"/>
      <c r="H6" s="132"/>
      <c r="I6" s="132"/>
      <c r="J6" s="132"/>
      <c r="K6" s="132"/>
      <c r="L6" s="132"/>
      <c r="M6" s="441"/>
    </row>
    <row r="7" spans="1:13" ht="24" customHeight="1" x14ac:dyDescent="0.2">
      <c r="A7" s="133">
        <v>2</v>
      </c>
      <c r="B7" s="115" t="s">
        <v>359</v>
      </c>
      <c r="C7" s="134">
        <v>0</v>
      </c>
      <c r="D7" s="134">
        <v>0</v>
      </c>
      <c r="E7" s="134">
        <v>0</v>
      </c>
      <c r="F7" s="134">
        <v>0</v>
      </c>
      <c r="G7" s="134">
        <v>0</v>
      </c>
      <c r="H7" s="134">
        <v>0</v>
      </c>
      <c r="I7" s="134">
        <v>0</v>
      </c>
      <c r="J7" s="134">
        <v>0</v>
      </c>
      <c r="K7" s="134">
        <v>0</v>
      </c>
      <c r="L7" s="132">
        <v>1</v>
      </c>
      <c r="M7" s="441">
        <v>0</v>
      </c>
    </row>
    <row r="8" spans="1:13" ht="24" customHeight="1" x14ac:dyDescent="0.2">
      <c r="A8" s="133">
        <v>3</v>
      </c>
      <c r="B8" s="115" t="s">
        <v>6</v>
      </c>
      <c r="C8" s="134">
        <v>56</v>
      </c>
      <c r="D8" s="134">
        <v>51</v>
      </c>
      <c r="E8" s="134">
        <v>55</v>
      </c>
      <c r="F8" s="134">
        <v>39</v>
      </c>
      <c r="G8" s="134">
        <v>22</v>
      </c>
      <c r="H8" s="134">
        <v>13</v>
      </c>
      <c r="I8" s="134">
        <v>6</v>
      </c>
      <c r="J8" s="134">
        <v>5</v>
      </c>
      <c r="K8" s="134">
        <v>0</v>
      </c>
      <c r="L8" s="134">
        <v>0</v>
      </c>
      <c r="M8" s="441">
        <v>0</v>
      </c>
    </row>
    <row r="9" spans="1:13" ht="24" customHeight="1" x14ac:dyDescent="0.2">
      <c r="A9" s="133">
        <v>4</v>
      </c>
      <c r="B9" s="115" t="s">
        <v>360</v>
      </c>
      <c r="C9" s="134">
        <v>0</v>
      </c>
      <c r="D9" s="134">
        <v>0</v>
      </c>
      <c r="E9" s="134">
        <v>0</v>
      </c>
      <c r="F9" s="134">
        <v>0</v>
      </c>
      <c r="G9" s="134">
        <v>0</v>
      </c>
      <c r="H9" s="134">
        <v>0</v>
      </c>
      <c r="I9" s="134">
        <v>0</v>
      </c>
      <c r="J9" s="134">
        <v>0</v>
      </c>
      <c r="K9" s="134">
        <v>0</v>
      </c>
      <c r="L9" s="134">
        <v>0</v>
      </c>
      <c r="M9" s="441">
        <v>0</v>
      </c>
    </row>
    <row r="10" spans="1:13" ht="24" customHeight="1" x14ac:dyDescent="0.2">
      <c r="A10" s="133">
        <v>5</v>
      </c>
      <c r="B10" s="115" t="s">
        <v>7</v>
      </c>
      <c r="C10" s="134">
        <v>2</v>
      </c>
      <c r="D10" s="134">
        <v>2</v>
      </c>
      <c r="E10" s="134">
        <v>2</v>
      </c>
      <c r="F10" s="134">
        <v>2</v>
      </c>
      <c r="G10" s="134">
        <v>2</v>
      </c>
      <c r="H10" s="134">
        <v>2</v>
      </c>
      <c r="I10" s="134">
        <v>2</v>
      </c>
      <c r="J10" s="134">
        <v>2</v>
      </c>
      <c r="K10" s="134">
        <v>2</v>
      </c>
      <c r="L10" s="132">
        <v>2</v>
      </c>
      <c r="M10" s="441">
        <v>2</v>
      </c>
    </row>
    <row r="11" spans="1:13" ht="24" customHeight="1" x14ac:dyDescent="0.2">
      <c r="A11" s="133">
        <v>6</v>
      </c>
      <c r="B11" s="115" t="s">
        <v>8</v>
      </c>
      <c r="C11" s="134">
        <v>667</v>
      </c>
      <c r="D11" s="134">
        <v>10</v>
      </c>
      <c r="E11" s="134">
        <v>0</v>
      </c>
      <c r="F11" s="134">
        <v>0</v>
      </c>
      <c r="G11" s="134">
        <v>0</v>
      </c>
      <c r="H11" s="134">
        <v>0</v>
      </c>
      <c r="I11" s="134">
        <v>0</v>
      </c>
      <c r="J11" s="134">
        <v>0</v>
      </c>
      <c r="K11" s="134">
        <v>0</v>
      </c>
      <c r="L11" s="132">
        <v>0</v>
      </c>
      <c r="M11" s="441">
        <v>0</v>
      </c>
    </row>
    <row r="12" spans="1:13" ht="24" customHeight="1" x14ac:dyDescent="0.2">
      <c r="A12" s="133">
        <v>7</v>
      </c>
      <c r="B12" s="115" t="s">
        <v>9</v>
      </c>
      <c r="C12" s="134">
        <v>0</v>
      </c>
      <c r="D12" s="134">
        <v>457</v>
      </c>
      <c r="E12" s="134">
        <v>520</v>
      </c>
      <c r="F12" s="134">
        <v>567</v>
      </c>
      <c r="G12" s="134">
        <v>174</v>
      </c>
      <c r="H12" s="134">
        <v>9</v>
      </c>
      <c r="I12" s="134">
        <v>4</v>
      </c>
      <c r="J12" s="134">
        <v>3</v>
      </c>
      <c r="K12" s="134">
        <v>3</v>
      </c>
      <c r="L12" s="132">
        <v>2</v>
      </c>
      <c r="M12" s="441">
        <v>0</v>
      </c>
    </row>
    <row r="13" spans="1:13" ht="24" customHeight="1" x14ac:dyDescent="0.2">
      <c r="A13" s="133">
        <v>8</v>
      </c>
      <c r="B13" s="115" t="s">
        <v>10</v>
      </c>
      <c r="C13" s="134">
        <v>0</v>
      </c>
      <c r="D13" s="134">
        <v>0</v>
      </c>
      <c r="E13" s="134">
        <v>0</v>
      </c>
      <c r="F13" s="134">
        <v>0</v>
      </c>
      <c r="G13" s="134">
        <v>0</v>
      </c>
      <c r="H13" s="134">
        <v>0</v>
      </c>
      <c r="I13" s="134">
        <v>0</v>
      </c>
      <c r="J13" s="134">
        <v>0</v>
      </c>
      <c r="K13" s="134">
        <v>0</v>
      </c>
      <c r="L13" s="134">
        <v>0</v>
      </c>
      <c r="M13" s="441">
        <v>0</v>
      </c>
    </row>
    <row r="14" spans="1:13" ht="24" customHeight="1" x14ac:dyDescent="0.2">
      <c r="A14" s="133">
        <v>9</v>
      </c>
      <c r="B14" s="115" t="s">
        <v>30</v>
      </c>
      <c r="C14" s="134">
        <v>0</v>
      </c>
      <c r="D14" s="134">
        <v>0</v>
      </c>
      <c r="E14" s="134">
        <v>0</v>
      </c>
      <c r="F14" s="134">
        <v>0</v>
      </c>
      <c r="G14" s="134">
        <v>0</v>
      </c>
      <c r="H14" s="134">
        <v>0</v>
      </c>
      <c r="I14" s="134">
        <v>0</v>
      </c>
      <c r="J14" s="134">
        <v>0</v>
      </c>
      <c r="K14" s="134">
        <v>0</v>
      </c>
      <c r="L14" s="134">
        <v>0</v>
      </c>
      <c r="M14" s="441">
        <v>0</v>
      </c>
    </row>
    <row r="15" spans="1:13" ht="24" customHeight="1" x14ac:dyDescent="0.2">
      <c r="A15" s="133">
        <v>10</v>
      </c>
      <c r="B15" s="115" t="s">
        <v>358</v>
      </c>
      <c r="C15" s="134">
        <v>0</v>
      </c>
      <c r="D15" s="134">
        <v>0</v>
      </c>
      <c r="E15" s="134">
        <v>0</v>
      </c>
      <c r="F15" s="134">
        <v>0</v>
      </c>
      <c r="G15" s="134">
        <v>0</v>
      </c>
      <c r="H15" s="134">
        <v>0</v>
      </c>
      <c r="I15" s="134">
        <v>0</v>
      </c>
      <c r="J15" s="134">
        <v>0</v>
      </c>
      <c r="K15" s="134">
        <v>0</v>
      </c>
      <c r="L15" s="134">
        <v>0</v>
      </c>
      <c r="M15" s="441">
        <v>0</v>
      </c>
    </row>
    <row r="16" spans="1:13" ht="24" customHeight="1" x14ac:dyDescent="0.2">
      <c r="A16" s="133">
        <v>11</v>
      </c>
      <c r="B16" s="115" t="s">
        <v>11</v>
      </c>
      <c r="C16" s="134">
        <v>1</v>
      </c>
      <c r="D16" s="134">
        <v>1</v>
      </c>
      <c r="E16" s="134">
        <v>1</v>
      </c>
      <c r="F16" s="134">
        <v>1</v>
      </c>
      <c r="G16" s="134">
        <v>1</v>
      </c>
      <c r="H16" s="134">
        <v>1</v>
      </c>
      <c r="I16" s="134">
        <v>1</v>
      </c>
      <c r="J16" s="134">
        <v>1</v>
      </c>
      <c r="K16" s="134">
        <v>1</v>
      </c>
      <c r="L16" s="132">
        <v>0</v>
      </c>
      <c r="M16" s="441">
        <v>0</v>
      </c>
    </row>
    <row r="17" spans="1:13" ht="24" customHeight="1" x14ac:dyDescent="0.2">
      <c r="A17" s="133">
        <v>12</v>
      </c>
      <c r="B17" s="115" t="s">
        <v>12</v>
      </c>
      <c r="C17" s="134">
        <v>0</v>
      </c>
      <c r="D17" s="134">
        <v>0</v>
      </c>
      <c r="E17" s="134">
        <v>0</v>
      </c>
      <c r="F17" s="134">
        <v>0</v>
      </c>
      <c r="G17" s="134">
        <v>0</v>
      </c>
      <c r="H17" s="134">
        <v>0</v>
      </c>
      <c r="I17" s="134">
        <v>0</v>
      </c>
      <c r="J17" s="134">
        <v>0</v>
      </c>
      <c r="K17" s="134">
        <v>0</v>
      </c>
      <c r="L17" s="132"/>
      <c r="M17" s="441"/>
    </row>
    <row r="18" spans="1:13" ht="24" customHeight="1" x14ac:dyDescent="0.2">
      <c r="A18" s="133">
        <v>13</v>
      </c>
      <c r="B18" s="115" t="s">
        <v>13</v>
      </c>
      <c r="C18" s="134">
        <v>0</v>
      </c>
      <c r="D18" s="134">
        <v>0</v>
      </c>
      <c r="E18" s="134">
        <v>0</v>
      </c>
      <c r="F18" s="134">
        <v>0</v>
      </c>
      <c r="G18" s="134">
        <v>0</v>
      </c>
      <c r="H18" s="134">
        <v>0</v>
      </c>
      <c r="I18" s="134">
        <v>0</v>
      </c>
      <c r="J18" s="134">
        <v>0</v>
      </c>
      <c r="K18" s="134">
        <v>0</v>
      </c>
      <c r="L18" s="132">
        <v>0</v>
      </c>
      <c r="M18" s="441">
        <v>0</v>
      </c>
    </row>
    <row r="19" spans="1:13" ht="24" customHeight="1" x14ac:dyDescent="0.2">
      <c r="A19" s="133">
        <v>14</v>
      </c>
      <c r="B19" s="115" t="s">
        <v>357</v>
      </c>
      <c r="C19" s="134">
        <v>0</v>
      </c>
      <c r="D19" s="134">
        <v>0</v>
      </c>
      <c r="E19" s="134">
        <v>0</v>
      </c>
      <c r="F19" s="134">
        <v>0</v>
      </c>
      <c r="G19" s="134">
        <v>0</v>
      </c>
      <c r="H19" s="134">
        <v>0</v>
      </c>
      <c r="I19" s="134">
        <v>0</v>
      </c>
      <c r="J19" s="134">
        <v>0</v>
      </c>
      <c r="K19" s="134">
        <v>0</v>
      </c>
      <c r="L19" s="132">
        <v>1</v>
      </c>
      <c r="M19" s="441">
        <v>1</v>
      </c>
    </row>
    <row r="20" spans="1:13" ht="24" customHeight="1" x14ac:dyDescent="0.2">
      <c r="A20" s="133">
        <v>15</v>
      </c>
      <c r="B20" s="115" t="s">
        <v>14</v>
      </c>
      <c r="C20" s="134">
        <v>0</v>
      </c>
      <c r="D20" s="134">
        <v>0</v>
      </c>
      <c r="E20" s="134">
        <v>1</v>
      </c>
      <c r="F20" s="134">
        <v>2</v>
      </c>
      <c r="G20" s="134">
        <v>2</v>
      </c>
      <c r="H20" s="134">
        <v>4</v>
      </c>
      <c r="I20" s="134">
        <v>4</v>
      </c>
      <c r="J20" s="134">
        <v>1</v>
      </c>
      <c r="K20" s="134">
        <v>2</v>
      </c>
      <c r="L20" s="132">
        <v>2</v>
      </c>
      <c r="M20" s="441">
        <v>1</v>
      </c>
    </row>
    <row r="21" spans="1:13" ht="24" customHeight="1" x14ac:dyDescent="0.2">
      <c r="A21" s="133">
        <v>16</v>
      </c>
      <c r="B21" s="115" t="s">
        <v>15</v>
      </c>
      <c r="C21" s="134">
        <v>79</v>
      </c>
      <c r="D21" s="134">
        <v>0</v>
      </c>
      <c r="E21" s="134">
        <v>0</v>
      </c>
      <c r="F21" s="134">
        <v>0</v>
      </c>
      <c r="G21" s="134">
        <v>0</v>
      </c>
      <c r="H21" s="134">
        <v>0</v>
      </c>
      <c r="I21" s="134">
        <v>1</v>
      </c>
      <c r="J21" s="134">
        <v>2</v>
      </c>
      <c r="K21" s="134">
        <v>2</v>
      </c>
      <c r="L21" s="132">
        <v>4</v>
      </c>
      <c r="M21" s="441">
        <v>4</v>
      </c>
    </row>
    <row r="22" spans="1:13" ht="24" customHeight="1" x14ac:dyDescent="0.2">
      <c r="A22" s="133">
        <v>17</v>
      </c>
      <c r="B22" s="115" t="s">
        <v>16</v>
      </c>
      <c r="C22" s="134">
        <v>1906</v>
      </c>
      <c r="D22" s="134">
        <v>7798</v>
      </c>
      <c r="E22" s="134">
        <v>15155</v>
      </c>
      <c r="F22" s="134">
        <v>32918</v>
      </c>
      <c r="G22" s="134">
        <v>52505</v>
      </c>
      <c r="H22" s="134">
        <v>69393</v>
      </c>
      <c r="I22" s="134">
        <v>71944</v>
      </c>
      <c r="J22" s="134">
        <v>79925</v>
      </c>
      <c r="K22" s="134">
        <v>82368</v>
      </c>
      <c r="L22" s="132">
        <v>82598</v>
      </c>
      <c r="M22" s="468">
        <v>82916</v>
      </c>
    </row>
    <row r="23" spans="1:13" ht="24" customHeight="1" x14ac:dyDescent="0.2">
      <c r="A23" s="133">
        <v>18</v>
      </c>
      <c r="B23" s="115" t="s">
        <v>17</v>
      </c>
      <c r="C23" s="134">
        <v>0</v>
      </c>
      <c r="D23" s="134">
        <v>0</v>
      </c>
      <c r="E23" s="134">
        <v>3</v>
      </c>
      <c r="F23" s="134">
        <v>42</v>
      </c>
      <c r="G23" s="134">
        <v>59</v>
      </c>
      <c r="H23" s="134">
        <v>87</v>
      </c>
      <c r="I23" s="134">
        <v>94</v>
      </c>
      <c r="J23" s="134">
        <v>94</v>
      </c>
      <c r="K23" s="134">
        <v>87</v>
      </c>
      <c r="L23" s="132">
        <v>47</v>
      </c>
      <c r="M23" s="441">
        <v>25</v>
      </c>
    </row>
    <row r="24" spans="1:13" ht="24" customHeight="1" x14ac:dyDescent="0.2">
      <c r="A24" s="133">
        <v>19</v>
      </c>
      <c r="B24" s="115" t="s">
        <v>18</v>
      </c>
      <c r="C24" s="134">
        <v>0</v>
      </c>
      <c r="D24" s="134">
        <v>0</v>
      </c>
      <c r="E24" s="134">
        <v>0</v>
      </c>
      <c r="F24" s="134">
        <v>0</v>
      </c>
      <c r="G24" s="134">
        <v>0</v>
      </c>
      <c r="H24" s="134">
        <v>0</v>
      </c>
      <c r="I24" s="134">
        <v>0</v>
      </c>
      <c r="J24" s="134">
        <v>0</v>
      </c>
      <c r="K24" s="134">
        <v>0</v>
      </c>
      <c r="L24" s="134">
        <v>0</v>
      </c>
      <c r="M24" s="441">
        <v>0</v>
      </c>
    </row>
    <row r="25" spans="1:13" ht="24" customHeight="1" x14ac:dyDescent="0.2">
      <c r="A25" s="133">
        <v>20</v>
      </c>
      <c r="B25" s="115" t="s">
        <v>19</v>
      </c>
      <c r="C25" s="134">
        <v>14</v>
      </c>
      <c r="D25" s="134">
        <v>14</v>
      </c>
      <c r="E25" s="134">
        <v>14</v>
      </c>
      <c r="F25" s="134">
        <v>14</v>
      </c>
      <c r="G25" s="134">
        <v>14</v>
      </c>
      <c r="H25" s="134">
        <v>14</v>
      </c>
      <c r="I25" s="134">
        <v>0</v>
      </c>
      <c r="J25" s="134">
        <v>0</v>
      </c>
      <c r="K25" s="134">
        <v>0</v>
      </c>
      <c r="L25" s="134">
        <v>0</v>
      </c>
      <c r="M25" s="441">
        <v>0</v>
      </c>
    </row>
    <row r="26" spans="1:13" ht="24" customHeight="1" x14ac:dyDescent="0.2">
      <c r="A26" s="133">
        <v>21</v>
      </c>
      <c r="B26" s="118" t="s">
        <v>20</v>
      </c>
      <c r="C26" s="134">
        <v>0</v>
      </c>
      <c r="D26" s="134">
        <v>0</v>
      </c>
      <c r="E26" s="134">
        <v>0</v>
      </c>
      <c r="F26" s="134">
        <v>0</v>
      </c>
      <c r="G26" s="134">
        <v>7</v>
      </c>
      <c r="H26" s="134">
        <v>6</v>
      </c>
      <c r="I26" s="134">
        <v>6</v>
      </c>
      <c r="J26" s="134">
        <v>8</v>
      </c>
      <c r="K26" s="134">
        <v>11</v>
      </c>
      <c r="L26" s="132">
        <v>13</v>
      </c>
      <c r="M26" s="441">
        <v>15</v>
      </c>
    </row>
    <row r="27" spans="1:13" ht="24" customHeight="1" x14ac:dyDescent="0.2">
      <c r="A27" s="133">
        <v>22</v>
      </c>
      <c r="B27" s="115" t="s">
        <v>21</v>
      </c>
      <c r="C27" s="134">
        <v>0</v>
      </c>
      <c r="D27" s="134">
        <v>0</v>
      </c>
      <c r="E27" s="134">
        <v>0</v>
      </c>
      <c r="F27" s="134">
        <v>0</v>
      </c>
      <c r="G27" s="134">
        <v>0</v>
      </c>
      <c r="H27" s="134">
        <v>0</v>
      </c>
      <c r="I27" s="134">
        <v>0</v>
      </c>
      <c r="J27" s="134">
        <v>0</v>
      </c>
      <c r="K27" s="134">
        <v>0</v>
      </c>
      <c r="L27" s="134">
        <v>0</v>
      </c>
      <c r="M27" s="441">
        <v>0</v>
      </c>
    </row>
    <row r="28" spans="1:13" ht="24" customHeight="1" x14ac:dyDescent="0.2">
      <c r="A28" s="133">
        <v>23</v>
      </c>
      <c r="B28" s="115" t="s">
        <v>22</v>
      </c>
      <c r="C28" s="134">
        <v>0</v>
      </c>
      <c r="D28" s="134">
        <v>0</v>
      </c>
      <c r="E28" s="134">
        <v>0</v>
      </c>
      <c r="F28" s="134">
        <v>0</v>
      </c>
      <c r="G28" s="134">
        <v>0</v>
      </c>
      <c r="H28" s="134">
        <v>0</v>
      </c>
      <c r="I28" s="134">
        <v>0</v>
      </c>
      <c r="J28" s="134">
        <v>0</v>
      </c>
      <c r="K28" s="134">
        <v>0</v>
      </c>
      <c r="L28" s="134">
        <v>0</v>
      </c>
      <c r="M28" s="441">
        <v>0</v>
      </c>
    </row>
    <row r="29" spans="1:13" ht="24" customHeight="1" x14ac:dyDescent="0.2">
      <c r="A29" s="133">
        <v>24</v>
      </c>
      <c r="B29" s="115" t="s">
        <v>23</v>
      </c>
      <c r="C29" s="134">
        <v>20</v>
      </c>
      <c r="D29" s="134">
        <v>22</v>
      </c>
      <c r="E29" s="134">
        <v>22</v>
      </c>
      <c r="F29" s="134">
        <v>2</v>
      </c>
      <c r="G29" s="134">
        <v>0</v>
      </c>
      <c r="H29" s="134">
        <v>0</v>
      </c>
      <c r="I29" s="134">
        <v>0</v>
      </c>
      <c r="J29" s="134">
        <v>0</v>
      </c>
      <c r="K29" s="134">
        <v>1</v>
      </c>
      <c r="L29" s="132">
        <v>6</v>
      </c>
      <c r="M29" s="441">
        <v>6</v>
      </c>
    </row>
    <row r="30" spans="1:13" ht="24" customHeight="1" x14ac:dyDescent="0.2">
      <c r="A30" s="133">
        <v>25</v>
      </c>
      <c r="B30" s="115" t="s">
        <v>24</v>
      </c>
      <c r="C30" s="134">
        <v>523</v>
      </c>
      <c r="D30" s="134">
        <v>523</v>
      </c>
      <c r="E30" s="134">
        <v>0</v>
      </c>
      <c r="F30" s="134">
        <v>0</v>
      </c>
      <c r="G30" s="134">
        <v>0</v>
      </c>
      <c r="H30" s="134">
        <v>0</v>
      </c>
      <c r="I30" s="134">
        <v>0</v>
      </c>
      <c r="J30" s="134">
        <v>0</v>
      </c>
      <c r="K30" s="134">
        <v>0</v>
      </c>
      <c r="L30" s="134">
        <v>0</v>
      </c>
      <c r="M30" s="441">
        <v>0</v>
      </c>
    </row>
    <row r="31" spans="1:13" ht="24" customHeight="1" x14ac:dyDescent="0.2">
      <c r="A31" s="133">
        <v>26</v>
      </c>
      <c r="B31" s="115" t="s">
        <v>25</v>
      </c>
      <c r="C31" s="134">
        <v>0</v>
      </c>
      <c r="D31" s="134">
        <v>0</v>
      </c>
      <c r="E31" s="134">
        <v>0</v>
      </c>
      <c r="F31" s="134">
        <v>0</v>
      </c>
      <c r="G31" s="134">
        <v>0</v>
      </c>
      <c r="H31" s="134">
        <v>0</v>
      </c>
      <c r="I31" s="134">
        <v>0</v>
      </c>
      <c r="J31" s="134">
        <v>0</v>
      </c>
      <c r="K31" s="134">
        <v>0</v>
      </c>
      <c r="L31" s="134">
        <v>0</v>
      </c>
      <c r="M31" s="441">
        <v>0</v>
      </c>
    </row>
    <row r="32" spans="1:13" ht="24" customHeight="1" x14ac:dyDescent="0.2">
      <c r="A32" s="133">
        <v>27</v>
      </c>
      <c r="B32" s="115" t="s">
        <v>26</v>
      </c>
      <c r="C32" s="134">
        <v>114</v>
      </c>
      <c r="D32" s="134">
        <v>112</v>
      </c>
      <c r="E32" s="134">
        <v>126</v>
      </c>
      <c r="F32" s="134">
        <v>137</v>
      </c>
      <c r="G32" s="134">
        <v>145</v>
      </c>
      <c r="H32" s="134">
        <v>138</v>
      </c>
      <c r="I32" s="134">
        <v>139</v>
      </c>
      <c r="J32" s="134">
        <v>140</v>
      </c>
      <c r="K32" s="134">
        <v>2</v>
      </c>
      <c r="L32" s="132">
        <v>6</v>
      </c>
      <c r="M32" s="441">
        <v>5</v>
      </c>
    </row>
    <row r="33" spans="1:13" ht="24" customHeight="1" x14ac:dyDescent="0.2">
      <c r="A33" s="96"/>
      <c r="B33" s="138" t="s">
        <v>27</v>
      </c>
      <c r="C33" s="139">
        <v>3382</v>
      </c>
      <c r="D33" s="139">
        <v>8990</v>
      </c>
      <c r="E33" s="139">
        <v>15899</v>
      </c>
      <c r="F33" s="139">
        <v>33724</v>
      </c>
      <c r="G33" s="139">
        <v>52931</v>
      </c>
      <c r="H33" s="139">
        <v>69667</v>
      </c>
      <c r="I33" s="139">
        <v>72201</v>
      </c>
      <c r="J33" s="139">
        <v>80181</v>
      </c>
      <c r="K33" s="139">
        <v>82479</v>
      </c>
      <c r="L33" s="131">
        <v>82682</v>
      </c>
      <c r="M33" s="469">
        <v>82975</v>
      </c>
    </row>
    <row r="34" spans="1:13" ht="24" customHeight="1" x14ac:dyDescent="0.2">
      <c r="A34" s="96"/>
      <c r="B34" s="138" t="s">
        <v>28</v>
      </c>
      <c r="C34" s="139">
        <v>22761</v>
      </c>
      <c r="D34" s="139">
        <v>27564</v>
      </c>
      <c r="E34" s="139">
        <v>35200</v>
      </c>
      <c r="F34" s="139">
        <v>52907</v>
      </c>
      <c r="G34" s="139">
        <v>72857</v>
      </c>
      <c r="H34" s="139">
        <v>90574</v>
      </c>
      <c r="I34" s="139">
        <v>93748</v>
      </c>
      <c r="J34" s="139">
        <v>99961</v>
      </c>
      <c r="K34" s="139">
        <v>101916</v>
      </c>
      <c r="L34" s="131">
        <v>101848</v>
      </c>
      <c r="M34" s="470">
        <v>101630</v>
      </c>
    </row>
    <row r="35" spans="1:13" ht="24" customHeight="1" x14ac:dyDescent="0.2">
      <c r="C35" s="68"/>
    </row>
    <row r="36" spans="1:13" ht="44.25" customHeight="1" x14ac:dyDescent="0.2">
      <c r="A36" s="532" t="s">
        <v>394</v>
      </c>
      <c r="B36" s="532"/>
      <c r="C36" s="532"/>
      <c r="D36" s="532"/>
      <c r="E36" s="532"/>
      <c r="F36" s="532"/>
      <c r="G36" s="532"/>
      <c r="H36" s="532"/>
      <c r="I36" s="532"/>
      <c r="J36" s="532"/>
      <c r="K36" s="532"/>
      <c r="L36" s="532"/>
    </row>
    <row r="37" spans="1:13" x14ac:dyDescent="0.2">
      <c r="A37" s="521" t="s">
        <v>393</v>
      </c>
      <c r="B37" s="521"/>
      <c r="C37" s="521"/>
      <c r="D37" s="521"/>
      <c r="E37" s="521"/>
      <c r="F37" s="521"/>
      <c r="G37" s="521"/>
      <c r="H37" s="521"/>
      <c r="I37" s="521"/>
      <c r="J37" s="521"/>
      <c r="K37" s="521"/>
      <c r="L37" s="521"/>
    </row>
    <row r="38" spans="1:13" x14ac:dyDescent="0.2">
      <c r="C38" s="68"/>
    </row>
    <row r="39" spans="1:13" x14ac:dyDescent="0.2">
      <c r="C39" s="68"/>
    </row>
    <row r="40" spans="1:13" x14ac:dyDescent="0.2">
      <c r="C40" s="68"/>
    </row>
    <row r="41" spans="1:13" x14ac:dyDescent="0.2">
      <c r="C41" s="68"/>
    </row>
    <row r="42" spans="1:13" x14ac:dyDescent="0.2">
      <c r="C42" s="68"/>
    </row>
  </sheetData>
  <mergeCells count="4">
    <mergeCell ref="A1:L1"/>
    <mergeCell ref="A2:L2"/>
    <mergeCell ref="A36:L36"/>
    <mergeCell ref="A37:L37"/>
  </mergeCells>
  <printOptions horizontalCentered="1"/>
  <pageMargins left="0.74803149606299202" right="0.74803149606299202" top="0.98425196850393704" bottom="0.511811023622047" header="0.511811023622047" footer="0.511811023622047"/>
  <pageSetup paperSize="9" scale="66"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00B050"/>
  </sheetPr>
  <dimension ref="A1:X38"/>
  <sheetViews>
    <sheetView zoomScale="99" zoomScaleNormal="99" workbookViewId="0">
      <pane xSplit="2" ySplit="4" topLeftCell="C5" activePane="bottomRight" state="frozen"/>
      <selection activeCell="C28" sqref="A28:XFD28"/>
      <selection pane="topRight" activeCell="C28" sqref="A28:XFD28"/>
      <selection pane="bottomLeft" activeCell="C28" sqref="A28:XFD28"/>
      <selection pane="bottomRight" activeCell="X35" sqref="X35"/>
    </sheetView>
  </sheetViews>
  <sheetFormatPr defaultColWidth="19.5703125" defaultRowHeight="12.75" x14ac:dyDescent="0.2"/>
  <cols>
    <col min="1" max="1" width="5.140625" style="90" customWidth="1"/>
    <col min="2" max="2" width="45.85546875" style="90" bestFit="1" customWidth="1"/>
    <col min="3" max="9" width="7.7109375" style="90" bestFit="1" customWidth="1"/>
    <col min="10" max="13" width="7.5703125" style="90" customWidth="1"/>
    <col min="14" max="21" width="7.7109375" style="90" bestFit="1" customWidth="1"/>
    <col min="22" max="22" width="8.5703125" style="90" bestFit="1" customWidth="1"/>
    <col min="23" max="23" width="10.28515625" style="90" bestFit="1" customWidth="1"/>
    <col min="24" max="24" width="10.140625" style="90" customWidth="1"/>
    <col min="25" max="42" width="8.42578125" style="90" bestFit="1" customWidth="1"/>
    <col min="43" max="16384" width="19.5703125" style="90"/>
  </cols>
  <sheetData>
    <row r="1" spans="1:24" ht="15.75" customHeight="1" x14ac:dyDescent="0.2">
      <c r="A1" s="534" t="s">
        <v>374</v>
      </c>
      <c r="B1" s="534"/>
      <c r="C1" s="534"/>
      <c r="D1" s="534"/>
      <c r="E1" s="534"/>
      <c r="F1" s="534"/>
      <c r="G1" s="534"/>
      <c r="H1" s="534"/>
      <c r="I1" s="534"/>
      <c r="J1" s="534"/>
      <c r="K1" s="534"/>
      <c r="L1" s="534"/>
      <c r="M1" s="534"/>
      <c r="N1" s="534"/>
      <c r="O1" s="534"/>
      <c r="P1" s="534"/>
      <c r="Q1" s="534"/>
      <c r="R1" s="534"/>
      <c r="S1" s="534"/>
      <c r="T1" s="534"/>
      <c r="U1" s="534"/>
    </row>
    <row r="2" spans="1:24" ht="15.75" customHeight="1" x14ac:dyDescent="0.2">
      <c r="A2" s="339"/>
      <c r="B2" s="339"/>
      <c r="C2" s="339"/>
      <c r="D2" s="339"/>
      <c r="E2" s="339"/>
      <c r="F2" s="339"/>
      <c r="G2" s="339"/>
      <c r="H2" s="339"/>
      <c r="I2" s="339"/>
      <c r="J2" s="339"/>
      <c r="K2" s="339"/>
      <c r="L2" s="339"/>
      <c r="M2" s="431"/>
      <c r="N2" s="339"/>
      <c r="O2" s="339"/>
      <c r="P2" s="339"/>
      <c r="Q2" s="339"/>
      <c r="R2" s="339"/>
      <c r="S2" s="339"/>
      <c r="T2" s="339"/>
      <c r="U2" s="339"/>
    </row>
    <row r="3" spans="1:24" ht="12.75" customHeight="1" x14ac:dyDescent="0.2">
      <c r="A3" s="535" t="s">
        <v>1</v>
      </c>
      <c r="B3" s="535" t="s">
        <v>2</v>
      </c>
      <c r="C3" s="536" t="s">
        <v>31</v>
      </c>
      <c r="D3" s="537"/>
      <c r="E3" s="537"/>
      <c r="F3" s="537"/>
      <c r="G3" s="537"/>
      <c r="H3" s="537"/>
      <c r="I3" s="537"/>
      <c r="J3" s="537"/>
      <c r="K3" s="537"/>
      <c r="L3" s="537"/>
      <c r="M3" s="538"/>
      <c r="N3" s="539" t="s">
        <v>32</v>
      </c>
      <c r="O3" s="539"/>
      <c r="P3" s="539"/>
      <c r="Q3" s="539"/>
      <c r="R3" s="539"/>
      <c r="S3" s="539"/>
      <c r="T3" s="539"/>
      <c r="U3" s="539"/>
      <c r="V3" s="539"/>
      <c r="W3" s="539"/>
      <c r="X3" s="539"/>
    </row>
    <row r="4" spans="1:24" x14ac:dyDescent="0.2">
      <c r="A4" s="535"/>
      <c r="B4" s="535"/>
      <c r="C4" s="96" t="s">
        <v>33</v>
      </c>
      <c r="D4" s="96" t="s">
        <v>34</v>
      </c>
      <c r="E4" s="96" t="s">
        <v>35</v>
      </c>
      <c r="F4" s="96" t="s">
        <v>36</v>
      </c>
      <c r="G4" s="96" t="s">
        <v>37</v>
      </c>
      <c r="H4" s="96" t="s">
        <v>38</v>
      </c>
      <c r="I4" s="96" t="s">
        <v>39</v>
      </c>
      <c r="J4" s="96" t="s">
        <v>40</v>
      </c>
      <c r="K4" s="96" t="s">
        <v>41</v>
      </c>
      <c r="L4" s="96" t="s">
        <v>292</v>
      </c>
      <c r="M4" s="96" t="s">
        <v>399</v>
      </c>
      <c r="N4" s="96" t="s">
        <v>33</v>
      </c>
      <c r="O4" s="340" t="s">
        <v>34</v>
      </c>
      <c r="P4" s="96" t="s">
        <v>35</v>
      </c>
      <c r="Q4" s="96" t="s">
        <v>36</v>
      </c>
      <c r="R4" s="96" t="s">
        <v>37</v>
      </c>
      <c r="S4" s="96" t="s">
        <v>38</v>
      </c>
      <c r="T4" s="96" t="s">
        <v>39</v>
      </c>
      <c r="U4" s="96" t="s">
        <v>40</v>
      </c>
      <c r="V4" s="104" t="s">
        <v>41</v>
      </c>
      <c r="W4" s="104" t="s">
        <v>292</v>
      </c>
      <c r="X4" s="104" t="s">
        <v>399</v>
      </c>
    </row>
    <row r="5" spans="1:24" x14ac:dyDescent="0.2">
      <c r="A5" s="272"/>
      <c r="B5" s="127" t="s">
        <v>3</v>
      </c>
      <c r="C5" s="96"/>
      <c r="D5" s="96"/>
      <c r="E5" s="96"/>
      <c r="F5" s="96"/>
      <c r="G5" s="96"/>
      <c r="H5" s="96"/>
      <c r="I5" s="96"/>
      <c r="J5" s="96"/>
      <c r="K5" s="96"/>
      <c r="L5" s="96"/>
      <c r="M5" s="96"/>
      <c r="N5" s="96"/>
      <c r="O5" s="340"/>
      <c r="P5" s="96"/>
      <c r="Q5" s="96"/>
      <c r="R5" s="96"/>
      <c r="S5" s="96"/>
      <c r="T5" s="96"/>
      <c r="U5" s="96"/>
      <c r="V5" s="103"/>
      <c r="W5" s="103"/>
      <c r="X5" s="103"/>
    </row>
    <row r="6" spans="1:24" x14ac:dyDescent="0.2">
      <c r="A6" s="273">
        <v>1</v>
      </c>
      <c r="B6" s="128" t="s">
        <v>4</v>
      </c>
      <c r="C6" s="274">
        <v>16.364130840170883</v>
      </c>
      <c r="D6" s="274">
        <v>17.717884164942451</v>
      </c>
      <c r="E6" s="274">
        <v>17.665313196507359</v>
      </c>
      <c r="F6" s="274">
        <v>17.953148958417398</v>
      </c>
      <c r="G6" s="274">
        <v>17.602304084122267</v>
      </c>
      <c r="H6" s="274">
        <v>17.345725286896659</v>
      </c>
      <c r="I6" s="274">
        <v>15.334110918687569</v>
      </c>
      <c r="J6" s="274">
        <v>15.402662448139001</v>
      </c>
      <c r="K6" s="274">
        <v>14.680547752027165</v>
      </c>
      <c r="L6" s="274">
        <v>13.985935254671697</v>
      </c>
      <c r="M6" s="274">
        <v>11.674772388087307</v>
      </c>
      <c r="N6" s="275">
        <v>2420.3505154639174</v>
      </c>
      <c r="O6" s="276">
        <v>2230.6666666666665</v>
      </c>
      <c r="P6" s="276">
        <v>1705.2566371681417</v>
      </c>
      <c r="Q6" s="276">
        <v>1816.3478260869565</v>
      </c>
      <c r="R6" s="276">
        <v>1717.6679245283019</v>
      </c>
      <c r="S6" s="276">
        <v>1659.7361111111111</v>
      </c>
      <c r="T6" s="276">
        <v>1623.6095890410959</v>
      </c>
      <c r="U6" s="276">
        <v>1730.5865724381626</v>
      </c>
      <c r="V6" s="276">
        <v>1563.6620689655199</v>
      </c>
      <c r="W6" s="276">
        <v>1032.4880952380952</v>
      </c>
      <c r="X6" s="276">
        <v>795.61202185792354</v>
      </c>
    </row>
    <row r="7" spans="1:24" x14ac:dyDescent="0.2">
      <c r="A7" s="272"/>
      <c r="B7" s="127" t="s">
        <v>5</v>
      </c>
      <c r="C7" s="274"/>
      <c r="D7" s="274"/>
      <c r="E7" s="274"/>
      <c r="F7" s="274"/>
      <c r="G7" s="274"/>
      <c r="H7" s="274"/>
      <c r="I7" s="274"/>
      <c r="J7" s="274"/>
      <c r="K7" s="274"/>
      <c r="L7" s="274"/>
      <c r="M7" s="274"/>
      <c r="N7" s="275"/>
      <c r="O7" s="276"/>
      <c r="P7" s="276"/>
      <c r="Q7" s="276"/>
      <c r="R7" s="276"/>
      <c r="S7" s="276"/>
      <c r="T7" s="276"/>
      <c r="U7" s="276"/>
      <c r="V7" s="276"/>
      <c r="W7" s="276"/>
      <c r="X7" s="276"/>
    </row>
    <row r="8" spans="1:24" x14ac:dyDescent="0.2">
      <c r="A8" s="273">
        <v>2</v>
      </c>
      <c r="B8" s="115" t="s">
        <v>359</v>
      </c>
      <c r="C8" s="274">
        <v>0</v>
      </c>
      <c r="D8" s="274">
        <v>0</v>
      </c>
      <c r="E8" s="274">
        <v>0</v>
      </c>
      <c r="F8" s="274">
        <v>0</v>
      </c>
      <c r="G8" s="274">
        <v>0</v>
      </c>
      <c r="H8" s="274">
        <v>0</v>
      </c>
      <c r="I8" s="274">
        <v>0</v>
      </c>
      <c r="J8" s="274">
        <v>0</v>
      </c>
      <c r="K8" s="274">
        <v>0</v>
      </c>
      <c r="L8" s="274">
        <v>0</v>
      </c>
      <c r="M8" s="274">
        <v>0</v>
      </c>
      <c r="N8" s="275">
        <v>0</v>
      </c>
      <c r="O8" s="276">
        <v>0</v>
      </c>
      <c r="P8" s="276">
        <v>0</v>
      </c>
      <c r="Q8" s="276">
        <v>0</v>
      </c>
      <c r="R8" s="276">
        <v>0</v>
      </c>
      <c r="S8" s="276">
        <v>0</v>
      </c>
      <c r="T8" s="276">
        <v>0</v>
      </c>
      <c r="U8" s="276">
        <v>0</v>
      </c>
      <c r="V8" s="276">
        <v>0</v>
      </c>
      <c r="W8" s="276">
        <v>0</v>
      </c>
      <c r="X8" s="276">
        <v>0</v>
      </c>
    </row>
    <row r="9" spans="1:24" x14ac:dyDescent="0.2">
      <c r="A9" s="273">
        <v>3</v>
      </c>
      <c r="B9" s="115" t="s">
        <v>6</v>
      </c>
      <c r="C9" s="274">
        <v>2.0997562391178177</v>
      </c>
      <c r="D9" s="274">
        <v>1.8171624543353464</v>
      </c>
      <c r="E9" s="274">
        <v>1.9084823513538758</v>
      </c>
      <c r="F9" s="274">
        <v>1.9936697205469363</v>
      </c>
      <c r="G9" s="274">
        <v>1.8708556520132988</v>
      </c>
      <c r="H9" s="274">
        <v>1.6555219283322291</v>
      </c>
      <c r="I9" s="274">
        <v>1</v>
      </c>
      <c r="J9" s="274">
        <v>1.08830483343733</v>
      </c>
      <c r="K9" s="274">
        <v>1.3471950147306073</v>
      </c>
      <c r="L9" s="274">
        <v>1.5246069325062281</v>
      </c>
      <c r="M9" s="274">
        <v>1.408661821033266</v>
      </c>
      <c r="N9" s="275">
        <v>611.375</v>
      </c>
      <c r="O9" s="276">
        <v>480.030303030303</v>
      </c>
      <c r="P9" s="276">
        <v>738.52173913043475</v>
      </c>
      <c r="Q9" s="276">
        <v>798.43243243243239</v>
      </c>
      <c r="R9" s="276">
        <v>2345.52</v>
      </c>
      <c r="S9" s="276">
        <v>3617.1186440677966</v>
      </c>
      <c r="T9" s="276">
        <v>5975.395348837209</v>
      </c>
      <c r="U9" s="276">
        <v>5073.2608695652198</v>
      </c>
      <c r="V9" s="276">
        <v>4842.2592592592591</v>
      </c>
      <c r="W9" s="276">
        <v>3631.0476190476193</v>
      </c>
      <c r="X9" s="276">
        <v>3748</v>
      </c>
    </row>
    <row r="10" spans="1:24" x14ac:dyDescent="0.2">
      <c r="A10" s="273">
        <v>4</v>
      </c>
      <c r="B10" s="115" t="s">
        <v>360</v>
      </c>
      <c r="C10" s="274">
        <v>1.7883088465145358</v>
      </c>
      <c r="D10" s="274">
        <v>2.2523423740753787</v>
      </c>
      <c r="E10" s="274">
        <v>0.40777666999002993</v>
      </c>
      <c r="F10" s="277">
        <v>7.2708387431835901E-3</v>
      </c>
      <c r="G10" s="277">
        <v>2.62927256792287E-3</v>
      </c>
      <c r="H10" s="277">
        <v>1.363884342607747E-3</v>
      </c>
      <c r="I10" s="277">
        <v>9.876543209876543E-3</v>
      </c>
      <c r="J10" s="277">
        <v>2.0979020979021001E-2</v>
      </c>
      <c r="K10" s="277">
        <v>-1.1627906976744186E-2</v>
      </c>
      <c r="L10" s="274">
        <v>-5.232558139534884E-2</v>
      </c>
      <c r="M10" s="274">
        <v>-0.16374269005847952</v>
      </c>
      <c r="N10" s="275">
        <v>230</v>
      </c>
      <c r="O10" s="276">
        <v>182.46153846153845</v>
      </c>
      <c r="P10" s="276">
        <v>553.63636363636363</v>
      </c>
      <c r="Q10" s="276">
        <v>706.71428571428567</v>
      </c>
      <c r="R10" s="276">
        <v>572.76923076923072</v>
      </c>
      <c r="S10" s="276">
        <v>88.727272727272734</v>
      </c>
      <c r="T10" s="276">
        <v>56.2</v>
      </c>
      <c r="U10" s="276">
        <v>0.88888888888888895</v>
      </c>
      <c r="V10" s="276">
        <v>-1.7272727272727273</v>
      </c>
      <c r="W10" s="276">
        <v>16.75</v>
      </c>
      <c r="X10" s="276">
        <v>592.95238095238096</v>
      </c>
    </row>
    <row r="11" spans="1:24" x14ac:dyDescent="0.2">
      <c r="A11" s="273">
        <v>5</v>
      </c>
      <c r="B11" s="115" t="s">
        <v>7</v>
      </c>
      <c r="C11" s="274">
        <v>1.7140662342096278</v>
      </c>
      <c r="D11" s="274">
        <v>1.6091615322796677</v>
      </c>
      <c r="E11" s="274">
        <v>1.4981421272642823</v>
      </c>
      <c r="F11" s="274">
        <v>1.0208801798907805</v>
      </c>
      <c r="G11" s="274">
        <v>0.80389429763560505</v>
      </c>
      <c r="H11" s="274">
        <v>0.35008998200359925</v>
      </c>
      <c r="I11" s="274">
        <v>0.35799586962377661</v>
      </c>
      <c r="J11" s="274">
        <v>0.36459345643019114</v>
      </c>
      <c r="K11" s="274">
        <v>1.3281016442451421</v>
      </c>
      <c r="L11" s="274">
        <v>1.0824761204996327</v>
      </c>
      <c r="M11" s="274">
        <v>1.2863669859985261</v>
      </c>
      <c r="N11" s="275">
        <v>25384.400000000001</v>
      </c>
      <c r="O11" s="276">
        <v>34074</v>
      </c>
      <c r="P11" s="276">
        <v>40920</v>
      </c>
      <c r="Q11" s="276">
        <v>49970.5</v>
      </c>
      <c r="R11" s="276">
        <v>44339.5</v>
      </c>
      <c r="S11" s="276">
        <v>13868.333333333334</v>
      </c>
      <c r="T11" s="276">
        <v>8253.25</v>
      </c>
      <c r="U11" s="276">
        <v>9478.2857142857138</v>
      </c>
      <c r="V11" s="276">
        <v>11736.333333333334</v>
      </c>
      <c r="W11" s="276">
        <v>10377.5</v>
      </c>
      <c r="X11" s="276">
        <v>6952.833333333333</v>
      </c>
    </row>
    <row r="12" spans="1:24" x14ac:dyDescent="0.2">
      <c r="A12" s="273">
        <v>6</v>
      </c>
      <c r="B12" s="115" t="s">
        <v>8</v>
      </c>
      <c r="C12" s="274">
        <v>1.2853031860226105</v>
      </c>
      <c r="D12" s="274">
        <v>1.4263734767513105</v>
      </c>
      <c r="E12" s="274">
        <v>1.8886721182184218</v>
      </c>
      <c r="F12" s="274">
        <v>1.5226570032248412</v>
      </c>
      <c r="G12" s="274">
        <v>0.65363498048554602</v>
      </c>
      <c r="H12" s="274">
        <v>0.52391581632653061</v>
      </c>
      <c r="I12" s="274">
        <v>0.58571819425444593</v>
      </c>
      <c r="J12" s="274">
        <v>0.61853109215864865</v>
      </c>
      <c r="K12" s="274">
        <v>0.87776412776412771</v>
      </c>
      <c r="L12" s="274">
        <v>0.71037315987675453</v>
      </c>
      <c r="M12" s="274">
        <v>1.0387053720387054</v>
      </c>
      <c r="N12" s="275">
        <v>7046.833333333333</v>
      </c>
      <c r="O12" s="276">
        <v>4930</v>
      </c>
      <c r="P12" s="276">
        <v>1692</v>
      </c>
      <c r="Q12" s="276">
        <v>790.4</v>
      </c>
      <c r="R12" s="276">
        <v>1483.7333333333333</v>
      </c>
      <c r="S12" s="276">
        <v>915.75</v>
      </c>
      <c r="T12" s="276">
        <v>1496.6666666666667</v>
      </c>
      <c r="U12" s="276">
        <v>2050.6666666666665</v>
      </c>
      <c r="V12" s="276">
        <v>1961.7777777777778</v>
      </c>
      <c r="W12" s="276">
        <v>2026.8888888888889</v>
      </c>
      <c r="X12" s="276">
        <v>1523.8333333333333</v>
      </c>
    </row>
    <row r="13" spans="1:24" x14ac:dyDescent="0.2">
      <c r="A13" s="273">
        <v>7</v>
      </c>
      <c r="B13" s="115" t="s">
        <v>9</v>
      </c>
      <c r="C13" s="274">
        <v>1.9023866545544637</v>
      </c>
      <c r="D13" s="274">
        <v>2.2050749678844506</v>
      </c>
      <c r="E13" s="274">
        <v>2.129560907872055</v>
      </c>
      <c r="F13" s="274">
        <v>2.4433382929798459</v>
      </c>
      <c r="G13" s="274">
        <v>2.2483935267141524</v>
      </c>
      <c r="H13" s="274">
        <v>1.644668924518575</v>
      </c>
      <c r="I13" s="274">
        <v>1.602493091219622</v>
      </c>
      <c r="J13" s="274">
        <v>1.5581439527575296</v>
      </c>
      <c r="K13" s="274">
        <v>1.5231431475951458</v>
      </c>
      <c r="L13" s="274">
        <v>1.4078599319813578</v>
      </c>
      <c r="M13" s="274">
        <v>1.2714246691003004</v>
      </c>
      <c r="N13" s="275">
        <v>68.682926829268297</v>
      </c>
      <c r="O13" s="276">
        <v>222.33333333333334</v>
      </c>
      <c r="P13" s="276">
        <v>1762.1794871794871</v>
      </c>
      <c r="Q13" s="276">
        <v>1701.7227722772277</v>
      </c>
      <c r="R13" s="276">
        <v>1288.8870967741937</v>
      </c>
      <c r="S13" s="276">
        <v>2309.2523364485983</v>
      </c>
      <c r="T13" s="276">
        <v>4756.666666666667</v>
      </c>
      <c r="U13" s="276">
        <v>5373.3095238095239</v>
      </c>
      <c r="V13" s="276">
        <v>4441.4642857142853</v>
      </c>
      <c r="W13" s="276">
        <v>3110.344827586207</v>
      </c>
      <c r="X13" s="276">
        <v>2412.8956521739128</v>
      </c>
    </row>
    <row r="14" spans="1:24" x14ac:dyDescent="0.2">
      <c r="A14" s="273">
        <v>8</v>
      </c>
      <c r="B14" s="115" t="s">
        <v>10</v>
      </c>
      <c r="C14" s="274">
        <v>1.8204377526836748</v>
      </c>
      <c r="D14" s="274">
        <v>1.8588668027108055</v>
      </c>
      <c r="E14" s="274">
        <v>2.1589932473910376</v>
      </c>
      <c r="F14" s="274">
        <v>2.1700973014224236</v>
      </c>
      <c r="G14" s="274">
        <v>2.0999117906498088</v>
      </c>
      <c r="H14" s="274">
        <v>1.3982200295049456</v>
      </c>
      <c r="I14" s="274">
        <v>1.3854094526258021</v>
      </c>
      <c r="J14" s="274">
        <v>1.4287448135708036</v>
      </c>
      <c r="K14" s="274">
        <v>1.0677733540274872</v>
      </c>
      <c r="L14" s="274">
        <v>0.62336014331834211</v>
      </c>
      <c r="M14" s="274">
        <v>0.35926619516008801</v>
      </c>
      <c r="N14" s="275">
        <v>210</v>
      </c>
      <c r="O14" s="276">
        <v>214.66666666666666</v>
      </c>
      <c r="P14" s="276">
        <v>1094.8888888888889</v>
      </c>
      <c r="Q14" s="276">
        <v>778.72727272727275</v>
      </c>
      <c r="R14" s="276">
        <v>1050.9714285714285</v>
      </c>
      <c r="S14" s="276">
        <v>857.63265306122446</v>
      </c>
      <c r="T14" s="276">
        <v>869.93333333333328</v>
      </c>
      <c r="U14" s="276">
        <v>1042.0754716981132</v>
      </c>
      <c r="V14" s="276">
        <v>1009.5217391304348</v>
      </c>
      <c r="W14" s="276">
        <v>922.45833333333337</v>
      </c>
      <c r="X14" s="276">
        <v>640.70833333333337</v>
      </c>
    </row>
    <row r="15" spans="1:24" x14ac:dyDescent="0.2">
      <c r="A15" s="273">
        <v>9</v>
      </c>
      <c r="B15" s="115" t="s">
        <v>30</v>
      </c>
      <c r="C15" s="277" t="s">
        <v>42</v>
      </c>
      <c r="D15" s="277" t="s">
        <v>42</v>
      </c>
      <c r="E15" s="277" t="s">
        <v>42</v>
      </c>
      <c r="F15" s="277" t="s">
        <v>42</v>
      </c>
      <c r="G15" s="277" t="s">
        <v>42</v>
      </c>
      <c r="H15" s="277" t="s">
        <v>42</v>
      </c>
      <c r="I15" s="277">
        <v>12</v>
      </c>
      <c r="J15" s="277">
        <v>3.1364764267990073</v>
      </c>
      <c r="K15" s="277">
        <v>3.2992125984251968</v>
      </c>
      <c r="L15" s="274">
        <v>1.1190476190476191</v>
      </c>
      <c r="M15" s="274">
        <v>5.76</v>
      </c>
      <c r="N15" s="275">
        <v>17144.571428571428</v>
      </c>
      <c r="O15" s="276">
        <v>21565.714285714286</v>
      </c>
      <c r="P15" s="276">
        <v>22638.5</v>
      </c>
      <c r="Q15" s="276">
        <v>16975.333333333332</v>
      </c>
      <c r="R15" s="276">
        <v>13490.555555555555</v>
      </c>
      <c r="S15" s="276">
        <v>12801.636363636364</v>
      </c>
      <c r="T15" s="276">
        <v>14939.90909090909</v>
      </c>
      <c r="U15" s="276">
        <v>16363.5</v>
      </c>
      <c r="V15" s="276">
        <v>14852.454545454546</v>
      </c>
      <c r="W15" s="276">
        <v>13684.916666666666</v>
      </c>
      <c r="X15" s="276">
        <v>12590.538461538461</v>
      </c>
    </row>
    <row r="16" spans="1:24" x14ac:dyDescent="0.2">
      <c r="A16" s="273">
        <v>10</v>
      </c>
      <c r="B16" s="115" t="s">
        <v>358</v>
      </c>
      <c r="C16" s="277">
        <v>0</v>
      </c>
      <c r="D16" s="277">
        <v>0</v>
      </c>
      <c r="E16" s="277">
        <v>0</v>
      </c>
      <c r="F16" s="277">
        <v>0</v>
      </c>
      <c r="G16" s="277">
        <v>0</v>
      </c>
      <c r="H16" s="277">
        <v>0</v>
      </c>
      <c r="I16" s="277">
        <v>0</v>
      </c>
      <c r="J16" s="277">
        <v>0</v>
      </c>
      <c r="K16" s="277">
        <v>0</v>
      </c>
      <c r="L16" s="274">
        <v>0</v>
      </c>
      <c r="M16" s="274">
        <v>0</v>
      </c>
      <c r="N16" s="277">
        <v>0</v>
      </c>
      <c r="O16" s="277">
        <v>0</v>
      </c>
      <c r="P16" s="277">
        <v>0</v>
      </c>
      <c r="Q16" s="277">
        <v>0</v>
      </c>
      <c r="R16" s="277">
        <v>0</v>
      </c>
      <c r="S16" s="277">
        <v>0</v>
      </c>
      <c r="T16" s="277">
        <v>0</v>
      </c>
      <c r="U16" s="277">
        <v>0</v>
      </c>
      <c r="V16" s="277">
        <v>0</v>
      </c>
      <c r="W16" s="276">
        <v>0</v>
      </c>
      <c r="X16" s="276">
        <v>0</v>
      </c>
    </row>
    <row r="17" spans="1:24" x14ac:dyDescent="0.2">
      <c r="A17" s="273">
        <v>11</v>
      </c>
      <c r="B17" s="115" t="s">
        <v>11</v>
      </c>
      <c r="C17" s="274">
        <v>2.1774157049106133</v>
      </c>
      <c r="D17" s="274">
        <v>1.8291073289336575</v>
      </c>
      <c r="E17" s="274">
        <v>1.6241370908795583</v>
      </c>
      <c r="F17" s="274">
        <v>1.6547256097560976</v>
      </c>
      <c r="G17" s="274">
        <v>0.77055894635399935</v>
      </c>
      <c r="H17" s="274">
        <v>0.57188377845792626</v>
      </c>
      <c r="I17" s="274">
        <v>0.6282969240885512</v>
      </c>
      <c r="J17" s="274">
        <v>0.45793644902974673</v>
      </c>
      <c r="K17" s="274">
        <v>0.35669380305356779</v>
      </c>
      <c r="L17" s="274">
        <v>0.2909464586846543</v>
      </c>
      <c r="M17" s="274">
        <v>0.20432411642697215</v>
      </c>
      <c r="N17" s="275">
        <v>2192</v>
      </c>
      <c r="O17" s="276">
        <v>2584</v>
      </c>
      <c r="P17" s="276">
        <v>3546.5</v>
      </c>
      <c r="Q17" s="276">
        <v>4089.5</v>
      </c>
      <c r="R17" s="276">
        <v>3265.6666666666665</v>
      </c>
      <c r="S17" s="276">
        <v>1940.8571428571429</v>
      </c>
      <c r="T17" s="276">
        <v>2974.5454545454545</v>
      </c>
      <c r="U17" s="276">
        <v>1631.5555555555557</v>
      </c>
      <c r="V17" s="276">
        <v>2420</v>
      </c>
      <c r="W17" s="276">
        <v>2397.5</v>
      </c>
      <c r="X17" s="276">
        <v>2122.4444444444443</v>
      </c>
    </row>
    <row r="18" spans="1:24" x14ac:dyDescent="0.2">
      <c r="A18" s="273">
        <v>12</v>
      </c>
      <c r="B18" s="115" t="s">
        <v>12</v>
      </c>
      <c r="C18" s="274">
        <v>3.3783131102123058</v>
      </c>
      <c r="D18" s="274">
        <v>3.0667457081674874</v>
      </c>
      <c r="E18" s="274">
        <v>2.0467207102149829</v>
      </c>
      <c r="F18" s="274">
        <v>1.9039350039154268</v>
      </c>
      <c r="G18" s="274">
        <v>1.8681103387905251</v>
      </c>
      <c r="H18" s="274">
        <v>1.7676827715037786</v>
      </c>
      <c r="I18" s="274">
        <v>1.7710272902805277</v>
      </c>
      <c r="J18" s="274">
        <v>1.5621116334359972</v>
      </c>
      <c r="K18" s="274">
        <v>0.78960109745272611</v>
      </c>
      <c r="L18" s="274"/>
      <c r="M18" s="274"/>
      <c r="N18" s="275">
        <v>1221.5</v>
      </c>
      <c r="O18" s="276">
        <v>434.76470588235293</v>
      </c>
      <c r="P18" s="276">
        <v>537.83673469387759</v>
      </c>
      <c r="Q18" s="276">
        <v>713.29577464788736</v>
      </c>
      <c r="R18" s="276">
        <v>623.98</v>
      </c>
      <c r="S18" s="276">
        <v>486.375</v>
      </c>
      <c r="T18" s="276">
        <v>264.66037735849056</v>
      </c>
      <c r="U18" s="276">
        <v>226.34234234234233</v>
      </c>
      <c r="V18" s="276">
        <v>126.22916666666667</v>
      </c>
      <c r="W18" s="276"/>
      <c r="X18" s="276"/>
    </row>
    <row r="19" spans="1:24" x14ac:dyDescent="0.2">
      <c r="A19" s="273">
        <v>13</v>
      </c>
      <c r="B19" s="115" t="s">
        <v>13</v>
      </c>
      <c r="C19" s="274">
        <v>0.95859772287475808</v>
      </c>
      <c r="D19" s="274">
        <v>1.0331061621375004</v>
      </c>
      <c r="E19" s="274">
        <v>1.294519007273</v>
      </c>
      <c r="F19" s="274">
        <v>1.4208767255994188</v>
      </c>
      <c r="G19" s="274">
        <v>1.1310005635534608</v>
      </c>
      <c r="H19" s="274">
        <v>1.0689625335294626</v>
      </c>
      <c r="I19" s="274">
        <v>1.0953012225659156</v>
      </c>
      <c r="J19" s="274">
        <v>1.2985949773205001</v>
      </c>
      <c r="K19" s="274">
        <v>0.90912185159972769</v>
      </c>
      <c r="L19" s="274">
        <v>0.36725663716814161</v>
      </c>
      <c r="M19" s="274">
        <v>0.19268795056642637</v>
      </c>
      <c r="N19" s="275">
        <v>1359.6666666666667</v>
      </c>
      <c r="O19" s="276">
        <v>657</v>
      </c>
      <c r="P19" s="276">
        <v>1287.090909090909</v>
      </c>
      <c r="Q19" s="276">
        <v>758.76190476190482</v>
      </c>
      <c r="R19" s="276">
        <v>2074.8275862068967</v>
      </c>
      <c r="S19" s="276">
        <v>1558.9714285714285</v>
      </c>
      <c r="T19" s="276">
        <v>792.97435897435901</v>
      </c>
      <c r="U19" s="276">
        <v>517.05555555555554</v>
      </c>
      <c r="V19" s="276">
        <v>589.04761904761904</v>
      </c>
      <c r="W19" s="276">
        <v>517.95238095238096</v>
      </c>
      <c r="X19" s="276">
        <v>285.25</v>
      </c>
    </row>
    <row r="20" spans="1:24" x14ac:dyDescent="0.2">
      <c r="A20" s="273">
        <v>14</v>
      </c>
      <c r="B20" s="115" t="s">
        <v>357</v>
      </c>
      <c r="C20" s="274">
        <v>0</v>
      </c>
      <c r="D20" s="274">
        <v>0</v>
      </c>
      <c r="E20" s="274">
        <v>0</v>
      </c>
      <c r="F20" s="274">
        <v>0</v>
      </c>
      <c r="G20" s="274">
        <v>0</v>
      </c>
      <c r="H20" s="274">
        <v>0</v>
      </c>
      <c r="I20" s="274">
        <v>0</v>
      </c>
      <c r="J20" s="274">
        <v>0</v>
      </c>
      <c r="K20" s="274">
        <v>0</v>
      </c>
      <c r="L20" s="274">
        <v>0</v>
      </c>
      <c r="M20" s="274">
        <v>0.57518796992481203</v>
      </c>
      <c r="N20" s="274">
        <v>0</v>
      </c>
      <c r="O20" s="274">
        <v>0</v>
      </c>
      <c r="P20" s="274">
        <v>0</v>
      </c>
      <c r="Q20" s="274">
        <v>0</v>
      </c>
      <c r="R20" s="274">
        <v>0</v>
      </c>
      <c r="S20" s="274">
        <v>0</v>
      </c>
      <c r="T20" s="274">
        <v>0</v>
      </c>
      <c r="U20" s="274">
        <v>0</v>
      </c>
      <c r="V20" s="274">
        <v>0</v>
      </c>
      <c r="W20" s="274">
        <v>0</v>
      </c>
      <c r="X20" s="276">
        <v>10.161290322580646</v>
      </c>
    </row>
    <row r="21" spans="1:24" x14ac:dyDescent="0.2">
      <c r="A21" s="273">
        <v>15</v>
      </c>
      <c r="B21" s="115" t="s">
        <v>14</v>
      </c>
      <c r="C21" s="274">
        <v>5.1982797758095538</v>
      </c>
      <c r="D21" s="274">
        <v>5.5797147599850945</v>
      </c>
      <c r="E21" s="274">
        <v>5.1893905637084812</v>
      </c>
      <c r="F21" s="274">
        <v>2.1140737587789973</v>
      </c>
      <c r="G21" s="274">
        <v>1.7634050647961004</v>
      </c>
      <c r="H21" s="274">
        <v>1.4592675296981401</v>
      </c>
      <c r="I21" s="274">
        <v>1.3249542503892131</v>
      </c>
      <c r="J21" s="274">
        <v>1.3838402490173838</v>
      </c>
      <c r="K21" s="274">
        <v>1.1636024187031515</v>
      </c>
      <c r="L21" s="274">
        <v>1.1325772955314433</v>
      </c>
      <c r="M21" s="274">
        <v>1.033767833316227</v>
      </c>
      <c r="N21" s="275">
        <v>45265.368421052633</v>
      </c>
      <c r="O21" s="276">
        <v>46496.34782608696</v>
      </c>
      <c r="P21" s="276">
        <v>14060.492753623188</v>
      </c>
      <c r="Q21" s="276">
        <v>8628.6814814814807</v>
      </c>
      <c r="R21" s="276">
        <v>5378.1748633879779</v>
      </c>
      <c r="S21" s="276">
        <v>3477.75</v>
      </c>
      <c r="T21" s="276">
        <v>4014.1596958174905</v>
      </c>
      <c r="U21" s="276">
        <v>3495.7659574468084</v>
      </c>
      <c r="V21" s="276">
        <v>3096.4117647058824</v>
      </c>
      <c r="W21" s="276">
        <v>3021.0095693779904</v>
      </c>
      <c r="X21" s="276">
        <v>2969.5338983050847</v>
      </c>
    </row>
    <row r="22" spans="1:24" x14ac:dyDescent="0.2">
      <c r="A22" s="273">
        <v>16</v>
      </c>
      <c r="B22" s="115" t="s">
        <v>15</v>
      </c>
      <c r="C22" s="274">
        <v>0.98213986331226144</v>
      </c>
      <c r="D22" s="274">
        <v>1.179072033580691</v>
      </c>
      <c r="E22" s="274">
        <v>1.2592696301481741</v>
      </c>
      <c r="F22" s="274">
        <v>1.402885875478401</v>
      </c>
      <c r="G22" s="274">
        <v>1.1179598615487296</v>
      </c>
      <c r="H22" s="274">
        <v>0.93605461747847829</v>
      </c>
      <c r="I22" s="274">
        <v>0.85289206412952723</v>
      </c>
      <c r="J22" s="274">
        <v>0.88881299096469712</v>
      </c>
      <c r="K22" s="274">
        <v>0.90631452509529864</v>
      </c>
      <c r="L22" s="274">
        <v>0.78912376325046174</v>
      </c>
      <c r="M22" s="274">
        <v>0.79222109387598549</v>
      </c>
      <c r="N22" s="275">
        <v>35092</v>
      </c>
      <c r="O22" s="276">
        <v>29103.636363636364</v>
      </c>
      <c r="P22" s="276">
        <v>23679.352941176472</v>
      </c>
      <c r="Q22" s="276">
        <v>14065.692307692309</v>
      </c>
      <c r="R22" s="276">
        <v>9525.2477064220184</v>
      </c>
      <c r="S22" s="276">
        <v>5066.125</v>
      </c>
      <c r="T22" s="276">
        <v>3234.9449541284403</v>
      </c>
      <c r="U22" s="276">
        <v>2466.3220973782772</v>
      </c>
      <c r="V22" s="276">
        <v>1542.4082840236686</v>
      </c>
      <c r="W22" s="276">
        <v>1141.6543778801843</v>
      </c>
      <c r="X22" s="276">
        <v>894.78700361010829</v>
      </c>
    </row>
    <row r="23" spans="1:24" x14ac:dyDescent="0.2">
      <c r="A23" s="273">
        <v>17</v>
      </c>
      <c r="B23" s="115" t="s">
        <v>16</v>
      </c>
      <c r="C23" s="274">
        <v>1.9176833025261861</v>
      </c>
      <c r="D23" s="274">
        <v>1.9446489032827912</v>
      </c>
      <c r="E23" s="274">
        <v>2.3001115656377835</v>
      </c>
      <c r="F23" s="274">
        <v>3.8363238512035012</v>
      </c>
      <c r="G23" s="274">
        <v>3.1357490535424555</v>
      </c>
      <c r="H23" s="274">
        <v>2.9689820882481435</v>
      </c>
      <c r="I23" s="274">
        <v>2.4831612034126627</v>
      </c>
      <c r="J23" s="274">
        <v>4.4838963079340139</v>
      </c>
      <c r="K23" s="274">
        <v>4.8357256778309408</v>
      </c>
      <c r="L23" s="274">
        <v>5.268772348033373</v>
      </c>
      <c r="M23" s="274">
        <v>1.8888286334056399</v>
      </c>
      <c r="N23" s="275">
        <v>6196</v>
      </c>
      <c r="O23" s="276">
        <v>7353</v>
      </c>
      <c r="P23" s="276">
        <v>11203.6</v>
      </c>
      <c r="Q23" s="276">
        <v>12980.727272727272</v>
      </c>
      <c r="R23" s="276">
        <v>8262.7878787878781</v>
      </c>
      <c r="S23" s="276">
        <v>6581.782608695652</v>
      </c>
      <c r="T23" s="276">
        <v>6259.173913043478</v>
      </c>
      <c r="U23" s="276">
        <v>6831.2786885245905</v>
      </c>
      <c r="V23" s="276">
        <v>11148.875</v>
      </c>
      <c r="W23" s="276">
        <v>8281</v>
      </c>
      <c r="X23" s="276">
        <v>5294.8275862068967</v>
      </c>
    </row>
    <row r="24" spans="1:24" x14ac:dyDescent="0.2">
      <c r="A24" s="273">
        <v>18</v>
      </c>
      <c r="B24" s="115" t="s">
        <v>17</v>
      </c>
      <c r="C24" s="274">
        <v>1.667930720510691</v>
      </c>
      <c r="D24" s="274">
        <v>1.5723258912520885</v>
      </c>
      <c r="E24" s="274">
        <v>1.4905699549805498</v>
      </c>
      <c r="F24" s="274">
        <v>1.5363212253875047</v>
      </c>
      <c r="G24" s="274">
        <v>1.4615307407339817</v>
      </c>
      <c r="H24" s="274">
        <v>1.2161162165415949</v>
      </c>
      <c r="I24" s="274">
        <v>0.7739636170949229</v>
      </c>
      <c r="J24" s="274">
        <v>0.71775179390232269</v>
      </c>
      <c r="K24" s="274">
        <v>1.0270637195311321</v>
      </c>
      <c r="L24" s="274">
        <v>1.0085618740337434</v>
      </c>
      <c r="M24" s="274">
        <v>0.87174490544933414</v>
      </c>
      <c r="N24" s="275">
        <v>1655.1818181818182</v>
      </c>
      <c r="O24" s="276">
        <v>3280.8070175438597</v>
      </c>
      <c r="P24" s="276">
        <v>3410.2456140350878</v>
      </c>
      <c r="Q24" s="276">
        <v>2585.8571428571427</v>
      </c>
      <c r="R24" s="276">
        <v>1834.0526315789473</v>
      </c>
      <c r="S24" s="276">
        <v>1215.1390728476822</v>
      </c>
      <c r="T24" s="276">
        <v>1712.2716049382716</v>
      </c>
      <c r="U24" s="276">
        <v>2116.0769230769229</v>
      </c>
      <c r="V24" s="276">
        <v>2659.2448979591836</v>
      </c>
      <c r="W24" s="276">
        <v>1868.6756756756756</v>
      </c>
      <c r="X24" s="276">
        <v>1412.1919191919192</v>
      </c>
    </row>
    <row r="25" spans="1:24" x14ac:dyDescent="0.2">
      <c r="A25" s="273">
        <v>19</v>
      </c>
      <c r="B25" s="115" t="s">
        <v>18</v>
      </c>
      <c r="C25" s="274">
        <v>3.8212597968069666</v>
      </c>
      <c r="D25" s="274">
        <v>3.6124170712201935</v>
      </c>
      <c r="E25" s="274">
        <v>2.7159573720105668</v>
      </c>
      <c r="F25" s="274">
        <v>2.3070534197445416</v>
      </c>
      <c r="G25" s="274">
        <v>2.9406614605553596</v>
      </c>
      <c r="H25" s="274">
        <v>3.0316730866543429</v>
      </c>
      <c r="I25" s="274">
        <v>2.4898019684572512</v>
      </c>
      <c r="J25" s="274">
        <v>1.8251804743898248</v>
      </c>
      <c r="K25" s="274">
        <v>1.5971227112475832</v>
      </c>
      <c r="L25" s="274">
        <v>1.1606828118761747</v>
      </c>
      <c r="M25" s="274">
        <v>0.96210228950371479</v>
      </c>
      <c r="N25" s="275">
        <v>12747.08695652174</v>
      </c>
      <c r="O25" s="276">
        <v>12579.285714285714</v>
      </c>
      <c r="P25" s="276">
        <v>14834.714285714286</v>
      </c>
      <c r="Q25" s="276">
        <v>15330.869565217392</v>
      </c>
      <c r="R25" s="276">
        <v>15479.959183673469</v>
      </c>
      <c r="S25" s="276">
        <v>11813.758620689656</v>
      </c>
      <c r="T25" s="276">
        <v>12009.612903225807</v>
      </c>
      <c r="U25" s="276">
        <v>11211.050847457627</v>
      </c>
      <c r="V25" s="276">
        <v>9750.875</v>
      </c>
      <c r="W25" s="276">
        <v>6207.272727272727</v>
      </c>
      <c r="X25" s="276">
        <v>4011.5764705882352</v>
      </c>
    </row>
    <row r="26" spans="1:24" x14ac:dyDescent="0.2">
      <c r="A26" s="273">
        <v>20</v>
      </c>
      <c r="B26" s="115" t="s">
        <v>19</v>
      </c>
      <c r="C26" s="274">
        <v>1.8883308714918758</v>
      </c>
      <c r="D26" s="274">
        <v>2.2500199952011517</v>
      </c>
      <c r="E26" s="274">
        <v>1.534312003933413</v>
      </c>
      <c r="F26" s="274">
        <v>1.4631496062992126</v>
      </c>
      <c r="G26" s="274">
        <v>1.2420594633792603</v>
      </c>
      <c r="H26" s="274">
        <v>1.0280200408239006</v>
      </c>
      <c r="I26" s="274">
        <v>0.85898529098273291</v>
      </c>
      <c r="J26" s="274">
        <v>0.86314583975686032</v>
      </c>
      <c r="K26" s="274">
        <v>0.9540724793684966</v>
      </c>
      <c r="L26" s="274">
        <v>0.81847224194235413</v>
      </c>
      <c r="M26" s="274">
        <v>0.8011675168444311</v>
      </c>
      <c r="N26" s="275">
        <v>11598.521739130434</v>
      </c>
      <c r="O26" s="276">
        <v>12288.56</v>
      </c>
      <c r="P26" s="276">
        <v>11389.307692307691</v>
      </c>
      <c r="Q26" s="276">
        <v>12306.32</v>
      </c>
      <c r="R26" s="276">
        <v>10541.259259259259</v>
      </c>
      <c r="S26" s="276">
        <v>8188.3125</v>
      </c>
      <c r="T26" s="276">
        <v>8057.6097560975613</v>
      </c>
      <c r="U26" s="276">
        <v>6455.3207547169814</v>
      </c>
      <c r="V26" s="276">
        <v>5229.394736842105</v>
      </c>
      <c r="W26" s="276">
        <v>5704.411764705882</v>
      </c>
      <c r="X26" s="276">
        <v>4521.0465116279074</v>
      </c>
    </row>
    <row r="27" spans="1:24" x14ac:dyDescent="0.2">
      <c r="A27" s="273">
        <v>21</v>
      </c>
      <c r="B27" s="118" t="s">
        <v>20</v>
      </c>
      <c r="C27" s="274">
        <v>4.5450038138825324</v>
      </c>
      <c r="D27" s="274">
        <v>4.5930991607087348</v>
      </c>
      <c r="E27" s="274">
        <v>3.2211226476314083</v>
      </c>
      <c r="F27" s="274">
        <v>2.7459791161478697</v>
      </c>
      <c r="G27" s="274">
        <v>1.5836344474555857</v>
      </c>
      <c r="H27" s="274">
        <v>0.97071044897131853</v>
      </c>
      <c r="I27" s="274">
        <v>1</v>
      </c>
      <c r="J27" s="274">
        <v>0.70354270066746538</v>
      </c>
      <c r="K27" s="274">
        <v>0.81429629131049341</v>
      </c>
      <c r="L27" s="274">
        <v>1.0027566369029783</v>
      </c>
      <c r="M27" s="274">
        <v>1.0105211244451751</v>
      </c>
      <c r="N27" s="275">
        <v>962.26666666666665</v>
      </c>
      <c r="O27" s="276">
        <v>804</v>
      </c>
      <c r="P27" s="276">
        <v>1085.3333333333333</v>
      </c>
      <c r="Q27" s="276">
        <v>2074.5</v>
      </c>
      <c r="R27" s="276">
        <v>1162.625</v>
      </c>
      <c r="S27" s="276">
        <v>241.47058823529412</v>
      </c>
      <c r="T27" s="276">
        <v>142</v>
      </c>
      <c r="U27" s="276">
        <v>229.125</v>
      </c>
      <c r="V27" s="276">
        <v>420.64705882352939</v>
      </c>
      <c r="W27" s="276">
        <v>43.346153846153847</v>
      </c>
      <c r="X27" s="276">
        <v>80.166666666666671</v>
      </c>
    </row>
    <row r="28" spans="1:24" x14ac:dyDescent="0.2">
      <c r="A28" s="273">
        <v>22</v>
      </c>
      <c r="B28" s="115" t="s">
        <v>21</v>
      </c>
      <c r="C28" s="274">
        <v>2.8890331863367966</v>
      </c>
      <c r="D28" s="274">
        <v>2.1126642949960592</v>
      </c>
      <c r="E28" s="274">
        <v>1.3244830786830109</v>
      </c>
      <c r="F28" s="274">
        <v>1.2443936228697086</v>
      </c>
      <c r="G28" s="274">
        <v>1.9440256735577282</v>
      </c>
      <c r="H28" s="274">
        <v>1.719006311810173</v>
      </c>
      <c r="I28" s="274">
        <v>1.2039575837909486</v>
      </c>
      <c r="J28" s="274">
        <v>1.2609319961409886</v>
      </c>
      <c r="K28" s="274">
        <v>0.81626645437209555</v>
      </c>
      <c r="L28" s="274">
        <v>0.78581492889442295</v>
      </c>
      <c r="M28" s="274">
        <v>0.86864942654049104</v>
      </c>
      <c r="N28" s="275">
        <v>2337.5</v>
      </c>
      <c r="O28" s="276">
        <v>1691.0833333333333</v>
      </c>
      <c r="P28" s="276">
        <v>989.26666666666665</v>
      </c>
      <c r="Q28" s="276">
        <v>487.69811320754718</v>
      </c>
      <c r="R28" s="276">
        <v>776.14492753623188</v>
      </c>
      <c r="S28" s="276">
        <v>719.81818181818187</v>
      </c>
      <c r="T28" s="276">
        <v>696.2962962962963</v>
      </c>
      <c r="U28" s="276">
        <v>680.68</v>
      </c>
      <c r="V28" s="276">
        <v>620.05882352941171</v>
      </c>
      <c r="W28" s="276">
        <v>882.8648648648649</v>
      </c>
      <c r="X28" s="276">
        <v>971.84210526315792</v>
      </c>
    </row>
    <row r="29" spans="1:24" x14ac:dyDescent="0.2">
      <c r="A29" s="273">
        <v>23</v>
      </c>
      <c r="B29" s="115" t="s">
        <v>22</v>
      </c>
      <c r="C29" s="274">
        <v>1.8967498653259114</v>
      </c>
      <c r="D29" s="274">
        <v>1.7025263803143746</v>
      </c>
      <c r="E29" s="274">
        <v>1.4670688788335846</v>
      </c>
      <c r="F29" s="277">
        <v>0.15525332822526577</v>
      </c>
      <c r="G29" s="277" t="s">
        <v>42</v>
      </c>
      <c r="H29" s="277">
        <v>0</v>
      </c>
      <c r="I29" s="277">
        <v>0</v>
      </c>
      <c r="J29" s="277">
        <v>0</v>
      </c>
      <c r="K29" s="277">
        <v>0</v>
      </c>
      <c r="L29" s="274">
        <v>0</v>
      </c>
      <c r="M29" s="274">
        <v>0</v>
      </c>
      <c r="N29" s="275">
        <v>7.8</v>
      </c>
      <c r="O29" s="276">
        <v>21.777777777777779</v>
      </c>
      <c r="P29" s="276">
        <v>2.25</v>
      </c>
      <c r="Q29" s="277">
        <v>0.25</v>
      </c>
      <c r="R29" s="277">
        <v>0</v>
      </c>
      <c r="S29" s="277">
        <v>0</v>
      </c>
      <c r="T29" s="277">
        <v>0</v>
      </c>
      <c r="U29" s="277">
        <v>0</v>
      </c>
      <c r="V29" s="277">
        <v>0</v>
      </c>
      <c r="W29" s="277">
        <v>0</v>
      </c>
      <c r="X29" s="276">
        <v>0</v>
      </c>
    </row>
    <row r="30" spans="1:24" x14ac:dyDescent="0.2">
      <c r="A30" s="273">
        <v>24</v>
      </c>
      <c r="B30" s="115" t="s">
        <v>23</v>
      </c>
      <c r="C30" s="274">
        <v>4.7876918005428877</v>
      </c>
      <c r="D30" s="274">
        <v>5.2449638349170327</v>
      </c>
      <c r="E30" s="274">
        <v>4.7381339972549394</v>
      </c>
      <c r="F30" s="274">
        <v>5.1671283199748546</v>
      </c>
      <c r="G30" s="274">
        <v>4.8537567817004064</v>
      </c>
      <c r="H30" s="274">
        <v>4.5125930008266737</v>
      </c>
      <c r="I30" s="274">
        <v>3.8760319853051284</v>
      </c>
      <c r="J30" s="274">
        <v>4.2195645779100621</v>
      </c>
      <c r="K30" s="274">
        <v>3.6017655455181199</v>
      </c>
      <c r="L30" s="274">
        <v>3.2127049147018427</v>
      </c>
      <c r="M30" s="274">
        <v>3.3444928091084627</v>
      </c>
      <c r="N30" s="275">
        <v>7105.9666666666662</v>
      </c>
      <c r="O30" s="276">
        <v>11203.042253521127</v>
      </c>
      <c r="P30" s="276">
        <v>11946.83211678832</v>
      </c>
      <c r="Q30" s="276">
        <v>11486.94193548387</v>
      </c>
      <c r="R30" s="276">
        <v>11095.82456140351</v>
      </c>
      <c r="S30" s="276">
        <v>11256.935672514619</v>
      </c>
      <c r="T30" s="276">
        <v>14163.23489932886</v>
      </c>
      <c r="U30" s="276">
        <v>17796.62222222222</v>
      </c>
      <c r="V30" s="276">
        <v>18356.623376623378</v>
      </c>
      <c r="W30" s="276">
        <v>15712.65934065934</v>
      </c>
      <c r="X30" s="276">
        <v>18443.739726027397</v>
      </c>
    </row>
    <row r="31" spans="1:24" x14ac:dyDescent="0.2">
      <c r="A31" s="273">
        <v>25</v>
      </c>
      <c r="B31" s="115" t="s">
        <v>24</v>
      </c>
      <c r="C31" s="274">
        <v>4.1028910629877986</v>
      </c>
      <c r="D31" s="274">
        <v>3.2735870299482097</v>
      </c>
      <c r="E31" s="274">
        <v>2.7800671892497202</v>
      </c>
      <c r="F31" s="274">
        <v>2.3884077281812126</v>
      </c>
      <c r="G31" s="274">
        <v>1.7752708589299675</v>
      </c>
      <c r="H31" s="274">
        <v>1.2794961196715779</v>
      </c>
      <c r="I31" s="274">
        <v>1.2571776155717762</v>
      </c>
      <c r="J31" s="274">
        <v>1.2970401691331923</v>
      </c>
      <c r="K31" s="274">
        <v>1.2082957619477006</v>
      </c>
      <c r="L31" s="274">
        <v>1.072927072927073</v>
      </c>
      <c r="M31" s="274">
        <v>1.0053050397877985</v>
      </c>
      <c r="N31" s="275">
        <v>9450.6666666666661</v>
      </c>
      <c r="O31" s="276">
        <v>19806.428571428572</v>
      </c>
      <c r="P31" s="276">
        <v>18119.636363636364</v>
      </c>
      <c r="Q31" s="276">
        <v>24174.615384615383</v>
      </c>
      <c r="R31" s="276">
        <v>23267.466666666667</v>
      </c>
      <c r="S31" s="276">
        <v>25695.23076923077</v>
      </c>
      <c r="T31" s="276">
        <v>25315.692307692309</v>
      </c>
      <c r="U31" s="276">
        <v>21408.142857142859</v>
      </c>
      <c r="V31" s="276">
        <v>10755</v>
      </c>
      <c r="W31" s="276">
        <v>8081.6111111111113</v>
      </c>
      <c r="X31" s="276">
        <v>6975.5593220338988</v>
      </c>
    </row>
    <row r="32" spans="1:24" x14ac:dyDescent="0.2">
      <c r="A32" s="273">
        <v>26</v>
      </c>
      <c r="B32" s="115" t="s">
        <v>25</v>
      </c>
      <c r="C32" s="274">
        <v>1.0420385637391838</v>
      </c>
      <c r="D32" s="274">
        <v>0.83459277917716201</v>
      </c>
      <c r="E32" s="277">
        <v>0.40774164254497985</v>
      </c>
      <c r="F32" s="277">
        <v>0.11839353954863364</v>
      </c>
      <c r="G32" s="277">
        <v>0.10517821116341627</v>
      </c>
      <c r="H32" s="277">
        <v>1.6317650258362796E-2</v>
      </c>
      <c r="I32" s="277">
        <v>-1.7460317460317461E-2</v>
      </c>
      <c r="J32" s="277">
        <v>8.9622641509433956E-2</v>
      </c>
      <c r="K32" s="277">
        <v>0.83715012722646309</v>
      </c>
      <c r="L32" s="274">
        <v>0.80194805194805197</v>
      </c>
      <c r="M32" s="274">
        <v>0.7804945054945055</v>
      </c>
      <c r="N32" s="275">
        <v>13155.285714285714</v>
      </c>
      <c r="O32" s="276">
        <v>11853</v>
      </c>
      <c r="P32" s="276">
        <v>16171.571428571429</v>
      </c>
      <c r="Q32" s="276">
        <v>15899.714285714286</v>
      </c>
      <c r="R32" s="276">
        <v>13450.857142857143</v>
      </c>
      <c r="S32" s="276">
        <v>11775.076923076924</v>
      </c>
      <c r="T32" s="276">
        <v>19524.8</v>
      </c>
      <c r="U32" s="276">
        <v>32055.75</v>
      </c>
      <c r="V32" s="276">
        <v>19034.7</v>
      </c>
      <c r="W32" s="276">
        <v>15469.833333333334</v>
      </c>
      <c r="X32" s="276">
        <v>8069.333333333333</v>
      </c>
    </row>
    <row r="33" spans="1:24" x14ac:dyDescent="0.2">
      <c r="A33" s="273">
        <v>27</v>
      </c>
      <c r="B33" s="115" t="s">
        <v>26</v>
      </c>
      <c r="C33" s="274">
        <v>1.5297514190643962</v>
      </c>
      <c r="D33" s="274">
        <v>2.25950299864295</v>
      </c>
      <c r="E33" s="274">
        <v>2.7868599977461401</v>
      </c>
      <c r="F33" s="274">
        <v>3.8306339833292196</v>
      </c>
      <c r="G33" s="274">
        <v>4.3526013609299685</v>
      </c>
      <c r="H33" s="274">
        <v>4.314926732345393</v>
      </c>
      <c r="I33" s="274">
        <v>3.2726310998486956</v>
      </c>
      <c r="J33" s="274">
        <v>2.4988060493499602</v>
      </c>
      <c r="K33" s="274">
        <v>2.0867865242865244</v>
      </c>
      <c r="L33" s="274">
        <v>1.8761389134425783</v>
      </c>
      <c r="M33" s="274">
        <v>1.8967478075757225</v>
      </c>
      <c r="N33" s="275">
        <v>1113.3333333333333</v>
      </c>
      <c r="O33" s="276">
        <v>9190.4</v>
      </c>
      <c r="P33" s="276">
        <v>14493.142857142857</v>
      </c>
      <c r="Q33" s="276">
        <v>10326.833333333334</v>
      </c>
      <c r="R33" s="276">
        <v>15045.5</v>
      </c>
      <c r="S33" s="276">
        <v>19412.333333333332</v>
      </c>
      <c r="T33" s="276">
        <v>19885</v>
      </c>
      <c r="U33" s="276">
        <v>16626.962962962964</v>
      </c>
      <c r="V33" s="276">
        <v>10474.16</v>
      </c>
      <c r="W33" s="276">
        <v>5836.58</v>
      </c>
      <c r="X33" s="276">
        <v>5096.1343283582091</v>
      </c>
    </row>
    <row r="34" spans="1:24" s="91" customFormat="1" x14ac:dyDescent="0.2">
      <c r="A34" s="278"/>
      <c r="B34" s="279" t="s">
        <v>43</v>
      </c>
      <c r="C34" s="280">
        <v>2.4747152768411116</v>
      </c>
      <c r="D34" s="280">
        <v>2.5675842840454619</v>
      </c>
      <c r="E34" s="280">
        <v>2.2681763655740124</v>
      </c>
      <c r="F34" s="280">
        <v>2.1535535430735138</v>
      </c>
      <c r="G34" s="280">
        <v>2.0907306653315372</v>
      </c>
      <c r="H34" s="280">
        <v>1.8258468807233417</v>
      </c>
      <c r="I34" s="280">
        <v>1.6213096086982959</v>
      </c>
      <c r="J34" s="280">
        <v>1.6166806316816735</v>
      </c>
      <c r="K34" s="280">
        <v>1.6</v>
      </c>
      <c r="L34" s="281">
        <v>1.4395591259509892</v>
      </c>
      <c r="M34" s="281">
        <v>1.3783561337485863</v>
      </c>
      <c r="N34" s="282">
        <v>5449.5871254162039</v>
      </c>
      <c r="O34" s="283">
        <v>8331.6322188449849</v>
      </c>
      <c r="P34" s="283">
        <v>8293.1650485436894</v>
      </c>
      <c r="Q34" s="283">
        <v>6960.2253807106599</v>
      </c>
      <c r="R34" s="283">
        <v>5780.8673550436852</v>
      </c>
      <c r="S34" s="283">
        <v>4820.2678821879381</v>
      </c>
      <c r="T34" s="283">
        <v>5239.5663956639564</v>
      </c>
      <c r="U34" s="283">
        <v>5245.830065359477</v>
      </c>
      <c r="V34" s="283">
        <v>5011</v>
      </c>
      <c r="W34" s="283">
        <v>4272.3545454545456</v>
      </c>
      <c r="X34" s="283">
        <v>3480.9797541576281</v>
      </c>
    </row>
    <row r="35" spans="1:24" x14ac:dyDescent="0.2">
      <c r="A35" s="278"/>
      <c r="B35" s="279" t="s">
        <v>44</v>
      </c>
      <c r="C35" s="280">
        <v>10.17226619164656</v>
      </c>
      <c r="D35" s="280">
        <v>10.821258659626018</v>
      </c>
      <c r="E35" s="280">
        <v>10.492589879613449</v>
      </c>
      <c r="F35" s="280">
        <v>10.789688503685639</v>
      </c>
      <c r="G35" s="280">
        <v>10.53311276392699</v>
      </c>
      <c r="H35" s="280">
        <v>10.111140719107695</v>
      </c>
      <c r="I35" s="280">
        <v>9.0451142083454634</v>
      </c>
      <c r="J35" s="280">
        <v>9.1610066468123907</v>
      </c>
      <c r="K35" s="280">
        <v>8</v>
      </c>
      <c r="L35" s="284">
        <v>7.5698571338775</v>
      </c>
      <c r="M35" s="284">
        <v>6.2797524143221395</v>
      </c>
      <c r="N35" s="282">
        <v>4710.0671140939594</v>
      </c>
      <c r="O35" s="283">
        <v>6598.9314472252445</v>
      </c>
      <c r="P35" s="283">
        <v>6720.9714889123552</v>
      </c>
      <c r="Q35" s="283">
        <v>5986.4872427983537</v>
      </c>
      <c r="R35" s="283">
        <v>5074.3398950131232</v>
      </c>
      <c r="S35" s="283">
        <v>4289.2100350058345</v>
      </c>
      <c r="T35" s="283">
        <v>4642.3608597285065</v>
      </c>
      <c r="U35" s="283">
        <v>4697.1185879757304</v>
      </c>
      <c r="V35" s="283">
        <v>4522</v>
      </c>
      <c r="W35" s="283">
        <v>3843.0977917981072</v>
      </c>
      <c r="X35" s="283">
        <v>3167.1724137931033</v>
      </c>
    </row>
    <row r="36" spans="1:24" ht="24.75" customHeight="1" x14ac:dyDescent="0.2">
      <c r="A36" s="533" t="s">
        <v>295</v>
      </c>
      <c r="B36" s="533"/>
      <c r="C36" s="533"/>
      <c r="D36" s="533"/>
      <c r="E36" s="533"/>
      <c r="F36" s="533"/>
      <c r="G36" s="533"/>
      <c r="H36" s="533"/>
      <c r="I36" s="533"/>
      <c r="J36" s="533"/>
      <c r="K36" s="533"/>
      <c r="L36" s="533"/>
      <c r="M36" s="533"/>
      <c r="N36" s="533"/>
      <c r="O36" s="533"/>
      <c r="P36" s="533"/>
      <c r="Q36" s="533"/>
      <c r="R36" s="533"/>
      <c r="S36" s="533"/>
      <c r="T36" s="533"/>
      <c r="U36" s="533"/>
      <c r="V36" s="533"/>
      <c r="W36" s="533"/>
    </row>
    <row r="37" spans="1:24" ht="35.25" customHeight="1" x14ac:dyDescent="0.2">
      <c r="A37" s="521" t="s">
        <v>293</v>
      </c>
      <c r="B37" s="521"/>
      <c r="C37" s="521"/>
      <c r="D37" s="521"/>
      <c r="E37" s="521"/>
      <c r="F37" s="521"/>
      <c r="G37" s="521"/>
      <c r="H37" s="521"/>
      <c r="I37" s="521"/>
      <c r="J37" s="521"/>
      <c r="K37" s="521"/>
      <c r="L37" s="521"/>
      <c r="M37" s="521"/>
      <c r="N37" s="521"/>
      <c r="O37" s="521"/>
      <c r="P37" s="521"/>
      <c r="Q37" s="521"/>
      <c r="R37" s="521"/>
      <c r="S37" s="521"/>
      <c r="T37" s="521"/>
      <c r="U37" s="521"/>
      <c r="V37" s="521"/>
      <c r="W37" s="521"/>
    </row>
    <row r="38" spans="1:24" x14ac:dyDescent="0.2">
      <c r="A38" s="521" t="s">
        <v>395</v>
      </c>
      <c r="B38" s="521"/>
      <c r="C38" s="521"/>
      <c r="D38" s="521"/>
      <c r="E38" s="521"/>
      <c r="F38" s="521"/>
      <c r="G38" s="521"/>
      <c r="H38" s="521"/>
      <c r="I38" s="521"/>
      <c r="J38" s="521"/>
      <c r="K38" s="521"/>
      <c r="L38" s="521"/>
      <c r="M38" s="432"/>
    </row>
  </sheetData>
  <mergeCells count="8">
    <mergeCell ref="A38:L38"/>
    <mergeCell ref="A36:W36"/>
    <mergeCell ref="A37:W37"/>
    <mergeCell ref="A1:U1"/>
    <mergeCell ref="A3:A4"/>
    <mergeCell ref="B3:B4"/>
    <mergeCell ref="C3:M3"/>
    <mergeCell ref="N3:X3"/>
  </mergeCells>
  <printOptions horizontalCentered="1" verticalCentered="1"/>
  <pageMargins left="0.2" right="0.2" top="0.46" bottom="0.47" header="0.35" footer="0.33"/>
  <pageSetup paperSize="9"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B050"/>
  </sheetPr>
  <dimension ref="A1:X38"/>
  <sheetViews>
    <sheetView workbookViewId="0">
      <pane xSplit="2" ySplit="4" topLeftCell="C5" activePane="bottomRight" state="frozen"/>
      <selection pane="topRight" activeCell="C1" sqref="C1"/>
      <selection pane="bottomLeft" activeCell="A5" sqref="A5"/>
      <selection pane="bottomRight" activeCell="Y35" sqref="Y35"/>
    </sheetView>
  </sheetViews>
  <sheetFormatPr defaultColWidth="19.28515625" defaultRowHeight="12.75" x14ac:dyDescent="0.2"/>
  <cols>
    <col min="1" max="1" width="4.85546875" style="94" customWidth="1"/>
    <col min="2" max="2" width="41.140625" style="94" customWidth="1"/>
    <col min="3" max="9" width="7.7109375" style="94" bestFit="1" customWidth="1"/>
    <col min="10" max="11" width="7.5703125" style="94" customWidth="1"/>
    <col min="12" max="12" width="7.5703125" style="94" bestFit="1" customWidth="1"/>
    <col min="13" max="13" width="7.5703125" style="94" customWidth="1"/>
    <col min="14" max="19" width="9.5703125" style="94" bestFit="1" customWidth="1"/>
    <col min="20" max="21" width="8.85546875" style="94" customWidth="1"/>
    <col min="22" max="23" width="9.28515625" style="94" bestFit="1" customWidth="1"/>
    <col min="24" max="24" width="12.28515625" style="94" customWidth="1"/>
    <col min="25" max="16384" width="19.28515625" style="94"/>
  </cols>
  <sheetData>
    <row r="1" spans="1:24" ht="16.5" customHeight="1" x14ac:dyDescent="0.2">
      <c r="A1" s="534" t="s">
        <v>375</v>
      </c>
      <c r="B1" s="534"/>
      <c r="C1" s="534"/>
      <c r="D1" s="534"/>
      <c r="E1" s="534"/>
      <c r="F1" s="534"/>
      <c r="G1" s="534"/>
      <c r="H1" s="534"/>
      <c r="I1" s="534"/>
      <c r="J1" s="534"/>
      <c r="K1" s="534"/>
      <c r="L1" s="534"/>
      <c r="M1" s="534"/>
      <c r="N1" s="534"/>
      <c r="O1" s="534"/>
      <c r="P1" s="534"/>
      <c r="Q1" s="534"/>
      <c r="R1" s="534"/>
      <c r="S1" s="534"/>
      <c r="T1" s="534"/>
      <c r="U1" s="534"/>
    </row>
    <row r="2" spans="1:24" ht="14.25" customHeight="1" x14ac:dyDescent="0.2">
      <c r="A2" s="544" t="s">
        <v>45</v>
      </c>
      <c r="B2" s="544"/>
      <c r="C2" s="544"/>
      <c r="D2" s="544"/>
      <c r="E2" s="544"/>
      <c r="F2" s="544"/>
      <c r="G2" s="544"/>
      <c r="H2" s="544"/>
      <c r="I2" s="544"/>
      <c r="J2" s="544"/>
      <c r="K2" s="544"/>
      <c r="L2" s="544"/>
      <c r="M2" s="544"/>
      <c r="N2" s="545"/>
      <c r="O2" s="545"/>
      <c r="P2" s="545"/>
      <c r="Q2" s="545"/>
      <c r="R2" s="545"/>
      <c r="S2" s="545"/>
      <c r="T2" s="545"/>
      <c r="U2" s="545"/>
      <c r="V2" s="545"/>
      <c r="W2" s="545"/>
    </row>
    <row r="3" spans="1:24" ht="12.75" customHeight="1" x14ac:dyDescent="0.2">
      <c r="A3" s="543" t="s">
        <v>1</v>
      </c>
      <c r="B3" s="543" t="s">
        <v>2</v>
      </c>
      <c r="C3" s="536" t="s">
        <v>31</v>
      </c>
      <c r="D3" s="537"/>
      <c r="E3" s="537"/>
      <c r="F3" s="537"/>
      <c r="G3" s="537"/>
      <c r="H3" s="537"/>
      <c r="I3" s="537"/>
      <c r="J3" s="537"/>
      <c r="K3" s="537"/>
      <c r="L3" s="537"/>
      <c r="M3" s="538"/>
      <c r="N3" s="539" t="s">
        <v>32</v>
      </c>
      <c r="O3" s="539"/>
      <c r="P3" s="539"/>
      <c r="Q3" s="539"/>
      <c r="R3" s="539"/>
      <c r="S3" s="539"/>
      <c r="T3" s="539"/>
      <c r="U3" s="539"/>
      <c r="V3" s="539"/>
      <c r="W3" s="539"/>
      <c r="X3" s="539"/>
    </row>
    <row r="4" spans="1:24" x14ac:dyDescent="0.2">
      <c r="A4" s="543"/>
      <c r="B4" s="543"/>
      <c r="C4" s="97" t="s">
        <v>33</v>
      </c>
      <c r="D4" s="97" t="s">
        <v>34</v>
      </c>
      <c r="E4" s="97" t="s">
        <v>35</v>
      </c>
      <c r="F4" s="97" t="s">
        <v>36</v>
      </c>
      <c r="G4" s="97" t="s">
        <v>37</v>
      </c>
      <c r="H4" s="97" t="s">
        <v>38</v>
      </c>
      <c r="I4" s="97" t="s">
        <v>39</v>
      </c>
      <c r="J4" s="97" t="s">
        <v>40</v>
      </c>
      <c r="K4" s="97" t="s">
        <v>41</v>
      </c>
      <c r="L4" s="97" t="s">
        <v>292</v>
      </c>
      <c r="M4" s="442" t="s">
        <v>399</v>
      </c>
      <c r="N4" s="97" t="s">
        <v>33</v>
      </c>
      <c r="O4" s="97" t="s">
        <v>34</v>
      </c>
      <c r="P4" s="97" t="s">
        <v>35</v>
      </c>
      <c r="Q4" s="97" t="s">
        <v>36</v>
      </c>
      <c r="R4" s="97" t="s">
        <v>37</v>
      </c>
      <c r="S4" s="97" t="s">
        <v>38</v>
      </c>
      <c r="T4" s="97" t="s">
        <v>39</v>
      </c>
      <c r="U4" s="97" t="s">
        <v>40</v>
      </c>
      <c r="V4" s="105" t="s">
        <v>41</v>
      </c>
      <c r="W4" s="105" t="s">
        <v>292</v>
      </c>
      <c r="X4" s="442" t="s">
        <v>399</v>
      </c>
    </row>
    <row r="5" spans="1:24" x14ac:dyDescent="0.2">
      <c r="A5" s="287"/>
      <c r="B5" s="113" t="s">
        <v>3</v>
      </c>
      <c r="C5" s="97"/>
      <c r="D5" s="97"/>
      <c r="E5" s="97"/>
      <c r="F5" s="97"/>
      <c r="G5" s="97"/>
      <c r="H5" s="97"/>
      <c r="I5" s="97"/>
      <c r="J5" s="97"/>
      <c r="K5" s="97"/>
      <c r="L5" s="97"/>
      <c r="M5" s="97"/>
      <c r="N5" s="97"/>
      <c r="O5" s="97"/>
      <c r="P5" s="97"/>
      <c r="Q5" s="97"/>
      <c r="R5" s="97"/>
      <c r="S5" s="97"/>
      <c r="T5" s="97"/>
      <c r="U5" s="97"/>
      <c r="V5" s="143"/>
      <c r="W5" s="143"/>
      <c r="X5" s="143"/>
    </row>
    <row r="6" spans="1:24" x14ac:dyDescent="0.2">
      <c r="A6" s="288">
        <v>1</v>
      </c>
      <c r="B6" s="115" t="s">
        <v>4</v>
      </c>
      <c r="C6" s="296">
        <v>2.6703143181664064</v>
      </c>
      <c r="D6" s="296">
        <v>2.8481849337846561</v>
      </c>
      <c r="E6" s="296">
        <v>3.9962787572723446</v>
      </c>
      <c r="F6" s="296">
        <v>4.3412811787322063</v>
      </c>
      <c r="G6" s="296">
        <v>4.1998135770863039</v>
      </c>
      <c r="H6" s="296">
        <v>4.0785608036665826</v>
      </c>
      <c r="I6" s="296">
        <v>4.1416909320644297</v>
      </c>
      <c r="J6" s="296">
        <v>3.9391575829030239</v>
      </c>
      <c r="K6" s="296">
        <v>4.1860736238769416</v>
      </c>
      <c r="L6" s="296">
        <v>3.8967493115993506</v>
      </c>
      <c r="M6" s="296">
        <v>3.9396012041556285</v>
      </c>
      <c r="N6" s="144">
        <v>615.03092783505144</v>
      </c>
      <c r="O6" s="144">
        <v>583.37931034482756</v>
      </c>
      <c r="P6" s="144">
        <v>1002.9823008849559</v>
      </c>
      <c r="Q6" s="144">
        <v>1206.1480869565216</v>
      </c>
      <c r="R6" s="144">
        <v>992.73962264150953</v>
      </c>
      <c r="S6" s="144">
        <v>1020.7916666666665</v>
      </c>
      <c r="T6" s="144">
        <v>1230.5303777397255</v>
      </c>
      <c r="U6" s="144">
        <v>1054.1782332155476</v>
      </c>
      <c r="V6" s="144">
        <v>1247.36560303448</v>
      </c>
      <c r="W6" s="144">
        <v>1012.7883294642857</v>
      </c>
      <c r="X6" s="144">
        <v>1430.9420218579235</v>
      </c>
    </row>
    <row r="7" spans="1:24" x14ac:dyDescent="0.2">
      <c r="A7" s="287"/>
      <c r="B7" s="113" t="s">
        <v>5</v>
      </c>
      <c r="C7" s="296"/>
      <c r="D7" s="296"/>
      <c r="E7" s="296"/>
      <c r="F7" s="296"/>
      <c r="G7" s="296"/>
      <c r="H7" s="296"/>
      <c r="I7" s="296"/>
      <c r="J7" s="296"/>
      <c r="K7" s="296"/>
      <c r="L7" s="296"/>
      <c r="M7" s="296"/>
      <c r="N7" s="144"/>
      <c r="O7" s="144"/>
      <c r="P7" s="144"/>
      <c r="Q7" s="144"/>
      <c r="R7" s="144"/>
      <c r="S7" s="144"/>
      <c r="T7" s="144"/>
      <c r="U7" s="144"/>
      <c r="V7" s="143"/>
      <c r="W7" s="143"/>
      <c r="X7" s="144"/>
    </row>
    <row r="8" spans="1:24" x14ac:dyDescent="0.2">
      <c r="A8" s="288">
        <v>2</v>
      </c>
      <c r="B8" s="115" t="s">
        <v>359</v>
      </c>
      <c r="C8" s="296">
        <v>0</v>
      </c>
      <c r="D8" s="296">
        <v>0</v>
      </c>
      <c r="E8" s="296">
        <v>0</v>
      </c>
      <c r="F8" s="296">
        <v>0</v>
      </c>
      <c r="G8" s="296">
        <v>0</v>
      </c>
      <c r="H8" s="296">
        <v>0</v>
      </c>
      <c r="I8" s="296">
        <v>0</v>
      </c>
      <c r="J8" s="296">
        <v>0</v>
      </c>
      <c r="K8" s="296">
        <v>0</v>
      </c>
      <c r="L8" s="296">
        <v>0</v>
      </c>
      <c r="M8" s="296">
        <v>0</v>
      </c>
      <c r="N8" s="296">
        <v>0</v>
      </c>
      <c r="O8" s="296">
        <v>0</v>
      </c>
      <c r="P8" s="296">
        <v>0</v>
      </c>
      <c r="Q8" s="296">
        <v>0</v>
      </c>
      <c r="R8" s="296">
        <v>0</v>
      </c>
      <c r="S8" s="296">
        <v>0</v>
      </c>
      <c r="T8" s="296">
        <v>0</v>
      </c>
      <c r="U8" s="296">
        <v>0</v>
      </c>
      <c r="V8" s="296">
        <v>0</v>
      </c>
      <c r="W8" s="296">
        <v>0</v>
      </c>
      <c r="X8" s="144">
        <v>0</v>
      </c>
    </row>
    <row r="9" spans="1:24" x14ac:dyDescent="0.2">
      <c r="A9" s="288">
        <v>3</v>
      </c>
      <c r="B9" s="115" t="s">
        <v>6</v>
      </c>
      <c r="C9" s="296">
        <v>0.59636351852349856</v>
      </c>
      <c r="D9" s="296">
        <v>0.56451488952747142</v>
      </c>
      <c r="E9" s="296">
        <v>0.73545672368920223</v>
      </c>
      <c r="F9" s="296">
        <v>0.91165263316894807</v>
      </c>
      <c r="G9" s="296">
        <v>0.93730722192432603</v>
      </c>
      <c r="H9" s="296">
        <v>0.94773514315702212</v>
      </c>
      <c r="I9" s="296">
        <v>0.96484096103065853</v>
      </c>
      <c r="J9" s="296">
        <v>1.0883299395830699</v>
      </c>
      <c r="K9" s="296">
        <v>1.7500467267498265</v>
      </c>
      <c r="L9" s="296">
        <v>1.7834750773271451</v>
      </c>
      <c r="M9" s="296">
        <v>1.773053969094919</v>
      </c>
      <c r="N9" s="144">
        <v>395.81013312249996</v>
      </c>
      <c r="O9" s="144">
        <v>232.15377388620607</v>
      </c>
      <c r="P9" s="144">
        <v>362.57253321711823</v>
      </c>
      <c r="Q9" s="144">
        <v>648.96913738643764</v>
      </c>
      <c r="R9" s="144">
        <v>2256.0403945013513</v>
      </c>
      <c r="S9" s="144">
        <v>3080.0733214202301</v>
      </c>
      <c r="T9" s="144">
        <v>5143.5873698166988</v>
      </c>
      <c r="U9" s="144">
        <v>5829.3417254195601</v>
      </c>
      <c r="V9" s="144">
        <v>7231.4348223047773</v>
      </c>
      <c r="W9" s="144">
        <v>4423.1834690204987</v>
      </c>
      <c r="X9" s="144">
        <v>5093.2428663721166</v>
      </c>
    </row>
    <row r="10" spans="1:24" x14ac:dyDescent="0.2">
      <c r="A10" s="288">
        <v>4</v>
      </c>
      <c r="B10" s="115" t="s">
        <v>360</v>
      </c>
      <c r="C10" s="296">
        <v>0.69806670718349562</v>
      </c>
      <c r="D10" s="296">
        <v>0.73728767188446598</v>
      </c>
      <c r="E10" s="296">
        <v>0.11418134695912265</v>
      </c>
      <c r="F10" s="297">
        <v>6.7815614991777E-4</v>
      </c>
      <c r="G10" s="297">
        <v>1.57077929886065E-3</v>
      </c>
      <c r="H10" s="297">
        <v>6.8674408074195315E-4</v>
      </c>
      <c r="I10" s="296">
        <v>1.12251283774056E-4</v>
      </c>
      <c r="J10" s="296">
        <v>1.04895104895105E-2</v>
      </c>
      <c r="K10" s="296">
        <v>-1.198728488372093E-3</v>
      </c>
      <c r="L10" s="296">
        <v>-3.0256069767441864E-2</v>
      </c>
      <c r="M10" s="296">
        <v>-2.3391812865497075E-2</v>
      </c>
      <c r="N10" s="144">
        <v>66.213055162499998</v>
      </c>
      <c r="O10" s="144">
        <v>80.628841569230815</v>
      </c>
      <c r="P10" s="144">
        <v>184.76272676363641</v>
      </c>
      <c r="Q10" s="144">
        <v>179.98589798571427</v>
      </c>
      <c r="R10" s="144">
        <v>61.750842846153844</v>
      </c>
      <c r="S10" s="144">
        <v>117.43900310909092</v>
      </c>
      <c r="T10" s="144">
        <v>67.14729328</v>
      </c>
      <c r="U10" s="144">
        <v>2.6666666666666701</v>
      </c>
      <c r="V10" s="144">
        <v>-2.7542123818181818</v>
      </c>
      <c r="W10" s="144">
        <v>2.7414461750000001</v>
      </c>
      <c r="X10" s="144">
        <v>648.23809523809518</v>
      </c>
    </row>
    <row r="11" spans="1:24" x14ac:dyDescent="0.2">
      <c r="A11" s="288">
        <v>5</v>
      </c>
      <c r="B11" s="115" t="s">
        <v>7</v>
      </c>
      <c r="C11" s="296">
        <v>0.47341298595083636</v>
      </c>
      <c r="D11" s="296">
        <v>0.49156543479774967</v>
      </c>
      <c r="E11" s="296">
        <v>0.54978645240362289</v>
      </c>
      <c r="F11" s="296">
        <v>0.5128911459471035</v>
      </c>
      <c r="G11" s="296">
        <v>0.37358428480826544</v>
      </c>
      <c r="H11" s="296">
        <v>0.15410506859428114</v>
      </c>
      <c r="I11" s="296">
        <v>0.25799994963634731</v>
      </c>
      <c r="J11" s="296">
        <v>0.26130469080012958</v>
      </c>
      <c r="K11" s="296">
        <v>1.0380619297832587</v>
      </c>
      <c r="L11" s="296">
        <v>1.0230718782696548</v>
      </c>
      <c r="M11" s="296">
        <v>1.1883363419307293</v>
      </c>
      <c r="N11" s="144">
        <v>10874.003613240002</v>
      </c>
      <c r="O11" s="144">
        <v>15804.88777096</v>
      </c>
      <c r="P11" s="144">
        <v>21537.545421479997</v>
      </c>
      <c r="Q11" s="144">
        <v>30102.567289750001</v>
      </c>
      <c r="R11" s="144">
        <v>28832.982650800001</v>
      </c>
      <c r="S11" s="144">
        <v>12473.248022166666</v>
      </c>
      <c r="T11" s="144">
        <v>10690.604492925</v>
      </c>
      <c r="U11" s="144">
        <v>14853.188283999998</v>
      </c>
      <c r="V11" s="144">
        <v>18380.284678966713</v>
      </c>
      <c r="W11" s="144">
        <v>17910.157664649989</v>
      </c>
      <c r="X11" s="144">
        <v>12562.339059816666</v>
      </c>
    </row>
    <row r="12" spans="1:24" x14ac:dyDescent="0.2">
      <c r="A12" s="288">
        <v>6</v>
      </c>
      <c r="B12" s="115" t="s">
        <v>8</v>
      </c>
      <c r="C12" s="296">
        <v>0.55105188034418795</v>
      </c>
      <c r="D12" s="296">
        <v>0.56913153924705573</v>
      </c>
      <c r="E12" s="296">
        <v>0.83397273089535517</v>
      </c>
      <c r="F12" s="296">
        <v>0.75360965391136681</v>
      </c>
      <c r="G12" s="296">
        <v>0.45955360190513994</v>
      </c>
      <c r="H12" s="296">
        <v>0.37971642617984691</v>
      </c>
      <c r="I12" s="296">
        <v>0.51376613734610133</v>
      </c>
      <c r="J12" s="296">
        <v>0.88604311998012752</v>
      </c>
      <c r="K12" s="296">
        <v>1.3972129514742013</v>
      </c>
      <c r="L12" s="296">
        <v>1.8903448921602191</v>
      </c>
      <c r="M12" s="296">
        <v>1.2147294494494496</v>
      </c>
      <c r="N12" s="144">
        <v>2904.9324325184089</v>
      </c>
      <c r="O12" s="144">
        <v>1368.6925688888887</v>
      </c>
      <c r="P12" s="144">
        <v>487.93786857142851</v>
      </c>
      <c r="Q12" s="144">
        <v>278.98713400000003</v>
      </c>
      <c r="R12" s="144">
        <v>409.04556400000001</v>
      </c>
      <c r="S12" s="144">
        <v>363.28354999999999</v>
      </c>
      <c r="T12" s="144">
        <v>712.94797333333327</v>
      </c>
      <c r="U12" s="144">
        <v>897.4951093333334</v>
      </c>
      <c r="V12" s="144">
        <v>969.59794777777779</v>
      </c>
      <c r="W12" s="144">
        <v>784.41346666666675</v>
      </c>
      <c r="X12" s="144">
        <v>770.26565666666659</v>
      </c>
    </row>
    <row r="13" spans="1:24" x14ac:dyDescent="0.2">
      <c r="A13" s="288">
        <v>7</v>
      </c>
      <c r="B13" s="115" t="s">
        <v>9</v>
      </c>
      <c r="C13" s="296">
        <v>0.66656939335679466</v>
      </c>
      <c r="D13" s="296">
        <v>0.76127832745368496</v>
      </c>
      <c r="E13" s="296">
        <v>1.0811418376949544</v>
      </c>
      <c r="F13" s="296">
        <v>1.5591517672455497</v>
      </c>
      <c r="G13" s="296">
        <v>1.7374887286275178</v>
      </c>
      <c r="H13" s="296">
        <v>1.4898954041240007</v>
      </c>
      <c r="I13" s="296">
        <v>1.2493022197357331</v>
      </c>
      <c r="J13" s="296">
        <v>1.5514022864275501</v>
      </c>
      <c r="K13" s="296">
        <v>1.5271105706325554</v>
      </c>
      <c r="L13" s="296">
        <v>1.3460936672509516</v>
      </c>
      <c r="M13" s="296">
        <v>1.2620277531946327</v>
      </c>
      <c r="N13" s="144">
        <v>14.383231715945529</v>
      </c>
      <c r="O13" s="144">
        <v>56.90365654032</v>
      </c>
      <c r="P13" s="144">
        <v>119.17667036693589</v>
      </c>
      <c r="Q13" s="144">
        <v>186.86431790242295</v>
      </c>
      <c r="R13" s="144">
        <v>227.66351670198452</v>
      </c>
      <c r="S13" s="144">
        <v>638.40882260138721</v>
      </c>
      <c r="T13" s="144">
        <v>2090.1802837088098</v>
      </c>
      <c r="U13" s="144">
        <v>4045.7613590110086</v>
      </c>
      <c r="V13" s="144">
        <v>4378.9275439607572</v>
      </c>
      <c r="W13" s="144">
        <v>3004.2319175233638</v>
      </c>
      <c r="X13" s="144">
        <v>2539.106667225592</v>
      </c>
    </row>
    <row r="14" spans="1:24" x14ac:dyDescent="0.2">
      <c r="A14" s="288">
        <v>8</v>
      </c>
      <c r="B14" s="115" t="s">
        <v>10</v>
      </c>
      <c r="C14" s="296">
        <v>0.64477723811536458</v>
      </c>
      <c r="D14" s="296">
        <v>0.59631409925933698</v>
      </c>
      <c r="E14" s="296">
        <v>0.72368912792535034</v>
      </c>
      <c r="F14" s="296">
        <v>0.73897469375968283</v>
      </c>
      <c r="G14" s="296">
        <v>0.64247693511830406</v>
      </c>
      <c r="H14" s="296">
        <v>0.51228234469393763</v>
      </c>
      <c r="I14" s="296">
        <v>0.75689309167218477</v>
      </c>
      <c r="J14" s="296">
        <v>0.92264130001165934</v>
      </c>
      <c r="K14" s="296">
        <v>0.82380729769519068</v>
      </c>
      <c r="L14" s="296">
        <v>0.40726951914591797</v>
      </c>
      <c r="M14" s="296">
        <v>0.27228832784816887</v>
      </c>
      <c r="N14" s="144">
        <v>101.39963709337657</v>
      </c>
      <c r="O14" s="144">
        <v>85.369252117030399</v>
      </c>
      <c r="P14" s="144">
        <v>642.59456654853682</v>
      </c>
      <c r="Q14" s="144">
        <v>256.69429378347536</v>
      </c>
      <c r="R14" s="144">
        <v>316.218565029486</v>
      </c>
      <c r="S14" s="144">
        <v>318.78011181244312</v>
      </c>
      <c r="T14" s="144">
        <v>486.3658183319717</v>
      </c>
      <c r="U14" s="144">
        <v>772.93692658693715</v>
      </c>
      <c r="V14" s="144">
        <v>901.97292709437727</v>
      </c>
      <c r="W14" s="144">
        <v>592.59440809127432</v>
      </c>
      <c r="X14" s="144">
        <v>578.39271982490675</v>
      </c>
    </row>
    <row r="15" spans="1:24" x14ac:dyDescent="0.2">
      <c r="A15" s="288">
        <v>9</v>
      </c>
      <c r="B15" s="115" t="s">
        <v>30</v>
      </c>
      <c r="C15" s="296">
        <v>0</v>
      </c>
      <c r="D15" s="296">
        <v>0</v>
      </c>
      <c r="E15" s="296">
        <v>0</v>
      </c>
      <c r="F15" s="296">
        <v>0</v>
      </c>
      <c r="G15" s="296">
        <v>0</v>
      </c>
      <c r="H15" s="296">
        <v>0.93755890000000086</v>
      </c>
      <c r="I15" s="296">
        <v>2.4994708113333166</v>
      </c>
      <c r="J15" s="296">
        <v>2.1758714779156043</v>
      </c>
      <c r="K15" s="296">
        <v>2.2983415645668988</v>
      </c>
      <c r="L15" s="296">
        <v>1.2934534753968152</v>
      </c>
      <c r="M15" s="296">
        <v>3.7219075800000025</v>
      </c>
      <c r="N15" s="144">
        <v>9453.3269102571157</v>
      </c>
      <c r="O15" s="144">
        <v>14431.222911514256</v>
      </c>
      <c r="P15" s="144">
        <v>15654.258915449793</v>
      </c>
      <c r="Q15" s="144">
        <v>13758.118093250008</v>
      </c>
      <c r="R15" s="144">
        <v>10613.20029440004</v>
      </c>
      <c r="S15" s="144">
        <v>9789.6335981090706</v>
      </c>
      <c r="T15" s="144">
        <v>12588.714887090897</v>
      </c>
      <c r="U15" s="144">
        <v>16740.972016449934</v>
      </c>
      <c r="V15" s="144">
        <v>15337.85542852736</v>
      </c>
      <c r="W15" s="144">
        <v>13889.248711475009</v>
      </c>
      <c r="X15" s="144">
        <v>15747.096274746171</v>
      </c>
    </row>
    <row r="16" spans="1:24" x14ac:dyDescent="0.2">
      <c r="A16" s="288">
        <v>10</v>
      </c>
      <c r="B16" s="115" t="s">
        <v>358</v>
      </c>
      <c r="C16" s="296">
        <v>0</v>
      </c>
      <c r="D16" s="296">
        <v>0</v>
      </c>
      <c r="E16" s="296">
        <v>0</v>
      </c>
      <c r="F16" s="296">
        <v>0</v>
      </c>
      <c r="G16" s="296">
        <v>0</v>
      </c>
      <c r="H16" s="296">
        <v>0</v>
      </c>
      <c r="I16" s="296">
        <v>0</v>
      </c>
      <c r="J16" s="296">
        <v>0</v>
      </c>
      <c r="K16" s="296">
        <v>0</v>
      </c>
      <c r="L16" s="296">
        <v>0</v>
      </c>
      <c r="M16" s="296">
        <v>0</v>
      </c>
      <c r="N16" s="296">
        <v>0</v>
      </c>
      <c r="O16" s="296">
        <v>0</v>
      </c>
      <c r="P16" s="296">
        <v>0</v>
      </c>
      <c r="Q16" s="296">
        <v>0</v>
      </c>
      <c r="R16" s="296">
        <v>0</v>
      </c>
      <c r="S16" s="296">
        <v>0</v>
      </c>
      <c r="T16" s="296">
        <v>0</v>
      </c>
      <c r="U16" s="296">
        <v>0</v>
      </c>
      <c r="V16" s="296">
        <v>0</v>
      </c>
      <c r="W16" s="296">
        <v>0</v>
      </c>
      <c r="X16" s="144">
        <v>0</v>
      </c>
    </row>
    <row r="17" spans="1:24" x14ac:dyDescent="0.2">
      <c r="A17" s="288">
        <v>11</v>
      </c>
      <c r="B17" s="115" t="s">
        <v>11</v>
      </c>
      <c r="C17" s="296">
        <v>0.72344000497850558</v>
      </c>
      <c r="D17" s="296">
        <v>0.64059863925739635</v>
      </c>
      <c r="E17" s="296">
        <v>0.61714254082671671</v>
      </c>
      <c r="F17" s="296">
        <v>0.63896786857459309</v>
      </c>
      <c r="G17" s="296">
        <v>0.45631905519054516</v>
      </c>
      <c r="H17" s="296">
        <v>0.32891246325729917</v>
      </c>
      <c r="I17" s="296">
        <v>0.35384159338966975</v>
      </c>
      <c r="J17" s="296">
        <v>0.33850583518969257</v>
      </c>
      <c r="K17" s="296">
        <v>0.32689324238489387</v>
      </c>
      <c r="L17" s="296">
        <v>0.30081925009617261</v>
      </c>
      <c r="M17" s="296">
        <v>0.23162303243087112</v>
      </c>
      <c r="N17" s="144">
        <v>1086.3064673000029</v>
      </c>
      <c r="O17" s="144">
        <v>1535.2886995500096</v>
      </c>
      <c r="P17" s="144">
        <v>2776.5554637000246</v>
      </c>
      <c r="Q17" s="144">
        <v>2975.5949164500089</v>
      </c>
      <c r="R17" s="144">
        <v>2034.9942488333411</v>
      </c>
      <c r="S17" s="144">
        <v>1650.5768805142909</v>
      </c>
      <c r="T17" s="144">
        <v>1735.4406526727646</v>
      </c>
      <c r="U17" s="144">
        <v>1690.0059183555377</v>
      </c>
      <c r="V17" s="144">
        <v>2904.7959370142785</v>
      </c>
      <c r="W17" s="144">
        <v>2441.7920290124862</v>
      </c>
      <c r="X17" s="144">
        <v>2821.2017636443943</v>
      </c>
    </row>
    <row r="18" spans="1:24" x14ac:dyDescent="0.2">
      <c r="A18" s="288">
        <v>12</v>
      </c>
      <c r="B18" s="115" t="s">
        <v>12</v>
      </c>
      <c r="C18" s="296">
        <v>1.4076724641616456</v>
      </c>
      <c r="D18" s="296">
        <v>0.90189982815635683</v>
      </c>
      <c r="E18" s="296">
        <v>1.1242297487270951</v>
      </c>
      <c r="F18" s="296">
        <v>0.75855322436570072</v>
      </c>
      <c r="G18" s="296">
        <v>0.82588473427192888</v>
      </c>
      <c r="H18" s="296">
        <v>0.89804617567504419</v>
      </c>
      <c r="I18" s="296">
        <v>1.0511955158416451</v>
      </c>
      <c r="J18" s="296">
        <v>1.4423411978710756</v>
      </c>
      <c r="K18" s="296">
        <v>0.52328306673211911</v>
      </c>
      <c r="L18" s="296"/>
      <c r="M18" s="296"/>
      <c r="N18" s="144">
        <v>415.23997758571431</v>
      </c>
      <c r="O18" s="144">
        <v>135.25938980588236</v>
      </c>
      <c r="P18" s="144">
        <v>172.70824442448981</v>
      </c>
      <c r="Q18" s="144">
        <v>187.12667074929576</v>
      </c>
      <c r="R18" s="144">
        <v>167.53759400000007</v>
      </c>
      <c r="S18" s="144">
        <v>121.44964678571431</v>
      </c>
      <c r="T18" s="144">
        <v>76.243467735849066</v>
      </c>
      <c r="U18" s="144">
        <v>94.727070484684674</v>
      </c>
      <c r="V18" s="144">
        <v>55.868438349999998</v>
      </c>
      <c r="W18" s="144"/>
      <c r="X18" s="144"/>
    </row>
    <row r="19" spans="1:24" x14ac:dyDescent="0.2">
      <c r="A19" s="288">
        <v>13</v>
      </c>
      <c r="B19" s="115" t="s">
        <v>13</v>
      </c>
      <c r="C19" s="296">
        <v>0.25788399106338772</v>
      </c>
      <c r="D19" s="296">
        <v>0.35300932318738487</v>
      </c>
      <c r="E19" s="296">
        <v>0.60892144153831762</v>
      </c>
      <c r="F19" s="296">
        <v>0.74112146294535775</v>
      </c>
      <c r="G19" s="296">
        <v>0.74603614130846962</v>
      </c>
      <c r="H19" s="296">
        <v>0.87583290300250927</v>
      </c>
      <c r="I19" s="296">
        <v>0.94436200029459416</v>
      </c>
      <c r="J19" s="296">
        <v>0.86145702400708035</v>
      </c>
      <c r="K19" s="296">
        <v>0.66049530859995464</v>
      </c>
      <c r="L19" s="296">
        <v>0.36539945564931053</v>
      </c>
      <c r="M19" s="296">
        <v>0.21759109371781671</v>
      </c>
      <c r="N19" s="144">
        <v>412.46657252012812</v>
      </c>
      <c r="O19" s="144">
        <v>112.72212876935696</v>
      </c>
      <c r="P19" s="144">
        <v>294.77183117487829</v>
      </c>
      <c r="Q19" s="144">
        <v>296.1759134611213</v>
      </c>
      <c r="R19" s="144">
        <v>761.22731366206835</v>
      </c>
      <c r="S19" s="144">
        <v>607.50619714285722</v>
      </c>
      <c r="T19" s="144">
        <v>328.27220051282052</v>
      </c>
      <c r="U19" s="144">
        <v>367.56941666666671</v>
      </c>
      <c r="V19" s="144">
        <v>444.35687809523813</v>
      </c>
      <c r="W19" s="144">
        <v>437.652790952381</v>
      </c>
      <c r="X19" s="144">
        <v>326.37816464285709</v>
      </c>
    </row>
    <row r="20" spans="1:24" x14ac:dyDescent="0.2">
      <c r="A20" s="288">
        <v>14</v>
      </c>
      <c r="B20" s="115" t="s">
        <v>357</v>
      </c>
      <c r="C20" s="296">
        <v>0</v>
      </c>
      <c r="D20" s="296">
        <v>0</v>
      </c>
      <c r="E20" s="296">
        <v>0</v>
      </c>
      <c r="F20" s="296">
        <v>0</v>
      </c>
      <c r="G20" s="296">
        <v>0</v>
      </c>
      <c r="H20" s="296">
        <v>0</v>
      </c>
      <c r="I20" s="296">
        <v>0</v>
      </c>
      <c r="J20" s="296">
        <v>0</v>
      </c>
      <c r="K20" s="296">
        <v>0</v>
      </c>
      <c r="L20" s="296">
        <v>0</v>
      </c>
      <c r="M20" s="296">
        <v>0.17434152593984958</v>
      </c>
      <c r="N20" s="296">
        <v>0</v>
      </c>
      <c r="O20" s="296">
        <v>0</v>
      </c>
      <c r="P20" s="296">
        <v>0</v>
      </c>
      <c r="Q20" s="296">
        <v>0</v>
      </c>
      <c r="R20" s="296">
        <v>0</v>
      </c>
      <c r="S20" s="296">
        <v>0</v>
      </c>
      <c r="T20" s="296">
        <v>0</v>
      </c>
      <c r="U20" s="296">
        <v>0</v>
      </c>
      <c r="V20" s="296">
        <v>0</v>
      </c>
      <c r="W20" s="296">
        <v>0</v>
      </c>
      <c r="X20" s="144">
        <v>7.0319535580645196</v>
      </c>
    </row>
    <row r="21" spans="1:24" x14ac:dyDescent="0.2">
      <c r="A21" s="288">
        <v>15</v>
      </c>
      <c r="B21" s="115" t="s">
        <v>14</v>
      </c>
      <c r="C21" s="296">
        <v>0.902848010108382</v>
      </c>
      <c r="D21" s="296">
        <v>0.66697593798434873</v>
      </c>
      <c r="E21" s="296">
        <v>0.95067277322950827</v>
      </c>
      <c r="F21" s="296">
        <v>1.1922114830591954</v>
      </c>
      <c r="G21" s="296">
        <v>1.2507502583973369</v>
      </c>
      <c r="H21" s="296">
        <v>1.1319855783045154</v>
      </c>
      <c r="I21" s="296">
        <v>1.1271391800149313</v>
      </c>
      <c r="J21" s="296">
        <v>1.3527894423461457</v>
      </c>
      <c r="K21" s="296">
        <v>1.324620917920138</v>
      </c>
      <c r="L21" s="296">
        <v>1.14601816900805</v>
      </c>
      <c r="M21" s="296">
        <v>1.1990313502740424</v>
      </c>
      <c r="N21" s="144">
        <v>24112.909514073734</v>
      </c>
      <c r="O21" s="144">
        <v>22514.995109904361</v>
      </c>
      <c r="P21" s="144">
        <v>7965.0784300289861</v>
      </c>
      <c r="Q21" s="144">
        <v>5599.3916134518513</v>
      </c>
      <c r="R21" s="144">
        <v>4290.4497151125679</v>
      </c>
      <c r="S21" s="144">
        <v>3354.0027720999992</v>
      </c>
      <c r="T21" s="144">
        <v>3798.3117923034215</v>
      </c>
      <c r="U21" s="144">
        <v>4046.6502121893618</v>
      </c>
      <c r="V21" s="144">
        <v>4357.7705017111748</v>
      </c>
      <c r="W21" s="144">
        <v>3840.9422220287092</v>
      </c>
      <c r="X21" s="144">
        <v>3898.4139588470334</v>
      </c>
    </row>
    <row r="22" spans="1:24" x14ac:dyDescent="0.2">
      <c r="A22" s="288">
        <v>16</v>
      </c>
      <c r="B22" s="115" t="s">
        <v>15</v>
      </c>
      <c r="C22" s="296">
        <v>0.80492157626538074</v>
      </c>
      <c r="D22" s="296">
        <v>1.0441241582426948</v>
      </c>
      <c r="E22" s="296">
        <v>1.2753196936265703</v>
      </c>
      <c r="F22" s="296">
        <v>1.4933567813902395</v>
      </c>
      <c r="G22" s="296">
        <v>1.1007156682757231</v>
      </c>
      <c r="H22" s="296">
        <v>0.9541147398588089</v>
      </c>
      <c r="I22" s="296">
        <v>1.0237295278003824</v>
      </c>
      <c r="J22" s="296">
        <v>1.327667658169549</v>
      </c>
      <c r="K22" s="296">
        <v>1.4087253176659784</v>
      </c>
      <c r="L22" s="296">
        <v>1.4469483006476678</v>
      </c>
      <c r="M22" s="296">
        <v>1.4190442933041609</v>
      </c>
      <c r="N22" s="144">
        <v>27190.852405209094</v>
      </c>
      <c r="O22" s="144">
        <v>29872.954847163634</v>
      </c>
      <c r="P22" s="144">
        <v>24909.341574235292</v>
      </c>
      <c r="Q22" s="144">
        <v>14331.063430769231</v>
      </c>
      <c r="R22" s="144">
        <v>8628.2289834862404</v>
      </c>
      <c r="S22" s="144">
        <v>5243.4834012499987</v>
      </c>
      <c r="T22" s="144">
        <v>3733.8377743119268</v>
      </c>
      <c r="U22" s="144">
        <v>3461.1310853932587</v>
      </c>
      <c r="V22" s="144">
        <v>2162.8171734775146</v>
      </c>
      <c r="W22" s="144">
        <v>1369.4875801843316</v>
      </c>
      <c r="X22" s="144">
        <v>1206.9482126353792</v>
      </c>
    </row>
    <row r="23" spans="1:24" x14ac:dyDescent="0.2">
      <c r="A23" s="288">
        <v>17</v>
      </c>
      <c r="B23" s="115" t="s">
        <v>16</v>
      </c>
      <c r="C23" s="296">
        <v>0.2596915292667899</v>
      </c>
      <c r="D23" s="296">
        <v>0.35111021639923951</v>
      </c>
      <c r="E23" s="296">
        <v>0.47665883971737089</v>
      </c>
      <c r="F23" s="296">
        <v>0.52464321225383781</v>
      </c>
      <c r="G23" s="296">
        <v>0.87444717144404105</v>
      </c>
      <c r="H23" s="296">
        <v>0.99744713411970298</v>
      </c>
      <c r="I23" s="296">
        <v>1.0377165020206642</v>
      </c>
      <c r="J23" s="296">
        <v>2.270616192720595</v>
      </c>
      <c r="K23" s="296">
        <v>2.7012096771397043</v>
      </c>
      <c r="L23" s="296">
        <v>3.4615703464839047</v>
      </c>
      <c r="M23" s="296">
        <v>1.4459627850144605</v>
      </c>
      <c r="N23" s="144">
        <v>1488.6390325</v>
      </c>
      <c r="O23" s="144">
        <v>1979.2870909086928</v>
      </c>
      <c r="P23" s="144">
        <v>3880.3318759999156</v>
      </c>
      <c r="Q23" s="144">
        <v>5207.2488199987283</v>
      </c>
      <c r="R23" s="144">
        <v>3959.7644345451085</v>
      </c>
      <c r="S23" s="144">
        <v>3520.2987721739137</v>
      </c>
      <c r="T23" s="144">
        <v>3727.4253213037937</v>
      </c>
      <c r="U23" s="144">
        <v>4157.4142196715184</v>
      </c>
      <c r="V23" s="144">
        <v>6820.2021815423295</v>
      </c>
      <c r="W23" s="144">
        <v>6369.5877381969785</v>
      </c>
      <c r="X23" s="144">
        <v>4010.9623176871196</v>
      </c>
    </row>
    <row r="24" spans="1:24" x14ac:dyDescent="0.2">
      <c r="A24" s="288">
        <v>18</v>
      </c>
      <c r="B24" s="115" t="s">
        <v>17</v>
      </c>
      <c r="C24" s="296">
        <v>0.55741631603814179</v>
      </c>
      <c r="D24" s="296">
        <v>0.54367487574990647</v>
      </c>
      <c r="E24" s="296">
        <v>0.57168879157742902</v>
      </c>
      <c r="F24" s="296">
        <v>0.66577347455032698</v>
      </c>
      <c r="G24" s="296">
        <v>0.65672332607350781</v>
      </c>
      <c r="H24" s="296">
        <v>0.63065658602913444</v>
      </c>
      <c r="I24" s="296">
        <v>0.42631132852643683</v>
      </c>
      <c r="J24" s="296">
        <v>0.46062297796690999</v>
      </c>
      <c r="K24" s="296">
        <v>0.83024354378552867</v>
      </c>
      <c r="L24" s="296">
        <v>0.79145764820192244</v>
      </c>
      <c r="M24" s="296">
        <v>0.69567820992781981</v>
      </c>
      <c r="N24" s="144">
        <v>1176.378486969697</v>
      </c>
      <c r="O24" s="144">
        <v>2113.2171010526313</v>
      </c>
      <c r="P24" s="144">
        <v>2863.7126171929826</v>
      </c>
      <c r="Q24" s="144">
        <v>2856.5782288095238</v>
      </c>
      <c r="R24" s="144">
        <v>2050.7545649122808</v>
      </c>
      <c r="S24" s="144">
        <v>1740.9738735947019</v>
      </c>
      <c r="T24" s="144">
        <v>2228.1337132962958</v>
      </c>
      <c r="U24" s="144">
        <v>3147.5979506151307</v>
      </c>
      <c r="V24" s="144">
        <v>4511.4730058976074</v>
      </c>
      <c r="W24" s="144">
        <v>3275.7676005648655</v>
      </c>
      <c r="X24" s="144">
        <v>2008.5358784202024</v>
      </c>
    </row>
    <row r="25" spans="1:24" x14ac:dyDescent="0.2">
      <c r="A25" s="288">
        <v>19</v>
      </c>
      <c r="B25" s="115" t="s">
        <v>18</v>
      </c>
      <c r="C25" s="296">
        <v>1.5555179825997096</v>
      </c>
      <c r="D25" s="296">
        <v>1.6349260881787766</v>
      </c>
      <c r="E25" s="296">
        <v>1.6539138644783473</v>
      </c>
      <c r="F25" s="296">
        <v>1.6701915482305834</v>
      </c>
      <c r="G25" s="296">
        <v>2.0220980365750942</v>
      </c>
      <c r="H25" s="296">
        <v>2.3321958105687068</v>
      </c>
      <c r="I25" s="296">
        <v>3.1032091626328993</v>
      </c>
      <c r="J25" s="296">
        <v>2.8038627279168735</v>
      </c>
      <c r="K25" s="296">
        <v>2.5693612337598086</v>
      </c>
      <c r="L25" s="296">
        <v>1.8353107811350318</v>
      </c>
      <c r="M25" s="296">
        <v>1.5854169626920194</v>
      </c>
      <c r="N25" s="144">
        <v>6354.5395134608698</v>
      </c>
      <c r="O25" s="144">
        <v>7638.3859622238078</v>
      </c>
      <c r="P25" s="144">
        <v>10243.344603904763</v>
      </c>
      <c r="Q25" s="144">
        <v>11464.924040326085</v>
      </c>
      <c r="R25" s="144">
        <v>12678.601973395918</v>
      </c>
      <c r="S25" s="144">
        <v>11183.838318482763</v>
      </c>
      <c r="T25" s="144">
        <v>13122.406518925791</v>
      </c>
      <c r="U25" s="144">
        <v>15902.847919968501</v>
      </c>
      <c r="V25" s="144">
        <v>15288.886171515625</v>
      </c>
      <c r="W25" s="144">
        <v>9316.0392759490533</v>
      </c>
      <c r="X25" s="144">
        <v>6514.8369166105695</v>
      </c>
    </row>
    <row r="26" spans="1:24" x14ac:dyDescent="0.2">
      <c r="A26" s="288">
        <v>20</v>
      </c>
      <c r="B26" s="115" t="s">
        <v>19</v>
      </c>
      <c r="C26" s="296">
        <v>0.60763602826850149</v>
      </c>
      <c r="D26" s="296">
        <v>0.74236172381028465</v>
      </c>
      <c r="E26" s="296">
        <v>0.90771669674791033</v>
      </c>
      <c r="F26" s="296">
        <v>1.0718361076220475</v>
      </c>
      <c r="G26" s="296">
        <v>0.92422632551123995</v>
      </c>
      <c r="H26" s="296">
        <v>0.74498925814313099</v>
      </c>
      <c r="I26" s="296">
        <v>0.69554173159241051</v>
      </c>
      <c r="J26" s="296">
        <v>0.7699723600405235</v>
      </c>
      <c r="K26" s="296">
        <v>0.97927246671280421</v>
      </c>
      <c r="L26" s="296">
        <v>0.87195049935396829</v>
      </c>
      <c r="M26" s="296">
        <v>0.91270192231648395</v>
      </c>
      <c r="N26" s="144">
        <v>3850.7196925210005</v>
      </c>
      <c r="O26" s="144">
        <v>4299.5126280079976</v>
      </c>
      <c r="P26" s="144">
        <v>5009.8771270076932</v>
      </c>
      <c r="Q26" s="144">
        <v>6485.1327272480012</v>
      </c>
      <c r="R26" s="144">
        <v>6761.4072614814822</v>
      </c>
      <c r="S26" s="144">
        <v>5373.9583846125042</v>
      </c>
      <c r="T26" s="144">
        <v>4937.0446212487914</v>
      </c>
      <c r="U26" s="144">
        <v>4808.2497170377274</v>
      </c>
      <c r="V26" s="144">
        <v>4011.2948474026321</v>
      </c>
      <c r="W26" s="144">
        <v>4606.7171087176466</v>
      </c>
      <c r="X26" s="144">
        <v>4984.1740421116265</v>
      </c>
    </row>
    <row r="27" spans="1:24" x14ac:dyDescent="0.2">
      <c r="A27" s="288">
        <v>21</v>
      </c>
      <c r="B27" s="118" t="s">
        <v>20</v>
      </c>
      <c r="C27" s="296">
        <v>1.3563612662090005</v>
      </c>
      <c r="D27" s="296">
        <v>1.6222549752564499</v>
      </c>
      <c r="E27" s="296">
        <v>1.4139879704737186</v>
      </c>
      <c r="F27" s="296">
        <v>1.1569010390557728</v>
      </c>
      <c r="G27" s="296">
        <v>0.77063497033273098</v>
      </c>
      <c r="H27" s="296">
        <v>0.43533231107057196</v>
      </c>
      <c r="I27" s="296">
        <v>0.31923473224910753</v>
      </c>
      <c r="J27" s="296">
        <v>0.34891736915967825</v>
      </c>
      <c r="K27" s="296">
        <v>0.46899558928451235</v>
      </c>
      <c r="L27" s="296">
        <v>0.54427247158866621</v>
      </c>
      <c r="M27" s="296">
        <v>0.62499984158036426</v>
      </c>
      <c r="N27" s="144">
        <v>330.08623933333331</v>
      </c>
      <c r="O27" s="144">
        <v>350.20201893333331</v>
      </c>
      <c r="P27" s="144">
        <v>463.36923476000004</v>
      </c>
      <c r="Q27" s="144">
        <v>915.20935319</v>
      </c>
      <c r="R27" s="144">
        <v>458.94751374999998</v>
      </c>
      <c r="S27" s="144">
        <v>71.338172941176467</v>
      </c>
      <c r="T27" s="144">
        <v>37.543971249999998</v>
      </c>
      <c r="U27" s="144">
        <v>93.471062500000002</v>
      </c>
      <c r="V27" s="144">
        <v>175.78433470588234</v>
      </c>
      <c r="W27" s="144">
        <v>30.801059615384617</v>
      </c>
      <c r="X27" s="144">
        <v>49.917724158333336</v>
      </c>
    </row>
    <row r="28" spans="1:24" x14ac:dyDescent="0.2">
      <c r="A28" s="288">
        <v>22</v>
      </c>
      <c r="B28" s="115" t="s">
        <v>21</v>
      </c>
      <c r="C28" s="296">
        <v>0.71279009510520253</v>
      </c>
      <c r="D28" s="296">
        <v>0.49900792162835722</v>
      </c>
      <c r="E28" s="296">
        <v>0.32686474364538676</v>
      </c>
      <c r="F28" s="296">
        <v>0.43452809502275952</v>
      </c>
      <c r="G28" s="296">
        <v>0.83575677713925189</v>
      </c>
      <c r="H28" s="296">
        <v>0.86490902331319386</v>
      </c>
      <c r="I28" s="296">
        <v>0.67427644114372276</v>
      </c>
      <c r="J28" s="296">
        <v>0.90194686147270653</v>
      </c>
      <c r="K28" s="296">
        <v>0.68922090032954531</v>
      </c>
      <c r="L28" s="296">
        <v>0.57076854107738839</v>
      </c>
      <c r="M28" s="296">
        <v>0.61362338291103458</v>
      </c>
      <c r="N28" s="144">
        <v>281.99210851249973</v>
      </c>
      <c r="O28" s="144">
        <v>308.11777168333327</v>
      </c>
      <c r="P28" s="144">
        <v>193.53645516666666</v>
      </c>
      <c r="Q28" s="144">
        <v>128.88158513207546</v>
      </c>
      <c r="R28" s="144">
        <v>264.15851348985512</v>
      </c>
      <c r="S28" s="144">
        <v>212.88140003030304</v>
      </c>
      <c r="T28" s="144">
        <v>204.37786884444441</v>
      </c>
      <c r="U28" s="144">
        <v>227.15786669999997</v>
      </c>
      <c r="V28" s="144">
        <v>208.16353331764705</v>
      </c>
      <c r="W28" s="144">
        <v>322.70549830270255</v>
      </c>
      <c r="X28" s="144">
        <v>378.85634426578957</v>
      </c>
    </row>
    <row r="29" spans="1:24" x14ac:dyDescent="0.2">
      <c r="A29" s="288">
        <v>23</v>
      </c>
      <c r="B29" s="115" t="s">
        <v>22</v>
      </c>
      <c r="C29" s="296">
        <v>0.34189055485724545</v>
      </c>
      <c r="D29" s="296">
        <v>0.37671437541048208</v>
      </c>
      <c r="E29" s="296">
        <v>0.40823929887106358</v>
      </c>
      <c r="F29" s="296">
        <v>4.0824055167129593E-2</v>
      </c>
      <c r="G29" s="296">
        <v>6.9659161527797688E-4</v>
      </c>
      <c r="H29" s="296">
        <v>1.1225128377405577E-4</v>
      </c>
      <c r="I29" s="296">
        <v>0</v>
      </c>
      <c r="J29" s="296">
        <v>0</v>
      </c>
      <c r="K29" s="296">
        <v>0</v>
      </c>
      <c r="L29" s="296">
        <v>0</v>
      </c>
      <c r="M29" s="296">
        <v>0</v>
      </c>
      <c r="N29" s="144">
        <v>4.5730000000000004</v>
      </c>
      <c r="O29" s="144">
        <v>0.7357422222222223</v>
      </c>
      <c r="P29" s="144">
        <v>0.43004500000000001</v>
      </c>
      <c r="Q29" s="144">
        <v>7.79E-3</v>
      </c>
      <c r="R29" s="296">
        <v>0</v>
      </c>
      <c r="S29" s="296">
        <v>0</v>
      </c>
      <c r="T29" s="296">
        <v>0</v>
      </c>
      <c r="U29" s="296">
        <v>0</v>
      </c>
      <c r="V29" s="296">
        <v>0</v>
      </c>
      <c r="W29" s="296">
        <v>0</v>
      </c>
      <c r="X29" s="144">
        <v>0</v>
      </c>
    </row>
    <row r="30" spans="1:24" x14ac:dyDescent="0.2">
      <c r="A30" s="288">
        <v>24</v>
      </c>
      <c r="B30" s="115" t="s">
        <v>23</v>
      </c>
      <c r="C30" s="296">
        <v>1.7710392787702096</v>
      </c>
      <c r="D30" s="296">
        <v>2.1338199609190189</v>
      </c>
      <c r="E30" s="296">
        <v>2.3473446822645685</v>
      </c>
      <c r="F30" s="296">
        <v>2.5781213257140907</v>
      </c>
      <c r="G30" s="296">
        <v>2.4644915825931326</v>
      </c>
      <c r="H30" s="296">
        <v>2.5502062410581448</v>
      </c>
      <c r="I30" s="296">
        <v>2.3023318571569287</v>
      </c>
      <c r="J30" s="296">
        <v>2.7805914623261492</v>
      </c>
      <c r="K30" s="296">
        <v>2.3395073801627646</v>
      </c>
      <c r="L30" s="296">
        <v>2.2511956729683273</v>
      </c>
      <c r="M30" s="296">
        <v>2.9458332047323288</v>
      </c>
      <c r="N30" s="144">
        <v>2206.0854033988894</v>
      </c>
      <c r="O30" s="144">
        <v>4291.5823158450694</v>
      </c>
      <c r="P30" s="144">
        <v>6143.5289827547422</v>
      </c>
      <c r="Q30" s="144">
        <v>7368.7894140567741</v>
      </c>
      <c r="R30" s="144">
        <v>7838.2117395719288</v>
      </c>
      <c r="S30" s="144">
        <v>9093.4112851812879</v>
      </c>
      <c r="T30" s="144">
        <v>11437.283686665771</v>
      </c>
      <c r="U30" s="144">
        <v>16619.644255139247</v>
      </c>
      <c r="V30" s="144">
        <v>19008.987109458441</v>
      </c>
      <c r="W30" s="144">
        <v>17489.811835978078</v>
      </c>
      <c r="X30" s="144">
        <v>22154.079846046679</v>
      </c>
    </row>
    <row r="31" spans="1:24" x14ac:dyDescent="0.2">
      <c r="A31" s="288">
        <v>25</v>
      </c>
      <c r="B31" s="115" t="s">
        <v>24</v>
      </c>
      <c r="C31" s="296">
        <v>1.3292158803341763</v>
      </c>
      <c r="D31" s="296">
        <v>1.028099587322675</v>
      </c>
      <c r="E31" s="296">
        <v>1.2440382561254193</v>
      </c>
      <c r="F31" s="296">
        <v>1.2198038910282036</v>
      </c>
      <c r="G31" s="296">
        <v>0.97342867467888228</v>
      </c>
      <c r="H31" s="296">
        <v>0.76022058713305496</v>
      </c>
      <c r="I31" s="296">
        <v>0.83455829795620518</v>
      </c>
      <c r="J31" s="296">
        <v>0.88080256165434589</v>
      </c>
      <c r="K31" s="296">
        <v>1.0023348109708436</v>
      </c>
      <c r="L31" s="296">
        <v>0.97196856366966355</v>
      </c>
      <c r="M31" s="296">
        <v>0.96419262951875828</v>
      </c>
      <c r="N31" s="144">
        <v>1532.36935693333</v>
      </c>
      <c r="O31" s="144">
        <v>2336.2040919428628</v>
      </c>
      <c r="P31" s="144">
        <v>3698.0453265818292</v>
      </c>
      <c r="Q31" s="144">
        <v>3672.2150767999979</v>
      </c>
      <c r="R31" s="144">
        <v>3371.5873556255251</v>
      </c>
      <c r="S31" s="144">
        <v>3713.1489741695295</v>
      </c>
      <c r="T31" s="144">
        <v>3915.2782744926544</v>
      </c>
      <c r="U31" s="144">
        <v>3761.8952479004033</v>
      </c>
      <c r="V31" s="144">
        <v>1962.2899553142859</v>
      </c>
      <c r="W31" s="144">
        <v>1020.9653891777771</v>
      </c>
      <c r="X31" s="144">
        <v>1407.5927310593268</v>
      </c>
    </row>
    <row r="32" spans="1:24" x14ac:dyDescent="0.2">
      <c r="A32" s="288">
        <v>26</v>
      </c>
      <c r="B32" s="115" t="s">
        <v>25</v>
      </c>
      <c r="C32" s="296">
        <v>0.36110909977515854</v>
      </c>
      <c r="D32" s="296">
        <v>0.27361088148014884</v>
      </c>
      <c r="E32" s="296">
        <v>0.15334146705261373</v>
      </c>
      <c r="F32" s="296">
        <v>4.5013117888816796E-2</v>
      </c>
      <c r="G32" s="296">
        <v>3.6293616677874924E-2</v>
      </c>
      <c r="H32" s="296">
        <v>5.5496654881697E-4</v>
      </c>
      <c r="I32" s="296">
        <v>-1.11528888888889E-2</v>
      </c>
      <c r="J32" s="296">
        <v>9.5331415094339622E-2</v>
      </c>
      <c r="K32" s="296">
        <v>0.6339113994910941</v>
      </c>
      <c r="L32" s="296">
        <v>0.66021903571428497</v>
      </c>
      <c r="M32" s="296">
        <v>0.60462110087912158</v>
      </c>
      <c r="N32" s="144">
        <v>5849.417310714276</v>
      </c>
      <c r="O32" s="144">
        <v>5795.7260256428626</v>
      </c>
      <c r="P32" s="144">
        <v>8940.1755674999931</v>
      </c>
      <c r="Q32" s="144">
        <v>8854.2957726144177</v>
      </c>
      <c r="R32" s="144">
        <v>8551.966372400082</v>
      </c>
      <c r="S32" s="144">
        <v>9784.8584852307995</v>
      </c>
      <c r="T32" s="144">
        <v>17281.305661200004</v>
      </c>
      <c r="U32" s="144">
        <v>28600.701940999999</v>
      </c>
      <c r="V32" s="144">
        <v>14413.382101400002</v>
      </c>
      <c r="W32" s="144">
        <v>12839.990006238309</v>
      </c>
      <c r="X32" s="144">
        <v>7746.385322076062</v>
      </c>
    </row>
    <row r="33" spans="1:24" x14ac:dyDescent="0.2">
      <c r="A33" s="288">
        <v>27</v>
      </c>
      <c r="B33" s="115" t="s">
        <v>26</v>
      </c>
      <c r="C33" s="296">
        <v>0.45644811611127406</v>
      </c>
      <c r="D33" s="296">
        <v>0.78390917928528669</v>
      </c>
      <c r="E33" s="296">
        <v>1.3221952040043574</v>
      </c>
      <c r="F33" s="296">
        <v>1.7506612256251544</v>
      </c>
      <c r="G33" s="296">
        <v>2.4078537000283524</v>
      </c>
      <c r="H33" s="296">
        <v>2.7340111805447469</v>
      </c>
      <c r="I33" s="296">
        <v>2.4924872098483268</v>
      </c>
      <c r="J33" s="296">
        <v>2.3767583282606224</v>
      </c>
      <c r="K33" s="296">
        <v>2.6610342267588831</v>
      </c>
      <c r="L33" s="296">
        <v>2.1682563148449745</v>
      </c>
      <c r="M33" s="296">
        <v>1.7433575292390724</v>
      </c>
      <c r="N33" s="144">
        <v>2217.8827999999999</v>
      </c>
      <c r="O33" s="144">
        <v>11231.997833120004</v>
      </c>
      <c r="P33" s="144">
        <v>15187.318917261999</v>
      </c>
      <c r="Q33" s="144">
        <v>11769.571261500001</v>
      </c>
      <c r="R33" s="144">
        <v>17877.755953150019</v>
      </c>
      <c r="S33" s="144">
        <v>21036.271286788888</v>
      </c>
      <c r="T33" s="144">
        <v>22583.077957872723</v>
      </c>
      <c r="U33" s="144">
        <v>21414.199171696295</v>
      </c>
      <c r="V33" s="144">
        <v>15414.999913428002</v>
      </c>
      <c r="W33" s="144">
        <v>7360.4582309759899</v>
      </c>
      <c r="X33" s="144">
        <v>6124.8476900477617</v>
      </c>
    </row>
    <row r="34" spans="1:24" s="93" customFormat="1" x14ac:dyDescent="0.2">
      <c r="A34" s="278"/>
      <c r="B34" s="279" t="s">
        <v>43</v>
      </c>
      <c r="C34" s="106">
        <v>0.84982211568186972</v>
      </c>
      <c r="D34" s="106">
        <v>0.87431080811119188</v>
      </c>
      <c r="E34" s="106">
        <v>1.0093700819814668</v>
      </c>
      <c r="F34" s="106">
        <v>1.1896622682058278</v>
      </c>
      <c r="G34" s="106">
        <v>1.2245422142382232</v>
      </c>
      <c r="H34" s="106">
        <v>1.1863179287765924</v>
      </c>
      <c r="I34" s="106">
        <v>1.2152802954959145</v>
      </c>
      <c r="J34" s="106">
        <v>1.4506579681592042</v>
      </c>
      <c r="K34" s="106">
        <v>1.55</v>
      </c>
      <c r="L34" s="106">
        <v>1.4110339413141144</v>
      </c>
      <c r="M34" s="106">
        <v>1.4491450458991406</v>
      </c>
      <c r="N34" s="298">
        <v>2541.1943614196025</v>
      </c>
      <c r="O34" s="298">
        <v>4237.1371682568379</v>
      </c>
      <c r="P34" s="298">
        <v>5028.6783611008223</v>
      </c>
      <c r="Q34" s="298">
        <v>4676.6139076540449</v>
      </c>
      <c r="R34" s="298">
        <v>4206.7816913751021</v>
      </c>
      <c r="S34" s="298">
        <v>3925.3164521824383</v>
      </c>
      <c r="T34" s="298">
        <v>4497.3172378888585</v>
      </c>
      <c r="U34" s="298">
        <v>5355.6613838288922</v>
      </c>
      <c r="V34" s="106">
        <v>5575.38</v>
      </c>
      <c r="W34" s="106">
        <v>4614.2064867435165</v>
      </c>
      <c r="X34" s="298">
        <v>3984.9196191799219</v>
      </c>
    </row>
    <row r="35" spans="1:24" s="93" customFormat="1" x14ac:dyDescent="0.2">
      <c r="A35" s="278"/>
      <c r="B35" s="279" t="s">
        <v>44</v>
      </c>
      <c r="C35" s="106">
        <v>1.8587437189513714</v>
      </c>
      <c r="D35" s="106">
        <v>1.949650202035319</v>
      </c>
      <c r="E35" s="106">
        <v>2.6048337285024807</v>
      </c>
      <c r="F35" s="106">
        <v>2.9123523460346816</v>
      </c>
      <c r="G35" s="106">
        <v>2.8438736008107757</v>
      </c>
      <c r="H35" s="106">
        <v>2.7303430456812015</v>
      </c>
      <c r="I35" s="106">
        <v>2.7995737052157654</v>
      </c>
      <c r="J35" s="106">
        <v>2.8124798994592051</v>
      </c>
      <c r="K35" s="106">
        <v>2.9</v>
      </c>
      <c r="L35" s="106">
        <v>2.6255819371971016</v>
      </c>
      <c r="M35" s="106">
        <v>2.6346752584977389</v>
      </c>
      <c r="N35" s="298">
        <v>2070.9648654690118</v>
      </c>
      <c r="O35" s="298">
        <v>3199.4540334200215</v>
      </c>
      <c r="P35" s="298">
        <v>4067.9525853787668</v>
      </c>
      <c r="Q35" s="298">
        <v>4019.6532996207698</v>
      </c>
      <c r="R35" s="298">
        <v>3647.9095468774622</v>
      </c>
      <c r="S35" s="298">
        <v>3437.2749479650856</v>
      </c>
      <c r="T35" s="298">
        <v>3957.78004152939</v>
      </c>
      <c r="U35" s="298">
        <v>4684.2219289896329</v>
      </c>
      <c r="V35" s="106">
        <v>4961.33</v>
      </c>
      <c r="W35" s="106">
        <v>4137.0469832554163</v>
      </c>
      <c r="X35" s="298">
        <v>3686.4662984200713</v>
      </c>
    </row>
    <row r="36" spans="1:24" x14ac:dyDescent="0.2">
      <c r="A36" s="542" t="s">
        <v>294</v>
      </c>
      <c r="B36" s="542"/>
      <c r="C36" s="542"/>
      <c r="D36" s="542"/>
      <c r="E36" s="542"/>
      <c r="F36" s="542"/>
      <c r="G36" s="542"/>
      <c r="H36" s="542"/>
      <c r="I36" s="542"/>
      <c r="J36" s="542"/>
      <c r="K36" s="542"/>
      <c r="L36" s="542"/>
      <c r="M36" s="542"/>
      <c r="N36" s="542"/>
      <c r="O36" s="542"/>
      <c r="P36" s="542"/>
      <c r="Q36" s="542"/>
      <c r="R36" s="542"/>
      <c r="S36" s="542"/>
      <c r="T36" s="542"/>
      <c r="U36" s="542"/>
      <c r="V36" s="542"/>
      <c r="W36" s="542"/>
    </row>
    <row r="37" spans="1:24" ht="30.75" customHeight="1" x14ac:dyDescent="0.2">
      <c r="A37" s="540" t="s">
        <v>293</v>
      </c>
      <c r="B37" s="541"/>
      <c r="C37" s="541"/>
      <c r="D37" s="541"/>
      <c r="E37" s="541"/>
      <c r="F37" s="541"/>
      <c r="G37" s="541"/>
      <c r="H37" s="541"/>
      <c r="I37" s="541"/>
      <c r="J37" s="541"/>
      <c r="K37" s="541"/>
      <c r="L37" s="541"/>
      <c r="M37" s="541"/>
      <c r="N37" s="541"/>
      <c r="O37" s="541"/>
      <c r="P37" s="541"/>
      <c r="Q37" s="541"/>
      <c r="R37" s="541"/>
      <c r="S37" s="541"/>
      <c r="T37" s="541"/>
      <c r="U37" s="541"/>
      <c r="V37" s="541"/>
      <c r="W37" s="541"/>
    </row>
    <row r="38" spans="1:24" x14ac:dyDescent="0.2">
      <c r="A38" s="521" t="s">
        <v>395</v>
      </c>
      <c r="B38" s="521"/>
      <c r="C38" s="521"/>
      <c r="D38" s="521"/>
      <c r="E38" s="521"/>
      <c r="F38" s="521"/>
      <c r="G38" s="521"/>
      <c r="H38" s="521"/>
      <c r="I38" s="521"/>
      <c r="J38" s="521"/>
      <c r="K38" s="521"/>
      <c r="L38" s="521"/>
      <c r="M38" s="432"/>
    </row>
  </sheetData>
  <mergeCells count="9">
    <mergeCell ref="A38:L38"/>
    <mergeCell ref="A37:W37"/>
    <mergeCell ref="A36:W36"/>
    <mergeCell ref="A1:U1"/>
    <mergeCell ref="A3:A4"/>
    <mergeCell ref="B3:B4"/>
    <mergeCell ref="A2:W2"/>
    <mergeCell ref="C3:M3"/>
    <mergeCell ref="N3:X3"/>
  </mergeCells>
  <conditionalFormatting sqref="K10:L10">
    <cfRule type="cellIs" priority="4" operator="lessThanOrEqual">
      <formula>0</formula>
    </cfRule>
  </conditionalFormatting>
  <conditionalFormatting sqref="C5:W5 C6:L35 N6:W35">
    <cfRule type="cellIs" priority="3" operator="lessThan">
      <formula>0</formula>
    </cfRule>
  </conditionalFormatting>
  <conditionalFormatting sqref="M10">
    <cfRule type="cellIs" priority="2" operator="lessThanOrEqual">
      <formula>0</formula>
    </cfRule>
  </conditionalFormatting>
  <conditionalFormatting sqref="M6:M35">
    <cfRule type="cellIs" priority="1" operator="lessThan">
      <formula>0</formula>
    </cfRule>
  </conditionalFormatting>
  <printOptions horizontalCentered="1" verticalCentered="1"/>
  <pageMargins left="0.27" right="0.36" top="0.75" bottom="0.75" header="0.3" footer="0.3"/>
  <pageSetup paperSize="9" scale="79" orientation="landscape" r:id="rId1"/>
  <colBreaks count="1" manualBreakCount="1">
    <brk id="15"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B050"/>
    <pageSetUpPr fitToPage="1"/>
  </sheetPr>
  <dimension ref="A1:Y38"/>
  <sheetViews>
    <sheetView workbookViewId="0">
      <pane xSplit="2" ySplit="4" topLeftCell="C5" activePane="bottomRight" state="frozen"/>
      <selection pane="topRight" activeCell="C1" sqref="C1"/>
      <selection pane="bottomLeft" activeCell="A5" sqref="A5"/>
      <selection pane="bottomRight" activeCell="M35" sqref="M35"/>
    </sheetView>
  </sheetViews>
  <sheetFormatPr defaultColWidth="9.140625" defaultRowHeight="12.75" x14ac:dyDescent="0.2"/>
  <cols>
    <col min="1" max="1" width="6.140625" style="92" customWidth="1"/>
    <col min="2" max="2" width="43.42578125" style="92" bestFit="1" customWidth="1"/>
    <col min="3" max="4" width="7.7109375" style="92" bestFit="1" customWidth="1"/>
    <col min="5" max="6" width="9.28515625" style="92" bestFit="1" customWidth="1"/>
    <col min="7" max="7" width="7.7109375" style="92" bestFit="1" customWidth="1"/>
    <col min="8" max="9" width="9.28515625" style="92" bestFit="1" customWidth="1"/>
    <col min="10" max="13" width="10.28515625" style="92" customWidth="1"/>
    <col min="14" max="20" width="9.28515625" style="92" bestFit="1" customWidth="1"/>
    <col min="21" max="21" width="10" style="92" customWidth="1"/>
    <col min="22" max="22" width="11.28515625" style="92" bestFit="1" customWidth="1"/>
    <col min="23" max="16384" width="9.140625" style="92"/>
  </cols>
  <sheetData>
    <row r="1" spans="1:25" ht="18.75" customHeight="1" x14ac:dyDescent="0.2">
      <c r="A1" s="546" t="s">
        <v>376</v>
      </c>
      <c r="B1" s="546"/>
      <c r="C1" s="546"/>
      <c r="D1" s="546"/>
      <c r="E1" s="546"/>
      <c r="F1" s="546"/>
      <c r="G1" s="546"/>
      <c r="H1" s="546"/>
      <c r="I1" s="546"/>
      <c r="J1" s="546"/>
      <c r="K1" s="546"/>
      <c r="L1" s="546"/>
      <c r="M1" s="546"/>
      <c r="N1" s="546"/>
      <c r="O1" s="546"/>
      <c r="P1" s="546"/>
      <c r="Q1" s="546"/>
      <c r="R1" s="546"/>
      <c r="S1" s="546"/>
      <c r="T1" s="546"/>
      <c r="U1" s="546"/>
    </row>
    <row r="2" spans="1:25" ht="17.25" customHeight="1" x14ac:dyDescent="0.2">
      <c r="A2" s="547" t="s">
        <v>46</v>
      </c>
      <c r="B2" s="547"/>
      <c r="C2" s="547"/>
      <c r="D2" s="547"/>
      <c r="E2" s="547"/>
      <c r="F2" s="547"/>
      <c r="G2" s="547"/>
      <c r="H2" s="547"/>
      <c r="I2" s="547"/>
      <c r="J2" s="547"/>
      <c r="K2" s="547"/>
      <c r="L2" s="547"/>
      <c r="M2" s="547"/>
      <c r="N2" s="548"/>
      <c r="O2" s="548"/>
      <c r="P2" s="548"/>
      <c r="Q2" s="548"/>
      <c r="R2" s="548"/>
      <c r="S2" s="548"/>
      <c r="T2" s="548"/>
      <c r="U2" s="548"/>
      <c r="V2" s="548"/>
      <c r="W2" s="548"/>
    </row>
    <row r="3" spans="1:25" ht="12.75" customHeight="1" x14ac:dyDescent="0.2">
      <c r="A3" s="543" t="s">
        <v>1</v>
      </c>
      <c r="B3" s="543" t="s">
        <v>2</v>
      </c>
      <c r="C3" s="536" t="s">
        <v>31</v>
      </c>
      <c r="D3" s="537"/>
      <c r="E3" s="537"/>
      <c r="F3" s="537"/>
      <c r="G3" s="537"/>
      <c r="H3" s="537"/>
      <c r="I3" s="537"/>
      <c r="J3" s="537"/>
      <c r="K3" s="537"/>
      <c r="L3" s="537"/>
      <c r="M3" s="538"/>
      <c r="N3" s="539" t="s">
        <v>32</v>
      </c>
      <c r="O3" s="539"/>
      <c r="P3" s="539"/>
      <c r="Q3" s="539"/>
      <c r="R3" s="539"/>
      <c r="S3" s="539"/>
      <c r="T3" s="539"/>
      <c r="U3" s="539"/>
      <c r="V3" s="539"/>
      <c r="W3" s="539"/>
      <c r="X3" s="539"/>
    </row>
    <row r="4" spans="1:25" s="146" customFormat="1" x14ac:dyDescent="0.2">
      <c r="A4" s="543"/>
      <c r="B4" s="543"/>
      <c r="C4" s="98" t="s">
        <v>33</v>
      </c>
      <c r="D4" s="98" t="s">
        <v>34</v>
      </c>
      <c r="E4" s="98" t="s">
        <v>35</v>
      </c>
      <c r="F4" s="98" t="s">
        <v>36</v>
      </c>
      <c r="G4" s="98" t="s">
        <v>37</v>
      </c>
      <c r="H4" s="98" t="s">
        <v>38</v>
      </c>
      <c r="I4" s="98" t="s">
        <v>39</v>
      </c>
      <c r="J4" s="98" t="s">
        <v>40</v>
      </c>
      <c r="K4" s="98" t="s">
        <v>41</v>
      </c>
      <c r="L4" s="98" t="s">
        <v>292</v>
      </c>
      <c r="M4" s="98" t="s">
        <v>399</v>
      </c>
      <c r="N4" s="98" t="s">
        <v>33</v>
      </c>
      <c r="O4" s="286" t="s">
        <v>34</v>
      </c>
      <c r="P4" s="286" t="s">
        <v>35</v>
      </c>
      <c r="Q4" s="98" t="s">
        <v>36</v>
      </c>
      <c r="R4" s="98" t="s">
        <v>37</v>
      </c>
      <c r="S4" s="98" t="s">
        <v>38</v>
      </c>
      <c r="T4" s="98" t="s">
        <v>39</v>
      </c>
      <c r="U4" s="98" t="s">
        <v>40</v>
      </c>
      <c r="V4" s="285" t="s">
        <v>41</v>
      </c>
      <c r="W4" s="285" t="s">
        <v>292</v>
      </c>
      <c r="X4" s="98" t="s">
        <v>399</v>
      </c>
    </row>
    <row r="5" spans="1:25" s="146" customFormat="1" x14ac:dyDescent="0.2">
      <c r="A5" s="287"/>
      <c r="B5" s="113" t="s">
        <v>3</v>
      </c>
      <c r="C5" s="98"/>
      <c r="D5" s="98"/>
      <c r="E5" s="98"/>
      <c r="F5" s="98"/>
      <c r="G5" s="98"/>
      <c r="H5" s="98"/>
      <c r="I5" s="98"/>
      <c r="J5" s="98"/>
      <c r="K5" s="98"/>
      <c r="L5" s="98"/>
      <c r="M5" s="98"/>
      <c r="N5" s="98"/>
      <c r="O5" s="286"/>
      <c r="P5" s="286"/>
      <c r="Q5" s="98"/>
      <c r="R5" s="98"/>
      <c r="S5" s="98"/>
      <c r="T5" s="98"/>
      <c r="U5" s="98"/>
      <c r="V5" s="145"/>
      <c r="W5" s="145"/>
      <c r="X5" s="145"/>
    </row>
    <row r="6" spans="1:25" x14ac:dyDescent="0.2">
      <c r="A6" s="114">
        <v>1</v>
      </c>
      <c r="B6" s="115" t="s">
        <v>4</v>
      </c>
      <c r="C6" s="289">
        <v>16318.094399558848</v>
      </c>
      <c r="D6" s="289">
        <v>16075.197846818675</v>
      </c>
      <c r="E6" s="289">
        <v>22622.178915358581</v>
      </c>
      <c r="F6" s="289">
        <v>24181.168377688868</v>
      </c>
      <c r="G6" s="289">
        <v>23859.453609113851</v>
      </c>
      <c r="H6" s="289">
        <v>23513.348310362191</v>
      </c>
      <c r="I6" s="289">
        <v>27009.658101644371</v>
      </c>
      <c r="J6" s="289">
        <v>25574.523860184785</v>
      </c>
      <c r="K6" s="289">
        <v>28514.423947831965</v>
      </c>
      <c r="L6" s="289">
        <v>27861.914420758716</v>
      </c>
      <c r="M6" s="471">
        <v>33744.565403052438</v>
      </c>
      <c r="N6" s="289">
        <v>25410.82061897825</v>
      </c>
      <c r="O6" s="289">
        <v>26152.688748273798</v>
      </c>
      <c r="P6" s="289">
        <v>58817.088233157243</v>
      </c>
      <c r="Q6" s="289">
        <v>66405.127345844507</v>
      </c>
      <c r="R6" s="290">
        <v>57795.782785786789</v>
      </c>
      <c r="S6" s="290">
        <v>61503.251018819923</v>
      </c>
      <c r="T6" s="290">
        <v>75789.794914088736</v>
      </c>
      <c r="U6" s="290">
        <v>60914.504365439119</v>
      </c>
      <c r="V6" s="291">
        <v>79772.070180081239</v>
      </c>
      <c r="W6" s="291">
        <v>98092.010371386728</v>
      </c>
      <c r="X6" s="291">
        <v>179854.24837050217</v>
      </c>
      <c r="Y6" s="310"/>
    </row>
    <row r="7" spans="1:25" x14ac:dyDescent="0.2">
      <c r="A7" s="347"/>
      <c r="B7" s="113" t="s">
        <v>5</v>
      </c>
      <c r="C7" s="289"/>
      <c r="D7" s="289"/>
      <c r="E7" s="289"/>
      <c r="F7" s="289"/>
      <c r="G7" s="289"/>
      <c r="H7" s="289"/>
      <c r="I7" s="289"/>
      <c r="J7" s="289"/>
      <c r="K7" s="289"/>
      <c r="L7" s="289"/>
      <c r="M7" s="289"/>
      <c r="N7" s="289"/>
      <c r="O7" s="289"/>
      <c r="P7" s="289"/>
      <c r="Q7" s="289"/>
      <c r="R7" s="290"/>
      <c r="S7" s="290"/>
      <c r="T7" s="290"/>
      <c r="U7" s="290"/>
      <c r="V7" s="292"/>
      <c r="W7" s="292"/>
      <c r="X7" s="443"/>
      <c r="Y7" s="310"/>
    </row>
    <row r="8" spans="1:25" x14ac:dyDescent="0.2">
      <c r="A8" s="114">
        <v>2</v>
      </c>
      <c r="B8" s="115" t="s">
        <v>359</v>
      </c>
      <c r="C8" s="289">
        <v>0</v>
      </c>
      <c r="D8" s="289">
        <v>0</v>
      </c>
      <c r="E8" s="289">
        <v>0</v>
      </c>
      <c r="F8" s="289">
        <v>0</v>
      </c>
      <c r="G8" s="289">
        <v>0</v>
      </c>
      <c r="H8" s="289">
        <v>0</v>
      </c>
      <c r="I8" s="289">
        <v>0</v>
      </c>
      <c r="J8" s="289">
        <v>0</v>
      </c>
      <c r="K8" s="289">
        <v>0</v>
      </c>
      <c r="L8" s="289">
        <v>0</v>
      </c>
      <c r="M8" s="471">
        <v>0</v>
      </c>
      <c r="N8" s="289">
        <v>0</v>
      </c>
      <c r="O8" s="289">
        <v>0</v>
      </c>
      <c r="P8" s="289">
        <v>0</v>
      </c>
      <c r="Q8" s="289">
        <v>0</v>
      </c>
      <c r="R8" s="290">
        <v>0</v>
      </c>
      <c r="S8" s="290">
        <v>0</v>
      </c>
      <c r="T8" s="290">
        <v>0</v>
      </c>
      <c r="U8" s="290">
        <v>0</v>
      </c>
      <c r="V8" s="290">
        <v>0</v>
      </c>
      <c r="W8" s="290">
        <v>0</v>
      </c>
      <c r="X8" s="291">
        <v>0</v>
      </c>
      <c r="Y8" s="310"/>
    </row>
    <row r="9" spans="1:25" x14ac:dyDescent="0.2">
      <c r="A9" s="114">
        <v>3</v>
      </c>
      <c r="B9" s="115" t="s">
        <v>6</v>
      </c>
      <c r="C9" s="289">
        <v>28401.559543599786</v>
      </c>
      <c r="D9" s="289">
        <v>31065.735932451396</v>
      </c>
      <c r="E9" s="289">
        <v>38536.207744728155</v>
      </c>
      <c r="F9" s="289">
        <v>45727.365158500208</v>
      </c>
      <c r="G9" s="289">
        <v>50100.456489823475</v>
      </c>
      <c r="H9" s="289">
        <v>57246.909686769861</v>
      </c>
      <c r="I9" s="289">
        <v>73863.051397316813</v>
      </c>
      <c r="J9" s="289">
        <v>100002.3069038165</v>
      </c>
      <c r="K9" s="289">
        <v>129902.99901753837</v>
      </c>
      <c r="L9" s="289">
        <v>116979.33672618004</v>
      </c>
      <c r="M9" s="471">
        <v>125867.96508720369</v>
      </c>
      <c r="N9" s="289">
        <v>64740.974544673882</v>
      </c>
      <c r="O9" s="289">
        <v>48362.316383086931</v>
      </c>
      <c r="P9" s="289">
        <v>49094.361615411042</v>
      </c>
      <c r="Q9" s="289">
        <v>81280.407837310238</v>
      </c>
      <c r="R9" s="290">
        <v>96185.084522892634</v>
      </c>
      <c r="S9" s="290">
        <v>85152.676052571784</v>
      </c>
      <c r="T9" s="290">
        <v>86079.448631254534</v>
      </c>
      <c r="U9" s="290">
        <v>114903.25207580229</v>
      </c>
      <c r="V9" s="291">
        <v>149340.10004683229</v>
      </c>
      <c r="W9" s="291">
        <v>121815.62824506962</v>
      </c>
      <c r="X9" s="291">
        <v>135892.2856556061</v>
      </c>
      <c r="Y9" s="310"/>
    </row>
    <row r="10" spans="1:25" x14ac:dyDescent="0.2">
      <c r="A10" s="114">
        <v>4</v>
      </c>
      <c r="B10" s="115" t="s">
        <v>360</v>
      </c>
      <c r="C10" s="289">
        <v>39035.019512655621</v>
      </c>
      <c r="D10" s="289">
        <v>32734.262799949935</v>
      </c>
      <c r="E10" s="289">
        <v>28000.951344743273</v>
      </c>
      <c r="F10" s="289">
        <v>9327.0690476190466</v>
      </c>
      <c r="G10" s="289">
        <v>59741.972666666661</v>
      </c>
      <c r="H10" s="289">
        <v>50352.076000000001</v>
      </c>
      <c r="I10" s="289">
        <v>0</v>
      </c>
      <c r="J10" s="289">
        <v>50000</v>
      </c>
      <c r="K10" s="289">
        <v>10309.065000000001</v>
      </c>
      <c r="L10" s="289">
        <v>57822.711111111123</v>
      </c>
      <c r="M10" s="471">
        <v>14285.714285714286</v>
      </c>
      <c r="N10" s="289">
        <v>28788.28485326087</v>
      </c>
      <c r="O10" s="289">
        <v>44189.500016863436</v>
      </c>
      <c r="P10" s="289">
        <v>33372.577904761914</v>
      </c>
      <c r="Q10" s="289">
        <v>25467.986373559728</v>
      </c>
      <c r="R10" s="290">
        <v>10781.103370937415</v>
      </c>
      <c r="S10" s="290">
        <v>132359.53219262295</v>
      </c>
      <c r="T10" s="290">
        <v>119479.16953736656</v>
      </c>
      <c r="U10" s="290">
        <v>300000</v>
      </c>
      <c r="V10" s="291">
        <v>159454.40105263158</v>
      </c>
      <c r="W10" s="291">
        <v>16366.842835820897</v>
      </c>
      <c r="X10" s="291">
        <v>109323.80340507549</v>
      </c>
      <c r="Y10" s="385"/>
    </row>
    <row r="11" spans="1:25" x14ac:dyDescent="0.2">
      <c r="A11" s="114">
        <v>5</v>
      </c>
      <c r="B11" s="115" t="s">
        <v>7</v>
      </c>
      <c r="C11" s="289">
        <v>27619.293613185939</v>
      </c>
      <c r="D11" s="289">
        <v>30547.923557516227</v>
      </c>
      <c r="E11" s="289">
        <v>36697.883491706714</v>
      </c>
      <c r="F11" s="289">
        <v>50240.092427103002</v>
      </c>
      <c r="G11" s="289">
        <v>46471.816743450327</v>
      </c>
      <c r="H11" s="289">
        <v>44018.702766735201</v>
      </c>
      <c r="I11" s="289">
        <v>72067.856511161284</v>
      </c>
      <c r="J11" s="289">
        <v>71670.153753887163</v>
      </c>
      <c r="K11" s="289">
        <v>78161.331572875642</v>
      </c>
      <c r="L11" s="289">
        <v>94512.189127778736</v>
      </c>
      <c r="M11" s="471">
        <v>92379.263061411533</v>
      </c>
      <c r="N11" s="289">
        <v>42837.347399347636</v>
      </c>
      <c r="O11" s="289">
        <v>46384.010597405642</v>
      </c>
      <c r="P11" s="289">
        <v>52633.297706451609</v>
      </c>
      <c r="Q11" s="289">
        <v>60240.676578681421</v>
      </c>
      <c r="R11" s="290">
        <v>65027.757757304433</v>
      </c>
      <c r="S11" s="290">
        <v>89940.497696190359</v>
      </c>
      <c r="T11" s="290">
        <v>129532.05698270378</v>
      </c>
      <c r="U11" s="290">
        <v>156707.53901850845</v>
      </c>
      <c r="V11" s="291">
        <v>156610.11115595483</v>
      </c>
      <c r="W11" s="291">
        <v>172586.43858973731</v>
      </c>
      <c r="X11" s="291">
        <v>180679.42171992231</v>
      </c>
      <c r="Y11" s="310"/>
    </row>
    <row r="12" spans="1:25" x14ac:dyDescent="0.2">
      <c r="A12" s="114">
        <v>6</v>
      </c>
      <c r="B12" s="115" t="s">
        <v>8</v>
      </c>
      <c r="C12" s="289">
        <v>42873.299182384042</v>
      </c>
      <c r="D12" s="289">
        <v>39900.597460862926</v>
      </c>
      <c r="E12" s="289">
        <v>44156.564967032973</v>
      </c>
      <c r="F12" s="289">
        <v>49493.067205240179</v>
      </c>
      <c r="G12" s="289">
        <v>70307.37577168303</v>
      </c>
      <c r="H12" s="289">
        <v>72476.610620815583</v>
      </c>
      <c r="I12" s="289">
        <v>87715.584454409574</v>
      </c>
      <c r="J12" s="289">
        <v>143249.56840696119</v>
      </c>
      <c r="K12" s="289">
        <v>159178.63435969208</v>
      </c>
      <c r="L12" s="289">
        <v>266105.90024096385</v>
      </c>
      <c r="M12" s="471">
        <v>116946.48763250886</v>
      </c>
      <c r="N12" s="289">
        <v>41223.23170007913</v>
      </c>
      <c r="O12" s="289">
        <v>27762.526752310117</v>
      </c>
      <c r="P12" s="289">
        <v>28837.935494765279</v>
      </c>
      <c r="Q12" s="289">
        <v>35296.955212550609</v>
      </c>
      <c r="R12" s="290">
        <v>27568.671189791516</v>
      </c>
      <c r="S12" s="290">
        <v>39670.603330603328</v>
      </c>
      <c r="T12" s="290">
        <v>47635.722048997777</v>
      </c>
      <c r="U12" s="290">
        <v>43766.016384915478</v>
      </c>
      <c r="V12" s="291">
        <v>49424.45361350249</v>
      </c>
      <c r="W12" s="291">
        <v>38700.368380660017</v>
      </c>
      <c r="X12" s="291">
        <v>50547.893907907688</v>
      </c>
      <c r="Y12" s="310"/>
    </row>
    <row r="13" spans="1:25" x14ac:dyDescent="0.2">
      <c r="A13" s="114">
        <v>7</v>
      </c>
      <c r="B13" s="115" t="s">
        <v>9</v>
      </c>
      <c r="C13" s="289">
        <v>35038.586491393587</v>
      </c>
      <c r="D13" s="289">
        <v>34523.920435415195</v>
      </c>
      <c r="E13" s="289">
        <v>50768.298464648084</v>
      </c>
      <c r="F13" s="289">
        <v>63812.357532531438</v>
      </c>
      <c r="G13" s="289">
        <v>77276.89605861473</v>
      </c>
      <c r="H13" s="289">
        <v>90589.381358933402</v>
      </c>
      <c r="I13" s="289">
        <v>77959.912999370048</v>
      </c>
      <c r="J13" s="289">
        <v>99567.327119034773</v>
      </c>
      <c r="K13" s="289">
        <v>100260.47604545072</v>
      </c>
      <c r="L13" s="289">
        <v>95612.754981706224</v>
      </c>
      <c r="M13" s="471">
        <v>99260.914458084459</v>
      </c>
      <c r="N13" s="289">
        <v>20941.495040971829</v>
      </c>
      <c r="O13" s="289">
        <v>25593.848518884555</v>
      </c>
      <c r="P13" s="289">
        <v>6763.0267650934884</v>
      </c>
      <c r="Q13" s="289">
        <v>10980.890715375637</v>
      </c>
      <c r="R13" s="290">
        <v>17663.573269666304</v>
      </c>
      <c r="S13" s="290">
        <v>27645.693479440055</v>
      </c>
      <c r="T13" s="290">
        <v>43942.122292406653</v>
      </c>
      <c r="U13" s="290">
        <v>75293.659170087762</v>
      </c>
      <c r="V13" s="291">
        <v>98591.979182300871</v>
      </c>
      <c r="W13" s="291">
        <v>96588.387592214582</v>
      </c>
      <c r="X13" s="291">
        <v>105230.68682800139</v>
      </c>
      <c r="Y13" s="310"/>
    </row>
    <row r="14" spans="1:25" x14ac:dyDescent="0.2">
      <c r="A14" s="114">
        <v>8</v>
      </c>
      <c r="B14" s="115" t="s">
        <v>10</v>
      </c>
      <c r="C14" s="289">
        <v>35418.801723093202</v>
      </c>
      <c r="D14" s="289">
        <v>32079.442076738676</v>
      </c>
      <c r="E14" s="289">
        <v>33519.749485083761</v>
      </c>
      <c r="F14" s="289">
        <v>34052.606455724839</v>
      </c>
      <c r="G14" s="289">
        <v>30595.424911609847</v>
      </c>
      <c r="H14" s="289">
        <v>36638.178103865139</v>
      </c>
      <c r="I14" s="289">
        <v>54633.169294292456</v>
      </c>
      <c r="J14" s="289">
        <v>64577.053316171958</v>
      </c>
      <c r="K14" s="289">
        <v>77151.887578755195</v>
      </c>
      <c r="L14" s="289">
        <v>65334.54593004522</v>
      </c>
      <c r="M14" s="471">
        <v>75790.133198264855</v>
      </c>
      <c r="N14" s="289">
        <v>48285.541473036472</v>
      </c>
      <c r="O14" s="289">
        <v>39768.285147684968</v>
      </c>
      <c r="P14" s="289">
        <v>58690.390693493326</v>
      </c>
      <c r="Q14" s="289">
        <v>32963.311132596653</v>
      </c>
      <c r="R14" s="290">
        <v>30088.217094475887</v>
      </c>
      <c r="S14" s="290">
        <v>37169.773174399663</v>
      </c>
      <c r="T14" s="290">
        <v>55908.40121832765</v>
      </c>
      <c r="U14" s="290">
        <v>74172.835613086485</v>
      </c>
      <c r="V14" s="291">
        <v>89346.558091092098</v>
      </c>
      <c r="W14" s="291">
        <v>64240.777786668696</v>
      </c>
      <c r="X14" s="291">
        <v>90273.949897884915</v>
      </c>
      <c r="Y14" s="310"/>
    </row>
    <row r="15" spans="1:25" x14ac:dyDescent="0.2">
      <c r="A15" s="114">
        <v>9</v>
      </c>
      <c r="B15" s="115" t="s">
        <v>30</v>
      </c>
      <c r="C15" s="293" t="s">
        <v>42</v>
      </c>
      <c r="D15" s="293" t="s">
        <v>42</v>
      </c>
      <c r="E15" s="293" t="s">
        <v>42</v>
      </c>
      <c r="F15" s="293" t="s">
        <v>42</v>
      </c>
      <c r="G15" s="293" t="s">
        <v>42</v>
      </c>
      <c r="H15" s="293" t="s">
        <v>42</v>
      </c>
      <c r="I15" s="289">
        <v>21522.423748564721</v>
      </c>
      <c r="J15" s="289">
        <v>69373.117531644661</v>
      </c>
      <c r="K15" s="289">
        <v>69663.336205249681</v>
      </c>
      <c r="L15" s="289">
        <v>115585.20418439625</v>
      </c>
      <c r="M15" s="471">
        <v>64616.451041666711</v>
      </c>
      <c r="N15" s="289">
        <v>55138.893087191122</v>
      </c>
      <c r="O15" s="289">
        <v>66917.43533426059</v>
      </c>
      <c r="P15" s="289">
        <v>69148.834575832298</v>
      </c>
      <c r="Q15" s="289">
        <v>81047.705061756322</v>
      </c>
      <c r="R15" s="290">
        <v>78671.336037227986</v>
      </c>
      <c r="S15" s="290">
        <v>76471.736268942725</v>
      </c>
      <c r="T15" s="290">
        <v>84262.325898295516</v>
      </c>
      <c r="U15" s="290">
        <v>102306.79265713286</v>
      </c>
      <c r="V15" s="291">
        <v>103268.15262478866</v>
      </c>
      <c r="W15" s="291">
        <v>101493.11866330943</v>
      </c>
      <c r="X15" s="291">
        <v>125070.87224943041</v>
      </c>
      <c r="Y15" s="310"/>
    </row>
    <row r="16" spans="1:25" x14ac:dyDescent="0.2">
      <c r="A16" s="114">
        <v>10</v>
      </c>
      <c r="B16" s="115" t="s">
        <v>358</v>
      </c>
      <c r="C16" s="293">
        <v>0</v>
      </c>
      <c r="D16" s="293">
        <v>0</v>
      </c>
      <c r="E16" s="293">
        <v>0</v>
      </c>
      <c r="F16" s="293">
        <v>0</v>
      </c>
      <c r="G16" s="293">
        <v>0</v>
      </c>
      <c r="H16" s="293">
        <v>0</v>
      </c>
      <c r="I16" s="289">
        <v>0</v>
      </c>
      <c r="J16" s="289">
        <v>0</v>
      </c>
      <c r="K16" s="289">
        <v>0</v>
      </c>
      <c r="L16" s="289">
        <v>0</v>
      </c>
      <c r="M16" s="471">
        <v>0</v>
      </c>
      <c r="N16" s="289">
        <v>0</v>
      </c>
      <c r="O16" s="289">
        <v>0</v>
      </c>
      <c r="P16" s="289">
        <v>0</v>
      </c>
      <c r="Q16" s="289">
        <v>0</v>
      </c>
      <c r="R16" s="290">
        <v>0</v>
      </c>
      <c r="S16" s="290">
        <v>0</v>
      </c>
      <c r="T16" s="290">
        <v>0</v>
      </c>
      <c r="U16" s="290">
        <v>0</v>
      </c>
      <c r="V16" s="291">
        <v>0</v>
      </c>
      <c r="W16" s="291"/>
      <c r="X16" s="291">
        <v>0</v>
      </c>
      <c r="Y16" s="310"/>
    </row>
    <row r="17" spans="1:25" x14ac:dyDescent="0.2">
      <c r="A17" s="114">
        <v>11</v>
      </c>
      <c r="B17" s="115" t="s">
        <v>11</v>
      </c>
      <c r="C17" s="289">
        <v>33224.707773851762</v>
      </c>
      <c r="D17" s="289">
        <v>35022.47403004262</v>
      </c>
      <c r="E17" s="289">
        <v>37998.180344031214</v>
      </c>
      <c r="F17" s="289">
        <v>38614.732545825253</v>
      </c>
      <c r="G17" s="289">
        <v>59219.227464644799</v>
      </c>
      <c r="H17" s="289">
        <v>57513.864817814094</v>
      </c>
      <c r="I17" s="289">
        <v>56317.575309313441</v>
      </c>
      <c r="J17" s="289">
        <v>73919.827938331204</v>
      </c>
      <c r="K17" s="289">
        <v>91645.338266726627</v>
      </c>
      <c r="L17" s="289">
        <v>103393.33616781328</v>
      </c>
      <c r="M17" s="471">
        <v>113360.59417815025</v>
      </c>
      <c r="N17" s="289">
        <v>49557.776792883342</v>
      </c>
      <c r="O17" s="289">
        <v>59415.197351006565</v>
      </c>
      <c r="P17" s="289">
        <v>78290.017304385299</v>
      </c>
      <c r="Q17" s="289">
        <v>72761.827031422145</v>
      </c>
      <c r="R17" s="290">
        <v>62314.818276003098</v>
      </c>
      <c r="S17" s="290">
        <v>85043.707961136737</v>
      </c>
      <c r="T17" s="290">
        <v>58343.053726773876</v>
      </c>
      <c r="U17" s="290">
        <v>103582.49295287277</v>
      </c>
      <c r="V17" s="291">
        <v>120032.88995926772</v>
      </c>
      <c r="W17" s="291">
        <v>101847.42561053122</v>
      </c>
      <c r="X17" s="291">
        <v>132922.29019369461</v>
      </c>
      <c r="Y17" s="310"/>
    </row>
    <row r="18" spans="1:25" x14ac:dyDescent="0.2">
      <c r="A18" s="114">
        <v>12</v>
      </c>
      <c r="B18" s="115" t="s">
        <v>12</v>
      </c>
      <c r="C18" s="289">
        <v>41667.909937252152</v>
      </c>
      <c r="D18" s="289">
        <v>29409.019005207341</v>
      </c>
      <c r="E18" s="289">
        <v>54928.341864924434</v>
      </c>
      <c r="F18" s="289">
        <v>39841.340319167524</v>
      </c>
      <c r="G18" s="289">
        <v>44209.633506264581</v>
      </c>
      <c r="H18" s="289">
        <v>50803.582529181454</v>
      </c>
      <c r="I18" s="289">
        <v>59355.128044082114</v>
      </c>
      <c r="J18" s="289">
        <v>92332.78640262883</v>
      </c>
      <c r="K18" s="289">
        <v>66271.826168966087</v>
      </c>
      <c r="L18" s="289"/>
      <c r="M18" s="471"/>
      <c r="N18" s="289">
        <v>33994.267505993805</v>
      </c>
      <c r="O18" s="289">
        <v>31110.940694087411</v>
      </c>
      <c r="P18" s="289">
        <v>32111.648997495638</v>
      </c>
      <c r="Q18" s="289">
        <v>26234.092139641416</v>
      </c>
      <c r="R18" s="290">
        <v>26849.833969037478</v>
      </c>
      <c r="S18" s="290">
        <v>24970.371993978781</v>
      </c>
      <c r="T18" s="290">
        <v>28808.040136878881</v>
      </c>
      <c r="U18" s="290">
        <v>41851.237158891898</v>
      </c>
      <c r="V18" s="291">
        <v>44259.531949166529</v>
      </c>
      <c r="W18" s="291"/>
      <c r="X18" s="291"/>
      <c r="Y18" s="310"/>
    </row>
    <row r="19" spans="1:25" x14ac:dyDescent="0.2">
      <c r="A19" s="114">
        <v>13</v>
      </c>
      <c r="B19" s="115" t="s">
        <v>13</v>
      </c>
      <c r="C19" s="289">
        <v>26902.211940376219</v>
      </c>
      <c r="D19" s="289">
        <v>34169.704540045263</v>
      </c>
      <c r="E19" s="289">
        <v>47038.431889930733</v>
      </c>
      <c r="F19" s="289">
        <v>52159.448430172873</v>
      </c>
      <c r="G19" s="289">
        <v>65962.490678565053</v>
      </c>
      <c r="H19" s="289">
        <v>81932.984134693208</v>
      </c>
      <c r="I19" s="289">
        <v>86219.387036040891</v>
      </c>
      <c r="J19" s="289">
        <v>66337.621741352865</v>
      </c>
      <c r="K19" s="289">
        <v>72652.01110695122</v>
      </c>
      <c r="L19" s="289">
        <v>99494.309610535158</v>
      </c>
      <c r="M19" s="471">
        <v>112924.07910208445</v>
      </c>
      <c r="N19" s="289">
        <v>30335.859709742203</v>
      </c>
      <c r="O19" s="289">
        <v>17157.097225168487</v>
      </c>
      <c r="P19" s="289">
        <v>22902.176458000151</v>
      </c>
      <c r="Q19" s="289">
        <v>39034.104322100837</v>
      </c>
      <c r="R19" s="290">
        <v>36688.702170849239</v>
      </c>
      <c r="S19" s="290">
        <v>38968.39839454586</v>
      </c>
      <c r="T19" s="290">
        <v>41397.580741123973</v>
      </c>
      <c r="U19" s="290">
        <v>71088.959922638882</v>
      </c>
      <c r="V19" s="291">
        <v>75436.495068714634</v>
      </c>
      <c r="W19" s="291">
        <v>84496.723453158047</v>
      </c>
      <c r="X19" s="291">
        <v>114418.28734193064</v>
      </c>
      <c r="Y19" s="310"/>
    </row>
    <row r="20" spans="1:25" x14ac:dyDescent="0.2">
      <c r="A20" s="114">
        <v>14</v>
      </c>
      <c r="B20" s="115" t="s">
        <v>357</v>
      </c>
      <c r="C20" s="289">
        <v>0</v>
      </c>
      <c r="D20" s="289">
        <v>0</v>
      </c>
      <c r="E20" s="289">
        <v>0</v>
      </c>
      <c r="F20" s="289">
        <v>0</v>
      </c>
      <c r="G20" s="289">
        <v>0</v>
      </c>
      <c r="H20" s="289">
        <v>0</v>
      </c>
      <c r="I20" s="289">
        <v>0</v>
      </c>
      <c r="J20" s="289">
        <v>0</v>
      </c>
      <c r="K20" s="289">
        <v>0</v>
      </c>
      <c r="L20" s="289">
        <v>0</v>
      </c>
      <c r="M20" s="471">
        <v>30310.356797385615</v>
      </c>
      <c r="N20" s="289">
        <v>0</v>
      </c>
      <c r="O20" s="289">
        <v>0</v>
      </c>
      <c r="P20" s="289">
        <v>0</v>
      </c>
      <c r="Q20" s="289">
        <v>0</v>
      </c>
      <c r="R20" s="290">
        <v>0</v>
      </c>
      <c r="S20" s="290">
        <v>0</v>
      </c>
      <c r="T20" s="290">
        <v>0</v>
      </c>
      <c r="U20" s="290">
        <v>0</v>
      </c>
      <c r="V20" s="291">
        <v>0</v>
      </c>
      <c r="W20" s="291">
        <v>0</v>
      </c>
      <c r="X20" s="291">
        <v>69203.352476190514</v>
      </c>
      <c r="Y20" s="310"/>
    </row>
    <row r="21" spans="1:25" x14ac:dyDescent="0.2">
      <c r="A21" s="114">
        <v>15</v>
      </c>
      <c r="B21" s="115" t="s">
        <v>14</v>
      </c>
      <c r="C21" s="289">
        <v>17368.207350243614</v>
      </c>
      <c r="D21" s="289">
        <v>11953.5848457266</v>
      </c>
      <c r="E21" s="289">
        <v>18319.545649116288</v>
      </c>
      <c r="F21" s="289">
        <v>56394.03441381194</v>
      </c>
      <c r="G21" s="289">
        <v>70928.131225593315</v>
      </c>
      <c r="H21" s="289">
        <v>77572.176127202285</v>
      </c>
      <c r="I21" s="289">
        <v>85070.045224869275</v>
      </c>
      <c r="J21" s="289">
        <v>97756.185607891792</v>
      </c>
      <c r="K21" s="289">
        <v>113837.93094865199</v>
      </c>
      <c r="L21" s="289">
        <v>101186.75109678053</v>
      </c>
      <c r="M21" s="471">
        <v>115986.52150238278</v>
      </c>
      <c r="N21" s="289">
        <v>53270.10550268487</v>
      </c>
      <c r="O21" s="289">
        <v>48423.147542939361</v>
      </c>
      <c r="P21" s="289">
        <v>56648.643611558342</v>
      </c>
      <c r="Q21" s="289">
        <v>64892.783740702842</v>
      </c>
      <c r="R21" s="290">
        <v>79775.199284052316</v>
      </c>
      <c r="S21" s="290">
        <v>96441.744579110047</v>
      </c>
      <c r="T21" s="290">
        <v>94622.837159693241</v>
      </c>
      <c r="U21" s="290">
        <v>115758.61374726873</v>
      </c>
      <c r="V21" s="291">
        <v>140736.14340905027</v>
      </c>
      <c r="W21" s="291">
        <v>127141.01474427101</v>
      </c>
      <c r="X21" s="291">
        <v>131280.33194273766</v>
      </c>
      <c r="Y21" s="310"/>
    </row>
    <row r="22" spans="1:25" x14ac:dyDescent="0.2">
      <c r="A22" s="114">
        <v>16</v>
      </c>
      <c r="B22" s="115" t="s">
        <v>15</v>
      </c>
      <c r="C22" s="289">
        <v>81955.901224779416</v>
      </c>
      <c r="D22" s="289">
        <v>88554.738684779339</v>
      </c>
      <c r="E22" s="289">
        <v>101274.55336761418</v>
      </c>
      <c r="F22" s="289">
        <v>106448.91416281361</v>
      </c>
      <c r="G22" s="289">
        <v>98457.530197093307</v>
      </c>
      <c r="H22" s="289">
        <v>101929.38767066612</v>
      </c>
      <c r="I22" s="289">
        <v>120030.37322726344</v>
      </c>
      <c r="J22" s="289">
        <v>149375.36598430332</v>
      </c>
      <c r="K22" s="289">
        <v>155434.48534247553</v>
      </c>
      <c r="L22" s="289">
        <v>183361.38994060652</v>
      </c>
      <c r="M22" s="471">
        <v>179122.25567756701</v>
      </c>
      <c r="N22" s="289">
        <v>77484.476248743566</v>
      </c>
      <c r="O22" s="289">
        <v>102643.37581020803</v>
      </c>
      <c r="P22" s="289">
        <v>105194.35069072335</v>
      </c>
      <c r="Q22" s="289">
        <v>101886.6552550122</v>
      </c>
      <c r="R22" s="290">
        <v>90582.725504020214</v>
      </c>
      <c r="S22" s="290">
        <v>103500.86903205111</v>
      </c>
      <c r="T22" s="290">
        <v>115421.98792430143</v>
      </c>
      <c r="U22" s="290">
        <v>140335.72861681256</v>
      </c>
      <c r="V22" s="291">
        <v>140223.38935028217</v>
      </c>
      <c r="W22" s="291">
        <v>119956.40771134135</v>
      </c>
      <c r="X22" s="291">
        <v>134886.64986927895</v>
      </c>
      <c r="Y22" s="310"/>
    </row>
    <row r="23" spans="1:25" x14ac:dyDescent="0.2">
      <c r="A23" s="114">
        <v>17</v>
      </c>
      <c r="B23" s="115" t="s">
        <v>16</v>
      </c>
      <c r="C23" s="289">
        <v>13541.940367562009</v>
      </c>
      <c r="D23" s="289">
        <v>18055.198334595261</v>
      </c>
      <c r="E23" s="289">
        <v>20723.292158448025</v>
      </c>
      <c r="F23" s="289">
        <v>13675.675792836179</v>
      </c>
      <c r="G23" s="289">
        <v>27886.388754743562</v>
      </c>
      <c r="H23" s="289">
        <v>33595.592848734552</v>
      </c>
      <c r="I23" s="289">
        <v>41790.138336347547</v>
      </c>
      <c r="J23" s="289">
        <v>50639.355524409904</v>
      </c>
      <c r="K23" s="289">
        <v>55859.448138739921</v>
      </c>
      <c r="L23" s="289">
        <v>65699.751627643855</v>
      </c>
      <c r="M23" s="471">
        <v>76553.41302229873</v>
      </c>
      <c r="N23" s="289">
        <v>24025.807496772111</v>
      </c>
      <c r="O23" s="289">
        <v>26918.089091645492</v>
      </c>
      <c r="P23" s="289">
        <v>34634.68774322464</v>
      </c>
      <c r="Q23" s="289">
        <v>40115.231686126295</v>
      </c>
      <c r="R23" s="290">
        <v>47922.862024699483</v>
      </c>
      <c r="S23" s="290">
        <v>53485.491415699464</v>
      </c>
      <c r="T23" s="290">
        <v>59551.394051157782</v>
      </c>
      <c r="U23" s="290">
        <v>60858.507012095441</v>
      </c>
      <c r="V23" s="291">
        <v>61173.904824857484</v>
      </c>
      <c r="W23" s="291">
        <v>76918.098517050821</v>
      </c>
      <c r="X23" s="291">
        <v>75752.463180023755</v>
      </c>
      <c r="Y23" s="310"/>
    </row>
    <row r="24" spans="1:25" x14ac:dyDescent="0.2">
      <c r="A24" s="114">
        <v>18</v>
      </c>
      <c r="B24" s="115" t="s">
        <v>17</v>
      </c>
      <c r="C24" s="289">
        <v>33419.632433382525</v>
      </c>
      <c r="D24" s="289">
        <v>34577.747448842332</v>
      </c>
      <c r="E24" s="289">
        <v>38353.704210071039</v>
      </c>
      <c r="F24" s="289">
        <v>43335.56443460576</v>
      </c>
      <c r="G24" s="289">
        <v>44933.938628187927</v>
      </c>
      <c r="H24" s="289">
        <v>51858.249849064821</v>
      </c>
      <c r="I24" s="289">
        <v>55081.572196713721</v>
      </c>
      <c r="J24" s="289">
        <v>64175.803095184623</v>
      </c>
      <c r="K24" s="289">
        <v>80836.614904919974</v>
      </c>
      <c r="L24" s="289">
        <v>78473.881333277794</v>
      </c>
      <c r="M24" s="471">
        <v>79802.956757084554</v>
      </c>
      <c r="N24" s="289">
        <v>71072.463100272798</v>
      </c>
      <c r="O24" s="289">
        <v>64411.502711142959</v>
      </c>
      <c r="P24" s="289">
        <v>83973.793717589928</v>
      </c>
      <c r="Q24" s="289">
        <v>110469.29783805682</v>
      </c>
      <c r="R24" s="290">
        <v>111815.46972001415</v>
      </c>
      <c r="S24" s="290">
        <v>143273.63118319653</v>
      </c>
      <c r="T24" s="290">
        <v>130127.35286097451</v>
      </c>
      <c r="U24" s="290">
        <v>148746.85869350651</v>
      </c>
      <c r="V24" s="291">
        <v>169652.40807117469</v>
      </c>
      <c r="W24" s="291">
        <v>175298.88376057625</v>
      </c>
      <c r="X24" s="291">
        <v>142228.25177823717</v>
      </c>
      <c r="Y24" s="310"/>
    </row>
    <row r="25" spans="1:25" x14ac:dyDescent="0.2">
      <c r="A25" s="114">
        <v>19</v>
      </c>
      <c r="B25" s="115" t="s">
        <v>18</v>
      </c>
      <c r="C25" s="289">
        <v>40706.941305050648</v>
      </c>
      <c r="D25" s="289">
        <v>45258.508526163481</v>
      </c>
      <c r="E25" s="289">
        <v>60896.164333168061</v>
      </c>
      <c r="F25" s="289">
        <v>72395.009752982762</v>
      </c>
      <c r="G25" s="289">
        <v>68763.373944895036</v>
      </c>
      <c r="H25" s="289">
        <v>76927.681313503475</v>
      </c>
      <c r="I25" s="289">
        <v>124636.78645718686</v>
      </c>
      <c r="J25" s="289">
        <v>153621.12225390924</v>
      </c>
      <c r="K25" s="289">
        <v>160874.37838466192</v>
      </c>
      <c r="L25" s="289">
        <v>158123.3703433896</v>
      </c>
      <c r="M25" s="471">
        <v>164786.73629493508</v>
      </c>
      <c r="N25" s="289">
        <v>49850.915233693631</v>
      </c>
      <c r="O25" s="289">
        <v>60721.937125167962</v>
      </c>
      <c r="P25" s="289">
        <v>69049.827361818665</v>
      </c>
      <c r="Q25" s="289">
        <v>74783.259955049492</v>
      </c>
      <c r="R25" s="290">
        <v>81903.329478852174</v>
      </c>
      <c r="S25" s="290">
        <v>94667.909490687409</v>
      </c>
      <c r="T25" s="290">
        <v>109265.85748156035</v>
      </c>
      <c r="U25" s="290">
        <v>141849.75285858108</v>
      </c>
      <c r="V25" s="291">
        <v>156795.01759088927</v>
      </c>
      <c r="W25" s="291">
        <v>150082.64797223138</v>
      </c>
      <c r="X25" s="291">
        <v>162400.91555964458</v>
      </c>
      <c r="Y25" s="310"/>
    </row>
    <row r="26" spans="1:25" x14ac:dyDescent="0.2">
      <c r="A26" s="114">
        <v>20</v>
      </c>
      <c r="B26" s="115" t="s">
        <v>19</v>
      </c>
      <c r="C26" s="289">
        <v>32178.47239813639</v>
      </c>
      <c r="D26" s="289">
        <v>32993.561185838153</v>
      </c>
      <c r="E26" s="289">
        <v>59161.154603552466</v>
      </c>
      <c r="F26" s="289">
        <v>73255.400746959436</v>
      </c>
      <c r="G26" s="289">
        <v>74410.795357309675</v>
      </c>
      <c r="H26" s="289">
        <v>72468.359424789407</v>
      </c>
      <c r="I26" s="289">
        <v>80972.484499317477</v>
      </c>
      <c r="J26" s="289">
        <v>89205.360736885108</v>
      </c>
      <c r="K26" s="289">
        <v>102641.30743620102</v>
      </c>
      <c r="L26" s="289">
        <v>106533.91216844477</v>
      </c>
      <c r="M26" s="471">
        <v>113921.48372557026</v>
      </c>
      <c r="N26" s="289">
        <v>33200.090314351539</v>
      </c>
      <c r="O26" s="289">
        <v>34987.928837943567</v>
      </c>
      <c r="P26" s="289">
        <v>43987.547464288378</v>
      </c>
      <c r="Q26" s="289">
        <v>52697.579188969576</v>
      </c>
      <c r="R26" s="290">
        <v>64142.310659349161</v>
      </c>
      <c r="S26" s="290">
        <v>65629.620078770866</v>
      </c>
      <c r="T26" s="290">
        <v>61271.825897409653</v>
      </c>
      <c r="U26" s="290">
        <v>74485.062783662317</v>
      </c>
      <c r="V26" s="291">
        <v>76706.675423491703</v>
      </c>
      <c r="W26" s="291">
        <v>80757.092908687802</v>
      </c>
      <c r="X26" s="291">
        <v>110243.8125618168</v>
      </c>
      <c r="Y26" s="310"/>
    </row>
    <row r="27" spans="1:25" x14ac:dyDescent="0.2">
      <c r="A27" s="114">
        <v>21</v>
      </c>
      <c r="B27" s="118" t="s">
        <v>20</v>
      </c>
      <c r="C27" s="289">
        <v>29842.907107493491</v>
      </c>
      <c r="D27" s="289">
        <v>35319.398046832699</v>
      </c>
      <c r="E27" s="289">
        <v>43897.365147318058</v>
      </c>
      <c r="F27" s="289">
        <v>42130.729700475778</v>
      </c>
      <c r="G27" s="289">
        <v>48662.427845700433</v>
      </c>
      <c r="H27" s="289">
        <v>44846.772951903673</v>
      </c>
      <c r="I27" s="289">
        <v>42945.077908217711</v>
      </c>
      <c r="J27" s="289">
        <v>49594.341442055076</v>
      </c>
      <c r="K27" s="289">
        <v>57595.201438254255</v>
      </c>
      <c r="L27" s="289">
        <v>54277.623459033479</v>
      </c>
      <c r="M27" s="471">
        <v>61849.260392603806</v>
      </c>
      <c r="N27" s="289">
        <v>34302.990092836357</v>
      </c>
      <c r="O27" s="289">
        <v>43557.465041459371</v>
      </c>
      <c r="P27" s="289">
        <v>42693.725561425061</v>
      </c>
      <c r="Q27" s="289">
        <v>44117.105480356717</v>
      </c>
      <c r="R27" s="290">
        <v>39475.111385872486</v>
      </c>
      <c r="S27" s="290">
        <v>29543.214129110838</v>
      </c>
      <c r="T27" s="290">
        <v>26509.423654015889</v>
      </c>
      <c r="U27" s="290">
        <v>40794.789961811235</v>
      </c>
      <c r="V27" s="291">
        <v>41789.032163333803</v>
      </c>
      <c r="W27" s="291">
        <v>71058.345164152619</v>
      </c>
      <c r="X27" s="291">
        <v>62267.431382536379</v>
      </c>
      <c r="Y27" s="310"/>
    </row>
    <row r="28" spans="1:25" x14ac:dyDescent="0.2">
      <c r="A28" s="114">
        <v>22</v>
      </c>
      <c r="B28" s="115" t="s">
        <v>21</v>
      </c>
      <c r="C28" s="289">
        <v>24672.270933965905</v>
      </c>
      <c r="D28" s="289">
        <v>23619.839782888368</v>
      </c>
      <c r="E28" s="289">
        <v>24678.6651265037</v>
      </c>
      <c r="F28" s="289">
        <v>34918.862250409962</v>
      </c>
      <c r="G28" s="289">
        <v>42991.035998498301</v>
      </c>
      <c r="H28" s="289">
        <v>50314.476297787107</v>
      </c>
      <c r="I28" s="289">
        <v>56004.99969613563</v>
      </c>
      <c r="J28" s="289">
        <v>71530.174841550863</v>
      </c>
      <c r="K28" s="289">
        <v>84435.774205583555</v>
      </c>
      <c r="L28" s="289">
        <v>72633.965083917778</v>
      </c>
      <c r="M28" s="471">
        <v>70641.085363386388</v>
      </c>
      <c r="N28" s="289">
        <v>12063.833519251324</v>
      </c>
      <c r="O28" s="289">
        <v>18220.1412319519</v>
      </c>
      <c r="P28" s="289">
        <v>19563.628462160523</v>
      </c>
      <c r="Q28" s="289">
        <v>26426.508867223765</v>
      </c>
      <c r="R28" s="290">
        <v>34034.689156365537</v>
      </c>
      <c r="S28" s="290">
        <v>29574.329380314892</v>
      </c>
      <c r="T28" s="290">
        <v>29352.140738297872</v>
      </c>
      <c r="U28" s="290">
        <v>33372.196435917016</v>
      </c>
      <c r="V28" s="291">
        <v>33571.578279100657</v>
      </c>
      <c r="W28" s="291">
        <v>36552.083013530864</v>
      </c>
      <c r="X28" s="291">
        <v>38983.322724343365</v>
      </c>
      <c r="Y28" s="310"/>
    </row>
    <row r="29" spans="1:25" x14ac:dyDescent="0.2">
      <c r="A29" s="114">
        <v>23</v>
      </c>
      <c r="B29" s="115" t="s">
        <v>22</v>
      </c>
      <c r="C29" s="289">
        <v>18025.07336930796</v>
      </c>
      <c r="D29" s="289">
        <v>22126.786390289068</v>
      </c>
      <c r="E29" s="289">
        <v>27826.86653374042</v>
      </c>
      <c r="F29" s="289">
        <v>26295.123997532388</v>
      </c>
      <c r="G29" s="293" t="s">
        <v>47</v>
      </c>
      <c r="H29" s="293" t="s">
        <v>42</v>
      </c>
      <c r="I29" s="293" t="s">
        <v>42</v>
      </c>
      <c r="J29" s="293" t="s">
        <v>42</v>
      </c>
      <c r="K29" s="293" t="s">
        <v>42</v>
      </c>
      <c r="L29" s="289">
        <v>0</v>
      </c>
      <c r="M29" s="471">
        <v>0</v>
      </c>
      <c r="N29" s="289">
        <v>58628.205128205132</v>
      </c>
      <c r="O29" s="289">
        <v>3378.4081632653065</v>
      </c>
      <c r="P29" s="289">
        <v>19113.111111111113</v>
      </c>
      <c r="Q29" s="289">
        <v>3116</v>
      </c>
      <c r="R29" s="293" t="s">
        <v>47</v>
      </c>
      <c r="S29" s="293" t="s">
        <v>42</v>
      </c>
      <c r="T29" s="293" t="s">
        <v>42</v>
      </c>
      <c r="U29" s="293" t="s">
        <v>42</v>
      </c>
      <c r="V29" s="292" t="s">
        <v>42</v>
      </c>
      <c r="W29" s="292">
        <v>0</v>
      </c>
      <c r="X29" s="291">
        <v>0</v>
      </c>
      <c r="Y29" s="310"/>
    </row>
    <row r="30" spans="1:25" x14ac:dyDescent="0.2">
      <c r="A30" s="114">
        <v>24</v>
      </c>
      <c r="B30" s="115" t="s">
        <v>23</v>
      </c>
      <c r="C30" s="289">
        <v>36991.505563691207</v>
      </c>
      <c r="D30" s="289">
        <v>40683.215901578704</v>
      </c>
      <c r="E30" s="289">
        <v>49541.542801966214</v>
      </c>
      <c r="F30" s="289">
        <v>49894.664232504234</v>
      </c>
      <c r="G30" s="289">
        <v>50774.929470811941</v>
      </c>
      <c r="H30" s="289">
        <v>56513.101017330067</v>
      </c>
      <c r="I30" s="289">
        <v>59399.196546508501</v>
      </c>
      <c r="J30" s="289">
        <v>65897.592298572374</v>
      </c>
      <c r="K30" s="289">
        <v>64954.460544327922</v>
      </c>
      <c r="L30" s="289">
        <v>70071.660259443757</v>
      </c>
      <c r="M30" s="471">
        <v>88080.117759846398</v>
      </c>
      <c r="N30" s="289">
        <v>31045.535489877839</v>
      </c>
      <c r="O30" s="289">
        <v>38307.293846867542</v>
      </c>
      <c r="P30" s="289">
        <v>51423.916588913387</v>
      </c>
      <c r="Q30" s="289">
        <v>64149.270149038814</v>
      </c>
      <c r="R30" s="290">
        <v>70641.092928207538</v>
      </c>
      <c r="S30" s="290">
        <v>80780.521002568421</v>
      </c>
      <c r="T30" s="290">
        <v>80753.32908026356</v>
      </c>
      <c r="U30" s="290">
        <v>93386.50923536878</v>
      </c>
      <c r="V30" s="291">
        <v>103553.83296508566</v>
      </c>
      <c r="W30" s="291">
        <v>111310.3228218029</v>
      </c>
      <c r="X30" s="291">
        <v>120117.07048101167</v>
      </c>
      <c r="Y30" s="310"/>
    </row>
    <row r="31" spans="1:25" x14ac:dyDescent="0.2">
      <c r="A31" s="114">
        <v>25</v>
      </c>
      <c r="B31" s="115" t="s">
        <v>24</v>
      </c>
      <c r="C31" s="289">
        <v>32397.05514789412</v>
      </c>
      <c r="D31" s="289">
        <v>31405.903613289309</v>
      </c>
      <c r="E31" s="289">
        <v>44748.496041247054</v>
      </c>
      <c r="F31" s="289">
        <v>51071.844921431904</v>
      </c>
      <c r="G31" s="289">
        <v>54832.684814395579</v>
      </c>
      <c r="H31" s="289">
        <v>59415.622716244652</v>
      </c>
      <c r="I31" s="289">
        <v>66383.48373524296</v>
      </c>
      <c r="J31" s="289">
        <v>67908.657157702633</v>
      </c>
      <c r="K31" s="289">
        <v>82954.425773631752</v>
      </c>
      <c r="L31" s="289">
        <v>90590.366129733069</v>
      </c>
      <c r="M31" s="471">
        <v>95910.454176404179</v>
      </c>
      <c r="N31" s="289">
        <v>16214.404877257301</v>
      </c>
      <c r="O31" s="289">
        <v>11795.180961159824</v>
      </c>
      <c r="P31" s="289">
        <v>20409.048241184915</v>
      </c>
      <c r="Q31" s="289">
        <v>15190.37642740318</v>
      </c>
      <c r="R31" s="290">
        <v>14490.564890142137</v>
      </c>
      <c r="S31" s="290">
        <v>14450.73215149291</v>
      </c>
      <c r="T31" s="290">
        <v>15465.81553806836</v>
      </c>
      <c r="U31" s="290">
        <v>17572.263381292047</v>
      </c>
      <c r="V31" s="291">
        <v>18245.373829049615</v>
      </c>
      <c r="W31" s="291">
        <v>12633.191267692762</v>
      </c>
      <c r="X31" s="291">
        <v>20178.922808571395</v>
      </c>
      <c r="Y31" s="310"/>
    </row>
    <row r="32" spans="1:25" x14ac:dyDescent="0.2">
      <c r="A32" s="114">
        <v>26</v>
      </c>
      <c r="B32" s="115" t="s">
        <v>25</v>
      </c>
      <c r="C32" s="289">
        <v>34654.101329933314</v>
      </c>
      <c r="D32" s="289">
        <v>32783.758535498717</v>
      </c>
      <c r="E32" s="289">
        <v>37607.507071269494</v>
      </c>
      <c r="F32" s="289">
        <v>38019.910596833142</v>
      </c>
      <c r="G32" s="289">
        <v>34506.782608695663</v>
      </c>
      <c r="H32" s="289">
        <v>0</v>
      </c>
      <c r="I32" s="289">
        <v>63875.63636363636</v>
      </c>
      <c r="J32" s="289">
        <v>106369.789473684</v>
      </c>
      <c r="K32" s="289">
        <v>75722.547112462009</v>
      </c>
      <c r="L32" s="289">
        <v>82326.908097165913</v>
      </c>
      <c r="M32" s="471">
        <v>77466.413488208476</v>
      </c>
      <c r="N32" s="289">
        <v>44464.388214405873</v>
      </c>
      <c r="O32" s="289">
        <v>48896.701473406421</v>
      </c>
      <c r="P32" s="289">
        <v>55283.282808897413</v>
      </c>
      <c r="Q32" s="289">
        <v>55688.395486262933</v>
      </c>
      <c r="R32" s="290">
        <v>63579.341313140496</v>
      </c>
      <c r="S32" s="290">
        <v>83098.043003475657</v>
      </c>
      <c r="T32" s="290">
        <v>88509.514367368683</v>
      </c>
      <c r="U32" s="290">
        <v>89221.75254361541</v>
      </c>
      <c r="V32" s="291">
        <v>75721.614217192822</v>
      </c>
      <c r="W32" s="291">
        <v>83000.183192482</v>
      </c>
      <c r="X32" s="291">
        <v>95997.835286798523</v>
      </c>
      <c r="Y32" s="310"/>
    </row>
    <row r="33" spans="1:25" x14ac:dyDescent="0.2">
      <c r="A33" s="114">
        <v>27</v>
      </c>
      <c r="B33" s="115" t="s">
        <v>26</v>
      </c>
      <c r="C33" s="289">
        <v>29838.058028437074</v>
      </c>
      <c r="D33" s="289">
        <v>34693.87647443264</v>
      </c>
      <c r="E33" s="289">
        <v>47443.904791545916</v>
      </c>
      <c r="F33" s="289">
        <v>45701.60535420425</v>
      </c>
      <c r="G33" s="289">
        <v>55319.876560298995</v>
      </c>
      <c r="H33" s="289">
        <v>63361.705774750575</v>
      </c>
      <c r="I33" s="289">
        <v>76161.569507897249</v>
      </c>
      <c r="J33" s="289">
        <v>95115.758539119619</v>
      </c>
      <c r="K33" s="289">
        <v>127518.27730288295</v>
      </c>
      <c r="L33" s="289">
        <v>115570.13712094389</v>
      </c>
      <c r="M33" s="471">
        <v>91912.985072448748</v>
      </c>
      <c r="N33" s="289">
        <v>199211.02994011977</v>
      </c>
      <c r="O33" s="289">
        <v>122214.46110201952</v>
      </c>
      <c r="P33" s="289">
        <v>104789.68617753618</v>
      </c>
      <c r="Q33" s="289">
        <v>113970.7680137506</v>
      </c>
      <c r="R33" s="290">
        <v>118824.60505234137</v>
      </c>
      <c r="S33" s="290">
        <v>108365.49592246625</v>
      </c>
      <c r="T33" s="290">
        <v>113568.40813614646</v>
      </c>
      <c r="U33" s="290">
        <v>128792.00620941441</v>
      </c>
      <c r="V33" s="291">
        <v>147171.70554419642</v>
      </c>
      <c r="W33" s="291">
        <v>126109.09524029466</v>
      </c>
      <c r="X33" s="291">
        <v>120186.15082348048</v>
      </c>
      <c r="Y33" s="310"/>
    </row>
    <row r="34" spans="1:25" x14ac:dyDescent="0.2">
      <c r="A34" s="278"/>
      <c r="B34" s="279" t="s">
        <v>43</v>
      </c>
      <c r="C34" s="107">
        <v>34340.197582917026</v>
      </c>
      <c r="D34" s="107">
        <v>34051.883458861019</v>
      </c>
      <c r="E34" s="107">
        <v>44501.393158905579</v>
      </c>
      <c r="F34" s="107">
        <v>55241.824473421861</v>
      </c>
      <c r="G34" s="107">
        <v>58570.060435978805</v>
      </c>
      <c r="H34" s="107">
        <v>64973.571513653515</v>
      </c>
      <c r="I34" s="107">
        <v>74956.707156730496</v>
      </c>
      <c r="J34" s="107">
        <v>89730.645603778132</v>
      </c>
      <c r="K34" s="107">
        <v>97418.063808905907</v>
      </c>
      <c r="L34" s="107">
        <v>98018.477732338317</v>
      </c>
      <c r="M34" s="107">
        <v>105135.74905768629</v>
      </c>
      <c r="N34" s="107">
        <v>46630.952087503734</v>
      </c>
      <c r="O34" s="107">
        <v>50856.027450095877</v>
      </c>
      <c r="P34" s="107">
        <v>60636.419649984862</v>
      </c>
      <c r="Q34" s="107">
        <v>67190.552774550364</v>
      </c>
      <c r="R34" s="294">
        <v>72770.770076652465</v>
      </c>
      <c r="S34" s="294">
        <v>81433.574816193024</v>
      </c>
      <c r="T34" s="294">
        <v>85833.767496689194</v>
      </c>
      <c r="U34" s="294">
        <v>102093.68807416542</v>
      </c>
      <c r="V34" s="295">
        <v>111269</v>
      </c>
      <c r="W34" s="107">
        <v>108001.48811742873</v>
      </c>
      <c r="X34" s="291">
        <v>114476.95478321573</v>
      </c>
      <c r="Y34" s="310"/>
    </row>
    <row r="35" spans="1:25" ht="16.5" customHeight="1" x14ac:dyDescent="0.2">
      <c r="A35" s="278"/>
      <c r="B35" s="279" t="s">
        <v>44</v>
      </c>
      <c r="C35" s="107">
        <v>18272.661017048165</v>
      </c>
      <c r="D35" s="107">
        <v>18016.85241393813</v>
      </c>
      <c r="E35" s="107">
        <v>24825.46023802508</v>
      </c>
      <c r="F35" s="107">
        <v>26991.996525570259</v>
      </c>
      <c r="G35" s="107">
        <v>26999.365378013033</v>
      </c>
      <c r="H35" s="107">
        <v>27003.313686669309</v>
      </c>
      <c r="I35" s="107">
        <v>30951.225608989462</v>
      </c>
      <c r="J35" s="107">
        <v>30700.555167022154</v>
      </c>
      <c r="K35" s="107">
        <v>34932.922735700799</v>
      </c>
      <c r="L35" s="107">
        <v>34684.696035368943</v>
      </c>
      <c r="M35" s="107">
        <v>41955.081739988243</v>
      </c>
      <c r="N35" s="107">
        <v>43968.903527341514</v>
      </c>
      <c r="O35" s="107">
        <v>48484.425986351853</v>
      </c>
      <c r="P35" s="107">
        <v>60526.258623321104</v>
      </c>
      <c r="Q35" s="107">
        <v>67145.441668757354</v>
      </c>
      <c r="R35" s="294">
        <v>71889.341714426642</v>
      </c>
      <c r="S35" s="294">
        <v>80137.715801096478</v>
      </c>
      <c r="T35" s="294">
        <v>85253.606109388988</v>
      </c>
      <c r="U35" s="294">
        <v>99725.434673522788</v>
      </c>
      <c r="V35" s="295">
        <v>109723</v>
      </c>
      <c r="W35" s="107">
        <v>107648.75648193632</v>
      </c>
      <c r="X35" s="291">
        <v>116396.13563080534</v>
      </c>
      <c r="Y35" s="310"/>
    </row>
    <row r="36" spans="1:25" ht="12.75" customHeight="1" x14ac:dyDescent="0.2">
      <c r="A36" s="386" t="s">
        <v>294</v>
      </c>
      <c r="B36" s="387"/>
      <c r="C36" s="147"/>
      <c r="D36" s="147"/>
      <c r="E36" s="147"/>
      <c r="F36" s="147"/>
      <c r="G36" s="147"/>
      <c r="H36" s="147"/>
      <c r="I36" s="147"/>
      <c r="J36" s="147"/>
      <c r="K36" s="147"/>
      <c r="L36" s="147"/>
      <c r="M36" s="147"/>
      <c r="N36" s="147"/>
      <c r="O36" s="147"/>
      <c r="P36" s="388"/>
      <c r="Q36" s="388"/>
      <c r="R36" s="388"/>
      <c r="S36" s="388"/>
      <c r="T36" s="389"/>
      <c r="U36" s="389"/>
      <c r="V36" s="388"/>
      <c r="W36" s="388"/>
    </row>
    <row r="37" spans="1:25" ht="18" customHeight="1" x14ac:dyDescent="0.2">
      <c r="A37" s="390" t="s">
        <v>293</v>
      </c>
      <c r="B37" s="391"/>
      <c r="C37" s="391"/>
      <c r="D37" s="391"/>
      <c r="E37" s="391"/>
      <c r="F37" s="391"/>
      <c r="G37" s="391"/>
      <c r="H37" s="391"/>
      <c r="I37" s="391"/>
      <c r="J37" s="391"/>
      <c r="K37" s="391"/>
      <c r="L37" s="391"/>
      <c r="M37" s="391"/>
      <c r="N37" s="388"/>
      <c r="O37" s="388"/>
      <c r="P37" s="388"/>
      <c r="Q37" s="388"/>
      <c r="R37" s="388"/>
      <c r="S37" s="388"/>
      <c r="T37" s="388"/>
      <c r="U37" s="388"/>
      <c r="V37" s="388"/>
      <c r="W37" s="388"/>
    </row>
    <row r="38" spans="1:25" x14ac:dyDescent="0.2">
      <c r="A38" s="521" t="s">
        <v>395</v>
      </c>
      <c r="B38" s="521"/>
      <c r="C38" s="521"/>
      <c r="D38" s="521"/>
      <c r="E38" s="521"/>
      <c r="F38" s="521"/>
      <c r="G38" s="521"/>
      <c r="H38" s="521"/>
      <c r="I38" s="521"/>
      <c r="J38" s="521"/>
      <c r="K38" s="521"/>
      <c r="L38" s="521"/>
      <c r="M38" s="432"/>
    </row>
  </sheetData>
  <mergeCells count="7">
    <mergeCell ref="A38:L38"/>
    <mergeCell ref="A1:U1"/>
    <mergeCell ref="A3:A4"/>
    <mergeCell ref="B3:B4"/>
    <mergeCell ref="A2:W2"/>
    <mergeCell ref="C3:M3"/>
    <mergeCell ref="N3:X3"/>
  </mergeCells>
  <printOptions horizontalCentered="1" verticalCentered="1"/>
  <pageMargins left="0.7" right="0.7" top="0.75" bottom="0.75" header="0.3" footer="0.3"/>
  <pageSetup paperSize="9" scale="62"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B050"/>
    <pageSetUpPr fitToPage="1"/>
  </sheetPr>
  <dimension ref="A1:KE99"/>
  <sheetViews>
    <sheetView showWhiteSpace="0" zoomScale="112" zoomScaleNormal="112" zoomScalePageLayoutView="60" workbookViewId="0">
      <pane xSplit="2" ySplit="3" topLeftCell="JT7" activePane="bottomRight" state="frozen"/>
      <selection activeCell="C28" sqref="A28:XFD28"/>
      <selection pane="topRight" activeCell="C28" sqref="A28:XFD28"/>
      <selection pane="bottomLeft" activeCell="C28" sqref="A28:XFD28"/>
      <selection pane="bottomRight"/>
    </sheetView>
  </sheetViews>
  <sheetFormatPr defaultColWidth="9.140625" defaultRowHeight="12.75" x14ac:dyDescent="0.2"/>
  <cols>
    <col min="1" max="1" width="8" style="150" customWidth="1"/>
    <col min="2" max="2" width="32.28515625" style="159" bestFit="1" customWidth="1"/>
    <col min="3" max="3" width="14.42578125" style="160" bestFit="1" customWidth="1"/>
    <col min="4" max="4" width="14.140625" style="160" bestFit="1" customWidth="1"/>
    <col min="5" max="5" width="12.5703125" style="160" bestFit="1" customWidth="1"/>
    <col min="6" max="6" width="13" style="160" bestFit="1" customWidth="1"/>
    <col min="7" max="7" width="13.7109375" style="160" bestFit="1" customWidth="1"/>
    <col min="8" max="8" width="14.42578125" style="160" bestFit="1" customWidth="1"/>
    <col min="9" max="9" width="14.140625" style="160" bestFit="1" customWidth="1"/>
    <col min="10" max="10" width="14.42578125" style="160" bestFit="1" customWidth="1"/>
    <col min="11" max="11" width="14" style="160" bestFit="1" customWidth="1"/>
    <col min="12" max="15" width="14" style="160" customWidth="1"/>
    <col min="16" max="16" width="11.28515625" style="159" bestFit="1" customWidth="1"/>
    <col min="17" max="17" width="12" style="159" bestFit="1" customWidth="1"/>
    <col min="18" max="18" width="11.85546875" style="159" bestFit="1" customWidth="1"/>
    <col min="19" max="20" width="11.140625" style="159" bestFit="1" customWidth="1"/>
    <col min="21" max="21" width="11.28515625" style="159" bestFit="1" customWidth="1"/>
    <col min="22" max="22" width="11.140625" style="159" bestFit="1" customWidth="1"/>
    <col min="23" max="23" width="11.140625" style="160" bestFit="1" customWidth="1"/>
    <col min="24" max="24" width="11.5703125" style="160" bestFit="1" customWidth="1"/>
    <col min="25" max="26" width="14" style="160" customWidth="1"/>
    <col min="27" max="30" width="10.42578125" style="160" bestFit="1" customWidth="1"/>
    <col min="31" max="31" width="10.5703125" style="160" bestFit="1" customWidth="1"/>
    <col min="32" max="34" width="11.140625" style="160" bestFit="1" customWidth="1"/>
    <col min="35" max="35" width="11.5703125" style="160" bestFit="1" customWidth="1"/>
    <col min="36" max="37" width="14" style="160" customWidth="1"/>
    <col min="38" max="38" width="11.28515625" style="160" bestFit="1" customWidth="1"/>
    <col min="39" max="40" width="10.42578125" style="160" bestFit="1" customWidth="1"/>
    <col min="41" max="41" width="10.5703125" style="160" bestFit="1" customWidth="1"/>
    <col min="42" max="42" width="10.85546875" style="160" bestFit="1" customWidth="1"/>
    <col min="43" max="45" width="11.140625" style="160" bestFit="1" customWidth="1"/>
    <col min="46" max="46" width="11.5703125" style="160" bestFit="1" customWidth="1"/>
    <col min="47" max="48" width="14" style="160" customWidth="1"/>
    <col min="49" max="49" width="11.140625" style="160" bestFit="1" customWidth="1"/>
    <col min="50" max="50" width="11.28515625" style="160" bestFit="1" customWidth="1"/>
    <col min="51" max="51" width="10.85546875" style="160" bestFit="1" customWidth="1"/>
    <col min="52" max="52" width="10.42578125" style="160" bestFit="1" customWidth="1"/>
    <col min="53" max="53" width="10.85546875" style="160" bestFit="1" customWidth="1"/>
    <col min="54" max="56" width="11.140625" style="160" bestFit="1" customWidth="1"/>
    <col min="57" max="57" width="11.5703125" style="160" bestFit="1" customWidth="1"/>
    <col min="58" max="59" width="14" style="160" customWidth="1"/>
    <col min="60" max="60" width="12.7109375" style="160" bestFit="1" customWidth="1"/>
    <col min="61" max="61" width="11.28515625" style="160" bestFit="1" customWidth="1"/>
    <col min="62" max="62" width="10.5703125" style="160" bestFit="1" customWidth="1"/>
    <col min="63" max="63" width="10.85546875" style="160" bestFit="1" customWidth="1"/>
    <col min="64" max="64" width="10.5703125" style="160" bestFit="1" customWidth="1"/>
    <col min="65" max="67" width="11.140625" style="160" bestFit="1" customWidth="1"/>
    <col min="68" max="68" width="11.5703125" style="160" bestFit="1" customWidth="1"/>
    <col min="69" max="70" width="14" style="160" customWidth="1"/>
    <col min="71" max="71" width="10.85546875" style="160" bestFit="1" customWidth="1"/>
    <col min="72" max="72" width="11.140625" style="160" bestFit="1" customWidth="1"/>
    <col min="73" max="73" width="10.42578125" style="160" bestFit="1" customWidth="1"/>
    <col min="74" max="75" width="11.28515625" style="160" bestFit="1" customWidth="1"/>
    <col min="76" max="78" width="11.140625" style="160" bestFit="1" customWidth="1"/>
    <col min="79" max="79" width="11.5703125" style="160" bestFit="1" customWidth="1"/>
    <col min="80" max="81" width="14" style="160" customWidth="1"/>
    <col min="82" max="85" width="10.42578125" style="160" bestFit="1" customWidth="1"/>
    <col min="86" max="86" width="10.5703125" style="160" bestFit="1" customWidth="1"/>
    <col min="87" max="89" width="11.140625" style="160" bestFit="1" customWidth="1"/>
    <col min="90" max="90" width="11.5703125" style="160" bestFit="1" customWidth="1"/>
    <col min="91" max="94" width="14" style="160" customWidth="1"/>
    <col min="95" max="95" width="10.85546875" style="160" bestFit="1" customWidth="1"/>
    <col min="96" max="96" width="10.5703125" style="160" bestFit="1" customWidth="1"/>
    <col min="97" max="97" width="10.85546875" style="160" bestFit="1" customWidth="1"/>
    <col min="98" max="98" width="10.42578125" style="160" bestFit="1" customWidth="1"/>
    <col min="99" max="99" width="10.85546875" style="160" bestFit="1" customWidth="1"/>
    <col min="100" max="101" width="11.140625" style="160" bestFit="1" customWidth="1"/>
    <col min="102" max="102" width="11.28515625" style="160" bestFit="1" customWidth="1"/>
    <col min="103" max="103" width="11.5703125" style="160" bestFit="1" customWidth="1"/>
    <col min="104" max="105" width="14" style="160" customWidth="1"/>
    <col min="106" max="106" width="10.85546875" style="160" bestFit="1" customWidth="1"/>
    <col min="107" max="108" width="11.140625" style="160" bestFit="1" customWidth="1"/>
    <col min="109" max="109" width="10.85546875" style="160" bestFit="1" customWidth="1"/>
    <col min="110" max="112" width="11.28515625" style="160" bestFit="1" customWidth="1"/>
    <col min="113" max="113" width="11.140625" style="160" bestFit="1" customWidth="1"/>
    <col min="114" max="114" width="11.5703125" style="160" bestFit="1" customWidth="1"/>
    <col min="115" max="115" width="10.42578125" style="160" bestFit="1" customWidth="1"/>
    <col min="116" max="116" width="10.5703125" style="160" bestFit="1" customWidth="1"/>
    <col min="117" max="118" width="10.42578125" style="160" bestFit="1" customWidth="1"/>
    <col min="119" max="119" width="10.5703125" style="160" bestFit="1" customWidth="1"/>
    <col min="120" max="122" width="11.140625" style="160" bestFit="1" customWidth="1"/>
    <col min="123" max="123" width="11.5703125" style="160" bestFit="1" customWidth="1"/>
    <col min="124" max="127" width="14" style="160" customWidth="1"/>
    <col min="128" max="128" width="11.140625" style="160" bestFit="1" customWidth="1"/>
    <col min="129" max="129" width="11.28515625" style="160" bestFit="1" customWidth="1"/>
    <col min="130" max="130" width="10.42578125" style="160" bestFit="1" customWidth="1"/>
    <col min="131" max="131" width="10.85546875" style="160" bestFit="1" customWidth="1"/>
    <col min="132" max="132" width="10.5703125" style="160" bestFit="1" customWidth="1"/>
    <col min="133" max="133" width="12" style="160" bestFit="1" customWidth="1"/>
    <col min="134" max="134" width="11.28515625" style="160" bestFit="1" customWidth="1"/>
    <col min="135" max="135" width="11.5703125" style="160" bestFit="1" customWidth="1"/>
    <col min="136" max="136" width="11.85546875" style="160" bestFit="1" customWidth="1"/>
    <col min="137" max="138" width="14" style="160" customWidth="1"/>
    <col min="139" max="139" width="12.7109375" style="160" bestFit="1" customWidth="1"/>
    <col min="140" max="140" width="11.85546875" style="160" bestFit="1" customWidth="1"/>
    <col min="141" max="142" width="11.28515625" style="160" bestFit="1" customWidth="1"/>
    <col min="143" max="143" width="11.5703125" style="160" bestFit="1" customWidth="1"/>
    <col min="144" max="144" width="12.28515625" style="160" bestFit="1" customWidth="1"/>
    <col min="145" max="145" width="11.85546875" style="160" bestFit="1" customWidth="1"/>
    <col min="146" max="146" width="12.28515625" style="160" bestFit="1" customWidth="1"/>
    <col min="147" max="147" width="12" style="160" bestFit="1" customWidth="1"/>
    <col min="148" max="149" width="14" style="160" customWidth="1"/>
    <col min="150" max="153" width="10.42578125" style="160" bestFit="1" customWidth="1"/>
    <col min="154" max="154" width="10.5703125" style="160" bestFit="1" customWidth="1"/>
    <col min="155" max="157" width="11.140625" style="160" bestFit="1" customWidth="1"/>
    <col min="158" max="158" width="11.5703125" style="160" bestFit="1" customWidth="1"/>
    <col min="159" max="160" width="14" style="160" customWidth="1"/>
    <col min="161" max="161" width="11.140625" style="160" bestFit="1" customWidth="1"/>
    <col min="162" max="162" width="11.85546875" style="160" bestFit="1" customWidth="1"/>
    <col min="163" max="163" width="11.140625" style="160" bestFit="1" customWidth="1"/>
    <col min="164" max="164" width="11.28515625" style="160" bestFit="1" customWidth="1"/>
    <col min="165" max="165" width="12" style="160" bestFit="1" customWidth="1"/>
    <col min="166" max="166" width="12.28515625" style="160" bestFit="1" customWidth="1"/>
    <col min="167" max="167" width="11.85546875" style="160" bestFit="1" customWidth="1"/>
    <col min="168" max="169" width="11.5703125" style="160" bestFit="1" customWidth="1"/>
    <col min="170" max="171" width="14" style="160" customWidth="1"/>
    <col min="172" max="172" width="11.28515625" style="160" bestFit="1" customWidth="1"/>
    <col min="173" max="173" width="10.85546875" style="160" bestFit="1" customWidth="1"/>
    <col min="174" max="175" width="11.140625" style="160" bestFit="1" customWidth="1"/>
    <col min="176" max="176" width="10.85546875" style="160" bestFit="1" customWidth="1"/>
    <col min="177" max="179" width="11.140625" style="160" bestFit="1" customWidth="1"/>
    <col min="180" max="180" width="11.5703125" style="160" bestFit="1" customWidth="1"/>
    <col min="181" max="182" width="14" style="160" customWidth="1"/>
    <col min="183" max="186" width="10.42578125" style="160" bestFit="1" customWidth="1"/>
    <col min="187" max="187" width="10.5703125" style="160" bestFit="1" customWidth="1"/>
    <col min="188" max="190" width="11.140625" style="160" bestFit="1" customWidth="1"/>
    <col min="191" max="191" width="11.5703125" style="160" bestFit="1" customWidth="1"/>
    <col min="192" max="193" width="14" style="160" customWidth="1"/>
    <col min="194" max="197" width="10.42578125" style="160" bestFit="1" customWidth="1"/>
    <col min="198" max="198" width="10.5703125" style="160" bestFit="1" customWidth="1"/>
    <col min="199" max="201" width="11.140625" style="160" bestFit="1" customWidth="1"/>
    <col min="202" max="202" width="11.5703125" style="160" bestFit="1" customWidth="1"/>
    <col min="203" max="204" width="14" style="160" customWidth="1"/>
    <col min="205" max="205" width="12.5703125" style="160" bestFit="1" customWidth="1"/>
    <col min="206" max="206" width="12.7109375" style="160" bestFit="1" customWidth="1"/>
    <col min="207" max="207" width="12" style="160" bestFit="1" customWidth="1"/>
    <col min="208" max="208" width="11.140625" style="160" bestFit="1" customWidth="1"/>
    <col min="209" max="209" width="10.85546875" style="160" bestFit="1" customWidth="1"/>
    <col min="210" max="210" width="11.140625" style="160" bestFit="1" customWidth="1"/>
    <col min="211" max="211" width="11.28515625" style="160" bestFit="1" customWidth="1"/>
    <col min="212" max="212" width="11.140625" style="160" bestFit="1" customWidth="1"/>
    <col min="213" max="213" width="11.5703125" style="160" bestFit="1" customWidth="1"/>
    <col min="214" max="215" width="14" style="160" customWidth="1"/>
    <col min="216" max="216" width="10.85546875" style="160" bestFit="1" customWidth="1"/>
    <col min="217" max="217" width="10.42578125" style="160" bestFit="1" customWidth="1"/>
    <col min="218" max="218" width="10.85546875" style="160" bestFit="1" customWidth="1"/>
    <col min="219" max="219" width="10.42578125" style="160" bestFit="1" customWidth="1"/>
    <col min="220" max="220" width="10.85546875" style="160" bestFit="1" customWidth="1"/>
    <col min="221" max="223" width="11.140625" style="160" bestFit="1" customWidth="1"/>
    <col min="224" max="224" width="11.5703125" style="160" bestFit="1" customWidth="1"/>
    <col min="225" max="225" width="14" style="160" customWidth="1"/>
    <col min="226" max="226" width="11.5703125" style="160" bestFit="1" customWidth="1"/>
    <col min="227" max="227" width="11.28515625" style="160" bestFit="1" customWidth="1"/>
    <col min="228" max="228" width="10.5703125" style="160" bestFit="1" customWidth="1"/>
    <col min="229" max="230" width="11.85546875" style="160" bestFit="1" customWidth="1"/>
    <col min="231" max="231" width="11.140625" style="160" bestFit="1" customWidth="1"/>
    <col min="232" max="232" width="12" style="160" bestFit="1" customWidth="1"/>
    <col min="233" max="233" width="11.85546875" style="160" bestFit="1" customWidth="1"/>
    <col min="234" max="234" width="12.28515625" style="160" bestFit="1" customWidth="1"/>
    <col min="235" max="236" width="14" style="160" customWidth="1"/>
    <col min="237" max="240" width="10.42578125" style="160" bestFit="1" customWidth="1"/>
    <col min="241" max="241" width="10.5703125" style="160" bestFit="1" customWidth="1"/>
    <col min="242" max="244" width="11.140625" style="160" bestFit="1" customWidth="1"/>
    <col min="245" max="245" width="11.5703125" style="160" bestFit="1" customWidth="1"/>
    <col min="246" max="247" width="14" style="160" customWidth="1"/>
    <col min="248" max="251" width="10.42578125" style="160" bestFit="1" customWidth="1"/>
    <col min="252" max="252" width="10.5703125" style="160" bestFit="1" customWidth="1"/>
    <col min="253" max="255" width="11.140625" style="160" bestFit="1" customWidth="1"/>
    <col min="256" max="256" width="11.5703125" style="160" bestFit="1" customWidth="1"/>
    <col min="257" max="258" width="14" style="160" customWidth="1"/>
    <col min="259" max="259" width="11.85546875" style="160" bestFit="1" customWidth="1"/>
    <col min="260" max="260" width="11.28515625" style="160" bestFit="1" customWidth="1"/>
    <col min="261" max="261" width="10.85546875" style="160" bestFit="1" customWidth="1"/>
    <col min="262" max="264" width="11.28515625" style="160" bestFit="1" customWidth="1"/>
    <col min="265" max="266" width="11.140625" style="160" bestFit="1" customWidth="1"/>
    <col min="267" max="267" width="11.5703125" style="160" bestFit="1" customWidth="1"/>
    <col min="268" max="269" width="14" style="160" customWidth="1"/>
    <col min="270" max="270" width="13.28515625" style="160" bestFit="1" customWidth="1"/>
    <col min="271" max="271" width="12.5703125" style="160" bestFit="1" customWidth="1"/>
    <col min="272" max="272" width="11.85546875" style="160" bestFit="1" customWidth="1"/>
    <col min="273" max="273" width="12.5703125" style="160" bestFit="1" customWidth="1"/>
    <col min="274" max="274" width="13" style="160" bestFit="1" customWidth="1"/>
    <col min="275" max="275" width="14.140625" style="160" bestFit="1" customWidth="1"/>
    <col min="276" max="276" width="13.42578125" style="160" bestFit="1" customWidth="1"/>
    <col min="277" max="277" width="12.5703125" style="160" bestFit="1" customWidth="1"/>
    <col min="278" max="278" width="14.85546875" style="160" bestFit="1" customWidth="1"/>
    <col min="279" max="280" width="14.85546875" style="160" customWidth="1"/>
    <col min="281" max="281" width="14.85546875" style="160" bestFit="1" customWidth="1"/>
    <col min="282" max="282" width="14.42578125" style="150" bestFit="1" customWidth="1"/>
    <col min="283" max="283" width="14.7109375" style="150" bestFit="1" customWidth="1"/>
    <col min="284" max="285" width="14.42578125" style="150" bestFit="1" customWidth="1"/>
    <col min="286" max="286" width="14.7109375" style="150" bestFit="1" customWidth="1"/>
    <col min="287" max="287" width="14.42578125" style="150" bestFit="1" customWidth="1"/>
    <col min="288" max="288" width="14.85546875" style="160" bestFit="1" customWidth="1"/>
    <col min="289" max="289" width="15.42578125" style="150" bestFit="1" customWidth="1"/>
    <col min="290" max="291" width="12.85546875" style="150" bestFit="1" customWidth="1"/>
    <col min="292" max="16384" width="9.140625" style="150"/>
  </cols>
  <sheetData>
    <row r="1" spans="1:291" ht="26.25" customHeight="1" x14ac:dyDescent="0.2">
      <c r="A1" s="148" t="s">
        <v>377</v>
      </c>
      <c r="B1" s="148"/>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c r="AI1" s="148"/>
      <c r="AJ1" s="148"/>
      <c r="AK1" s="148"/>
      <c r="AL1" s="148"/>
      <c r="AM1" s="148"/>
      <c r="AN1" s="148"/>
      <c r="AO1" s="148"/>
      <c r="AP1" s="148"/>
      <c r="AQ1" s="148"/>
      <c r="AR1" s="148"/>
      <c r="AS1" s="148"/>
      <c r="AT1" s="148"/>
      <c r="AU1" s="148"/>
      <c r="AV1" s="148"/>
      <c r="AW1" s="148"/>
      <c r="AX1" s="148"/>
      <c r="AY1" s="148"/>
      <c r="AZ1" s="148"/>
      <c r="BA1" s="148"/>
      <c r="BB1" s="148"/>
      <c r="BC1" s="148"/>
      <c r="BD1" s="148"/>
      <c r="BE1" s="148"/>
      <c r="BF1" s="148"/>
      <c r="BG1" s="148"/>
      <c r="BH1" s="148"/>
      <c r="BI1" s="148"/>
      <c r="BJ1" s="148"/>
      <c r="BK1" s="148"/>
      <c r="BL1" s="148"/>
      <c r="BM1" s="148"/>
      <c r="BN1" s="148"/>
      <c r="BO1" s="148"/>
      <c r="BP1" s="148"/>
      <c r="BQ1" s="148"/>
      <c r="BR1" s="148"/>
      <c r="BS1" s="148"/>
      <c r="BT1" s="148"/>
      <c r="BU1" s="148"/>
      <c r="BV1" s="148"/>
      <c r="BW1" s="148"/>
      <c r="BX1" s="148"/>
      <c r="BY1" s="148"/>
      <c r="BZ1" s="148"/>
      <c r="CA1" s="148"/>
      <c r="CB1" s="148"/>
      <c r="CC1" s="148"/>
      <c r="CD1" s="148"/>
      <c r="CE1" s="148"/>
      <c r="CF1" s="148"/>
      <c r="CG1" s="148"/>
      <c r="CH1" s="148"/>
      <c r="CI1" s="148"/>
      <c r="CJ1" s="148"/>
      <c r="CK1" s="148"/>
      <c r="CL1" s="148"/>
      <c r="CM1" s="148"/>
      <c r="CN1" s="148"/>
      <c r="CO1" s="148"/>
      <c r="CP1" s="148"/>
      <c r="CQ1" s="148"/>
      <c r="CR1" s="148"/>
      <c r="CS1" s="148"/>
      <c r="CT1" s="148"/>
      <c r="CU1" s="148"/>
      <c r="CV1" s="148"/>
      <c r="CW1" s="148"/>
      <c r="CX1" s="148"/>
      <c r="CY1" s="148"/>
      <c r="CZ1" s="148"/>
      <c r="DA1" s="148"/>
      <c r="DB1" s="148"/>
      <c r="DC1" s="148"/>
      <c r="DD1" s="148"/>
      <c r="DE1" s="148"/>
      <c r="DF1" s="148"/>
      <c r="DG1" s="148"/>
      <c r="DH1" s="148"/>
      <c r="DI1" s="148"/>
      <c r="DJ1" s="148"/>
      <c r="DK1" s="148"/>
      <c r="DL1" s="148"/>
      <c r="DM1" s="148"/>
      <c r="DN1" s="148"/>
      <c r="DO1" s="148"/>
      <c r="DP1" s="148"/>
      <c r="DQ1" s="148"/>
      <c r="DR1" s="148"/>
      <c r="DS1" s="148"/>
      <c r="DT1" s="148"/>
      <c r="DU1" s="148"/>
      <c r="DV1" s="148"/>
      <c r="DW1" s="148"/>
      <c r="DX1" s="148"/>
      <c r="DY1" s="148"/>
      <c r="DZ1" s="148"/>
      <c r="EA1" s="148"/>
      <c r="EB1" s="148"/>
      <c r="EC1" s="148"/>
      <c r="ED1" s="148"/>
      <c r="EE1" s="148"/>
      <c r="EF1" s="148"/>
      <c r="EG1" s="148"/>
      <c r="EH1" s="148"/>
      <c r="EI1" s="148"/>
      <c r="EJ1" s="148"/>
      <c r="EK1" s="148"/>
      <c r="EL1" s="148"/>
      <c r="EM1" s="148"/>
      <c r="EN1" s="148"/>
      <c r="EO1" s="148"/>
      <c r="EP1" s="148"/>
      <c r="EQ1" s="148"/>
      <c r="ER1" s="148"/>
      <c r="ES1" s="148"/>
      <c r="ET1" s="148"/>
      <c r="EU1" s="148"/>
      <c r="EV1" s="148"/>
      <c r="EW1" s="148"/>
      <c r="EX1" s="148"/>
      <c r="EY1" s="148"/>
      <c r="EZ1" s="148"/>
      <c r="FA1" s="148"/>
      <c r="FB1" s="148"/>
      <c r="FC1" s="148"/>
      <c r="FD1" s="148"/>
      <c r="FE1" s="148"/>
      <c r="FF1" s="148"/>
      <c r="FG1" s="148"/>
      <c r="FH1" s="148"/>
      <c r="FI1" s="148"/>
      <c r="FJ1" s="148"/>
      <c r="FK1" s="148"/>
      <c r="FL1" s="148"/>
      <c r="FM1" s="148"/>
      <c r="FN1" s="148"/>
      <c r="FO1" s="148"/>
      <c r="FP1" s="148"/>
      <c r="FQ1" s="148"/>
      <c r="FR1" s="148"/>
      <c r="FS1" s="148"/>
      <c r="FT1" s="148"/>
      <c r="FU1" s="148"/>
      <c r="FV1" s="148"/>
      <c r="FW1" s="148"/>
      <c r="FX1" s="148"/>
      <c r="FY1" s="148"/>
      <c r="FZ1" s="148"/>
      <c r="GA1" s="148"/>
      <c r="GB1" s="148"/>
      <c r="GC1" s="148"/>
      <c r="GD1" s="148"/>
      <c r="GE1" s="148"/>
      <c r="GF1" s="148"/>
      <c r="GG1" s="148"/>
      <c r="GH1" s="148"/>
      <c r="GI1" s="148"/>
      <c r="GJ1" s="148"/>
      <c r="GK1" s="148"/>
      <c r="GL1" s="148"/>
      <c r="GM1" s="148"/>
      <c r="GN1" s="148"/>
      <c r="GO1" s="148"/>
      <c r="GP1" s="148"/>
      <c r="GQ1" s="148"/>
      <c r="GR1" s="148"/>
      <c r="GS1" s="148"/>
      <c r="GT1" s="148"/>
      <c r="GU1" s="148"/>
      <c r="GV1" s="148"/>
      <c r="GW1" s="148"/>
      <c r="GX1" s="148"/>
      <c r="GY1" s="148"/>
      <c r="GZ1" s="148"/>
      <c r="HA1" s="148"/>
      <c r="HB1" s="148"/>
      <c r="HC1" s="148"/>
      <c r="HD1" s="148"/>
      <c r="HE1" s="148"/>
      <c r="HF1" s="148"/>
      <c r="HG1" s="148"/>
      <c r="HH1" s="148"/>
      <c r="HI1" s="148"/>
      <c r="HJ1" s="148"/>
      <c r="HK1" s="148"/>
      <c r="HL1" s="148"/>
      <c r="HM1" s="148"/>
      <c r="HN1" s="148"/>
      <c r="HO1" s="148"/>
      <c r="HP1" s="148"/>
      <c r="HQ1" s="148"/>
      <c r="HR1" s="148"/>
      <c r="HS1" s="148"/>
      <c r="HT1" s="148"/>
      <c r="HU1" s="148"/>
      <c r="HV1" s="148"/>
      <c r="HW1" s="148"/>
      <c r="HX1" s="148"/>
      <c r="HY1" s="148"/>
      <c r="HZ1" s="148"/>
      <c r="IA1" s="148"/>
      <c r="IB1" s="148"/>
      <c r="IC1" s="148"/>
      <c r="ID1" s="148"/>
      <c r="IE1" s="148"/>
      <c r="IF1" s="148"/>
      <c r="IG1" s="148"/>
      <c r="IH1" s="148"/>
      <c r="II1" s="148"/>
      <c r="IJ1" s="148"/>
      <c r="IK1" s="148"/>
      <c r="IL1" s="148"/>
      <c r="IM1" s="148"/>
      <c r="IN1" s="148"/>
      <c r="IO1" s="148"/>
      <c r="IP1" s="148"/>
      <c r="IQ1" s="148"/>
      <c r="IR1" s="148"/>
      <c r="IS1" s="148"/>
      <c r="IT1" s="148"/>
      <c r="IU1" s="148"/>
      <c r="IV1" s="148"/>
      <c r="IW1" s="148"/>
      <c r="IX1" s="148"/>
      <c r="IY1" s="148"/>
      <c r="IZ1" s="148"/>
      <c r="JA1" s="148"/>
      <c r="JB1" s="148"/>
      <c r="JC1" s="148"/>
      <c r="JD1" s="148"/>
      <c r="JE1" s="148"/>
      <c r="JF1" s="148"/>
      <c r="JG1" s="148"/>
      <c r="JH1" s="148"/>
      <c r="JI1" s="148"/>
      <c r="JJ1" s="148"/>
      <c r="JK1" s="148"/>
      <c r="JL1" s="148"/>
      <c r="JM1" s="148"/>
      <c r="JN1" s="148"/>
      <c r="JO1" s="148"/>
      <c r="JP1" s="148"/>
      <c r="JQ1" s="148"/>
      <c r="JR1" s="148"/>
      <c r="JS1" s="148"/>
      <c r="JT1" s="148"/>
      <c r="JU1" s="148"/>
      <c r="JV1" s="148"/>
      <c r="JW1" s="148"/>
      <c r="JX1" s="148"/>
      <c r="JY1" s="148"/>
      <c r="JZ1" s="149"/>
      <c r="KA1" s="149"/>
      <c r="KB1" s="148"/>
    </row>
    <row r="2" spans="1:291" s="151" customFormat="1" ht="26.25" customHeight="1" x14ac:dyDescent="0.2">
      <c r="A2" s="561" t="s">
        <v>1</v>
      </c>
      <c r="B2" s="561" t="s">
        <v>252</v>
      </c>
      <c r="C2" s="549" t="s">
        <v>253</v>
      </c>
      <c r="D2" s="550"/>
      <c r="E2" s="550"/>
      <c r="F2" s="550"/>
      <c r="G2" s="550"/>
      <c r="H2" s="550"/>
      <c r="I2" s="550"/>
      <c r="J2" s="550"/>
      <c r="K2" s="550"/>
      <c r="L2" s="550"/>
      <c r="M2" s="551"/>
      <c r="N2" s="549" t="s">
        <v>289</v>
      </c>
      <c r="O2" s="551"/>
      <c r="P2" s="562" t="s">
        <v>254</v>
      </c>
      <c r="Q2" s="563"/>
      <c r="R2" s="563"/>
      <c r="S2" s="563"/>
      <c r="T2" s="563"/>
      <c r="U2" s="563"/>
      <c r="V2" s="563"/>
      <c r="W2" s="563"/>
      <c r="X2" s="563"/>
      <c r="Y2" s="563"/>
      <c r="Z2" s="564"/>
      <c r="AA2" s="549" t="s">
        <v>356</v>
      </c>
      <c r="AB2" s="550"/>
      <c r="AC2" s="550"/>
      <c r="AD2" s="550"/>
      <c r="AE2" s="550"/>
      <c r="AF2" s="550"/>
      <c r="AG2" s="550"/>
      <c r="AH2" s="550"/>
      <c r="AI2" s="550"/>
      <c r="AJ2" s="550"/>
      <c r="AK2" s="551"/>
      <c r="AL2" s="549" t="s">
        <v>255</v>
      </c>
      <c r="AM2" s="550"/>
      <c r="AN2" s="550"/>
      <c r="AO2" s="550"/>
      <c r="AP2" s="550"/>
      <c r="AQ2" s="550"/>
      <c r="AR2" s="550"/>
      <c r="AS2" s="550"/>
      <c r="AT2" s="550"/>
      <c r="AU2" s="550"/>
      <c r="AV2" s="551"/>
      <c r="AW2" s="549" t="s">
        <v>256</v>
      </c>
      <c r="AX2" s="550"/>
      <c r="AY2" s="550"/>
      <c r="AZ2" s="550"/>
      <c r="BA2" s="550"/>
      <c r="BB2" s="550"/>
      <c r="BC2" s="550"/>
      <c r="BD2" s="550"/>
      <c r="BE2" s="550"/>
      <c r="BF2" s="550"/>
      <c r="BG2" s="551"/>
      <c r="BH2" s="549" t="s">
        <v>257</v>
      </c>
      <c r="BI2" s="550"/>
      <c r="BJ2" s="550"/>
      <c r="BK2" s="550"/>
      <c r="BL2" s="550"/>
      <c r="BM2" s="550"/>
      <c r="BN2" s="550"/>
      <c r="BO2" s="550"/>
      <c r="BP2" s="550"/>
      <c r="BQ2" s="550"/>
      <c r="BR2" s="551"/>
      <c r="BS2" s="557" t="s">
        <v>258</v>
      </c>
      <c r="BT2" s="558"/>
      <c r="BU2" s="558"/>
      <c r="BV2" s="558"/>
      <c r="BW2" s="558"/>
      <c r="BX2" s="558"/>
      <c r="BY2" s="558"/>
      <c r="BZ2" s="558"/>
      <c r="CA2" s="558"/>
      <c r="CB2" s="558"/>
      <c r="CC2" s="559"/>
      <c r="CD2" s="549" t="s">
        <v>259</v>
      </c>
      <c r="CE2" s="550"/>
      <c r="CF2" s="550"/>
      <c r="CG2" s="550"/>
      <c r="CH2" s="550"/>
      <c r="CI2" s="550"/>
      <c r="CJ2" s="550"/>
      <c r="CK2" s="550"/>
      <c r="CL2" s="550"/>
      <c r="CM2" s="550"/>
      <c r="CN2" s="551"/>
      <c r="CO2" s="549" t="s">
        <v>290</v>
      </c>
      <c r="CP2" s="551"/>
      <c r="CQ2" s="552" t="s">
        <v>260</v>
      </c>
      <c r="CR2" s="553"/>
      <c r="CS2" s="553"/>
      <c r="CT2" s="553"/>
      <c r="CU2" s="553"/>
      <c r="CV2" s="553"/>
      <c r="CW2" s="553"/>
      <c r="CX2" s="553"/>
      <c r="CY2" s="553"/>
      <c r="CZ2" s="553"/>
      <c r="DA2" s="554"/>
      <c r="DB2" s="560" t="s">
        <v>379</v>
      </c>
      <c r="DC2" s="560"/>
      <c r="DD2" s="560"/>
      <c r="DE2" s="560"/>
      <c r="DF2" s="560"/>
      <c r="DG2" s="560"/>
      <c r="DH2" s="560"/>
      <c r="DI2" s="560"/>
      <c r="DJ2" s="560"/>
      <c r="DK2" s="549" t="s">
        <v>402</v>
      </c>
      <c r="DL2" s="550"/>
      <c r="DM2" s="550"/>
      <c r="DN2" s="550"/>
      <c r="DO2" s="550"/>
      <c r="DP2" s="550"/>
      <c r="DQ2" s="550"/>
      <c r="DR2" s="550"/>
      <c r="DS2" s="550"/>
      <c r="DT2" s="550"/>
      <c r="DU2" s="551"/>
      <c r="DV2" s="549" t="s">
        <v>291</v>
      </c>
      <c r="DW2" s="551"/>
      <c r="DX2" s="549" t="s">
        <v>403</v>
      </c>
      <c r="DY2" s="550"/>
      <c r="DZ2" s="550"/>
      <c r="EA2" s="550"/>
      <c r="EB2" s="550"/>
      <c r="EC2" s="550"/>
      <c r="ED2" s="550"/>
      <c r="EE2" s="550"/>
      <c r="EF2" s="550"/>
      <c r="EG2" s="550"/>
      <c r="EH2" s="551"/>
      <c r="EI2" s="549" t="s">
        <v>261</v>
      </c>
      <c r="EJ2" s="550"/>
      <c r="EK2" s="550"/>
      <c r="EL2" s="550"/>
      <c r="EM2" s="550"/>
      <c r="EN2" s="550"/>
      <c r="EO2" s="550"/>
      <c r="EP2" s="550"/>
      <c r="EQ2" s="550"/>
      <c r="ER2" s="550"/>
      <c r="ES2" s="551"/>
      <c r="ET2" s="549" t="s">
        <v>262</v>
      </c>
      <c r="EU2" s="550"/>
      <c r="EV2" s="550"/>
      <c r="EW2" s="550"/>
      <c r="EX2" s="550"/>
      <c r="EY2" s="550"/>
      <c r="EZ2" s="550"/>
      <c r="FA2" s="550"/>
      <c r="FB2" s="550"/>
      <c r="FC2" s="550"/>
      <c r="FD2" s="551"/>
      <c r="FE2" s="549" t="s">
        <v>263</v>
      </c>
      <c r="FF2" s="550"/>
      <c r="FG2" s="550"/>
      <c r="FH2" s="550"/>
      <c r="FI2" s="550"/>
      <c r="FJ2" s="550"/>
      <c r="FK2" s="550"/>
      <c r="FL2" s="550"/>
      <c r="FM2" s="550"/>
      <c r="FN2" s="550"/>
      <c r="FO2" s="551"/>
      <c r="FP2" s="549" t="s">
        <v>404</v>
      </c>
      <c r="FQ2" s="550"/>
      <c r="FR2" s="550"/>
      <c r="FS2" s="550"/>
      <c r="FT2" s="550"/>
      <c r="FU2" s="550"/>
      <c r="FV2" s="550"/>
      <c r="FW2" s="550"/>
      <c r="FX2" s="550"/>
      <c r="FY2" s="550"/>
      <c r="FZ2" s="551"/>
      <c r="GA2" s="549" t="s">
        <v>264</v>
      </c>
      <c r="GB2" s="550"/>
      <c r="GC2" s="550"/>
      <c r="GD2" s="550"/>
      <c r="GE2" s="550"/>
      <c r="GF2" s="550"/>
      <c r="GG2" s="550"/>
      <c r="GH2" s="550"/>
      <c r="GI2" s="550"/>
      <c r="GJ2" s="550"/>
      <c r="GK2" s="551"/>
      <c r="GL2" s="557" t="s">
        <v>265</v>
      </c>
      <c r="GM2" s="558"/>
      <c r="GN2" s="558"/>
      <c r="GO2" s="558"/>
      <c r="GP2" s="558"/>
      <c r="GQ2" s="558"/>
      <c r="GR2" s="558"/>
      <c r="GS2" s="558"/>
      <c r="GT2" s="558"/>
      <c r="GU2" s="558"/>
      <c r="GV2" s="559"/>
      <c r="GW2" s="549" t="s">
        <v>266</v>
      </c>
      <c r="GX2" s="550"/>
      <c r="GY2" s="550"/>
      <c r="GZ2" s="550"/>
      <c r="HA2" s="550"/>
      <c r="HB2" s="550"/>
      <c r="HC2" s="550"/>
      <c r="HD2" s="550"/>
      <c r="HE2" s="550"/>
      <c r="HF2" s="550"/>
      <c r="HG2" s="551"/>
      <c r="HH2" s="556" t="s">
        <v>267</v>
      </c>
      <c r="HI2" s="556"/>
      <c r="HJ2" s="556"/>
      <c r="HK2" s="556"/>
      <c r="HL2" s="556"/>
      <c r="HM2" s="556"/>
      <c r="HN2" s="556"/>
      <c r="HO2" s="556"/>
      <c r="HP2" s="556"/>
      <c r="HQ2" s="556"/>
      <c r="HR2" s="549" t="s">
        <v>268</v>
      </c>
      <c r="HS2" s="550"/>
      <c r="HT2" s="550"/>
      <c r="HU2" s="550"/>
      <c r="HV2" s="550"/>
      <c r="HW2" s="550"/>
      <c r="HX2" s="550"/>
      <c r="HY2" s="550"/>
      <c r="HZ2" s="550"/>
      <c r="IA2" s="550"/>
      <c r="IB2" s="551"/>
      <c r="IC2" s="549" t="s">
        <v>269</v>
      </c>
      <c r="ID2" s="550"/>
      <c r="IE2" s="550"/>
      <c r="IF2" s="550"/>
      <c r="IG2" s="550"/>
      <c r="IH2" s="550"/>
      <c r="II2" s="550"/>
      <c r="IJ2" s="550"/>
      <c r="IK2" s="550"/>
      <c r="IL2" s="550"/>
      <c r="IM2" s="551"/>
      <c r="IN2" s="549" t="s">
        <v>270</v>
      </c>
      <c r="IO2" s="550"/>
      <c r="IP2" s="550"/>
      <c r="IQ2" s="550"/>
      <c r="IR2" s="550"/>
      <c r="IS2" s="550"/>
      <c r="IT2" s="550"/>
      <c r="IU2" s="550"/>
      <c r="IV2" s="550"/>
      <c r="IW2" s="550"/>
      <c r="IX2" s="551"/>
      <c r="IY2" s="549" t="s">
        <v>271</v>
      </c>
      <c r="IZ2" s="550"/>
      <c r="JA2" s="550"/>
      <c r="JB2" s="550"/>
      <c r="JC2" s="550"/>
      <c r="JD2" s="550"/>
      <c r="JE2" s="550"/>
      <c r="JF2" s="550"/>
      <c r="JG2" s="550"/>
      <c r="JH2" s="550"/>
      <c r="JI2" s="551"/>
      <c r="JJ2" s="549" t="s">
        <v>27</v>
      </c>
      <c r="JK2" s="550"/>
      <c r="JL2" s="550"/>
      <c r="JM2" s="550"/>
      <c r="JN2" s="550"/>
      <c r="JO2" s="550"/>
      <c r="JP2" s="550"/>
      <c r="JQ2" s="550"/>
      <c r="JR2" s="550"/>
      <c r="JS2" s="550"/>
      <c r="JT2" s="551"/>
      <c r="JU2" s="555" t="s">
        <v>28</v>
      </c>
      <c r="JV2" s="555"/>
      <c r="JW2" s="555"/>
      <c r="JX2" s="555"/>
      <c r="JY2" s="555"/>
      <c r="JZ2" s="555"/>
      <c r="KA2" s="555"/>
      <c r="KB2" s="555"/>
      <c r="KC2" s="555"/>
      <c r="KD2" s="555"/>
      <c r="KE2" s="555"/>
    </row>
    <row r="3" spans="1:291" s="153" customFormat="1" ht="22.5" customHeight="1" x14ac:dyDescent="0.2">
      <c r="A3" s="561"/>
      <c r="B3" s="561"/>
      <c r="C3" s="348" t="s">
        <v>33</v>
      </c>
      <c r="D3" s="348" t="s">
        <v>34</v>
      </c>
      <c r="E3" s="348" t="s">
        <v>35</v>
      </c>
      <c r="F3" s="348" t="s">
        <v>36</v>
      </c>
      <c r="G3" s="349" t="s">
        <v>37</v>
      </c>
      <c r="H3" s="349" t="s">
        <v>38</v>
      </c>
      <c r="I3" s="349" t="s">
        <v>39</v>
      </c>
      <c r="J3" s="349" t="s">
        <v>40</v>
      </c>
      <c r="K3" s="349" t="s">
        <v>41</v>
      </c>
      <c r="L3" s="349" t="s">
        <v>292</v>
      </c>
      <c r="M3" s="434" t="s">
        <v>399</v>
      </c>
      <c r="N3" s="349" t="s">
        <v>292</v>
      </c>
      <c r="O3" s="434" t="s">
        <v>399</v>
      </c>
      <c r="P3" s="349" t="s">
        <v>33</v>
      </c>
      <c r="Q3" s="349" t="s">
        <v>34</v>
      </c>
      <c r="R3" s="349" t="s">
        <v>35</v>
      </c>
      <c r="S3" s="349" t="s">
        <v>36</v>
      </c>
      <c r="T3" s="349" t="s">
        <v>37</v>
      </c>
      <c r="U3" s="349" t="s">
        <v>38</v>
      </c>
      <c r="V3" s="349" t="s">
        <v>39</v>
      </c>
      <c r="W3" s="349" t="s">
        <v>40</v>
      </c>
      <c r="X3" s="349" t="s">
        <v>41</v>
      </c>
      <c r="Y3" s="349" t="s">
        <v>292</v>
      </c>
      <c r="Z3" s="434" t="s">
        <v>399</v>
      </c>
      <c r="AA3" s="348" t="s">
        <v>33</v>
      </c>
      <c r="AB3" s="348" t="s">
        <v>34</v>
      </c>
      <c r="AC3" s="348" t="s">
        <v>35</v>
      </c>
      <c r="AD3" s="348" t="s">
        <v>36</v>
      </c>
      <c r="AE3" s="349" t="s">
        <v>37</v>
      </c>
      <c r="AF3" s="349" t="s">
        <v>38</v>
      </c>
      <c r="AG3" s="349" t="s">
        <v>39</v>
      </c>
      <c r="AH3" s="349" t="s">
        <v>40</v>
      </c>
      <c r="AI3" s="349" t="s">
        <v>41</v>
      </c>
      <c r="AJ3" s="349" t="s">
        <v>292</v>
      </c>
      <c r="AK3" s="434" t="s">
        <v>399</v>
      </c>
      <c r="AL3" s="348" t="s">
        <v>33</v>
      </c>
      <c r="AM3" s="348" t="s">
        <v>34</v>
      </c>
      <c r="AN3" s="348" t="s">
        <v>35</v>
      </c>
      <c r="AO3" s="348" t="s">
        <v>36</v>
      </c>
      <c r="AP3" s="349" t="s">
        <v>37</v>
      </c>
      <c r="AQ3" s="349" t="s">
        <v>38</v>
      </c>
      <c r="AR3" s="349" t="s">
        <v>39</v>
      </c>
      <c r="AS3" s="349" t="s">
        <v>40</v>
      </c>
      <c r="AT3" s="349" t="s">
        <v>41</v>
      </c>
      <c r="AU3" s="349" t="s">
        <v>292</v>
      </c>
      <c r="AV3" s="434" t="s">
        <v>399</v>
      </c>
      <c r="AW3" s="348" t="s">
        <v>33</v>
      </c>
      <c r="AX3" s="348" t="s">
        <v>34</v>
      </c>
      <c r="AY3" s="348" t="s">
        <v>35</v>
      </c>
      <c r="AZ3" s="348" t="s">
        <v>36</v>
      </c>
      <c r="BA3" s="349" t="s">
        <v>37</v>
      </c>
      <c r="BB3" s="349" t="s">
        <v>38</v>
      </c>
      <c r="BC3" s="349" t="s">
        <v>39</v>
      </c>
      <c r="BD3" s="349" t="s">
        <v>40</v>
      </c>
      <c r="BE3" s="349" t="s">
        <v>41</v>
      </c>
      <c r="BF3" s="349" t="s">
        <v>292</v>
      </c>
      <c r="BG3" s="434" t="s">
        <v>399</v>
      </c>
      <c r="BH3" s="348" t="s">
        <v>33</v>
      </c>
      <c r="BI3" s="348" t="s">
        <v>34</v>
      </c>
      <c r="BJ3" s="348" t="s">
        <v>35</v>
      </c>
      <c r="BK3" s="348" t="s">
        <v>36</v>
      </c>
      <c r="BL3" s="349" t="s">
        <v>37</v>
      </c>
      <c r="BM3" s="349" t="s">
        <v>38</v>
      </c>
      <c r="BN3" s="349" t="s">
        <v>39</v>
      </c>
      <c r="BO3" s="349" t="s">
        <v>40</v>
      </c>
      <c r="BP3" s="349" t="s">
        <v>41</v>
      </c>
      <c r="BQ3" s="349" t="s">
        <v>292</v>
      </c>
      <c r="BR3" s="434" t="s">
        <v>399</v>
      </c>
      <c r="BS3" s="348" t="s">
        <v>33</v>
      </c>
      <c r="BT3" s="348" t="s">
        <v>34</v>
      </c>
      <c r="BU3" s="348" t="s">
        <v>35</v>
      </c>
      <c r="BV3" s="348" t="s">
        <v>36</v>
      </c>
      <c r="BW3" s="349" t="s">
        <v>37</v>
      </c>
      <c r="BX3" s="349" t="s">
        <v>38</v>
      </c>
      <c r="BY3" s="349" t="s">
        <v>39</v>
      </c>
      <c r="BZ3" s="349" t="s">
        <v>40</v>
      </c>
      <c r="CA3" s="349" t="s">
        <v>41</v>
      </c>
      <c r="CB3" s="349" t="s">
        <v>292</v>
      </c>
      <c r="CC3" s="434" t="s">
        <v>399</v>
      </c>
      <c r="CD3" s="348" t="s">
        <v>33</v>
      </c>
      <c r="CE3" s="348" t="s">
        <v>34</v>
      </c>
      <c r="CF3" s="348" t="s">
        <v>35</v>
      </c>
      <c r="CG3" s="348" t="s">
        <v>36</v>
      </c>
      <c r="CH3" s="349" t="s">
        <v>37</v>
      </c>
      <c r="CI3" s="349" t="s">
        <v>38</v>
      </c>
      <c r="CJ3" s="349" t="s">
        <v>39</v>
      </c>
      <c r="CK3" s="349" t="s">
        <v>40</v>
      </c>
      <c r="CL3" s="349" t="s">
        <v>41</v>
      </c>
      <c r="CM3" s="349" t="s">
        <v>292</v>
      </c>
      <c r="CN3" s="434" t="s">
        <v>399</v>
      </c>
      <c r="CO3" s="349" t="s">
        <v>292</v>
      </c>
      <c r="CP3" s="434" t="s">
        <v>399</v>
      </c>
      <c r="CQ3" s="348" t="s">
        <v>33</v>
      </c>
      <c r="CR3" s="348" t="s">
        <v>34</v>
      </c>
      <c r="CS3" s="348" t="s">
        <v>35</v>
      </c>
      <c r="CT3" s="348" t="s">
        <v>36</v>
      </c>
      <c r="CU3" s="349" t="s">
        <v>37</v>
      </c>
      <c r="CV3" s="349" t="s">
        <v>38</v>
      </c>
      <c r="CW3" s="349" t="s">
        <v>39</v>
      </c>
      <c r="CX3" s="349" t="s">
        <v>40</v>
      </c>
      <c r="CY3" s="349" t="s">
        <v>41</v>
      </c>
      <c r="CZ3" s="349" t="s">
        <v>292</v>
      </c>
      <c r="DA3" s="434" t="s">
        <v>399</v>
      </c>
      <c r="DB3" s="348" t="s">
        <v>33</v>
      </c>
      <c r="DC3" s="348" t="s">
        <v>34</v>
      </c>
      <c r="DD3" s="348" t="s">
        <v>35</v>
      </c>
      <c r="DE3" s="348" t="s">
        <v>36</v>
      </c>
      <c r="DF3" s="349" t="s">
        <v>37</v>
      </c>
      <c r="DG3" s="349" t="s">
        <v>38</v>
      </c>
      <c r="DH3" s="349" t="s">
        <v>39</v>
      </c>
      <c r="DI3" s="349" t="s">
        <v>40</v>
      </c>
      <c r="DJ3" s="349" t="s">
        <v>41</v>
      </c>
      <c r="DK3" s="348" t="s">
        <v>33</v>
      </c>
      <c r="DL3" s="348" t="s">
        <v>34</v>
      </c>
      <c r="DM3" s="348" t="s">
        <v>35</v>
      </c>
      <c r="DN3" s="348" t="s">
        <v>36</v>
      </c>
      <c r="DO3" s="349" t="s">
        <v>37</v>
      </c>
      <c r="DP3" s="349" t="s">
        <v>38</v>
      </c>
      <c r="DQ3" s="349" t="s">
        <v>39</v>
      </c>
      <c r="DR3" s="349" t="s">
        <v>40</v>
      </c>
      <c r="DS3" s="349" t="s">
        <v>41</v>
      </c>
      <c r="DT3" s="349" t="s">
        <v>292</v>
      </c>
      <c r="DU3" s="434" t="s">
        <v>399</v>
      </c>
      <c r="DV3" s="349" t="s">
        <v>292</v>
      </c>
      <c r="DW3" s="434" t="s">
        <v>399</v>
      </c>
      <c r="DX3" s="348" t="s">
        <v>33</v>
      </c>
      <c r="DY3" s="348" t="s">
        <v>34</v>
      </c>
      <c r="DZ3" s="348" t="s">
        <v>35</v>
      </c>
      <c r="EA3" s="348" t="s">
        <v>36</v>
      </c>
      <c r="EB3" s="349" t="s">
        <v>37</v>
      </c>
      <c r="EC3" s="349" t="s">
        <v>38</v>
      </c>
      <c r="ED3" s="349" t="s">
        <v>39</v>
      </c>
      <c r="EE3" s="349" t="s">
        <v>40</v>
      </c>
      <c r="EF3" s="349" t="s">
        <v>41</v>
      </c>
      <c r="EG3" s="349" t="s">
        <v>292</v>
      </c>
      <c r="EH3" s="434" t="s">
        <v>399</v>
      </c>
      <c r="EI3" s="348" t="s">
        <v>33</v>
      </c>
      <c r="EJ3" s="348" t="s">
        <v>34</v>
      </c>
      <c r="EK3" s="348" t="s">
        <v>35</v>
      </c>
      <c r="EL3" s="348" t="s">
        <v>36</v>
      </c>
      <c r="EM3" s="349" t="s">
        <v>37</v>
      </c>
      <c r="EN3" s="349" t="s">
        <v>38</v>
      </c>
      <c r="EO3" s="349" t="s">
        <v>39</v>
      </c>
      <c r="EP3" s="349" t="s">
        <v>40</v>
      </c>
      <c r="EQ3" s="349" t="s">
        <v>41</v>
      </c>
      <c r="ER3" s="349" t="s">
        <v>292</v>
      </c>
      <c r="ES3" s="434" t="s">
        <v>399</v>
      </c>
      <c r="ET3" s="348" t="s">
        <v>33</v>
      </c>
      <c r="EU3" s="348" t="s">
        <v>34</v>
      </c>
      <c r="EV3" s="348" t="s">
        <v>35</v>
      </c>
      <c r="EW3" s="348" t="s">
        <v>36</v>
      </c>
      <c r="EX3" s="349" t="s">
        <v>37</v>
      </c>
      <c r="EY3" s="349" t="s">
        <v>38</v>
      </c>
      <c r="EZ3" s="349" t="s">
        <v>39</v>
      </c>
      <c r="FA3" s="349" t="s">
        <v>40</v>
      </c>
      <c r="FB3" s="349" t="s">
        <v>41</v>
      </c>
      <c r="FC3" s="349" t="s">
        <v>292</v>
      </c>
      <c r="FD3" s="434" t="s">
        <v>399</v>
      </c>
      <c r="FE3" s="348" t="s">
        <v>33</v>
      </c>
      <c r="FF3" s="348" t="s">
        <v>34</v>
      </c>
      <c r="FG3" s="348" t="s">
        <v>35</v>
      </c>
      <c r="FH3" s="348" t="s">
        <v>36</v>
      </c>
      <c r="FI3" s="349" t="s">
        <v>37</v>
      </c>
      <c r="FJ3" s="349" t="s">
        <v>38</v>
      </c>
      <c r="FK3" s="349" t="s">
        <v>39</v>
      </c>
      <c r="FL3" s="349" t="s">
        <v>40</v>
      </c>
      <c r="FM3" s="349" t="s">
        <v>41</v>
      </c>
      <c r="FN3" s="349" t="s">
        <v>292</v>
      </c>
      <c r="FO3" s="434" t="s">
        <v>399</v>
      </c>
      <c r="FP3" s="348" t="s">
        <v>33</v>
      </c>
      <c r="FQ3" s="348" t="s">
        <v>34</v>
      </c>
      <c r="FR3" s="348" t="s">
        <v>35</v>
      </c>
      <c r="FS3" s="348" t="s">
        <v>36</v>
      </c>
      <c r="FT3" s="349" t="s">
        <v>37</v>
      </c>
      <c r="FU3" s="349" t="s">
        <v>38</v>
      </c>
      <c r="FV3" s="349" t="s">
        <v>39</v>
      </c>
      <c r="FW3" s="349" t="s">
        <v>40</v>
      </c>
      <c r="FX3" s="349" t="s">
        <v>41</v>
      </c>
      <c r="FY3" s="349" t="s">
        <v>292</v>
      </c>
      <c r="FZ3" s="434" t="s">
        <v>399</v>
      </c>
      <c r="GA3" s="348" t="s">
        <v>33</v>
      </c>
      <c r="GB3" s="348" t="s">
        <v>34</v>
      </c>
      <c r="GC3" s="348" t="s">
        <v>35</v>
      </c>
      <c r="GD3" s="348" t="s">
        <v>36</v>
      </c>
      <c r="GE3" s="349" t="s">
        <v>37</v>
      </c>
      <c r="GF3" s="349" t="s">
        <v>38</v>
      </c>
      <c r="GG3" s="349" t="s">
        <v>39</v>
      </c>
      <c r="GH3" s="349" t="s">
        <v>40</v>
      </c>
      <c r="GI3" s="349" t="s">
        <v>41</v>
      </c>
      <c r="GJ3" s="349" t="s">
        <v>292</v>
      </c>
      <c r="GK3" s="434" t="s">
        <v>399</v>
      </c>
      <c r="GL3" s="348" t="s">
        <v>33</v>
      </c>
      <c r="GM3" s="348" t="s">
        <v>34</v>
      </c>
      <c r="GN3" s="348" t="s">
        <v>35</v>
      </c>
      <c r="GO3" s="348" t="s">
        <v>36</v>
      </c>
      <c r="GP3" s="349" t="s">
        <v>37</v>
      </c>
      <c r="GQ3" s="349" t="s">
        <v>38</v>
      </c>
      <c r="GR3" s="349" t="s">
        <v>39</v>
      </c>
      <c r="GS3" s="349" t="s">
        <v>40</v>
      </c>
      <c r="GT3" s="349" t="s">
        <v>41</v>
      </c>
      <c r="GU3" s="349" t="s">
        <v>292</v>
      </c>
      <c r="GV3" s="434" t="s">
        <v>399</v>
      </c>
      <c r="GW3" s="348" t="s">
        <v>33</v>
      </c>
      <c r="GX3" s="348" t="s">
        <v>34</v>
      </c>
      <c r="GY3" s="348" t="s">
        <v>35</v>
      </c>
      <c r="GZ3" s="348" t="s">
        <v>36</v>
      </c>
      <c r="HA3" s="349" t="s">
        <v>37</v>
      </c>
      <c r="HB3" s="349" t="s">
        <v>38</v>
      </c>
      <c r="HC3" s="349" t="s">
        <v>39</v>
      </c>
      <c r="HD3" s="349" t="s">
        <v>40</v>
      </c>
      <c r="HE3" s="349" t="s">
        <v>41</v>
      </c>
      <c r="HF3" s="349" t="s">
        <v>292</v>
      </c>
      <c r="HG3" s="434" t="s">
        <v>399</v>
      </c>
      <c r="HH3" s="348" t="s">
        <v>33</v>
      </c>
      <c r="HI3" s="348" t="s">
        <v>34</v>
      </c>
      <c r="HJ3" s="348" t="s">
        <v>35</v>
      </c>
      <c r="HK3" s="348" t="s">
        <v>36</v>
      </c>
      <c r="HL3" s="349" t="s">
        <v>37</v>
      </c>
      <c r="HM3" s="349" t="s">
        <v>38</v>
      </c>
      <c r="HN3" s="349" t="s">
        <v>39</v>
      </c>
      <c r="HO3" s="349" t="s">
        <v>40</v>
      </c>
      <c r="HP3" s="349" t="s">
        <v>41</v>
      </c>
      <c r="HQ3" s="349" t="s">
        <v>292</v>
      </c>
      <c r="HR3" s="348" t="s">
        <v>33</v>
      </c>
      <c r="HS3" s="348" t="s">
        <v>34</v>
      </c>
      <c r="HT3" s="348" t="s">
        <v>35</v>
      </c>
      <c r="HU3" s="348" t="s">
        <v>36</v>
      </c>
      <c r="HV3" s="349" t="s">
        <v>37</v>
      </c>
      <c r="HW3" s="349" t="s">
        <v>38</v>
      </c>
      <c r="HX3" s="349" t="s">
        <v>39</v>
      </c>
      <c r="HY3" s="349" t="s">
        <v>40</v>
      </c>
      <c r="HZ3" s="349" t="s">
        <v>41</v>
      </c>
      <c r="IA3" s="349" t="s">
        <v>292</v>
      </c>
      <c r="IB3" s="434" t="s">
        <v>399</v>
      </c>
      <c r="IC3" s="348" t="s">
        <v>33</v>
      </c>
      <c r="ID3" s="348" t="s">
        <v>34</v>
      </c>
      <c r="IE3" s="348" t="s">
        <v>35</v>
      </c>
      <c r="IF3" s="348" t="s">
        <v>36</v>
      </c>
      <c r="IG3" s="349" t="s">
        <v>37</v>
      </c>
      <c r="IH3" s="349" t="s">
        <v>38</v>
      </c>
      <c r="II3" s="349" t="s">
        <v>39</v>
      </c>
      <c r="IJ3" s="349" t="s">
        <v>40</v>
      </c>
      <c r="IK3" s="349" t="s">
        <v>41</v>
      </c>
      <c r="IL3" s="349" t="s">
        <v>292</v>
      </c>
      <c r="IM3" s="434" t="s">
        <v>399</v>
      </c>
      <c r="IN3" s="348" t="s">
        <v>33</v>
      </c>
      <c r="IO3" s="348" t="s">
        <v>34</v>
      </c>
      <c r="IP3" s="348" t="s">
        <v>35</v>
      </c>
      <c r="IQ3" s="348" t="s">
        <v>36</v>
      </c>
      <c r="IR3" s="349" t="s">
        <v>37</v>
      </c>
      <c r="IS3" s="349" t="s">
        <v>38</v>
      </c>
      <c r="IT3" s="349" t="s">
        <v>39</v>
      </c>
      <c r="IU3" s="349" t="s">
        <v>40</v>
      </c>
      <c r="IV3" s="349" t="s">
        <v>41</v>
      </c>
      <c r="IW3" s="349" t="s">
        <v>292</v>
      </c>
      <c r="IX3" s="434" t="s">
        <v>399</v>
      </c>
      <c r="IY3" s="348" t="s">
        <v>33</v>
      </c>
      <c r="IZ3" s="348" t="s">
        <v>34</v>
      </c>
      <c r="JA3" s="348" t="s">
        <v>35</v>
      </c>
      <c r="JB3" s="348" t="s">
        <v>36</v>
      </c>
      <c r="JC3" s="349" t="s">
        <v>37</v>
      </c>
      <c r="JD3" s="349" t="s">
        <v>38</v>
      </c>
      <c r="JE3" s="349" t="s">
        <v>39</v>
      </c>
      <c r="JF3" s="349" t="s">
        <v>40</v>
      </c>
      <c r="JG3" s="349" t="s">
        <v>41</v>
      </c>
      <c r="JH3" s="349" t="s">
        <v>292</v>
      </c>
      <c r="JI3" s="434" t="s">
        <v>399</v>
      </c>
      <c r="JJ3" s="348" t="s">
        <v>33</v>
      </c>
      <c r="JK3" s="348" t="s">
        <v>34</v>
      </c>
      <c r="JL3" s="348" t="s">
        <v>35</v>
      </c>
      <c r="JM3" s="348" t="s">
        <v>36</v>
      </c>
      <c r="JN3" s="349" t="s">
        <v>37</v>
      </c>
      <c r="JO3" s="349" t="s">
        <v>38</v>
      </c>
      <c r="JP3" s="349" t="s">
        <v>39</v>
      </c>
      <c r="JQ3" s="349" t="s">
        <v>40</v>
      </c>
      <c r="JR3" s="349" t="s">
        <v>41</v>
      </c>
      <c r="JS3" s="349" t="s">
        <v>292</v>
      </c>
      <c r="JT3" s="434" t="s">
        <v>399</v>
      </c>
      <c r="JU3" s="444" t="s">
        <v>33</v>
      </c>
      <c r="JV3" s="445" t="s">
        <v>34</v>
      </c>
      <c r="JW3" s="444" t="s">
        <v>35</v>
      </c>
      <c r="JX3" s="444" t="s">
        <v>36</v>
      </c>
      <c r="JY3" s="446" t="s">
        <v>37</v>
      </c>
      <c r="JZ3" s="446" t="s">
        <v>38</v>
      </c>
      <c r="KA3" s="446" t="s">
        <v>39</v>
      </c>
      <c r="KB3" s="446" t="s">
        <v>40</v>
      </c>
      <c r="KC3" s="447" t="s">
        <v>41</v>
      </c>
      <c r="KD3" s="447" t="s">
        <v>292</v>
      </c>
      <c r="KE3" s="152" t="s">
        <v>399</v>
      </c>
    </row>
    <row r="4" spans="1:291" s="155" customFormat="1" ht="17.25" customHeight="1" x14ac:dyDescent="0.2">
      <c r="A4" s="395">
        <v>1</v>
      </c>
      <c r="B4" s="154" t="s">
        <v>229</v>
      </c>
      <c r="C4" s="299">
        <v>48140</v>
      </c>
      <c r="D4" s="299">
        <v>44866</v>
      </c>
      <c r="E4" s="299">
        <v>51159</v>
      </c>
      <c r="F4" s="299">
        <v>51712</v>
      </c>
      <c r="G4" s="299">
        <v>53973</v>
      </c>
      <c r="H4" s="299">
        <v>51489</v>
      </c>
      <c r="I4" s="299">
        <v>53621</v>
      </c>
      <c r="J4" s="299">
        <v>64909</v>
      </c>
      <c r="K4" s="299">
        <v>60848</v>
      </c>
      <c r="L4" s="299">
        <v>67276</v>
      </c>
      <c r="M4" s="299">
        <v>79789</v>
      </c>
      <c r="N4" s="299">
        <v>0</v>
      </c>
      <c r="O4" s="299">
        <v>0</v>
      </c>
      <c r="P4" s="299">
        <v>1494</v>
      </c>
      <c r="Q4" s="299">
        <v>2311</v>
      </c>
      <c r="R4" s="299">
        <v>2949</v>
      </c>
      <c r="S4" s="299">
        <v>3336</v>
      </c>
      <c r="T4" s="299">
        <v>3148</v>
      </c>
      <c r="U4" s="299">
        <v>3279</v>
      </c>
      <c r="V4" s="299">
        <v>3701</v>
      </c>
      <c r="W4" s="299">
        <v>3174</v>
      </c>
      <c r="X4" s="299">
        <v>2727</v>
      </c>
      <c r="Y4" s="299">
        <v>2601</v>
      </c>
      <c r="Z4" s="299">
        <v>3070</v>
      </c>
      <c r="AA4" s="299">
        <v>205</v>
      </c>
      <c r="AB4" s="299">
        <v>118</v>
      </c>
      <c r="AC4" s="299">
        <v>114</v>
      </c>
      <c r="AD4" s="299">
        <v>114</v>
      </c>
      <c r="AE4" s="299">
        <v>114</v>
      </c>
      <c r="AF4" s="299">
        <v>15</v>
      </c>
      <c r="AG4" s="299">
        <v>1</v>
      </c>
      <c r="AH4" s="299">
        <v>0</v>
      </c>
      <c r="AI4" s="299">
        <v>0</v>
      </c>
      <c r="AJ4" s="299">
        <v>0</v>
      </c>
      <c r="AK4" s="299">
        <v>0</v>
      </c>
      <c r="AL4" s="299">
        <v>1176</v>
      </c>
      <c r="AM4" s="299">
        <v>876</v>
      </c>
      <c r="AN4" s="299">
        <v>718</v>
      </c>
      <c r="AO4" s="299">
        <v>899</v>
      </c>
      <c r="AP4" s="299">
        <v>1124</v>
      </c>
      <c r="AQ4" s="299">
        <v>661</v>
      </c>
      <c r="AR4" s="299">
        <v>692</v>
      </c>
      <c r="AS4" s="299">
        <v>730</v>
      </c>
      <c r="AT4" s="299">
        <v>103</v>
      </c>
      <c r="AU4" s="299">
        <v>293</v>
      </c>
      <c r="AV4" s="299">
        <v>395</v>
      </c>
      <c r="AW4" s="299">
        <v>335</v>
      </c>
      <c r="AX4" s="299">
        <v>308</v>
      </c>
      <c r="AY4" s="300">
        <v>432</v>
      </c>
      <c r="AZ4" s="300">
        <v>461</v>
      </c>
      <c r="BA4" s="300">
        <v>325</v>
      </c>
      <c r="BB4" s="300">
        <v>231</v>
      </c>
      <c r="BC4" s="300">
        <v>163</v>
      </c>
      <c r="BD4" s="299">
        <v>115</v>
      </c>
      <c r="BE4" s="299">
        <v>53</v>
      </c>
      <c r="BF4" s="299">
        <v>32</v>
      </c>
      <c r="BG4" s="299">
        <v>39</v>
      </c>
      <c r="BH4" s="299">
        <v>3307</v>
      </c>
      <c r="BI4" s="299">
        <v>1347</v>
      </c>
      <c r="BJ4" s="299">
        <v>713</v>
      </c>
      <c r="BK4" s="299">
        <v>453</v>
      </c>
      <c r="BL4" s="299">
        <v>367</v>
      </c>
      <c r="BM4" s="299">
        <v>436</v>
      </c>
      <c r="BN4" s="299">
        <v>1456</v>
      </c>
      <c r="BO4" s="299">
        <v>1484</v>
      </c>
      <c r="BP4" s="299">
        <v>2132</v>
      </c>
      <c r="BQ4" s="299">
        <v>2898</v>
      </c>
      <c r="BR4" s="299">
        <v>3431</v>
      </c>
      <c r="BS4" s="299">
        <v>609</v>
      </c>
      <c r="BT4" s="299">
        <v>788</v>
      </c>
      <c r="BU4" s="299">
        <v>752</v>
      </c>
      <c r="BV4" s="299">
        <v>1367</v>
      </c>
      <c r="BW4" s="299">
        <v>2086</v>
      </c>
      <c r="BX4" s="299">
        <v>1968</v>
      </c>
      <c r="BY4" s="299">
        <v>1286</v>
      </c>
      <c r="BZ4" s="299">
        <v>1466</v>
      </c>
      <c r="CA4" s="299">
        <v>1821</v>
      </c>
      <c r="CB4" s="299">
        <v>2062</v>
      </c>
      <c r="CC4" s="299">
        <v>2248</v>
      </c>
      <c r="CD4" s="299">
        <v>0</v>
      </c>
      <c r="CE4" s="299">
        <v>0</v>
      </c>
      <c r="CF4" s="299">
        <v>0</v>
      </c>
      <c r="CG4" s="299">
        <v>0</v>
      </c>
      <c r="CH4" s="299">
        <v>0</v>
      </c>
      <c r="CI4" s="299">
        <v>1</v>
      </c>
      <c r="CJ4" s="299">
        <v>4</v>
      </c>
      <c r="CK4" s="299">
        <v>3</v>
      </c>
      <c r="CL4" s="299">
        <v>2</v>
      </c>
      <c r="CM4" s="299">
        <v>2</v>
      </c>
      <c r="CN4" s="299">
        <v>0</v>
      </c>
      <c r="CO4" s="299">
        <v>0</v>
      </c>
      <c r="CP4" s="299">
        <v>0</v>
      </c>
      <c r="CQ4" s="299">
        <v>317</v>
      </c>
      <c r="CR4" s="300">
        <v>445</v>
      </c>
      <c r="CS4" s="300">
        <v>583</v>
      </c>
      <c r="CT4" s="300">
        <v>1027</v>
      </c>
      <c r="CU4" s="300">
        <v>1552</v>
      </c>
      <c r="CV4" s="300">
        <v>1750</v>
      </c>
      <c r="CW4" s="300">
        <v>1876</v>
      </c>
      <c r="CX4" s="299">
        <v>2022</v>
      </c>
      <c r="CY4" s="299">
        <v>2149</v>
      </c>
      <c r="CZ4" s="299">
        <v>2301</v>
      </c>
      <c r="DA4" s="299">
        <v>2131</v>
      </c>
      <c r="DB4" s="300">
        <v>6146</v>
      </c>
      <c r="DC4" s="300">
        <v>9419</v>
      </c>
      <c r="DD4" s="300">
        <v>10198</v>
      </c>
      <c r="DE4" s="300">
        <v>8987</v>
      </c>
      <c r="DF4" s="300">
        <v>9441</v>
      </c>
      <c r="DG4" s="300">
        <v>9410</v>
      </c>
      <c r="DH4" s="300">
        <v>4753</v>
      </c>
      <c r="DI4" s="299">
        <v>4774</v>
      </c>
      <c r="DJ4" s="301" t="s">
        <v>42</v>
      </c>
      <c r="DK4" s="299">
        <v>711</v>
      </c>
      <c r="DL4" s="299">
        <v>751</v>
      </c>
      <c r="DM4" s="299">
        <v>420</v>
      </c>
      <c r="DN4" s="299">
        <v>556</v>
      </c>
      <c r="DO4" s="299">
        <v>439</v>
      </c>
      <c r="DP4" s="299">
        <v>295</v>
      </c>
      <c r="DQ4" s="299">
        <v>215</v>
      </c>
      <c r="DR4" s="299">
        <v>249</v>
      </c>
      <c r="DS4" s="299">
        <v>248</v>
      </c>
      <c r="DT4" s="299">
        <v>254</v>
      </c>
      <c r="DU4" s="299">
        <v>251</v>
      </c>
      <c r="DV4" s="299">
        <v>1</v>
      </c>
      <c r="DW4" s="299">
        <v>29</v>
      </c>
      <c r="DX4" s="299">
        <v>2380</v>
      </c>
      <c r="DY4" s="299">
        <v>3049</v>
      </c>
      <c r="DZ4" s="299">
        <v>2181</v>
      </c>
      <c r="EA4" s="299">
        <v>3315</v>
      </c>
      <c r="EB4" s="299">
        <v>3982</v>
      </c>
      <c r="EC4" s="299">
        <v>6409</v>
      </c>
      <c r="ED4" s="299">
        <v>5703</v>
      </c>
      <c r="EE4" s="299">
        <v>4805</v>
      </c>
      <c r="EF4" s="299">
        <v>11331</v>
      </c>
      <c r="EG4" s="299">
        <v>14090</v>
      </c>
      <c r="EH4" s="299">
        <v>15687</v>
      </c>
      <c r="EI4" s="299">
        <v>2954</v>
      </c>
      <c r="EJ4" s="299">
        <v>2646</v>
      </c>
      <c r="EK4" s="299">
        <v>2965</v>
      </c>
      <c r="EL4" s="299">
        <v>3053</v>
      </c>
      <c r="EM4" s="299">
        <v>3584</v>
      </c>
      <c r="EN4" s="299">
        <v>4147</v>
      </c>
      <c r="EO4" s="299">
        <v>4015</v>
      </c>
      <c r="EP4" s="299">
        <v>4473</v>
      </c>
      <c r="EQ4" s="299">
        <v>4574</v>
      </c>
      <c r="ER4" s="299">
        <v>4904</v>
      </c>
      <c r="ES4" s="299">
        <v>5255</v>
      </c>
      <c r="ET4" s="299">
        <v>535</v>
      </c>
      <c r="EU4" s="299">
        <v>318</v>
      </c>
      <c r="EV4" s="299">
        <v>312</v>
      </c>
      <c r="EW4" s="299">
        <v>172</v>
      </c>
      <c r="EX4" s="299">
        <v>223</v>
      </c>
      <c r="EY4" s="299">
        <v>0</v>
      </c>
      <c r="EZ4" s="299">
        <v>193</v>
      </c>
      <c r="FA4" s="299">
        <v>180</v>
      </c>
      <c r="FB4" s="299">
        <v>154</v>
      </c>
      <c r="FC4" s="299">
        <v>109</v>
      </c>
      <c r="FD4" s="299">
        <v>240</v>
      </c>
      <c r="FE4" s="299">
        <v>321</v>
      </c>
      <c r="FF4" s="299">
        <v>794</v>
      </c>
      <c r="FG4" s="300">
        <v>1345</v>
      </c>
      <c r="FH4" s="300">
        <v>1272</v>
      </c>
      <c r="FI4" s="300">
        <v>1859</v>
      </c>
      <c r="FJ4" s="300">
        <v>2389</v>
      </c>
      <c r="FK4" s="300">
        <v>1985</v>
      </c>
      <c r="FL4" s="299">
        <v>2614</v>
      </c>
      <c r="FM4" s="299">
        <v>3966</v>
      </c>
      <c r="FN4" s="299">
        <v>5166</v>
      </c>
      <c r="FO4" s="299">
        <v>4668</v>
      </c>
      <c r="FP4" s="299">
        <v>2374</v>
      </c>
      <c r="FQ4" s="300">
        <v>1917</v>
      </c>
      <c r="FR4" s="300">
        <v>2209</v>
      </c>
      <c r="FS4" s="300">
        <v>1883</v>
      </c>
      <c r="FT4" s="300">
        <v>1615</v>
      </c>
      <c r="FU4" s="300">
        <v>1402</v>
      </c>
      <c r="FV4" s="300">
        <v>1911</v>
      </c>
      <c r="FW4" s="299">
        <v>2202</v>
      </c>
      <c r="FX4" s="299">
        <v>2639</v>
      </c>
      <c r="FY4" s="299">
        <v>4604</v>
      </c>
      <c r="FZ4" s="299">
        <v>6399</v>
      </c>
      <c r="GA4" s="299">
        <v>671</v>
      </c>
      <c r="GB4" s="299">
        <v>228</v>
      </c>
      <c r="GC4" s="300">
        <v>187</v>
      </c>
      <c r="GD4" s="300">
        <v>184</v>
      </c>
      <c r="GE4" s="300">
        <v>198</v>
      </c>
      <c r="GF4" s="300">
        <v>247</v>
      </c>
      <c r="GG4" s="300">
        <v>260</v>
      </c>
      <c r="GH4" s="299">
        <v>276</v>
      </c>
      <c r="GI4" s="299">
        <v>437</v>
      </c>
      <c r="GJ4" s="299">
        <v>760</v>
      </c>
      <c r="GK4" s="299">
        <v>1182</v>
      </c>
      <c r="GL4" s="299">
        <v>0</v>
      </c>
      <c r="GM4" s="299">
        <v>0</v>
      </c>
      <c r="GN4" s="299">
        <v>53</v>
      </c>
      <c r="GO4" s="299">
        <v>178</v>
      </c>
      <c r="GP4" s="299">
        <v>233</v>
      </c>
      <c r="GQ4" s="299">
        <v>248</v>
      </c>
      <c r="GR4" s="299">
        <v>249</v>
      </c>
      <c r="GS4" s="299">
        <v>245</v>
      </c>
      <c r="GT4" s="299">
        <v>278</v>
      </c>
      <c r="GU4" s="299">
        <v>354</v>
      </c>
      <c r="GV4" s="299">
        <v>431</v>
      </c>
      <c r="GW4" s="299">
        <v>8017</v>
      </c>
      <c r="GX4" s="299">
        <v>9397</v>
      </c>
      <c r="GY4" s="300">
        <v>11557</v>
      </c>
      <c r="GZ4" s="300">
        <v>3689</v>
      </c>
      <c r="HA4" s="300">
        <v>2745</v>
      </c>
      <c r="HB4" s="300">
        <v>2810</v>
      </c>
      <c r="HC4" s="300">
        <v>2152</v>
      </c>
      <c r="HD4" s="299">
        <v>2193</v>
      </c>
      <c r="HE4" s="299">
        <v>2345</v>
      </c>
      <c r="HF4" s="299">
        <v>2599</v>
      </c>
      <c r="HG4" s="299">
        <v>2880</v>
      </c>
      <c r="HH4" s="299">
        <v>194</v>
      </c>
      <c r="HI4" s="299">
        <v>197</v>
      </c>
      <c r="HJ4" s="299">
        <v>165</v>
      </c>
      <c r="HK4" s="299">
        <v>0</v>
      </c>
      <c r="HL4" s="299">
        <v>166</v>
      </c>
      <c r="HM4" s="299">
        <v>165</v>
      </c>
      <c r="HN4" s="299">
        <v>165</v>
      </c>
      <c r="HO4" s="299">
        <v>163</v>
      </c>
      <c r="HP4" s="299">
        <v>161</v>
      </c>
      <c r="HQ4" s="299"/>
      <c r="HR4" s="299">
        <v>4889</v>
      </c>
      <c r="HS4" s="299">
        <v>5936</v>
      </c>
      <c r="HT4" s="300">
        <v>5949</v>
      </c>
      <c r="HU4" s="300">
        <v>6362</v>
      </c>
      <c r="HV4" s="300">
        <v>7000</v>
      </c>
      <c r="HW4" s="300">
        <v>7339</v>
      </c>
      <c r="HX4" s="300">
        <v>9519</v>
      </c>
      <c r="HY4" s="299">
        <v>8851</v>
      </c>
      <c r="HZ4" s="299">
        <v>12666</v>
      </c>
      <c r="IA4" s="299">
        <v>15042</v>
      </c>
      <c r="IB4" s="299">
        <v>15085</v>
      </c>
      <c r="IC4" s="299">
        <v>1548</v>
      </c>
      <c r="ID4" s="299">
        <v>1543</v>
      </c>
      <c r="IE4" s="300">
        <v>1553</v>
      </c>
      <c r="IF4" s="300">
        <v>1502</v>
      </c>
      <c r="IG4" s="300">
        <v>1489</v>
      </c>
      <c r="IH4" s="300">
        <v>1482</v>
      </c>
      <c r="II4" s="300">
        <v>1293</v>
      </c>
      <c r="IJ4" s="299">
        <v>1328</v>
      </c>
      <c r="IK4" s="299">
        <v>1146</v>
      </c>
      <c r="IL4" s="299">
        <v>1026</v>
      </c>
      <c r="IM4" s="299">
        <v>985</v>
      </c>
      <c r="IN4" s="299">
        <v>371</v>
      </c>
      <c r="IO4" s="299">
        <v>384</v>
      </c>
      <c r="IP4" s="300">
        <v>404</v>
      </c>
      <c r="IQ4" s="300">
        <v>163</v>
      </c>
      <c r="IR4" s="300">
        <v>81</v>
      </c>
      <c r="IS4" s="300">
        <v>17</v>
      </c>
      <c r="IT4" s="300">
        <v>0</v>
      </c>
      <c r="IU4" s="299">
        <v>0</v>
      </c>
      <c r="IV4" s="299">
        <v>3</v>
      </c>
      <c r="IW4" s="299">
        <v>25</v>
      </c>
      <c r="IX4" s="299">
        <v>104</v>
      </c>
      <c r="IY4" s="299">
        <v>362</v>
      </c>
      <c r="IZ4" s="299">
        <v>379</v>
      </c>
      <c r="JA4" s="299">
        <v>253</v>
      </c>
      <c r="JB4" s="299">
        <v>328</v>
      </c>
      <c r="JC4" s="299">
        <v>478</v>
      </c>
      <c r="JD4" s="299">
        <v>658</v>
      </c>
      <c r="JE4" s="299">
        <v>1240</v>
      </c>
      <c r="JF4" s="299">
        <v>1913</v>
      </c>
      <c r="JG4" s="299">
        <v>3510</v>
      </c>
      <c r="JH4" s="299">
        <v>7060</v>
      </c>
      <c r="JI4" s="299">
        <v>13465</v>
      </c>
      <c r="JJ4" s="299">
        <v>38916</v>
      </c>
      <c r="JK4" s="299">
        <v>43151</v>
      </c>
      <c r="JL4" s="299">
        <v>46012</v>
      </c>
      <c r="JM4" s="299">
        <v>39301</v>
      </c>
      <c r="JN4" s="299">
        <v>42249</v>
      </c>
      <c r="JO4" s="299">
        <v>45359</v>
      </c>
      <c r="JP4" s="299">
        <v>42832</v>
      </c>
      <c r="JQ4" s="299">
        <v>43260</v>
      </c>
      <c r="JR4" s="299">
        <v>52445</v>
      </c>
      <c r="JS4" s="299">
        <v>66183</v>
      </c>
      <c r="JT4" s="299">
        <v>77975</v>
      </c>
      <c r="JU4" s="299">
        <v>87056</v>
      </c>
      <c r="JV4" s="299">
        <v>88017</v>
      </c>
      <c r="JW4" s="299">
        <v>97171</v>
      </c>
      <c r="JX4" s="299">
        <v>91013</v>
      </c>
      <c r="JY4" s="299">
        <v>96222</v>
      </c>
      <c r="JZ4" s="302">
        <v>96848</v>
      </c>
      <c r="KA4" s="302">
        <v>96453</v>
      </c>
      <c r="KB4" s="299">
        <v>108169</v>
      </c>
      <c r="KC4" s="303">
        <v>113293</v>
      </c>
      <c r="KD4" s="303">
        <v>133459</v>
      </c>
      <c r="KE4" s="472">
        <v>157764</v>
      </c>
    </row>
    <row r="5" spans="1:291" s="155" customFormat="1" ht="13.5" customHeight="1" x14ac:dyDescent="0.2">
      <c r="A5" s="395">
        <v>2</v>
      </c>
      <c r="B5" s="154" t="s">
        <v>272</v>
      </c>
      <c r="C5" s="299">
        <v>357</v>
      </c>
      <c r="D5" s="299">
        <v>340</v>
      </c>
      <c r="E5" s="299">
        <v>424</v>
      </c>
      <c r="F5" s="299">
        <v>374</v>
      </c>
      <c r="G5" s="299">
        <v>476</v>
      </c>
      <c r="H5" s="299">
        <v>542</v>
      </c>
      <c r="I5" s="299">
        <v>642</v>
      </c>
      <c r="J5" s="299">
        <v>439</v>
      </c>
      <c r="K5" s="299">
        <v>621</v>
      </c>
      <c r="L5" s="299">
        <v>647</v>
      </c>
      <c r="M5" s="299">
        <v>671</v>
      </c>
      <c r="N5" s="299">
        <v>0</v>
      </c>
      <c r="O5" s="299">
        <v>0</v>
      </c>
      <c r="P5" s="299">
        <v>75</v>
      </c>
      <c r="Q5" s="299">
        <v>110</v>
      </c>
      <c r="R5" s="299">
        <v>138</v>
      </c>
      <c r="S5" s="299">
        <v>130</v>
      </c>
      <c r="T5" s="299">
        <v>117</v>
      </c>
      <c r="U5" s="299">
        <v>137</v>
      </c>
      <c r="V5" s="299">
        <v>141</v>
      </c>
      <c r="W5" s="299">
        <v>93</v>
      </c>
      <c r="X5" s="299">
        <v>83</v>
      </c>
      <c r="Y5" s="299">
        <v>98</v>
      </c>
      <c r="Z5" s="299">
        <v>114</v>
      </c>
      <c r="AA5" s="299">
        <v>0</v>
      </c>
      <c r="AB5" s="299">
        <v>0</v>
      </c>
      <c r="AC5" s="299">
        <v>0</v>
      </c>
      <c r="AD5" s="299">
        <v>0</v>
      </c>
      <c r="AE5" s="299">
        <v>0</v>
      </c>
      <c r="AF5" s="299">
        <v>0</v>
      </c>
      <c r="AG5" s="299">
        <v>0</v>
      </c>
      <c r="AH5" s="299">
        <v>0</v>
      </c>
      <c r="AI5" s="299">
        <v>0</v>
      </c>
      <c r="AJ5" s="299">
        <v>0</v>
      </c>
      <c r="AK5" s="299">
        <v>0</v>
      </c>
      <c r="AL5" s="299">
        <v>10</v>
      </c>
      <c r="AM5" s="299">
        <v>9</v>
      </c>
      <c r="AN5" s="304">
        <v>12</v>
      </c>
      <c r="AO5" s="304">
        <v>9</v>
      </c>
      <c r="AP5" s="304">
        <v>4</v>
      </c>
      <c r="AQ5" s="304">
        <v>4</v>
      </c>
      <c r="AR5" s="304">
        <v>4</v>
      </c>
      <c r="AS5" s="299">
        <v>5</v>
      </c>
      <c r="AT5" s="299">
        <v>0</v>
      </c>
      <c r="AU5" s="299">
        <v>0</v>
      </c>
      <c r="AV5" s="299">
        <v>1</v>
      </c>
      <c r="AW5" s="299">
        <v>40</v>
      </c>
      <c r="AX5" s="299">
        <v>15</v>
      </c>
      <c r="AY5" s="304">
        <v>12</v>
      </c>
      <c r="AZ5" s="304">
        <v>18</v>
      </c>
      <c r="BA5" s="304">
        <v>19</v>
      </c>
      <c r="BB5" s="304">
        <v>20</v>
      </c>
      <c r="BC5" s="304">
        <v>18</v>
      </c>
      <c r="BD5" s="299">
        <v>25</v>
      </c>
      <c r="BE5" s="299">
        <v>25</v>
      </c>
      <c r="BF5" s="299">
        <v>25</v>
      </c>
      <c r="BG5" s="299">
        <v>13</v>
      </c>
      <c r="BH5" s="299">
        <v>30</v>
      </c>
      <c r="BI5" s="299">
        <v>39</v>
      </c>
      <c r="BJ5" s="304">
        <v>28</v>
      </c>
      <c r="BK5" s="304">
        <v>18</v>
      </c>
      <c r="BL5" s="304">
        <v>16</v>
      </c>
      <c r="BM5" s="304">
        <v>16</v>
      </c>
      <c r="BN5" s="304">
        <v>16</v>
      </c>
      <c r="BO5" s="299">
        <v>32</v>
      </c>
      <c r="BP5" s="299">
        <v>47</v>
      </c>
      <c r="BQ5" s="299">
        <v>69</v>
      </c>
      <c r="BR5" s="299">
        <v>100</v>
      </c>
      <c r="BS5" s="299">
        <v>0</v>
      </c>
      <c r="BT5" s="299">
        <v>0</v>
      </c>
      <c r="BU5" s="304">
        <v>0</v>
      </c>
      <c r="BV5" s="304">
        <v>0</v>
      </c>
      <c r="BW5" s="304">
        <v>0</v>
      </c>
      <c r="BX5" s="304">
        <v>0</v>
      </c>
      <c r="BY5" s="304">
        <v>0</v>
      </c>
      <c r="BZ5" s="299">
        <v>0</v>
      </c>
      <c r="CA5" s="299">
        <v>6</v>
      </c>
      <c r="CB5" s="299">
        <v>9</v>
      </c>
      <c r="CC5" s="299">
        <v>8</v>
      </c>
      <c r="CD5" s="299">
        <v>0</v>
      </c>
      <c r="CE5" s="299">
        <v>0</v>
      </c>
      <c r="CF5" s="299">
        <v>0</v>
      </c>
      <c r="CG5" s="299">
        <v>0</v>
      </c>
      <c r="CH5" s="299">
        <v>0</v>
      </c>
      <c r="CI5" s="299">
        <v>0</v>
      </c>
      <c r="CJ5" s="299">
        <v>0</v>
      </c>
      <c r="CK5" s="299">
        <v>0</v>
      </c>
      <c r="CL5" s="299">
        <v>0</v>
      </c>
      <c r="CM5" s="299">
        <v>0</v>
      </c>
      <c r="CN5" s="299">
        <v>0</v>
      </c>
      <c r="CO5" s="299">
        <v>0</v>
      </c>
      <c r="CP5" s="299">
        <v>0</v>
      </c>
      <c r="CQ5" s="299">
        <v>0</v>
      </c>
      <c r="CR5" s="304">
        <v>0</v>
      </c>
      <c r="CS5" s="304">
        <v>0</v>
      </c>
      <c r="CT5" s="304">
        <v>2</v>
      </c>
      <c r="CU5" s="304">
        <v>5</v>
      </c>
      <c r="CV5" s="304">
        <v>5</v>
      </c>
      <c r="CW5" s="304">
        <v>5</v>
      </c>
      <c r="CX5" s="299">
        <v>6</v>
      </c>
      <c r="CY5" s="299">
        <v>6</v>
      </c>
      <c r="CZ5" s="299">
        <v>6</v>
      </c>
      <c r="DA5" s="299">
        <v>6</v>
      </c>
      <c r="DB5" s="304">
        <v>0</v>
      </c>
      <c r="DC5" s="304">
        <v>0</v>
      </c>
      <c r="DD5" s="304">
        <v>1</v>
      </c>
      <c r="DE5" s="304">
        <v>0</v>
      </c>
      <c r="DF5" s="304">
        <v>0</v>
      </c>
      <c r="DG5" s="304">
        <v>-1</v>
      </c>
      <c r="DH5" s="304">
        <v>3</v>
      </c>
      <c r="DI5" s="299">
        <v>0</v>
      </c>
      <c r="DJ5" s="301" t="s">
        <v>42</v>
      </c>
      <c r="DK5" s="299">
        <v>0</v>
      </c>
      <c r="DL5" s="299">
        <v>0</v>
      </c>
      <c r="DM5" s="299">
        <v>0</v>
      </c>
      <c r="DN5" s="299">
        <v>0</v>
      </c>
      <c r="DO5" s="299">
        <v>0</v>
      </c>
      <c r="DP5" s="299">
        <v>0</v>
      </c>
      <c r="DQ5" s="299">
        <v>0</v>
      </c>
      <c r="DR5" s="299">
        <v>0</v>
      </c>
      <c r="DS5" s="299">
        <v>0</v>
      </c>
      <c r="DT5" s="299">
        <v>0</v>
      </c>
      <c r="DU5" s="299">
        <v>0</v>
      </c>
      <c r="DV5" s="299">
        <v>0</v>
      </c>
      <c r="DW5" s="299">
        <v>0</v>
      </c>
      <c r="DX5" s="299">
        <v>30</v>
      </c>
      <c r="DY5" s="299">
        <v>31</v>
      </c>
      <c r="DZ5" s="304">
        <v>31</v>
      </c>
      <c r="EA5" s="304">
        <v>31</v>
      </c>
      <c r="EB5" s="304">
        <v>31</v>
      </c>
      <c r="EC5" s="304">
        <v>24</v>
      </c>
      <c r="ED5" s="304">
        <v>24</v>
      </c>
      <c r="EE5" s="299">
        <v>22</v>
      </c>
      <c r="EF5" s="299">
        <v>27</v>
      </c>
      <c r="EG5" s="299">
        <v>40</v>
      </c>
      <c r="EH5" s="299">
        <v>53</v>
      </c>
      <c r="EI5" s="299">
        <v>113</v>
      </c>
      <c r="EJ5" s="299">
        <v>139</v>
      </c>
      <c r="EK5" s="304">
        <v>157</v>
      </c>
      <c r="EL5" s="304">
        <v>173</v>
      </c>
      <c r="EM5" s="304">
        <v>184</v>
      </c>
      <c r="EN5" s="304">
        <v>207</v>
      </c>
      <c r="EO5" s="304">
        <v>197</v>
      </c>
      <c r="EP5" s="299">
        <v>188</v>
      </c>
      <c r="EQ5" s="299">
        <v>196</v>
      </c>
      <c r="ER5" s="299">
        <v>181</v>
      </c>
      <c r="ES5" s="299">
        <v>186</v>
      </c>
      <c r="ET5" s="299">
        <v>0</v>
      </c>
      <c r="EU5" s="299">
        <v>0</v>
      </c>
      <c r="EV5" s="304">
        <v>0</v>
      </c>
      <c r="EW5" s="304">
        <v>0</v>
      </c>
      <c r="EX5" s="304">
        <v>0</v>
      </c>
      <c r="EY5" s="304">
        <v>0</v>
      </c>
      <c r="EZ5" s="304">
        <v>0</v>
      </c>
      <c r="FA5" s="299">
        <v>0</v>
      </c>
      <c r="FB5" s="299">
        <v>0</v>
      </c>
      <c r="FC5" s="299">
        <v>0</v>
      </c>
      <c r="FD5" s="299">
        <v>2</v>
      </c>
      <c r="FE5" s="299">
        <v>0</v>
      </c>
      <c r="FF5" s="299">
        <v>0</v>
      </c>
      <c r="FG5" s="304">
        <v>0</v>
      </c>
      <c r="FH5" s="304">
        <v>0</v>
      </c>
      <c r="FI5" s="304">
        <v>0</v>
      </c>
      <c r="FJ5" s="304">
        <v>0</v>
      </c>
      <c r="FK5" s="304">
        <v>0</v>
      </c>
      <c r="FL5" s="299">
        <v>0</v>
      </c>
      <c r="FM5" s="299">
        <v>0</v>
      </c>
      <c r="FN5" s="299">
        <v>0</v>
      </c>
      <c r="FO5" s="299">
        <v>0</v>
      </c>
      <c r="FP5" s="299">
        <v>2</v>
      </c>
      <c r="FQ5" s="304">
        <v>0</v>
      </c>
      <c r="FR5" s="304">
        <v>0</v>
      </c>
      <c r="FS5" s="304">
        <v>0</v>
      </c>
      <c r="FT5" s="304">
        <v>0</v>
      </c>
      <c r="FU5" s="304">
        <v>0</v>
      </c>
      <c r="FV5" s="304">
        <v>0</v>
      </c>
      <c r="FW5" s="299">
        <v>0</v>
      </c>
      <c r="FX5" s="299">
        <v>0</v>
      </c>
      <c r="FY5" s="299">
        <v>0</v>
      </c>
      <c r="FZ5" s="299">
        <v>9</v>
      </c>
      <c r="GA5" s="299">
        <v>7</v>
      </c>
      <c r="GB5" s="299">
        <v>4</v>
      </c>
      <c r="GC5" s="304">
        <v>3</v>
      </c>
      <c r="GD5" s="304">
        <v>3</v>
      </c>
      <c r="GE5" s="304">
        <v>3</v>
      </c>
      <c r="GF5" s="304">
        <v>3</v>
      </c>
      <c r="GG5" s="304">
        <v>3</v>
      </c>
      <c r="GH5" s="299">
        <v>3</v>
      </c>
      <c r="GI5" s="299">
        <v>5</v>
      </c>
      <c r="GJ5" s="299">
        <v>6</v>
      </c>
      <c r="GK5" s="299">
        <v>6</v>
      </c>
      <c r="GL5" s="299">
        <v>0</v>
      </c>
      <c r="GM5" s="304">
        <v>0</v>
      </c>
      <c r="GN5" s="304">
        <v>0</v>
      </c>
      <c r="GO5" s="304">
        <v>0</v>
      </c>
      <c r="GP5" s="304">
        <v>0</v>
      </c>
      <c r="GQ5" s="304">
        <v>0</v>
      </c>
      <c r="GR5" s="304">
        <v>0</v>
      </c>
      <c r="GS5" s="299">
        <v>0</v>
      </c>
      <c r="GT5" s="299">
        <v>0</v>
      </c>
      <c r="GU5" s="299">
        <v>0</v>
      </c>
      <c r="GV5" s="299">
        <v>0</v>
      </c>
      <c r="GW5" s="299">
        <v>100</v>
      </c>
      <c r="GX5" s="299">
        <v>111</v>
      </c>
      <c r="GY5" s="304">
        <v>148</v>
      </c>
      <c r="GZ5" s="304">
        <v>66</v>
      </c>
      <c r="HA5" s="304">
        <v>64</v>
      </c>
      <c r="HB5" s="304">
        <v>101</v>
      </c>
      <c r="HC5" s="304">
        <v>76</v>
      </c>
      <c r="HD5" s="299">
        <v>100</v>
      </c>
      <c r="HE5" s="299">
        <v>167</v>
      </c>
      <c r="HF5" s="299">
        <v>168</v>
      </c>
      <c r="HG5" s="299">
        <v>234</v>
      </c>
      <c r="HH5" s="299">
        <v>0</v>
      </c>
      <c r="HI5" s="299">
        <v>0</v>
      </c>
      <c r="HJ5" s="299">
        <v>0</v>
      </c>
      <c r="HK5" s="299">
        <v>0</v>
      </c>
      <c r="HL5" s="299">
        <v>0</v>
      </c>
      <c r="HM5" s="299">
        <v>0</v>
      </c>
      <c r="HN5" s="299">
        <v>0</v>
      </c>
      <c r="HO5" s="299">
        <v>0</v>
      </c>
      <c r="HP5" s="299">
        <v>0</v>
      </c>
      <c r="HQ5" s="299"/>
      <c r="HR5" s="299">
        <v>167</v>
      </c>
      <c r="HS5" s="299">
        <v>181</v>
      </c>
      <c r="HT5" s="304">
        <v>220</v>
      </c>
      <c r="HU5" s="304">
        <v>256</v>
      </c>
      <c r="HV5" s="304">
        <v>292</v>
      </c>
      <c r="HW5" s="304">
        <v>373</v>
      </c>
      <c r="HX5" s="304">
        <v>429</v>
      </c>
      <c r="HY5" s="299">
        <v>413</v>
      </c>
      <c r="HZ5" s="299">
        <v>595</v>
      </c>
      <c r="IA5" s="299">
        <v>802</v>
      </c>
      <c r="IB5" s="299">
        <v>863</v>
      </c>
      <c r="IC5" s="299">
        <v>0</v>
      </c>
      <c r="ID5" s="299">
        <v>0</v>
      </c>
      <c r="IE5" s="300">
        <v>0</v>
      </c>
      <c r="IF5" s="300">
        <v>0</v>
      </c>
      <c r="IG5" s="300">
        <v>0</v>
      </c>
      <c r="IH5" s="300">
        <v>0</v>
      </c>
      <c r="II5" s="300">
        <v>0</v>
      </c>
      <c r="IJ5" s="299">
        <v>0</v>
      </c>
      <c r="IK5" s="299">
        <v>0</v>
      </c>
      <c r="IL5" s="299">
        <v>0</v>
      </c>
      <c r="IM5" s="299">
        <v>0</v>
      </c>
      <c r="IN5" s="299">
        <v>0</v>
      </c>
      <c r="IO5" s="299">
        <v>0</v>
      </c>
      <c r="IP5" s="300">
        <v>0</v>
      </c>
      <c r="IQ5" s="300">
        <v>0</v>
      </c>
      <c r="IR5" s="300">
        <v>0</v>
      </c>
      <c r="IS5" s="300">
        <v>0</v>
      </c>
      <c r="IT5" s="300">
        <v>0</v>
      </c>
      <c r="IU5" s="299">
        <v>0</v>
      </c>
      <c r="IV5" s="299">
        <v>0</v>
      </c>
      <c r="IW5" s="299">
        <v>0</v>
      </c>
      <c r="IX5" s="299">
        <v>0</v>
      </c>
      <c r="IY5" s="299">
        <v>4</v>
      </c>
      <c r="IZ5" s="299">
        <v>3</v>
      </c>
      <c r="JA5" s="299">
        <v>3</v>
      </c>
      <c r="JB5" s="299">
        <v>3</v>
      </c>
      <c r="JC5" s="299">
        <v>7</v>
      </c>
      <c r="JD5" s="299">
        <v>6</v>
      </c>
      <c r="JE5" s="299">
        <v>8</v>
      </c>
      <c r="JF5" s="299">
        <v>9</v>
      </c>
      <c r="JG5" s="299">
        <v>52</v>
      </c>
      <c r="JH5" s="299">
        <v>92</v>
      </c>
      <c r="JI5" s="299">
        <v>119</v>
      </c>
      <c r="JJ5" s="299">
        <v>578</v>
      </c>
      <c r="JK5" s="299">
        <v>642</v>
      </c>
      <c r="JL5" s="299">
        <v>753</v>
      </c>
      <c r="JM5" s="299">
        <v>709</v>
      </c>
      <c r="JN5" s="299">
        <v>742</v>
      </c>
      <c r="JO5" s="299">
        <v>895</v>
      </c>
      <c r="JP5" s="299">
        <v>924</v>
      </c>
      <c r="JQ5" s="299">
        <v>896</v>
      </c>
      <c r="JR5" s="299">
        <v>1209</v>
      </c>
      <c r="JS5" s="299">
        <v>1496</v>
      </c>
      <c r="JT5" s="299">
        <v>1714</v>
      </c>
      <c r="JU5" s="299">
        <v>935</v>
      </c>
      <c r="JV5" s="299">
        <v>982</v>
      </c>
      <c r="JW5" s="299">
        <v>1177</v>
      </c>
      <c r="JX5" s="299">
        <v>1083</v>
      </c>
      <c r="JY5" s="299">
        <v>1218</v>
      </c>
      <c r="JZ5" s="302">
        <v>1437</v>
      </c>
      <c r="KA5" s="302">
        <v>1566</v>
      </c>
      <c r="KB5" s="299">
        <v>1335</v>
      </c>
      <c r="KC5" s="303">
        <v>1830</v>
      </c>
      <c r="KD5" s="303">
        <v>2143</v>
      </c>
      <c r="KE5" s="472">
        <v>2385</v>
      </c>
    </row>
    <row r="6" spans="1:291" s="155" customFormat="1" ht="13.5" customHeight="1" x14ac:dyDescent="0.2">
      <c r="A6" s="395">
        <v>3</v>
      </c>
      <c r="B6" s="154" t="s">
        <v>245</v>
      </c>
      <c r="C6" s="299">
        <v>26678</v>
      </c>
      <c r="D6" s="299">
        <v>24935</v>
      </c>
      <c r="E6" s="299">
        <v>25857</v>
      </c>
      <c r="F6" s="299">
        <v>27384</v>
      </c>
      <c r="G6" s="299">
        <v>31232</v>
      </c>
      <c r="H6" s="299">
        <v>31621</v>
      </c>
      <c r="I6" s="299">
        <v>39130</v>
      </c>
      <c r="J6" s="299">
        <v>38154</v>
      </c>
      <c r="K6" s="299">
        <v>41714</v>
      </c>
      <c r="L6" s="299">
        <v>35643</v>
      </c>
      <c r="M6" s="299">
        <v>36145</v>
      </c>
      <c r="N6" s="299">
        <v>0</v>
      </c>
      <c r="O6" s="299">
        <v>0</v>
      </c>
      <c r="P6" s="299">
        <v>3453</v>
      </c>
      <c r="Q6" s="299">
        <v>4128</v>
      </c>
      <c r="R6" s="299">
        <v>3357</v>
      </c>
      <c r="S6" s="299">
        <v>3834</v>
      </c>
      <c r="T6" s="299">
        <v>3520</v>
      </c>
      <c r="U6" s="299">
        <v>3751</v>
      </c>
      <c r="V6" s="299">
        <v>3897</v>
      </c>
      <c r="W6" s="299">
        <v>3437</v>
      </c>
      <c r="X6" s="299">
        <v>2719</v>
      </c>
      <c r="Y6" s="299">
        <v>2436</v>
      </c>
      <c r="Z6" s="299">
        <v>2511</v>
      </c>
      <c r="AA6" s="299">
        <v>134</v>
      </c>
      <c r="AB6" s="299">
        <v>130</v>
      </c>
      <c r="AC6" s="299">
        <v>117</v>
      </c>
      <c r="AD6" s="299">
        <v>114</v>
      </c>
      <c r="AE6" s="299">
        <v>114</v>
      </c>
      <c r="AF6" s="299">
        <v>17</v>
      </c>
      <c r="AG6" s="299">
        <v>1</v>
      </c>
      <c r="AH6" s="299">
        <v>0</v>
      </c>
      <c r="AI6" s="299">
        <v>0</v>
      </c>
      <c r="AJ6" s="299">
        <v>0</v>
      </c>
      <c r="AK6" s="299">
        <v>0</v>
      </c>
      <c r="AL6" s="299">
        <v>296</v>
      </c>
      <c r="AM6" s="299">
        <v>244</v>
      </c>
      <c r="AN6" s="299">
        <v>173</v>
      </c>
      <c r="AO6" s="299">
        <v>169</v>
      </c>
      <c r="AP6" s="299">
        <v>194</v>
      </c>
      <c r="AQ6" s="299">
        <v>141</v>
      </c>
      <c r="AR6" s="299">
        <v>152</v>
      </c>
      <c r="AS6" s="299">
        <v>168</v>
      </c>
      <c r="AT6" s="299">
        <v>26</v>
      </c>
      <c r="AU6" s="299">
        <v>48</v>
      </c>
      <c r="AV6" s="299">
        <v>109</v>
      </c>
      <c r="AW6" s="299">
        <v>828</v>
      </c>
      <c r="AX6" s="299">
        <v>638</v>
      </c>
      <c r="AY6" s="299">
        <v>790</v>
      </c>
      <c r="AZ6" s="299">
        <v>877</v>
      </c>
      <c r="BA6" s="299">
        <v>748</v>
      </c>
      <c r="BB6" s="299">
        <v>697</v>
      </c>
      <c r="BC6" s="299">
        <v>559</v>
      </c>
      <c r="BD6" s="299">
        <v>520</v>
      </c>
      <c r="BE6" s="299">
        <v>326</v>
      </c>
      <c r="BF6" s="299">
        <v>254</v>
      </c>
      <c r="BG6" s="299">
        <v>157</v>
      </c>
      <c r="BH6" s="299">
        <v>3671</v>
      </c>
      <c r="BI6" s="299">
        <v>2772</v>
      </c>
      <c r="BJ6" s="299">
        <v>2368</v>
      </c>
      <c r="BK6" s="299">
        <v>2245</v>
      </c>
      <c r="BL6" s="299">
        <v>2175</v>
      </c>
      <c r="BM6" s="299">
        <v>2445</v>
      </c>
      <c r="BN6" s="299">
        <v>2507</v>
      </c>
      <c r="BO6" s="299">
        <v>2723</v>
      </c>
      <c r="BP6" s="299">
        <v>3359</v>
      </c>
      <c r="BQ6" s="299">
        <v>3843</v>
      </c>
      <c r="BR6" s="299">
        <v>4154</v>
      </c>
      <c r="BS6" s="299">
        <v>352</v>
      </c>
      <c r="BT6" s="299">
        <v>387</v>
      </c>
      <c r="BU6" s="304">
        <v>225</v>
      </c>
      <c r="BV6" s="304">
        <v>358</v>
      </c>
      <c r="BW6" s="304">
        <v>506</v>
      </c>
      <c r="BX6" s="304">
        <v>690</v>
      </c>
      <c r="BY6" s="304">
        <v>558</v>
      </c>
      <c r="BZ6" s="299">
        <v>597</v>
      </c>
      <c r="CA6" s="299">
        <v>567</v>
      </c>
      <c r="CB6" s="299">
        <v>854</v>
      </c>
      <c r="CC6" s="299">
        <v>831</v>
      </c>
      <c r="CD6" s="299">
        <v>0</v>
      </c>
      <c r="CE6" s="299">
        <v>0</v>
      </c>
      <c r="CF6" s="299">
        <v>0</v>
      </c>
      <c r="CG6" s="299">
        <v>0</v>
      </c>
      <c r="CH6" s="299">
        <v>0</v>
      </c>
      <c r="CI6" s="299">
        <v>3</v>
      </c>
      <c r="CJ6" s="299">
        <v>8</v>
      </c>
      <c r="CK6" s="299">
        <v>7</v>
      </c>
      <c r="CL6" s="299">
        <v>6</v>
      </c>
      <c r="CM6" s="299">
        <v>6</v>
      </c>
      <c r="CN6" s="299">
        <v>1</v>
      </c>
      <c r="CO6" s="299">
        <v>0</v>
      </c>
      <c r="CP6" s="299">
        <v>0</v>
      </c>
      <c r="CQ6" s="299">
        <v>1</v>
      </c>
      <c r="CR6" s="304">
        <v>26</v>
      </c>
      <c r="CS6" s="304">
        <v>87</v>
      </c>
      <c r="CT6" s="304">
        <v>186</v>
      </c>
      <c r="CU6" s="304">
        <v>272</v>
      </c>
      <c r="CV6" s="304">
        <v>342</v>
      </c>
      <c r="CW6" s="304">
        <v>363</v>
      </c>
      <c r="CX6" s="299">
        <v>399</v>
      </c>
      <c r="CY6" s="299">
        <v>450</v>
      </c>
      <c r="CZ6" s="299">
        <v>479</v>
      </c>
      <c r="DA6" s="299">
        <v>441</v>
      </c>
      <c r="DB6" s="304">
        <v>283</v>
      </c>
      <c r="DC6" s="304">
        <v>689</v>
      </c>
      <c r="DD6" s="304">
        <v>989</v>
      </c>
      <c r="DE6" s="304">
        <v>848</v>
      </c>
      <c r="DF6" s="304">
        <v>919</v>
      </c>
      <c r="DG6" s="304">
        <v>880</v>
      </c>
      <c r="DH6" s="304">
        <v>758</v>
      </c>
      <c r="DI6" s="299">
        <v>823</v>
      </c>
      <c r="DJ6" s="301" t="s">
        <v>42</v>
      </c>
      <c r="DK6" s="299">
        <v>112</v>
      </c>
      <c r="DL6" s="299">
        <v>111</v>
      </c>
      <c r="DM6" s="304">
        <v>110</v>
      </c>
      <c r="DN6" s="304">
        <v>200</v>
      </c>
      <c r="DO6" s="304">
        <v>214</v>
      </c>
      <c r="DP6" s="304">
        <v>145</v>
      </c>
      <c r="DQ6" s="304">
        <v>56</v>
      </c>
      <c r="DR6" s="299">
        <v>222</v>
      </c>
      <c r="DS6" s="299">
        <v>219</v>
      </c>
      <c r="DT6" s="299">
        <v>234</v>
      </c>
      <c r="DU6" s="299">
        <v>248</v>
      </c>
      <c r="DV6" s="299">
        <v>0</v>
      </c>
      <c r="DW6" s="299">
        <v>0</v>
      </c>
      <c r="DX6" s="299">
        <v>949</v>
      </c>
      <c r="DY6" s="299">
        <v>1278</v>
      </c>
      <c r="DZ6" s="299">
        <v>961</v>
      </c>
      <c r="EA6" s="299">
        <v>1428</v>
      </c>
      <c r="EB6" s="299">
        <v>1872</v>
      </c>
      <c r="EC6" s="299">
        <v>2332</v>
      </c>
      <c r="ED6" s="299">
        <v>2417</v>
      </c>
      <c r="EE6" s="299">
        <v>2262</v>
      </c>
      <c r="EF6" s="299">
        <v>3519</v>
      </c>
      <c r="EG6" s="299">
        <v>4505</v>
      </c>
      <c r="EH6" s="299">
        <v>5353</v>
      </c>
      <c r="EI6" s="299">
        <v>2714</v>
      </c>
      <c r="EJ6" s="299">
        <v>2627</v>
      </c>
      <c r="EK6" s="304">
        <v>2847</v>
      </c>
      <c r="EL6" s="304">
        <v>3123</v>
      </c>
      <c r="EM6" s="304">
        <v>3295</v>
      </c>
      <c r="EN6" s="304">
        <v>3601</v>
      </c>
      <c r="EO6" s="304">
        <v>3338</v>
      </c>
      <c r="EP6" s="299">
        <v>3376</v>
      </c>
      <c r="EQ6" s="299">
        <v>3365</v>
      </c>
      <c r="ER6" s="299">
        <v>3415</v>
      </c>
      <c r="ES6" s="299">
        <v>3563</v>
      </c>
      <c r="ET6" s="299">
        <v>184</v>
      </c>
      <c r="EU6" s="299">
        <v>129</v>
      </c>
      <c r="EV6" s="299">
        <v>125</v>
      </c>
      <c r="EW6" s="299">
        <v>30</v>
      </c>
      <c r="EX6" s="299">
        <v>30</v>
      </c>
      <c r="EY6" s="299">
        <v>0</v>
      </c>
      <c r="EZ6" s="299">
        <v>6</v>
      </c>
      <c r="FA6" s="299">
        <v>24</v>
      </c>
      <c r="FB6" s="299">
        <v>24</v>
      </c>
      <c r="FC6" s="299">
        <v>24</v>
      </c>
      <c r="FD6" s="299">
        <v>146</v>
      </c>
      <c r="FE6" s="299">
        <v>3990</v>
      </c>
      <c r="FF6" s="299">
        <v>5415</v>
      </c>
      <c r="FG6" s="299">
        <v>5616</v>
      </c>
      <c r="FH6" s="299">
        <v>4993</v>
      </c>
      <c r="FI6" s="299">
        <v>6201</v>
      </c>
      <c r="FJ6" s="299">
        <v>5532</v>
      </c>
      <c r="FK6" s="299">
        <v>4870</v>
      </c>
      <c r="FL6" s="299">
        <v>4636</v>
      </c>
      <c r="FM6" s="299">
        <v>4634</v>
      </c>
      <c r="FN6" s="299">
        <v>4525</v>
      </c>
      <c r="FO6" s="299">
        <v>4333</v>
      </c>
      <c r="FP6" s="299">
        <v>154</v>
      </c>
      <c r="FQ6" s="300">
        <v>204</v>
      </c>
      <c r="FR6" s="300">
        <v>323</v>
      </c>
      <c r="FS6" s="300">
        <v>328</v>
      </c>
      <c r="FT6" s="300">
        <v>322</v>
      </c>
      <c r="FU6" s="300">
        <v>341</v>
      </c>
      <c r="FV6" s="300">
        <v>364</v>
      </c>
      <c r="FW6" s="299">
        <v>406</v>
      </c>
      <c r="FX6" s="299">
        <v>565</v>
      </c>
      <c r="FY6" s="299">
        <v>688</v>
      </c>
      <c r="FZ6" s="299">
        <v>876</v>
      </c>
      <c r="GA6" s="299">
        <v>293</v>
      </c>
      <c r="GB6" s="299">
        <v>244</v>
      </c>
      <c r="GC6" s="299">
        <v>151</v>
      </c>
      <c r="GD6" s="299">
        <v>158</v>
      </c>
      <c r="GE6" s="299">
        <v>164</v>
      </c>
      <c r="GF6" s="299">
        <v>199</v>
      </c>
      <c r="GG6" s="299">
        <v>206</v>
      </c>
      <c r="GH6" s="299">
        <v>214</v>
      </c>
      <c r="GI6" s="299">
        <v>296</v>
      </c>
      <c r="GJ6" s="299">
        <v>369</v>
      </c>
      <c r="GK6" s="299">
        <v>457</v>
      </c>
      <c r="GL6" s="299">
        <v>3</v>
      </c>
      <c r="GM6" s="299">
        <v>37</v>
      </c>
      <c r="GN6" s="299">
        <v>127</v>
      </c>
      <c r="GO6" s="299">
        <v>175</v>
      </c>
      <c r="GP6" s="299">
        <v>287</v>
      </c>
      <c r="GQ6" s="299">
        <v>330</v>
      </c>
      <c r="GR6" s="299">
        <v>348</v>
      </c>
      <c r="GS6" s="299">
        <v>347</v>
      </c>
      <c r="GT6" s="299">
        <v>374</v>
      </c>
      <c r="GU6" s="299">
        <v>462</v>
      </c>
      <c r="GV6" s="299">
        <v>531</v>
      </c>
      <c r="GW6" s="299">
        <v>3778</v>
      </c>
      <c r="GX6" s="299">
        <v>4996</v>
      </c>
      <c r="GY6" s="299">
        <v>6221</v>
      </c>
      <c r="GZ6" s="299">
        <v>2835</v>
      </c>
      <c r="HA6" s="299">
        <v>2902</v>
      </c>
      <c r="HB6" s="299">
        <v>3376</v>
      </c>
      <c r="HC6" s="299">
        <v>2479</v>
      </c>
      <c r="HD6" s="299">
        <v>2676</v>
      </c>
      <c r="HE6" s="299">
        <v>2798</v>
      </c>
      <c r="HF6" s="299">
        <v>3006</v>
      </c>
      <c r="HG6" s="299">
        <v>3851</v>
      </c>
      <c r="HH6" s="299">
        <v>174</v>
      </c>
      <c r="HI6" s="299">
        <v>173</v>
      </c>
      <c r="HJ6" s="299">
        <v>153</v>
      </c>
      <c r="HK6" s="299">
        <v>0</v>
      </c>
      <c r="HL6" s="299">
        <v>154</v>
      </c>
      <c r="HM6" s="299">
        <v>153</v>
      </c>
      <c r="HN6" s="299">
        <v>153</v>
      </c>
      <c r="HO6" s="299">
        <v>153</v>
      </c>
      <c r="HP6" s="299">
        <v>151</v>
      </c>
      <c r="HQ6" s="299"/>
      <c r="HR6" s="299">
        <v>2252</v>
      </c>
      <c r="HS6" s="299">
        <v>2734</v>
      </c>
      <c r="HT6" s="299">
        <v>2988</v>
      </c>
      <c r="HU6" s="299">
        <v>3216</v>
      </c>
      <c r="HV6" s="299">
        <v>3984</v>
      </c>
      <c r="HW6" s="299">
        <v>4589</v>
      </c>
      <c r="HX6" s="299">
        <v>6056</v>
      </c>
      <c r="HY6" s="299">
        <v>5282</v>
      </c>
      <c r="HZ6" s="299">
        <v>7004</v>
      </c>
      <c r="IA6" s="299">
        <v>7893</v>
      </c>
      <c r="IB6" s="299">
        <v>7798</v>
      </c>
      <c r="IC6" s="299">
        <v>0</v>
      </c>
      <c r="ID6" s="299">
        <v>0</v>
      </c>
      <c r="IE6" s="304">
        <v>0</v>
      </c>
      <c r="IF6" s="304">
        <v>0</v>
      </c>
      <c r="IG6" s="304">
        <v>0</v>
      </c>
      <c r="IH6" s="304">
        <v>0</v>
      </c>
      <c r="II6" s="304">
        <v>0</v>
      </c>
      <c r="IJ6" s="299">
        <v>0</v>
      </c>
      <c r="IK6" s="299">
        <v>0</v>
      </c>
      <c r="IL6" s="299">
        <v>0</v>
      </c>
      <c r="IM6" s="299">
        <v>0</v>
      </c>
      <c r="IN6" s="299">
        <v>508</v>
      </c>
      <c r="IO6" s="299">
        <v>330</v>
      </c>
      <c r="IP6" s="304">
        <v>336</v>
      </c>
      <c r="IQ6" s="304">
        <v>184</v>
      </c>
      <c r="IR6" s="304">
        <v>83</v>
      </c>
      <c r="IS6" s="304">
        <v>20</v>
      </c>
      <c r="IT6" s="304">
        <v>11</v>
      </c>
      <c r="IU6" s="299">
        <v>8</v>
      </c>
      <c r="IV6" s="299">
        <v>8</v>
      </c>
      <c r="IW6" s="299">
        <v>16</v>
      </c>
      <c r="IX6" s="299">
        <v>41</v>
      </c>
      <c r="IY6" s="299">
        <v>1425</v>
      </c>
      <c r="IZ6" s="299">
        <v>927</v>
      </c>
      <c r="JA6" s="299">
        <v>1004</v>
      </c>
      <c r="JB6" s="299">
        <v>1108</v>
      </c>
      <c r="JC6" s="299">
        <v>1181</v>
      </c>
      <c r="JD6" s="299">
        <v>1099</v>
      </c>
      <c r="JE6" s="299">
        <v>1392</v>
      </c>
      <c r="JF6" s="299">
        <v>1320</v>
      </c>
      <c r="JG6" s="299">
        <v>1603</v>
      </c>
      <c r="JH6" s="299">
        <v>1967</v>
      </c>
      <c r="JI6" s="299">
        <v>2624</v>
      </c>
      <c r="JJ6" s="299">
        <v>25554</v>
      </c>
      <c r="JK6" s="299">
        <v>28219</v>
      </c>
      <c r="JL6" s="299">
        <v>29068</v>
      </c>
      <c r="JM6" s="299">
        <v>26409</v>
      </c>
      <c r="JN6" s="299">
        <v>29137</v>
      </c>
      <c r="JO6" s="299">
        <v>30683</v>
      </c>
      <c r="JP6" s="299">
        <v>30499</v>
      </c>
      <c r="JQ6" s="299">
        <v>29600</v>
      </c>
      <c r="JR6" s="299">
        <v>32013</v>
      </c>
      <c r="JS6" s="299">
        <v>35024</v>
      </c>
      <c r="JT6" s="299">
        <v>38025</v>
      </c>
      <c r="JU6" s="299">
        <v>52232</v>
      </c>
      <c r="JV6" s="299">
        <v>53154</v>
      </c>
      <c r="JW6" s="299">
        <v>54925</v>
      </c>
      <c r="JX6" s="299">
        <v>53793</v>
      </c>
      <c r="JY6" s="299">
        <v>60369</v>
      </c>
      <c r="JZ6" s="302">
        <v>62304</v>
      </c>
      <c r="KA6" s="302">
        <v>69629</v>
      </c>
      <c r="KB6" s="299">
        <v>67754</v>
      </c>
      <c r="KC6" s="303">
        <v>73727</v>
      </c>
      <c r="KD6" s="303">
        <v>70667</v>
      </c>
      <c r="KE6" s="472">
        <v>74170</v>
      </c>
    </row>
    <row r="7" spans="1:291" s="155" customFormat="1" ht="14.25" customHeight="1" x14ac:dyDescent="0.2">
      <c r="A7" s="395">
        <v>4</v>
      </c>
      <c r="B7" s="154" t="s">
        <v>230</v>
      </c>
      <c r="C7" s="299">
        <v>56026</v>
      </c>
      <c r="D7" s="299">
        <v>51523</v>
      </c>
      <c r="E7" s="299">
        <v>56976</v>
      </c>
      <c r="F7" s="299">
        <v>58978</v>
      </c>
      <c r="G7" s="299">
        <v>67196</v>
      </c>
      <c r="H7" s="299">
        <v>67749</v>
      </c>
      <c r="I7" s="299">
        <v>70097</v>
      </c>
      <c r="J7" s="299">
        <v>76277</v>
      </c>
      <c r="K7" s="299">
        <v>86545</v>
      </c>
      <c r="L7" s="299">
        <v>82853</v>
      </c>
      <c r="M7" s="299">
        <v>87072</v>
      </c>
      <c r="N7" s="299">
        <v>0</v>
      </c>
      <c r="O7" s="299">
        <v>0</v>
      </c>
      <c r="P7" s="299">
        <v>7914</v>
      </c>
      <c r="Q7" s="299">
        <v>9593</v>
      </c>
      <c r="R7" s="299">
        <v>7890</v>
      </c>
      <c r="S7" s="299">
        <v>8509</v>
      </c>
      <c r="T7" s="299">
        <v>7581</v>
      </c>
      <c r="U7" s="299">
        <v>7894</v>
      </c>
      <c r="V7" s="299">
        <v>8379</v>
      </c>
      <c r="W7" s="299">
        <v>7510</v>
      </c>
      <c r="X7" s="299">
        <v>5514</v>
      </c>
      <c r="Y7" s="299">
        <v>4971</v>
      </c>
      <c r="Z7" s="299">
        <v>5052</v>
      </c>
      <c r="AA7" s="299">
        <v>9</v>
      </c>
      <c r="AB7" s="299">
        <v>3</v>
      </c>
      <c r="AC7" s="299">
        <v>8</v>
      </c>
      <c r="AD7" s="299">
        <v>8</v>
      </c>
      <c r="AE7" s="299">
        <v>8</v>
      </c>
      <c r="AF7" s="299">
        <v>7</v>
      </c>
      <c r="AG7" s="299">
        <v>0</v>
      </c>
      <c r="AH7" s="299">
        <v>0</v>
      </c>
      <c r="AI7" s="299">
        <v>0</v>
      </c>
      <c r="AJ7" s="299">
        <v>0</v>
      </c>
      <c r="AK7" s="299">
        <v>0</v>
      </c>
      <c r="AL7" s="299">
        <v>774</v>
      </c>
      <c r="AM7" s="299">
        <v>684</v>
      </c>
      <c r="AN7" s="299">
        <v>641</v>
      </c>
      <c r="AO7" s="299">
        <v>817</v>
      </c>
      <c r="AP7" s="299">
        <v>1084</v>
      </c>
      <c r="AQ7" s="299">
        <v>871</v>
      </c>
      <c r="AR7" s="299">
        <v>965</v>
      </c>
      <c r="AS7" s="299">
        <v>1051</v>
      </c>
      <c r="AT7" s="299">
        <v>274</v>
      </c>
      <c r="AU7" s="299">
        <v>473</v>
      </c>
      <c r="AV7" s="299">
        <v>428</v>
      </c>
      <c r="AW7" s="299">
        <v>629</v>
      </c>
      <c r="AX7" s="299">
        <v>460</v>
      </c>
      <c r="AY7" s="299">
        <v>551</v>
      </c>
      <c r="AZ7" s="299">
        <v>642</v>
      </c>
      <c r="BA7" s="299">
        <v>561</v>
      </c>
      <c r="BB7" s="299">
        <v>523</v>
      </c>
      <c r="BC7" s="299">
        <v>215</v>
      </c>
      <c r="BD7" s="299">
        <v>143</v>
      </c>
      <c r="BE7" s="299">
        <v>75</v>
      </c>
      <c r="BF7" s="299">
        <v>60</v>
      </c>
      <c r="BG7" s="299">
        <v>104</v>
      </c>
      <c r="BH7" s="299">
        <v>13928</v>
      </c>
      <c r="BI7" s="299">
        <v>10276</v>
      </c>
      <c r="BJ7" s="299">
        <v>9102</v>
      </c>
      <c r="BK7" s="299">
        <v>8537</v>
      </c>
      <c r="BL7" s="299">
        <v>8207</v>
      </c>
      <c r="BM7" s="299">
        <v>8901</v>
      </c>
      <c r="BN7" s="299">
        <v>9145</v>
      </c>
      <c r="BO7" s="299">
        <v>9745</v>
      </c>
      <c r="BP7" s="299">
        <v>12793</v>
      </c>
      <c r="BQ7" s="299">
        <v>14631</v>
      </c>
      <c r="BR7" s="299">
        <v>14945</v>
      </c>
      <c r="BS7" s="299">
        <v>420</v>
      </c>
      <c r="BT7" s="299">
        <v>475</v>
      </c>
      <c r="BU7" s="304">
        <v>416</v>
      </c>
      <c r="BV7" s="304">
        <v>727</v>
      </c>
      <c r="BW7" s="304">
        <v>1804</v>
      </c>
      <c r="BX7" s="304">
        <v>2771</v>
      </c>
      <c r="BY7" s="304">
        <v>2101</v>
      </c>
      <c r="BZ7" s="299">
        <v>2347</v>
      </c>
      <c r="CA7" s="299">
        <v>2988</v>
      </c>
      <c r="CB7" s="299">
        <v>3380</v>
      </c>
      <c r="CC7" s="299">
        <v>3422</v>
      </c>
      <c r="CD7" s="299">
        <v>0</v>
      </c>
      <c r="CE7" s="299">
        <v>0</v>
      </c>
      <c r="CF7" s="299">
        <v>0</v>
      </c>
      <c r="CG7" s="299">
        <v>0</v>
      </c>
      <c r="CH7" s="299">
        <v>0</v>
      </c>
      <c r="CI7" s="299">
        <v>2</v>
      </c>
      <c r="CJ7" s="299">
        <v>3</v>
      </c>
      <c r="CK7" s="299">
        <v>2</v>
      </c>
      <c r="CL7" s="299">
        <v>2</v>
      </c>
      <c r="CM7" s="299">
        <v>2</v>
      </c>
      <c r="CN7" s="299">
        <v>1</v>
      </c>
      <c r="CO7" s="299">
        <v>0</v>
      </c>
      <c r="CP7" s="299">
        <v>0</v>
      </c>
      <c r="CQ7" s="299">
        <v>362</v>
      </c>
      <c r="CR7" s="304">
        <v>523</v>
      </c>
      <c r="CS7" s="304">
        <v>688</v>
      </c>
      <c r="CT7" s="304">
        <v>915</v>
      </c>
      <c r="CU7" s="304">
        <v>1207</v>
      </c>
      <c r="CV7" s="304">
        <v>1359</v>
      </c>
      <c r="CW7" s="304">
        <v>1419</v>
      </c>
      <c r="CX7" s="299">
        <v>1444</v>
      </c>
      <c r="CY7" s="299">
        <v>1575</v>
      </c>
      <c r="CZ7" s="299">
        <v>1793</v>
      </c>
      <c r="DA7" s="299">
        <v>1680</v>
      </c>
      <c r="DB7" s="304">
        <v>119</v>
      </c>
      <c r="DC7" s="304">
        <v>356</v>
      </c>
      <c r="DD7" s="304">
        <v>363</v>
      </c>
      <c r="DE7" s="304">
        <v>452</v>
      </c>
      <c r="DF7" s="304">
        <v>588</v>
      </c>
      <c r="DG7" s="304">
        <v>652</v>
      </c>
      <c r="DH7" s="304">
        <v>430</v>
      </c>
      <c r="DI7" s="299">
        <v>382</v>
      </c>
      <c r="DJ7" s="301" t="s">
        <v>42</v>
      </c>
      <c r="DK7" s="299">
        <v>2623</v>
      </c>
      <c r="DL7" s="299">
        <v>2513</v>
      </c>
      <c r="DM7" s="299">
        <v>1205</v>
      </c>
      <c r="DN7" s="299">
        <v>1508</v>
      </c>
      <c r="DO7" s="299">
        <v>1030</v>
      </c>
      <c r="DP7" s="299">
        <v>508</v>
      </c>
      <c r="DQ7" s="299">
        <v>324</v>
      </c>
      <c r="DR7" s="299">
        <v>569</v>
      </c>
      <c r="DS7" s="299">
        <v>735</v>
      </c>
      <c r="DT7" s="299">
        <v>780</v>
      </c>
      <c r="DU7" s="299">
        <v>800</v>
      </c>
      <c r="DV7" s="299">
        <v>0</v>
      </c>
      <c r="DW7" s="299">
        <v>1</v>
      </c>
      <c r="DX7" s="299">
        <v>1285</v>
      </c>
      <c r="DY7" s="299">
        <v>1724</v>
      </c>
      <c r="DZ7" s="299">
        <v>1152</v>
      </c>
      <c r="EA7" s="299">
        <v>1631</v>
      </c>
      <c r="EB7" s="299">
        <v>1970</v>
      </c>
      <c r="EC7" s="299">
        <v>2873</v>
      </c>
      <c r="ED7" s="299">
        <v>2883</v>
      </c>
      <c r="EE7" s="299">
        <v>3070</v>
      </c>
      <c r="EF7" s="299">
        <v>4007</v>
      </c>
      <c r="EG7" s="299">
        <v>4883</v>
      </c>
      <c r="EH7" s="299">
        <v>5779</v>
      </c>
      <c r="EI7" s="299">
        <v>8491</v>
      </c>
      <c r="EJ7" s="299">
        <v>7452</v>
      </c>
      <c r="EK7" s="304">
        <v>8240</v>
      </c>
      <c r="EL7" s="304">
        <v>9141</v>
      </c>
      <c r="EM7" s="304">
        <v>10329</v>
      </c>
      <c r="EN7" s="304">
        <v>11316</v>
      </c>
      <c r="EO7" s="304">
        <v>10939</v>
      </c>
      <c r="EP7" s="299">
        <v>11693</v>
      </c>
      <c r="EQ7" s="299">
        <v>12028</v>
      </c>
      <c r="ER7" s="299">
        <v>12888</v>
      </c>
      <c r="ES7" s="299">
        <v>14547</v>
      </c>
      <c r="ET7" s="299">
        <v>124</v>
      </c>
      <c r="EU7" s="299">
        <v>90</v>
      </c>
      <c r="EV7" s="304">
        <v>119</v>
      </c>
      <c r="EW7" s="304">
        <v>69</v>
      </c>
      <c r="EX7" s="304">
        <v>78</v>
      </c>
      <c r="EY7" s="304">
        <v>0</v>
      </c>
      <c r="EZ7" s="304">
        <v>57</v>
      </c>
      <c r="FA7" s="299">
        <v>47</v>
      </c>
      <c r="FB7" s="299">
        <v>43</v>
      </c>
      <c r="FC7" s="299">
        <v>35</v>
      </c>
      <c r="FD7" s="299">
        <v>230</v>
      </c>
      <c r="FE7" s="299">
        <v>818</v>
      </c>
      <c r="FF7" s="299">
        <v>1385</v>
      </c>
      <c r="FG7" s="304">
        <v>1549</v>
      </c>
      <c r="FH7" s="304">
        <v>1130</v>
      </c>
      <c r="FI7" s="304">
        <v>1389</v>
      </c>
      <c r="FJ7" s="304">
        <v>1142</v>
      </c>
      <c r="FK7" s="304">
        <v>1048</v>
      </c>
      <c r="FL7" s="299">
        <v>1120</v>
      </c>
      <c r="FM7" s="299">
        <v>828</v>
      </c>
      <c r="FN7" s="299">
        <v>698</v>
      </c>
      <c r="FO7" s="299">
        <v>722</v>
      </c>
      <c r="FP7" s="299">
        <v>479</v>
      </c>
      <c r="FQ7" s="300">
        <v>480</v>
      </c>
      <c r="FR7" s="300">
        <v>608</v>
      </c>
      <c r="FS7" s="300">
        <v>681</v>
      </c>
      <c r="FT7" s="300">
        <v>637</v>
      </c>
      <c r="FU7" s="300">
        <v>633</v>
      </c>
      <c r="FV7" s="300">
        <v>667</v>
      </c>
      <c r="FW7" s="299">
        <v>704</v>
      </c>
      <c r="FX7" s="299">
        <v>861</v>
      </c>
      <c r="FY7" s="299">
        <v>1309</v>
      </c>
      <c r="FZ7" s="299">
        <v>1866</v>
      </c>
      <c r="GA7" s="299">
        <v>346</v>
      </c>
      <c r="GB7" s="299">
        <v>420</v>
      </c>
      <c r="GC7" s="299">
        <v>445</v>
      </c>
      <c r="GD7" s="299">
        <v>482</v>
      </c>
      <c r="GE7" s="299">
        <v>491</v>
      </c>
      <c r="GF7" s="299">
        <v>568</v>
      </c>
      <c r="GG7" s="299">
        <v>598</v>
      </c>
      <c r="GH7" s="299">
        <v>695</v>
      </c>
      <c r="GI7" s="299">
        <v>946</v>
      </c>
      <c r="GJ7" s="299">
        <v>1236</v>
      </c>
      <c r="GK7" s="299">
        <v>1553</v>
      </c>
      <c r="GL7" s="299">
        <v>0</v>
      </c>
      <c r="GM7" s="299">
        <v>0</v>
      </c>
      <c r="GN7" s="299">
        <v>6</v>
      </c>
      <c r="GO7" s="299">
        <v>103</v>
      </c>
      <c r="GP7" s="299">
        <v>157</v>
      </c>
      <c r="GQ7" s="299">
        <v>184</v>
      </c>
      <c r="GR7" s="299">
        <v>182</v>
      </c>
      <c r="GS7" s="299">
        <v>187</v>
      </c>
      <c r="GT7" s="299">
        <v>202</v>
      </c>
      <c r="GU7" s="299">
        <v>344</v>
      </c>
      <c r="GV7" s="299">
        <v>442</v>
      </c>
      <c r="GW7" s="299">
        <v>8716</v>
      </c>
      <c r="GX7" s="299">
        <v>10774</v>
      </c>
      <c r="GY7" s="299">
        <v>12925</v>
      </c>
      <c r="GZ7" s="299">
        <v>6109</v>
      </c>
      <c r="HA7" s="299">
        <v>4891</v>
      </c>
      <c r="HB7" s="299">
        <v>5289</v>
      </c>
      <c r="HC7" s="299">
        <v>4289</v>
      </c>
      <c r="HD7" s="299">
        <v>4424</v>
      </c>
      <c r="HE7" s="299">
        <v>5182</v>
      </c>
      <c r="HF7" s="299">
        <v>5231</v>
      </c>
      <c r="HG7" s="299">
        <v>5824</v>
      </c>
      <c r="HH7" s="299">
        <v>2076</v>
      </c>
      <c r="HI7" s="299">
        <v>2079</v>
      </c>
      <c r="HJ7" s="299">
        <v>1889</v>
      </c>
      <c r="HK7" s="299">
        <v>0</v>
      </c>
      <c r="HL7" s="299">
        <v>1892</v>
      </c>
      <c r="HM7" s="299">
        <v>1886</v>
      </c>
      <c r="HN7" s="299">
        <v>1882</v>
      </c>
      <c r="HO7" s="299">
        <v>1880</v>
      </c>
      <c r="HP7" s="299">
        <v>1876</v>
      </c>
      <c r="HQ7" s="299"/>
      <c r="HR7" s="299">
        <v>3738</v>
      </c>
      <c r="HS7" s="299">
        <v>4138</v>
      </c>
      <c r="HT7" s="299">
        <v>4436</v>
      </c>
      <c r="HU7" s="299">
        <v>4679</v>
      </c>
      <c r="HV7" s="299">
        <v>5474</v>
      </c>
      <c r="HW7" s="299">
        <v>5576</v>
      </c>
      <c r="HX7" s="299">
        <v>7245</v>
      </c>
      <c r="HY7" s="299">
        <v>7246</v>
      </c>
      <c r="HZ7" s="299">
        <v>9992</v>
      </c>
      <c r="IA7" s="299">
        <v>11077</v>
      </c>
      <c r="IB7" s="299">
        <v>10231</v>
      </c>
      <c r="IC7" s="299">
        <v>12</v>
      </c>
      <c r="ID7" s="299">
        <v>12</v>
      </c>
      <c r="IE7" s="304">
        <v>12</v>
      </c>
      <c r="IF7" s="304">
        <v>13</v>
      </c>
      <c r="IG7" s="304">
        <v>13</v>
      </c>
      <c r="IH7" s="304">
        <v>13</v>
      </c>
      <c r="II7" s="304">
        <v>11</v>
      </c>
      <c r="IJ7" s="299">
        <v>11</v>
      </c>
      <c r="IK7" s="299">
        <v>9</v>
      </c>
      <c r="IL7" s="299">
        <v>8</v>
      </c>
      <c r="IM7" s="299">
        <v>8</v>
      </c>
      <c r="IN7" s="299">
        <v>960</v>
      </c>
      <c r="IO7" s="299">
        <v>657</v>
      </c>
      <c r="IP7" s="304">
        <v>664</v>
      </c>
      <c r="IQ7" s="304">
        <v>290</v>
      </c>
      <c r="IR7" s="304">
        <v>142</v>
      </c>
      <c r="IS7" s="304">
        <v>37</v>
      </c>
      <c r="IT7" s="304">
        <v>16</v>
      </c>
      <c r="IU7" s="299">
        <v>14</v>
      </c>
      <c r="IV7" s="299">
        <v>33</v>
      </c>
      <c r="IW7" s="299">
        <v>93</v>
      </c>
      <c r="IX7" s="299">
        <v>155</v>
      </c>
      <c r="IY7" s="299">
        <v>1087</v>
      </c>
      <c r="IZ7" s="299">
        <v>574</v>
      </c>
      <c r="JA7" s="299">
        <v>446</v>
      </c>
      <c r="JB7" s="299">
        <v>533</v>
      </c>
      <c r="JC7" s="299">
        <v>802</v>
      </c>
      <c r="JD7" s="299">
        <v>866</v>
      </c>
      <c r="JE7" s="299">
        <v>1385</v>
      </c>
      <c r="JF7" s="299">
        <v>1465</v>
      </c>
      <c r="JG7" s="299">
        <v>2284</v>
      </c>
      <c r="JH7" s="299">
        <v>3461</v>
      </c>
      <c r="JI7" s="299">
        <v>4930</v>
      </c>
      <c r="JJ7" s="299">
        <v>54910</v>
      </c>
      <c r="JK7" s="299">
        <v>54668</v>
      </c>
      <c r="JL7" s="299">
        <v>53355</v>
      </c>
      <c r="JM7" s="299">
        <v>46976</v>
      </c>
      <c r="JN7" s="299">
        <v>50335</v>
      </c>
      <c r="JO7" s="299">
        <v>53871</v>
      </c>
      <c r="JP7" s="299">
        <v>54183</v>
      </c>
      <c r="JQ7" s="299">
        <v>55749</v>
      </c>
      <c r="JR7" s="299">
        <v>62247</v>
      </c>
      <c r="JS7" s="299">
        <v>67353</v>
      </c>
      <c r="JT7" s="299">
        <v>72720</v>
      </c>
      <c r="JU7" s="299">
        <v>110936</v>
      </c>
      <c r="JV7" s="299">
        <v>106191</v>
      </c>
      <c r="JW7" s="299">
        <v>110331</v>
      </c>
      <c r="JX7" s="299">
        <v>105954</v>
      </c>
      <c r="JY7" s="299">
        <v>117531</v>
      </c>
      <c r="JZ7" s="302">
        <v>121620</v>
      </c>
      <c r="KA7" s="302">
        <v>124280</v>
      </c>
      <c r="KB7" s="299">
        <v>132026</v>
      </c>
      <c r="KC7" s="303">
        <v>148792</v>
      </c>
      <c r="KD7" s="303">
        <v>150206</v>
      </c>
      <c r="KE7" s="472">
        <v>159792</v>
      </c>
    </row>
    <row r="8" spans="1:291" s="155" customFormat="1" x14ac:dyDescent="0.2">
      <c r="A8" s="395">
        <v>5</v>
      </c>
      <c r="B8" s="154" t="s">
        <v>246</v>
      </c>
      <c r="C8" s="299">
        <v>10842</v>
      </c>
      <c r="D8" s="299">
        <v>9716</v>
      </c>
      <c r="E8" s="299">
        <v>12121</v>
      </c>
      <c r="F8" s="299">
        <v>12637</v>
      </c>
      <c r="G8" s="299">
        <v>18817</v>
      </c>
      <c r="H8" s="299">
        <v>22725</v>
      </c>
      <c r="I8" s="299">
        <v>27627</v>
      </c>
      <c r="J8" s="299">
        <v>35913</v>
      </c>
      <c r="K8" s="299">
        <v>34074</v>
      </c>
      <c r="L8" s="299">
        <v>23996</v>
      </c>
      <c r="M8" s="299">
        <v>26435</v>
      </c>
      <c r="N8" s="299">
        <v>0</v>
      </c>
      <c r="O8" s="299">
        <v>0</v>
      </c>
      <c r="P8" s="299">
        <v>1934</v>
      </c>
      <c r="Q8" s="299">
        <v>2362</v>
      </c>
      <c r="R8" s="299">
        <v>1582</v>
      </c>
      <c r="S8" s="299">
        <v>1831</v>
      </c>
      <c r="T8" s="299">
        <v>1808</v>
      </c>
      <c r="U8" s="299">
        <v>1871</v>
      </c>
      <c r="V8" s="299">
        <v>2015</v>
      </c>
      <c r="W8" s="299">
        <v>1636</v>
      </c>
      <c r="X8" s="299">
        <v>1352</v>
      </c>
      <c r="Y8" s="299">
        <v>1236</v>
      </c>
      <c r="Z8" s="299">
        <v>1396</v>
      </c>
      <c r="AA8" s="299">
        <v>245</v>
      </c>
      <c r="AB8" s="299">
        <v>178</v>
      </c>
      <c r="AC8" s="299">
        <v>179</v>
      </c>
      <c r="AD8" s="299">
        <v>178</v>
      </c>
      <c r="AE8" s="299">
        <v>176</v>
      </c>
      <c r="AF8" s="299">
        <v>53</v>
      </c>
      <c r="AG8" s="299">
        <v>10</v>
      </c>
      <c r="AH8" s="299">
        <v>6</v>
      </c>
      <c r="AI8" s="299">
        <v>6</v>
      </c>
      <c r="AJ8" s="299">
        <v>6</v>
      </c>
      <c r="AK8" s="299">
        <v>5</v>
      </c>
      <c r="AL8" s="299">
        <v>83</v>
      </c>
      <c r="AM8" s="299">
        <v>74</v>
      </c>
      <c r="AN8" s="299">
        <v>62</v>
      </c>
      <c r="AO8" s="299">
        <v>112</v>
      </c>
      <c r="AP8" s="299">
        <v>164</v>
      </c>
      <c r="AQ8" s="299">
        <v>95</v>
      </c>
      <c r="AR8" s="299">
        <v>96</v>
      </c>
      <c r="AS8" s="299">
        <v>105</v>
      </c>
      <c r="AT8" s="299">
        <v>24</v>
      </c>
      <c r="AU8" s="299">
        <v>51</v>
      </c>
      <c r="AV8" s="299">
        <v>50</v>
      </c>
      <c r="AW8" s="299">
        <v>124</v>
      </c>
      <c r="AX8" s="299">
        <v>49</v>
      </c>
      <c r="AY8" s="299">
        <v>53</v>
      </c>
      <c r="AZ8" s="299">
        <v>58</v>
      </c>
      <c r="BA8" s="299">
        <v>56</v>
      </c>
      <c r="BB8" s="299">
        <v>43</v>
      </c>
      <c r="BC8" s="299">
        <v>18</v>
      </c>
      <c r="BD8" s="299">
        <v>4</v>
      </c>
      <c r="BE8" s="299">
        <v>4</v>
      </c>
      <c r="BF8" s="299">
        <v>3</v>
      </c>
      <c r="BG8" s="299">
        <v>3</v>
      </c>
      <c r="BH8" s="299">
        <v>2209</v>
      </c>
      <c r="BI8" s="299">
        <v>1875</v>
      </c>
      <c r="BJ8" s="299">
        <v>1619</v>
      </c>
      <c r="BK8" s="299">
        <v>1400</v>
      </c>
      <c r="BL8" s="299">
        <v>1429</v>
      </c>
      <c r="BM8" s="299">
        <v>1523</v>
      </c>
      <c r="BN8" s="299">
        <v>1592</v>
      </c>
      <c r="BO8" s="299">
        <v>1904</v>
      </c>
      <c r="BP8" s="299">
        <v>2490</v>
      </c>
      <c r="BQ8" s="299">
        <v>2545</v>
      </c>
      <c r="BR8" s="299">
        <v>2645</v>
      </c>
      <c r="BS8" s="299">
        <v>300</v>
      </c>
      <c r="BT8" s="299">
        <v>403</v>
      </c>
      <c r="BU8" s="304">
        <v>303</v>
      </c>
      <c r="BV8" s="304">
        <v>371</v>
      </c>
      <c r="BW8" s="304">
        <v>461</v>
      </c>
      <c r="BX8" s="304">
        <v>1207</v>
      </c>
      <c r="BY8" s="304">
        <v>425</v>
      </c>
      <c r="BZ8" s="299">
        <v>480</v>
      </c>
      <c r="CA8" s="299">
        <v>474</v>
      </c>
      <c r="CB8" s="299">
        <v>557</v>
      </c>
      <c r="CC8" s="299">
        <v>556</v>
      </c>
      <c r="CD8" s="299">
        <v>0</v>
      </c>
      <c r="CE8" s="299">
        <v>0</v>
      </c>
      <c r="CF8" s="299">
        <v>0</v>
      </c>
      <c r="CG8" s="299">
        <v>0</v>
      </c>
      <c r="CH8" s="299">
        <v>0</v>
      </c>
      <c r="CI8" s="299">
        <v>0</v>
      </c>
      <c r="CJ8" s="299">
        <v>1</v>
      </c>
      <c r="CK8" s="299">
        <v>1</v>
      </c>
      <c r="CL8" s="299">
        <v>0</v>
      </c>
      <c r="CM8" s="299">
        <v>0</v>
      </c>
      <c r="CN8" s="299">
        <v>0</v>
      </c>
      <c r="CO8" s="299">
        <v>0</v>
      </c>
      <c r="CP8" s="299">
        <v>0</v>
      </c>
      <c r="CQ8" s="299">
        <v>205</v>
      </c>
      <c r="CR8" s="304">
        <v>383</v>
      </c>
      <c r="CS8" s="304">
        <v>521</v>
      </c>
      <c r="CT8" s="304">
        <v>731</v>
      </c>
      <c r="CU8" s="304">
        <v>1094</v>
      </c>
      <c r="CV8" s="304">
        <v>1293</v>
      </c>
      <c r="CW8" s="304">
        <v>1444</v>
      </c>
      <c r="CX8" s="299">
        <v>1580</v>
      </c>
      <c r="CY8" s="299">
        <v>1699</v>
      </c>
      <c r="CZ8" s="299">
        <v>1883</v>
      </c>
      <c r="DA8" s="299">
        <v>1774</v>
      </c>
      <c r="DB8" s="304">
        <v>29</v>
      </c>
      <c r="DC8" s="304">
        <v>86</v>
      </c>
      <c r="DD8" s="304">
        <v>143</v>
      </c>
      <c r="DE8" s="304">
        <v>144</v>
      </c>
      <c r="DF8" s="304">
        <v>129</v>
      </c>
      <c r="DG8" s="304">
        <v>164</v>
      </c>
      <c r="DH8" s="304">
        <v>148</v>
      </c>
      <c r="DI8" s="299">
        <v>133</v>
      </c>
      <c r="DJ8" s="301" t="s">
        <v>42</v>
      </c>
      <c r="DK8" s="299">
        <v>33</v>
      </c>
      <c r="DL8" s="299">
        <v>62</v>
      </c>
      <c r="DM8" s="299">
        <v>-19</v>
      </c>
      <c r="DN8" s="299">
        <v>8</v>
      </c>
      <c r="DO8" s="299">
        <v>-36</v>
      </c>
      <c r="DP8" s="299">
        <v>-88</v>
      </c>
      <c r="DQ8" s="299">
        <v>-104</v>
      </c>
      <c r="DR8" s="299">
        <v>-79</v>
      </c>
      <c r="DS8" s="299">
        <v>-75</v>
      </c>
      <c r="DT8" s="299">
        <v>-75</v>
      </c>
      <c r="DU8" s="299">
        <v>-75</v>
      </c>
      <c r="DV8" s="299">
        <v>0</v>
      </c>
      <c r="DW8" s="299">
        <v>0</v>
      </c>
      <c r="DX8" s="299">
        <v>866</v>
      </c>
      <c r="DY8" s="299">
        <v>1062</v>
      </c>
      <c r="DZ8" s="299">
        <v>653</v>
      </c>
      <c r="EA8" s="299">
        <v>827</v>
      </c>
      <c r="EB8" s="299">
        <v>869</v>
      </c>
      <c r="EC8" s="299">
        <v>1116</v>
      </c>
      <c r="ED8" s="299">
        <v>1221</v>
      </c>
      <c r="EE8" s="299">
        <v>1298</v>
      </c>
      <c r="EF8" s="299">
        <v>1586</v>
      </c>
      <c r="EG8" s="299">
        <v>1822</v>
      </c>
      <c r="EH8" s="299">
        <v>2325</v>
      </c>
      <c r="EI8" s="299">
        <v>1573</v>
      </c>
      <c r="EJ8" s="299">
        <v>1714</v>
      </c>
      <c r="EK8" s="304">
        <v>1920</v>
      </c>
      <c r="EL8" s="304">
        <v>2171</v>
      </c>
      <c r="EM8" s="304">
        <v>2526</v>
      </c>
      <c r="EN8" s="304">
        <v>2820</v>
      </c>
      <c r="EO8" s="304">
        <v>2793</v>
      </c>
      <c r="EP8" s="299">
        <v>2830</v>
      </c>
      <c r="EQ8" s="299">
        <v>2805</v>
      </c>
      <c r="ER8" s="299">
        <v>2808</v>
      </c>
      <c r="ES8" s="299">
        <v>2855</v>
      </c>
      <c r="ET8" s="299">
        <v>15</v>
      </c>
      <c r="EU8" s="299">
        <v>12</v>
      </c>
      <c r="EV8" s="304">
        <v>4</v>
      </c>
      <c r="EW8" s="304">
        <v>2</v>
      </c>
      <c r="EX8" s="304">
        <v>2</v>
      </c>
      <c r="EY8" s="304">
        <v>0</v>
      </c>
      <c r="EZ8" s="304">
        <v>0</v>
      </c>
      <c r="FA8" s="299">
        <v>0</v>
      </c>
      <c r="FB8" s="299">
        <v>0</v>
      </c>
      <c r="FC8" s="299">
        <v>0</v>
      </c>
      <c r="FD8" s="299">
        <v>10</v>
      </c>
      <c r="FE8" s="299">
        <v>630</v>
      </c>
      <c r="FF8" s="299">
        <v>1296</v>
      </c>
      <c r="FG8" s="304">
        <v>1276</v>
      </c>
      <c r="FH8" s="304">
        <v>712</v>
      </c>
      <c r="FI8" s="304">
        <v>903</v>
      </c>
      <c r="FJ8" s="304">
        <v>837</v>
      </c>
      <c r="FK8" s="304">
        <v>730</v>
      </c>
      <c r="FL8" s="299">
        <v>858</v>
      </c>
      <c r="FM8" s="299">
        <v>895</v>
      </c>
      <c r="FN8" s="299">
        <v>934</v>
      </c>
      <c r="FO8" s="299">
        <v>946</v>
      </c>
      <c r="FP8" s="299">
        <v>588</v>
      </c>
      <c r="FQ8" s="300">
        <v>571</v>
      </c>
      <c r="FR8" s="300">
        <v>634</v>
      </c>
      <c r="FS8" s="300">
        <v>748</v>
      </c>
      <c r="FT8" s="300">
        <v>596</v>
      </c>
      <c r="FU8" s="300">
        <v>529</v>
      </c>
      <c r="FV8" s="300">
        <v>601</v>
      </c>
      <c r="FW8" s="299">
        <v>662</v>
      </c>
      <c r="FX8" s="299">
        <v>726</v>
      </c>
      <c r="FY8" s="299">
        <v>1039</v>
      </c>
      <c r="FZ8" s="299">
        <v>1152</v>
      </c>
      <c r="GA8" s="299">
        <v>106</v>
      </c>
      <c r="GB8" s="299">
        <v>141</v>
      </c>
      <c r="GC8" s="299">
        <v>156</v>
      </c>
      <c r="GD8" s="299">
        <v>254</v>
      </c>
      <c r="GE8" s="299">
        <v>282</v>
      </c>
      <c r="GF8" s="299">
        <v>315</v>
      </c>
      <c r="GG8" s="299">
        <v>363</v>
      </c>
      <c r="GH8" s="299">
        <v>355</v>
      </c>
      <c r="GI8" s="299">
        <v>446</v>
      </c>
      <c r="GJ8" s="299">
        <v>510</v>
      </c>
      <c r="GK8" s="299">
        <v>574</v>
      </c>
      <c r="GL8" s="299">
        <v>0</v>
      </c>
      <c r="GM8" s="299">
        <v>1</v>
      </c>
      <c r="GN8" s="299">
        <v>44</v>
      </c>
      <c r="GO8" s="299">
        <v>101</v>
      </c>
      <c r="GP8" s="299">
        <v>155</v>
      </c>
      <c r="GQ8" s="299">
        <v>216</v>
      </c>
      <c r="GR8" s="299">
        <v>254</v>
      </c>
      <c r="GS8" s="299">
        <v>283</v>
      </c>
      <c r="GT8" s="299">
        <v>325</v>
      </c>
      <c r="GU8" s="299">
        <v>404</v>
      </c>
      <c r="GV8" s="299">
        <v>463</v>
      </c>
      <c r="GW8" s="299">
        <v>1349</v>
      </c>
      <c r="GX8" s="299">
        <v>1724</v>
      </c>
      <c r="GY8" s="299">
        <v>2207</v>
      </c>
      <c r="GZ8" s="299">
        <v>635</v>
      </c>
      <c r="HA8" s="299">
        <v>619</v>
      </c>
      <c r="HB8" s="299">
        <v>823</v>
      </c>
      <c r="HC8" s="299">
        <v>537</v>
      </c>
      <c r="HD8" s="299">
        <v>632</v>
      </c>
      <c r="HE8" s="299">
        <v>779</v>
      </c>
      <c r="HF8" s="299">
        <v>807</v>
      </c>
      <c r="HG8" s="299">
        <v>911</v>
      </c>
      <c r="HH8" s="299">
        <v>136</v>
      </c>
      <c r="HI8" s="299">
        <v>136</v>
      </c>
      <c r="HJ8" s="299">
        <v>139</v>
      </c>
      <c r="HK8" s="299">
        <v>0</v>
      </c>
      <c r="HL8" s="299">
        <v>141</v>
      </c>
      <c r="HM8" s="299">
        <v>141</v>
      </c>
      <c r="HN8" s="299">
        <v>141</v>
      </c>
      <c r="HO8" s="299">
        <v>141</v>
      </c>
      <c r="HP8" s="299">
        <v>141</v>
      </c>
      <c r="HQ8" s="299"/>
      <c r="HR8" s="299">
        <v>2236</v>
      </c>
      <c r="HS8" s="299">
        <v>2538</v>
      </c>
      <c r="HT8" s="304">
        <v>2552</v>
      </c>
      <c r="HU8" s="304">
        <v>2497</v>
      </c>
      <c r="HV8" s="304">
        <v>3028</v>
      </c>
      <c r="HW8" s="304">
        <v>3475</v>
      </c>
      <c r="HX8" s="304">
        <v>4315</v>
      </c>
      <c r="HY8" s="299">
        <v>3888</v>
      </c>
      <c r="HZ8" s="299">
        <v>5807</v>
      </c>
      <c r="IA8" s="299">
        <v>7355</v>
      </c>
      <c r="IB8" s="299">
        <v>7395</v>
      </c>
      <c r="IC8" s="299">
        <v>81</v>
      </c>
      <c r="ID8" s="299">
        <v>78</v>
      </c>
      <c r="IE8" s="300">
        <v>78</v>
      </c>
      <c r="IF8" s="300">
        <v>118</v>
      </c>
      <c r="IG8" s="300">
        <v>118</v>
      </c>
      <c r="IH8" s="300">
        <v>118</v>
      </c>
      <c r="II8" s="300">
        <v>35</v>
      </c>
      <c r="IJ8" s="299">
        <v>34</v>
      </c>
      <c r="IK8" s="299">
        <v>34</v>
      </c>
      <c r="IL8" s="299">
        <v>34</v>
      </c>
      <c r="IM8" s="299">
        <v>10</v>
      </c>
      <c r="IN8" s="299">
        <v>168</v>
      </c>
      <c r="IO8" s="299">
        <v>167</v>
      </c>
      <c r="IP8" s="300">
        <v>174</v>
      </c>
      <c r="IQ8" s="300">
        <v>73</v>
      </c>
      <c r="IR8" s="300">
        <v>32</v>
      </c>
      <c r="IS8" s="300">
        <v>13</v>
      </c>
      <c r="IT8" s="300">
        <v>2</v>
      </c>
      <c r="IU8" s="299">
        <v>0</v>
      </c>
      <c r="IV8" s="299">
        <v>1</v>
      </c>
      <c r="IW8" s="299">
        <v>4</v>
      </c>
      <c r="IX8" s="299">
        <v>4</v>
      </c>
      <c r="IY8" s="299">
        <v>548</v>
      </c>
      <c r="IZ8" s="299">
        <v>311</v>
      </c>
      <c r="JA8" s="299">
        <v>323</v>
      </c>
      <c r="JB8" s="299">
        <v>293</v>
      </c>
      <c r="JC8" s="299">
        <v>442</v>
      </c>
      <c r="JD8" s="299">
        <v>500</v>
      </c>
      <c r="JE8" s="299">
        <v>788</v>
      </c>
      <c r="JF8" s="299">
        <v>920</v>
      </c>
      <c r="JG8" s="299">
        <v>1521</v>
      </c>
      <c r="JH8" s="299">
        <v>2339</v>
      </c>
      <c r="JI8" s="299">
        <v>3751</v>
      </c>
      <c r="JJ8" s="299">
        <v>13458</v>
      </c>
      <c r="JK8" s="299">
        <v>15223</v>
      </c>
      <c r="JL8" s="299">
        <v>14603</v>
      </c>
      <c r="JM8" s="299">
        <v>13264</v>
      </c>
      <c r="JN8" s="299">
        <v>14994</v>
      </c>
      <c r="JO8" s="299">
        <v>17064</v>
      </c>
      <c r="JP8" s="299">
        <v>17425</v>
      </c>
      <c r="JQ8" s="299">
        <v>17671</v>
      </c>
      <c r="JR8" s="299">
        <v>21040</v>
      </c>
      <c r="JS8" s="299">
        <v>24262</v>
      </c>
      <c r="JT8" s="299">
        <v>26750</v>
      </c>
      <c r="JU8" s="299">
        <v>24300</v>
      </c>
      <c r="JV8" s="299">
        <v>24939</v>
      </c>
      <c r="JW8" s="299">
        <v>26724</v>
      </c>
      <c r="JX8" s="299">
        <v>25901</v>
      </c>
      <c r="JY8" s="299">
        <v>33811</v>
      </c>
      <c r="JZ8" s="302">
        <v>39789</v>
      </c>
      <c r="KA8" s="302">
        <v>45052</v>
      </c>
      <c r="KB8" s="299">
        <v>53584</v>
      </c>
      <c r="KC8" s="303">
        <v>55114</v>
      </c>
      <c r="KD8" s="303">
        <v>48258</v>
      </c>
      <c r="KE8" s="472">
        <v>53185</v>
      </c>
    </row>
    <row r="9" spans="1:291" s="155" customFormat="1" ht="12.75" customHeight="1" x14ac:dyDescent="0.2">
      <c r="A9" s="395">
        <v>6</v>
      </c>
      <c r="B9" s="154" t="s">
        <v>273</v>
      </c>
      <c r="C9" s="299">
        <v>3965</v>
      </c>
      <c r="D9" s="299">
        <v>3575</v>
      </c>
      <c r="E9" s="299">
        <v>3661</v>
      </c>
      <c r="F9" s="299">
        <v>3717</v>
      </c>
      <c r="G9" s="299">
        <v>3761</v>
      </c>
      <c r="H9" s="299">
        <v>3686</v>
      </c>
      <c r="I9" s="299">
        <v>3952</v>
      </c>
      <c r="J9" s="299">
        <v>4381</v>
      </c>
      <c r="K9" s="299">
        <v>4730</v>
      </c>
      <c r="L9" s="299">
        <v>4377</v>
      </c>
      <c r="M9" s="299">
        <v>4669</v>
      </c>
      <c r="N9" s="299">
        <v>0</v>
      </c>
      <c r="O9" s="299">
        <v>0</v>
      </c>
      <c r="P9" s="299">
        <v>403</v>
      </c>
      <c r="Q9" s="299">
        <v>491</v>
      </c>
      <c r="R9" s="299">
        <v>358</v>
      </c>
      <c r="S9" s="299">
        <v>428</v>
      </c>
      <c r="T9" s="299">
        <v>367</v>
      </c>
      <c r="U9" s="299">
        <v>380</v>
      </c>
      <c r="V9" s="299">
        <v>421</v>
      </c>
      <c r="W9" s="299">
        <v>465</v>
      </c>
      <c r="X9" s="299">
        <v>353</v>
      </c>
      <c r="Y9" s="299">
        <v>287</v>
      </c>
      <c r="Z9" s="299">
        <v>270</v>
      </c>
      <c r="AA9" s="299">
        <v>82</v>
      </c>
      <c r="AB9" s="299">
        <v>52</v>
      </c>
      <c r="AC9" s="299">
        <v>22</v>
      </c>
      <c r="AD9" s="299">
        <v>22</v>
      </c>
      <c r="AE9" s="299">
        <v>21</v>
      </c>
      <c r="AF9" s="299">
        <v>11</v>
      </c>
      <c r="AG9" s="299">
        <v>2</v>
      </c>
      <c r="AH9" s="299">
        <v>2</v>
      </c>
      <c r="AI9" s="299">
        <v>2</v>
      </c>
      <c r="AJ9" s="299">
        <v>2</v>
      </c>
      <c r="AK9" s="299">
        <v>2</v>
      </c>
      <c r="AL9" s="299">
        <v>155</v>
      </c>
      <c r="AM9" s="299">
        <v>85</v>
      </c>
      <c r="AN9" s="299">
        <v>42</v>
      </c>
      <c r="AO9" s="299">
        <v>23</v>
      </c>
      <c r="AP9" s="299">
        <v>1</v>
      </c>
      <c r="AQ9" s="299">
        <v>1</v>
      </c>
      <c r="AR9" s="299">
        <v>1</v>
      </c>
      <c r="AS9" s="299">
        <v>2</v>
      </c>
      <c r="AT9" s="299">
        <v>1</v>
      </c>
      <c r="AU9" s="299">
        <v>1</v>
      </c>
      <c r="AV9" s="299">
        <v>1</v>
      </c>
      <c r="AW9" s="299">
        <v>66</v>
      </c>
      <c r="AX9" s="299">
        <v>45</v>
      </c>
      <c r="AY9" s="299">
        <v>47</v>
      </c>
      <c r="AZ9" s="299">
        <v>45</v>
      </c>
      <c r="BA9" s="299">
        <v>42</v>
      </c>
      <c r="BB9" s="299">
        <v>42</v>
      </c>
      <c r="BC9" s="299">
        <v>2</v>
      </c>
      <c r="BD9" s="299">
        <v>0</v>
      </c>
      <c r="BE9" s="299">
        <v>0</v>
      </c>
      <c r="BF9" s="299">
        <v>0</v>
      </c>
      <c r="BG9" s="299">
        <v>0</v>
      </c>
      <c r="BH9" s="299">
        <v>282</v>
      </c>
      <c r="BI9" s="299">
        <v>207</v>
      </c>
      <c r="BJ9" s="299">
        <v>213</v>
      </c>
      <c r="BK9" s="299">
        <v>257</v>
      </c>
      <c r="BL9" s="299">
        <v>343</v>
      </c>
      <c r="BM9" s="299">
        <v>407</v>
      </c>
      <c r="BN9" s="299">
        <v>492</v>
      </c>
      <c r="BO9" s="299">
        <v>550</v>
      </c>
      <c r="BP9" s="299">
        <v>672</v>
      </c>
      <c r="BQ9" s="299">
        <v>694</v>
      </c>
      <c r="BR9" s="299">
        <v>687</v>
      </c>
      <c r="BS9" s="299">
        <v>95</v>
      </c>
      <c r="BT9" s="299">
        <v>91</v>
      </c>
      <c r="BU9" s="304">
        <v>72</v>
      </c>
      <c r="BV9" s="304">
        <v>103</v>
      </c>
      <c r="BW9" s="304">
        <v>76</v>
      </c>
      <c r="BX9" s="304">
        <v>50</v>
      </c>
      <c r="BY9" s="304">
        <v>52</v>
      </c>
      <c r="BZ9" s="299">
        <v>58</v>
      </c>
      <c r="CA9" s="299">
        <v>70</v>
      </c>
      <c r="CB9" s="299">
        <v>64</v>
      </c>
      <c r="CC9" s="299">
        <v>61</v>
      </c>
      <c r="CD9" s="299">
        <v>0</v>
      </c>
      <c r="CE9" s="299">
        <v>0</v>
      </c>
      <c r="CF9" s="299">
        <v>0</v>
      </c>
      <c r="CG9" s="299">
        <v>0</v>
      </c>
      <c r="CH9" s="299">
        <v>0</v>
      </c>
      <c r="CI9" s="299">
        <v>0</v>
      </c>
      <c r="CJ9" s="299">
        <v>0</v>
      </c>
      <c r="CK9" s="299">
        <v>0</v>
      </c>
      <c r="CL9" s="299">
        <v>0</v>
      </c>
      <c r="CM9" s="299">
        <v>0</v>
      </c>
      <c r="CN9" s="299">
        <v>0</v>
      </c>
      <c r="CO9" s="299">
        <v>0</v>
      </c>
      <c r="CP9" s="299">
        <v>0</v>
      </c>
      <c r="CQ9" s="299">
        <v>147</v>
      </c>
      <c r="CR9" s="304">
        <v>237</v>
      </c>
      <c r="CS9" s="304">
        <v>311</v>
      </c>
      <c r="CT9" s="304">
        <v>388</v>
      </c>
      <c r="CU9" s="304">
        <v>481</v>
      </c>
      <c r="CV9" s="304">
        <v>488</v>
      </c>
      <c r="CW9" s="304">
        <v>550</v>
      </c>
      <c r="CX9" s="299">
        <v>615</v>
      </c>
      <c r="CY9" s="299">
        <v>667</v>
      </c>
      <c r="CZ9" s="299">
        <v>676</v>
      </c>
      <c r="DA9" s="299">
        <v>616</v>
      </c>
      <c r="DB9" s="304">
        <v>122</v>
      </c>
      <c r="DC9" s="304">
        <v>247</v>
      </c>
      <c r="DD9" s="304">
        <v>240</v>
      </c>
      <c r="DE9" s="304">
        <v>138</v>
      </c>
      <c r="DF9" s="304">
        <v>138</v>
      </c>
      <c r="DG9" s="304">
        <v>146</v>
      </c>
      <c r="DH9" s="304">
        <v>86</v>
      </c>
      <c r="DI9" s="299">
        <v>80</v>
      </c>
      <c r="DJ9" s="301" t="s">
        <v>42</v>
      </c>
      <c r="DK9" s="299">
        <v>119</v>
      </c>
      <c r="DL9" s="299">
        <v>119</v>
      </c>
      <c r="DM9" s="299">
        <v>119</v>
      </c>
      <c r="DN9" s="299">
        <v>119</v>
      </c>
      <c r="DO9" s="299">
        <v>119</v>
      </c>
      <c r="DP9" s="299">
        <v>119</v>
      </c>
      <c r="DQ9" s="299">
        <v>119</v>
      </c>
      <c r="DR9" s="299">
        <v>119</v>
      </c>
      <c r="DS9" s="299">
        <v>119</v>
      </c>
      <c r="DT9" s="299">
        <v>119</v>
      </c>
      <c r="DU9" s="299">
        <v>119</v>
      </c>
      <c r="DV9" s="299">
        <v>0</v>
      </c>
      <c r="DW9" s="299">
        <v>1</v>
      </c>
      <c r="DX9" s="299">
        <v>186</v>
      </c>
      <c r="DY9" s="299">
        <v>206</v>
      </c>
      <c r="DZ9" s="299">
        <v>107</v>
      </c>
      <c r="EA9" s="299">
        <v>118</v>
      </c>
      <c r="EB9" s="299">
        <v>115</v>
      </c>
      <c r="EC9" s="299">
        <v>89</v>
      </c>
      <c r="ED9" s="299">
        <v>87</v>
      </c>
      <c r="EE9" s="299">
        <v>95</v>
      </c>
      <c r="EF9" s="299">
        <v>178</v>
      </c>
      <c r="EG9" s="299">
        <v>204</v>
      </c>
      <c r="EH9" s="299">
        <v>215</v>
      </c>
      <c r="EI9" s="299">
        <v>155</v>
      </c>
      <c r="EJ9" s="299">
        <v>156</v>
      </c>
      <c r="EK9" s="299">
        <v>179</v>
      </c>
      <c r="EL9" s="299">
        <v>324</v>
      </c>
      <c r="EM9" s="299">
        <v>341</v>
      </c>
      <c r="EN9" s="299">
        <v>352</v>
      </c>
      <c r="EO9" s="299">
        <v>282</v>
      </c>
      <c r="EP9" s="299">
        <v>277</v>
      </c>
      <c r="EQ9" s="299">
        <v>244</v>
      </c>
      <c r="ER9" s="299">
        <v>246</v>
      </c>
      <c r="ES9" s="299">
        <v>218</v>
      </c>
      <c r="ET9" s="299">
        <v>15</v>
      </c>
      <c r="EU9" s="299">
        <v>10</v>
      </c>
      <c r="EV9" s="299">
        <v>9</v>
      </c>
      <c r="EW9" s="299">
        <v>1</v>
      </c>
      <c r="EX9" s="299">
        <v>1</v>
      </c>
      <c r="EY9" s="299">
        <v>0</v>
      </c>
      <c r="EZ9" s="299">
        <v>1</v>
      </c>
      <c r="FA9" s="299">
        <v>0</v>
      </c>
      <c r="FB9" s="299">
        <v>0</v>
      </c>
      <c r="FC9" s="299">
        <v>0</v>
      </c>
      <c r="FD9" s="299">
        <v>0</v>
      </c>
      <c r="FE9" s="299">
        <v>2</v>
      </c>
      <c r="FF9" s="299">
        <v>2</v>
      </c>
      <c r="FG9" s="304">
        <v>31</v>
      </c>
      <c r="FH9" s="304">
        <v>74</v>
      </c>
      <c r="FI9" s="304">
        <v>235</v>
      </c>
      <c r="FJ9" s="304">
        <v>657</v>
      </c>
      <c r="FK9" s="304">
        <v>799</v>
      </c>
      <c r="FL9" s="299">
        <v>761</v>
      </c>
      <c r="FM9" s="299">
        <v>714</v>
      </c>
      <c r="FN9" s="299">
        <v>892</v>
      </c>
      <c r="FO9" s="299">
        <v>747</v>
      </c>
      <c r="FP9" s="299">
        <v>703</v>
      </c>
      <c r="FQ9" s="300">
        <v>756</v>
      </c>
      <c r="FR9" s="300">
        <v>1072</v>
      </c>
      <c r="FS9" s="300">
        <v>1179</v>
      </c>
      <c r="FT9" s="300">
        <v>826</v>
      </c>
      <c r="FU9" s="300">
        <v>656</v>
      </c>
      <c r="FV9" s="300">
        <v>817</v>
      </c>
      <c r="FW9" s="299">
        <v>893</v>
      </c>
      <c r="FX9" s="299">
        <v>1022</v>
      </c>
      <c r="FY9" s="299">
        <v>1375</v>
      </c>
      <c r="FZ9" s="299">
        <v>1558</v>
      </c>
      <c r="GA9" s="299">
        <v>35</v>
      </c>
      <c r="GB9" s="299">
        <v>15</v>
      </c>
      <c r="GC9" s="299">
        <v>10</v>
      </c>
      <c r="GD9" s="299">
        <v>6</v>
      </c>
      <c r="GE9" s="299">
        <v>7</v>
      </c>
      <c r="GF9" s="299">
        <v>12</v>
      </c>
      <c r="GG9" s="299">
        <v>12</v>
      </c>
      <c r="GH9" s="299">
        <v>10</v>
      </c>
      <c r="GI9" s="299">
        <v>20</v>
      </c>
      <c r="GJ9" s="299">
        <v>33</v>
      </c>
      <c r="GK9" s="299">
        <v>44</v>
      </c>
      <c r="GL9" s="299">
        <v>0</v>
      </c>
      <c r="GM9" s="299">
        <v>0</v>
      </c>
      <c r="GN9" s="299">
        <v>28</v>
      </c>
      <c r="GO9" s="299">
        <v>101</v>
      </c>
      <c r="GP9" s="299">
        <v>104</v>
      </c>
      <c r="GQ9" s="299">
        <v>79</v>
      </c>
      <c r="GR9" s="299">
        <v>78</v>
      </c>
      <c r="GS9" s="299">
        <v>78</v>
      </c>
      <c r="GT9" s="299">
        <v>78</v>
      </c>
      <c r="GU9" s="299">
        <v>78</v>
      </c>
      <c r="GV9" s="299">
        <v>94</v>
      </c>
      <c r="GW9" s="299">
        <v>460</v>
      </c>
      <c r="GX9" s="299">
        <v>733</v>
      </c>
      <c r="GY9" s="304">
        <v>938</v>
      </c>
      <c r="GZ9" s="304">
        <v>291</v>
      </c>
      <c r="HA9" s="304">
        <v>206</v>
      </c>
      <c r="HB9" s="304">
        <v>210</v>
      </c>
      <c r="HC9" s="304">
        <v>154</v>
      </c>
      <c r="HD9" s="299">
        <v>226</v>
      </c>
      <c r="HE9" s="299">
        <v>202</v>
      </c>
      <c r="HF9" s="299">
        <v>277</v>
      </c>
      <c r="HG9" s="299">
        <v>240</v>
      </c>
      <c r="HH9" s="299">
        <v>0</v>
      </c>
      <c r="HI9" s="299">
        <v>0</v>
      </c>
      <c r="HJ9" s="299">
        <v>0</v>
      </c>
      <c r="HK9" s="299">
        <v>0</v>
      </c>
      <c r="HL9" s="299">
        <v>0</v>
      </c>
      <c r="HM9" s="299">
        <v>0</v>
      </c>
      <c r="HN9" s="299">
        <v>0</v>
      </c>
      <c r="HO9" s="299">
        <v>0</v>
      </c>
      <c r="HP9" s="299">
        <v>0</v>
      </c>
      <c r="HQ9" s="299"/>
      <c r="HR9" s="299">
        <v>351</v>
      </c>
      <c r="HS9" s="299">
        <v>372</v>
      </c>
      <c r="HT9" s="304">
        <v>351</v>
      </c>
      <c r="HU9" s="304">
        <v>411</v>
      </c>
      <c r="HV9" s="304">
        <v>541</v>
      </c>
      <c r="HW9" s="304">
        <v>610</v>
      </c>
      <c r="HX9" s="304">
        <v>728</v>
      </c>
      <c r="HY9" s="299">
        <v>595</v>
      </c>
      <c r="HZ9" s="299">
        <v>821</v>
      </c>
      <c r="IA9" s="299">
        <v>934</v>
      </c>
      <c r="IB9" s="299">
        <v>850</v>
      </c>
      <c r="IC9" s="299">
        <v>0</v>
      </c>
      <c r="ID9" s="299">
        <v>0</v>
      </c>
      <c r="IE9" s="300">
        <v>0</v>
      </c>
      <c r="IF9" s="300">
        <v>0</v>
      </c>
      <c r="IG9" s="300">
        <v>0</v>
      </c>
      <c r="IH9" s="300">
        <v>0</v>
      </c>
      <c r="II9" s="300">
        <v>0</v>
      </c>
      <c r="IJ9" s="299">
        <v>0</v>
      </c>
      <c r="IK9" s="299">
        <v>0</v>
      </c>
      <c r="IL9" s="299">
        <v>0</v>
      </c>
      <c r="IM9" s="299">
        <v>0</v>
      </c>
      <c r="IN9" s="299">
        <v>0</v>
      </c>
      <c r="IO9" s="299">
        <v>0</v>
      </c>
      <c r="IP9" s="300">
        <v>0</v>
      </c>
      <c r="IQ9" s="300">
        <v>0</v>
      </c>
      <c r="IR9" s="300">
        <v>0</v>
      </c>
      <c r="IS9" s="300">
        <v>0</v>
      </c>
      <c r="IT9" s="300">
        <v>0</v>
      </c>
      <c r="IU9" s="299">
        <v>0</v>
      </c>
      <c r="IV9" s="299">
        <v>0</v>
      </c>
      <c r="IW9" s="299">
        <v>0</v>
      </c>
      <c r="IX9" s="299">
        <v>0</v>
      </c>
      <c r="IY9" s="299">
        <v>95</v>
      </c>
      <c r="IZ9" s="299">
        <v>52</v>
      </c>
      <c r="JA9" s="300">
        <v>53</v>
      </c>
      <c r="JB9" s="300">
        <v>53</v>
      </c>
      <c r="JC9" s="300">
        <v>44</v>
      </c>
      <c r="JD9" s="300">
        <v>35</v>
      </c>
      <c r="JE9" s="300">
        <v>80</v>
      </c>
      <c r="JF9" s="299">
        <v>96</v>
      </c>
      <c r="JG9" s="299">
        <v>151</v>
      </c>
      <c r="JH9" s="299">
        <v>141</v>
      </c>
      <c r="JI9" s="299">
        <v>153</v>
      </c>
      <c r="JJ9" s="299">
        <v>3473</v>
      </c>
      <c r="JK9" s="299">
        <v>3876</v>
      </c>
      <c r="JL9" s="299">
        <v>4202</v>
      </c>
      <c r="JM9" s="299">
        <v>4081</v>
      </c>
      <c r="JN9" s="299">
        <v>4008</v>
      </c>
      <c r="JO9" s="299">
        <v>4344</v>
      </c>
      <c r="JP9" s="299">
        <v>4763</v>
      </c>
      <c r="JQ9" s="299">
        <v>4922</v>
      </c>
      <c r="JR9" s="299">
        <v>5314</v>
      </c>
      <c r="JS9" s="299">
        <v>6023</v>
      </c>
      <c r="JT9" s="299">
        <v>5876</v>
      </c>
      <c r="JU9" s="299">
        <v>7438</v>
      </c>
      <c r="JV9" s="299">
        <v>7451</v>
      </c>
      <c r="JW9" s="299">
        <v>7863</v>
      </c>
      <c r="JX9" s="299">
        <v>7798</v>
      </c>
      <c r="JY9" s="299">
        <v>7769</v>
      </c>
      <c r="JZ9" s="302">
        <v>8030</v>
      </c>
      <c r="KA9" s="302">
        <v>8715</v>
      </c>
      <c r="KB9" s="299">
        <v>9303</v>
      </c>
      <c r="KC9" s="303">
        <v>10044</v>
      </c>
      <c r="KD9" s="303">
        <v>10400</v>
      </c>
      <c r="KE9" s="472">
        <v>10545</v>
      </c>
    </row>
    <row r="10" spans="1:291" s="155" customFormat="1" ht="13.5" customHeight="1" x14ac:dyDescent="0.2">
      <c r="A10" s="395">
        <v>7</v>
      </c>
      <c r="B10" s="154" t="s">
        <v>232</v>
      </c>
      <c r="C10" s="299">
        <v>57242</v>
      </c>
      <c r="D10" s="299">
        <v>51756</v>
      </c>
      <c r="E10" s="299">
        <v>56507</v>
      </c>
      <c r="F10" s="299">
        <v>62208</v>
      </c>
      <c r="G10" s="299">
        <v>60765</v>
      </c>
      <c r="H10" s="299">
        <v>66676</v>
      </c>
      <c r="I10" s="299">
        <v>75300</v>
      </c>
      <c r="J10" s="299">
        <v>65602</v>
      </c>
      <c r="K10" s="299">
        <v>69411</v>
      </c>
      <c r="L10" s="299">
        <v>73608</v>
      </c>
      <c r="M10" s="299">
        <v>70612</v>
      </c>
      <c r="N10" s="299">
        <v>0</v>
      </c>
      <c r="O10" s="299">
        <v>0</v>
      </c>
      <c r="P10" s="299">
        <v>4628</v>
      </c>
      <c r="Q10" s="299">
        <v>5798</v>
      </c>
      <c r="R10" s="299">
        <v>4580</v>
      </c>
      <c r="S10" s="299">
        <v>5251</v>
      </c>
      <c r="T10" s="299">
        <v>4552</v>
      </c>
      <c r="U10" s="299">
        <v>4653</v>
      </c>
      <c r="V10" s="299">
        <v>5265</v>
      </c>
      <c r="W10" s="299">
        <v>4283</v>
      </c>
      <c r="X10" s="299">
        <v>3657</v>
      </c>
      <c r="Y10" s="299">
        <v>3445</v>
      </c>
      <c r="Z10" s="299">
        <v>3428</v>
      </c>
      <c r="AA10" s="299">
        <v>866</v>
      </c>
      <c r="AB10" s="299">
        <v>1002</v>
      </c>
      <c r="AC10" s="299">
        <v>904</v>
      </c>
      <c r="AD10" s="299">
        <v>890</v>
      </c>
      <c r="AE10" s="299">
        <v>875</v>
      </c>
      <c r="AF10" s="299">
        <v>319</v>
      </c>
      <c r="AG10" s="299">
        <v>80</v>
      </c>
      <c r="AH10" s="299">
        <v>61</v>
      </c>
      <c r="AI10" s="299">
        <v>41</v>
      </c>
      <c r="AJ10" s="299">
        <v>41</v>
      </c>
      <c r="AK10" s="299">
        <v>41</v>
      </c>
      <c r="AL10" s="299">
        <v>706</v>
      </c>
      <c r="AM10" s="299">
        <v>328</v>
      </c>
      <c r="AN10" s="299">
        <v>288</v>
      </c>
      <c r="AO10" s="299">
        <v>218</v>
      </c>
      <c r="AP10" s="299">
        <v>214</v>
      </c>
      <c r="AQ10" s="299">
        <v>160</v>
      </c>
      <c r="AR10" s="299">
        <v>204</v>
      </c>
      <c r="AS10" s="299">
        <v>256</v>
      </c>
      <c r="AT10" s="299">
        <v>84</v>
      </c>
      <c r="AU10" s="299">
        <v>233</v>
      </c>
      <c r="AV10" s="299">
        <v>405</v>
      </c>
      <c r="AW10" s="299">
        <v>848</v>
      </c>
      <c r="AX10" s="299">
        <v>514</v>
      </c>
      <c r="AY10" s="299">
        <v>639</v>
      </c>
      <c r="AZ10" s="299">
        <v>752</v>
      </c>
      <c r="BA10" s="299">
        <v>624</v>
      </c>
      <c r="BB10" s="299">
        <v>519</v>
      </c>
      <c r="BC10" s="299">
        <v>328</v>
      </c>
      <c r="BD10" s="299">
        <v>241</v>
      </c>
      <c r="BE10" s="299">
        <v>143</v>
      </c>
      <c r="BF10" s="299">
        <v>117</v>
      </c>
      <c r="BG10" s="299">
        <v>84</v>
      </c>
      <c r="BH10" s="299">
        <v>6368</v>
      </c>
      <c r="BI10" s="299">
        <v>4054</v>
      </c>
      <c r="BJ10" s="299">
        <v>3466</v>
      </c>
      <c r="BK10" s="299">
        <v>3394</v>
      </c>
      <c r="BL10" s="299">
        <v>3537</v>
      </c>
      <c r="BM10" s="299">
        <v>3943</v>
      </c>
      <c r="BN10" s="299">
        <v>4747</v>
      </c>
      <c r="BO10" s="299">
        <v>5193</v>
      </c>
      <c r="BP10" s="299">
        <v>6465</v>
      </c>
      <c r="BQ10" s="299">
        <v>7954</v>
      </c>
      <c r="BR10" s="299">
        <v>8900</v>
      </c>
      <c r="BS10" s="299">
        <v>1476</v>
      </c>
      <c r="BT10" s="299">
        <v>1495</v>
      </c>
      <c r="BU10" s="299">
        <v>1210</v>
      </c>
      <c r="BV10" s="299">
        <v>2025</v>
      </c>
      <c r="BW10" s="299">
        <v>2607</v>
      </c>
      <c r="BX10" s="299">
        <v>2790</v>
      </c>
      <c r="BY10" s="299">
        <v>2278</v>
      </c>
      <c r="BZ10" s="299">
        <v>2614</v>
      </c>
      <c r="CA10" s="299">
        <v>3002</v>
      </c>
      <c r="CB10" s="299">
        <v>3169</v>
      </c>
      <c r="CC10" s="299">
        <v>3206</v>
      </c>
      <c r="CD10" s="299">
        <v>0</v>
      </c>
      <c r="CE10" s="299">
        <v>0</v>
      </c>
      <c r="CF10" s="299">
        <v>0</v>
      </c>
      <c r="CG10" s="299">
        <v>0</v>
      </c>
      <c r="CH10" s="299">
        <v>0</v>
      </c>
      <c r="CI10" s="299">
        <v>0</v>
      </c>
      <c r="CJ10" s="299">
        <v>1</v>
      </c>
      <c r="CK10" s="299">
        <v>1</v>
      </c>
      <c r="CL10" s="299">
        <v>1</v>
      </c>
      <c r="CM10" s="299">
        <v>1</v>
      </c>
      <c r="CN10" s="299">
        <v>0</v>
      </c>
      <c r="CO10" s="299">
        <v>0</v>
      </c>
      <c r="CP10" s="299">
        <v>0</v>
      </c>
      <c r="CQ10" s="299">
        <v>1213</v>
      </c>
      <c r="CR10" s="304">
        <v>1523</v>
      </c>
      <c r="CS10" s="304">
        <v>1919</v>
      </c>
      <c r="CT10" s="304">
        <v>2603</v>
      </c>
      <c r="CU10" s="304">
        <v>3433</v>
      </c>
      <c r="CV10" s="304">
        <v>3854</v>
      </c>
      <c r="CW10" s="304">
        <v>4367</v>
      </c>
      <c r="CX10" s="299">
        <v>4845</v>
      </c>
      <c r="CY10" s="299">
        <v>5416</v>
      </c>
      <c r="CZ10" s="299">
        <v>6017</v>
      </c>
      <c r="DA10" s="299">
        <v>6047</v>
      </c>
      <c r="DB10" s="304">
        <v>617</v>
      </c>
      <c r="DC10" s="304">
        <v>1166</v>
      </c>
      <c r="DD10" s="304">
        <v>1251</v>
      </c>
      <c r="DE10" s="304">
        <v>1046</v>
      </c>
      <c r="DF10" s="304">
        <v>1208</v>
      </c>
      <c r="DG10" s="304">
        <v>1019</v>
      </c>
      <c r="DH10" s="304">
        <v>770</v>
      </c>
      <c r="DI10" s="299">
        <v>721</v>
      </c>
      <c r="DJ10" s="301" t="s">
        <v>42</v>
      </c>
      <c r="DK10" s="299">
        <v>520</v>
      </c>
      <c r="DL10" s="299">
        <v>644</v>
      </c>
      <c r="DM10" s="299">
        <v>338</v>
      </c>
      <c r="DN10" s="299">
        <v>367</v>
      </c>
      <c r="DO10" s="299">
        <v>72</v>
      </c>
      <c r="DP10" s="299">
        <v>3</v>
      </c>
      <c r="DQ10" s="299">
        <v>4</v>
      </c>
      <c r="DR10" s="299">
        <v>14</v>
      </c>
      <c r="DS10" s="299">
        <v>24</v>
      </c>
      <c r="DT10" s="299">
        <v>24</v>
      </c>
      <c r="DU10" s="299">
        <v>24</v>
      </c>
      <c r="DV10" s="299">
        <v>5</v>
      </c>
      <c r="DW10" s="299">
        <v>17</v>
      </c>
      <c r="DX10" s="299">
        <v>3244</v>
      </c>
      <c r="DY10" s="299">
        <v>4075</v>
      </c>
      <c r="DZ10" s="299">
        <v>2754</v>
      </c>
      <c r="EA10" s="299">
        <v>3757</v>
      </c>
      <c r="EB10" s="299">
        <v>4397</v>
      </c>
      <c r="EC10" s="299">
        <v>5247</v>
      </c>
      <c r="ED10" s="299">
        <v>6087</v>
      </c>
      <c r="EE10" s="299">
        <v>6778</v>
      </c>
      <c r="EF10" s="299">
        <v>8282</v>
      </c>
      <c r="EG10" s="299">
        <v>8759</v>
      </c>
      <c r="EH10" s="299">
        <v>9152</v>
      </c>
      <c r="EI10" s="299">
        <v>9958</v>
      </c>
      <c r="EJ10" s="299">
        <v>9187</v>
      </c>
      <c r="EK10" s="299">
        <v>10137</v>
      </c>
      <c r="EL10" s="299">
        <v>11111</v>
      </c>
      <c r="EM10" s="299">
        <v>12484</v>
      </c>
      <c r="EN10" s="299">
        <v>14169</v>
      </c>
      <c r="EO10" s="299">
        <v>14454</v>
      </c>
      <c r="EP10" s="299">
        <v>15437</v>
      </c>
      <c r="EQ10" s="299">
        <v>16246</v>
      </c>
      <c r="ER10" s="299">
        <v>17826</v>
      </c>
      <c r="ES10" s="299">
        <v>19805</v>
      </c>
      <c r="ET10" s="299">
        <v>196</v>
      </c>
      <c r="EU10" s="299">
        <v>104</v>
      </c>
      <c r="EV10" s="299">
        <v>152</v>
      </c>
      <c r="EW10" s="299">
        <v>164</v>
      </c>
      <c r="EX10" s="299">
        <v>238</v>
      </c>
      <c r="EY10" s="299">
        <v>0</v>
      </c>
      <c r="EZ10" s="299">
        <v>336</v>
      </c>
      <c r="FA10" s="299">
        <v>416</v>
      </c>
      <c r="FB10" s="299">
        <v>445</v>
      </c>
      <c r="FC10" s="299">
        <v>435</v>
      </c>
      <c r="FD10" s="299">
        <v>787</v>
      </c>
      <c r="FE10" s="299">
        <v>5645</v>
      </c>
      <c r="FF10" s="299">
        <v>7948</v>
      </c>
      <c r="FG10" s="299">
        <v>7502</v>
      </c>
      <c r="FH10" s="299">
        <v>7633</v>
      </c>
      <c r="FI10" s="299">
        <v>9413</v>
      </c>
      <c r="FJ10" s="299">
        <v>8868</v>
      </c>
      <c r="FK10" s="299">
        <v>8000</v>
      </c>
      <c r="FL10" s="299">
        <v>7099</v>
      </c>
      <c r="FM10" s="299">
        <v>6280</v>
      </c>
      <c r="FN10" s="299">
        <v>6766</v>
      </c>
      <c r="FO10" s="299">
        <v>6346</v>
      </c>
      <c r="FP10" s="299">
        <v>4271</v>
      </c>
      <c r="FQ10" s="299">
        <v>4525</v>
      </c>
      <c r="FR10" s="299">
        <v>5237</v>
      </c>
      <c r="FS10" s="299">
        <v>5189</v>
      </c>
      <c r="FT10" s="299">
        <v>4666</v>
      </c>
      <c r="FU10" s="299">
        <v>3704</v>
      </c>
      <c r="FV10" s="299">
        <v>4714</v>
      </c>
      <c r="FW10" s="299">
        <v>4794</v>
      </c>
      <c r="FX10" s="299">
        <v>5054</v>
      </c>
      <c r="FY10" s="299">
        <v>7221</v>
      </c>
      <c r="FZ10" s="299">
        <v>7713</v>
      </c>
      <c r="GA10" s="299">
        <v>726</v>
      </c>
      <c r="GB10" s="299">
        <v>481</v>
      </c>
      <c r="GC10" s="299">
        <v>332</v>
      </c>
      <c r="GD10" s="299">
        <v>301</v>
      </c>
      <c r="GE10" s="299">
        <v>303</v>
      </c>
      <c r="GF10" s="299">
        <v>329</v>
      </c>
      <c r="GG10" s="299">
        <v>434</v>
      </c>
      <c r="GH10" s="299">
        <v>618</v>
      </c>
      <c r="GI10" s="299">
        <v>822</v>
      </c>
      <c r="GJ10" s="299">
        <v>966</v>
      </c>
      <c r="GK10" s="299">
        <v>1080</v>
      </c>
      <c r="GL10" s="299">
        <v>302</v>
      </c>
      <c r="GM10" s="299">
        <v>544</v>
      </c>
      <c r="GN10" s="299">
        <v>854</v>
      </c>
      <c r="GO10" s="299">
        <v>1244</v>
      </c>
      <c r="GP10" s="299">
        <v>1321</v>
      </c>
      <c r="GQ10" s="299">
        <v>1362</v>
      </c>
      <c r="GR10" s="299">
        <v>1344</v>
      </c>
      <c r="GS10" s="299">
        <v>1329</v>
      </c>
      <c r="GT10" s="299">
        <v>1295</v>
      </c>
      <c r="GU10" s="299">
        <v>1300</v>
      </c>
      <c r="GV10" s="299">
        <v>1334</v>
      </c>
      <c r="GW10" s="299">
        <v>6841</v>
      </c>
      <c r="GX10" s="299">
        <v>8792</v>
      </c>
      <c r="GY10" s="299">
        <v>11414</v>
      </c>
      <c r="GZ10" s="299">
        <v>4158</v>
      </c>
      <c r="HA10" s="299">
        <v>3516</v>
      </c>
      <c r="HB10" s="299">
        <v>3853</v>
      </c>
      <c r="HC10" s="299">
        <v>2526</v>
      </c>
      <c r="HD10" s="299">
        <v>2994</v>
      </c>
      <c r="HE10" s="299">
        <v>3485</v>
      </c>
      <c r="HF10" s="299">
        <v>4166</v>
      </c>
      <c r="HG10" s="299">
        <v>4230</v>
      </c>
      <c r="HH10" s="299">
        <v>465</v>
      </c>
      <c r="HI10" s="299">
        <v>466</v>
      </c>
      <c r="HJ10" s="299">
        <v>428</v>
      </c>
      <c r="HK10" s="299">
        <v>0</v>
      </c>
      <c r="HL10" s="299">
        <v>422</v>
      </c>
      <c r="HM10" s="299">
        <v>421</v>
      </c>
      <c r="HN10" s="299">
        <v>418</v>
      </c>
      <c r="HO10" s="299">
        <v>417</v>
      </c>
      <c r="HP10" s="299">
        <v>411</v>
      </c>
      <c r="HQ10" s="299"/>
      <c r="HR10" s="299">
        <v>3146</v>
      </c>
      <c r="HS10" s="299">
        <v>3808</v>
      </c>
      <c r="HT10" s="299">
        <v>3924</v>
      </c>
      <c r="HU10" s="299">
        <v>4802</v>
      </c>
      <c r="HV10" s="299">
        <v>5309</v>
      </c>
      <c r="HW10" s="299">
        <v>5489</v>
      </c>
      <c r="HX10" s="299">
        <v>6983</v>
      </c>
      <c r="HY10" s="299">
        <v>5556</v>
      </c>
      <c r="HZ10" s="299">
        <v>7988</v>
      </c>
      <c r="IA10" s="299">
        <v>8547</v>
      </c>
      <c r="IB10" s="299">
        <v>7654</v>
      </c>
      <c r="IC10" s="299">
        <v>5</v>
      </c>
      <c r="ID10" s="299">
        <v>5</v>
      </c>
      <c r="IE10" s="304">
        <v>10</v>
      </c>
      <c r="IF10" s="304">
        <v>34</v>
      </c>
      <c r="IG10" s="304">
        <v>33</v>
      </c>
      <c r="IH10" s="304">
        <v>33</v>
      </c>
      <c r="II10" s="304">
        <v>28</v>
      </c>
      <c r="IJ10" s="299">
        <v>23</v>
      </c>
      <c r="IK10" s="299">
        <v>22</v>
      </c>
      <c r="IL10" s="299">
        <v>21</v>
      </c>
      <c r="IM10" s="299">
        <v>10</v>
      </c>
      <c r="IN10" s="299">
        <v>362</v>
      </c>
      <c r="IO10" s="299">
        <v>355</v>
      </c>
      <c r="IP10" s="304">
        <v>372</v>
      </c>
      <c r="IQ10" s="304">
        <v>128</v>
      </c>
      <c r="IR10" s="304">
        <v>59</v>
      </c>
      <c r="IS10" s="304">
        <v>10</v>
      </c>
      <c r="IT10" s="304">
        <v>1</v>
      </c>
      <c r="IU10" s="299">
        <v>1</v>
      </c>
      <c r="IV10" s="299">
        <v>11</v>
      </c>
      <c r="IW10" s="299">
        <v>42</v>
      </c>
      <c r="IX10" s="299">
        <v>87</v>
      </c>
      <c r="IY10" s="299">
        <v>2287</v>
      </c>
      <c r="IZ10" s="299">
        <v>1660</v>
      </c>
      <c r="JA10" s="299">
        <v>1658</v>
      </c>
      <c r="JB10" s="299">
        <v>1949</v>
      </c>
      <c r="JC10" s="299">
        <v>2684</v>
      </c>
      <c r="JD10" s="299">
        <v>3267</v>
      </c>
      <c r="JE10" s="299">
        <v>5791</v>
      </c>
      <c r="JF10" s="299">
        <v>6810</v>
      </c>
      <c r="JG10" s="299">
        <v>10343</v>
      </c>
      <c r="JH10" s="299">
        <v>13626</v>
      </c>
      <c r="JI10" s="299">
        <v>18174</v>
      </c>
      <c r="JJ10" s="299">
        <v>54690</v>
      </c>
      <c r="JK10" s="299">
        <v>58474</v>
      </c>
      <c r="JL10" s="299">
        <v>59369</v>
      </c>
      <c r="JM10" s="299">
        <v>57016</v>
      </c>
      <c r="JN10" s="299">
        <v>61967</v>
      </c>
      <c r="JO10" s="299">
        <v>64012</v>
      </c>
      <c r="JP10" s="299">
        <v>69160</v>
      </c>
      <c r="JQ10" s="299">
        <v>70501</v>
      </c>
      <c r="JR10" s="299">
        <v>79517</v>
      </c>
      <c r="JS10" s="299">
        <v>90681</v>
      </c>
      <c r="JT10" s="299">
        <v>98524</v>
      </c>
      <c r="JU10" s="299">
        <v>111932</v>
      </c>
      <c r="JV10" s="299">
        <v>110230</v>
      </c>
      <c r="JW10" s="299">
        <v>115876</v>
      </c>
      <c r="JX10" s="299">
        <v>119224</v>
      </c>
      <c r="JY10" s="299">
        <v>122732</v>
      </c>
      <c r="JZ10" s="302">
        <v>130688</v>
      </c>
      <c r="KA10" s="302">
        <v>144460</v>
      </c>
      <c r="KB10" s="299">
        <v>136103</v>
      </c>
      <c r="KC10" s="303">
        <v>148928</v>
      </c>
      <c r="KD10" s="303">
        <v>164289</v>
      </c>
      <c r="KE10" s="472">
        <v>169136</v>
      </c>
    </row>
    <row r="11" spans="1:291" s="155" customFormat="1" x14ac:dyDescent="0.2">
      <c r="A11" s="395">
        <v>8</v>
      </c>
      <c r="B11" s="154" t="s">
        <v>233</v>
      </c>
      <c r="C11" s="299">
        <v>21253</v>
      </c>
      <c r="D11" s="299">
        <v>18249</v>
      </c>
      <c r="E11" s="299">
        <v>19204</v>
      </c>
      <c r="F11" s="299">
        <v>20165</v>
      </c>
      <c r="G11" s="299">
        <v>23904</v>
      </c>
      <c r="H11" s="299">
        <v>22511</v>
      </c>
      <c r="I11" s="299">
        <v>30484</v>
      </c>
      <c r="J11" s="299">
        <v>32402</v>
      </c>
      <c r="K11" s="299">
        <v>26896</v>
      </c>
      <c r="L11" s="299">
        <v>30465</v>
      </c>
      <c r="M11" s="299">
        <v>34267</v>
      </c>
      <c r="N11" s="299">
        <v>0</v>
      </c>
      <c r="O11" s="299">
        <v>0</v>
      </c>
      <c r="P11" s="299">
        <v>3481</v>
      </c>
      <c r="Q11" s="299">
        <v>4517</v>
      </c>
      <c r="R11" s="299">
        <v>3489</v>
      </c>
      <c r="S11" s="299">
        <v>3872</v>
      </c>
      <c r="T11" s="299">
        <v>3566</v>
      </c>
      <c r="U11" s="299">
        <v>3843</v>
      </c>
      <c r="V11" s="299">
        <v>4468</v>
      </c>
      <c r="W11" s="299">
        <v>3678</v>
      </c>
      <c r="X11" s="299">
        <v>2958</v>
      </c>
      <c r="Y11" s="299">
        <v>2773</v>
      </c>
      <c r="Z11" s="299">
        <v>2984</v>
      </c>
      <c r="AA11" s="299">
        <v>250</v>
      </c>
      <c r="AB11" s="299">
        <v>211</v>
      </c>
      <c r="AC11" s="299">
        <v>207</v>
      </c>
      <c r="AD11" s="299">
        <v>202</v>
      </c>
      <c r="AE11" s="299">
        <v>199</v>
      </c>
      <c r="AF11" s="299">
        <v>63</v>
      </c>
      <c r="AG11" s="299">
        <v>32</v>
      </c>
      <c r="AH11" s="299">
        <v>18</v>
      </c>
      <c r="AI11" s="299">
        <v>15</v>
      </c>
      <c r="AJ11" s="299">
        <v>15</v>
      </c>
      <c r="AK11" s="299">
        <v>15</v>
      </c>
      <c r="AL11" s="299">
        <v>327</v>
      </c>
      <c r="AM11" s="299">
        <v>211</v>
      </c>
      <c r="AN11" s="299">
        <v>156</v>
      </c>
      <c r="AO11" s="299">
        <v>196</v>
      </c>
      <c r="AP11" s="299">
        <v>310</v>
      </c>
      <c r="AQ11" s="299">
        <v>244</v>
      </c>
      <c r="AR11" s="299">
        <v>253</v>
      </c>
      <c r="AS11" s="299">
        <v>258</v>
      </c>
      <c r="AT11" s="299">
        <v>19</v>
      </c>
      <c r="AU11" s="299">
        <v>25</v>
      </c>
      <c r="AV11" s="299">
        <v>25</v>
      </c>
      <c r="AW11" s="299">
        <v>1225</v>
      </c>
      <c r="AX11" s="299">
        <v>666</v>
      </c>
      <c r="AY11" s="299">
        <v>839</v>
      </c>
      <c r="AZ11" s="299">
        <v>994</v>
      </c>
      <c r="BA11" s="299">
        <v>805</v>
      </c>
      <c r="BB11" s="299">
        <v>601</v>
      </c>
      <c r="BC11" s="299">
        <v>360</v>
      </c>
      <c r="BD11" s="299">
        <v>232</v>
      </c>
      <c r="BE11" s="299">
        <v>179</v>
      </c>
      <c r="BF11" s="299">
        <v>163</v>
      </c>
      <c r="BG11" s="299">
        <v>111</v>
      </c>
      <c r="BH11" s="299">
        <v>2357</v>
      </c>
      <c r="BI11" s="299">
        <v>1769</v>
      </c>
      <c r="BJ11" s="299">
        <v>1388</v>
      </c>
      <c r="BK11" s="299">
        <v>1341</v>
      </c>
      <c r="BL11" s="299">
        <v>1449</v>
      </c>
      <c r="BM11" s="299">
        <v>1666</v>
      </c>
      <c r="BN11" s="299">
        <v>1839</v>
      </c>
      <c r="BO11" s="299">
        <v>1997</v>
      </c>
      <c r="BP11" s="299">
        <v>2807</v>
      </c>
      <c r="BQ11" s="299">
        <v>3624</v>
      </c>
      <c r="BR11" s="299">
        <v>4130</v>
      </c>
      <c r="BS11" s="299">
        <v>1032</v>
      </c>
      <c r="BT11" s="299">
        <v>1187</v>
      </c>
      <c r="BU11" s="304">
        <v>1121</v>
      </c>
      <c r="BV11" s="304">
        <v>1710</v>
      </c>
      <c r="BW11" s="304">
        <v>2369</v>
      </c>
      <c r="BX11" s="304">
        <v>2736</v>
      </c>
      <c r="BY11" s="304">
        <v>2297</v>
      </c>
      <c r="BZ11" s="299">
        <v>2771</v>
      </c>
      <c r="CA11" s="299">
        <v>2879</v>
      </c>
      <c r="CB11" s="299">
        <v>3650</v>
      </c>
      <c r="CC11" s="299">
        <v>3937</v>
      </c>
      <c r="CD11" s="299">
        <v>0</v>
      </c>
      <c r="CE11" s="299">
        <v>0</v>
      </c>
      <c r="CF11" s="299">
        <v>0</v>
      </c>
      <c r="CG11" s="299">
        <v>0</v>
      </c>
      <c r="CH11" s="299">
        <v>0</v>
      </c>
      <c r="CI11" s="299">
        <v>2</v>
      </c>
      <c r="CJ11" s="299">
        <v>5</v>
      </c>
      <c r="CK11" s="299">
        <v>1</v>
      </c>
      <c r="CL11" s="299">
        <v>1</v>
      </c>
      <c r="CM11" s="299">
        <v>1</v>
      </c>
      <c r="CN11" s="299">
        <v>0</v>
      </c>
      <c r="CO11" s="299">
        <v>0</v>
      </c>
      <c r="CP11" s="299">
        <v>0</v>
      </c>
      <c r="CQ11" s="299">
        <v>704</v>
      </c>
      <c r="CR11" s="304">
        <v>912</v>
      </c>
      <c r="CS11" s="304">
        <v>1177</v>
      </c>
      <c r="CT11" s="304">
        <v>1602</v>
      </c>
      <c r="CU11" s="304">
        <v>2228</v>
      </c>
      <c r="CV11" s="304">
        <v>2553</v>
      </c>
      <c r="CW11" s="304">
        <v>2879</v>
      </c>
      <c r="CX11" s="299">
        <v>3144</v>
      </c>
      <c r="CY11" s="299">
        <v>3418</v>
      </c>
      <c r="CZ11" s="299">
        <v>3673</v>
      </c>
      <c r="DA11" s="299">
        <v>3507</v>
      </c>
      <c r="DB11" s="304">
        <v>410</v>
      </c>
      <c r="DC11" s="304">
        <v>714</v>
      </c>
      <c r="DD11" s="304">
        <v>869</v>
      </c>
      <c r="DE11" s="304">
        <v>621</v>
      </c>
      <c r="DF11" s="304">
        <v>675</v>
      </c>
      <c r="DG11" s="304">
        <v>460</v>
      </c>
      <c r="DH11" s="304">
        <v>757</v>
      </c>
      <c r="DI11" s="299">
        <v>726</v>
      </c>
      <c r="DJ11" s="301" t="s">
        <v>42</v>
      </c>
      <c r="DK11" s="299">
        <v>741</v>
      </c>
      <c r="DL11" s="299">
        <v>831</v>
      </c>
      <c r="DM11" s="299">
        <v>442</v>
      </c>
      <c r="DN11" s="299">
        <v>570</v>
      </c>
      <c r="DO11" s="299">
        <v>491</v>
      </c>
      <c r="DP11" s="299">
        <v>367</v>
      </c>
      <c r="DQ11" s="299">
        <v>304</v>
      </c>
      <c r="DR11" s="299">
        <v>454</v>
      </c>
      <c r="DS11" s="299">
        <v>611</v>
      </c>
      <c r="DT11" s="299">
        <v>634</v>
      </c>
      <c r="DU11" s="299">
        <v>631</v>
      </c>
      <c r="DV11" s="299">
        <v>0</v>
      </c>
      <c r="DW11" s="299">
        <v>4</v>
      </c>
      <c r="DX11" s="299">
        <v>2457</v>
      </c>
      <c r="DY11" s="299">
        <v>3099</v>
      </c>
      <c r="DZ11" s="299">
        <v>1878</v>
      </c>
      <c r="EA11" s="299">
        <v>2607</v>
      </c>
      <c r="EB11" s="299">
        <v>3051</v>
      </c>
      <c r="EC11" s="299">
        <v>3831</v>
      </c>
      <c r="ED11" s="299">
        <v>4465</v>
      </c>
      <c r="EE11" s="299">
        <v>4935</v>
      </c>
      <c r="EF11" s="299">
        <v>6469</v>
      </c>
      <c r="EG11" s="299">
        <v>7623</v>
      </c>
      <c r="EH11" s="299">
        <v>8359</v>
      </c>
      <c r="EI11" s="299">
        <v>3663</v>
      </c>
      <c r="EJ11" s="299">
        <v>3352</v>
      </c>
      <c r="EK11" s="299">
        <v>3919</v>
      </c>
      <c r="EL11" s="299">
        <v>4529</v>
      </c>
      <c r="EM11" s="299">
        <v>5188</v>
      </c>
      <c r="EN11" s="299">
        <v>5726</v>
      </c>
      <c r="EO11" s="299">
        <v>5805</v>
      </c>
      <c r="EP11" s="299">
        <v>6194</v>
      </c>
      <c r="EQ11" s="299">
        <v>6238</v>
      </c>
      <c r="ER11" s="299">
        <v>6438</v>
      </c>
      <c r="ES11" s="299">
        <v>7168</v>
      </c>
      <c r="ET11" s="299">
        <v>60</v>
      </c>
      <c r="EU11" s="299">
        <v>8</v>
      </c>
      <c r="EV11" s="299">
        <v>27</v>
      </c>
      <c r="EW11" s="299">
        <v>20</v>
      </c>
      <c r="EX11" s="299">
        <v>29</v>
      </c>
      <c r="EY11" s="299">
        <v>0</v>
      </c>
      <c r="EZ11" s="299">
        <v>32</v>
      </c>
      <c r="FA11" s="299">
        <v>37</v>
      </c>
      <c r="FB11" s="299">
        <v>31</v>
      </c>
      <c r="FC11" s="299">
        <v>25</v>
      </c>
      <c r="FD11" s="299">
        <v>63</v>
      </c>
      <c r="FE11" s="299">
        <v>4451</v>
      </c>
      <c r="FF11" s="299">
        <v>8035</v>
      </c>
      <c r="FG11" s="299">
        <v>9224</v>
      </c>
      <c r="FH11" s="299">
        <v>8672</v>
      </c>
      <c r="FI11" s="299">
        <v>11295</v>
      </c>
      <c r="FJ11" s="299">
        <v>10696</v>
      </c>
      <c r="FK11" s="299">
        <v>9501</v>
      </c>
      <c r="FL11" s="299">
        <v>9737</v>
      </c>
      <c r="FM11" s="299">
        <v>8859</v>
      </c>
      <c r="FN11" s="299">
        <v>8599</v>
      </c>
      <c r="FO11" s="299">
        <v>7478</v>
      </c>
      <c r="FP11" s="299">
        <v>1833</v>
      </c>
      <c r="FQ11" s="299">
        <v>2034</v>
      </c>
      <c r="FR11" s="299">
        <v>2403</v>
      </c>
      <c r="FS11" s="299">
        <v>2285</v>
      </c>
      <c r="FT11" s="299">
        <v>2069</v>
      </c>
      <c r="FU11" s="299">
        <v>1975</v>
      </c>
      <c r="FV11" s="299">
        <v>2346</v>
      </c>
      <c r="FW11" s="299">
        <v>2716</v>
      </c>
      <c r="FX11" s="299">
        <v>2845</v>
      </c>
      <c r="FY11" s="299">
        <v>4369</v>
      </c>
      <c r="FZ11" s="299">
        <v>5818</v>
      </c>
      <c r="GA11" s="299">
        <v>543</v>
      </c>
      <c r="GB11" s="299">
        <v>411</v>
      </c>
      <c r="GC11" s="299">
        <v>366</v>
      </c>
      <c r="GD11" s="299">
        <v>415</v>
      </c>
      <c r="GE11" s="299">
        <v>445</v>
      </c>
      <c r="GF11" s="299">
        <v>503</v>
      </c>
      <c r="GG11" s="299">
        <v>586</v>
      </c>
      <c r="GH11" s="299">
        <v>927</v>
      </c>
      <c r="GI11" s="299">
        <v>1423</v>
      </c>
      <c r="GJ11" s="299">
        <v>1958</v>
      </c>
      <c r="GK11" s="299">
        <v>2320</v>
      </c>
      <c r="GL11" s="299">
        <v>313</v>
      </c>
      <c r="GM11" s="299">
        <v>676</v>
      </c>
      <c r="GN11" s="299">
        <v>948</v>
      </c>
      <c r="GO11" s="299">
        <v>1157</v>
      </c>
      <c r="GP11" s="299">
        <v>1227</v>
      </c>
      <c r="GQ11" s="299">
        <v>1132</v>
      </c>
      <c r="GR11" s="299">
        <v>784</v>
      </c>
      <c r="GS11" s="299">
        <v>581</v>
      </c>
      <c r="GT11" s="299">
        <v>523</v>
      </c>
      <c r="GU11" s="299">
        <v>517</v>
      </c>
      <c r="GV11" s="299">
        <v>498</v>
      </c>
      <c r="GW11" s="299">
        <v>2190</v>
      </c>
      <c r="GX11" s="299">
        <v>2493</v>
      </c>
      <c r="GY11" s="299">
        <v>3136</v>
      </c>
      <c r="GZ11" s="299">
        <v>712</v>
      </c>
      <c r="HA11" s="299">
        <v>1131</v>
      </c>
      <c r="HB11" s="299">
        <v>1172</v>
      </c>
      <c r="HC11" s="299">
        <v>727</v>
      </c>
      <c r="HD11" s="299">
        <v>703</v>
      </c>
      <c r="HE11" s="299">
        <v>762</v>
      </c>
      <c r="HF11" s="299">
        <v>1039</v>
      </c>
      <c r="HG11" s="299">
        <v>1197</v>
      </c>
      <c r="HH11" s="299">
        <v>121</v>
      </c>
      <c r="HI11" s="299">
        <v>121</v>
      </c>
      <c r="HJ11" s="299">
        <v>134</v>
      </c>
      <c r="HK11" s="299">
        <v>0</v>
      </c>
      <c r="HL11" s="299">
        <v>139</v>
      </c>
      <c r="HM11" s="299">
        <v>139</v>
      </c>
      <c r="HN11" s="299">
        <v>137</v>
      </c>
      <c r="HO11" s="299">
        <v>136</v>
      </c>
      <c r="HP11" s="299">
        <v>133</v>
      </c>
      <c r="HQ11" s="299"/>
      <c r="HR11" s="299">
        <v>2534</v>
      </c>
      <c r="HS11" s="299">
        <v>2647</v>
      </c>
      <c r="HT11" s="299">
        <v>2834</v>
      </c>
      <c r="HU11" s="299">
        <v>3108</v>
      </c>
      <c r="HV11" s="299">
        <v>3451</v>
      </c>
      <c r="HW11" s="299">
        <v>3822</v>
      </c>
      <c r="HX11" s="299">
        <v>4835</v>
      </c>
      <c r="HY11" s="299">
        <v>3751</v>
      </c>
      <c r="HZ11" s="299">
        <v>5259</v>
      </c>
      <c r="IA11" s="299">
        <v>5935</v>
      </c>
      <c r="IB11" s="299">
        <v>5336</v>
      </c>
      <c r="IC11" s="299">
        <v>3</v>
      </c>
      <c r="ID11" s="299">
        <v>2</v>
      </c>
      <c r="IE11" s="304">
        <v>2</v>
      </c>
      <c r="IF11" s="304">
        <v>1</v>
      </c>
      <c r="IG11" s="304">
        <v>0</v>
      </c>
      <c r="IH11" s="304">
        <v>0</v>
      </c>
      <c r="II11" s="304">
        <v>0</v>
      </c>
      <c r="IJ11" s="299">
        <v>0</v>
      </c>
      <c r="IK11" s="299">
        <v>0</v>
      </c>
      <c r="IL11" s="299">
        <v>0</v>
      </c>
      <c r="IM11" s="299">
        <v>0</v>
      </c>
      <c r="IN11" s="299">
        <v>166</v>
      </c>
      <c r="IO11" s="299">
        <v>169</v>
      </c>
      <c r="IP11" s="304">
        <v>161</v>
      </c>
      <c r="IQ11" s="304">
        <v>69</v>
      </c>
      <c r="IR11" s="304">
        <v>28</v>
      </c>
      <c r="IS11" s="304">
        <v>3</v>
      </c>
      <c r="IT11" s="304">
        <v>0</v>
      </c>
      <c r="IU11" s="299">
        <v>0</v>
      </c>
      <c r="IV11" s="299">
        <v>2</v>
      </c>
      <c r="IW11" s="299">
        <v>4</v>
      </c>
      <c r="IX11" s="299">
        <v>11</v>
      </c>
      <c r="IY11" s="299">
        <v>3477</v>
      </c>
      <c r="IZ11" s="299">
        <v>1981</v>
      </c>
      <c r="JA11" s="299">
        <v>2158</v>
      </c>
      <c r="JB11" s="299">
        <v>2109</v>
      </c>
      <c r="JC11" s="299">
        <v>2200</v>
      </c>
      <c r="JD11" s="299">
        <v>2215</v>
      </c>
      <c r="JE11" s="299">
        <v>4450</v>
      </c>
      <c r="JF11" s="299">
        <v>5364</v>
      </c>
      <c r="JG11" s="299">
        <v>9382</v>
      </c>
      <c r="JH11" s="299">
        <v>13002</v>
      </c>
      <c r="JI11" s="299">
        <v>16462</v>
      </c>
      <c r="JJ11" s="299">
        <v>32338</v>
      </c>
      <c r="JK11" s="299">
        <v>36046</v>
      </c>
      <c r="JL11" s="299">
        <v>36878</v>
      </c>
      <c r="JM11" s="299">
        <v>36792</v>
      </c>
      <c r="JN11" s="299">
        <v>42345</v>
      </c>
      <c r="JO11" s="299">
        <v>43749</v>
      </c>
      <c r="JP11" s="299">
        <v>46862</v>
      </c>
      <c r="JQ11" s="299">
        <v>48360</v>
      </c>
      <c r="JR11" s="299">
        <v>54813</v>
      </c>
      <c r="JS11" s="299">
        <v>64067</v>
      </c>
      <c r="JT11" s="299">
        <v>70054</v>
      </c>
      <c r="JU11" s="299">
        <v>53591</v>
      </c>
      <c r="JV11" s="299">
        <v>54295</v>
      </c>
      <c r="JW11" s="299">
        <v>56082</v>
      </c>
      <c r="JX11" s="299">
        <v>56957</v>
      </c>
      <c r="JY11" s="299">
        <v>66249</v>
      </c>
      <c r="JZ11" s="302">
        <v>66260</v>
      </c>
      <c r="KA11" s="302">
        <v>77346</v>
      </c>
      <c r="KB11" s="299">
        <v>80762</v>
      </c>
      <c r="KC11" s="303">
        <v>81709</v>
      </c>
      <c r="KD11" s="303">
        <v>94532</v>
      </c>
      <c r="KE11" s="472">
        <v>104321</v>
      </c>
    </row>
    <row r="12" spans="1:291" s="155" customFormat="1" ht="13.5" customHeight="1" x14ac:dyDescent="0.2">
      <c r="A12" s="395">
        <v>9</v>
      </c>
      <c r="B12" s="154" t="s">
        <v>247</v>
      </c>
      <c r="C12" s="299">
        <v>10626</v>
      </c>
      <c r="D12" s="299">
        <v>9165</v>
      </c>
      <c r="E12" s="299">
        <v>9671</v>
      </c>
      <c r="F12" s="299">
        <v>10914</v>
      </c>
      <c r="G12" s="299">
        <v>14587</v>
      </c>
      <c r="H12" s="299">
        <v>11511</v>
      </c>
      <c r="I12" s="299">
        <v>8955</v>
      </c>
      <c r="J12" s="299">
        <v>7757</v>
      </c>
      <c r="K12" s="299">
        <v>12025</v>
      </c>
      <c r="L12" s="299">
        <v>12887</v>
      </c>
      <c r="M12" s="299">
        <v>14168</v>
      </c>
      <c r="N12" s="299">
        <v>0</v>
      </c>
      <c r="O12" s="299">
        <v>0</v>
      </c>
      <c r="P12" s="299">
        <v>787</v>
      </c>
      <c r="Q12" s="299">
        <v>908</v>
      </c>
      <c r="R12" s="299">
        <v>568</v>
      </c>
      <c r="S12" s="299">
        <v>580</v>
      </c>
      <c r="T12" s="299">
        <v>440</v>
      </c>
      <c r="U12" s="299">
        <v>474</v>
      </c>
      <c r="V12" s="299">
        <v>554</v>
      </c>
      <c r="W12" s="299">
        <v>571</v>
      </c>
      <c r="X12" s="299">
        <v>511</v>
      </c>
      <c r="Y12" s="299">
        <v>603</v>
      </c>
      <c r="Z12" s="299">
        <v>770</v>
      </c>
      <c r="AA12" s="299">
        <v>185</v>
      </c>
      <c r="AB12" s="299">
        <v>154</v>
      </c>
      <c r="AC12" s="299">
        <v>141</v>
      </c>
      <c r="AD12" s="299">
        <v>141</v>
      </c>
      <c r="AE12" s="299">
        <v>139</v>
      </c>
      <c r="AF12" s="299">
        <v>44</v>
      </c>
      <c r="AG12" s="299">
        <v>11</v>
      </c>
      <c r="AH12" s="299">
        <v>6</v>
      </c>
      <c r="AI12" s="299">
        <v>5</v>
      </c>
      <c r="AJ12" s="299">
        <v>5</v>
      </c>
      <c r="AK12" s="299">
        <v>5</v>
      </c>
      <c r="AL12" s="299">
        <v>110</v>
      </c>
      <c r="AM12" s="299">
        <v>54</v>
      </c>
      <c r="AN12" s="304">
        <v>39</v>
      </c>
      <c r="AO12" s="304">
        <v>66</v>
      </c>
      <c r="AP12" s="304">
        <v>83</v>
      </c>
      <c r="AQ12" s="304">
        <v>54</v>
      </c>
      <c r="AR12" s="304">
        <v>83</v>
      </c>
      <c r="AS12" s="299">
        <v>94</v>
      </c>
      <c r="AT12" s="299">
        <v>6</v>
      </c>
      <c r="AU12" s="299">
        <v>10</v>
      </c>
      <c r="AV12" s="299">
        <v>7</v>
      </c>
      <c r="AW12" s="299">
        <v>172</v>
      </c>
      <c r="AX12" s="299">
        <v>156</v>
      </c>
      <c r="AY12" s="299">
        <v>177</v>
      </c>
      <c r="AZ12" s="299">
        <v>184</v>
      </c>
      <c r="BA12" s="299">
        <v>179</v>
      </c>
      <c r="BB12" s="299">
        <v>164</v>
      </c>
      <c r="BC12" s="299">
        <v>20</v>
      </c>
      <c r="BD12" s="299">
        <v>10</v>
      </c>
      <c r="BE12" s="299">
        <v>5</v>
      </c>
      <c r="BF12" s="299">
        <v>2</v>
      </c>
      <c r="BG12" s="299">
        <v>2</v>
      </c>
      <c r="BH12" s="299">
        <v>1405</v>
      </c>
      <c r="BI12" s="299">
        <v>1040</v>
      </c>
      <c r="BJ12" s="299">
        <v>870</v>
      </c>
      <c r="BK12" s="299">
        <v>755</v>
      </c>
      <c r="BL12" s="299">
        <v>771</v>
      </c>
      <c r="BM12" s="299">
        <v>917</v>
      </c>
      <c r="BN12" s="299">
        <v>958</v>
      </c>
      <c r="BO12" s="299">
        <v>1111</v>
      </c>
      <c r="BP12" s="299">
        <v>1311</v>
      </c>
      <c r="BQ12" s="299">
        <v>1329</v>
      </c>
      <c r="BR12" s="299">
        <v>1515</v>
      </c>
      <c r="BS12" s="299">
        <v>87</v>
      </c>
      <c r="BT12" s="299">
        <v>89</v>
      </c>
      <c r="BU12" s="304">
        <v>82</v>
      </c>
      <c r="BV12" s="304">
        <v>107</v>
      </c>
      <c r="BW12" s="304">
        <v>119</v>
      </c>
      <c r="BX12" s="304">
        <v>2</v>
      </c>
      <c r="BY12" s="304">
        <v>0</v>
      </c>
      <c r="BZ12" s="299">
        <v>0</v>
      </c>
      <c r="CA12" s="299">
        <v>174</v>
      </c>
      <c r="CB12" s="299">
        <v>233</v>
      </c>
      <c r="CC12" s="299">
        <v>263</v>
      </c>
      <c r="CD12" s="299">
        <v>0</v>
      </c>
      <c r="CE12" s="299">
        <v>0</v>
      </c>
      <c r="CF12" s="299">
        <v>0</v>
      </c>
      <c r="CG12" s="299">
        <v>0</v>
      </c>
      <c r="CH12" s="299">
        <v>0</v>
      </c>
      <c r="CI12" s="299">
        <v>0</v>
      </c>
      <c r="CJ12" s="299">
        <v>2</v>
      </c>
      <c r="CK12" s="299">
        <v>2</v>
      </c>
      <c r="CL12" s="299">
        <v>2</v>
      </c>
      <c r="CM12" s="299">
        <v>2</v>
      </c>
      <c r="CN12" s="299">
        <v>1</v>
      </c>
      <c r="CO12" s="299">
        <v>0</v>
      </c>
      <c r="CP12" s="299">
        <v>0</v>
      </c>
      <c r="CQ12" s="299">
        <v>163</v>
      </c>
      <c r="CR12" s="304">
        <v>233</v>
      </c>
      <c r="CS12" s="304">
        <v>299</v>
      </c>
      <c r="CT12" s="304">
        <v>378</v>
      </c>
      <c r="CU12" s="304">
        <v>461</v>
      </c>
      <c r="CV12" s="304">
        <v>421</v>
      </c>
      <c r="CW12" s="304">
        <v>459</v>
      </c>
      <c r="CX12" s="299">
        <v>498</v>
      </c>
      <c r="CY12" s="299">
        <v>589</v>
      </c>
      <c r="CZ12" s="299">
        <v>659</v>
      </c>
      <c r="DA12" s="299">
        <v>677</v>
      </c>
      <c r="DB12" s="304">
        <v>96</v>
      </c>
      <c r="DC12" s="304">
        <v>180</v>
      </c>
      <c r="DD12" s="304">
        <v>198</v>
      </c>
      <c r="DE12" s="304">
        <v>123</v>
      </c>
      <c r="DF12" s="304">
        <v>84</v>
      </c>
      <c r="DG12" s="304">
        <v>31</v>
      </c>
      <c r="DH12" s="304">
        <v>96</v>
      </c>
      <c r="DI12" s="299">
        <v>101</v>
      </c>
      <c r="DJ12" s="301" t="s">
        <v>42</v>
      </c>
      <c r="DK12" s="299">
        <v>122</v>
      </c>
      <c r="DL12" s="299">
        <v>138</v>
      </c>
      <c r="DM12" s="299">
        <v>44</v>
      </c>
      <c r="DN12" s="299">
        <v>82</v>
      </c>
      <c r="DO12" s="299">
        <v>21</v>
      </c>
      <c r="DP12" s="299">
        <v>-28</v>
      </c>
      <c r="DQ12" s="299">
        <v>-27</v>
      </c>
      <c r="DR12" s="299">
        <v>-12</v>
      </c>
      <c r="DS12" s="299">
        <v>-8</v>
      </c>
      <c r="DT12" s="299">
        <v>-6</v>
      </c>
      <c r="DU12" s="299">
        <v>-5</v>
      </c>
      <c r="DV12" s="299">
        <v>0</v>
      </c>
      <c r="DW12" s="299">
        <v>0</v>
      </c>
      <c r="DX12" s="299">
        <v>444</v>
      </c>
      <c r="DY12" s="299">
        <v>573</v>
      </c>
      <c r="DZ12" s="299">
        <v>357</v>
      </c>
      <c r="EA12" s="299">
        <v>497</v>
      </c>
      <c r="EB12" s="299">
        <v>537</v>
      </c>
      <c r="EC12" s="299">
        <v>859</v>
      </c>
      <c r="ED12" s="299">
        <v>1148</v>
      </c>
      <c r="EE12" s="299">
        <v>1258</v>
      </c>
      <c r="EF12" s="299">
        <v>1634</v>
      </c>
      <c r="EG12" s="299">
        <v>1671</v>
      </c>
      <c r="EH12" s="299">
        <v>1896</v>
      </c>
      <c r="EI12" s="299">
        <v>1515</v>
      </c>
      <c r="EJ12" s="299">
        <v>1489</v>
      </c>
      <c r="EK12" s="299">
        <v>1801</v>
      </c>
      <c r="EL12" s="299">
        <v>2097</v>
      </c>
      <c r="EM12" s="299">
        <v>2409</v>
      </c>
      <c r="EN12" s="299">
        <v>2704</v>
      </c>
      <c r="EO12" s="299">
        <v>2766</v>
      </c>
      <c r="EP12" s="299">
        <v>2929</v>
      </c>
      <c r="EQ12" s="299">
        <v>2822</v>
      </c>
      <c r="ER12" s="299">
        <v>2477</v>
      </c>
      <c r="ES12" s="299">
        <v>2286</v>
      </c>
      <c r="ET12" s="299">
        <v>72</v>
      </c>
      <c r="EU12" s="299">
        <v>59</v>
      </c>
      <c r="EV12" s="299">
        <v>72</v>
      </c>
      <c r="EW12" s="299">
        <v>52</v>
      </c>
      <c r="EX12" s="299">
        <v>69</v>
      </c>
      <c r="EY12" s="299">
        <v>0</v>
      </c>
      <c r="EZ12" s="299">
        <v>126</v>
      </c>
      <c r="FA12" s="299">
        <v>151</v>
      </c>
      <c r="FB12" s="299">
        <v>229</v>
      </c>
      <c r="FC12" s="299">
        <v>275</v>
      </c>
      <c r="FD12" s="299">
        <v>376</v>
      </c>
      <c r="FE12" s="299">
        <v>0</v>
      </c>
      <c r="FF12" s="299">
        <v>0</v>
      </c>
      <c r="FG12" s="304">
        <v>54</v>
      </c>
      <c r="FH12" s="304">
        <v>144</v>
      </c>
      <c r="FI12" s="304">
        <v>298</v>
      </c>
      <c r="FJ12" s="304">
        <v>331</v>
      </c>
      <c r="FK12" s="304">
        <v>243</v>
      </c>
      <c r="FL12" s="299">
        <v>196</v>
      </c>
      <c r="FM12" s="299">
        <v>240</v>
      </c>
      <c r="FN12" s="299">
        <v>235</v>
      </c>
      <c r="FO12" s="299">
        <v>251</v>
      </c>
      <c r="FP12" s="299">
        <v>518</v>
      </c>
      <c r="FQ12" s="299">
        <v>569</v>
      </c>
      <c r="FR12" s="299">
        <v>644</v>
      </c>
      <c r="FS12" s="299">
        <v>746</v>
      </c>
      <c r="FT12" s="299">
        <v>684</v>
      </c>
      <c r="FU12" s="299">
        <v>593</v>
      </c>
      <c r="FV12" s="299">
        <v>763</v>
      </c>
      <c r="FW12" s="299">
        <v>919</v>
      </c>
      <c r="FX12" s="299">
        <v>997</v>
      </c>
      <c r="FY12" s="299">
        <v>1413</v>
      </c>
      <c r="FZ12" s="299">
        <v>1611</v>
      </c>
      <c r="GA12" s="299">
        <v>101</v>
      </c>
      <c r="GB12" s="299">
        <v>81</v>
      </c>
      <c r="GC12" s="299">
        <v>59</v>
      </c>
      <c r="GD12" s="299">
        <v>47</v>
      </c>
      <c r="GE12" s="299">
        <v>54</v>
      </c>
      <c r="GF12" s="299">
        <v>120</v>
      </c>
      <c r="GG12" s="299">
        <v>145</v>
      </c>
      <c r="GH12" s="299">
        <v>200</v>
      </c>
      <c r="GI12" s="299">
        <v>457</v>
      </c>
      <c r="GJ12" s="299">
        <v>765</v>
      </c>
      <c r="GK12" s="299">
        <v>1068</v>
      </c>
      <c r="GL12" s="299">
        <v>79</v>
      </c>
      <c r="GM12" s="304">
        <v>143</v>
      </c>
      <c r="GN12" s="304">
        <v>205</v>
      </c>
      <c r="GO12" s="304">
        <v>315</v>
      </c>
      <c r="GP12" s="304">
        <v>334</v>
      </c>
      <c r="GQ12" s="304">
        <v>393</v>
      </c>
      <c r="GR12" s="304">
        <v>406</v>
      </c>
      <c r="GS12" s="299">
        <v>433</v>
      </c>
      <c r="GT12" s="299">
        <v>504</v>
      </c>
      <c r="GU12" s="299">
        <v>633</v>
      </c>
      <c r="GV12" s="299">
        <v>798</v>
      </c>
      <c r="GW12" s="299">
        <v>1350</v>
      </c>
      <c r="GX12" s="299">
        <v>1820</v>
      </c>
      <c r="GY12" s="299">
        <v>2282</v>
      </c>
      <c r="GZ12" s="299">
        <v>1071</v>
      </c>
      <c r="HA12" s="299">
        <v>1005</v>
      </c>
      <c r="HB12" s="299">
        <v>1164</v>
      </c>
      <c r="HC12" s="299">
        <v>773</v>
      </c>
      <c r="HD12" s="299">
        <v>902</v>
      </c>
      <c r="HE12" s="299">
        <v>1106</v>
      </c>
      <c r="HF12" s="299">
        <v>1081</v>
      </c>
      <c r="HG12" s="299">
        <v>1365</v>
      </c>
      <c r="HH12" s="299">
        <v>0</v>
      </c>
      <c r="HI12" s="299">
        <v>0</v>
      </c>
      <c r="HJ12" s="299">
        <v>0</v>
      </c>
      <c r="HK12" s="299">
        <v>0</v>
      </c>
      <c r="HL12" s="299">
        <v>0</v>
      </c>
      <c r="HM12" s="299">
        <v>0</v>
      </c>
      <c r="HN12" s="299">
        <v>0</v>
      </c>
      <c r="HO12" s="299">
        <v>0</v>
      </c>
      <c r="HP12" s="299">
        <v>0</v>
      </c>
      <c r="HQ12" s="299"/>
      <c r="HR12" s="299">
        <v>1386</v>
      </c>
      <c r="HS12" s="299">
        <v>1449</v>
      </c>
      <c r="HT12" s="304">
        <v>1492</v>
      </c>
      <c r="HU12" s="304">
        <v>1885</v>
      </c>
      <c r="HV12" s="304">
        <v>2046</v>
      </c>
      <c r="HW12" s="304">
        <v>2088</v>
      </c>
      <c r="HX12" s="304">
        <v>2673</v>
      </c>
      <c r="HY12" s="299">
        <v>2641</v>
      </c>
      <c r="HZ12" s="299">
        <v>3895</v>
      </c>
      <c r="IA12" s="299">
        <v>5295</v>
      </c>
      <c r="IB12" s="299">
        <v>5753</v>
      </c>
      <c r="IC12" s="299">
        <v>0</v>
      </c>
      <c r="ID12" s="299">
        <v>0</v>
      </c>
      <c r="IE12" s="304">
        <v>0</v>
      </c>
      <c r="IF12" s="304">
        <v>0</v>
      </c>
      <c r="IG12" s="304">
        <v>0</v>
      </c>
      <c r="IH12" s="304">
        <v>0</v>
      </c>
      <c r="II12" s="304">
        <v>0</v>
      </c>
      <c r="IJ12" s="299">
        <v>0</v>
      </c>
      <c r="IK12" s="299">
        <v>0</v>
      </c>
      <c r="IL12" s="299">
        <v>0</v>
      </c>
      <c r="IM12" s="299">
        <v>0</v>
      </c>
      <c r="IN12" s="299">
        <v>7</v>
      </c>
      <c r="IO12" s="299">
        <v>6</v>
      </c>
      <c r="IP12" s="304">
        <v>5</v>
      </c>
      <c r="IQ12" s="304">
        <v>0</v>
      </c>
      <c r="IR12" s="304">
        <v>0</v>
      </c>
      <c r="IS12" s="304">
        <v>0</v>
      </c>
      <c r="IT12" s="304">
        <v>0</v>
      </c>
      <c r="IU12" s="299">
        <v>0</v>
      </c>
      <c r="IV12" s="299">
        <v>0</v>
      </c>
      <c r="IW12" s="299">
        <v>1</v>
      </c>
      <c r="IX12" s="299">
        <v>2</v>
      </c>
      <c r="IY12" s="299">
        <v>142</v>
      </c>
      <c r="IZ12" s="299">
        <v>51</v>
      </c>
      <c r="JA12" s="299">
        <v>37</v>
      </c>
      <c r="JB12" s="299">
        <v>18</v>
      </c>
      <c r="JC12" s="299">
        <v>56</v>
      </c>
      <c r="JD12" s="299">
        <v>114</v>
      </c>
      <c r="JE12" s="299">
        <v>198</v>
      </c>
      <c r="JF12" s="299">
        <v>252</v>
      </c>
      <c r="JG12" s="299">
        <v>479</v>
      </c>
      <c r="JH12" s="299">
        <v>1020</v>
      </c>
      <c r="JI12" s="299">
        <v>1432</v>
      </c>
      <c r="JJ12" s="299">
        <v>8741</v>
      </c>
      <c r="JK12" s="299">
        <v>9192</v>
      </c>
      <c r="JL12" s="299">
        <v>9426</v>
      </c>
      <c r="JM12" s="299">
        <v>9288</v>
      </c>
      <c r="JN12" s="299">
        <v>9789</v>
      </c>
      <c r="JO12" s="299">
        <v>10445</v>
      </c>
      <c r="JP12" s="299">
        <v>11397</v>
      </c>
      <c r="JQ12" s="299">
        <v>12262</v>
      </c>
      <c r="JR12" s="299">
        <v>14958</v>
      </c>
      <c r="JS12" s="299">
        <v>17703</v>
      </c>
      <c r="JT12" s="299">
        <v>20073</v>
      </c>
      <c r="JU12" s="299">
        <v>19367</v>
      </c>
      <c r="JV12" s="299">
        <v>18357</v>
      </c>
      <c r="JW12" s="299">
        <v>19097</v>
      </c>
      <c r="JX12" s="299">
        <v>20202</v>
      </c>
      <c r="JY12" s="299">
        <v>24376</v>
      </c>
      <c r="JZ12" s="302">
        <v>21956</v>
      </c>
      <c r="KA12" s="302">
        <v>20352</v>
      </c>
      <c r="KB12" s="299">
        <v>20019</v>
      </c>
      <c r="KC12" s="303">
        <v>26983</v>
      </c>
      <c r="KD12" s="303">
        <v>30590</v>
      </c>
      <c r="KE12" s="472">
        <v>34241</v>
      </c>
    </row>
    <row r="13" spans="1:291" s="155" customFormat="1" ht="12.75" customHeight="1" x14ac:dyDescent="0.2">
      <c r="A13" s="395">
        <v>10</v>
      </c>
      <c r="B13" s="154" t="s">
        <v>248</v>
      </c>
      <c r="C13" s="299">
        <v>4712</v>
      </c>
      <c r="D13" s="299">
        <v>3862</v>
      </c>
      <c r="E13" s="299">
        <v>3900</v>
      </c>
      <c r="F13" s="299">
        <v>4211</v>
      </c>
      <c r="G13" s="299">
        <v>6437</v>
      </c>
      <c r="H13" s="299">
        <v>6390</v>
      </c>
      <c r="I13" s="299">
        <v>7478</v>
      </c>
      <c r="J13" s="299">
        <v>5315</v>
      </c>
      <c r="K13" s="299">
        <v>6761</v>
      </c>
      <c r="L13" s="299">
        <v>8446</v>
      </c>
      <c r="M13" s="299">
        <v>9615</v>
      </c>
      <c r="N13" s="299">
        <v>0</v>
      </c>
      <c r="O13" s="299">
        <v>0</v>
      </c>
      <c r="P13" s="299">
        <v>253</v>
      </c>
      <c r="Q13" s="299">
        <v>331</v>
      </c>
      <c r="R13" s="299">
        <v>216</v>
      </c>
      <c r="S13" s="299">
        <v>279</v>
      </c>
      <c r="T13" s="299">
        <v>211</v>
      </c>
      <c r="U13" s="299">
        <v>248</v>
      </c>
      <c r="V13" s="299">
        <v>265</v>
      </c>
      <c r="W13" s="299">
        <v>216</v>
      </c>
      <c r="X13" s="299">
        <v>212</v>
      </c>
      <c r="Y13" s="299">
        <v>207</v>
      </c>
      <c r="Z13" s="299">
        <v>183</v>
      </c>
      <c r="AA13" s="299">
        <v>119</v>
      </c>
      <c r="AB13" s="299">
        <v>115</v>
      </c>
      <c r="AC13" s="299">
        <v>104</v>
      </c>
      <c r="AD13" s="299">
        <v>103</v>
      </c>
      <c r="AE13" s="299">
        <v>100</v>
      </c>
      <c r="AF13" s="299">
        <v>23</v>
      </c>
      <c r="AG13" s="299">
        <v>5</v>
      </c>
      <c r="AH13" s="299">
        <v>3</v>
      </c>
      <c r="AI13" s="299">
        <v>3</v>
      </c>
      <c r="AJ13" s="299">
        <v>3</v>
      </c>
      <c r="AK13" s="299">
        <v>3</v>
      </c>
      <c r="AL13" s="299">
        <v>3</v>
      </c>
      <c r="AM13" s="299">
        <v>1</v>
      </c>
      <c r="AN13" s="304">
        <v>1</v>
      </c>
      <c r="AO13" s="304">
        <v>4</v>
      </c>
      <c r="AP13" s="304">
        <v>13</v>
      </c>
      <c r="AQ13" s="304">
        <v>14</v>
      </c>
      <c r="AR13" s="304">
        <v>13</v>
      </c>
      <c r="AS13" s="299">
        <v>13</v>
      </c>
      <c r="AT13" s="299">
        <v>0</v>
      </c>
      <c r="AU13" s="299">
        <v>0</v>
      </c>
      <c r="AV13" s="299">
        <v>1</v>
      </c>
      <c r="AW13" s="299">
        <v>42</v>
      </c>
      <c r="AX13" s="299">
        <v>6</v>
      </c>
      <c r="AY13" s="299">
        <v>5</v>
      </c>
      <c r="AZ13" s="299">
        <v>8</v>
      </c>
      <c r="BA13" s="299">
        <v>7</v>
      </c>
      <c r="BB13" s="299">
        <v>8</v>
      </c>
      <c r="BC13" s="299">
        <v>5</v>
      </c>
      <c r="BD13" s="299">
        <v>4</v>
      </c>
      <c r="BE13" s="299">
        <v>3</v>
      </c>
      <c r="BF13" s="299">
        <v>1</v>
      </c>
      <c r="BG13" s="299">
        <v>8</v>
      </c>
      <c r="BH13" s="299">
        <v>1509</v>
      </c>
      <c r="BI13" s="299">
        <v>1030</v>
      </c>
      <c r="BJ13" s="299">
        <v>848</v>
      </c>
      <c r="BK13" s="299">
        <v>802</v>
      </c>
      <c r="BL13" s="299">
        <v>803</v>
      </c>
      <c r="BM13" s="299">
        <v>931</v>
      </c>
      <c r="BN13" s="299">
        <v>934</v>
      </c>
      <c r="BO13" s="299">
        <v>971</v>
      </c>
      <c r="BP13" s="299">
        <v>1201</v>
      </c>
      <c r="BQ13" s="299">
        <v>1286</v>
      </c>
      <c r="BR13" s="299">
        <v>1358</v>
      </c>
      <c r="BS13" s="299">
        <v>144</v>
      </c>
      <c r="BT13" s="299">
        <v>132</v>
      </c>
      <c r="BU13" s="304">
        <v>99</v>
      </c>
      <c r="BV13" s="304">
        <v>190</v>
      </c>
      <c r="BW13" s="304">
        <v>210</v>
      </c>
      <c r="BX13" s="304">
        <v>2480</v>
      </c>
      <c r="BY13" s="304">
        <v>185</v>
      </c>
      <c r="BZ13" s="299">
        <v>211</v>
      </c>
      <c r="CA13" s="299">
        <v>275</v>
      </c>
      <c r="CB13" s="299">
        <v>277</v>
      </c>
      <c r="CC13" s="299">
        <v>317</v>
      </c>
      <c r="CD13" s="299">
        <v>0</v>
      </c>
      <c r="CE13" s="299">
        <v>0</v>
      </c>
      <c r="CF13" s="299">
        <v>0</v>
      </c>
      <c r="CG13" s="299">
        <v>0</v>
      </c>
      <c r="CH13" s="299">
        <v>0</v>
      </c>
      <c r="CI13" s="299">
        <v>0</v>
      </c>
      <c r="CJ13" s="299">
        <v>9</v>
      </c>
      <c r="CK13" s="299">
        <v>5</v>
      </c>
      <c r="CL13" s="299">
        <v>5</v>
      </c>
      <c r="CM13" s="299">
        <v>5</v>
      </c>
      <c r="CN13" s="299">
        <v>1</v>
      </c>
      <c r="CO13" s="299">
        <v>0</v>
      </c>
      <c r="CP13" s="299">
        <v>0</v>
      </c>
      <c r="CQ13" s="299">
        <v>3</v>
      </c>
      <c r="CR13" s="304">
        <v>3</v>
      </c>
      <c r="CS13" s="304">
        <v>49</v>
      </c>
      <c r="CT13" s="304">
        <v>144</v>
      </c>
      <c r="CU13" s="304">
        <v>218</v>
      </c>
      <c r="CV13" s="304">
        <v>305</v>
      </c>
      <c r="CW13" s="304">
        <v>344</v>
      </c>
      <c r="CX13" s="299">
        <v>386</v>
      </c>
      <c r="CY13" s="299">
        <v>440</v>
      </c>
      <c r="CZ13" s="299">
        <v>485</v>
      </c>
      <c r="DA13" s="299">
        <v>456</v>
      </c>
      <c r="DB13" s="304">
        <v>231</v>
      </c>
      <c r="DC13" s="304">
        <v>311</v>
      </c>
      <c r="DD13" s="304">
        <v>278</v>
      </c>
      <c r="DE13" s="304">
        <v>203</v>
      </c>
      <c r="DF13" s="304">
        <v>221</v>
      </c>
      <c r="DG13" s="304">
        <v>207</v>
      </c>
      <c r="DH13" s="304">
        <v>183</v>
      </c>
      <c r="DI13" s="299">
        <v>205</v>
      </c>
      <c r="DJ13" s="301" t="s">
        <v>42</v>
      </c>
      <c r="DK13" s="299">
        <v>113</v>
      </c>
      <c r="DL13" s="299">
        <v>139</v>
      </c>
      <c r="DM13" s="299">
        <v>50</v>
      </c>
      <c r="DN13" s="299">
        <v>82</v>
      </c>
      <c r="DO13" s="299">
        <v>44</v>
      </c>
      <c r="DP13" s="299">
        <v>-3</v>
      </c>
      <c r="DQ13" s="299">
        <v>-1</v>
      </c>
      <c r="DR13" s="299">
        <v>35</v>
      </c>
      <c r="DS13" s="299">
        <v>62</v>
      </c>
      <c r="DT13" s="299">
        <v>65</v>
      </c>
      <c r="DU13" s="299">
        <v>65</v>
      </c>
      <c r="DV13" s="299">
        <v>0</v>
      </c>
      <c r="DW13" s="299">
        <v>0</v>
      </c>
      <c r="DX13" s="299">
        <v>526</v>
      </c>
      <c r="DY13" s="299">
        <v>564</v>
      </c>
      <c r="DZ13" s="299">
        <v>223</v>
      </c>
      <c r="EA13" s="299">
        <v>389</v>
      </c>
      <c r="EB13" s="299">
        <v>445</v>
      </c>
      <c r="EC13" s="299">
        <v>477</v>
      </c>
      <c r="ED13" s="299">
        <v>349</v>
      </c>
      <c r="EE13" s="299">
        <v>385</v>
      </c>
      <c r="EF13" s="299">
        <v>826</v>
      </c>
      <c r="EG13" s="299">
        <v>1300</v>
      </c>
      <c r="EH13" s="299">
        <v>1481</v>
      </c>
      <c r="EI13" s="299">
        <v>1286</v>
      </c>
      <c r="EJ13" s="299">
        <v>1124</v>
      </c>
      <c r="EK13" s="304">
        <v>1255</v>
      </c>
      <c r="EL13" s="304">
        <v>1408</v>
      </c>
      <c r="EM13" s="304">
        <v>1584</v>
      </c>
      <c r="EN13" s="304">
        <v>1747</v>
      </c>
      <c r="EO13" s="304">
        <v>1535</v>
      </c>
      <c r="EP13" s="299">
        <v>1566</v>
      </c>
      <c r="EQ13" s="299">
        <v>1396</v>
      </c>
      <c r="ER13" s="299">
        <v>1414</v>
      </c>
      <c r="ES13" s="299">
        <v>1527</v>
      </c>
      <c r="ET13" s="299">
        <v>10</v>
      </c>
      <c r="EU13" s="299">
        <v>3</v>
      </c>
      <c r="EV13" s="299">
        <v>3</v>
      </c>
      <c r="EW13" s="299">
        <v>0</v>
      </c>
      <c r="EX13" s="299">
        <v>0</v>
      </c>
      <c r="EY13" s="299">
        <v>0</v>
      </c>
      <c r="EZ13" s="299">
        <v>0</v>
      </c>
      <c r="FA13" s="299">
        <v>0</v>
      </c>
      <c r="FB13" s="299">
        <v>0</v>
      </c>
      <c r="FC13" s="299">
        <v>0</v>
      </c>
      <c r="FD13" s="299">
        <v>1</v>
      </c>
      <c r="FE13" s="299">
        <v>6</v>
      </c>
      <c r="FF13" s="299">
        <v>9</v>
      </c>
      <c r="FG13" s="304">
        <v>1</v>
      </c>
      <c r="FH13" s="304">
        <v>0</v>
      </c>
      <c r="FI13" s="304">
        <v>0</v>
      </c>
      <c r="FJ13" s="304">
        <v>0</v>
      </c>
      <c r="FK13" s="304">
        <v>0</v>
      </c>
      <c r="FL13" s="299">
        <v>0</v>
      </c>
      <c r="FM13" s="299">
        <v>0</v>
      </c>
      <c r="FN13" s="299">
        <v>0</v>
      </c>
      <c r="FO13" s="299">
        <v>0</v>
      </c>
      <c r="FP13" s="299">
        <v>255</v>
      </c>
      <c r="FQ13" s="299">
        <v>239</v>
      </c>
      <c r="FR13" s="299">
        <v>280</v>
      </c>
      <c r="FS13" s="299">
        <v>319</v>
      </c>
      <c r="FT13" s="299">
        <v>282</v>
      </c>
      <c r="FU13" s="299">
        <v>296</v>
      </c>
      <c r="FV13" s="299">
        <v>334</v>
      </c>
      <c r="FW13" s="299">
        <v>390</v>
      </c>
      <c r="FX13" s="299">
        <v>484</v>
      </c>
      <c r="FY13" s="299">
        <v>783</v>
      </c>
      <c r="FZ13" s="299">
        <v>893</v>
      </c>
      <c r="GA13" s="299">
        <v>596</v>
      </c>
      <c r="GB13" s="299">
        <v>104</v>
      </c>
      <c r="GC13" s="299">
        <v>80</v>
      </c>
      <c r="GD13" s="299">
        <v>62</v>
      </c>
      <c r="GE13" s="299">
        <v>67</v>
      </c>
      <c r="GF13" s="299">
        <v>69</v>
      </c>
      <c r="GG13" s="299">
        <v>70</v>
      </c>
      <c r="GH13" s="299">
        <v>129</v>
      </c>
      <c r="GI13" s="299">
        <v>143</v>
      </c>
      <c r="GJ13" s="299">
        <v>163</v>
      </c>
      <c r="GK13" s="299">
        <v>216</v>
      </c>
      <c r="GL13" s="299">
        <v>43</v>
      </c>
      <c r="GM13" s="304">
        <v>122</v>
      </c>
      <c r="GN13" s="304">
        <v>199</v>
      </c>
      <c r="GO13" s="304">
        <v>339</v>
      </c>
      <c r="GP13" s="304">
        <v>381</v>
      </c>
      <c r="GQ13" s="304">
        <v>427</v>
      </c>
      <c r="GR13" s="304">
        <v>486</v>
      </c>
      <c r="GS13" s="299">
        <v>499</v>
      </c>
      <c r="GT13" s="299">
        <v>554</v>
      </c>
      <c r="GU13" s="299">
        <v>610</v>
      </c>
      <c r="GV13" s="299">
        <v>640</v>
      </c>
      <c r="GW13" s="299">
        <v>718</v>
      </c>
      <c r="GX13" s="299">
        <v>955</v>
      </c>
      <c r="GY13" s="304">
        <v>1134</v>
      </c>
      <c r="GZ13" s="304">
        <v>374</v>
      </c>
      <c r="HA13" s="304">
        <v>250</v>
      </c>
      <c r="HB13" s="304">
        <v>298</v>
      </c>
      <c r="HC13" s="304">
        <v>184</v>
      </c>
      <c r="HD13" s="299">
        <v>217</v>
      </c>
      <c r="HE13" s="299">
        <v>218</v>
      </c>
      <c r="HF13" s="299">
        <v>283</v>
      </c>
      <c r="HG13" s="299">
        <v>345</v>
      </c>
      <c r="HH13" s="299">
        <v>0</v>
      </c>
      <c r="HI13" s="299">
        <v>0</v>
      </c>
      <c r="HJ13" s="299">
        <v>0</v>
      </c>
      <c r="HK13" s="299">
        <v>0</v>
      </c>
      <c r="HL13" s="299">
        <v>0</v>
      </c>
      <c r="HM13" s="299">
        <v>0</v>
      </c>
      <c r="HN13" s="299">
        <v>0</v>
      </c>
      <c r="HO13" s="299">
        <v>0</v>
      </c>
      <c r="HP13" s="299">
        <v>0</v>
      </c>
      <c r="HQ13" s="299"/>
      <c r="HR13" s="299">
        <v>554</v>
      </c>
      <c r="HS13" s="299">
        <v>708</v>
      </c>
      <c r="HT13" s="304">
        <v>766</v>
      </c>
      <c r="HU13" s="304">
        <v>929</v>
      </c>
      <c r="HV13" s="304">
        <v>911</v>
      </c>
      <c r="HW13" s="304">
        <v>989</v>
      </c>
      <c r="HX13" s="304">
        <v>1226</v>
      </c>
      <c r="HY13" s="299">
        <v>1262</v>
      </c>
      <c r="HZ13" s="299">
        <v>2046</v>
      </c>
      <c r="IA13" s="299">
        <v>2510</v>
      </c>
      <c r="IB13" s="299">
        <v>2422</v>
      </c>
      <c r="IC13" s="299">
        <v>0</v>
      </c>
      <c r="ID13" s="299">
        <v>0</v>
      </c>
      <c r="IE13" s="304">
        <v>0</v>
      </c>
      <c r="IF13" s="304">
        <v>0</v>
      </c>
      <c r="IG13" s="304">
        <v>0</v>
      </c>
      <c r="IH13" s="304">
        <v>0</v>
      </c>
      <c r="II13" s="304">
        <v>0</v>
      </c>
      <c r="IJ13" s="299">
        <v>0</v>
      </c>
      <c r="IK13" s="299">
        <v>0</v>
      </c>
      <c r="IL13" s="299">
        <v>0</v>
      </c>
      <c r="IM13" s="299">
        <v>0</v>
      </c>
      <c r="IN13" s="299">
        <v>0</v>
      </c>
      <c r="IO13" s="299">
        <v>0</v>
      </c>
      <c r="IP13" s="304">
        <v>0</v>
      </c>
      <c r="IQ13" s="304">
        <v>0</v>
      </c>
      <c r="IR13" s="304">
        <v>0</v>
      </c>
      <c r="IS13" s="304">
        <v>0</v>
      </c>
      <c r="IT13" s="304">
        <v>0</v>
      </c>
      <c r="IU13" s="299">
        <v>0</v>
      </c>
      <c r="IV13" s="299">
        <v>0</v>
      </c>
      <c r="IW13" s="299">
        <v>0</v>
      </c>
      <c r="IX13" s="299">
        <v>0</v>
      </c>
      <c r="IY13" s="299">
        <v>9</v>
      </c>
      <c r="IZ13" s="299">
        <v>0</v>
      </c>
      <c r="JA13" s="299">
        <v>1</v>
      </c>
      <c r="JB13" s="299">
        <v>0</v>
      </c>
      <c r="JC13" s="299">
        <v>2</v>
      </c>
      <c r="JD13" s="299">
        <v>5</v>
      </c>
      <c r="JE13" s="299">
        <v>16</v>
      </c>
      <c r="JF13" s="299">
        <v>35</v>
      </c>
      <c r="JG13" s="299">
        <v>113</v>
      </c>
      <c r="JH13" s="299">
        <v>260</v>
      </c>
      <c r="JI13" s="299">
        <v>484</v>
      </c>
      <c r="JJ13" s="299">
        <v>6420</v>
      </c>
      <c r="JK13" s="299">
        <v>5896</v>
      </c>
      <c r="JL13" s="299">
        <v>5592</v>
      </c>
      <c r="JM13" s="299">
        <v>5635</v>
      </c>
      <c r="JN13" s="299">
        <v>5749</v>
      </c>
      <c r="JO13" s="299">
        <v>8521</v>
      </c>
      <c r="JP13" s="299">
        <v>6142</v>
      </c>
      <c r="JQ13" s="299">
        <v>6532</v>
      </c>
      <c r="JR13" s="299">
        <v>7981</v>
      </c>
      <c r="JS13" s="299">
        <v>9652</v>
      </c>
      <c r="JT13" s="299">
        <v>10401</v>
      </c>
      <c r="JU13" s="299">
        <v>11132</v>
      </c>
      <c r="JV13" s="299">
        <v>9758</v>
      </c>
      <c r="JW13" s="299">
        <v>9492</v>
      </c>
      <c r="JX13" s="299">
        <v>9846</v>
      </c>
      <c r="JY13" s="299">
        <v>12186</v>
      </c>
      <c r="JZ13" s="302">
        <v>14911</v>
      </c>
      <c r="KA13" s="302">
        <v>13620</v>
      </c>
      <c r="KB13" s="299">
        <v>11847</v>
      </c>
      <c r="KC13" s="303">
        <v>14742</v>
      </c>
      <c r="KD13" s="303">
        <v>18098</v>
      </c>
      <c r="KE13" s="472">
        <v>20016</v>
      </c>
    </row>
    <row r="14" spans="1:291" s="155" customFormat="1" ht="12.75" customHeight="1" x14ac:dyDescent="0.2">
      <c r="A14" s="395">
        <v>11</v>
      </c>
      <c r="B14" s="154" t="s">
        <v>234</v>
      </c>
      <c r="C14" s="299">
        <v>16755</v>
      </c>
      <c r="D14" s="299">
        <v>13216</v>
      </c>
      <c r="E14" s="299">
        <v>17961</v>
      </c>
      <c r="F14" s="299">
        <v>21117</v>
      </c>
      <c r="G14" s="299">
        <v>23270</v>
      </c>
      <c r="H14" s="299">
        <v>28116</v>
      </c>
      <c r="I14" s="299">
        <v>36633</v>
      </c>
      <c r="J14" s="299">
        <v>19267</v>
      </c>
      <c r="K14" s="299">
        <v>26296</v>
      </c>
      <c r="L14" s="299">
        <v>32823</v>
      </c>
      <c r="M14" s="299">
        <v>33849</v>
      </c>
      <c r="N14" s="299">
        <v>0</v>
      </c>
      <c r="O14" s="299">
        <v>0</v>
      </c>
      <c r="P14" s="299">
        <v>3341</v>
      </c>
      <c r="Q14" s="299">
        <v>4136</v>
      </c>
      <c r="R14" s="299">
        <v>3249</v>
      </c>
      <c r="S14" s="299">
        <v>3383</v>
      </c>
      <c r="T14" s="299">
        <v>3023</v>
      </c>
      <c r="U14" s="299">
        <v>3234</v>
      </c>
      <c r="V14" s="299">
        <v>3461</v>
      </c>
      <c r="W14" s="299">
        <v>3012</v>
      </c>
      <c r="X14" s="299">
        <v>2245</v>
      </c>
      <c r="Y14" s="299">
        <v>2122</v>
      </c>
      <c r="Z14" s="299">
        <v>2185</v>
      </c>
      <c r="AA14" s="299">
        <v>183</v>
      </c>
      <c r="AB14" s="299">
        <v>192</v>
      </c>
      <c r="AC14" s="299">
        <v>174</v>
      </c>
      <c r="AD14" s="299">
        <v>174</v>
      </c>
      <c r="AE14" s="299">
        <v>171</v>
      </c>
      <c r="AF14" s="299">
        <v>37</v>
      </c>
      <c r="AG14" s="299">
        <v>3</v>
      </c>
      <c r="AH14" s="299">
        <v>2</v>
      </c>
      <c r="AI14" s="299">
        <v>0</v>
      </c>
      <c r="AJ14" s="299">
        <v>0</v>
      </c>
      <c r="AK14" s="299">
        <v>0</v>
      </c>
      <c r="AL14" s="299">
        <v>259</v>
      </c>
      <c r="AM14" s="299">
        <v>177</v>
      </c>
      <c r="AN14" s="299">
        <v>102</v>
      </c>
      <c r="AO14" s="299">
        <v>116</v>
      </c>
      <c r="AP14" s="299">
        <v>207</v>
      </c>
      <c r="AQ14" s="299">
        <v>172</v>
      </c>
      <c r="AR14" s="299">
        <v>195</v>
      </c>
      <c r="AS14" s="299">
        <v>246</v>
      </c>
      <c r="AT14" s="299">
        <v>94</v>
      </c>
      <c r="AU14" s="299">
        <v>206</v>
      </c>
      <c r="AV14" s="299">
        <v>241</v>
      </c>
      <c r="AW14" s="299">
        <v>356</v>
      </c>
      <c r="AX14" s="299">
        <v>104</v>
      </c>
      <c r="AY14" s="299">
        <v>127</v>
      </c>
      <c r="AZ14" s="299">
        <v>148</v>
      </c>
      <c r="BA14" s="299">
        <v>98</v>
      </c>
      <c r="BB14" s="299">
        <v>72</v>
      </c>
      <c r="BC14" s="299">
        <v>52</v>
      </c>
      <c r="BD14" s="299">
        <v>44</v>
      </c>
      <c r="BE14" s="299">
        <v>34</v>
      </c>
      <c r="BF14" s="299">
        <v>36</v>
      </c>
      <c r="BG14" s="299">
        <v>33</v>
      </c>
      <c r="BH14" s="299">
        <v>6175</v>
      </c>
      <c r="BI14" s="299">
        <v>4689</v>
      </c>
      <c r="BJ14" s="299">
        <v>3969</v>
      </c>
      <c r="BK14" s="299">
        <v>3637</v>
      </c>
      <c r="BL14" s="299">
        <v>3642</v>
      </c>
      <c r="BM14" s="299">
        <v>3990</v>
      </c>
      <c r="BN14" s="299">
        <v>4514</v>
      </c>
      <c r="BO14" s="299">
        <v>5306</v>
      </c>
      <c r="BP14" s="299">
        <v>6991</v>
      </c>
      <c r="BQ14" s="299">
        <v>7522</v>
      </c>
      <c r="BR14" s="299">
        <v>7774</v>
      </c>
      <c r="BS14" s="299">
        <v>815</v>
      </c>
      <c r="BT14" s="299">
        <v>914</v>
      </c>
      <c r="BU14" s="304">
        <v>889</v>
      </c>
      <c r="BV14" s="304">
        <v>1133</v>
      </c>
      <c r="BW14" s="304">
        <v>1635</v>
      </c>
      <c r="BX14" s="304">
        <v>2001</v>
      </c>
      <c r="BY14" s="304">
        <v>1731</v>
      </c>
      <c r="BZ14" s="299">
        <v>1934</v>
      </c>
      <c r="CA14" s="299">
        <v>2227</v>
      </c>
      <c r="CB14" s="299">
        <v>2607</v>
      </c>
      <c r="CC14" s="299">
        <v>2699</v>
      </c>
      <c r="CD14" s="299">
        <v>0</v>
      </c>
      <c r="CE14" s="299">
        <v>0</v>
      </c>
      <c r="CF14" s="299">
        <v>0</v>
      </c>
      <c r="CG14" s="299">
        <v>0</v>
      </c>
      <c r="CH14" s="299">
        <v>0</v>
      </c>
      <c r="CI14" s="299">
        <v>3</v>
      </c>
      <c r="CJ14" s="299">
        <v>11</v>
      </c>
      <c r="CK14" s="299">
        <v>9</v>
      </c>
      <c r="CL14" s="299">
        <v>7</v>
      </c>
      <c r="CM14" s="299">
        <v>7</v>
      </c>
      <c r="CN14" s="299">
        <v>2</v>
      </c>
      <c r="CO14" s="299">
        <v>0</v>
      </c>
      <c r="CP14" s="299">
        <v>0</v>
      </c>
      <c r="CQ14" s="299">
        <v>350</v>
      </c>
      <c r="CR14" s="304">
        <v>524</v>
      </c>
      <c r="CS14" s="304">
        <v>847</v>
      </c>
      <c r="CT14" s="304">
        <v>1206</v>
      </c>
      <c r="CU14" s="304">
        <v>1573</v>
      </c>
      <c r="CV14" s="304">
        <v>1776</v>
      </c>
      <c r="CW14" s="304">
        <v>1890</v>
      </c>
      <c r="CX14" s="299">
        <v>1914</v>
      </c>
      <c r="CY14" s="299">
        <v>1957</v>
      </c>
      <c r="CZ14" s="299">
        <v>2047</v>
      </c>
      <c r="DA14" s="299">
        <v>1904</v>
      </c>
      <c r="DB14" s="304">
        <v>153</v>
      </c>
      <c r="DC14" s="304">
        <v>295</v>
      </c>
      <c r="DD14" s="304">
        <v>328</v>
      </c>
      <c r="DE14" s="304">
        <v>226</v>
      </c>
      <c r="DF14" s="304">
        <v>369</v>
      </c>
      <c r="DG14" s="304">
        <v>347</v>
      </c>
      <c r="DH14" s="304">
        <v>539</v>
      </c>
      <c r="DI14" s="299">
        <v>526</v>
      </c>
      <c r="DJ14" s="301" t="s">
        <v>42</v>
      </c>
      <c r="DK14" s="299">
        <v>480</v>
      </c>
      <c r="DL14" s="299">
        <v>470</v>
      </c>
      <c r="DM14" s="299">
        <v>44</v>
      </c>
      <c r="DN14" s="299">
        <v>83</v>
      </c>
      <c r="DO14" s="299">
        <v>40</v>
      </c>
      <c r="DP14" s="299">
        <v>20</v>
      </c>
      <c r="DQ14" s="299">
        <v>-13</v>
      </c>
      <c r="DR14" s="299">
        <v>82</v>
      </c>
      <c r="DS14" s="299">
        <v>90</v>
      </c>
      <c r="DT14" s="299">
        <v>124</v>
      </c>
      <c r="DU14" s="299">
        <v>125</v>
      </c>
      <c r="DV14" s="299">
        <v>0</v>
      </c>
      <c r="DW14" s="299">
        <v>2</v>
      </c>
      <c r="DX14" s="299">
        <v>884</v>
      </c>
      <c r="DY14" s="299">
        <v>1105</v>
      </c>
      <c r="DZ14" s="299">
        <v>635</v>
      </c>
      <c r="EA14" s="299">
        <v>971</v>
      </c>
      <c r="EB14" s="299">
        <v>1187</v>
      </c>
      <c r="EC14" s="299">
        <v>1430</v>
      </c>
      <c r="ED14" s="299">
        <v>1475</v>
      </c>
      <c r="EE14" s="299">
        <v>1591</v>
      </c>
      <c r="EF14" s="299">
        <v>2601</v>
      </c>
      <c r="EG14" s="299">
        <v>3785</v>
      </c>
      <c r="EH14" s="299">
        <v>4563</v>
      </c>
      <c r="EI14" s="299">
        <v>3764</v>
      </c>
      <c r="EJ14" s="299">
        <v>3550</v>
      </c>
      <c r="EK14" s="304">
        <v>4029</v>
      </c>
      <c r="EL14" s="304">
        <v>4424</v>
      </c>
      <c r="EM14" s="304">
        <v>4689</v>
      </c>
      <c r="EN14" s="304">
        <v>5180</v>
      </c>
      <c r="EO14" s="304">
        <v>4796</v>
      </c>
      <c r="EP14" s="299">
        <v>5034</v>
      </c>
      <c r="EQ14" s="299">
        <v>5031</v>
      </c>
      <c r="ER14" s="299">
        <v>5388</v>
      </c>
      <c r="ES14" s="299">
        <v>6699</v>
      </c>
      <c r="ET14" s="299">
        <v>80</v>
      </c>
      <c r="EU14" s="299">
        <v>52</v>
      </c>
      <c r="EV14" s="304">
        <v>65</v>
      </c>
      <c r="EW14" s="304">
        <v>27</v>
      </c>
      <c r="EX14" s="304">
        <v>26</v>
      </c>
      <c r="EY14" s="304">
        <v>0</v>
      </c>
      <c r="EZ14" s="304">
        <v>9</v>
      </c>
      <c r="FA14" s="299">
        <v>3</v>
      </c>
      <c r="FB14" s="299">
        <v>4</v>
      </c>
      <c r="FC14" s="299">
        <v>5</v>
      </c>
      <c r="FD14" s="299">
        <v>19</v>
      </c>
      <c r="FE14" s="299">
        <v>1022</v>
      </c>
      <c r="FF14" s="299">
        <v>1324</v>
      </c>
      <c r="FG14" s="299">
        <v>1290</v>
      </c>
      <c r="FH14" s="299">
        <v>1298</v>
      </c>
      <c r="FI14" s="299">
        <v>1610</v>
      </c>
      <c r="FJ14" s="299">
        <v>1381</v>
      </c>
      <c r="FK14" s="299">
        <v>1262</v>
      </c>
      <c r="FL14" s="299">
        <v>1287</v>
      </c>
      <c r="FM14" s="299">
        <v>1297</v>
      </c>
      <c r="FN14" s="299">
        <v>1362</v>
      </c>
      <c r="FO14" s="299">
        <v>1106</v>
      </c>
      <c r="FP14" s="299">
        <v>760</v>
      </c>
      <c r="FQ14" s="299">
        <v>860</v>
      </c>
      <c r="FR14" s="299">
        <v>958</v>
      </c>
      <c r="FS14" s="299">
        <v>1061</v>
      </c>
      <c r="FT14" s="299">
        <v>993</v>
      </c>
      <c r="FU14" s="299">
        <v>990</v>
      </c>
      <c r="FV14" s="299">
        <v>1218</v>
      </c>
      <c r="FW14" s="299">
        <v>1308</v>
      </c>
      <c r="FX14" s="299">
        <v>1568</v>
      </c>
      <c r="FY14" s="299">
        <v>2126</v>
      </c>
      <c r="FZ14" s="299">
        <v>2434</v>
      </c>
      <c r="GA14" s="299">
        <v>409</v>
      </c>
      <c r="GB14" s="299">
        <v>177</v>
      </c>
      <c r="GC14" s="299">
        <v>158</v>
      </c>
      <c r="GD14" s="299">
        <v>159</v>
      </c>
      <c r="GE14" s="299">
        <v>162</v>
      </c>
      <c r="GF14" s="299">
        <v>180</v>
      </c>
      <c r="GG14" s="299">
        <v>253</v>
      </c>
      <c r="GH14" s="299">
        <v>308</v>
      </c>
      <c r="GI14" s="299">
        <v>496</v>
      </c>
      <c r="GJ14" s="299">
        <v>696</v>
      </c>
      <c r="GK14" s="299">
        <v>832</v>
      </c>
      <c r="GL14" s="299">
        <v>0</v>
      </c>
      <c r="GM14" s="299">
        <v>7</v>
      </c>
      <c r="GN14" s="299">
        <v>20</v>
      </c>
      <c r="GO14" s="299">
        <v>52</v>
      </c>
      <c r="GP14" s="299">
        <v>76</v>
      </c>
      <c r="GQ14" s="299">
        <v>92</v>
      </c>
      <c r="GR14" s="299">
        <v>95</v>
      </c>
      <c r="GS14" s="299">
        <v>108</v>
      </c>
      <c r="GT14" s="299">
        <v>130</v>
      </c>
      <c r="GU14" s="299">
        <v>184</v>
      </c>
      <c r="GV14" s="299">
        <v>232</v>
      </c>
      <c r="GW14" s="299">
        <v>4068</v>
      </c>
      <c r="GX14" s="299">
        <v>5343</v>
      </c>
      <c r="GY14" s="299">
        <v>6495</v>
      </c>
      <c r="GZ14" s="299">
        <v>3270</v>
      </c>
      <c r="HA14" s="299">
        <v>2098</v>
      </c>
      <c r="HB14" s="299">
        <v>2437</v>
      </c>
      <c r="HC14" s="299">
        <v>1404</v>
      </c>
      <c r="HD14" s="299">
        <v>1559</v>
      </c>
      <c r="HE14" s="299">
        <v>1696</v>
      </c>
      <c r="HF14" s="299">
        <v>2010</v>
      </c>
      <c r="HG14" s="299">
        <v>2423</v>
      </c>
      <c r="HH14" s="299">
        <v>526</v>
      </c>
      <c r="HI14" s="299">
        <v>542</v>
      </c>
      <c r="HJ14" s="299">
        <v>524</v>
      </c>
      <c r="HK14" s="299">
        <v>0</v>
      </c>
      <c r="HL14" s="299">
        <v>525</v>
      </c>
      <c r="HM14" s="299">
        <v>521</v>
      </c>
      <c r="HN14" s="299">
        <v>519</v>
      </c>
      <c r="HO14" s="299">
        <v>508</v>
      </c>
      <c r="HP14" s="299">
        <v>497</v>
      </c>
      <c r="HQ14" s="299"/>
      <c r="HR14" s="299">
        <v>2143</v>
      </c>
      <c r="HS14" s="299">
        <v>2354</v>
      </c>
      <c r="HT14" s="299">
        <v>2549</v>
      </c>
      <c r="HU14" s="299">
        <v>2766</v>
      </c>
      <c r="HV14" s="299">
        <v>3359</v>
      </c>
      <c r="HW14" s="299">
        <v>3275</v>
      </c>
      <c r="HX14" s="299">
        <v>4205</v>
      </c>
      <c r="HY14" s="299">
        <v>3823</v>
      </c>
      <c r="HZ14" s="299">
        <v>5111</v>
      </c>
      <c r="IA14" s="299">
        <v>5813</v>
      </c>
      <c r="IB14" s="299">
        <v>5197</v>
      </c>
      <c r="IC14" s="299">
        <v>66</v>
      </c>
      <c r="ID14" s="299">
        <v>66</v>
      </c>
      <c r="IE14" s="304">
        <v>66</v>
      </c>
      <c r="IF14" s="304">
        <v>118</v>
      </c>
      <c r="IG14" s="304">
        <v>118</v>
      </c>
      <c r="IH14" s="304">
        <v>116</v>
      </c>
      <c r="II14" s="304">
        <v>75</v>
      </c>
      <c r="IJ14" s="299">
        <v>75</v>
      </c>
      <c r="IK14" s="299">
        <v>66</v>
      </c>
      <c r="IL14" s="299">
        <v>65</v>
      </c>
      <c r="IM14" s="299">
        <v>31</v>
      </c>
      <c r="IN14" s="299">
        <v>293</v>
      </c>
      <c r="IO14" s="299">
        <v>269</v>
      </c>
      <c r="IP14" s="304">
        <v>302</v>
      </c>
      <c r="IQ14" s="304">
        <v>189</v>
      </c>
      <c r="IR14" s="304">
        <v>117</v>
      </c>
      <c r="IS14" s="304">
        <v>40</v>
      </c>
      <c r="IT14" s="304">
        <v>9</v>
      </c>
      <c r="IU14" s="299">
        <v>5</v>
      </c>
      <c r="IV14" s="299">
        <v>50</v>
      </c>
      <c r="IW14" s="299">
        <v>207</v>
      </c>
      <c r="IX14" s="299">
        <v>480</v>
      </c>
      <c r="IY14" s="299">
        <v>1053</v>
      </c>
      <c r="IZ14" s="299">
        <v>888</v>
      </c>
      <c r="JA14" s="299">
        <v>785</v>
      </c>
      <c r="JB14" s="299">
        <v>801</v>
      </c>
      <c r="JC14" s="299">
        <v>896</v>
      </c>
      <c r="JD14" s="299">
        <v>938</v>
      </c>
      <c r="JE14" s="299">
        <v>1664</v>
      </c>
      <c r="JF14" s="299">
        <v>2050</v>
      </c>
      <c r="JG14" s="299">
        <v>2738</v>
      </c>
      <c r="JH14" s="299">
        <v>3147</v>
      </c>
      <c r="JI14" s="299">
        <v>4100</v>
      </c>
      <c r="JJ14" s="299">
        <v>27180</v>
      </c>
      <c r="JK14" s="299">
        <v>28038</v>
      </c>
      <c r="JL14" s="299">
        <v>27605</v>
      </c>
      <c r="JM14" s="299">
        <v>25242</v>
      </c>
      <c r="JN14" s="299">
        <v>26614</v>
      </c>
      <c r="JO14" s="299">
        <v>28232</v>
      </c>
      <c r="JP14" s="299">
        <v>29367</v>
      </c>
      <c r="JQ14" s="299">
        <v>30734</v>
      </c>
      <c r="JR14" s="299">
        <v>34930</v>
      </c>
      <c r="JS14" s="299">
        <v>39459</v>
      </c>
      <c r="JT14" s="299">
        <v>43081</v>
      </c>
      <c r="JU14" s="299">
        <v>43935</v>
      </c>
      <c r="JV14" s="299">
        <v>41254</v>
      </c>
      <c r="JW14" s="299">
        <v>45566</v>
      </c>
      <c r="JX14" s="299">
        <v>46359</v>
      </c>
      <c r="JY14" s="299">
        <v>49884</v>
      </c>
      <c r="JZ14" s="302">
        <v>56348</v>
      </c>
      <c r="KA14" s="302">
        <v>66000</v>
      </c>
      <c r="KB14" s="299">
        <v>50001</v>
      </c>
      <c r="KC14" s="303">
        <v>61226</v>
      </c>
      <c r="KD14" s="303">
        <v>72282</v>
      </c>
      <c r="KE14" s="472">
        <v>76930</v>
      </c>
    </row>
    <row r="15" spans="1:291" s="155" customFormat="1" ht="12.75" customHeight="1" x14ac:dyDescent="0.2">
      <c r="A15" s="395">
        <v>12</v>
      </c>
      <c r="B15" s="154" t="s">
        <v>235</v>
      </c>
      <c r="C15" s="299">
        <v>67002</v>
      </c>
      <c r="D15" s="299">
        <v>56714</v>
      </c>
      <c r="E15" s="299">
        <v>72056</v>
      </c>
      <c r="F15" s="299">
        <v>72769</v>
      </c>
      <c r="G15" s="299">
        <v>73706</v>
      </c>
      <c r="H15" s="299">
        <v>74314</v>
      </c>
      <c r="I15" s="299">
        <v>83546</v>
      </c>
      <c r="J15" s="299">
        <v>69826</v>
      </c>
      <c r="K15" s="299">
        <v>81832</v>
      </c>
      <c r="L15" s="299">
        <v>83596</v>
      </c>
      <c r="M15" s="299">
        <v>91466</v>
      </c>
      <c r="N15" s="299">
        <v>0</v>
      </c>
      <c r="O15" s="299">
        <v>0</v>
      </c>
      <c r="P15" s="299">
        <v>3263</v>
      </c>
      <c r="Q15" s="299">
        <v>3950</v>
      </c>
      <c r="R15" s="299">
        <v>2569</v>
      </c>
      <c r="S15" s="299">
        <v>2860</v>
      </c>
      <c r="T15" s="299">
        <v>2436</v>
      </c>
      <c r="U15" s="299">
        <v>2458</v>
      </c>
      <c r="V15" s="299">
        <v>2708</v>
      </c>
      <c r="W15" s="299">
        <v>2427</v>
      </c>
      <c r="X15" s="299">
        <v>2190</v>
      </c>
      <c r="Y15" s="299">
        <v>2158</v>
      </c>
      <c r="Z15" s="299">
        <v>2443</v>
      </c>
      <c r="AA15" s="299">
        <v>315</v>
      </c>
      <c r="AB15" s="299">
        <v>193</v>
      </c>
      <c r="AC15" s="299">
        <v>186</v>
      </c>
      <c r="AD15" s="299">
        <v>184</v>
      </c>
      <c r="AE15" s="299">
        <v>180</v>
      </c>
      <c r="AF15" s="299">
        <v>63</v>
      </c>
      <c r="AG15" s="299">
        <v>8</v>
      </c>
      <c r="AH15" s="299">
        <v>6</v>
      </c>
      <c r="AI15" s="299">
        <v>6</v>
      </c>
      <c r="AJ15" s="299">
        <v>6</v>
      </c>
      <c r="AK15" s="299">
        <v>6</v>
      </c>
      <c r="AL15" s="299">
        <v>614</v>
      </c>
      <c r="AM15" s="299">
        <v>415</v>
      </c>
      <c r="AN15" s="299">
        <v>419</v>
      </c>
      <c r="AO15" s="299">
        <v>487</v>
      </c>
      <c r="AP15" s="299">
        <v>644</v>
      </c>
      <c r="AQ15" s="299">
        <v>537</v>
      </c>
      <c r="AR15" s="299">
        <v>647</v>
      </c>
      <c r="AS15" s="299">
        <v>716</v>
      </c>
      <c r="AT15" s="299">
        <v>99</v>
      </c>
      <c r="AU15" s="299">
        <v>258</v>
      </c>
      <c r="AV15" s="299">
        <v>245</v>
      </c>
      <c r="AW15" s="299">
        <v>1060</v>
      </c>
      <c r="AX15" s="299">
        <v>495</v>
      </c>
      <c r="AY15" s="299">
        <v>608</v>
      </c>
      <c r="AZ15" s="299">
        <v>644</v>
      </c>
      <c r="BA15" s="299">
        <v>551</v>
      </c>
      <c r="BB15" s="299">
        <v>497</v>
      </c>
      <c r="BC15" s="299">
        <v>388</v>
      </c>
      <c r="BD15" s="299">
        <v>250</v>
      </c>
      <c r="BE15" s="299">
        <v>96</v>
      </c>
      <c r="BF15" s="299">
        <v>62</v>
      </c>
      <c r="BG15" s="299">
        <v>78</v>
      </c>
      <c r="BH15" s="299">
        <v>2627</v>
      </c>
      <c r="BI15" s="299">
        <v>1631</v>
      </c>
      <c r="BJ15" s="299">
        <v>1360</v>
      </c>
      <c r="BK15" s="299">
        <v>1375</v>
      </c>
      <c r="BL15" s="299">
        <v>1662</v>
      </c>
      <c r="BM15" s="299">
        <v>1915</v>
      </c>
      <c r="BN15" s="299">
        <v>2039</v>
      </c>
      <c r="BO15" s="299">
        <v>2419</v>
      </c>
      <c r="BP15" s="299">
        <v>3580</v>
      </c>
      <c r="BQ15" s="299">
        <v>4532</v>
      </c>
      <c r="BR15" s="299">
        <v>4635</v>
      </c>
      <c r="BS15" s="299">
        <v>1489</v>
      </c>
      <c r="BT15" s="299">
        <v>1374</v>
      </c>
      <c r="BU15" s="299">
        <v>1139</v>
      </c>
      <c r="BV15" s="299">
        <v>1619</v>
      </c>
      <c r="BW15" s="299">
        <v>1744</v>
      </c>
      <c r="BX15" s="299">
        <v>1717</v>
      </c>
      <c r="BY15" s="299">
        <v>1464</v>
      </c>
      <c r="BZ15" s="299">
        <v>1572</v>
      </c>
      <c r="CA15" s="299">
        <v>1807</v>
      </c>
      <c r="CB15" s="299">
        <v>1982</v>
      </c>
      <c r="CC15" s="299">
        <v>2056</v>
      </c>
      <c r="CD15" s="299">
        <v>0</v>
      </c>
      <c r="CE15" s="299">
        <v>0</v>
      </c>
      <c r="CF15" s="299">
        <v>0</v>
      </c>
      <c r="CG15" s="299">
        <v>0</v>
      </c>
      <c r="CH15" s="299">
        <v>0</v>
      </c>
      <c r="CI15" s="299">
        <v>0</v>
      </c>
      <c r="CJ15" s="299">
        <v>34</v>
      </c>
      <c r="CK15" s="299">
        <v>24</v>
      </c>
      <c r="CL15" s="299">
        <v>20</v>
      </c>
      <c r="CM15" s="299">
        <v>20</v>
      </c>
      <c r="CN15" s="299">
        <v>4</v>
      </c>
      <c r="CO15" s="299">
        <v>0</v>
      </c>
      <c r="CP15" s="299">
        <v>0</v>
      </c>
      <c r="CQ15" s="299">
        <v>265</v>
      </c>
      <c r="CR15" s="304">
        <v>550</v>
      </c>
      <c r="CS15" s="304">
        <v>772</v>
      </c>
      <c r="CT15" s="304">
        <v>1212</v>
      </c>
      <c r="CU15" s="304">
        <v>1739</v>
      </c>
      <c r="CV15" s="304">
        <v>2153</v>
      </c>
      <c r="CW15" s="304">
        <v>2440</v>
      </c>
      <c r="CX15" s="299">
        <v>2701</v>
      </c>
      <c r="CY15" s="299">
        <v>2893</v>
      </c>
      <c r="CZ15" s="299">
        <v>3162</v>
      </c>
      <c r="DA15" s="299">
        <v>3002</v>
      </c>
      <c r="DB15" s="304">
        <v>4834</v>
      </c>
      <c r="DC15" s="304">
        <v>7304</v>
      </c>
      <c r="DD15" s="304">
        <v>7801</v>
      </c>
      <c r="DE15" s="304">
        <v>6458</v>
      </c>
      <c r="DF15" s="304">
        <v>7123</v>
      </c>
      <c r="DG15" s="304">
        <v>6740</v>
      </c>
      <c r="DH15" s="304">
        <v>6154</v>
      </c>
      <c r="DI15" s="299">
        <v>6032</v>
      </c>
      <c r="DJ15" s="301" t="s">
        <v>42</v>
      </c>
      <c r="DK15" s="299">
        <v>231</v>
      </c>
      <c r="DL15" s="299">
        <v>291</v>
      </c>
      <c r="DM15" s="299">
        <v>153</v>
      </c>
      <c r="DN15" s="299">
        <v>268</v>
      </c>
      <c r="DO15" s="299">
        <v>275</v>
      </c>
      <c r="DP15" s="299">
        <v>199</v>
      </c>
      <c r="DQ15" s="299">
        <v>124</v>
      </c>
      <c r="DR15" s="299">
        <v>223</v>
      </c>
      <c r="DS15" s="299">
        <v>150</v>
      </c>
      <c r="DT15" s="299">
        <v>159</v>
      </c>
      <c r="DU15" s="299">
        <v>163</v>
      </c>
      <c r="DV15" s="299">
        <v>1</v>
      </c>
      <c r="DW15" s="299">
        <v>5</v>
      </c>
      <c r="DX15" s="299">
        <v>3038</v>
      </c>
      <c r="DY15" s="299">
        <v>3769</v>
      </c>
      <c r="DZ15" s="299">
        <v>2450</v>
      </c>
      <c r="EA15" s="299">
        <v>3533</v>
      </c>
      <c r="EB15" s="299">
        <v>4355</v>
      </c>
      <c r="EC15" s="299">
        <v>4927</v>
      </c>
      <c r="ED15" s="299">
        <v>4819</v>
      </c>
      <c r="EE15" s="299">
        <v>4971</v>
      </c>
      <c r="EF15" s="299">
        <v>13144</v>
      </c>
      <c r="EG15" s="299">
        <v>16178</v>
      </c>
      <c r="EH15" s="299">
        <v>19461</v>
      </c>
      <c r="EI15" s="299">
        <v>4925</v>
      </c>
      <c r="EJ15" s="299">
        <v>4618</v>
      </c>
      <c r="EK15" s="299">
        <v>5209</v>
      </c>
      <c r="EL15" s="299">
        <v>5825</v>
      </c>
      <c r="EM15" s="299">
        <v>6620</v>
      </c>
      <c r="EN15" s="299">
        <v>7693</v>
      </c>
      <c r="EO15" s="299">
        <v>7741</v>
      </c>
      <c r="EP15" s="299">
        <v>7942</v>
      </c>
      <c r="EQ15" s="299">
        <v>7844</v>
      </c>
      <c r="ER15" s="299">
        <v>8488</v>
      </c>
      <c r="ES15" s="299">
        <v>9343</v>
      </c>
      <c r="ET15" s="299">
        <v>257</v>
      </c>
      <c r="EU15" s="299">
        <v>153</v>
      </c>
      <c r="EV15" s="299">
        <v>163</v>
      </c>
      <c r="EW15" s="299">
        <v>69</v>
      </c>
      <c r="EX15" s="299">
        <v>88</v>
      </c>
      <c r="EY15" s="299">
        <v>0</v>
      </c>
      <c r="EZ15" s="299">
        <v>85</v>
      </c>
      <c r="FA15" s="299">
        <v>98</v>
      </c>
      <c r="FB15" s="299">
        <v>91</v>
      </c>
      <c r="FC15" s="299">
        <v>66</v>
      </c>
      <c r="FD15" s="299">
        <v>274</v>
      </c>
      <c r="FE15" s="299">
        <v>2739</v>
      </c>
      <c r="FF15" s="299">
        <v>5310</v>
      </c>
      <c r="FG15" s="299">
        <v>7703</v>
      </c>
      <c r="FH15" s="299">
        <v>9061</v>
      </c>
      <c r="FI15" s="299">
        <v>13000</v>
      </c>
      <c r="FJ15" s="299">
        <v>14357</v>
      </c>
      <c r="FK15" s="299">
        <v>13030</v>
      </c>
      <c r="FL15" s="299">
        <v>14432</v>
      </c>
      <c r="FM15" s="299">
        <v>14992</v>
      </c>
      <c r="FN15" s="299">
        <v>15315</v>
      </c>
      <c r="FO15" s="299">
        <v>15361</v>
      </c>
      <c r="FP15" s="299">
        <v>1848</v>
      </c>
      <c r="FQ15" s="299">
        <v>1938</v>
      </c>
      <c r="FR15" s="299">
        <v>2617</v>
      </c>
      <c r="FS15" s="299">
        <v>2829</v>
      </c>
      <c r="FT15" s="299">
        <v>2714</v>
      </c>
      <c r="FU15" s="299">
        <v>2462</v>
      </c>
      <c r="FV15" s="299">
        <v>3232</v>
      </c>
      <c r="FW15" s="299">
        <v>3392</v>
      </c>
      <c r="FX15" s="299">
        <v>4286</v>
      </c>
      <c r="FY15" s="299">
        <v>6484</v>
      </c>
      <c r="FZ15" s="299">
        <v>8305</v>
      </c>
      <c r="GA15" s="299">
        <v>831</v>
      </c>
      <c r="GB15" s="299">
        <v>288</v>
      </c>
      <c r="GC15" s="299">
        <v>254</v>
      </c>
      <c r="GD15" s="299">
        <v>287</v>
      </c>
      <c r="GE15" s="299">
        <v>332</v>
      </c>
      <c r="GF15" s="299">
        <v>381</v>
      </c>
      <c r="GG15" s="299">
        <v>389</v>
      </c>
      <c r="GH15" s="299">
        <v>472</v>
      </c>
      <c r="GI15" s="299">
        <v>668</v>
      </c>
      <c r="GJ15" s="299">
        <v>842</v>
      </c>
      <c r="GK15" s="299">
        <v>993</v>
      </c>
      <c r="GL15" s="299">
        <v>22</v>
      </c>
      <c r="GM15" s="299">
        <v>96</v>
      </c>
      <c r="GN15" s="299">
        <v>227</v>
      </c>
      <c r="GO15" s="299">
        <v>396</v>
      </c>
      <c r="GP15" s="299">
        <v>568</v>
      </c>
      <c r="GQ15" s="299">
        <v>680</v>
      </c>
      <c r="GR15" s="299">
        <v>718</v>
      </c>
      <c r="GS15" s="299">
        <v>719</v>
      </c>
      <c r="GT15" s="299">
        <v>782</v>
      </c>
      <c r="GU15" s="299">
        <v>862</v>
      </c>
      <c r="GV15" s="299">
        <v>857</v>
      </c>
      <c r="GW15" s="299">
        <v>2875</v>
      </c>
      <c r="GX15" s="299">
        <v>3397</v>
      </c>
      <c r="GY15" s="299">
        <v>4123</v>
      </c>
      <c r="GZ15" s="299">
        <v>1588</v>
      </c>
      <c r="HA15" s="299">
        <v>1590</v>
      </c>
      <c r="HB15" s="299">
        <v>1759</v>
      </c>
      <c r="HC15" s="299">
        <v>1199</v>
      </c>
      <c r="HD15" s="299">
        <v>1346</v>
      </c>
      <c r="HE15" s="299">
        <v>1734</v>
      </c>
      <c r="HF15" s="299">
        <v>1879</v>
      </c>
      <c r="HG15" s="299">
        <v>2176</v>
      </c>
      <c r="HH15" s="299">
        <v>147</v>
      </c>
      <c r="HI15" s="299">
        <v>152</v>
      </c>
      <c r="HJ15" s="299">
        <v>139</v>
      </c>
      <c r="HK15" s="299">
        <v>0</v>
      </c>
      <c r="HL15" s="299">
        <v>140</v>
      </c>
      <c r="HM15" s="299">
        <v>140</v>
      </c>
      <c r="HN15" s="299">
        <v>140</v>
      </c>
      <c r="HO15" s="299">
        <v>140</v>
      </c>
      <c r="HP15" s="299">
        <v>138</v>
      </c>
      <c r="HQ15" s="299"/>
      <c r="HR15" s="299">
        <v>4450</v>
      </c>
      <c r="HS15" s="299">
        <v>5532</v>
      </c>
      <c r="HT15" s="299">
        <v>6233</v>
      </c>
      <c r="HU15" s="299">
        <v>6978</v>
      </c>
      <c r="HV15" s="299">
        <v>7844</v>
      </c>
      <c r="HW15" s="299">
        <v>8615</v>
      </c>
      <c r="HX15" s="299">
        <v>11862</v>
      </c>
      <c r="HY15" s="299">
        <v>9479</v>
      </c>
      <c r="HZ15" s="299">
        <v>13370</v>
      </c>
      <c r="IA15" s="299">
        <v>15643</v>
      </c>
      <c r="IB15" s="299">
        <v>15502</v>
      </c>
      <c r="IC15" s="299">
        <v>278</v>
      </c>
      <c r="ID15" s="299">
        <v>277</v>
      </c>
      <c r="IE15" s="299">
        <v>278</v>
      </c>
      <c r="IF15" s="299">
        <v>160</v>
      </c>
      <c r="IG15" s="299">
        <v>159</v>
      </c>
      <c r="IH15" s="299">
        <v>159</v>
      </c>
      <c r="II15" s="299">
        <v>139</v>
      </c>
      <c r="IJ15" s="299">
        <v>138</v>
      </c>
      <c r="IK15" s="299">
        <v>119</v>
      </c>
      <c r="IL15" s="299">
        <v>110</v>
      </c>
      <c r="IM15" s="299">
        <v>96</v>
      </c>
      <c r="IN15" s="299">
        <v>413</v>
      </c>
      <c r="IO15" s="299">
        <v>395</v>
      </c>
      <c r="IP15" s="299">
        <v>411</v>
      </c>
      <c r="IQ15" s="299">
        <v>148</v>
      </c>
      <c r="IR15" s="299">
        <v>76</v>
      </c>
      <c r="IS15" s="299">
        <v>27</v>
      </c>
      <c r="IT15" s="299">
        <v>7</v>
      </c>
      <c r="IU15" s="299">
        <v>6</v>
      </c>
      <c r="IV15" s="299">
        <v>15</v>
      </c>
      <c r="IW15" s="299">
        <v>70</v>
      </c>
      <c r="IX15" s="299">
        <v>146</v>
      </c>
      <c r="IY15" s="299">
        <v>1714</v>
      </c>
      <c r="IZ15" s="299">
        <v>1253</v>
      </c>
      <c r="JA15" s="299">
        <v>992</v>
      </c>
      <c r="JB15" s="299">
        <v>975</v>
      </c>
      <c r="JC15" s="299">
        <v>1079</v>
      </c>
      <c r="JD15" s="299">
        <v>1137</v>
      </c>
      <c r="JE15" s="299">
        <v>1877</v>
      </c>
      <c r="JF15" s="299">
        <v>1964</v>
      </c>
      <c r="JG15" s="299">
        <v>2726</v>
      </c>
      <c r="JH15" s="299">
        <v>3731</v>
      </c>
      <c r="JI15" s="299">
        <v>5493</v>
      </c>
      <c r="JJ15" s="299">
        <v>38235</v>
      </c>
      <c r="JK15" s="299">
        <v>43381</v>
      </c>
      <c r="JL15" s="299">
        <v>45806</v>
      </c>
      <c r="JM15" s="299">
        <v>46956</v>
      </c>
      <c r="JN15" s="299">
        <v>54919</v>
      </c>
      <c r="JO15" s="299">
        <v>58616</v>
      </c>
      <c r="JP15" s="299">
        <v>61244</v>
      </c>
      <c r="JQ15" s="299">
        <v>61469</v>
      </c>
      <c r="JR15" s="299">
        <v>70750</v>
      </c>
      <c r="JS15" s="299">
        <v>82008</v>
      </c>
      <c r="JT15" s="299">
        <v>90644</v>
      </c>
      <c r="JU15" s="299">
        <v>105237</v>
      </c>
      <c r="JV15" s="299">
        <v>100095</v>
      </c>
      <c r="JW15" s="299">
        <v>117862</v>
      </c>
      <c r="JX15" s="299">
        <v>119725</v>
      </c>
      <c r="JY15" s="299">
        <v>128625</v>
      </c>
      <c r="JZ15" s="302">
        <v>132930</v>
      </c>
      <c r="KA15" s="302">
        <v>144790</v>
      </c>
      <c r="KB15" s="299">
        <v>131295</v>
      </c>
      <c r="KC15" s="303">
        <v>152582</v>
      </c>
      <c r="KD15" s="303">
        <v>165604</v>
      </c>
      <c r="KE15" s="472">
        <v>182110</v>
      </c>
    </row>
    <row r="16" spans="1:291" s="155" customFormat="1" ht="12.75" customHeight="1" x14ac:dyDescent="0.2">
      <c r="A16" s="395">
        <v>13</v>
      </c>
      <c r="B16" s="154" t="s">
        <v>236</v>
      </c>
      <c r="C16" s="299">
        <v>47743</v>
      </c>
      <c r="D16" s="299">
        <v>44301</v>
      </c>
      <c r="E16" s="299">
        <v>46208</v>
      </c>
      <c r="F16" s="299">
        <v>45902</v>
      </c>
      <c r="G16" s="299">
        <v>47387</v>
      </c>
      <c r="H16" s="299">
        <v>42508</v>
      </c>
      <c r="I16" s="299">
        <v>45456</v>
      </c>
      <c r="J16" s="299">
        <v>55596</v>
      </c>
      <c r="K16" s="299">
        <v>54957</v>
      </c>
      <c r="L16" s="299">
        <v>49195</v>
      </c>
      <c r="M16" s="299">
        <v>52438</v>
      </c>
      <c r="N16" s="299">
        <v>0</v>
      </c>
      <c r="O16" s="299">
        <v>0</v>
      </c>
      <c r="P16" s="299">
        <v>2315</v>
      </c>
      <c r="Q16" s="299">
        <v>3061</v>
      </c>
      <c r="R16" s="299">
        <v>2571</v>
      </c>
      <c r="S16" s="299">
        <v>3211</v>
      </c>
      <c r="T16" s="299">
        <v>3023</v>
      </c>
      <c r="U16" s="299">
        <v>3263</v>
      </c>
      <c r="V16" s="299">
        <v>3734</v>
      </c>
      <c r="W16" s="299">
        <v>2696</v>
      </c>
      <c r="X16" s="299">
        <v>2210</v>
      </c>
      <c r="Y16" s="299">
        <v>1986</v>
      </c>
      <c r="Z16" s="299">
        <v>2146</v>
      </c>
      <c r="AA16" s="299">
        <v>268</v>
      </c>
      <c r="AB16" s="299">
        <v>44</v>
      </c>
      <c r="AC16" s="299">
        <v>40</v>
      </c>
      <c r="AD16" s="299">
        <v>40</v>
      </c>
      <c r="AE16" s="299">
        <v>40</v>
      </c>
      <c r="AF16" s="299">
        <v>9</v>
      </c>
      <c r="AG16" s="299">
        <v>1</v>
      </c>
      <c r="AH16" s="299">
        <v>0</v>
      </c>
      <c r="AI16" s="299">
        <v>0</v>
      </c>
      <c r="AJ16" s="299">
        <v>0</v>
      </c>
      <c r="AK16" s="299">
        <v>0</v>
      </c>
      <c r="AL16" s="299">
        <v>952</v>
      </c>
      <c r="AM16" s="299">
        <v>687</v>
      </c>
      <c r="AN16" s="299">
        <v>640</v>
      </c>
      <c r="AO16" s="299">
        <v>857</v>
      </c>
      <c r="AP16" s="299">
        <v>1032</v>
      </c>
      <c r="AQ16" s="299">
        <v>694</v>
      </c>
      <c r="AR16" s="299">
        <v>869</v>
      </c>
      <c r="AS16" s="299">
        <v>1132</v>
      </c>
      <c r="AT16" s="299">
        <v>497</v>
      </c>
      <c r="AU16" s="299">
        <v>919</v>
      </c>
      <c r="AV16" s="299">
        <v>843</v>
      </c>
      <c r="AW16" s="299">
        <v>158</v>
      </c>
      <c r="AX16" s="299">
        <v>67</v>
      </c>
      <c r="AY16" s="299">
        <v>100</v>
      </c>
      <c r="AZ16" s="299">
        <v>145</v>
      </c>
      <c r="BA16" s="299">
        <v>113</v>
      </c>
      <c r="BB16" s="299">
        <v>86</v>
      </c>
      <c r="BC16" s="299">
        <v>116</v>
      </c>
      <c r="BD16" s="299">
        <v>90</v>
      </c>
      <c r="BE16" s="299">
        <v>84</v>
      </c>
      <c r="BF16" s="299">
        <v>89</v>
      </c>
      <c r="BG16" s="299">
        <v>59</v>
      </c>
      <c r="BH16" s="299">
        <v>4611</v>
      </c>
      <c r="BI16" s="299">
        <v>3734</v>
      </c>
      <c r="BJ16" s="299">
        <v>3441</v>
      </c>
      <c r="BK16" s="299">
        <v>3012</v>
      </c>
      <c r="BL16" s="299">
        <v>2740</v>
      </c>
      <c r="BM16" s="299">
        <v>2974</v>
      </c>
      <c r="BN16" s="299">
        <v>3321</v>
      </c>
      <c r="BO16" s="299">
        <v>3372</v>
      </c>
      <c r="BP16" s="299">
        <v>4069</v>
      </c>
      <c r="BQ16" s="299">
        <v>4668</v>
      </c>
      <c r="BR16" s="299">
        <v>4799</v>
      </c>
      <c r="BS16" s="299">
        <v>653</v>
      </c>
      <c r="BT16" s="299">
        <v>833</v>
      </c>
      <c r="BU16" s="304">
        <v>709</v>
      </c>
      <c r="BV16" s="304">
        <v>904</v>
      </c>
      <c r="BW16" s="304">
        <v>1154</v>
      </c>
      <c r="BX16" s="304">
        <v>1268</v>
      </c>
      <c r="BY16" s="304">
        <v>912</v>
      </c>
      <c r="BZ16" s="299">
        <v>1071</v>
      </c>
      <c r="CA16" s="299">
        <v>1315</v>
      </c>
      <c r="CB16" s="299">
        <v>1791</v>
      </c>
      <c r="CC16" s="299">
        <v>1938</v>
      </c>
      <c r="CD16" s="299">
        <v>0</v>
      </c>
      <c r="CE16" s="299">
        <v>0</v>
      </c>
      <c r="CF16" s="299">
        <v>0</v>
      </c>
      <c r="CG16" s="299">
        <v>0</v>
      </c>
      <c r="CH16" s="299">
        <v>0</v>
      </c>
      <c r="CI16" s="299">
        <v>0</v>
      </c>
      <c r="CJ16" s="299">
        <v>2</v>
      </c>
      <c r="CK16" s="299">
        <v>1</v>
      </c>
      <c r="CL16" s="299">
        <v>1</v>
      </c>
      <c r="CM16" s="299">
        <v>1</v>
      </c>
      <c r="CN16" s="299">
        <v>0</v>
      </c>
      <c r="CO16" s="299">
        <v>0</v>
      </c>
      <c r="CP16" s="299">
        <v>0</v>
      </c>
      <c r="CQ16" s="299">
        <v>115</v>
      </c>
      <c r="CR16" s="304">
        <v>220</v>
      </c>
      <c r="CS16" s="304">
        <v>339</v>
      </c>
      <c r="CT16" s="304">
        <v>752</v>
      </c>
      <c r="CU16" s="304">
        <v>1429</v>
      </c>
      <c r="CV16" s="304">
        <v>2081</v>
      </c>
      <c r="CW16" s="304">
        <v>2459</v>
      </c>
      <c r="CX16" s="299">
        <v>2864</v>
      </c>
      <c r="CY16" s="299">
        <v>3526</v>
      </c>
      <c r="CZ16" s="299">
        <v>4152</v>
      </c>
      <c r="DA16" s="299">
        <v>4122</v>
      </c>
      <c r="DB16" s="304">
        <v>1053</v>
      </c>
      <c r="DC16" s="304">
        <v>1537</v>
      </c>
      <c r="DD16" s="304">
        <v>1832</v>
      </c>
      <c r="DE16" s="304">
        <v>1814</v>
      </c>
      <c r="DF16" s="304">
        <v>1539</v>
      </c>
      <c r="DG16" s="304">
        <v>1087</v>
      </c>
      <c r="DH16" s="304">
        <v>1010</v>
      </c>
      <c r="DI16" s="299">
        <v>1050</v>
      </c>
      <c r="DJ16" s="301" t="s">
        <v>42</v>
      </c>
      <c r="DK16" s="299">
        <v>1963</v>
      </c>
      <c r="DL16" s="299">
        <v>1766</v>
      </c>
      <c r="DM16" s="299">
        <v>994</v>
      </c>
      <c r="DN16" s="299">
        <v>1213</v>
      </c>
      <c r="DO16" s="299">
        <v>922</v>
      </c>
      <c r="DP16" s="299">
        <v>794</v>
      </c>
      <c r="DQ16" s="299">
        <v>714</v>
      </c>
      <c r="DR16" s="299">
        <v>917</v>
      </c>
      <c r="DS16" s="299">
        <v>829</v>
      </c>
      <c r="DT16" s="299">
        <v>883</v>
      </c>
      <c r="DU16" s="299">
        <v>881</v>
      </c>
      <c r="DV16" s="299">
        <v>0</v>
      </c>
      <c r="DW16" s="299">
        <v>7</v>
      </c>
      <c r="DX16" s="299">
        <v>6773</v>
      </c>
      <c r="DY16" s="299">
        <v>8557</v>
      </c>
      <c r="DZ16" s="299">
        <v>5850</v>
      </c>
      <c r="EA16" s="299">
        <v>8322</v>
      </c>
      <c r="EB16" s="299">
        <v>10313</v>
      </c>
      <c r="EC16" s="299">
        <v>12149</v>
      </c>
      <c r="ED16" s="299">
        <v>10824</v>
      </c>
      <c r="EE16" s="299">
        <v>9358</v>
      </c>
      <c r="EF16" s="299">
        <v>10877</v>
      </c>
      <c r="EG16" s="299">
        <v>12367</v>
      </c>
      <c r="EH16" s="299">
        <v>13233</v>
      </c>
      <c r="EI16" s="299">
        <v>10383</v>
      </c>
      <c r="EJ16" s="299">
        <v>8944</v>
      </c>
      <c r="EK16" s="299">
        <v>9885</v>
      </c>
      <c r="EL16" s="299">
        <v>10777</v>
      </c>
      <c r="EM16" s="299">
        <v>11662</v>
      </c>
      <c r="EN16" s="299">
        <v>13039</v>
      </c>
      <c r="EO16" s="299">
        <v>12354</v>
      </c>
      <c r="EP16" s="299">
        <v>13623</v>
      </c>
      <c r="EQ16" s="299">
        <v>14761</v>
      </c>
      <c r="ER16" s="299">
        <v>16040</v>
      </c>
      <c r="ES16" s="299">
        <v>19176</v>
      </c>
      <c r="ET16" s="299">
        <v>179</v>
      </c>
      <c r="EU16" s="299">
        <v>96</v>
      </c>
      <c r="EV16" s="299">
        <v>105</v>
      </c>
      <c r="EW16" s="299">
        <v>36</v>
      </c>
      <c r="EX16" s="299">
        <v>36</v>
      </c>
      <c r="EY16" s="299">
        <v>0</v>
      </c>
      <c r="EZ16" s="299">
        <v>10</v>
      </c>
      <c r="FA16" s="299">
        <v>2</v>
      </c>
      <c r="FB16" s="299">
        <v>2</v>
      </c>
      <c r="FC16" s="299">
        <v>1</v>
      </c>
      <c r="FD16" s="299">
        <v>6</v>
      </c>
      <c r="FE16" s="299">
        <v>201</v>
      </c>
      <c r="FF16" s="299">
        <v>240</v>
      </c>
      <c r="FG16" s="299">
        <v>255</v>
      </c>
      <c r="FH16" s="299">
        <v>216</v>
      </c>
      <c r="FI16" s="299">
        <v>200</v>
      </c>
      <c r="FJ16" s="299">
        <v>199</v>
      </c>
      <c r="FK16" s="299">
        <v>198</v>
      </c>
      <c r="FL16" s="299">
        <v>199</v>
      </c>
      <c r="FM16" s="299">
        <v>228</v>
      </c>
      <c r="FN16" s="299">
        <v>226</v>
      </c>
      <c r="FO16" s="299">
        <v>289</v>
      </c>
      <c r="FP16" s="299">
        <v>1125</v>
      </c>
      <c r="FQ16" s="299">
        <v>1267</v>
      </c>
      <c r="FR16" s="299">
        <v>1554</v>
      </c>
      <c r="FS16" s="299">
        <v>1835</v>
      </c>
      <c r="FT16" s="299">
        <v>1651</v>
      </c>
      <c r="FU16" s="299">
        <v>1627</v>
      </c>
      <c r="FV16" s="299">
        <v>2296</v>
      </c>
      <c r="FW16" s="299">
        <v>2313</v>
      </c>
      <c r="FX16" s="299">
        <v>2686</v>
      </c>
      <c r="FY16" s="299">
        <v>4072</v>
      </c>
      <c r="FZ16" s="299">
        <v>5276</v>
      </c>
      <c r="GA16" s="299">
        <v>1788</v>
      </c>
      <c r="GB16" s="299">
        <v>727</v>
      </c>
      <c r="GC16" s="299">
        <v>747</v>
      </c>
      <c r="GD16" s="299">
        <v>777</v>
      </c>
      <c r="GE16" s="299">
        <v>1068</v>
      </c>
      <c r="GF16" s="299">
        <v>1276</v>
      </c>
      <c r="GG16" s="299">
        <v>1442</v>
      </c>
      <c r="GH16" s="299">
        <v>1621</v>
      </c>
      <c r="GI16" s="299">
        <v>2584</v>
      </c>
      <c r="GJ16" s="299">
        <v>3939</v>
      </c>
      <c r="GK16" s="299">
        <v>5525</v>
      </c>
      <c r="GL16" s="299">
        <v>0</v>
      </c>
      <c r="GM16" s="299">
        <v>0</v>
      </c>
      <c r="GN16" s="299">
        <v>0</v>
      </c>
      <c r="GO16" s="299">
        <v>0</v>
      </c>
      <c r="GP16" s="299">
        <v>0</v>
      </c>
      <c r="GQ16" s="299">
        <v>0</v>
      </c>
      <c r="GR16" s="299">
        <v>0</v>
      </c>
      <c r="GS16" s="299">
        <v>1</v>
      </c>
      <c r="GT16" s="299">
        <v>21</v>
      </c>
      <c r="GU16" s="299">
        <v>41</v>
      </c>
      <c r="GV16" s="299">
        <v>55</v>
      </c>
      <c r="GW16" s="299">
        <v>2831</v>
      </c>
      <c r="GX16" s="299">
        <v>3538</v>
      </c>
      <c r="GY16" s="299">
        <v>4764</v>
      </c>
      <c r="GZ16" s="299">
        <v>2476</v>
      </c>
      <c r="HA16" s="299">
        <v>1935</v>
      </c>
      <c r="HB16" s="299">
        <v>2502</v>
      </c>
      <c r="HC16" s="299">
        <v>1828</v>
      </c>
      <c r="HD16" s="299">
        <v>2053</v>
      </c>
      <c r="HE16" s="299">
        <v>2490</v>
      </c>
      <c r="HF16" s="299">
        <v>3075</v>
      </c>
      <c r="HG16" s="299">
        <v>3960</v>
      </c>
      <c r="HH16" s="299">
        <v>0</v>
      </c>
      <c r="HI16" s="299">
        <v>0</v>
      </c>
      <c r="HJ16" s="299">
        <v>0</v>
      </c>
      <c r="HK16" s="299">
        <v>0</v>
      </c>
      <c r="HL16" s="299">
        <v>0</v>
      </c>
      <c r="HM16" s="299">
        <v>0</v>
      </c>
      <c r="HN16" s="299">
        <v>0</v>
      </c>
      <c r="HO16" s="299">
        <v>0</v>
      </c>
      <c r="HP16" s="299">
        <v>0</v>
      </c>
      <c r="HQ16" s="299"/>
      <c r="HR16" s="299">
        <v>5774</v>
      </c>
      <c r="HS16" s="299">
        <v>6302</v>
      </c>
      <c r="HT16" s="304">
        <v>6482</v>
      </c>
      <c r="HU16" s="304">
        <v>7706</v>
      </c>
      <c r="HV16" s="304">
        <v>8577</v>
      </c>
      <c r="HW16" s="304">
        <v>8571</v>
      </c>
      <c r="HX16" s="304">
        <v>10826</v>
      </c>
      <c r="HY16" s="299">
        <v>9654</v>
      </c>
      <c r="HZ16" s="299">
        <v>14756</v>
      </c>
      <c r="IA16" s="299">
        <v>18046</v>
      </c>
      <c r="IB16" s="299">
        <v>19047</v>
      </c>
      <c r="IC16" s="299">
        <v>63</v>
      </c>
      <c r="ID16" s="299">
        <v>58</v>
      </c>
      <c r="IE16" s="299">
        <v>58</v>
      </c>
      <c r="IF16" s="299">
        <v>51</v>
      </c>
      <c r="IG16" s="299">
        <v>51</v>
      </c>
      <c r="IH16" s="299">
        <v>51</v>
      </c>
      <c r="II16" s="299">
        <v>41</v>
      </c>
      <c r="IJ16" s="299">
        <v>41</v>
      </c>
      <c r="IK16" s="299">
        <v>36</v>
      </c>
      <c r="IL16" s="299">
        <v>35</v>
      </c>
      <c r="IM16" s="299">
        <v>13</v>
      </c>
      <c r="IN16" s="299">
        <v>459</v>
      </c>
      <c r="IO16" s="299">
        <v>534</v>
      </c>
      <c r="IP16" s="299">
        <v>560</v>
      </c>
      <c r="IQ16" s="299">
        <v>249</v>
      </c>
      <c r="IR16" s="299">
        <v>144</v>
      </c>
      <c r="IS16" s="299">
        <v>45</v>
      </c>
      <c r="IT16" s="299">
        <v>2</v>
      </c>
      <c r="IU16" s="299">
        <v>1</v>
      </c>
      <c r="IV16" s="299">
        <v>1</v>
      </c>
      <c r="IW16" s="299">
        <v>1</v>
      </c>
      <c r="IX16" s="299">
        <v>2</v>
      </c>
      <c r="IY16" s="299">
        <v>3747</v>
      </c>
      <c r="IZ16" s="299">
        <v>2812</v>
      </c>
      <c r="JA16" s="299">
        <v>2494</v>
      </c>
      <c r="JB16" s="299">
        <v>2792</v>
      </c>
      <c r="JC16" s="299">
        <v>2501</v>
      </c>
      <c r="JD16" s="299">
        <v>2121</v>
      </c>
      <c r="JE16" s="299">
        <v>3226</v>
      </c>
      <c r="JF16" s="299">
        <v>2502</v>
      </c>
      <c r="JG16" s="299">
        <v>3399</v>
      </c>
      <c r="JH16" s="299">
        <v>4048</v>
      </c>
      <c r="JI16" s="299">
        <v>5469</v>
      </c>
      <c r="JJ16" s="299">
        <v>45411</v>
      </c>
      <c r="JK16" s="299">
        <v>45024</v>
      </c>
      <c r="JL16" s="299">
        <v>43420</v>
      </c>
      <c r="JM16" s="299">
        <v>47185</v>
      </c>
      <c r="JN16" s="299">
        <v>50130</v>
      </c>
      <c r="JO16" s="299">
        <v>53836</v>
      </c>
      <c r="JP16" s="299">
        <v>56185</v>
      </c>
      <c r="JQ16" s="299">
        <v>54561</v>
      </c>
      <c r="JR16" s="299">
        <v>64372</v>
      </c>
      <c r="JS16" s="299">
        <v>76380</v>
      </c>
      <c r="JT16" s="299">
        <v>86846</v>
      </c>
      <c r="JU16" s="299">
        <v>93154</v>
      </c>
      <c r="JV16" s="299">
        <v>89325</v>
      </c>
      <c r="JW16" s="299">
        <v>89628</v>
      </c>
      <c r="JX16" s="299">
        <v>93087</v>
      </c>
      <c r="JY16" s="299">
        <v>97517</v>
      </c>
      <c r="JZ16" s="302">
        <v>96344</v>
      </c>
      <c r="KA16" s="302">
        <v>101641</v>
      </c>
      <c r="KB16" s="299">
        <v>110157</v>
      </c>
      <c r="KC16" s="303">
        <v>119329</v>
      </c>
      <c r="KD16" s="303">
        <v>125575</v>
      </c>
      <c r="KE16" s="472">
        <v>139284</v>
      </c>
    </row>
    <row r="17" spans="1:291" s="155" customFormat="1" ht="13.5" customHeight="1" x14ac:dyDescent="0.2">
      <c r="A17" s="395">
        <v>14</v>
      </c>
      <c r="B17" s="154" t="s">
        <v>237</v>
      </c>
      <c r="C17" s="299">
        <v>47498</v>
      </c>
      <c r="D17" s="299">
        <v>43212</v>
      </c>
      <c r="E17" s="299">
        <v>48529</v>
      </c>
      <c r="F17" s="299">
        <v>48091</v>
      </c>
      <c r="G17" s="299">
        <v>43660</v>
      </c>
      <c r="H17" s="299">
        <v>48163</v>
      </c>
      <c r="I17" s="299">
        <v>62349</v>
      </c>
      <c r="J17" s="299">
        <v>81359</v>
      </c>
      <c r="K17" s="299">
        <v>87515</v>
      </c>
      <c r="L17" s="299">
        <v>65099</v>
      </c>
      <c r="M17" s="299">
        <v>70610</v>
      </c>
      <c r="N17" s="299">
        <v>0</v>
      </c>
      <c r="O17" s="299">
        <v>0</v>
      </c>
      <c r="P17" s="299">
        <v>4476</v>
      </c>
      <c r="Q17" s="299">
        <v>5537</v>
      </c>
      <c r="R17" s="299">
        <v>3859</v>
      </c>
      <c r="S17" s="299">
        <v>4015</v>
      </c>
      <c r="T17" s="299">
        <v>3451</v>
      </c>
      <c r="U17" s="299">
        <v>3745</v>
      </c>
      <c r="V17" s="299">
        <v>4376</v>
      </c>
      <c r="W17" s="299">
        <v>3784</v>
      </c>
      <c r="X17" s="299">
        <v>2751</v>
      </c>
      <c r="Y17" s="299">
        <v>2553</v>
      </c>
      <c r="Z17" s="299">
        <v>2725</v>
      </c>
      <c r="AA17" s="299">
        <v>500</v>
      </c>
      <c r="AB17" s="299">
        <v>384</v>
      </c>
      <c r="AC17" s="299">
        <v>367</v>
      </c>
      <c r="AD17" s="299">
        <v>364</v>
      </c>
      <c r="AE17" s="299">
        <v>353</v>
      </c>
      <c r="AF17" s="299">
        <v>81</v>
      </c>
      <c r="AG17" s="299">
        <v>26</v>
      </c>
      <c r="AH17" s="299">
        <v>17</v>
      </c>
      <c r="AI17" s="299">
        <v>16</v>
      </c>
      <c r="AJ17" s="299">
        <v>16</v>
      </c>
      <c r="AK17" s="299">
        <v>16</v>
      </c>
      <c r="AL17" s="299">
        <v>338</v>
      </c>
      <c r="AM17" s="299">
        <v>333</v>
      </c>
      <c r="AN17" s="299">
        <v>307</v>
      </c>
      <c r="AO17" s="299">
        <v>471</v>
      </c>
      <c r="AP17" s="299">
        <v>642</v>
      </c>
      <c r="AQ17" s="299">
        <v>420</v>
      </c>
      <c r="AR17" s="299">
        <v>443</v>
      </c>
      <c r="AS17" s="299">
        <v>494</v>
      </c>
      <c r="AT17" s="299">
        <v>107</v>
      </c>
      <c r="AU17" s="299">
        <v>208</v>
      </c>
      <c r="AV17" s="299">
        <v>327</v>
      </c>
      <c r="AW17" s="299">
        <v>563</v>
      </c>
      <c r="AX17" s="299">
        <v>303</v>
      </c>
      <c r="AY17" s="299">
        <v>438</v>
      </c>
      <c r="AZ17" s="299">
        <v>516</v>
      </c>
      <c r="BA17" s="299">
        <v>417</v>
      </c>
      <c r="BB17" s="299">
        <v>340</v>
      </c>
      <c r="BC17" s="299">
        <v>221</v>
      </c>
      <c r="BD17" s="299">
        <v>163</v>
      </c>
      <c r="BE17" s="299">
        <v>104</v>
      </c>
      <c r="BF17" s="299">
        <v>128</v>
      </c>
      <c r="BG17" s="299">
        <v>139</v>
      </c>
      <c r="BH17" s="299">
        <v>5238</v>
      </c>
      <c r="BI17" s="299">
        <v>3982</v>
      </c>
      <c r="BJ17" s="299">
        <v>3296</v>
      </c>
      <c r="BK17" s="299">
        <v>2882</v>
      </c>
      <c r="BL17" s="299">
        <v>2808</v>
      </c>
      <c r="BM17" s="299">
        <v>3265</v>
      </c>
      <c r="BN17" s="299">
        <v>3791</v>
      </c>
      <c r="BO17" s="299">
        <v>4146</v>
      </c>
      <c r="BP17" s="299">
        <v>5734</v>
      </c>
      <c r="BQ17" s="299">
        <v>7078</v>
      </c>
      <c r="BR17" s="299">
        <v>7311</v>
      </c>
      <c r="BS17" s="299">
        <v>540</v>
      </c>
      <c r="BT17" s="299">
        <v>631</v>
      </c>
      <c r="BU17" s="304">
        <v>563</v>
      </c>
      <c r="BV17" s="304">
        <v>966</v>
      </c>
      <c r="BW17" s="304">
        <v>1446</v>
      </c>
      <c r="BX17" s="304">
        <v>374</v>
      </c>
      <c r="BY17" s="304">
        <v>1121</v>
      </c>
      <c r="BZ17" s="299">
        <v>1221</v>
      </c>
      <c r="CA17" s="299">
        <v>1468</v>
      </c>
      <c r="CB17" s="299">
        <v>1597</v>
      </c>
      <c r="CC17" s="299">
        <v>1520</v>
      </c>
      <c r="CD17" s="299">
        <v>0</v>
      </c>
      <c r="CE17" s="299">
        <v>0</v>
      </c>
      <c r="CF17" s="299">
        <v>0</v>
      </c>
      <c r="CG17" s="299">
        <v>0</v>
      </c>
      <c r="CH17" s="299">
        <v>0</v>
      </c>
      <c r="CI17" s="299">
        <v>5</v>
      </c>
      <c r="CJ17" s="299">
        <v>21</v>
      </c>
      <c r="CK17" s="299">
        <v>17</v>
      </c>
      <c r="CL17" s="299">
        <v>12</v>
      </c>
      <c r="CM17" s="299">
        <v>12</v>
      </c>
      <c r="CN17" s="299">
        <v>2</v>
      </c>
      <c r="CO17" s="299">
        <v>0</v>
      </c>
      <c r="CP17" s="299">
        <v>0</v>
      </c>
      <c r="CQ17" s="299">
        <v>210</v>
      </c>
      <c r="CR17" s="304">
        <v>395</v>
      </c>
      <c r="CS17" s="304">
        <v>619</v>
      </c>
      <c r="CT17" s="304">
        <v>973</v>
      </c>
      <c r="CU17" s="304">
        <v>1428</v>
      </c>
      <c r="CV17" s="304">
        <v>1734</v>
      </c>
      <c r="CW17" s="304">
        <v>1961</v>
      </c>
      <c r="CX17" s="299">
        <v>2176</v>
      </c>
      <c r="CY17" s="299">
        <v>2270</v>
      </c>
      <c r="CZ17" s="299">
        <v>2448</v>
      </c>
      <c r="DA17" s="299">
        <v>2272</v>
      </c>
      <c r="DB17" s="304">
        <v>893</v>
      </c>
      <c r="DC17" s="304">
        <v>1643</v>
      </c>
      <c r="DD17" s="304">
        <v>2252</v>
      </c>
      <c r="DE17" s="304">
        <v>1939</v>
      </c>
      <c r="DF17" s="304">
        <v>1921</v>
      </c>
      <c r="DG17" s="304">
        <v>1144</v>
      </c>
      <c r="DH17" s="304">
        <v>905</v>
      </c>
      <c r="DI17" s="299">
        <v>859</v>
      </c>
      <c r="DJ17" s="301" t="s">
        <v>42</v>
      </c>
      <c r="DK17" s="299">
        <v>833</v>
      </c>
      <c r="DL17" s="299">
        <v>939</v>
      </c>
      <c r="DM17" s="299">
        <v>521</v>
      </c>
      <c r="DN17" s="299">
        <v>625</v>
      </c>
      <c r="DO17" s="299">
        <v>300</v>
      </c>
      <c r="DP17" s="299">
        <v>48</v>
      </c>
      <c r="DQ17" s="299">
        <v>61</v>
      </c>
      <c r="DR17" s="299">
        <v>298</v>
      </c>
      <c r="DS17" s="299">
        <v>595</v>
      </c>
      <c r="DT17" s="299">
        <v>710</v>
      </c>
      <c r="DU17" s="299">
        <v>698</v>
      </c>
      <c r="DV17" s="299">
        <v>0</v>
      </c>
      <c r="DW17" s="299">
        <v>1</v>
      </c>
      <c r="DX17" s="299">
        <v>2778</v>
      </c>
      <c r="DY17" s="299">
        <v>3629</v>
      </c>
      <c r="DZ17" s="299">
        <v>2476</v>
      </c>
      <c r="EA17" s="299">
        <v>3593</v>
      </c>
      <c r="EB17" s="299">
        <v>4651</v>
      </c>
      <c r="EC17" s="299">
        <v>5710</v>
      </c>
      <c r="ED17" s="299">
        <v>6079</v>
      </c>
      <c r="EE17" s="299">
        <v>5834</v>
      </c>
      <c r="EF17" s="299">
        <v>7034</v>
      </c>
      <c r="EG17" s="299">
        <v>7890</v>
      </c>
      <c r="EH17" s="299">
        <v>9065</v>
      </c>
      <c r="EI17" s="299">
        <v>4323</v>
      </c>
      <c r="EJ17" s="299">
        <v>4499</v>
      </c>
      <c r="EK17" s="299">
        <v>5347</v>
      </c>
      <c r="EL17" s="299">
        <v>6164</v>
      </c>
      <c r="EM17" s="299">
        <v>7219</v>
      </c>
      <c r="EN17" s="299">
        <v>8295</v>
      </c>
      <c r="EO17" s="299">
        <v>8239</v>
      </c>
      <c r="EP17" s="299">
        <v>8343</v>
      </c>
      <c r="EQ17" s="299">
        <v>8897</v>
      </c>
      <c r="ER17" s="299">
        <v>9195</v>
      </c>
      <c r="ES17" s="299">
        <v>10404</v>
      </c>
      <c r="ET17" s="299">
        <v>290</v>
      </c>
      <c r="EU17" s="299">
        <v>79</v>
      </c>
      <c r="EV17" s="299">
        <v>90</v>
      </c>
      <c r="EW17" s="299">
        <v>6</v>
      </c>
      <c r="EX17" s="299">
        <v>6</v>
      </c>
      <c r="EY17" s="299">
        <v>0</v>
      </c>
      <c r="EZ17" s="299">
        <v>3</v>
      </c>
      <c r="FA17" s="299">
        <v>5</v>
      </c>
      <c r="FB17" s="299">
        <v>4</v>
      </c>
      <c r="FC17" s="299">
        <v>4</v>
      </c>
      <c r="FD17" s="299">
        <v>83</v>
      </c>
      <c r="FE17" s="299">
        <v>960</v>
      </c>
      <c r="FF17" s="299">
        <v>1396</v>
      </c>
      <c r="FG17" s="299">
        <v>1555</v>
      </c>
      <c r="FH17" s="299">
        <v>1840</v>
      </c>
      <c r="FI17" s="299">
        <v>2551</v>
      </c>
      <c r="FJ17" s="299">
        <v>2659</v>
      </c>
      <c r="FK17" s="299">
        <v>2324</v>
      </c>
      <c r="FL17" s="299">
        <v>2344</v>
      </c>
      <c r="FM17" s="299">
        <v>2900</v>
      </c>
      <c r="FN17" s="299">
        <v>3300</v>
      </c>
      <c r="FO17" s="299">
        <v>3176</v>
      </c>
      <c r="FP17" s="299">
        <v>1220</v>
      </c>
      <c r="FQ17" s="299">
        <v>1252</v>
      </c>
      <c r="FR17" s="299">
        <v>1411</v>
      </c>
      <c r="FS17" s="299">
        <v>1433</v>
      </c>
      <c r="FT17" s="299">
        <v>1274</v>
      </c>
      <c r="FU17" s="299">
        <v>1025</v>
      </c>
      <c r="FV17" s="299">
        <v>1181</v>
      </c>
      <c r="FW17" s="299">
        <v>1400</v>
      </c>
      <c r="FX17" s="299">
        <v>1331</v>
      </c>
      <c r="FY17" s="299">
        <v>2803</v>
      </c>
      <c r="FZ17" s="299">
        <v>3724</v>
      </c>
      <c r="GA17" s="299">
        <v>349</v>
      </c>
      <c r="GB17" s="299">
        <v>250</v>
      </c>
      <c r="GC17" s="299">
        <v>201</v>
      </c>
      <c r="GD17" s="299">
        <v>271</v>
      </c>
      <c r="GE17" s="299">
        <v>324</v>
      </c>
      <c r="GF17" s="299">
        <v>422</v>
      </c>
      <c r="GG17" s="299">
        <v>454</v>
      </c>
      <c r="GH17" s="299">
        <v>532</v>
      </c>
      <c r="GI17" s="299">
        <v>748</v>
      </c>
      <c r="GJ17" s="299">
        <v>1111</v>
      </c>
      <c r="GK17" s="299">
        <v>1648</v>
      </c>
      <c r="GL17" s="299">
        <v>215</v>
      </c>
      <c r="GM17" s="299">
        <v>487</v>
      </c>
      <c r="GN17" s="299">
        <v>787</v>
      </c>
      <c r="GO17" s="299">
        <v>1217</v>
      </c>
      <c r="GP17" s="299">
        <v>1458</v>
      </c>
      <c r="GQ17" s="299">
        <v>1562</v>
      </c>
      <c r="GR17" s="299">
        <v>1590</v>
      </c>
      <c r="GS17" s="299">
        <v>1643</v>
      </c>
      <c r="GT17" s="299">
        <v>1615</v>
      </c>
      <c r="GU17" s="299">
        <v>1610</v>
      </c>
      <c r="GV17" s="299">
        <v>1569</v>
      </c>
      <c r="GW17" s="299">
        <v>8383</v>
      </c>
      <c r="GX17" s="299">
        <v>9563</v>
      </c>
      <c r="GY17" s="299">
        <v>11922</v>
      </c>
      <c r="GZ17" s="299">
        <v>4888</v>
      </c>
      <c r="HA17" s="299">
        <v>4050</v>
      </c>
      <c r="HB17" s="299">
        <v>4741</v>
      </c>
      <c r="HC17" s="299">
        <v>3062</v>
      </c>
      <c r="HD17" s="299">
        <v>3269</v>
      </c>
      <c r="HE17" s="299">
        <v>3908</v>
      </c>
      <c r="HF17" s="299">
        <v>4429</v>
      </c>
      <c r="HG17" s="299">
        <v>4575</v>
      </c>
      <c r="HH17" s="299">
        <v>445</v>
      </c>
      <c r="HI17" s="299">
        <v>461</v>
      </c>
      <c r="HJ17" s="299">
        <v>446</v>
      </c>
      <c r="HK17" s="299">
        <v>0</v>
      </c>
      <c r="HL17" s="299">
        <v>447</v>
      </c>
      <c r="HM17" s="299">
        <v>443</v>
      </c>
      <c r="HN17" s="299">
        <v>443</v>
      </c>
      <c r="HO17" s="299">
        <v>440</v>
      </c>
      <c r="HP17" s="299">
        <v>433</v>
      </c>
      <c r="HQ17" s="299"/>
      <c r="HR17" s="299">
        <v>4404</v>
      </c>
      <c r="HS17" s="299">
        <v>5116</v>
      </c>
      <c r="HT17" s="299">
        <v>5109</v>
      </c>
      <c r="HU17" s="299">
        <v>5575</v>
      </c>
      <c r="HV17" s="299">
        <v>6185</v>
      </c>
      <c r="HW17" s="299">
        <v>6980</v>
      </c>
      <c r="HX17" s="299">
        <v>9363</v>
      </c>
      <c r="HY17" s="299">
        <v>7813</v>
      </c>
      <c r="HZ17" s="299">
        <v>11098</v>
      </c>
      <c r="IA17" s="299">
        <v>13550</v>
      </c>
      <c r="IB17" s="299">
        <v>13123</v>
      </c>
      <c r="IC17" s="299">
        <v>155</v>
      </c>
      <c r="ID17" s="299">
        <v>153</v>
      </c>
      <c r="IE17" s="299">
        <v>153</v>
      </c>
      <c r="IF17" s="299">
        <v>199</v>
      </c>
      <c r="IG17" s="299">
        <v>197</v>
      </c>
      <c r="IH17" s="299">
        <v>197</v>
      </c>
      <c r="II17" s="299">
        <v>127</v>
      </c>
      <c r="IJ17" s="299">
        <v>127</v>
      </c>
      <c r="IK17" s="299">
        <v>126</v>
      </c>
      <c r="IL17" s="299">
        <v>123</v>
      </c>
      <c r="IM17" s="299">
        <v>49</v>
      </c>
      <c r="IN17" s="299">
        <v>636</v>
      </c>
      <c r="IO17" s="299">
        <v>776</v>
      </c>
      <c r="IP17" s="299">
        <v>826</v>
      </c>
      <c r="IQ17" s="299">
        <v>408</v>
      </c>
      <c r="IR17" s="299">
        <v>237</v>
      </c>
      <c r="IS17" s="299">
        <v>76</v>
      </c>
      <c r="IT17" s="299">
        <v>2</v>
      </c>
      <c r="IU17" s="299">
        <v>2</v>
      </c>
      <c r="IV17" s="299">
        <v>15</v>
      </c>
      <c r="IW17" s="299">
        <v>66</v>
      </c>
      <c r="IX17" s="299">
        <v>203</v>
      </c>
      <c r="IY17" s="299">
        <v>323</v>
      </c>
      <c r="IZ17" s="299">
        <v>215</v>
      </c>
      <c r="JA17" s="299">
        <v>225</v>
      </c>
      <c r="JB17" s="299">
        <v>166</v>
      </c>
      <c r="JC17" s="299">
        <v>237</v>
      </c>
      <c r="JD17" s="299">
        <v>325</v>
      </c>
      <c r="JE17" s="299">
        <v>645</v>
      </c>
      <c r="JF17" s="299">
        <v>641</v>
      </c>
      <c r="JG17" s="299">
        <v>1501</v>
      </c>
      <c r="JH17" s="299">
        <v>2295</v>
      </c>
      <c r="JI17" s="299">
        <v>3699</v>
      </c>
      <c r="JJ17" s="299">
        <v>38072</v>
      </c>
      <c r="JK17" s="299">
        <v>42023</v>
      </c>
      <c r="JL17" s="299">
        <v>42770</v>
      </c>
      <c r="JM17" s="299">
        <v>38511</v>
      </c>
      <c r="JN17" s="299">
        <v>41602</v>
      </c>
      <c r="JO17" s="299">
        <v>43591</v>
      </c>
      <c r="JP17" s="299">
        <v>46438</v>
      </c>
      <c r="JQ17" s="299">
        <v>45568</v>
      </c>
      <c r="JR17" s="299">
        <v>52667</v>
      </c>
      <c r="JS17" s="299">
        <v>61126</v>
      </c>
      <c r="JT17" s="299">
        <v>66329</v>
      </c>
      <c r="JU17" s="299">
        <v>85570</v>
      </c>
      <c r="JV17" s="299">
        <v>85235</v>
      </c>
      <c r="JW17" s="299">
        <v>91299</v>
      </c>
      <c r="JX17" s="299">
        <v>86602</v>
      </c>
      <c r="JY17" s="299">
        <v>85262</v>
      </c>
      <c r="JZ17" s="302">
        <v>91754</v>
      </c>
      <c r="KA17" s="302">
        <v>108787</v>
      </c>
      <c r="KB17" s="299">
        <v>126927</v>
      </c>
      <c r="KC17" s="303">
        <v>140182</v>
      </c>
      <c r="KD17" s="303">
        <v>126225</v>
      </c>
      <c r="KE17" s="472">
        <v>136939</v>
      </c>
    </row>
    <row r="18" spans="1:291" s="155" customFormat="1" ht="12" customHeight="1" x14ac:dyDescent="0.2">
      <c r="A18" s="395">
        <v>15</v>
      </c>
      <c r="B18" s="154" t="s">
        <v>238</v>
      </c>
      <c r="C18" s="299">
        <v>168729</v>
      </c>
      <c r="D18" s="299">
        <v>157231</v>
      </c>
      <c r="E18" s="299">
        <v>148247</v>
      </c>
      <c r="F18" s="299">
        <v>143117</v>
      </c>
      <c r="G18" s="299">
        <v>146153</v>
      </c>
      <c r="H18" s="299">
        <v>139971</v>
      </c>
      <c r="I18" s="299">
        <v>153870</v>
      </c>
      <c r="J18" s="299">
        <v>154318</v>
      </c>
      <c r="K18" s="299">
        <v>161438</v>
      </c>
      <c r="L18" s="299">
        <v>168090</v>
      </c>
      <c r="M18" s="299">
        <v>158657</v>
      </c>
      <c r="N18" s="299">
        <v>0</v>
      </c>
      <c r="O18" s="299">
        <v>0</v>
      </c>
      <c r="P18" s="299">
        <v>9621</v>
      </c>
      <c r="Q18" s="299">
        <v>11682</v>
      </c>
      <c r="R18" s="299">
        <v>8851</v>
      </c>
      <c r="S18" s="299">
        <v>9745</v>
      </c>
      <c r="T18" s="299">
        <v>8428</v>
      </c>
      <c r="U18" s="299">
        <v>8569</v>
      </c>
      <c r="V18" s="299">
        <v>9572</v>
      </c>
      <c r="W18" s="299">
        <v>8465</v>
      </c>
      <c r="X18" s="299">
        <v>7279</v>
      </c>
      <c r="Y18" s="299">
        <v>6446</v>
      </c>
      <c r="Z18" s="299">
        <v>7060</v>
      </c>
      <c r="AA18" s="299">
        <v>801</v>
      </c>
      <c r="AB18" s="299">
        <v>630</v>
      </c>
      <c r="AC18" s="299">
        <v>584</v>
      </c>
      <c r="AD18" s="299">
        <v>575</v>
      </c>
      <c r="AE18" s="299">
        <v>571</v>
      </c>
      <c r="AF18" s="299">
        <v>174</v>
      </c>
      <c r="AG18" s="299">
        <v>29</v>
      </c>
      <c r="AH18" s="299">
        <v>17</v>
      </c>
      <c r="AI18" s="299">
        <v>14</v>
      </c>
      <c r="AJ18" s="299">
        <v>14</v>
      </c>
      <c r="AK18" s="299">
        <v>14</v>
      </c>
      <c r="AL18" s="299">
        <v>1154</v>
      </c>
      <c r="AM18" s="299">
        <v>664</v>
      </c>
      <c r="AN18" s="299">
        <v>469</v>
      </c>
      <c r="AO18" s="299">
        <v>494</v>
      </c>
      <c r="AP18" s="299">
        <v>615</v>
      </c>
      <c r="AQ18" s="299">
        <v>459</v>
      </c>
      <c r="AR18" s="299">
        <v>482</v>
      </c>
      <c r="AS18" s="299">
        <v>529</v>
      </c>
      <c r="AT18" s="299">
        <v>160</v>
      </c>
      <c r="AU18" s="299">
        <v>381</v>
      </c>
      <c r="AV18" s="299">
        <v>554</v>
      </c>
      <c r="AW18" s="299">
        <v>2293</v>
      </c>
      <c r="AX18" s="299">
        <v>976</v>
      </c>
      <c r="AY18" s="299">
        <v>1377</v>
      </c>
      <c r="AZ18" s="299">
        <v>1903</v>
      </c>
      <c r="BA18" s="299">
        <v>1505</v>
      </c>
      <c r="BB18" s="299">
        <v>1125</v>
      </c>
      <c r="BC18" s="299">
        <v>877</v>
      </c>
      <c r="BD18" s="299">
        <v>518</v>
      </c>
      <c r="BE18" s="299">
        <v>235</v>
      </c>
      <c r="BF18" s="299">
        <v>192</v>
      </c>
      <c r="BG18" s="299">
        <v>333</v>
      </c>
      <c r="BH18" s="299">
        <v>11915</v>
      </c>
      <c r="BI18" s="299">
        <v>9399</v>
      </c>
      <c r="BJ18" s="299">
        <v>8222</v>
      </c>
      <c r="BK18" s="299">
        <v>7447</v>
      </c>
      <c r="BL18" s="299">
        <v>8020</v>
      </c>
      <c r="BM18" s="299">
        <v>8996</v>
      </c>
      <c r="BN18" s="299">
        <v>10275</v>
      </c>
      <c r="BO18" s="299">
        <v>10635</v>
      </c>
      <c r="BP18" s="299">
        <v>14002</v>
      </c>
      <c r="BQ18" s="299">
        <v>18030</v>
      </c>
      <c r="BR18" s="299">
        <v>19055</v>
      </c>
      <c r="BS18" s="299">
        <v>2186</v>
      </c>
      <c r="BT18" s="299">
        <v>2485</v>
      </c>
      <c r="BU18" s="299">
        <v>2240</v>
      </c>
      <c r="BV18" s="299">
        <v>3334</v>
      </c>
      <c r="BW18" s="299">
        <v>3882</v>
      </c>
      <c r="BX18" s="299">
        <v>3409</v>
      </c>
      <c r="BY18" s="299">
        <v>2450</v>
      </c>
      <c r="BZ18" s="299">
        <v>2822</v>
      </c>
      <c r="CA18" s="299">
        <v>3255</v>
      </c>
      <c r="CB18" s="299">
        <v>4079</v>
      </c>
      <c r="CC18" s="299">
        <v>3775</v>
      </c>
      <c r="CD18" s="299">
        <v>0</v>
      </c>
      <c r="CE18" s="299">
        <v>0</v>
      </c>
      <c r="CF18" s="299">
        <v>0</v>
      </c>
      <c r="CG18" s="299">
        <v>0</v>
      </c>
      <c r="CH18" s="299">
        <v>0</v>
      </c>
      <c r="CI18" s="299">
        <v>0</v>
      </c>
      <c r="CJ18" s="299">
        <v>13</v>
      </c>
      <c r="CK18" s="299">
        <v>10</v>
      </c>
      <c r="CL18" s="299">
        <v>7</v>
      </c>
      <c r="CM18" s="299">
        <v>7</v>
      </c>
      <c r="CN18" s="299">
        <v>1</v>
      </c>
      <c r="CO18" s="299">
        <v>0</v>
      </c>
      <c r="CP18" s="299">
        <v>0</v>
      </c>
      <c r="CQ18" s="299">
        <v>2716</v>
      </c>
      <c r="CR18" s="304">
        <v>3839</v>
      </c>
      <c r="CS18" s="304">
        <v>5046</v>
      </c>
      <c r="CT18" s="304">
        <v>6731</v>
      </c>
      <c r="CU18" s="304">
        <v>8974</v>
      </c>
      <c r="CV18" s="304">
        <v>10327</v>
      </c>
      <c r="CW18" s="304">
        <v>11696</v>
      </c>
      <c r="CX18" s="299">
        <v>13100</v>
      </c>
      <c r="CY18" s="299">
        <v>14394</v>
      </c>
      <c r="CZ18" s="299">
        <v>15815</v>
      </c>
      <c r="DA18" s="299">
        <v>15324</v>
      </c>
      <c r="DB18" s="304">
        <v>1812</v>
      </c>
      <c r="DC18" s="304">
        <v>2910</v>
      </c>
      <c r="DD18" s="304">
        <v>2977</v>
      </c>
      <c r="DE18" s="304">
        <v>2218</v>
      </c>
      <c r="DF18" s="304">
        <v>2354</v>
      </c>
      <c r="DG18" s="304">
        <v>2029</v>
      </c>
      <c r="DH18" s="304">
        <v>1665</v>
      </c>
      <c r="DI18" s="299">
        <v>1658</v>
      </c>
      <c r="DJ18" s="301" t="s">
        <v>42</v>
      </c>
      <c r="DK18" s="299">
        <v>1295</v>
      </c>
      <c r="DL18" s="299">
        <v>1688</v>
      </c>
      <c r="DM18" s="299">
        <v>793</v>
      </c>
      <c r="DN18" s="299">
        <v>1179</v>
      </c>
      <c r="DO18" s="299">
        <v>523</v>
      </c>
      <c r="DP18" s="299">
        <v>-164</v>
      </c>
      <c r="DQ18" s="299">
        <v>-212</v>
      </c>
      <c r="DR18" s="299">
        <v>287</v>
      </c>
      <c r="DS18" s="299">
        <v>948</v>
      </c>
      <c r="DT18" s="299">
        <v>1156</v>
      </c>
      <c r="DU18" s="299">
        <v>1139</v>
      </c>
      <c r="DV18" s="299">
        <v>3</v>
      </c>
      <c r="DW18" s="299">
        <v>67</v>
      </c>
      <c r="DX18" s="299">
        <v>9650</v>
      </c>
      <c r="DY18" s="299">
        <v>12118</v>
      </c>
      <c r="DZ18" s="299">
        <v>7827</v>
      </c>
      <c r="EA18" s="299">
        <v>10535</v>
      </c>
      <c r="EB18" s="299">
        <v>11769</v>
      </c>
      <c r="EC18" s="299">
        <v>13944</v>
      </c>
      <c r="ED18" s="299">
        <v>15604</v>
      </c>
      <c r="EE18" s="299">
        <v>16209</v>
      </c>
      <c r="EF18" s="299">
        <v>19405</v>
      </c>
      <c r="EG18" s="299">
        <v>21388</v>
      </c>
      <c r="EH18" s="299">
        <v>22413</v>
      </c>
      <c r="EI18" s="299">
        <v>16310</v>
      </c>
      <c r="EJ18" s="299">
        <v>15029</v>
      </c>
      <c r="EK18" s="299">
        <v>17503</v>
      </c>
      <c r="EL18" s="299">
        <v>19057</v>
      </c>
      <c r="EM18" s="299">
        <v>22001</v>
      </c>
      <c r="EN18" s="299">
        <v>24423</v>
      </c>
      <c r="EO18" s="299">
        <v>23949</v>
      </c>
      <c r="EP18" s="299">
        <v>25149</v>
      </c>
      <c r="EQ18" s="299">
        <v>24470</v>
      </c>
      <c r="ER18" s="299">
        <v>24940</v>
      </c>
      <c r="ES18" s="299">
        <v>26270</v>
      </c>
      <c r="ET18" s="299">
        <v>471</v>
      </c>
      <c r="EU18" s="299">
        <v>288</v>
      </c>
      <c r="EV18" s="299">
        <v>268</v>
      </c>
      <c r="EW18" s="299">
        <v>104</v>
      </c>
      <c r="EX18" s="299">
        <v>116</v>
      </c>
      <c r="EY18" s="299">
        <v>0</v>
      </c>
      <c r="EZ18" s="299">
        <v>67</v>
      </c>
      <c r="FA18" s="299">
        <v>55</v>
      </c>
      <c r="FB18" s="299">
        <v>49</v>
      </c>
      <c r="FC18" s="299">
        <v>55</v>
      </c>
      <c r="FD18" s="299">
        <v>555</v>
      </c>
      <c r="FE18" s="299">
        <v>9273</v>
      </c>
      <c r="FF18" s="299">
        <v>12620</v>
      </c>
      <c r="FG18" s="299">
        <v>12188</v>
      </c>
      <c r="FH18" s="299">
        <v>13517</v>
      </c>
      <c r="FI18" s="299">
        <v>18629</v>
      </c>
      <c r="FJ18" s="299">
        <v>18693</v>
      </c>
      <c r="FK18" s="299">
        <v>16491</v>
      </c>
      <c r="FL18" s="299">
        <v>15889</v>
      </c>
      <c r="FM18" s="299">
        <v>16093</v>
      </c>
      <c r="FN18" s="299">
        <v>18438</v>
      </c>
      <c r="FO18" s="299">
        <v>19453</v>
      </c>
      <c r="FP18" s="299">
        <v>9282</v>
      </c>
      <c r="FQ18" s="299">
        <v>8810</v>
      </c>
      <c r="FR18" s="299">
        <v>10371</v>
      </c>
      <c r="FS18" s="299">
        <v>10466</v>
      </c>
      <c r="FT18" s="299">
        <v>8761</v>
      </c>
      <c r="FU18" s="299">
        <v>7139</v>
      </c>
      <c r="FV18" s="299">
        <v>8272</v>
      </c>
      <c r="FW18" s="299">
        <v>9413</v>
      </c>
      <c r="FX18" s="299">
        <v>10153</v>
      </c>
      <c r="FY18" s="299">
        <v>13815</v>
      </c>
      <c r="FZ18" s="299">
        <v>15705</v>
      </c>
      <c r="GA18" s="299">
        <v>1320</v>
      </c>
      <c r="GB18" s="299">
        <v>570</v>
      </c>
      <c r="GC18" s="299">
        <v>464</v>
      </c>
      <c r="GD18" s="299">
        <v>529</v>
      </c>
      <c r="GE18" s="299">
        <v>624</v>
      </c>
      <c r="GF18" s="299">
        <v>752</v>
      </c>
      <c r="GG18" s="299">
        <v>832</v>
      </c>
      <c r="GH18" s="299">
        <v>1287</v>
      </c>
      <c r="GI18" s="299">
        <v>1749</v>
      </c>
      <c r="GJ18" s="299">
        <v>2258</v>
      </c>
      <c r="GK18" s="299">
        <v>2687</v>
      </c>
      <c r="GL18" s="299">
        <v>108</v>
      </c>
      <c r="GM18" s="299">
        <v>283</v>
      </c>
      <c r="GN18" s="299">
        <v>636</v>
      </c>
      <c r="GO18" s="299">
        <v>1004</v>
      </c>
      <c r="GP18" s="299">
        <v>1126</v>
      </c>
      <c r="GQ18" s="299">
        <v>1147</v>
      </c>
      <c r="GR18" s="299">
        <v>1091</v>
      </c>
      <c r="GS18" s="299">
        <v>1115</v>
      </c>
      <c r="GT18" s="299">
        <v>1119</v>
      </c>
      <c r="GU18" s="299">
        <v>1099</v>
      </c>
      <c r="GV18" s="299">
        <v>1114</v>
      </c>
      <c r="GW18" s="299">
        <v>8107</v>
      </c>
      <c r="GX18" s="299">
        <v>10047</v>
      </c>
      <c r="GY18" s="299">
        <v>12811</v>
      </c>
      <c r="GZ18" s="299">
        <v>4295</v>
      </c>
      <c r="HA18" s="299">
        <v>3846</v>
      </c>
      <c r="HB18" s="299">
        <v>4345</v>
      </c>
      <c r="HC18" s="299">
        <v>2615</v>
      </c>
      <c r="HD18" s="299">
        <v>2874</v>
      </c>
      <c r="HE18" s="299">
        <v>3592</v>
      </c>
      <c r="HF18" s="299">
        <v>4658</v>
      </c>
      <c r="HG18" s="299">
        <v>5247</v>
      </c>
      <c r="HH18" s="299">
        <v>95</v>
      </c>
      <c r="HI18" s="299">
        <v>94</v>
      </c>
      <c r="HJ18" s="299">
        <v>86</v>
      </c>
      <c r="HK18" s="299">
        <v>0</v>
      </c>
      <c r="HL18" s="299">
        <v>86</v>
      </c>
      <c r="HM18" s="299">
        <v>86</v>
      </c>
      <c r="HN18" s="299">
        <v>86</v>
      </c>
      <c r="HO18" s="299">
        <v>83</v>
      </c>
      <c r="HP18" s="299">
        <v>82</v>
      </c>
      <c r="HQ18" s="299"/>
      <c r="HR18" s="299">
        <v>8721</v>
      </c>
      <c r="HS18" s="299">
        <v>9070</v>
      </c>
      <c r="HT18" s="299">
        <v>8453</v>
      </c>
      <c r="HU18" s="299">
        <v>8906</v>
      </c>
      <c r="HV18" s="299">
        <v>9989</v>
      </c>
      <c r="HW18" s="299">
        <v>10248</v>
      </c>
      <c r="HX18" s="299">
        <v>13586</v>
      </c>
      <c r="HY18" s="299">
        <v>11338</v>
      </c>
      <c r="HZ18" s="299">
        <v>16452</v>
      </c>
      <c r="IA18" s="299">
        <v>20635</v>
      </c>
      <c r="IB18" s="299">
        <v>21732</v>
      </c>
      <c r="IC18" s="299">
        <v>232</v>
      </c>
      <c r="ID18" s="299">
        <v>242</v>
      </c>
      <c r="IE18" s="299">
        <v>290</v>
      </c>
      <c r="IF18" s="299">
        <v>338</v>
      </c>
      <c r="IG18" s="299">
        <v>334</v>
      </c>
      <c r="IH18" s="299">
        <v>331</v>
      </c>
      <c r="II18" s="299">
        <v>271</v>
      </c>
      <c r="IJ18" s="299">
        <v>250</v>
      </c>
      <c r="IK18" s="299">
        <v>218</v>
      </c>
      <c r="IL18" s="299">
        <v>202</v>
      </c>
      <c r="IM18" s="299">
        <v>164</v>
      </c>
      <c r="IN18" s="299">
        <v>984</v>
      </c>
      <c r="IO18" s="299">
        <v>1310</v>
      </c>
      <c r="IP18" s="299">
        <v>1505</v>
      </c>
      <c r="IQ18" s="299">
        <v>1018</v>
      </c>
      <c r="IR18" s="299">
        <v>670</v>
      </c>
      <c r="IS18" s="299">
        <v>341</v>
      </c>
      <c r="IT18" s="299">
        <v>141</v>
      </c>
      <c r="IU18" s="299">
        <v>80</v>
      </c>
      <c r="IV18" s="299">
        <v>122</v>
      </c>
      <c r="IW18" s="299">
        <v>463</v>
      </c>
      <c r="IX18" s="299">
        <v>1038</v>
      </c>
      <c r="IY18" s="299">
        <v>3483</v>
      </c>
      <c r="IZ18" s="299">
        <v>2374</v>
      </c>
      <c r="JA18" s="299">
        <v>2380</v>
      </c>
      <c r="JB18" s="299">
        <v>2463</v>
      </c>
      <c r="JC18" s="299">
        <v>2734</v>
      </c>
      <c r="JD18" s="299">
        <v>2945</v>
      </c>
      <c r="JE18" s="299">
        <v>5005</v>
      </c>
      <c r="JF18" s="299">
        <v>5533</v>
      </c>
      <c r="JG18" s="299">
        <v>8352</v>
      </c>
      <c r="JH18" s="299">
        <v>11107</v>
      </c>
      <c r="JI18" s="299">
        <v>16056</v>
      </c>
      <c r="JJ18" s="299">
        <v>101829</v>
      </c>
      <c r="JK18" s="299">
        <v>107128</v>
      </c>
      <c r="JL18" s="299">
        <v>105341</v>
      </c>
      <c r="JM18" s="299">
        <v>105858</v>
      </c>
      <c r="JN18" s="299">
        <v>115557</v>
      </c>
      <c r="JO18" s="299">
        <v>119318</v>
      </c>
      <c r="JP18" s="299">
        <v>124857</v>
      </c>
      <c r="JQ18" s="299">
        <v>127316</v>
      </c>
      <c r="JR18" s="299">
        <v>142150</v>
      </c>
      <c r="JS18" s="299">
        <v>165181</v>
      </c>
      <c r="JT18" s="299">
        <v>179756</v>
      </c>
      <c r="JU18" s="299">
        <v>270558</v>
      </c>
      <c r="JV18" s="299">
        <v>264359</v>
      </c>
      <c r="JW18" s="299">
        <v>253588</v>
      </c>
      <c r="JX18" s="299">
        <v>248975</v>
      </c>
      <c r="JY18" s="299">
        <v>261710</v>
      </c>
      <c r="JZ18" s="302">
        <v>259289</v>
      </c>
      <c r="KA18" s="302">
        <v>278727</v>
      </c>
      <c r="KB18" s="299">
        <v>281634</v>
      </c>
      <c r="KC18" s="303">
        <v>303588</v>
      </c>
      <c r="KD18" s="303">
        <v>333271</v>
      </c>
      <c r="KE18" s="472">
        <v>338413</v>
      </c>
    </row>
    <row r="19" spans="1:291" s="155" customFormat="1" ht="12.75" customHeight="1" x14ac:dyDescent="0.2">
      <c r="A19" s="395">
        <v>16</v>
      </c>
      <c r="B19" s="154" t="s">
        <v>274</v>
      </c>
      <c r="C19" s="299">
        <v>998</v>
      </c>
      <c r="D19" s="299">
        <v>862</v>
      </c>
      <c r="E19" s="299">
        <v>991</v>
      </c>
      <c r="F19" s="299">
        <v>947</v>
      </c>
      <c r="G19" s="299">
        <v>998</v>
      </c>
      <c r="H19" s="299">
        <v>911</v>
      </c>
      <c r="I19" s="299">
        <v>1185</v>
      </c>
      <c r="J19" s="299">
        <v>919</v>
      </c>
      <c r="K19" s="299">
        <v>882</v>
      </c>
      <c r="L19" s="299">
        <v>965</v>
      </c>
      <c r="M19" s="299">
        <v>1073</v>
      </c>
      <c r="N19" s="299">
        <v>0</v>
      </c>
      <c r="O19" s="299">
        <v>0</v>
      </c>
      <c r="P19" s="299">
        <v>294</v>
      </c>
      <c r="Q19" s="299">
        <v>350</v>
      </c>
      <c r="R19" s="299">
        <v>210</v>
      </c>
      <c r="S19" s="299">
        <v>201</v>
      </c>
      <c r="T19" s="299">
        <v>163</v>
      </c>
      <c r="U19" s="299">
        <v>148</v>
      </c>
      <c r="V19" s="299">
        <v>149</v>
      </c>
      <c r="W19" s="299">
        <v>123</v>
      </c>
      <c r="X19" s="299">
        <v>89</v>
      </c>
      <c r="Y19" s="299">
        <v>99</v>
      </c>
      <c r="Z19" s="299">
        <v>173</v>
      </c>
      <c r="AA19" s="299">
        <v>1</v>
      </c>
      <c r="AB19" s="299">
        <v>0</v>
      </c>
      <c r="AC19" s="299">
        <v>0</v>
      </c>
      <c r="AD19" s="299">
        <v>0</v>
      </c>
      <c r="AE19" s="299">
        <v>0</v>
      </c>
      <c r="AF19" s="299">
        <v>0</v>
      </c>
      <c r="AG19" s="299">
        <v>0</v>
      </c>
      <c r="AH19" s="299">
        <v>0</v>
      </c>
      <c r="AI19" s="299">
        <v>0</v>
      </c>
      <c r="AJ19" s="299">
        <v>0</v>
      </c>
      <c r="AK19" s="299">
        <v>0</v>
      </c>
      <c r="AL19" s="299">
        <v>131</v>
      </c>
      <c r="AM19" s="299">
        <v>97</v>
      </c>
      <c r="AN19" s="304">
        <v>81</v>
      </c>
      <c r="AO19" s="304">
        <v>74</v>
      </c>
      <c r="AP19" s="304">
        <v>10</v>
      </c>
      <c r="AQ19" s="304">
        <v>10</v>
      </c>
      <c r="AR19" s="304">
        <v>10</v>
      </c>
      <c r="AS19" s="299">
        <v>10</v>
      </c>
      <c r="AT19" s="299">
        <v>0</v>
      </c>
      <c r="AU19" s="299">
        <v>1</v>
      </c>
      <c r="AV19" s="299">
        <v>1</v>
      </c>
      <c r="AW19" s="299">
        <v>17</v>
      </c>
      <c r="AX19" s="299">
        <v>16</v>
      </c>
      <c r="AY19" s="304">
        <v>16</v>
      </c>
      <c r="AZ19" s="304">
        <v>18</v>
      </c>
      <c r="BA19" s="304">
        <v>17</v>
      </c>
      <c r="BB19" s="304">
        <v>17</v>
      </c>
      <c r="BC19" s="304">
        <v>0</v>
      </c>
      <c r="BD19" s="299">
        <v>2</v>
      </c>
      <c r="BE19" s="299">
        <v>3</v>
      </c>
      <c r="BF19" s="299">
        <v>3</v>
      </c>
      <c r="BG19" s="299">
        <v>1</v>
      </c>
      <c r="BH19" s="299">
        <v>186</v>
      </c>
      <c r="BI19" s="299">
        <v>160</v>
      </c>
      <c r="BJ19" s="304">
        <v>116</v>
      </c>
      <c r="BK19" s="304">
        <v>128</v>
      </c>
      <c r="BL19" s="304">
        <v>112</v>
      </c>
      <c r="BM19" s="304">
        <v>148</v>
      </c>
      <c r="BN19" s="304">
        <v>133</v>
      </c>
      <c r="BO19" s="299">
        <v>137</v>
      </c>
      <c r="BP19" s="299">
        <v>162</v>
      </c>
      <c r="BQ19" s="299">
        <v>183</v>
      </c>
      <c r="BR19" s="299">
        <v>224</v>
      </c>
      <c r="BS19" s="299">
        <v>0</v>
      </c>
      <c r="BT19" s="299">
        <v>0</v>
      </c>
      <c r="BU19" s="304">
        <v>0</v>
      </c>
      <c r="BV19" s="304">
        <v>0</v>
      </c>
      <c r="BW19" s="304">
        <v>0</v>
      </c>
      <c r="BX19" s="304">
        <v>0</v>
      </c>
      <c r="BY19" s="304">
        <v>0</v>
      </c>
      <c r="BZ19" s="299">
        <v>0</v>
      </c>
      <c r="CA19" s="299">
        <v>9</v>
      </c>
      <c r="CB19" s="299">
        <v>12</v>
      </c>
      <c r="CC19" s="299">
        <v>16</v>
      </c>
      <c r="CD19" s="299">
        <v>0</v>
      </c>
      <c r="CE19" s="299">
        <v>0</v>
      </c>
      <c r="CF19" s="299">
        <v>0</v>
      </c>
      <c r="CG19" s="299">
        <v>0</v>
      </c>
      <c r="CH19" s="299">
        <v>0</v>
      </c>
      <c r="CI19" s="299">
        <v>0</v>
      </c>
      <c r="CJ19" s="299">
        <v>0</v>
      </c>
      <c r="CK19" s="299">
        <v>0</v>
      </c>
      <c r="CL19" s="299">
        <v>0</v>
      </c>
      <c r="CM19" s="299">
        <v>0</v>
      </c>
      <c r="CN19" s="299">
        <v>0</v>
      </c>
      <c r="CO19" s="299">
        <v>0</v>
      </c>
      <c r="CP19" s="299">
        <v>0</v>
      </c>
      <c r="CQ19" s="299">
        <v>1</v>
      </c>
      <c r="CR19" s="304">
        <v>1</v>
      </c>
      <c r="CS19" s="304">
        <v>1</v>
      </c>
      <c r="CT19" s="304">
        <v>2</v>
      </c>
      <c r="CU19" s="304">
        <v>6</v>
      </c>
      <c r="CV19" s="304">
        <v>7</v>
      </c>
      <c r="CW19" s="304">
        <v>7</v>
      </c>
      <c r="CX19" s="299">
        <v>7</v>
      </c>
      <c r="CY19" s="299">
        <v>8</v>
      </c>
      <c r="CZ19" s="299">
        <v>10</v>
      </c>
      <c r="DA19" s="299">
        <v>9</v>
      </c>
      <c r="DB19" s="304">
        <v>0</v>
      </c>
      <c r="DC19" s="304">
        <v>0</v>
      </c>
      <c r="DD19" s="304">
        <v>2</v>
      </c>
      <c r="DE19" s="304">
        <v>0</v>
      </c>
      <c r="DF19" s="304">
        <v>2</v>
      </c>
      <c r="DG19" s="304">
        <v>-3</v>
      </c>
      <c r="DH19" s="304">
        <v>3</v>
      </c>
      <c r="DI19" s="299">
        <v>0</v>
      </c>
      <c r="DJ19" s="301" t="s">
        <v>42</v>
      </c>
      <c r="DK19" s="299">
        <v>0</v>
      </c>
      <c r="DL19" s="299">
        <v>0</v>
      </c>
      <c r="DM19" s="299">
        <v>0</v>
      </c>
      <c r="DN19" s="299">
        <v>0</v>
      </c>
      <c r="DO19" s="299">
        <v>0</v>
      </c>
      <c r="DP19" s="299">
        <v>0</v>
      </c>
      <c r="DQ19" s="299">
        <v>0</v>
      </c>
      <c r="DR19" s="299">
        <v>0</v>
      </c>
      <c r="DS19" s="299">
        <v>0</v>
      </c>
      <c r="DT19" s="299">
        <v>0</v>
      </c>
      <c r="DU19" s="299">
        <v>0</v>
      </c>
      <c r="DV19" s="299">
        <v>0</v>
      </c>
      <c r="DW19" s="299">
        <v>0</v>
      </c>
      <c r="DX19" s="299">
        <v>482</v>
      </c>
      <c r="DY19" s="299">
        <v>619</v>
      </c>
      <c r="DZ19" s="304">
        <v>391</v>
      </c>
      <c r="EA19" s="304">
        <v>574</v>
      </c>
      <c r="EB19" s="304">
        <v>748</v>
      </c>
      <c r="EC19" s="304">
        <v>879</v>
      </c>
      <c r="ED19" s="304">
        <v>855</v>
      </c>
      <c r="EE19" s="299">
        <v>796</v>
      </c>
      <c r="EF19" s="299">
        <v>921</v>
      </c>
      <c r="EG19" s="299">
        <v>963</v>
      </c>
      <c r="EH19" s="299">
        <v>1051</v>
      </c>
      <c r="EI19" s="299">
        <v>1185</v>
      </c>
      <c r="EJ19" s="299">
        <v>1259</v>
      </c>
      <c r="EK19" s="304">
        <v>1361</v>
      </c>
      <c r="EL19" s="304">
        <v>1528</v>
      </c>
      <c r="EM19" s="304">
        <v>1664</v>
      </c>
      <c r="EN19" s="304">
        <v>1829</v>
      </c>
      <c r="EO19" s="304">
        <v>1618</v>
      </c>
      <c r="EP19" s="299">
        <v>1613</v>
      </c>
      <c r="EQ19" s="299">
        <v>1664</v>
      </c>
      <c r="ER19" s="299">
        <v>1432</v>
      </c>
      <c r="ES19" s="299">
        <v>1401</v>
      </c>
      <c r="ET19" s="299">
        <v>16</v>
      </c>
      <c r="EU19" s="299">
        <v>14</v>
      </c>
      <c r="EV19" s="304">
        <v>14</v>
      </c>
      <c r="EW19" s="304">
        <v>4</v>
      </c>
      <c r="EX19" s="304">
        <v>4</v>
      </c>
      <c r="EY19" s="304">
        <v>0</v>
      </c>
      <c r="EZ19" s="304">
        <v>0</v>
      </c>
      <c r="FA19" s="299">
        <v>0</v>
      </c>
      <c r="FB19" s="299">
        <v>0</v>
      </c>
      <c r="FC19" s="299">
        <v>0</v>
      </c>
      <c r="FD19" s="299">
        <v>2</v>
      </c>
      <c r="FE19" s="299">
        <v>0</v>
      </c>
      <c r="FF19" s="299">
        <v>0</v>
      </c>
      <c r="FG19" s="304">
        <v>0</v>
      </c>
      <c r="FH19" s="304">
        <v>0</v>
      </c>
      <c r="FI19" s="304">
        <v>0</v>
      </c>
      <c r="FJ19" s="304">
        <v>0</v>
      </c>
      <c r="FK19" s="304">
        <v>0</v>
      </c>
      <c r="FL19" s="299">
        <v>0</v>
      </c>
      <c r="FM19" s="299">
        <v>0</v>
      </c>
      <c r="FN19" s="299">
        <v>0</v>
      </c>
      <c r="FO19" s="299">
        <v>0</v>
      </c>
      <c r="FP19" s="299">
        <v>0</v>
      </c>
      <c r="FQ19" s="304">
        <v>0</v>
      </c>
      <c r="FR19" s="304">
        <v>0</v>
      </c>
      <c r="FS19" s="304">
        <v>0</v>
      </c>
      <c r="FT19" s="304">
        <v>0</v>
      </c>
      <c r="FU19" s="304">
        <v>0</v>
      </c>
      <c r="FV19" s="304">
        <v>0</v>
      </c>
      <c r="FW19" s="299">
        <v>0</v>
      </c>
      <c r="FX19" s="299">
        <v>0</v>
      </c>
      <c r="FY19" s="299">
        <v>0</v>
      </c>
      <c r="FZ19" s="299">
        <v>0</v>
      </c>
      <c r="GA19" s="299">
        <v>5</v>
      </c>
      <c r="GB19" s="299">
        <v>2</v>
      </c>
      <c r="GC19" s="304">
        <v>1</v>
      </c>
      <c r="GD19" s="304">
        <v>1</v>
      </c>
      <c r="GE19" s="304">
        <v>1</v>
      </c>
      <c r="GF19" s="304">
        <v>1</v>
      </c>
      <c r="GG19" s="304">
        <v>1</v>
      </c>
      <c r="GH19" s="299">
        <v>2</v>
      </c>
      <c r="GI19" s="299">
        <v>4</v>
      </c>
      <c r="GJ19" s="299">
        <v>5</v>
      </c>
      <c r="GK19" s="299">
        <v>26</v>
      </c>
      <c r="GL19" s="299">
        <v>0</v>
      </c>
      <c r="GM19" s="304">
        <v>0</v>
      </c>
      <c r="GN19" s="304">
        <v>0</v>
      </c>
      <c r="GO19" s="304">
        <v>7</v>
      </c>
      <c r="GP19" s="304">
        <v>10</v>
      </c>
      <c r="GQ19" s="304">
        <v>33</v>
      </c>
      <c r="GR19" s="304">
        <v>38</v>
      </c>
      <c r="GS19" s="299">
        <v>38</v>
      </c>
      <c r="GT19" s="299">
        <v>53</v>
      </c>
      <c r="GU19" s="299">
        <v>53</v>
      </c>
      <c r="GV19" s="299">
        <v>64</v>
      </c>
      <c r="GW19" s="299">
        <v>28</v>
      </c>
      <c r="GX19" s="299">
        <v>48</v>
      </c>
      <c r="GY19" s="304">
        <v>52</v>
      </c>
      <c r="GZ19" s="304">
        <v>73</v>
      </c>
      <c r="HA19" s="304">
        <v>15</v>
      </c>
      <c r="HB19" s="304">
        <v>43</v>
      </c>
      <c r="HC19" s="304">
        <v>2</v>
      </c>
      <c r="HD19" s="299">
        <v>31</v>
      </c>
      <c r="HE19" s="299">
        <v>49</v>
      </c>
      <c r="HF19" s="299">
        <v>98</v>
      </c>
      <c r="HG19" s="299">
        <v>108</v>
      </c>
      <c r="HH19" s="299">
        <v>0</v>
      </c>
      <c r="HI19" s="299">
        <v>0</v>
      </c>
      <c r="HJ19" s="299">
        <v>0</v>
      </c>
      <c r="HK19" s="299">
        <v>0</v>
      </c>
      <c r="HL19" s="299">
        <v>0</v>
      </c>
      <c r="HM19" s="299">
        <v>0</v>
      </c>
      <c r="HN19" s="299">
        <v>0</v>
      </c>
      <c r="HO19" s="299">
        <v>0</v>
      </c>
      <c r="HP19" s="299">
        <v>0</v>
      </c>
      <c r="HQ19" s="299"/>
      <c r="HR19" s="299">
        <v>65</v>
      </c>
      <c r="HS19" s="299">
        <v>68</v>
      </c>
      <c r="HT19" s="304">
        <v>74</v>
      </c>
      <c r="HU19" s="304">
        <v>58</v>
      </c>
      <c r="HV19" s="304">
        <v>94</v>
      </c>
      <c r="HW19" s="304">
        <v>98</v>
      </c>
      <c r="HX19" s="304">
        <v>147</v>
      </c>
      <c r="HY19" s="299">
        <v>87</v>
      </c>
      <c r="HZ19" s="299">
        <v>169</v>
      </c>
      <c r="IA19" s="299">
        <v>358</v>
      </c>
      <c r="IB19" s="299">
        <v>413</v>
      </c>
      <c r="IC19" s="299">
        <v>0</v>
      </c>
      <c r="ID19" s="299">
        <v>0</v>
      </c>
      <c r="IE19" s="304">
        <v>0</v>
      </c>
      <c r="IF19" s="304">
        <v>0</v>
      </c>
      <c r="IG19" s="304">
        <v>0</v>
      </c>
      <c r="IH19" s="304">
        <v>0</v>
      </c>
      <c r="II19" s="304">
        <v>0</v>
      </c>
      <c r="IJ19" s="299">
        <v>0</v>
      </c>
      <c r="IK19" s="299">
        <v>0</v>
      </c>
      <c r="IL19" s="299">
        <v>0</v>
      </c>
      <c r="IM19" s="299">
        <v>0</v>
      </c>
      <c r="IN19" s="299">
        <v>0</v>
      </c>
      <c r="IO19" s="299">
        <v>0</v>
      </c>
      <c r="IP19" s="304">
        <v>0</v>
      </c>
      <c r="IQ19" s="304">
        <v>0</v>
      </c>
      <c r="IR19" s="304">
        <v>0</v>
      </c>
      <c r="IS19" s="304">
        <v>0</v>
      </c>
      <c r="IT19" s="304">
        <v>0</v>
      </c>
      <c r="IU19" s="299">
        <v>0</v>
      </c>
      <c r="IV19" s="299">
        <v>0</v>
      </c>
      <c r="IW19" s="299">
        <v>0</v>
      </c>
      <c r="IX19" s="299">
        <v>28</v>
      </c>
      <c r="IY19" s="299">
        <v>60</v>
      </c>
      <c r="IZ19" s="299">
        <v>83</v>
      </c>
      <c r="JA19" s="299">
        <v>162</v>
      </c>
      <c r="JB19" s="299">
        <v>199</v>
      </c>
      <c r="JC19" s="299">
        <v>202</v>
      </c>
      <c r="JD19" s="299">
        <v>159</v>
      </c>
      <c r="JE19" s="299">
        <v>203</v>
      </c>
      <c r="JF19" s="299">
        <v>146</v>
      </c>
      <c r="JG19" s="299">
        <v>153</v>
      </c>
      <c r="JH19" s="299">
        <v>161</v>
      </c>
      <c r="JI19" s="299">
        <v>201</v>
      </c>
      <c r="JJ19" s="299">
        <v>2471</v>
      </c>
      <c r="JK19" s="299">
        <v>2717</v>
      </c>
      <c r="JL19" s="299">
        <v>2481</v>
      </c>
      <c r="JM19" s="299">
        <v>2867</v>
      </c>
      <c r="JN19" s="299">
        <v>3048</v>
      </c>
      <c r="JO19" s="299">
        <v>3369</v>
      </c>
      <c r="JP19" s="299">
        <v>3166</v>
      </c>
      <c r="JQ19" s="299">
        <v>2992</v>
      </c>
      <c r="JR19" s="299">
        <v>3284</v>
      </c>
      <c r="JS19" s="299">
        <v>3378</v>
      </c>
      <c r="JT19" s="299">
        <v>3718</v>
      </c>
      <c r="JU19" s="299">
        <v>3469</v>
      </c>
      <c r="JV19" s="299">
        <v>3579</v>
      </c>
      <c r="JW19" s="299">
        <v>3472</v>
      </c>
      <c r="JX19" s="299">
        <v>3814</v>
      </c>
      <c r="JY19" s="299">
        <v>4046</v>
      </c>
      <c r="JZ19" s="302">
        <v>4280</v>
      </c>
      <c r="KA19" s="302">
        <v>4351</v>
      </c>
      <c r="KB19" s="299">
        <v>3911</v>
      </c>
      <c r="KC19" s="303">
        <v>4166</v>
      </c>
      <c r="KD19" s="303">
        <v>4343</v>
      </c>
      <c r="KE19" s="472">
        <v>4791</v>
      </c>
    </row>
    <row r="20" spans="1:291" s="155" customFormat="1" ht="12.75" customHeight="1" x14ac:dyDescent="0.2">
      <c r="A20" s="395">
        <v>17</v>
      </c>
      <c r="B20" s="154" t="s">
        <v>275</v>
      </c>
      <c r="C20" s="299">
        <v>245</v>
      </c>
      <c r="D20" s="299">
        <v>210</v>
      </c>
      <c r="E20" s="299">
        <v>239</v>
      </c>
      <c r="F20" s="299">
        <v>414</v>
      </c>
      <c r="G20" s="299">
        <v>782</v>
      </c>
      <c r="H20" s="299">
        <v>817</v>
      </c>
      <c r="I20" s="299">
        <v>1031</v>
      </c>
      <c r="J20" s="299">
        <v>701</v>
      </c>
      <c r="K20" s="299">
        <v>657</v>
      </c>
      <c r="L20" s="299">
        <v>762</v>
      </c>
      <c r="M20" s="299">
        <v>793</v>
      </c>
      <c r="N20" s="299">
        <v>0</v>
      </c>
      <c r="O20" s="299">
        <v>0</v>
      </c>
      <c r="P20" s="299">
        <v>351</v>
      </c>
      <c r="Q20" s="299">
        <v>429</v>
      </c>
      <c r="R20" s="299">
        <v>332</v>
      </c>
      <c r="S20" s="299">
        <v>354</v>
      </c>
      <c r="T20" s="299">
        <v>341</v>
      </c>
      <c r="U20" s="299">
        <v>356</v>
      </c>
      <c r="V20" s="299">
        <v>382</v>
      </c>
      <c r="W20" s="299">
        <v>335</v>
      </c>
      <c r="X20" s="299">
        <v>258</v>
      </c>
      <c r="Y20" s="299">
        <v>254</v>
      </c>
      <c r="Z20" s="299">
        <v>247</v>
      </c>
      <c r="AA20" s="299">
        <v>4</v>
      </c>
      <c r="AB20" s="299">
        <v>4</v>
      </c>
      <c r="AC20" s="299">
        <v>4</v>
      </c>
      <c r="AD20" s="299">
        <v>4</v>
      </c>
      <c r="AE20" s="299">
        <v>4</v>
      </c>
      <c r="AF20" s="299">
        <v>0</v>
      </c>
      <c r="AG20" s="299">
        <v>0</v>
      </c>
      <c r="AH20" s="299">
        <v>0</v>
      </c>
      <c r="AI20" s="299">
        <v>0</v>
      </c>
      <c r="AJ20" s="299">
        <v>0</v>
      </c>
      <c r="AK20" s="299">
        <v>0</v>
      </c>
      <c r="AL20" s="299">
        <v>1</v>
      </c>
      <c r="AM20" s="299">
        <v>1</v>
      </c>
      <c r="AN20" s="299">
        <v>1</v>
      </c>
      <c r="AO20" s="299">
        <v>1</v>
      </c>
      <c r="AP20" s="299">
        <v>4</v>
      </c>
      <c r="AQ20" s="299">
        <v>3</v>
      </c>
      <c r="AR20" s="299">
        <v>3</v>
      </c>
      <c r="AS20" s="299">
        <v>3</v>
      </c>
      <c r="AT20" s="299">
        <v>0</v>
      </c>
      <c r="AU20" s="299">
        <v>1</v>
      </c>
      <c r="AV20" s="299">
        <v>1</v>
      </c>
      <c r="AW20" s="299">
        <v>47</v>
      </c>
      <c r="AX20" s="299">
        <v>44</v>
      </c>
      <c r="AY20" s="299">
        <v>45</v>
      </c>
      <c r="AZ20" s="299">
        <v>47</v>
      </c>
      <c r="BA20" s="299">
        <v>47</v>
      </c>
      <c r="BB20" s="299">
        <v>47</v>
      </c>
      <c r="BC20" s="299">
        <v>3</v>
      </c>
      <c r="BD20" s="299">
        <v>4</v>
      </c>
      <c r="BE20" s="299">
        <v>4</v>
      </c>
      <c r="BF20" s="299">
        <v>1</v>
      </c>
      <c r="BG20" s="299">
        <v>1</v>
      </c>
      <c r="BH20" s="299">
        <v>58</v>
      </c>
      <c r="BI20" s="299">
        <v>48</v>
      </c>
      <c r="BJ20" s="299">
        <v>31</v>
      </c>
      <c r="BK20" s="299">
        <v>49</v>
      </c>
      <c r="BL20" s="299">
        <v>66</v>
      </c>
      <c r="BM20" s="299">
        <v>68</v>
      </c>
      <c r="BN20" s="299">
        <v>48</v>
      </c>
      <c r="BO20" s="299">
        <v>35</v>
      </c>
      <c r="BP20" s="299">
        <v>47</v>
      </c>
      <c r="BQ20" s="299">
        <v>57</v>
      </c>
      <c r="BR20" s="299">
        <v>53</v>
      </c>
      <c r="BS20" s="299">
        <v>0</v>
      </c>
      <c r="BT20" s="299">
        <v>0</v>
      </c>
      <c r="BU20" s="304">
        <v>0</v>
      </c>
      <c r="BV20" s="304">
        <v>0</v>
      </c>
      <c r="BW20" s="304">
        <v>77</v>
      </c>
      <c r="BX20" s="304">
        <v>90</v>
      </c>
      <c r="BY20" s="304">
        <v>55</v>
      </c>
      <c r="BZ20" s="299">
        <v>69</v>
      </c>
      <c r="CA20" s="299">
        <v>108</v>
      </c>
      <c r="CB20" s="299">
        <v>168</v>
      </c>
      <c r="CC20" s="299">
        <v>183</v>
      </c>
      <c r="CD20" s="299">
        <v>0</v>
      </c>
      <c r="CE20" s="299">
        <v>0</v>
      </c>
      <c r="CF20" s="299">
        <v>0</v>
      </c>
      <c r="CG20" s="299">
        <v>0</v>
      </c>
      <c r="CH20" s="299">
        <v>0</v>
      </c>
      <c r="CI20" s="299">
        <v>1</v>
      </c>
      <c r="CJ20" s="299">
        <v>1</v>
      </c>
      <c r="CK20" s="299">
        <v>1</v>
      </c>
      <c r="CL20" s="299">
        <v>1</v>
      </c>
      <c r="CM20" s="299">
        <v>1</v>
      </c>
      <c r="CN20" s="299">
        <v>1</v>
      </c>
      <c r="CO20" s="299">
        <v>0</v>
      </c>
      <c r="CP20" s="299">
        <v>0</v>
      </c>
      <c r="CQ20" s="299">
        <v>0</v>
      </c>
      <c r="CR20" s="304">
        <v>0</v>
      </c>
      <c r="CS20" s="304">
        <v>0</v>
      </c>
      <c r="CT20" s="304">
        <v>3</v>
      </c>
      <c r="CU20" s="304">
        <v>6</v>
      </c>
      <c r="CV20" s="304">
        <v>7</v>
      </c>
      <c r="CW20" s="304">
        <v>8</v>
      </c>
      <c r="CX20" s="299">
        <v>7</v>
      </c>
      <c r="CY20" s="299">
        <v>9</v>
      </c>
      <c r="CZ20" s="299">
        <v>9</v>
      </c>
      <c r="DA20" s="299">
        <v>8</v>
      </c>
      <c r="DB20" s="304">
        <v>0</v>
      </c>
      <c r="DC20" s="304">
        <v>0</v>
      </c>
      <c r="DD20" s="304">
        <v>2</v>
      </c>
      <c r="DE20" s="304">
        <v>3</v>
      </c>
      <c r="DF20" s="304">
        <v>6</v>
      </c>
      <c r="DG20" s="304">
        <v>14</v>
      </c>
      <c r="DH20" s="304">
        <v>12</v>
      </c>
      <c r="DI20" s="299">
        <v>8</v>
      </c>
      <c r="DJ20" s="301" t="s">
        <v>42</v>
      </c>
      <c r="DK20" s="299">
        <v>0</v>
      </c>
      <c r="DL20" s="299">
        <v>0</v>
      </c>
      <c r="DM20" s="304">
        <v>0</v>
      </c>
      <c r="DN20" s="304">
        <v>0</v>
      </c>
      <c r="DO20" s="304">
        <v>0</v>
      </c>
      <c r="DP20" s="304">
        <v>0</v>
      </c>
      <c r="DQ20" s="304">
        <v>0</v>
      </c>
      <c r="DR20" s="299">
        <v>0</v>
      </c>
      <c r="DS20" s="299">
        <v>0</v>
      </c>
      <c r="DT20" s="299">
        <v>0</v>
      </c>
      <c r="DU20" s="299">
        <v>0</v>
      </c>
      <c r="DV20" s="299">
        <v>0</v>
      </c>
      <c r="DW20" s="299">
        <v>0</v>
      </c>
      <c r="DX20" s="299">
        <v>166</v>
      </c>
      <c r="DY20" s="299">
        <v>216</v>
      </c>
      <c r="DZ20" s="299">
        <v>117</v>
      </c>
      <c r="EA20" s="299">
        <v>180</v>
      </c>
      <c r="EB20" s="299">
        <v>242</v>
      </c>
      <c r="EC20" s="299">
        <v>274</v>
      </c>
      <c r="ED20" s="299">
        <v>255</v>
      </c>
      <c r="EE20" s="299">
        <v>218</v>
      </c>
      <c r="EF20" s="299">
        <v>253</v>
      </c>
      <c r="EG20" s="299">
        <v>338</v>
      </c>
      <c r="EH20" s="299">
        <v>336</v>
      </c>
      <c r="EI20" s="299">
        <v>179</v>
      </c>
      <c r="EJ20" s="299">
        <v>197</v>
      </c>
      <c r="EK20" s="304">
        <v>240</v>
      </c>
      <c r="EL20" s="304">
        <v>304</v>
      </c>
      <c r="EM20" s="304">
        <v>384</v>
      </c>
      <c r="EN20" s="304">
        <v>358</v>
      </c>
      <c r="EO20" s="304">
        <v>317</v>
      </c>
      <c r="EP20" s="299">
        <v>278</v>
      </c>
      <c r="EQ20" s="299">
        <v>258</v>
      </c>
      <c r="ER20" s="299">
        <v>221</v>
      </c>
      <c r="ES20" s="299">
        <v>204</v>
      </c>
      <c r="ET20" s="299">
        <v>3</v>
      </c>
      <c r="EU20" s="299">
        <v>1</v>
      </c>
      <c r="EV20" s="304">
        <v>0</v>
      </c>
      <c r="EW20" s="304">
        <v>0</v>
      </c>
      <c r="EX20" s="304">
        <v>0</v>
      </c>
      <c r="EY20" s="304">
        <v>0</v>
      </c>
      <c r="EZ20" s="304">
        <v>0</v>
      </c>
      <c r="FA20" s="299">
        <v>0</v>
      </c>
      <c r="FB20" s="299">
        <v>0</v>
      </c>
      <c r="FC20" s="299">
        <v>0</v>
      </c>
      <c r="FD20" s="299">
        <v>0</v>
      </c>
      <c r="FE20" s="299">
        <v>0</v>
      </c>
      <c r="FF20" s="299">
        <v>0</v>
      </c>
      <c r="FG20" s="304">
        <v>33</v>
      </c>
      <c r="FH20" s="304">
        <v>81</v>
      </c>
      <c r="FI20" s="304">
        <v>214</v>
      </c>
      <c r="FJ20" s="304">
        <v>313</v>
      </c>
      <c r="FK20" s="304">
        <v>222</v>
      </c>
      <c r="FL20" s="299">
        <v>292</v>
      </c>
      <c r="FM20" s="299">
        <v>403</v>
      </c>
      <c r="FN20" s="299">
        <v>415</v>
      </c>
      <c r="FO20" s="299">
        <v>296</v>
      </c>
      <c r="FP20" s="299">
        <v>-2</v>
      </c>
      <c r="FQ20" s="304">
        <v>0</v>
      </c>
      <c r="FR20" s="304">
        <v>0</v>
      </c>
      <c r="FS20" s="304">
        <v>0</v>
      </c>
      <c r="FT20" s="304">
        <v>0</v>
      </c>
      <c r="FU20" s="304">
        <v>0</v>
      </c>
      <c r="FV20" s="304">
        <v>0</v>
      </c>
      <c r="FW20" s="299">
        <v>0</v>
      </c>
      <c r="FX20" s="299">
        <v>0</v>
      </c>
      <c r="FY20" s="299">
        <v>2</v>
      </c>
      <c r="FZ20" s="299">
        <v>36</v>
      </c>
      <c r="GA20" s="299">
        <v>0</v>
      </c>
      <c r="GB20" s="299">
        <v>2</v>
      </c>
      <c r="GC20" s="299">
        <v>2</v>
      </c>
      <c r="GD20" s="299">
        <v>2</v>
      </c>
      <c r="GE20" s="299">
        <v>2</v>
      </c>
      <c r="GF20" s="299">
        <v>3</v>
      </c>
      <c r="GG20" s="299">
        <v>3</v>
      </c>
      <c r="GH20" s="299">
        <v>5</v>
      </c>
      <c r="GI20" s="299">
        <v>12</v>
      </c>
      <c r="GJ20" s="299">
        <v>19</v>
      </c>
      <c r="GK20" s="299">
        <v>22</v>
      </c>
      <c r="GL20" s="299">
        <v>0</v>
      </c>
      <c r="GM20" s="299">
        <v>0</v>
      </c>
      <c r="GN20" s="299">
        <v>0</v>
      </c>
      <c r="GO20" s="299">
        <v>0</v>
      </c>
      <c r="GP20" s="299">
        <v>0</v>
      </c>
      <c r="GQ20" s="299">
        <v>0</v>
      </c>
      <c r="GR20" s="299">
        <v>0</v>
      </c>
      <c r="GS20" s="299">
        <v>0</v>
      </c>
      <c r="GT20" s="299">
        <v>0</v>
      </c>
      <c r="GU20" s="299">
        <v>0</v>
      </c>
      <c r="GV20" s="299">
        <v>0</v>
      </c>
      <c r="GW20" s="299">
        <v>152</v>
      </c>
      <c r="GX20" s="299">
        <v>221</v>
      </c>
      <c r="GY20" s="299">
        <v>294</v>
      </c>
      <c r="GZ20" s="299">
        <v>119</v>
      </c>
      <c r="HA20" s="299">
        <v>68</v>
      </c>
      <c r="HB20" s="299">
        <v>74</v>
      </c>
      <c r="HC20" s="299">
        <v>62</v>
      </c>
      <c r="HD20" s="299">
        <v>76</v>
      </c>
      <c r="HE20" s="299">
        <v>101</v>
      </c>
      <c r="HF20" s="299">
        <v>118</v>
      </c>
      <c r="HG20" s="299">
        <v>139</v>
      </c>
      <c r="HH20" s="299">
        <v>0</v>
      </c>
      <c r="HI20" s="299">
        <v>0</v>
      </c>
      <c r="HJ20" s="299">
        <v>0</v>
      </c>
      <c r="HK20" s="299">
        <v>0</v>
      </c>
      <c r="HL20" s="299">
        <v>0</v>
      </c>
      <c r="HM20" s="299">
        <v>0</v>
      </c>
      <c r="HN20" s="299">
        <v>0</v>
      </c>
      <c r="HO20" s="299">
        <v>0</v>
      </c>
      <c r="HP20" s="299">
        <v>0</v>
      </c>
      <c r="HQ20" s="299"/>
      <c r="HR20" s="299">
        <v>153</v>
      </c>
      <c r="HS20" s="299">
        <v>224</v>
      </c>
      <c r="HT20" s="304">
        <v>270</v>
      </c>
      <c r="HU20" s="304">
        <v>307</v>
      </c>
      <c r="HV20" s="304">
        <v>412</v>
      </c>
      <c r="HW20" s="304">
        <v>466</v>
      </c>
      <c r="HX20" s="304">
        <v>630</v>
      </c>
      <c r="HY20" s="299">
        <v>363</v>
      </c>
      <c r="HZ20" s="299">
        <v>489</v>
      </c>
      <c r="IA20" s="299">
        <v>571</v>
      </c>
      <c r="IB20" s="299">
        <v>577</v>
      </c>
      <c r="IC20" s="299">
        <v>0</v>
      </c>
      <c r="ID20" s="299">
        <v>0</v>
      </c>
      <c r="IE20" s="304">
        <v>0</v>
      </c>
      <c r="IF20" s="304">
        <v>0</v>
      </c>
      <c r="IG20" s="304">
        <v>0</v>
      </c>
      <c r="IH20" s="304">
        <v>0</v>
      </c>
      <c r="II20" s="304">
        <v>0</v>
      </c>
      <c r="IJ20" s="299">
        <v>0</v>
      </c>
      <c r="IK20" s="299">
        <v>0</v>
      </c>
      <c r="IL20" s="299">
        <v>0</v>
      </c>
      <c r="IM20" s="299">
        <v>0</v>
      </c>
      <c r="IN20" s="299">
        <v>181</v>
      </c>
      <c r="IO20" s="299">
        <v>204</v>
      </c>
      <c r="IP20" s="304">
        <v>258</v>
      </c>
      <c r="IQ20" s="304">
        <v>169</v>
      </c>
      <c r="IR20" s="304">
        <v>120</v>
      </c>
      <c r="IS20" s="304">
        <v>68</v>
      </c>
      <c r="IT20" s="304">
        <v>20</v>
      </c>
      <c r="IU20" s="299">
        <v>6</v>
      </c>
      <c r="IV20" s="299">
        <v>0</v>
      </c>
      <c r="IW20" s="299">
        <v>5</v>
      </c>
      <c r="IX20" s="299">
        <v>5</v>
      </c>
      <c r="IY20" s="299">
        <v>7</v>
      </c>
      <c r="IZ20" s="299">
        <v>2</v>
      </c>
      <c r="JA20" s="299">
        <v>1</v>
      </c>
      <c r="JB20" s="299">
        <v>1</v>
      </c>
      <c r="JC20" s="299">
        <v>3</v>
      </c>
      <c r="JD20" s="299">
        <v>3</v>
      </c>
      <c r="JE20" s="299">
        <v>5</v>
      </c>
      <c r="JF20" s="299">
        <v>4</v>
      </c>
      <c r="JG20" s="299">
        <v>64</v>
      </c>
      <c r="JH20" s="299">
        <v>102</v>
      </c>
      <c r="JI20" s="299">
        <v>121</v>
      </c>
      <c r="JJ20" s="299">
        <v>1300</v>
      </c>
      <c r="JK20" s="299">
        <v>1593</v>
      </c>
      <c r="JL20" s="299">
        <v>1630</v>
      </c>
      <c r="JM20" s="299">
        <v>1624</v>
      </c>
      <c r="JN20" s="299">
        <v>1996</v>
      </c>
      <c r="JO20" s="299">
        <v>2145</v>
      </c>
      <c r="JP20" s="299">
        <v>2026</v>
      </c>
      <c r="JQ20" s="299">
        <v>1704</v>
      </c>
      <c r="JR20" s="299">
        <v>2007</v>
      </c>
      <c r="JS20" s="299">
        <v>2282</v>
      </c>
      <c r="JT20" s="299">
        <v>2230</v>
      </c>
      <c r="JU20" s="299">
        <v>1545</v>
      </c>
      <c r="JV20" s="299">
        <v>1803</v>
      </c>
      <c r="JW20" s="299">
        <v>1869</v>
      </c>
      <c r="JX20" s="299">
        <v>2038</v>
      </c>
      <c r="JY20" s="299">
        <v>2778</v>
      </c>
      <c r="JZ20" s="302">
        <v>2962</v>
      </c>
      <c r="KA20" s="302">
        <v>3057</v>
      </c>
      <c r="KB20" s="299">
        <v>2405</v>
      </c>
      <c r="KC20" s="303">
        <v>2664</v>
      </c>
      <c r="KD20" s="303">
        <v>3044</v>
      </c>
      <c r="KE20" s="472">
        <v>3023</v>
      </c>
    </row>
    <row r="21" spans="1:291" s="155" customFormat="1" ht="12.75" customHeight="1" x14ac:dyDescent="0.2">
      <c r="A21" s="395">
        <v>18</v>
      </c>
      <c r="B21" s="154" t="s">
        <v>276</v>
      </c>
      <c r="C21" s="299">
        <v>281</v>
      </c>
      <c r="D21" s="299">
        <v>295</v>
      </c>
      <c r="E21" s="299">
        <v>274</v>
      </c>
      <c r="F21" s="299">
        <v>136</v>
      </c>
      <c r="G21" s="299">
        <v>102</v>
      </c>
      <c r="H21" s="299">
        <v>70</v>
      </c>
      <c r="I21" s="299">
        <v>139</v>
      </c>
      <c r="J21" s="299">
        <v>150</v>
      </c>
      <c r="K21" s="299">
        <v>185</v>
      </c>
      <c r="L21" s="299">
        <v>236</v>
      </c>
      <c r="M21" s="299">
        <v>251</v>
      </c>
      <c r="N21" s="299">
        <v>0</v>
      </c>
      <c r="O21" s="299">
        <v>0</v>
      </c>
      <c r="P21" s="299">
        <v>77</v>
      </c>
      <c r="Q21" s="299">
        <v>87</v>
      </c>
      <c r="R21" s="299">
        <v>30</v>
      </c>
      <c r="S21" s="299">
        <v>15</v>
      </c>
      <c r="T21" s="299">
        <v>10</v>
      </c>
      <c r="U21" s="299">
        <v>9</v>
      </c>
      <c r="V21" s="299">
        <v>9</v>
      </c>
      <c r="W21" s="299">
        <v>11</v>
      </c>
      <c r="X21" s="299">
        <v>6</v>
      </c>
      <c r="Y21" s="299">
        <v>7</v>
      </c>
      <c r="Z21" s="299">
        <v>5</v>
      </c>
      <c r="AA21" s="299">
        <v>0</v>
      </c>
      <c r="AB21" s="299">
        <v>0</v>
      </c>
      <c r="AC21" s="299">
        <v>0</v>
      </c>
      <c r="AD21" s="299">
        <v>0</v>
      </c>
      <c r="AE21" s="299">
        <v>0</v>
      </c>
      <c r="AF21" s="299">
        <v>0</v>
      </c>
      <c r="AG21" s="299">
        <v>0</v>
      </c>
      <c r="AH21" s="299">
        <v>0</v>
      </c>
      <c r="AI21" s="299">
        <v>0</v>
      </c>
      <c r="AJ21" s="299">
        <v>0</v>
      </c>
      <c r="AK21" s="299">
        <v>0</v>
      </c>
      <c r="AL21" s="299">
        <v>2</v>
      </c>
      <c r="AM21" s="299">
        <v>1</v>
      </c>
      <c r="AN21" s="304">
        <v>0</v>
      </c>
      <c r="AO21" s="304">
        <v>0</v>
      </c>
      <c r="AP21" s="304">
        <v>6</v>
      </c>
      <c r="AQ21" s="304">
        <v>6</v>
      </c>
      <c r="AR21" s="304">
        <v>6</v>
      </c>
      <c r="AS21" s="299">
        <v>6</v>
      </c>
      <c r="AT21" s="299">
        <v>0</v>
      </c>
      <c r="AU21" s="299">
        <v>0</v>
      </c>
      <c r="AV21" s="299">
        <v>0</v>
      </c>
      <c r="AW21" s="299">
        <v>26</v>
      </c>
      <c r="AX21" s="299">
        <v>26</v>
      </c>
      <c r="AY21" s="304">
        <v>27</v>
      </c>
      <c r="AZ21" s="304">
        <v>28</v>
      </c>
      <c r="BA21" s="304">
        <v>28</v>
      </c>
      <c r="BB21" s="304">
        <v>27</v>
      </c>
      <c r="BC21" s="304">
        <v>0</v>
      </c>
      <c r="BD21" s="299">
        <v>0</v>
      </c>
      <c r="BE21" s="299">
        <v>0</v>
      </c>
      <c r="BF21" s="299">
        <v>0</v>
      </c>
      <c r="BG21" s="299">
        <v>0</v>
      </c>
      <c r="BH21" s="299">
        <v>194</v>
      </c>
      <c r="BI21" s="299">
        <v>201</v>
      </c>
      <c r="BJ21" s="304">
        <v>95</v>
      </c>
      <c r="BK21" s="304">
        <v>37</v>
      </c>
      <c r="BL21" s="304">
        <v>32</v>
      </c>
      <c r="BM21" s="304">
        <v>37</v>
      </c>
      <c r="BN21" s="304">
        <v>22</v>
      </c>
      <c r="BO21" s="299">
        <v>12</v>
      </c>
      <c r="BP21" s="299">
        <v>8</v>
      </c>
      <c r="BQ21" s="299">
        <v>7</v>
      </c>
      <c r="BR21" s="299">
        <v>7</v>
      </c>
      <c r="BS21" s="299">
        <v>0</v>
      </c>
      <c r="BT21" s="299">
        <v>0</v>
      </c>
      <c r="BU21" s="304">
        <v>0</v>
      </c>
      <c r="BV21" s="304">
        <v>0</v>
      </c>
      <c r="BW21" s="304">
        <v>0</v>
      </c>
      <c r="BX21" s="304">
        <v>0</v>
      </c>
      <c r="BY21" s="304">
        <v>0</v>
      </c>
      <c r="BZ21" s="299">
        <v>0</v>
      </c>
      <c r="CA21" s="299">
        <v>17</v>
      </c>
      <c r="CB21" s="299">
        <v>17</v>
      </c>
      <c r="CC21" s="299">
        <v>6</v>
      </c>
      <c r="CD21" s="299">
        <v>0</v>
      </c>
      <c r="CE21" s="299">
        <v>0</v>
      </c>
      <c r="CF21" s="299">
        <v>0</v>
      </c>
      <c r="CG21" s="299">
        <v>0</v>
      </c>
      <c r="CH21" s="299">
        <v>0</v>
      </c>
      <c r="CI21" s="299">
        <v>0</v>
      </c>
      <c r="CJ21" s="299">
        <v>0</v>
      </c>
      <c r="CK21" s="299">
        <v>0</v>
      </c>
      <c r="CL21" s="299">
        <v>0</v>
      </c>
      <c r="CM21" s="299">
        <v>0</v>
      </c>
      <c r="CN21" s="299">
        <v>0</v>
      </c>
      <c r="CO21" s="299">
        <v>0</v>
      </c>
      <c r="CP21" s="299">
        <v>0</v>
      </c>
      <c r="CQ21" s="299">
        <v>0</v>
      </c>
      <c r="CR21" s="304">
        <v>0</v>
      </c>
      <c r="CS21" s="304">
        <v>0</v>
      </c>
      <c r="CT21" s="304">
        <v>0</v>
      </c>
      <c r="CU21" s="304">
        <v>0</v>
      </c>
      <c r="CV21" s="304">
        <v>0</v>
      </c>
      <c r="CW21" s="304">
        <v>0</v>
      </c>
      <c r="CX21" s="299">
        <v>0</v>
      </c>
      <c r="CY21" s="299">
        <v>0</v>
      </c>
      <c r="CZ21" s="299">
        <v>2</v>
      </c>
      <c r="DA21" s="299">
        <v>2</v>
      </c>
      <c r="DB21" s="304">
        <v>0</v>
      </c>
      <c r="DC21" s="304">
        <v>0</v>
      </c>
      <c r="DD21" s="304">
        <v>2</v>
      </c>
      <c r="DE21" s="304">
        <v>0</v>
      </c>
      <c r="DF21" s="304">
        <v>0</v>
      </c>
      <c r="DG21" s="304">
        <v>0</v>
      </c>
      <c r="DH21" s="304">
        <v>0</v>
      </c>
      <c r="DI21" s="299">
        <v>0</v>
      </c>
      <c r="DJ21" s="301" t="s">
        <v>42</v>
      </c>
      <c r="DK21" s="299">
        <v>0</v>
      </c>
      <c r="DL21" s="299">
        <v>0</v>
      </c>
      <c r="DM21" s="299">
        <v>0</v>
      </c>
      <c r="DN21" s="299">
        <v>0</v>
      </c>
      <c r="DO21" s="299">
        <v>0</v>
      </c>
      <c r="DP21" s="299">
        <v>0</v>
      </c>
      <c r="DQ21" s="299">
        <v>0</v>
      </c>
      <c r="DR21" s="299">
        <v>0</v>
      </c>
      <c r="DS21" s="299">
        <v>0</v>
      </c>
      <c r="DT21" s="299">
        <v>0</v>
      </c>
      <c r="DU21" s="299">
        <v>0</v>
      </c>
      <c r="DV21" s="299">
        <v>0</v>
      </c>
      <c r="DW21" s="299">
        <v>0</v>
      </c>
      <c r="DX21" s="299">
        <v>62</v>
      </c>
      <c r="DY21" s="299">
        <v>84</v>
      </c>
      <c r="DZ21" s="304">
        <v>65</v>
      </c>
      <c r="EA21" s="304">
        <v>117</v>
      </c>
      <c r="EB21" s="304">
        <v>147</v>
      </c>
      <c r="EC21" s="304">
        <v>169</v>
      </c>
      <c r="ED21" s="304">
        <v>179</v>
      </c>
      <c r="EE21" s="299">
        <v>170</v>
      </c>
      <c r="EF21" s="299">
        <v>191</v>
      </c>
      <c r="EG21" s="299">
        <v>290</v>
      </c>
      <c r="EH21" s="299">
        <v>381</v>
      </c>
      <c r="EI21" s="299">
        <v>102</v>
      </c>
      <c r="EJ21" s="299">
        <v>109</v>
      </c>
      <c r="EK21" s="304">
        <v>115</v>
      </c>
      <c r="EL21" s="304">
        <v>131</v>
      </c>
      <c r="EM21" s="304">
        <v>160</v>
      </c>
      <c r="EN21" s="304">
        <v>197</v>
      </c>
      <c r="EO21" s="304">
        <v>185</v>
      </c>
      <c r="EP21" s="299">
        <v>177</v>
      </c>
      <c r="EQ21" s="299">
        <v>156</v>
      </c>
      <c r="ER21" s="299">
        <v>192</v>
      </c>
      <c r="ES21" s="299">
        <v>207</v>
      </c>
      <c r="ET21" s="299">
        <v>0</v>
      </c>
      <c r="EU21" s="299">
        <v>0</v>
      </c>
      <c r="EV21" s="304">
        <v>0</v>
      </c>
      <c r="EW21" s="304">
        <v>0</v>
      </c>
      <c r="EX21" s="304">
        <v>0</v>
      </c>
      <c r="EY21" s="304">
        <v>0</v>
      </c>
      <c r="EZ21" s="304">
        <v>0</v>
      </c>
      <c r="FA21" s="299">
        <v>0</v>
      </c>
      <c r="FB21" s="299">
        <v>0</v>
      </c>
      <c r="FC21" s="299">
        <v>0</v>
      </c>
      <c r="FD21" s="299">
        <v>0</v>
      </c>
      <c r="FE21" s="299">
        <v>0</v>
      </c>
      <c r="FF21" s="299">
        <v>0</v>
      </c>
      <c r="FG21" s="304">
        <v>0</v>
      </c>
      <c r="FH21" s="304">
        <v>0</v>
      </c>
      <c r="FI21" s="304">
        <v>0</v>
      </c>
      <c r="FJ21" s="304">
        <v>0</v>
      </c>
      <c r="FK21" s="304">
        <v>0</v>
      </c>
      <c r="FL21" s="299">
        <v>0</v>
      </c>
      <c r="FM21" s="299">
        <v>0</v>
      </c>
      <c r="FN21" s="299">
        <v>0</v>
      </c>
      <c r="FO21" s="299">
        <v>0</v>
      </c>
      <c r="FP21" s="299">
        <v>0</v>
      </c>
      <c r="FQ21" s="304">
        <v>0</v>
      </c>
      <c r="FR21" s="304">
        <v>0</v>
      </c>
      <c r="FS21" s="304">
        <v>0</v>
      </c>
      <c r="FT21" s="304">
        <v>0</v>
      </c>
      <c r="FU21" s="304">
        <v>0</v>
      </c>
      <c r="FV21" s="304">
        <v>0</v>
      </c>
      <c r="FW21" s="299">
        <v>0</v>
      </c>
      <c r="FX21" s="299">
        <v>0</v>
      </c>
      <c r="FY21" s="299">
        <v>0</v>
      </c>
      <c r="FZ21" s="299">
        <v>0</v>
      </c>
      <c r="GA21" s="299">
        <v>0</v>
      </c>
      <c r="GB21" s="299">
        <v>0</v>
      </c>
      <c r="GC21" s="304">
        <v>0</v>
      </c>
      <c r="GD21" s="304">
        <v>0</v>
      </c>
      <c r="GE21" s="304">
        <v>0</v>
      </c>
      <c r="GF21" s="304">
        <v>0</v>
      </c>
      <c r="GG21" s="304">
        <v>0</v>
      </c>
      <c r="GH21" s="299">
        <v>0</v>
      </c>
      <c r="GI21" s="299">
        <v>1</v>
      </c>
      <c r="GJ21" s="299">
        <v>1</v>
      </c>
      <c r="GK21" s="299">
        <v>2</v>
      </c>
      <c r="GL21" s="299">
        <v>0</v>
      </c>
      <c r="GM21" s="304">
        <v>0</v>
      </c>
      <c r="GN21" s="304">
        <v>0</v>
      </c>
      <c r="GO21" s="304">
        <v>0</v>
      </c>
      <c r="GP21" s="304">
        <v>0</v>
      </c>
      <c r="GQ21" s="304">
        <v>0</v>
      </c>
      <c r="GR21" s="304">
        <v>0</v>
      </c>
      <c r="GS21" s="299">
        <v>0</v>
      </c>
      <c r="GT21" s="299">
        <v>0</v>
      </c>
      <c r="GU21" s="299">
        <v>0</v>
      </c>
      <c r="GV21" s="299">
        <v>0</v>
      </c>
      <c r="GW21" s="299">
        <v>156</v>
      </c>
      <c r="GX21" s="299">
        <v>196</v>
      </c>
      <c r="GY21" s="304">
        <v>270</v>
      </c>
      <c r="GZ21" s="304">
        <v>122</v>
      </c>
      <c r="HA21" s="304">
        <v>119</v>
      </c>
      <c r="HB21" s="304">
        <v>184</v>
      </c>
      <c r="HC21" s="304">
        <v>147</v>
      </c>
      <c r="HD21" s="299">
        <v>193</v>
      </c>
      <c r="HE21" s="299">
        <v>265</v>
      </c>
      <c r="HF21" s="299">
        <v>324</v>
      </c>
      <c r="HG21" s="299">
        <v>411</v>
      </c>
      <c r="HH21" s="299">
        <v>0</v>
      </c>
      <c r="HI21" s="299">
        <v>0</v>
      </c>
      <c r="HJ21" s="299">
        <v>0</v>
      </c>
      <c r="HK21" s="299">
        <v>0</v>
      </c>
      <c r="HL21" s="299">
        <v>0</v>
      </c>
      <c r="HM21" s="299">
        <v>0</v>
      </c>
      <c r="HN21" s="299">
        <v>0</v>
      </c>
      <c r="HO21" s="299">
        <v>0</v>
      </c>
      <c r="HP21" s="299">
        <v>0</v>
      </c>
      <c r="HQ21" s="299"/>
      <c r="HR21" s="299">
        <v>70</v>
      </c>
      <c r="HS21" s="299">
        <v>64</v>
      </c>
      <c r="HT21" s="304">
        <v>48</v>
      </c>
      <c r="HU21" s="304">
        <v>62</v>
      </c>
      <c r="HV21" s="304">
        <v>93</v>
      </c>
      <c r="HW21" s="304">
        <v>85</v>
      </c>
      <c r="HX21" s="304">
        <v>115</v>
      </c>
      <c r="HY21" s="299">
        <v>63</v>
      </c>
      <c r="HZ21" s="299">
        <v>109</v>
      </c>
      <c r="IA21" s="299">
        <v>110</v>
      </c>
      <c r="IB21" s="299">
        <v>87</v>
      </c>
      <c r="IC21" s="299">
        <v>0</v>
      </c>
      <c r="ID21" s="299">
        <v>0</v>
      </c>
      <c r="IE21" s="304">
        <v>0</v>
      </c>
      <c r="IF21" s="304">
        <v>0</v>
      </c>
      <c r="IG21" s="304">
        <v>0</v>
      </c>
      <c r="IH21" s="304">
        <v>0</v>
      </c>
      <c r="II21" s="304">
        <v>0</v>
      </c>
      <c r="IJ21" s="299">
        <v>0</v>
      </c>
      <c r="IK21" s="299">
        <v>0</v>
      </c>
      <c r="IL21" s="299">
        <v>0</v>
      </c>
      <c r="IM21" s="299">
        <v>0</v>
      </c>
      <c r="IN21" s="299">
        <v>1</v>
      </c>
      <c r="IO21" s="299">
        <v>1</v>
      </c>
      <c r="IP21" s="304">
        <v>1</v>
      </c>
      <c r="IQ21" s="304">
        <v>0</v>
      </c>
      <c r="IR21" s="304">
        <v>0</v>
      </c>
      <c r="IS21" s="304">
        <v>0</v>
      </c>
      <c r="IT21" s="304">
        <v>0</v>
      </c>
      <c r="IU21" s="299">
        <v>0</v>
      </c>
      <c r="IV21" s="299">
        <v>0</v>
      </c>
      <c r="IW21" s="299">
        <v>0</v>
      </c>
      <c r="IX21" s="299">
        <v>0</v>
      </c>
      <c r="IY21" s="299">
        <v>0</v>
      </c>
      <c r="IZ21" s="299">
        <v>0</v>
      </c>
      <c r="JA21" s="299">
        <v>6</v>
      </c>
      <c r="JB21" s="299">
        <v>3</v>
      </c>
      <c r="JC21" s="299">
        <v>3</v>
      </c>
      <c r="JD21" s="299">
        <v>1</v>
      </c>
      <c r="JE21" s="299">
        <v>1</v>
      </c>
      <c r="JF21" s="299">
        <v>2</v>
      </c>
      <c r="JG21" s="299">
        <v>4</v>
      </c>
      <c r="JH21" s="299">
        <v>20</v>
      </c>
      <c r="JI21" s="299">
        <v>31</v>
      </c>
      <c r="JJ21" s="299">
        <v>690</v>
      </c>
      <c r="JK21" s="299">
        <v>769</v>
      </c>
      <c r="JL21" s="299">
        <v>659</v>
      </c>
      <c r="JM21" s="299">
        <v>515</v>
      </c>
      <c r="JN21" s="299">
        <v>598</v>
      </c>
      <c r="JO21" s="299">
        <v>715</v>
      </c>
      <c r="JP21" s="299">
        <v>664</v>
      </c>
      <c r="JQ21" s="299">
        <v>634</v>
      </c>
      <c r="JR21" s="299">
        <v>757</v>
      </c>
      <c r="JS21" s="299">
        <v>970</v>
      </c>
      <c r="JT21" s="299">
        <v>1139</v>
      </c>
      <c r="JU21" s="299">
        <v>971</v>
      </c>
      <c r="JV21" s="299">
        <v>1064</v>
      </c>
      <c r="JW21" s="299">
        <v>933</v>
      </c>
      <c r="JX21" s="299">
        <v>651</v>
      </c>
      <c r="JY21" s="299">
        <v>700</v>
      </c>
      <c r="JZ21" s="302">
        <v>785</v>
      </c>
      <c r="KA21" s="302">
        <v>803</v>
      </c>
      <c r="KB21" s="299">
        <v>784</v>
      </c>
      <c r="KC21" s="303">
        <v>942</v>
      </c>
      <c r="KD21" s="303">
        <v>1206</v>
      </c>
      <c r="KE21" s="472">
        <v>1390</v>
      </c>
    </row>
    <row r="22" spans="1:291" s="155" customFormat="1" ht="12.75" customHeight="1" x14ac:dyDescent="0.2">
      <c r="A22" s="395">
        <v>19</v>
      </c>
      <c r="B22" s="154" t="s">
        <v>277</v>
      </c>
      <c r="C22" s="299">
        <v>692</v>
      </c>
      <c r="D22" s="299">
        <v>540</v>
      </c>
      <c r="E22" s="299">
        <v>569</v>
      </c>
      <c r="F22" s="299">
        <v>627</v>
      </c>
      <c r="G22" s="299">
        <v>631</v>
      </c>
      <c r="H22" s="299">
        <v>702</v>
      </c>
      <c r="I22" s="299">
        <v>821</v>
      </c>
      <c r="J22" s="299">
        <v>554</v>
      </c>
      <c r="K22" s="299">
        <v>409</v>
      </c>
      <c r="L22" s="299">
        <v>550</v>
      </c>
      <c r="M22" s="299">
        <v>562</v>
      </c>
      <c r="N22" s="299">
        <v>0</v>
      </c>
      <c r="O22" s="299">
        <v>0</v>
      </c>
      <c r="P22" s="299">
        <v>378</v>
      </c>
      <c r="Q22" s="299">
        <v>449</v>
      </c>
      <c r="R22" s="299">
        <v>276</v>
      </c>
      <c r="S22" s="299">
        <v>278</v>
      </c>
      <c r="T22" s="299">
        <v>235</v>
      </c>
      <c r="U22" s="299">
        <v>264</v>
      </c>
      <c r="V22" s="299">
        <v>268</v>
      </c>
      <c r="W22" s="299">
        <v>215</v>
      </c>
      <c r="X22" s="299">
        <v>150</v>
      </c>
      <c r="Y22" s="299">
        <v>130</v>
      </c>
      <c r="Z22" s="299">
        <v>138</v>
      </c>
      <c r="AA22" s="299">
        <v>17</v>
      </c>
      <c r="AB22" s="299">
        <v>5</v>
      </c>
      <c r="AC22" s="299">
        <v>6</v>
      </c>
      <c r="AD22" s="299">
        <v>6</v>
      </c>
      <c r="AE22" s="299">
        <v>6</v>
      </c>
      <c r="AF22" s="299">
        <v>0</v>
      </c>
      <c r="AG22" s="299">
        <v>0</v>
      </c>
      <c r="AH22" s="299">
        <v>0</v>
      </c>
      <c r="AI22" s="299">
        <v>0</v>
      </c>
      <c r="AJ22" s="299">
        <v>0</v>
      </c>
      <c r="AK22" s="299">
        <v>0</v>
      </c>
      <c r="AL22" s="299">
        <v>5</v>
      </c>
      <c r="AM22" s="299">
        <v>12</v>
      </c>
      <c r="AN22" s="299">
        <v>10</v>
      </c>
      <c r="AO22" s="299">
        <v>9</v>
      </c>
      <c r="AP22" s="299">
        <v>8</v>
      </c>
      <c r="AQ22" s="299">
        <v>6</v>
      </c>
      <c r="AR22" s="299">
        <v>6</v>
      </c>
      <c r="AS22" s="299">
        <v>6</v>
      </c>
      <c r="AT22" s="299">
        <v>0</v>
      </c>
      <c r="AU22" s="299">
        <v>13</v>
      </c>
      <c r="AV22" s="299">
        <v>18</v>
      </c>
      <c r="AW22" s="299">
        <v>17</v>
      </c>
      <c r="AX22" s="299">
        <v>13</v>
      </c>
      <c r="AY22" s="299">
        <v>12</v>
      </c>
      <c r="AZ22" s="299">
        <v>13</v>
      </c>
      <c r="BA22" s="299">
        <v>14</v>
      </c>
      <c r="BB22" s="299">
        <v>14</v>
      </c>
      <c r="BC22" s="299">
        <v>3</v>
      </c>
      <c r="BD22" s="299">
        <v>2</v>
      </c>
      <c r="BE22" s="299">
        <v>2</v>
      </c>
      <c r="BF22" s="299">
        <v>4</v>
      </c>
      <c r="BG22" s="299">
        <v>4</v>
      </c>
      <c r="BH22" s="299">
        <v>5</v>
      </c>
      <c r="BI22" s="299">
        <v>5</v>
      </c>
      <c r="BJ22" s="304">
        <v>3</v>
      </c>
      <c r="BK22" s="304">
        <v>2</v>
      </c>
      <c r="BL22" s="304">
        <v>6</v>
      </c>
      <c r="BM22" s="304">
        <v>7</v>
      </c>
      <c r="BN22" s="304">
        <v>11</v>
      </c>
      <c r="BO22" s="299">
        <v>14</v>
      </c>
      <c r="BP22" s="299">
        <v>23</v>
      </c>
      <c r="BQ22" s="299">
        <v>44</v>
      </c>
      <c r="BR22" s="299">
        <v>38</v>
      </c>
      <c r="BS22" s="299">
        <v>0</v>
      </c>
      <c r="BT22" s="299">
        <v>0</v>
      </c>
      <c r="BU22" s="304">
        <v>0</v>
      </c>
      <c r="BV22" s="304">
        <v>0</v>
      </c>
      <c r="BW22" s="304">
        <v>0</v>
      </c>
      <c r="BX22" s="304">
        <v>0</v>
      </c>
      <c r="BY22" s="304">
        <v>0</v>
      </c>
      <c r="BZ22" s="299">
        <v>0</v>
      </c>
      <c r="CA22" s="299">
        <v>3</v>
      </c>
      <c r="CB22" s="299">
        <v>5</v>
      </c>
      <c r="CC22" s="299">
        <v>3</v>
      </c>
      <c r="CD22" s="299">
        <v>0</v>
      </c>
      <c r="CE22" s="299">
        <v>0</v>
      </c>
      <c r="CF22" s="299">
        <v>0</v>
      </c>
      <c r="CG22" s="299">
        <v>0</v>
      </c>
      <c r="CH22" s="299">
        <v>0</v>
      </c>
      <c r="CI22" s="299">
        <v>0</v>
      </c>
      <c r="CJ22" s="299">
        <v>0</v>
      </c>
      <c r="CK22" s="299">
        <v>0</v>
      </c>
      <c r="CL22" s="299">
        <v>0</v>
      </c>
      <c r="CM22" s="299">
        <v>0</v>
      </c>
      <c r="CN22" s="299">
        <v>0</v>
      </c>
      <c r="CO22" s="299">
        <v>0</v>
      </c>
      <c r="CP22" s="299">
        <v>0</v>
      </c>
      <c r="CQ22" s="299">
        <v>0</v>
      </c>
      <c r="CR22" s="304">
        <v>0</v>
      </c>
      <c r="CS22" s="304">
        <v>0</v>
      </c>
      <c r="CT22" s="304">
        <v>0</v>
      </c>
      <c r="CU22" s="304">
        <v>4</v>
      </c>
      <c r="CV22" s="304">
        <v>4</v>
      </c>
      <c r="CW22" s="304">
        <v>4</v>
      </c>
      <c r="CX22" s="299">
        <v>3</v>
      </c>
      <c r="CY22" s="299">
        <v>3</v>
      </c>
      <c r="CZ22" s="299">
        <v>3</v>
      </c>
      <c r="DA22" s="299">
        <v>3</v>
      </c>
      <c r="DB22" s="304">
        <v>0</v>
      </c>
      <c r="DC22" s="304">
        <v>0</v>
      </c>
      <c r="DD22" s="304">
        <v>2</v>
      </c>
      <c r="DE22" s="304">
        <v>-1</v>
      </c>
      <c r="DF22" s="304">
        <v>-2</v>
      </c>
      <c r="DG22" s="304">
        <v>-3</v>
      </c>
      <c r="DH22" s="304">
        <v>1</v>
      </c>
      <c r="DI22" s="299">
        <v>3</v>
      </c>
      <c r="DJ22" s="301" t="s">
        <v>42</v>
      </c>
      <c r="DK22" s="299">
        <v>0</v>
      </c>
      <c r="DL22" s="299">
        <v>0</v>
      </c>
      <c r="DM22" s="304">
        <v>0</v>
      </c>
      <c r="DN22" s="304">
        <v>0</v>
      </c>
      <c r="DO22" s="304">
        <v>0</v>
      </c>
      <c r="DP22" s="304">
        <v>14</v>
      </c>
      <c r="DQ22" s="304">
        <v>17</v>
      </c>
      <c r="DR22" s="299">
        <v>38</v>
      </c>
      <c r="DS22" s="299">
        <v>34</v>
      </c>
      <c r="DT22" s="299">
        <v>34</v>
      </c>
      <c r="DU22" s="299">
        <v>34</v>
      </c>
      <c r="DV22" s="299">
        <v>0</v>
      </c>
      <c r="DW22" s="299">
        <v>0</v>
      </c>
      <c r="DX22" s="299">
        <v>120</v>
      </c>
      <c r="DY22" s="299">
        <v>166</v>
      </c>
      <c r="DZ22" s="304">
        <v>107</v>
      </c>
      <c r="EA22" s="304">
        <v>176</v>
      </c>
      <c r="EB22" s="304">
        <v>220</v>
      </c>
      <c r="EC22" s="304">
        <v>237</v>
      </c>
      <c r="ED22" s="304">
        <v>182</v>
      </c>
      <c r="EE22" s="299">
        <v>177</v>
      </c>
      <c r="EF22" s="299">
        <v>226</v>
      </c>
      <c r="EG22" s="299">
        <v>264</v>
      </c>
      <c r="EH22" s="299">
        <v>269</v>
      </c>
      <c r="EI22" s="299">
        <v>188</v>
      </c>
      <c r="EJ22" s="299">
        <v>249</v>
      </c>
      <c r="EK22" s="304">
        <v>291</v>
      </c>
      <c r="EL22" s="304">
        <v>356</v>
      </c>
      <c r="EM22" s="304">
        <v>364</v>
      </c>
      <c r="EN22" s="304">
        <v>424</v>
      </c>
      <c r="EO22" s="304">
        <v>429</v>
      </c>
      <c r="EP22" s="299">
        <v>455</v>
      </c>
      <c r="EQ22" s="299">
        <v>474</v>
      </c>
      <c r="ER22" s="299">
        <v>419</v>
      </c>
      <c r="ES22" s="299">
        <v>416</v>
      </c>
      <c r="ET22" s="299">
        <v>0</v>
      </c>
      <c r="EU22" s="299">
        <v>0</v>
      </c>
      <c r="EV22" s="304">
        <v>0</v>
      </c>
      <c r="EW22" s="304">
        <v>1</v>
      </c>
      <c r="EX22" s="304">
        <v>1</v>
      </c>
      <c r="EY22" s="304">
        <v>0</v>
      </c>
      <c r="EZ22" s="304">
        <v>1</v>
      </c>
      <c r="FA22" s="299">
        <v>1</v>
      </c>
      <c r="FB22" s="299">
        <v>1</v>
      </c>
      <c r="FC22" s="299">
        <v>1</v>
      </c>
      <c r="FD22" s="299">
        <v>2</v>
      </c>
      <c r="FE22" s="299">
        <v>0</v>
      </c>
      <c r="FF22" s="299">
        <v>0</v>
      </c>
      <c r="FG22" s="304">
        <v>0</v>
      </c>
      <c r="FH22" s="304">
        <v>0</v>
      </c>
      <c r="FI22" s="304">
        <v>0</v>
      </c>
      <c r="FJ22" s="304">
        <v>0</v>
      </c>
      <c r="FK22" s="304">
        <v>0</v>
      </c>
      <c r="FL22" s="299">
        <v>0</v>
      </c>
      <c r="FM22" s="299">
        <v>0</v>
      </c>
      <c r="FN22" s="299">
        <v>0</v>
      </c>
      <c r="FO22" s="299">
        <v>0</v>
      </c>
      <c r="FP22" s="299">
        <v>0</v>
      </c>
      <c r="FQ22" s="304">
        <v>0</v>
      </c>
      <c r="FR22" s="304">
        <v>0</v>
      </c>
      <c r="FS22" s="304">
        <v>0</v>
      </c>
      <c r="FT22" s="304">
        <v>0</v>
      </c>
      <c r="FU22" s="304">
        <v>6</v>
      </c>
      <c r="FV22" s="304">
        <v>23</v>
      </c>
      <c r="FW22" s="299">
        <v>31</v>
      </c>
      <c r="FX22" s="299">
        <v>38</v>
      </c>
      <c r="FY22" s="299">
        <v>54</v>
      </c>
      <c r="FZ22" s="299">
        <v>63</v>
      </c>
      <c r="GA22" s="299">
        <v>2</v>
      </c>
      <c r="GB22" s="299">
        <v>0</v>
      </c>
      <c r="GC22" s="299">
        <v>0</v>
      </c>
      <c r="GD22" s="299">
        <v>0</v>
      </c>
      <c r="GE22" s="299">
        <v>0</v>
      </c>
      <c r="GF22" s="299">
        <v>1</v>
      </c>
      <c r="GG22" s="299">
        <v>1</v>
      </c>
      <c r="GH22" s="299">
        <v>2</v>
      </c>
      <c r="GI22" s="299">
        <v>2</v>
      </c>
      <c r="GJ22" s="299">
        <v>4</v>
      </c>
      <c r="GK22" s="299">
        <v>4</v>
      </c>
      <c r="GL22" s="299">
        <v>0</v>
      </c>
      <c r="GM22" s="299">
        <v>7</v>
      </c>
      <c r="GN22" s="299">
        <v>23</v>
      </c>
      <c r="GO22" s="299">
        <v>35</v>
      </c>
      <c r="GP22" s="299">
        <v>33</v>
      </c>
      <c r="GQ22" s="299">
        <v>42</v>
      </c>
      <c r="GR22" s="299">
        <v>74</v>
      </c>
      <c r="GS22" s="299">
        <v>87</v>
      </c>
      <c r="GT22" s="299">
        <v>109</v>
      </c>
      <c r="GU22" s="299">
        <v>122</v>
      </c>
      <c r="GV22" s="299">
        <v>129</v>
      </c>
      <c r="GW22" s="299">
        <v>7</v>
      </c>
      <c r="GX22" s="299">
        <v>7</v>
      </c>
      <c r="GY22" s="304">
        <v>7</v>
      </c>
      <c r="GZ22" s="304">
        <v>7</v>
      </c>
      <c r="HA22" s="304">
        <v>3</v>
      </c>
      <c r="HB22" s="304">
        <v>1</v>
      </c>
      <c r="HC22" s="304">
        <v>0</v>
      </c>
      <c r="HD22" s="299">
        <v>0</v>
      </c>
      <c r="HE22" s="299">
        <v>3</v>
      </c>
      <c r="HF22" s="299">
        <v>4</v>
      </c>
      <c r="HG22" s="299">
        <v>10</v>
      </c>
      <c r="HH22" s="299">
        <v>0</v>
      </c>
      <c r="HI22" s="299">
        <v>0</v>
      </c>
      <c r="HJ22" s="299">
        <v>0</v>
      </c>
      <c r="HK22" s="299">
        <v>0</v>
      </c>
      <c r="HL22" s="299">
        <v>0</v>
      </c>
      <c r="HM22" s="299">
        <v>0</v>
      </c>
      <c r="HN22" s="299">
        <v>0</v>
      </c>
      <c r="HO22" s="299">
        <v>0</v>
      </c>
      <c r="HP22" s="299">
        <v>0</v>
      </c>
      <c r="HQ22" s="299"/>
      <c r="HR22" s="299">
        <v>144</v>
      </c>
      <c r="HS22" s="299">
        <v>162</v>
      </c>
      <c r="HT22" s="304">
        <v>137</v>
      </c>
      <c r="HU22" s="304">
        <v>128</v>
      </c>
      <c r="HV22" s="304">
        <v>203</v>
      </c>
      <c r="HW22" s="304">
        <v>285</v>
      </c>
      <c r="HX22" s="304">
        <v>430</v>
      </c>
      <c r="HY22" s="299">
        <v>383</v>
      </c>
      <c r="HZ22" s="299">
        <v>622</v>
      </c>
      <c r="IA22" s="299">
        <v>680</v>
      </c>
      <c r="IB22" s="299">
        <v>543</v>
      </c>
      <c r="IC22" s="299">
        <v>0</v>
      </c>
      <c r="ID22" s="299">
        <v>0</v>
      </c>
      <c r="IE22" s="304">
        <v>0</v>
      </c>
      <c r="IF22" s="304">
        <v>0</v>
      </c>
      <c r="IG22" s="304">
        <v>0</v>
      </c>
      <c r="IH22" s="304">
        <v>0</v>
      </c>
      <c r="II22" s="304">
        <v>0</v>
      </c>
      <c r="IJ22" s="299">
        <v>0</v>
      </c>
      <c r="IK22" s="299">
        <v>0</v>
      </c>
      <c r="IL22" s="299">
        <v>0</v>
      </c>
      <c r="IM22" s="299">
        <v>0</v>
      </c>
      <c r="IN22" s="299">
        <v>0</v>
      </c>
      <c r="IO22" s="299">
        <v>0</v>
      </c>
      <c r="IP22" s="304">
        <v>0</v>
      </c>
      <c r="IQ22" s="304">
        <v>0</v>
      </c>
      <c r="IR22" s="304">
        <v>0</v>
      </c>
      <c r="IS22" s="304">
        <v>0</v>
      </c>
      <c r="IT22" s="304">
        <v>0</v>
      </c>
      <c r="IU22" s="299">
        <v>0</v>
      </c>
      <c r="IV22" s="299">
        <v>0</v>
      </c>
      <c r="IW22" s="299">
        <v>0</v>
      </c>
      <c r="IX22" s="299">
        <v>3</v>
      </c>
      <c r="IY22" s="299">
        <v>14</v>
      </c>
      <c r="IZ22" s="299">
        <v>9</v>
      </c>
      <c r="JA22" s="299">
        <v>10</v>
      </c>
      <c r="JB22" s="299">
        <v>12</v>
      </c>
      <c r="JC22" s="299">
        <v>10</v>
      </c>
      <c r="JD22" s="299">
        <v>9</v>
      </c>
      <c r="JE22" s="299">
        <v>10</v>
      </c>
      <c r="JF22" s="299">
        <v>3</v>
      </c>
      <c r="JG22" s="299">
        <v>3</v>
      </c>
      <c r="JH22" s="299">
        <v>29</v>
      </c>
      <c r="JI22" s="299">
        <v>72</v>
      </c>
      <c r="JJ22" s="299">
        <v>897</v>
      </c>
      <c r="JK22" s="299">
        <v>1084</v>
      </c>
      <c r="JL22" s="299">
        <v>884</v>
      </c>
      <c r="JM22" s="299">
        <v>1022</v>
      </c>
      <c r="JN22" s="299">
        <v>1105</v>
      </c>
      <c r="JO22" s="299">
        <v>1311</v>
      </c>
      <c r="JP22" s="299">
        <v>1460</v>
      </c>
      <c r="JQ22" s="299">
        <v>1420</v>
      </c>
      <c r="JR22" s="299">
        <v>1693</v>
      </c>
      <c r="JS22" s="299">
        <v>1810</v>
      </c>
      <c r="JT22" s="299">
        <v>1749</v>
      </c>
      <c r="JU22" s="299">
        <v>1589</v>
      </c>
      <c r="JV22" s="299">
        <v>1624</v>
      </c>
      <c r="JW22" s="299">
        <v>1453</v>
      </c>
      <c r="JX22" s="299">
        <v>1649</v>
      </c>
      <c r="JY22" s="299">
        <v>1736</v>
      </c>
      <c r="JZ22" s="302">
        <v>2013</v>
      </c>
      <c r="KA22" s="302">
        <v>2281</v>
      </c>
      <c r="KB22" s="299">
        <v>1974</v>
      </c>
      <c r="KC22" s="303">
        <v>2102</v>
      </c>
      <c r="KD22" s="303">
        <v>2360</v>
      </c>
      <c r="KE22" s="472">
        <v>2311</v>
      </c>
    </row>
    <row r="23" spans="1:291" s="155" customFormat="1" ht="12.75" customHeight="1" x14ac:dyDescent="0.2">
      <c r="A23" s="395">
        <v>20</v>
      </c>
      <c r="B23" s="154" t="s">
        <v>278</v>
      </c>
      <c r="C23" s="299">
        <v>33997</v>
      </c>
      <c r="D23" s="299">
        <v>32201</v>
      </c>
      <c r="E23" s="299">
        <v>39269</v>
      </c>
      <c r="F23" s="299">
        <v>43415</v>
      </c>
      <c r="G23" s="299">
        <v>42893</v>
      </c>
      <c r="H23" s="299">
        <v>45334</v>
      </c>
      <c r="I23" s="299">
        <v>63085</v>
      </c>
      <c r="J23" s="299">
        <v>60824</v>
      </c>
      <c r="K23" s="299">
        <v>59590</v>
      </c>
      <c r="L23" s="299">
        <v>56152</v>
      </c>
      <c r="M23" s="299">
        <v>59055</v>
      </c>
      <c r="N23" s="299">
        <v>0</v>
      </c>
      <c r="O23" s="299">
        <v>0</v>
      </c>
      <c r="P23" s="299">
        <v>4609</v>
      </c>
      <c r="Q23" s="299">
        <v>5551</v>
      </c>
      <c r="R23" s="299">
        <v>4402</v>
      </c>
      <c r="S23" s="299">
        <v>4807</v>
      </c>
      <c r="T23" s="299">
        <v>4328</v>
      </c>
      <c r="U23" s="299">
        <v>4763</v>
      </c>
      <c r="V23" s="299">
        <v>5080</v>
      </c>
      <c r="W23" s="299">
        <v>4468</v>
      </c>
      <c r="X23" s="299">
        <v>3425</v>
      </c>
      <c r="Y23" s="299">
        <v>3395</v>
      </c>
      <c r="Z23" s="299">
        <v>3881</v>
      </c>
      <c r="AA23" s="299">
        <v>586</v>
      </c>
      <c r="AB23" s="299">
        <v>513</v>
      </c>
      <c r="AC23" s="299">
        <v>503</v>
      </c>
      <c r="AD23" s="299">
        <v>499</v>
      </c>
      <c r="AE23" s="299">
        <v>496</v>
      </c>
      <c r="AF23" s="299">
        <v>121</v>
      </c>
      <c r="AG23" s="299">
        <v>34</v>
      </c>
      <c r="AH23" s="299">
        <v>14</v>
      </c>
      <c r="AI23" s="299">
        <v>13</v>
      </c>
      <c r="AJ23" s="299">
        <v>13</v>
      </c>
      <c r="AK23" s="299">
        <v>13</v>
      </c>
      <c r="AL23" s="299">
        <v>247</v>
      </c>
      <c r="AM23" s="299">
        <v>219</v>
      </c>
      <c r="AN23" s="299">
        <v>172</v>
      </c>
      <c r="AO23" s="299">
        <v>180</v>
      </c>
      <c r="AP23" s="299">
        <v>253</v>
      </c>
      <c r="AQ23" s="299">
        <v>169</v>
      </c>
      <c r="AR23" s="299">
        <v>176</v>
      </c>
      <c r="AS23" s="299">
        <v>210</v>
      </c>
      <c r="AT23" s="299">
        <v>57</v>
      </c>
      <c r="AU23" s="299">
        <v>115</v>
      </c>
      <c r="AV23" s="299">
        <v>154</v>
      </c>
      <c r="AW23" s="299">
        <v>976</v>
      </c>
      <c r="AX23" s="299">
        <v>737</v>
      </c>
      <c r="AY23" s="299">
        <v>882</v>
      </c>
      <c r="AZ23" s="299">
        <v>970</v>
      </c>
      <c r="BA23" s="299">
        <v>755</v>
      </c>
      <c r="BB23" s="299">
        <v>551</v>
      </c>
      <c r="BC23" s="299">
        <v>362</v>
      </c>
      <c r="BD23" s="299">
        <v>452</v>
      </c>
      <c r="BE23" s="299">
        <v>403</v>
      </c>
      <c r="BF23" s="299">
        <v>357</v>
      </c>
      <c r="BG23" s="299">
        <v>250</v>
      </c>
      <c r="BH23" s="299">
        <v>8776</v>
      </c>
      <c r="BI23" s="299">
        <v>7431</v>
      </c>
      <c r="BJ23" s="299">
        <v>7043</v>
      </c>
      <c r="BK23" s="299">
        <v>6384</v>
      </c>
      <c r="BL23" s="299">
        <v>6360</v>
      </c>
      <c r="BM23" s="299">
        <v>6657</v>
      </c>
      <c r="BN23" s="299">
        <v>6520</v>
      </c>
      <c r="BO23" s="299">
        <v>6633</v>
      </c>
      <c r="BP23" s="299">
        <v>8517</v>
      </c>
      <c r="BQ23" s="299">
        <v>10050</v>
      </c>
      <c r="BR23" s="299">
        <v>10780</v>
      </c>
      <c r="BS23" s="299">
        <v>703</v>
      </c>
      <c r="BT23" s="299">
        <v>750</v>
      </c>
      <c r="BU23" s="299">
        <v>733</v>
      </c>
      <c r="BV23" s="299">
        <v>1041</v>
      </c>
      <c r="BW23" s="299">
        <v>1834</v>
      </c>
      <c r="BX23" s="299">
        <v>623</v>
      </c>
      <c r="BY23" s="299">
        <v>2046</v>
      </c>
      <c r="BZ23" s="299">
        <v>2343</v>
      </c>
      <c r="CA23" s="299">
        <v>2909</v>
      </c>
      <c r="CB23" s="299">
        <v>3628</v>
      </c>
      <c r="CC23" s="299">
        <v>3871</v>
      </c>
      <c r="CD23" s="299">
        <v>0</v>
      </c>
      <c r="CE23" s="299">
        <v>0</v>
      </c>
      <c r="CF23" s="299">
        <v>0</v>
      </c>
      <c r="CG23" s="299">
        <v>0</v>
      </c>
      <c r="CH23" s="299">
        <v>0</v>
      </c>
      <c r="CI23" s="299">
        <v>0</v>
      </c>
      <c r="CJ23" s="299">
        <v>9</v>
      </c>
      <c r="CK23" s="299">
        <v>7</v>
      </c>
      <c r="CL23" s="299">
        <v>5</v>
      </c>
      <c r="CM23" s="299">
        <v>5</v>
      </c>
      <c r="CN23" s="299">
        <v>1</v>
      </c>
      <c r="CO23" s="299">
        <v>0</v>
      </c>
      <c r="CP23" s="299">
        <v>0</v>
      </c>
      <c r="CQ23" s="299">
        <v>194</v>
      </c>
      <c r="CR23" s="304">
        <v>312</v>
      </c>
      <c r="CS23" s="304">
        <v>522</v>
      </c>
      <c r="CT23" s="304">
        <v>866</v>
      </c>
      <c r="CU23" s="304">
        <v>1242</v>
      </c>
      <c r="CV23" s="304">
        <v>1724</v>
      </c>
      <c r="CW23" s="304">
        <v>1975</v>
      </c>
      <c r="CX23" s="299">
        <v>2130</v>
      </c>
      <c r="CY23" s="299">
        <v>2305</v>
      </c>
      <c r="CZ23" s="299">
        <v>2537</v>
      </c>
      <c r="DA23" s="299">
        <v>2413</v>
      </c>
      <c r="DB23" s="304">
        <v>1411</v>
      </c>
      <c r="DC23" s="304">
        <v>2380</v>
      </c>
      <c r="DD23" s="304">
        <v>2785</v>
      </c>
      <c r="DE23" s="304">
        <v>2631</v>
      </c>
      <c r="DF23" s="304">
        <v>2992</v>
      </c>
      <c r="DG23" s="304">
        <v>2911</v>
      </c>
      <c r="DH23" s="304">
        <v>2145</v>
      </c>
      <c r="DI23" s="299">
        <v>2076</v>
      </c>
      <c r="DJ23" s="301" t="s">
        <v>42</v>
      </c>
      <c r="DK23" s="299">
        <v>331</v>
      </c>
      <c r="DL23" s="299">
        <v>380</v>
      </c>
      <c r="DM23" s="304">
        <v>149</v>
      </c>
      <c r="DN23" s="304">
        <v>240</v>
      </c>
      <c r="DO23" s="304">
        <v>132</v>
      </c>
      <c r="DP23" s="304">
        <v>80</v>
      </c>
      <c r="DQ23" s="304">
        <v>55</v>
      </c>
      <c r="DR23" s="299">
        <v>217</v>
      </c>
      <c r="DS23" s="299">
        <v>222</v>
      </c>
      <c r="DT23" s="299">
        <v>294</v>
      </c>
      <c r="DU23" s="299">
        <v>315</v>
      </c>
      <c r="DV23" s="299">
        <v>1</v>
      </c>
      <c r="DW23" s="299">
        <v>1</v>
      </c>
      <c r="DX23" s="299">
        <v>1676</v>
      </c>
      <c r="DY23" s="299">
        <v>2208</v>
      </c>
      <c r="DZ23" s="299">
        <v>1815</v>
      </c>
      <c r="EA23" s="299">
        <v>2437</v>
      </c>
      <c r="EB23" s="299">
        <v>2795</v>
      </c>
      <c r="EC23" s="299">
        <v>3176</v>
      </c>
      <c r="ED23" s="299">
        <v>3301</v>
      </c>
      <c r="EE23" s="299">
        <v>3312</v>
      </c>
      <c r="EF23" s="299">
        <v>6724</v>
      </c>
      <c r="EG23" s="299">
        <v>8303</v>
      </c>
      <c r="EH23" s="299">
        <v>9592</v>
      </c>
      <c r="EI23" s="299">
        <v>5014</v>
      </c>
      <c r="EJ23" s="299">
        <v>4903</v>
      </c>
      <c r="EK23" s="304">
        <v>5506</v>
      </c>
      <c r="EL23" s="304">
        <v>5959</v>
      </c>
      <c r="EM23" s="304">
        <v>6532</v>
      </c>
      <c r="EN23" s="304">
        <v>7140</v>
      </c>
      <c r="EO23" s="304">
        <v>6902</v>
      </c>
      <c r="EP23" s="299">
        <v>7293</v>
      </c>
      <c r="EQ23" s="299">
        <v>7249</v>
      </c>
      <c r="ER23" s="299">
        <v>7128</v>
      </c>
      <c r="ES23" s="299">
        <v>6962</v>
      </c>
      <c r="ET23" s="299">
        <v>175</v>
      </c>
      <c r="EU23" s="299">
        <v>144</v>
      </c>
      <c r="EV23" s="299">
        <v>197</v>
      </c>
      <c r="EW23" s="299">
        <v>119</v>
      </c>
      <c r="EX23" s="299">
        <v>131</v>
      </c>
      <c r="EY23" s="299">
        <v>0</v>
      </c>
      <c r="EZ23" s="299">
        <v>90</v>
      </c>
      <c r="FA23" s="299">
        <v>76</v>
      </c>
      <c r="FB23" s="299">
        <v>51</v>
      </c>
      <c r="FC23" s="299">
        <v>33</v>
      </c>
      <c r="FD23" s="299">
        <v>292</v>
      </c>
      <c r="FE23" s="299">
        <v>692</v>
      </c>
      <c r="FF23" s="299">
        <v>1262</v>
      </c>
      <c r="FG23" s="304">
        <v>1970</v>
      </c>
      <c r="FH23" s="304">
        <v>2019</v>
      </c>
      <c r="FI23" s="304">
        <v>2262</v>
      </c>
      <c r="FJ23" s="304">
        <v>1772</v>
      </c>
      <c r="FK23" s="304">
        <v>1578</v>
      </c>
      <c r="FL23" s="299">
        <v>1745</v>
      </c>
      <c r="FM23" s="299">
        <v>1829</v>
      </c>
      <c r="FN23" s="299">
        <v>1906</v>
      </c>
      <c r="FO23" s="299">
        <v>2439</v>
      </c>
      <c r="FP23" s="299">
        <v>719</v>
      </c>
      <c r="FQ23" s="299">
        <v>968</v>
      </c>
      <c r="FR23" s="299">
        <v>1070</v>
      </c>
      <c r="FS23" s="299">
        <v>1125</v>
      </c>
      <c r="FT23" s="299">
        <v>977</v>
      </c>
      <c r="FU23" s="299">
        <v>937</v>
      </c>
      <c r="FV23" s="299">
        <v>1083</v>
      </c>
      <c r="FW23" s="299">
        <v>1290</v>
      </c>
      <c r="FX23" s="299">
        <v>1684</v>
      </c>
      <c r="FY23" s="299">
        <v>2401</v>
      </c>
      <c r="FZ23" s="299">
        <v>3371</v>
      </c>
      <c r="GA23" s="299">
        <v>708</v>
      </c>
      <c r="GB23" s="299">
        <v>325</v>
      </c>
      <c r="GC23" s="299">
        <v>221</v>
      </c>
      <c r="GD23" s="299">
        <v>166</v>
      </c>
      <c r="GE23" s="299">
        <v>179</v>
      </c>
      <c r="GF23" s="299">
        <v>238</v>
      </c>
      <c r="GG23" s="299">
        <v>292</v>
      </c>
      <c r="GH23" s="299">
        <v>394</v>
      </c>
      <c r="GI23" s="299">
        <v>677</v>
      </c>
      <c r="GJ23" s="299">
        <v>1104</v>
      </c>
      <c r="GK23" s="299">
        <v>1530</v>
      </c>
      <c r="GL23" s="299">
        <v>1</v>
      </c>
      <c r="GM23" s="299">
        <v>28</v>
      </c>
      <c r="GN23" s="299">
        <v>99</v>
      </c>
      <c r="GO23" s="299">
        <v>338</v>
      </c>
      <c r="GP23" s="299">
        <v>263</v>
      </c>
      <c r="GQ23" s="299">
        <v>301</v>
      </c>
      <c r="GR23" s="299">
        <v>331</v>
      </c>
      <c r="GS23" s="299">
        <v>376</v>
      </c>
      <c r="GT23" s="299">
        <v>435</v>
      </c>
      <c r="GU23" s="299">
        <v>523</v>
      </c>
      <c r="GV23" s="299">
        <v>613</v>
      </c>
      <c r="GW23" s="299">
        <v>3384</v>
      </c>
      <c r="GX23" s="299">
        <v>4429</v>
      </c>
      <c r="GY23" s="299">
        <v>5491</v>
      </c>
      <c r="GZ23" s="299">
        <v>2380</v>
      </c>
      <c r="HA23" s="299">
        <v>2050</v>
      </c>
      <c r="HB23" s="299">
        <v>2357</v>
      </c>
      <c r="HC23" s="299">
        <v>1730</v>
      </c>
      <c r="HD23" s="299">
        <v>1605</v>
      </c>
      <c r="HE23" s="299">
        <v>1700</v>
      </c>
      <c r="HF23" s="299">
        <v>1650</v>
      </c>
      <c r="HG23" s="299">
        <v>1902</v>
      </c>
      <c r="HH23" s="299">
        <v>344</v>
      </c>
      <c r="HI23" s="299">
        <v>346</v>
      </c>
      <c r="HJ23" s="299">
        <v>289</v>
      </c>
      <c r="HK23" s="299">
        <v>0</v>
      </c>
      <c r="HL23" s="299">
        <v>289</v>
      </c>
      <c r="HM23" s="299">
        <v>288</v>
      </c>
      <c r="HN23" s="299">
        <v>287</v>
      </c>
      <c r="HO23" s="299">
        <v>284</v>
      </c>
      <c r="HP23" s="299">
        <v>283</v>
      </c>
      <c r="HQ23" s="299"/>
      <c r="HR23" s="299">
        <v>4692</v>
      </c>
      <c r="HS23" s="299">
        <v>5178</v>
      </c>
      <c r="HT23" s="299">
        <v>5586</v>
      </c>
      <c r="HU23" s="299">
        <v>6341</v>
      </c>
      <c r="HV23" s="299">
        <v>7133</v>
      </c>
      <c r="HW23" s="299">
        <v>7422</v>
      </c>
      <c r="HX23" s="299">
        <v>9482</v>
      </c>
      <c r="HY23" s="299">
        <v>8009</v>
      </c>
      <c r="HZ23" s="299">
        <v>10675</v>
      </c>
      <c r="IA23" s="299">
        <v>11860</v>
      </c>
      <c r="IB23" s="299">
        <v>11980</v>
      </c>
      <c r="IC23" s="299">
        <v>19</v>
      </c>
      <c r="ID23" s="299">
        <v>16</v>
      </c>
      <c r="IE23" s="299">
        <v>16</v>
      </c>
      <c r="IF23" s="299">
        <v>15</v>
      </c>
      <c r="IG23" s="299">
        <v>14</v>
      </c>
      <c r="IH23" s="299">
        <v>14</v>
      </c>
      <c r="II23" s="299">
        <v>11</v>
      </c>
      <c r="IJ23" s="299">
        <v>11</v>
      </c>
      <c r="IK23" s="299">
        <v>5</v>
      </c>
      <c r="IL23" s="299">
        <v>5</v>
      </c>
      <c r="IM23" s="299">
        <v>3</v>
      </c>
      <c r="IN23" s="299">
        <v>139</v>
      </c>
      <c r="IO23" s="299">
        <v>185</v>
      </c>
      <c r="IP23" s="299">
        <v>193</v>
      </c>
      <c r="IQ23" s="299">
        <v>108</v>
      </c>
      <c r="IR23" s="299">
        <v>53</v>
      </c>
      <c r="IS23" s="299">
        <v>14</v>
      </c>
      <c r="IT23" s="299">
        <v>1</v>
      </c>
      <c r="IU23" s="299">
        <v>0</v>
      </c>
      <c r="IV23" s="299">
        <v>3</v>
      </c>
      <c r="IW23" s="299">
        <v>32</v>
      </c>
      <c r="IX23" s="299">
        <v>91</v>
      </c>
      <c r="IY23" s="299">
        <v>1360</v>
      </c>
      <c r="IZ23" s="299">
        <v>1121</v>
      </c>
      <c r="JA23" s="299">
        <v>1313</v>
      </c>
      <c r="JB23" s="299">
        <v>1451</v>
      </c>
      <c r="JC23" s="299">
        <v>1645</v>
      </c>
      <c r="JD23" s="299">
        <v>1797</v>
      </c>
      <c r="JE23" s="299">
        <v>2737</v>
      </c>
      <c r="JF23" s="299">
        <v>3055</v>
      </c>
      <c r="JG23" s="299">
        <v>4026</v>
      </c>
      <c r="JH23" s="299">
        <v>4496</v>
      </c>
      <c r="JI23" s="299">
        <v>5902</v>
      </c>
      <c r="JJ23" s="299">
        <v>36756</v>
      </c>
      <c r="JK23" s="299">
        <v>39386</v>
      </c>
      <c r="JL23" s="299">
        <v>40957</v>
      </c>
      <c r="JM23" s="299">
        <v>40076</v>
      </c>
      <c r="JN23" s="299">
        <v>42715</v>
      </c>
      <c r="JO23" s="299">
        <v>43055</v>
      </c>
      <c r="JP23" s="299">
        <v>46227</v>
      </c>
      <c r="JQ23" s="299">
        <v>46000</v>
      </c>
      <c r="JR23" s="299">
        <v>53197</v>
      </c>
      <c r="JS23" s="299">
        <v>59836</v>
      </c>
      <c r="JT23" s="299">
        <v>66356</v>
      </c>
      <c r="JU23" s="299">
        <v>70753</v>
      </c>
      <c r="JV23" s="299">
        <v>71587</v>
      </c>
      <c r="JW23" s="299">
        <v>80226</v>
      </c>
      <c r="JX23" s="299">
        <v>83491</v>
      </c>
      <c r="JY23" s="299">
        <v>85608</v>
      </c>
      <c r="JZ23" s="302">
        <v>88389</v>
      </c>
      <c r="KA23" s="302">
        <v>109312</v>
      </c>
      <c r="KB23" s="299">
        <v>106824</v>
      </c>
      <c r="KC23" s="303">
        <v>112787</v>
      </c>
      <c r="KD23" s="303">
        <v>115988</v>
      </c>
      <c r="KE23" s="472">
        <v>125411</v>
      </c>
    </row>
    <row r="24" spans="1:291" s="155" customFormat="1" x14ac:dyDescent="0.2">
      <c r="A24" s="395">
        <v>21</v>
      </c>
      <c r="B24" s="154" t="s">
        <v>239</v>
      </c>
      <c r="C24" s="299">
        <v>38756</v>
      </c>
      <c r="D24" s="299">
        <v>35724</v>
      </c>
      <c r="E24" s="299">
        <v>28860</v>
      </c>
      <c r="F24" s="299">
        <v>29822</v>
      </c>
      <c r="G24" s="299">
        <v>32544</v>
      </c>
      <c r="H24" s="299">
        <v>31945</v>
      </c>
      <c r="I24" s="299">
        <v>32595</v>
      </c>
      <c r="J24" s="299">
        <v>28952</v>
      </c>
      <c r="K24" s="299">
        <v>15491</v>
      </c>
      <c r="L24" s="299">
        <v>29401</v>
      </c>
      <c r="M24" s="299">
        <v>30760</v>
      </c>
      <c r="N24" s="299">
        <v>0</v>
      </c>
      <c r="O24" s="299">
        <v>0</v>
      </c>
      <c r="P24" s="299">
        <v>2843</v>
      </c>
      <c r="Q24" s="299">
        <v>3457</v>
      </c>
      <c r="R24" s="299">
        <v>2095</v>
      </c>
      <c r="S24" s="299">
        <v>2231</v>
      </c>
      <c r="T24" s="299">
        <v>1542</v>
      </c>
      <c r="U24" s="299">
        <v>1526</v>
      </c>
      <c r="V24" s="299">
        <v>1637</v>
      </c>
      <c r="W24" s="299">
        <v>1301</v>
      </c>
      <c r="X24" s="299">
        <v>837</v>
      </c>
      <c r="Y24" s="299">
        <v>743</v>
      </c>
      <c r="Z24" s="299">
        <v>855</v>
      </c>
      <c r="AA24" s="299">
        <v>732</v>
      </c>
      <c r="AB24" s="299">
        <v>615</v>
      </c>
      <c r="AC24" s="299">
        <v>550</v>
      </c>
      <c r="AD24" s="299">
        <v>537</v>
      </c>
      <c r="AE24" s="299">
        <v>533</v>
      </c>
      <c r="AF24" s="299">
        <v>152</v>
      </c>
      <c r="AG24" s="299">
        <v>39</v>
      </c>
      <c r="AH24" s="299">
        <v>19</v>
      </c>
      <c r="AI24" s="299">
        <v>17</v>
      </c>
      <c r="AJ24" s="299">
        <v>17</v>
      </c>
      <c r="AK24" s="299">
        <v>17</v>
      </c>
      <c r="AL24" s="299">
        <v>518</v>
      </c>
      <c r="AM24" s="299">
        <v>194</v>
      </c>
      <c r="AN24" s="299">
        <v>134</v>
      </c>
      <c r="AO24" s="299">
        <v>249</v>
      </c>
      <c r="AP24" s="299">
        <v>418</v>
      </c>
      <c r="AQ24" s="299">
        <v>403</v>
      </c>
      <c r="AR24" s="299">
        <v>443</v>
      </c>
      <c r="AS24" s="299">
        <v>473</v>
      </c>
      <c r="AT24" s="299">
        <v>69</v>
      </c>
      <c r="AU24" s="299">
        <v>149</v>
      </c>
      <c r="AV24" s="299">
        <v>224</v>
      </c>
      <c r="AW24" s="299">
        <v>542</v>
      </c>
      <c r="AX24" s="299">
        <v>232</v>
      </c>
      <c r="AY24" s="299">
        <v>395</v>
      </c>
      <c r="AZ24" s="299">
        <v>558</v>
      </c>
      <c r="BA24" s="299">
        <v>497</v>
      </c>
      <c r="BB24" s="299">
        <v>437</v>
      </c>
      <c r="BC24" s="299">
        <v>329</v>
      </c>
      <c r="BD24" s="299">
        <v>213</v>
      </c>
      <c r="BE24" s="299">
        <v>83</v>
      </c>
      <c r="BF24" s="299">
        <v>41</v>
      </c>
      <c r="BG24" s="299">
        <v>37</v>
      </c>
      <c r="BH24" s="299">
        <v>4169</v>
      </c>
      <c r="BI24" s="299">
        <v>2667</v>
      </c>
      <c r="BJ24" s="299">
        <v>1764</v>
      </c>
      <c r="BK24" s="299">
        <v>1531</v>
      </c>
      <c r="BL24" s="299">
        <v>1580</v>
      </c>
      <c r="BM24" s="299">
        <v>1631</v>
      </c>
      <c r="BN24" s="299">
        <v>1839</v>
      </c>
      <c r="BO24" s="299">
        <v>1918</v>
      </c>
      <c r="BP24" s="299">
        <v>2288</v>
      </c>
      <c r="BQ24" s="299">
        <v>2463</v>
      </c>
      <c r="BR24" s="299">
        <v>2816</v>
      </c>
      <c r="BS24" s="299">
        <v>705</v>
      </c>
      <c r="BT24" s="299">
        <v>718</v>
      </c>
      <c r="BU24" s="299">
        <v>644</v>
      </c>
      <c r="BV24" s="299">
        <v>1155</v>
      </c>
      <c r="BW24" s="299">
        <v>1563</v>
      </c>
      <c r="BX24" s="299">
        <v>1579</v>
      </c>
      <c r="BY24" s="299">
        <v>1338</v>
      </c>
      <c r="BZ24" s="299">
        <v>1561</v>
      </c>
      <c r="CA24" s="299">
        <v>1774</v>
      </c>
      <c r="CB24" s="299">
        <v>1936</v>
      </c>
      <c r="CC24" s="299">
        <v>1885</v>
      </c>
      <c r="CD24" s="299">
        <v>0</v>
      </c>
      <c r="CE24" s="299">
        <v>0</v>
      </c>
      <c r="CF24" s="299">
        <v>0</v>
      </c>
      <c r="CG24" s="299">
        <v>0</v>
      </c>
      <c r="CH24" s="299">
        <v>0</v>
      </c>
      <c r="CI24" s="299">
        <v>1</v>
      </c>
      <c r="CJ24" s="299">
        <v>7</v>
      </c>
      <c r="CK24" s="299">
        <v>5</v>
      </c>
      <c r="CL24" s="299">
        <v>5</v>
      </c>
      <c r="CM24" s="299">
        <v>5</v>
      </c>
      <c r="CN24" s="299">
        <v>2</v>
      </c>
      <c r="CO24" s="299">
        <v>0</v>
      </c>
      <c r="CP24" s="299">
        <v>0</v>
      </c>
      <c r="CQ24" s="299">
        <v>678</v>
      </c>
      <c r="CR24" s="304">
        <v>913</v>
      </c>
      <c r="CS24" s="304">
        <v>1128</v>
      </c>
      <c r="CT24" s="304">
        <v>1455</v>
      </c>
      <c r="CU24" s="304">
        <v>1959</v>
      </c>
      <c r="CV24" s="304">
        <v>2194</v>
      </c>
      <c r="CW24" s="304">
        <v>2590</v>
      </c>
      <c r="CX24" s="299">
        <v>2946</v>
      </c>
      <c r="CY24" s="299">
        <v>3372</v>
      </c>
      <c r="CZ24" s="299">
        <v>3851</v>
      </c>
      <c r="DA24" s="299">
        <v>3921</v>
      </c>
      <c r="DB24" s="304">
        <v>1212</v>
      </c>
      <c r="DC24" s="304">
        <v>2202</v>
      </c>
      <c r="DD24" s="304">
        <v>2275</v>
      </c>
      <c r="DE24" s="304">
        <v>1735</v>
      </c>
      <c r="DF24" s="304">
        <v>1770</v>
      </c>
      <c r="DG24" s="304">
        <v>1479</v>
      </c>
      <c r="DH24" s="304">
        <v>900</v>
      </c>
      <c r="DI24" s="299">
        <v>864</v>
      </c>
      <c r="DJ24" s="301" t="s">
        <v>42</v>
      </c>
      <c r="DK24" s="299">
        <v>142</v>
      </c>
      <c r="DL24" s="299">
        <v>151</v>
      </c>
      <c r="DM24" s="299">
        <v>-102</v>
      </c>
      <c r="DN24" s="299">
        <v>75</v>
      </c>
      <c r="DO24" s="299">
        <v>-44</v>
      </c>
      <c r="DP24" s="299">
        <v>-260</v>
      </c>
      <c r="DQ24" s="299">
        <v>-262</v>
      </c>
      <c r="DR24" s="299">
        <v>11</v>
      </c>
      <c r="DS24" s="299">
        <v>352</v>
      </c>
      <c r="DT24" s="299">
        <v>417</v>
      </c>
      <c r="DU24" s="299">
        <v>404</v>
      </c>
      <c r="DV24" s="299">
        <v>0</v>
      </c>
      <c r="DW24" s="299">
        <v>0</v>
      </c>
      <c r="DX24" s="299">
        <v>2318</v>
      </c>
      <c r="DY24" s="299">
        <v>2995</v>
      </c>
      <c r="DZ24" s="299">
        <v>1848</v>
      </c>
      <c r="EA24" s="299">
        <v>2648</v>
      </c>
      <c r="EB24" s="299">
        <v>2929</v>
      </c>
      <c r="EC24" s="299">
        <v>3523</v>
      </c>
      <c r="ED24" s="299">
        <v>3844</v>
      </c>
      <c r="EE24" s="299">
        <v>4021</v>
      </c>
      <c r="EF24" s="299">
        <v>5662</v>
      </c>
      <c r="EG24" s="299">
        <v>5941</v>
      </c>
      <c r="EH24" s="299">
        <v>6351</v>
      </c>
      <c r="EI24" s="299">
        <v>5267</v>
      </c>
      <c r="EJ24" s="299">
        <v>4208</v>
      </c>
      <c r="EK24" s="299">
        <v>4691</v>
      </c>
      <c r="EL24" s="299">
        <v>5224</v>
      </c>
      <c r="EM24" s="299">
        <v>5624</v>
      </c>
      <c r="EN24" s="299">
        <v>6156</v>
      </c>
      <c r="EO24" s="299">
        <v>6048</v>
      </c>
      <c r="EP24" s="299">
        <v>6472</v>
      </c>
      <c r="EQ24" s="299">
        <v>6367</v>
      </c>
      <c r="ER24" s="299">
        <v>6068</v>
      </c>
      <c r="ES24" s="299">
        <v>6038</v>
      </c>
      <c r="ET24" s="299">
        <v>95</v>
      </c>
      <c r="EU24" s="299">
        <v>42</v>
      </c>
      <c r="EV24" s="299">
        <v>57</v>
      </c>
      <c r="EW24" s="299">
        <v>30</v>
      </c>
      <c r="EX24" s="299">
        <v>37</v>
      </c>
      <c r="EY24" s="299">
        <v>0</v>
      </c>
      <c r="EZ24" s="299">
        <v>54</v>
      </c>
      <c r="FA24" s="299">
        <v>57</v>
      </c>
      <c r="FB24" s="299">
        <v>55</v>
      </c>
      <c r="FC24" s="299">
        <v>54</v>
      </c>
      <c r="FD24" s="299">
        <v>95</v>
      </c>
      <c r="FE24" s="299">
        <v>1409</v>
      </c>
      <c r="FF24" s="299">
        <v>1843</v>
      </c>
      <c r="FG24" s="299">
        <v>2004</v>
      </c>
      <c r="FH24" s="299">
        <v>1954</v>
      </c>
      <c r="FI24" s="299">
        <v>2064</v>
      </c>
      <c r="FJ24" s="299">
        <v>2065</v>
      </c>
      <c r="FK24" s="299">
        <v>2164</v>
      </c>
      <c r="FL24" s="299">
        <v>1427</v>
      </c>
      <c r="FM24" s="299">
        <v>1158</v>
      </c>
      <c r="FN24" s="299">
        <v>1158</v>
      </c>
      <c r="FO24" s="299">
        <v>839</v>
      </c>
      <c r="FP24" s="299">
        <v>1166</v>
      </c>
      <c r="FQ24" s="299">
        <v>996</v>
      </c>
      <c r="FR24" s="299">
        <v>1094</v>
      </c>
      <c r="FS24" s="299">
        <v>1103</v>
      </c>
      <c r="FT24" s="299">
        <v>1121</v>
      </c>
      <c r="FU24" s="299">
        <v>924</v>
      </c>
      <c r="FV24" s="299">
        <v>1208</v>
      </c>
      <c r="FW24" s="299">
        <v>1279</v>
      </c>
      <c r="FX24" s="299">
        <v>1407</v>
      </c>
      <c r="FY24" s="299">
        <v>1965</v>
      </c>
      <c r="FZ24" s="299">
        <v>2367</v>
      </c>
      <c r="GA24" s="299">
        <v>743</v>
      </c>
      <c r="GB24" s="299">
        <v>308</v>
      </c>
      <c r="GC24" s="299">
        <v>189</v>
      </c>
      <c r="GD24" s="299">
        <v>177</v>
      </c>
      <c r="GE24" s="299">
        <v>185</v>
      </c>
      <c r="GF24" s="299">
        <v>226</v>
      </c>
      <c r="GG24" s="299">
        <v>248</v>
      </c>
      <c r="GH24" s="299">
        <v>321</v>
      </c>
      <c r="GI24" s="299">
        <v>532</v>
      </c>
      <c r="GJ24" s="299">
        <v>742</v>
      </c>
      <c r="GK24" s="299">
        <v>979</v>
      </c>
      <c r="GL24" s="299">
        <v>533</v>
      </c>
      <c r="GM24" s="299">
        <v>842</v>
      </c>
      <c r="GN24" s="299">
        <v>1197</v>
      </c>
      <c r="GO24" s="299">
        <v>1585</v>
      </c>
      <c r="GP24" s="299">
        <v>1601</v>
      </c>
      <c r="GQ24" s="299">
        <v>1559</v>
      </c>
      <c r="GR24" s="299">
        <v>1646</v>
      </c>
      <c r="GS24" s="299">
        <v>1627</v>
      </c>
      <c r="GT24" s="299">
        <v>1594</v>
      </c>
      <c r="GU24" s="299">
        <v>1662</v>
      </c>
      <c r="GV24" s="299">
        <v>1669</v>
      </c>
      <c r="GW24" s="299">
        <v>2011</v>
      </c>
      <c r="GX24" s="299">
        <v>2653</v>
      </c>
      <c r="GY24" s="299">
        <v>3402</v>
      </c>
      <c r="GZ24" s="299">
        <v>1328</v>
      </c>
      <c r="HA24" s="299">
        <v>1268</v>
      </c>
      <c r="HB24" s="299">
        <v>1462</v>
      </c>
      <c r="HC24" s="299">
        <v>918</v>
      </c>
      <c r="HD24" s="299">
        <v>1012</v>
      </c>
      <c r="HE24" s="299">
        <v>1075</v>
      </c>
      <c r="HF24" s="299">
        <v>1388</v>
      </c>
      <c r="HG24" s="299">
        <v>1392</v>
      </c>
      <c r="HH24" s="299">
        <v>42</v>
      </c>
      <c r="HI24" s="299">
        <v>52</v>
      </c>
      <c r="HJ24" s="299">
        <v>64</v>
      </c>
      <c r="HK24" s="299">
        <v>0</v>
      </c>
      <c r="HL24" s="299">
        <v>71</v>
      </c>
      <c r="HM24" s="299">
        <v>69</v>
      </c>
      <c r="HN24" s="299">
        <v>68</v>
      </c>
      <c r="HO24" s="299">
        <v>67</v>
      </c>
      <c r="HP24" s="299">
        <v>61</v>
      </c>
      <c r="HQ24" s="299"/>
      <c r="HR24" s="299">
        <v>1990</v>
      </c>
      <c r="HS24" s="299">
        <v>1846</v>
      </c>
      <c r="HT24" s="299">
        <v>2022</v>
      </c>
      <c r="HU24" s="299">
        <v>2333</v>
      </c>
      <c r="HV24" s="299">
        <v>2612</v>
      </c>
      <c r="HW24" s="299">
        <v>2606</v>
      </c>
      <c r="HX24" s="299">
        <v>3342</v>
      </c>
      <c r="HY24" s="299">
        <v>2256</v>
      </c>
      <c r="HZ24" s="299">
        <v>3116</v>
      </c>
      <c r="IA24" s="299">
        <v>3495</v>
      </c>
      <c r="IB24" s="299">
        <v>3581</v>
      </c>
      <c r="IC24" s="299">
        <v>3</v>
      </c>
      <c r="ID24" s="299">
        <v>1</v>
      </c>
      <c r="IE24" s="304">
        <v>1</v>
      </c>
      <c r="IF24" s="304">
        <v>0</v>
      </c>
      <c r="IG24" s="304">
        <v>0</v>
      </c>
      <c r="IH24" s="304">
        <v>0</v>
      </c>
      <c r="II24" s="304">
        <v>0</v>
      </c>
      <c r="IJ24" s="299">
        <v>0</v>
      </c>
      <c r="IK24" s="299">
        <v>0</v>
      </c>
      <c r="IL24" s="299">
        <v>0</v>
      </c>
      <c r="IM24" s="299">
        <v>0</v>
      </c>
      <c r="IN24" s="299">
        <v>168</v>
      </c>
      <c r="IO24" s="299">
        <v>193</v>
      </c>
      <c r="IP24" s="304">
        <v>211</v>
      </c>
      <c r="IQ24" s="304">
        <v>127</v>
      </c>
      <c r="IR24" s="304">
        <v>77</v>
      </c>
      <c r="IS24" s="304">
        <v>42</v>
      </c>
      <c r="IT24" s="304">
        <v>23</v>
      </c>
      <c r="IU24" s="299">
        <v>11</v>
      </c>
      <c r="IV24" s="299">
        <v>6</v>
      </c>
      <c r="IW24" s="299">
        <v>44</v>
      </c>
      <c r="IX24" s="299">
        <v>46</v>
      </c>
      <c r="IY24" s="299">
        <v>387</v>
      </c>
      <c r="IZ24" s="299">
        <v>396</v>
      </c>
      <c r="JA24" s="299">
        <v>467</v>
      </c>
      <c r="JB24" s="299">
        <v>362</v>
      </c>
      <c r="JC24" s="299">
        <v>482</v>
      </c>
      <c r="JD24" s="299">
        <v>518</v>
      </c>
      <c r="JE24" s="299">
        <v>941</v>
      </c>
      <c r="JF24" s="299">
        <v>1188</v>
      </c>
      <c r="JG24" s="299">
        <v>1805</v>
      </c>
      <c r="JH24" s="299">
        <v>2549</v>
      </c>
      <c r="JI24" s="299">
        <v>3768</v>
      </c>
      <c r="JJ24" s="299">
        <v>27673</v>
      </c>
      <c r="JK24" s="299">
        <v>27524</v>
      </c>
      <c r="JL24" s="299">
        <v>26130</v>
      </c>
      <c r="JM24" s="299">
        <v>26397</v>
      </c>
      <c r="JN24" s="299">
        <v>27889</v>
      </c>
      <c r="JO24" s="299">
        <v>28292</v>
      </c>
      <c r="JP24" s="299">
        <v>29364</v>
      </c>
      <c r="JQ24" s="299">
        <v>29049</v>
      </c>
      <c r="JR24" s="299">
        <v>31635</v>
      </c>
      <c r="JS24" s="299">
        <v>34688</v>
      </c>
      <c r="JT24" s="299">
        <v>37286</v>
      </c>
      <c r="JU24" s="299">
        <v>66429</v>
      </c>
      <c r="JV24" s="299">
        <v>63248</v>
      </c>
      <c r="JW24" s="299">
        <v>54990</v>
      </c>
      <c r="JX24" s="299">
        <v>56219</v>
      </c>
      <c r="JY24" s="299">
        <v>60433</v>
      </c>
      <c r="JZ24" s="302">
        <v>60237</v>
      </c>
      <c r="KA24" s="302">
        <v>61959</v>
      </c>
      <c r="KB24" s="299">
        <v>58001</v>
      </c>
      <c r="KC24" s="303">
        <v>47126</v>
      </c>
      <c r="KD24" s="303">
        <v>64089</v>
      </c>
      <c r="KE24" s="472">
        <v>68046</v>
      </c>
    </row>
    <row r="25" spans="1:291" s="155" customFormat="1" ht="12.75" customHeight="1" x14ac:dyDescent="0.2">
      <c r="A25" s="395">
        <v>22</v>
      </c>
      <c r="B25" s="154" t="s">
        <v>240</v>
      </c>
      <c r="C25" s="299">
        <v>75108</v>
      </c>
      <c r="D25" s="299">
        <v>66304</v>
      </c>
      <c r="E25" s="299">
        <v>64578</v>
      </c>
      <c r="F25" s="299">
        <v>64550</v>
      </c>
      <c r="G25" s="299">
        <v>59996</v>
      </c>
      <c r="H25" s="299">
        <v>74889</v>
      </c>
      <c r="I25" s="299">
        <v>78932</v>
      </c>
      <c r="J25" s="299">
        <v>79667</v>
      </c>
      <c r="K25" s="299">
        <v>72527</v>
      </c>
      <c r="L25" s="299">
        <v>76319</v>
      </c>
      <c r="M25" s="299">
        <v>82759</v>
      </c>
      <c r="N25" s="299">
        <v>0</v>
      </c>
      <c r="O25" s="299">
        <v>0</v>
      </c>
      <c r="P25" s="299">
        <v>4020</v>
      </c>
      <c r="Q25" s="299">
        <v>4994</v>
      </c>
      <c r="R25" s="299">
        <v>3682</v>
      </c>
      <c r="S25" s="299">
        <v>4278</v>
      </c>
      <c r="T25" s="299">
        <v>3946</v>
      </c>
      <c r="U25" s="299">
        <v>4345</v>
      </c>
      <c r="V25" s="299">
        <v>5106</v>
      </c>
      <c r="W25" s="299">
        <v>4389</v>
      </c>
      <c r="X25" s="299">
        <v>3335</v>
      </c>
      <c r="Y25" s="299">
        <v>2767</v>
      </c>
      <c r="Z25" s="299">
        <v>2897</v>
      </c>
      <c r="AA25" s="299">
        <v>55</v>
      </c>
      <c r="AB25" s="299">
        <v>2</v>
      </c>
      <c r="AC25" s="299">
        <v>3</v>
      </c>
      <c r="AD25" s="299">
        <v>3</v>
      </c>
      <c r="AE25" s="299">
        <v>3</v>
      </c>
      <c r="AF25" s="299">
        <v>1</v>
      </c>
      <c r="AG25" s="299">
        <v>0</v>
      </c>
      <c r="AH25" s="299">
        <v>0</v>
      </c>
      <c r="AI25" s="299">
        <v>0</v>
      </c>
      <c r="AJ25" s="299">
        <v>0</v>
      </c>
      <c r="AK25" s="299">
        <v>0</v>
      </c>
      <c r="AL25" s="299">
        <v>774</v>
      </c>
      <c r="AM25" s="299">
        <v>335</v>
      </c>
      <c r="AN25" s="299">
        <v>192</v>
      </c>
      <c r="AO25" s="299">
        <v>249</v>
      </c>
      <c r="AP25" s="299">
        <v>272</v>
      </c>
      <c r="AQ25" s="299">
        <v>190</v>
      </c>
      <c r="AR25" s="299">
        <v>204</v>
      </c>
      <c r="AS25" s="299">
        <v>214</v>
      </c>
      <c r="AT25" s="299">
        <v>22</v>
      </c>
      <c r="AU25" s="299">
        <v>144</v>
      </c>
      <c r="AV25" s="299">
        <v>248</v>
      </c>
      <c r="AW25" s="299">
        <v>711</v>
      </c>
      <c r="AX25" s="299">
        <v>388</v>
      </c>
      <c r="AY25" s="299">
        <v>444</v>
      </c>
      <c r="AZ25" s="299">
        <v>489</v>
      </c>
      <c r="BA25" s="299">
        <v>405</v>
      </c>
      <c r="BB25" s="299">
        <v>356</v>
      </c>
      <c r="BC25" s="299">
        <v>124</v>
      </c>
      <c r="BD25" s="299">
        <v>68</v>
      </c>
      <c r="BE25" s="299">
        <v>55</v>
      </c>
      <c r="BF25" s="299">
        <v>41</v>
      </c>
      <c r="BG25" s="299">
        <v>45</v>
      </c>
      <c r="BH25" s="299">
        <v>3918</v>
      </c>
      <c r="BI25" s="299">
        <v>2839</v>
      </c>
      <c r="BJ25" s="299">
        <v>2003</v>
      </c>
      <c r="BK25" s="299">
        <v>1537</v>
      </c>
      <c r="BL25" s="299">
        <v>1695</v>
      </c>
      <c r="BM25" s="299">
        <v>2124</v>
      </c>
      <c r="BN25" s="299">
        <v>2623</v>
      </c>
      <c r="BO25" s="299">
        <v>2911</v>
      </c>
      <c r="BP25" s="299">
        <v>3662</v>
      </c>
      <c r="BQ25" s="299">
        <v>4788</v>
      </c>
      <c r="BR25" s="299">
        <v>5659</v>
      </c>
      <c r="BS25" s="299">
        <v>670</v>
      </c>
      <c r="BT25" s="299">
        <v>776</v>
      </c>
      <c r="BU25" s="304">
        <v>760</v>
      </c>
      <c r="BV25" s="304">
        <v>1235</v>
      </c>
      <c r="BW25" s="304">
        <v>1644</v>
      </c>
      <c r="BX25" s="304">
        <v>1950</v>
      </c>
      <c r="BY25" s="304">
        <v>1529</v>
      </c>
      <c r="BZ25" s="299">
        <v>1735</v>
      </c>
      <c r="CA25" s="299">
        <v>2092</v>
      </c>
      <c r="CB25" s="299">
        <v>2147</v>
      </c>
      <c r="CC25" s="299">
        <v>2136</v>
      </c>
      <c r="CD25" s="299">
        <v>0</v>
      </c>
      <c r="CE25" s="299">
        <v>0</v>
      </c>
      <c r="CF25" s="299">
        <v>0</v>
      </c>
      <c r="CG25" s="299">
        <v>0</v>
      </c>
      <c r="CH25" s="299">
        <v>0</v>
      </c>
      <c r="CI25" s="299">
        <v>1</v>
      </c>
      <c r="CJ25" s="299">
        <v>10</v>
      </c>
      <c r="CK25" s="299">
        <v>9</v>
      </c>
      <c r="CL25" s="299">
        <v>7</v>
      </c>
      <c r="CM25" s="299">
        <v>7</v>
      </c>
      <c r="CN25" s="299">
        <v>0</v>
      </c>
      <c r="CO25" s="299">
        <v>0</v>
      </c>
      <c r="CP25" s="299">
        <v>0</v>
      </c>
      <c r="CQ25" s="299">
        <v>202</v>
      </c>
      <c r="CR25" s="304">
        <v>361</v>
      </c>
      <c r="CS25" s="304">
        <v>561</v>
      </c>
      <c r="CT25" s="304">
        <v>786</v>
      </c>
      <c r="CU25" s="304">
        <v>1045</v>
      </c>
      <c r="CV25" s="304">
        <v>1091</v>
      </c>
      <c r="CW25" s="304">
        <v>1203</v>
      </c>
      <c r="CX25" s="299">
        <v>1381</v>
      </c>
      <c r="CY25" s="299">
        <v>1552</v>
      </c>
      <c r="CZ25" s="299">
        <v>1714</v>
      </c>
      <c r="DA25" s="299">
        <v>1676</v>
      </c>
      <c r="DB25" s="304">
        <v>2169</v>
      </c>
      <c r="DC25" s="304">
        <v>3024</v>
      </c>
      <c r="DD25" s="304">
        <v>3015</v>
      </c>
      <c r="DE25" s="304">
        <v>2267</v>
      </c>
      <c r="DF25" s="304">
        <v>2547</v>
      </c>
      <c r="DG25" s="304">
        <v>2443</v>
      </c>
      <c r="DH25" s="304">
        <v>1696</v>
      </c>
      <c r="DI25" s="299">
        <v>1670</v>
      </c>
      <c r="DJ25" s="301" t="s">
        <v>42</v>
      </c>
      <c r="DK25" s="299">
        <v>453</v>
      </c>
      <c r="DL25" s="299">
        <v>259</v>
      </c>
      <c r="DM25" s="299">
        <v>116</v>
      </c>
      <c r="DN25" s="299">
        <v>114</v>
      </c>
      <c r="DO25" s="299">
        <v>48</v>
      </c>
      <c r="DP25" s="299">
        <v>42</v>
      </c>
      <c r="DQ25" s="299">
        <v>36</v>
      </c>
      <c r="DR25" s="299">
        <v>39</v>
      </c>
      <c r="DS25" s="299">
        <v>47</v>
      </c>
      <c r="DT25" s="299">
        <v>49</v>
      </c>
      <c r="DU25" s="299">
        <v>49</v>
      </c>
      <c r="DV25" s="299">
        <v>0</v>
      </c>
      <c r="DW25" s="299">
        <v>42</v>
      </c>
      <c r="DX25" s="299">
        <v>2916</v>
      </c>
      <c r="DY25" s="299">
        <v>3721</v>
      </c>
      <c r="DZ25" s="299">
        <v>2497</v>
      </c>
      <c r="EA25" s="299">
        <v>3577</v>
      </c>
      <c r="EB25" s="299">
        <v>4138</v>
      </c>
      <c r="EC25" s="299">
        <v>5283</v>
      </c>
      <c r="ED25" s="299">
        <v>5943</v>
      </c>
      <c r="EE25" s="299">
        <v>6512</v>
      </c>
      <c r="EF25" s="299">
        <v>9436</v>
      </c>
      <c r="EG25" s="299">
        <v>11380</v>
      </c>
      <c r="EH25" s="299">
        <v>12657</v>
      </c>
      <c r="EI25" s="299">
        <v>6603</v>
      </c>
      <c r="EJ25" s="299">
        <v>6115</v>
      </c>
      <c r="EK25" s="299">
        <v>6992</v>
      </c>
      <c r="EL25" s="299">
        <v>8281</v>
      </c>
      <c r="EM25" s="299">
        <v>9673</v>
      </c>
      <c r="EN25" s="299">
        <v>10984</v>
      </c>
      <c r="EO25" s="299">
        <v>11345</v>
      </c>
      <c r="EP25" s="299">
        <v>12140</v>
      </c>
      <c r="EQ25" s="299">
        <v>11701</v>
      </c>
      <c r="ER25" s="299">
        <v>12200</v>
      </c>
      <c r="ES25" s="299">
        <v>13312</v>
      </c>
      <c r="ET25" s="299">
        <v>330</v>
      </c>
      <c r="EU25" s="299">
        <v>158</v>
      </c>
      <c r="EV25" s="299">
        <v>226</v>
      </c>
      <c r="EW25" s="299">
        <v>207</v>
      </c>
      <c r="EX25" s="299">
        <v>253</v>
      </c>
      <c r="EY25" s="299">
        <v>0</v>
      </c>
      <c r="EZ25" s="299">
        <v>233</v>
      </c>
      <c r="FA25" s="299">
        <v>199</v>
      </c>
      <c r="FB25" s="299">
        <v>154</v>
      </c>
      <c r="FC25" s="299">
        <v>102</v>
      </c>
      <c r="FD25" s="299">
        <v>184</v>
      </c>
      <c r="FE25" s="299">
        <v>949</v>
      </c>
      <c r="FF25" s="299">
        <v>1410</v>
      </c>
      <c r="FG25" s="299">
        <v>1385</v>
      </c>
      <c r="FH25" s="299">
        <v>1604</v>
      </c>
      <c r="FI25" s="299">
        <v>2061</v>
      </c>
      <c r="FJ25" s="299">
        <v>1900</v>
      </c>
      <c r="FK25" s="299">
        <v>1711</v>
      </c>
      <c r="FL25" s="299">
        <v>1962</v>
      </c>
      <c r="FM25" s="299">
        <v>2446</v>
      </c>
      <c r="FN25" s="299">
        <v>2441</v>
      </c>
      <c r="FO25" s="299">
        <v>2184</v>
      </c>
      <c r="FP25" s="299">
        <v>2028</v>
      </c>
      <c r="FQ25" s="299">
        <v>1986</v>
      </c>
      <c r="FR25" s="299">
        <v>2400</v>
      </c>
      <c r="FS25" s="299">
        <v>2540</v>
      </c>
      <c r="FT25" s="299">
        <v>2179</v>
      </c>
      <c r="FU25" s="299">
        <v>2043</v>
      </c>
      <c r="FV25" s="299">
        <v>2861</v>
      </c>
      <c r="FW25" s="299">
        <v>3103</v>
      </c>
      <c r="FX25" s="299">
        <v>3499</v>
      </c>
      <c r="FY25" s="299">
        <v>5219</v>
      </c>
      <c r="FZ25" s="299">
        <v>6024</v>
      </c>
      <c r="GA25" s="299">
        <v>285</v>
      </c>
      <c r="GB25" s="299">
        <v>51</v>
      </c>
      <c r="GC25" s="299">
        <v>46</v>
      </c>
      <c r="GD25" s="299">
        <v>57</v>
      </c>
      <c r="GE25" s="299">
        <v>79</v>
      </c>
      <c r="GF25" s="299">
        <v>93</v>
      </c>
      <c r="GG25" s="299">
        <v>133</v>
      </c>
      <c r="GH25" s="299">
        <v>260</v>
      </c>
      <c r="GI25" s="299">
        <v>350</v>
      </c>
      <c r="GJ25" s="299">
        <v>490</v>
      </c>
      <c r="GK25" s="299">
        <v>637</v>
      </c>
      <c r="GL25" s="299">
        <v>128</v>
      </c>
      <c r="GM25" s="299">
        <v>316</v>
      </c>
      <c r="GN25" s="299">
        <v>494</v>
      </c>
      <c r="GO25" s="299">
        <v>621</v>
      </c>
      <c r="GP25" s="299">
        <v>676</v>
      </c>
      <c r="GQ25" s="299">
        <v>733</v>
      </c>
      <c r="GR25" s="299">
        <v>583</v>
      </c>
      <c r="GS25" s="299">
        <v>478</v>
      </c>
      <c r="GT25" s="299">
        <v>557</v>
      </c>
      <c r="GU25" s="299">
        <v>756</v>
      </c>
      <c r="GV25" s="299">
        <v>929</v>
      </c>
      <c r="GW25" s="299">
        <v>3900</v>
      </c>
      <c r="GX25" s="299">
        <v>4440</v>
      </c>
      <c r="GY25" s="299">
        <v>5605</v>
      </c>
      <c r="GZ25" s="299">
        <v>1967</v>
      </c>
      <c r="HA25" s="299">
        <v>1555</v>
      </c>
      <c r="HB25" s="299">
        <v>1629</v>
      </c>
      <c r="HC25" s="299">
        <v>993</v>
      </c>
      <c r="HD25" s="299">
        <v>1019</v>
      </c>
      <c r="HE25" s="299">
        <v>1388</v>
      </c>
      <c r="HF25" s="299">
        <v>1641</v>
      </c>
      <c r="HG25" s="299">
        <v>1596</v>
      </c>
      <c r="HH25" s="299">
        <v>1299</v>
      </c>
      <c r="HI25" s="299">
        <v>1312</v>
      </c>
      <c r="HJ25" s="299">
        <v>1089</v>
      </c>
      <c r="HK25" s="299">
        <v>0</v>
      </c>
      <c r="HL25" s="299">
        <v>1092</v>
      </c>
      <c r="HM25" s="299">
        <v>1088</v>
      </c>
      <c r="HN25" s="299">
        <v>1086</v>
      </c>
      <c r="HO25" s="299">
        <v>1082</v>
      </c>
      <c r="HP25" s="299">
        <v>1076</v>
      </c>
      <c r="HQ25" s="299"/>
      <c r="HR25" s="299">
        <v>2620</v>
      </c>
      <c r="HS25" s="299">
        <v>2852</v>
      </c>
      <c r="HT25" s="299">
        <v>3070</v>
      </c>
      <c r="HU25" s="299">
        <v>3726</v>
      </c>
      <c r="HV25" s="299">
        <v>4409</v>
      </c>
      <c r="HW25" s="299">
        <v>4773</v>
      </c>
      <c r="HX25" s="299">
        <v>6250</v>
      </c>
      <c r="HY25" s="299">
        <v>5240</v>
      </c>
      <c r="HZ25" s="299">
        <v>8087</v>
      </c>
      <c r="IA25" s="299">
        <v>9635</v>
      </c>
      <c r="IB25" s="299">
        <v>9395</v>
      </c>
      <c r="IC25" s="299">
        <v>3</v>
      </c>
      <c r="ID25" s="299">
        <v>3</v>
      </c>
      <c r="IE25" s="304">
        <v>5</v>
      </c>
      <c r="IF25" s="304">
        <v>5</v>
      </c>
      <c r="IG25" s="304">
        <v>5</v>
      </c>
      <c r="IH25" s="304">
        <v>5</v>
      </c>
      <c r="II25" s="304">
        <v>4</v>
      </c>
      <c r="IJ25" s="299">
        <v>2</v>
      </c>
      <c r="IK25" s="299">
        <v>1</v>
      </c>
      <c r="IL25" s="299">
        <v>1</v>
      </c>
      <c r="IM25" s="299">
        <v>1</v>
      </c>
      <c r="IN25" s="299">
        <v>267</v>
      </c>
      <c r="IO25" s="299">
        <v>358</v>
      </c>
      <c r="IP25" s="304">
        <v>365</v>
      </c>
      <c r="IQ25" s="304">
        <v>213</v>
      </c>
      <c r="IR25" s="304">
        <v>102</v>
      </c>
      <c r="IS25" s="304">
        <v>21</v>
      </c>
      <c r="IT25" s="304">
        <v>0</v>
      </c>
      <c r="IU25" s="299">
        <v>0</v>
      </c>
      <c r="IV25" s="299">
        <v>6</v>
      </c>
      <c r="IW25" s="299">
        <v>14</v>
      </c>
      <c r="IX25" s="299">
        <v>45</v>
      </c>
      <c r="IY25" s="299">
        <v>1246</v>
      </c>
      <c r="IZ25" s="299">
        <v>803</v>
      </c>
      <c r="JA25" s="299">
        <v>592</v>
      </c>
      <c r="JB25" s="299">
        <v>534</v>
      </c>
      <c r="JC25" s="299">
        <v>682</v>
      </c>
      <c r="JD25" s="299">
        <v>792</v>
      </c>
      <c r="JE25" s="299">
        <v>1422</v>
      </c>
      <c r="JF25" s="299">
        <v>2008</v>
      </c>
      <c r="JG25" s="299">
        <v>4105</v>
      </c>
      <c r="JH25" s="299">
        <v>6811</v>
      </c>
      <c r="JI25" s="299">
        <v>9960</v>
      </c>
      <c r="JJ25" s="299">
        <v>35546</v>
      </c>
      <c r="JK25" s="299">
        <v>36503</v>
      </c>
      <c r="JL25" s="299">
        <v>35542</v>
      </c>
      <c r="JM25" s="299">
        <v>34290</v>
      </c>
      <c r="JN25" s="299">
        <v>38509</v>
      </c>
      <c r="JO25" s="299">
        <v>41887</v>
      </c>
      <c r="JP25" s="299">
        <v>45095</v>
      </c>
      <c r="JQ25" s="299">
        <v>46421</v>
      </c>
      <c r="JR25" s="299">
        <v>53578</v>
      </c>
      <c r="JS25" s="299">
        <v>62347</v>
      </c>
      <c r="JT25" s="299">
        <v>69676</v>
      </c>
      <c r="JU25" s="299">
        <v>110654</v>
      </c>
      <c r="JV25" s="299">
        <v>102807</v>
      </c>
      <c r="JW25" s="299">
        <v>100120</v>
      </c>
      <c r="JX25" s="299">
        <v>98840</v>
      </c>
      <c r="JY25" s="299">
        <v>98505</v>
      </c>
      <c r="JZ25" s="302">
        <v>116776</v>
      </c>
      <c r="KA25" s="302">
        <v>124027</v>
      </c>
      <c r="KB25" s="299">
        <v>126088</v>
      </c>
      <c r="KC25" s="303">
        <v>126105</v>
      </c>
      <c r="KD25" s="303">
        <v>138666</v>
      </c>
      <c r="KE25" s="472">
        <v>152435</v>
      </c>
    </row>
    <row r="26" spans="1:291" s="155" customFormat="1" ht="12" customHeight="1" x14ac:dyDescent="0.2">
      <c r="A26" s="395">
        <v>23</v>
      </c>
      <c r="B26" s="154" t="s">
        <v>249</v>
      </c>
      <c r="C26" s="299">
        <v>731</v>
      </c>
      <c r="D26" s="299">
        <v>693</v>
      </c>
      <c r="E26" s="299">
        <v>781</v>
      </c>
      <c r="F26" s="299">
        <v>656</v>
      </c>
      <c r="G26" s="299">
        <v>594</v>
      </c>
      <c r="H26" s="299">
        <v>672</v>
      </c>
      <c r="I26" s="299">
        <v>761</v>
      </c>
      <c r="J26" s="299">
        <v>564</v>
      </c>
      <c r="K26" s="299">
        <v>358</v>
      </c>
      <c r="L26" s="299">
        <v>549</v>
      </c>
      <c r="M26" s="299">
        <v>567</v>
      </c>
      <c r="N26" s="299">
        <v>0</v>
      </c>
      <c r="O26" s="299">
        <v>0</v>
      </c>
      <c r="P26" s="299">
        <v>92</v>
      </c>
      <c r="Q26" s="299">
        <v>157</v>
      </c>
      <c r="R26" s="299">
        <v>134</v>
      </c>
      <c r="S26" s="299">
        <v>156</v>
      </c>
      <c r="T26" s="299">
        <v>109</v>
      </c>
      <c r="U26" s="299">
        <v>107</v>
      </c>
      <c r="V26" s="299">
        <v>98</v>
      </c>
      <c r="W26" s="299">
        <v>81</v>
      </c>
      <c r="X26" s="299">
        <v>65</v>
      </c>
      <c r="Y26" s="299">
        <v>79</v>
      </c>
      <c r="Z26" s="299">
        <v>104</v>
      </c>
      <c r="AA26" s="299">
        <v>57</v>
      </c>
      <c r="AB26" s="299">
        <v>10</v>
      </c>
      <c r="AC26" s="299">
        <v>10</v>
      </c>
      <c r="AD26" s="299">
        <v>10</v>
      </c>
      <c r="AE26" s="299">
        <v>10</v>
      </c>
      <c r="AF26" s="299">
        <v>4</v>
      </c>
      <c r="AG26" s="299">
        <v>0</v>
      </c>
      <c r="AH26" s="299">
        <v>0</v>
      </c>
      <c r="AI26" s="299">
        <v>0</v>
      </c>
      <c r="AJ26" s="299">
        <v>0</v>
      </c>
      <c r="AK26" s="299">
        <v>0</v>
      </c>
      <c r="AL26" s="299">
        <v>3</v>
      </c>
      <c r="AM26" s="299">
        <v>2</v>
      </c>
      <c r="AN26" s="299">
        <v>1</v>
      </c>
      <c r="AO26" s="299">
        <v>1</v>
      </c>
      <c r="AP26" s="299">
        <v>1</v>
      </c>
      <c r="AQ26" s="299">
        <v>0</v>
      </c>
      <c r="AR26" s="299">
        <v>0</v>
      </c>
      <c r="AS26" s="299">
        <v>1</v>
      </c>
      <c r="AT26" s="299">
        <v>0</v>
      </c>
      <c r="AU26" s="299">
        <v>0</v>
      </c>
      <c r="AV26" s="299">
        <v>0</v>
      </c>
      <c r="AW26" s="299">
        <v>80</v>
      </c>
      <c r="AX26" s="299">
        <v>68</v>
      </c>
      <c r="AY26" s="299">
        <v>65</v>
      </c>
      <c r="AZ26" s="299">
        <v>67</v>
      </c>
      <c r="BA26" s="299">
        <v>68</v>
      </c>
      <c r="BB26" s="299">
        <v>68</v>
      </c>
      <c r="BC26" s="299">
        <v>1</v>
      </c>
      <c r="BD26" s="299">
        <v>0</v>
      </c>
      <c r="BE26" s="299">
        <v>0</v>
      </c>
      <c r="BF26" s="299">
        <v>0</v>
      </c>
      <c r="BG26" s="299">
        <v>0</v>
      </c>
      <c r="BH26" s="299">
        <v>261</v>
      </c>
      <c r="BI26" s="299">
        <v>216</v>
      </c>
      <c r="BJ26" s="299">
        <v>156</v>
      </c>
      <c r="BK26" s="299">
        <v>114</v>
      </c>
      <c r="BL26" s="299">
        <v>129</v>
      </c>
      <c r="BM26" s="299">
        <v>127</v>
      </c>
      <c r="BN26" s="299">
        <v>130</v>
      </c>
      <c r="BO26" s="299">
        <v>178</v>
      </c>
      <c r="BP26" s="299">
        <v>217</v>
      </c>
      <c r="BQ26" s="299">
        <v>235</v>
      </c>
      <c r="BR26" s="299">
        <v>245</v>
      </c>
      <c r="BS26" s="299">
        <v>0</v>
      </c>
      <c r="BT26" s="299">
        <v>0</v>
      </c>
      <c r="BU26" s="304">
        <v>0</v>
      </c>
      <c r="BV26" s="304">
        <v>0</v>
      </c>
      <c r="BW26" s="304">
        <v>0</v>
      </c>
      <c r="BX26" s="304">
        <v>0</v>
      </c>
      <c r="BY26" s="304">
        <v>0</v>
      </c>
      <c r="BZ26" s="299">
        <v>0</v>
      </c>
      <c r="CA26" s="299">
        <v>3</v>
      </c>
      <c r="CB26" s="299">
        <v>3</v>
      </c>
      <c r="CC26" s="299">
        <v>3</v>
      </c>
      <c r="CD26" s="299">
        <v>0</v>
      </c>
      <c r="CE26" s="299">
        <v>0</v>
      </c>
      <c r="CF26" s="299">
        <v>0</v>
      </c>
      <c r="CG26" s="299">
        <v>0</v>
      </c>
      <c r="CH26" s="299">
        <v>0</v>
      </c>
      <c r="CI26" s="299">
        <v>1</v>
      </c>
      <c r="CJ26" s="299">
        <v>1</v>
      </c>
      <c r="CK26" s="299">
        <v>1</v>
      </c>
      <c r="CL26" s="299">
        <v>1</v>
      </c>
      <c r="CM26" s="299">
        <v>1</v>
      </c>
      <c r="CN26" s="299">
        <v>0</v>
      </c>
      <c r="CO26" s="299">
        <v>0</v>
      </c>
      <c r="CP26" s="299">
        <v>0</v>
      </c>
      <c r="CQ26" s="299">
        <v>0</v>
      </c>
      <c r="CR26" s="304">
        <v>1</v>
      </c>
      <c r="CS26" s="304">
        <v>2</v>
      </c>
      <c r="CT26" s="304">
        <v>4</v>
      </c>
      <c r="CU26" s="304">
        <v>7</v>
      </c>
      <c r="CV26" s="304">
        <v>9</v>
      </c>
      <c r="CW26" s="304">
        <v>11</v>
      </c>
      <c r="CX26" s="299">
        <v>12</v>
      </c>
      <c r="CY26" s="299">
        <v>12</v>
      </c>
      <c r="CZ26" s="299">
        <v>12</v>
      </c>
      <c r="DA26" s="299">
        <v>10</v>
      </c>
      <c r="DB26" s="304">
        <v>0</v>
      </c>
      <c r="DC26" s="304">
        <v>0</v>
      </c>
      <c r="DD26" s="304">
        <v>10</v>
      </c>
      <c r="DE26" s="304">
        <v>11</v>
      </c>
      <c r="DF26" s="304">
        <v>9</v>
      </c>
      <c r="DG26" s="304">
        <v>5</v>
      </c>
      <c r="DH26" s="304">
        <v>8</v>
      </c>
      <c r="DI26" s="299">
        <v>8</v>
      </c>
      <c r="DJ26" s="301" t="s">
        <v>42</v>
      </c>
      <c r="DK26" s="299">
        <v>0</v>
      </c>
      <c r="DL26" s="299">
        <v>0</v>
      </c>
      <c r="DM26" s="299">
        <v>0</v>
      </c>
      <c r="DN26" s="299">
        <v>0</v>
      </c>
      <c r="DO26" s="299">
        <v>0</v>
      </c>
      <c r="DP26" s="299">
        <v>0</v>
      </c>
      <c r="DQ26" s="299">
        <v>0</v>
      </c>
      <c r="DR26" s="299">
        <v>0</v>
      </c>
      <c r="DS26" s="299">
        <v>0</v>
      </c>
      <c r="DT26" s="299">
        <v>0</v>
      </c>
      <c r="DU26" s="299">
        <v>0</v>
      </c>
      <c r="DV26" s="299">
        <v>0</v>
      </c>
      <c r="DW26" s="299">
        <v>0</v>
      </c>
      <c r="DX26" s="299">
        <v>138</v>
      </c>
      <c r="DY26" s="299">
        <v>174</v>
      </c>
      <c r="DZ26" s="299">
        <v>113</v>
      </c>
      <c r="EA26" s="299">
        <v>147</v>
      </c>
      <c r="EB26" s="299">
        <v>134</v>
      </c>
      <c r="EC26" s="299">
        <v>98</v>
      </c>
      <c r="ED26" s="299">
        <v>80</v>
      </c>
      <c r="EE26" s="299">
        <v>81</v>
      </c>
      <c r="EF26" s="299">
        <v>116</v>
      </c>
      <c r="EG26" s="299">
        <v>115</v>
      </c>
      <c r="EH26" s="299">
        <v>103</v>
      </c>
      <c r="EI26" s="299">
        <v>57</v>
      </c>
      <c r="EJ26" s="299">
        <v>52</v>
      </c>
      <c r="EK26" s="304">
        <v>85</v>
      </c>
      <c r="EL26" s="304">
        <v>114</v>
      </c>
      <c r="EM26" s="304">
        <v>147</v>
      </c>
      <c r="EN26" s="304">
        <v>155</v>
      </c>
      <c r="EO26" s="304">
        <v>148</v>
      </c>
      <c r="EP26" s="299">
        <v>129</v>
      </c>
      <c r="EQ26" s="299">
        <v>109</v>
      </c>
      <c r="ER26" s="299">
        <v>35</v>
      </c>
      <c r="ES26" s="299">
        <v>13</v>
      </c>
      <c r="ET26" s="299">
        <v>0</v>
      </c>
      <c r="EU26" s="299">
        <v>0</v>
      </c>
      <c r="EV26" s="304">
        <v>0</v>
      </c>
      <c r="EW26" s="304">
        <v>0</v>
      </c>
      <c r="EX26" s="304">
        <v>0</v>
      </c>
      <c r="EY26" s="304">
        <v>0</v>
      </c>
      <c r="EZ26" s="304">
        <v>0</v>
      </c>
      <c r="FA26" s="299">
        <v>0</v>
      </c>
      <c r="FB26" s="299">
        <v>0</v>
      </c>
      <c r="FC26" s="299">
        <v>0</v>
      </c>
      <c r="FD26" s="299">
        <v>0</v>
      </c>
      <c r="FE26" s="299">
        <v>0</v>
      </c>
      <c r="FF26" s="299">
        <v>0</v>
      </c>
      <c r="FG26" s="304">
        <v>0</v>
      </c>
      <c r="FH26" s="304">
        <v>0</v>
      </c>
      <c r="FI26" s="304">
        <v>0</v>
      </c>
      <c r="FJ26" s="304">
        <v>0</v>
      </c>
      <c r="FK26" s="304">
        <v>0</v>
      </c>
      <c r="FL26" s="299">
        <v>0</v>
      </c>
      <c r="FM26" s="299">
        <v>0</v>
      </c>
      <c r="FN26" s="299">
        <v>0</v>
      </c>
      <c r="FO26" s="299">
        <v>0</v>
      </c>
      <c r="FP26" s="299">
        <v>1</v>
      </c>
      <c r="FQ26" s="304">
        <v>0</v>
      </c>
      <c r="FR26" s="304">
        <v>0</v>
      </c>
      <c r="FS26" s="304">
        <v>0</v>
      </c>
      <c r="FT26" s="304">
        <v>0</v>
      </c>
      <c r="FU26" s="304">
        <v>0</v>
      </c>
      <c r="FV26" s="304">
        <v>34</v>
      </c>
      <c r="FW26" s="299">
        <v>77</v>
      </c>
      <c r="FX26" s="299">
        <v>99</v>
      </c>
      <c r="FY26" s="299">
        <v>131</v>
      </c>
      <c r="FZ26" s="299">
        <v>185</v>
      </c>
      <c r="GA26" s="299">
        <v>0</v>
      </c>
      <c r="GB26" s="299">
        <v>0</v>
      </c>
      <c r="GC26" s="299">
        <v>1</v>
      </c>
      <c r="GD26" s="299">
        <v>1</v>
      </c>
      <c r="GE26" s="299">
        <v>1</v>
      </c>
      <c r="GF26" s="299">
        <v>1</v>
      </c>
      <c r="GG26" s="299">
        <v>1</v>
      </c>
      <c r="GH26" s="299">
        <v>1</v>
      </c>
      <c r="GI26" s="299">
        <v>2</v>
      </c>
      <c r="GJ26" s="299">
        <v>3</v>
      </c>
      <c r="GK26" s="299">
        <v>4</v>
      </c>
      <c r="GL26" s="299">
        <v>0</v>
      </c>
      <c r="GM26" s="299">
        <v>0</v>
      </c>
      <c r="GN26" s="299">
        <v>0</v>
      </c>
      <c r="GO26" s="299">
        <v>22</v>
      </c>
      <c r="GP26" s="299">
        <v>15</v>
      </c>
      <c r="GQ26" s="299">
        <v>22</v>
      </c>
      <c r="GR26" s="299">
        <v>25</v>
      </c>
      <c r="GS26" s="299">
        <v>26</v>
      </c>
      <c r="GT26" s="299">
        <v>28</v>
      </c>
      <c r="GU26" s="299">
        <v>30</v>
      </c>
      <c r="GV26" s="299">
        <v>26</v>
      </c>
      <c r="GW26" s="299">
        <v>67</v>
      </c>
      <c r="GX26" s="299">
        <v>112</v>
      </c>
      <c r="GY26" s="304">
        <v>150</v>
      </c>
      <c r="GZ26" s="304">
        <v>82</v>
      </c>
      <c r="HA26" s="304">
        <v>54</v>
      </c>
      <c r="HB26" s="304">
        <v>64</v>
      </c>
      <c r="HC26" s="304">
        <v>50</v>
      </c>
      <c r="HD26" s="299">
        <v>63</v>
      </c>
      <c r="HE26" s="299">
        <v>62</v>
      </c>
      <c r="HF26" s="299">
        <v>46</v>
      </c>
      <c r="HG26" s="299">
        <v>54</v>
      </c>
      <c r="HH26" s="299">
        <v>0</v>
      </c>
      <c r="HI26" s="299">
        <v>0</v>
      </c>
      <c r="HJ26" s="299">
        <v>0</v>
      </c>
      <c r="HK26" s="299">
        <v>0</v>
      </c>
      <c r="HL26" s="299">
        <v>0</v>
      </c>
      <c r="HM26" s="299">
        <v>0</v>
      </c>
      <c r="HN26" s="299">
        <v>0</v>
      </c>
      <c r="HO26" s="299">
        <v>0</v>
      </c>
      <c r="HP26" s="299">
        <v>0</v>
      </c>
      <c r="HQ26" s="299"/>
      <c r="HR26" s="299">
        <v>45</v>
      </c>
      <c r="HS26" s="299">
        <v>48</v>
      </c>
      <c r="HT26" s="304">
        <v>72</v>
      </c>
      <c r="HU26" s="304">
        <v>62</v>
      </c>
      <c r="HV26" s="304">
        <v>58</v>
      </c>
      <c r="HW26" s="304">
        <v>69</v>
      </c>
      <c r="HX26" s="304">
        <v>77</v>
      </c>
      <c r="HY26" s="299">
        <v>58</v>
      </c>
      <c r="HZ26" s="299">
        <v>67</v>
      </c>
      <c r="IA26" s="299">
        <v>84</v>
      </c>
      <c r="IB26" s="299">
        <v>94</v>
      </c>
      <c r="IC26" s="299">
        <v>0</v>
      </c>
      <c r="ID26" s="299">
        <v>0</v>
      </c>
      <c r="IE26" s="304">
        <v>0</v>
      </c>
      <c r="IF26" s="304">
        <v>0</v>
      </c>
      <c r="IG26" s="304">
        <v>0</v>
      </c>
      <c r="IH26" s="304">
        <v>0</v>
      </c>
      <c r="II26" s="304">
        <v>0</v>
      </c>
      <c r="IJ26" s="299">
        <v>0</v>
      </c>
      <c r="IK26" s="299">
        <v>0</v>
      </c>
      <c r="IL26" s="299">
        <v>0</v>
      </c>
      <c r="IM26" s="299">
        <v>0</v>
      </c>
      <c r="IN26" s="299">
        <v>1</v>
      </c>
      <c r="IO26" s="299">
        <v>1</v>
      </c>
      <c r="IP26" s="304">
        <v>1</v>
      </c>
      <c r="IQ26" s="304">
        <v>0</v>
      </c>
      <c r="IR26" s="304">
        <v>0</v>
      </c>
      <c r="IS26" s="304">
        <v>0</v>
      </c>
      <c r="IT26" s="304">
        <v>0</v>
      </c>
      <c r="IU26" s="299">
        <v>0</v>
      </c>
      <c r="IV26" s="299">
        <v>0</v>
      </c>
      <c r="IW26" s="299">
        <v>0</v>
      </c>
      <c r="IX26" s="299">
        <v>0</v>
      </c>
      <c r="IY26" s="299">
        <v>5</v>
      </c>
      <c r="IZ26" s="299">
        <v>18</v>
      </c>
      <c r="JA26" s="299">
        <v>20</v>
      </c>
      <c r="JB26" s="299">
        <v>23</v>
      </c>
      <c r="JC26" s="299">
        <v>21</v>
      </c>
      <c r="JD26" s="299">
        <v>12</v>
      </c>
      <c r="JE26" s="299">
        <v>11</v>
      </c>
      <c r="JF26" s="299">
        <v>20</v>
      </c>
      <c r="JG26" s="299">
        <v>30</v>
      </c>
      <c r="JH26" s="299">
        <v>27</v>
      </c>
      <c r="JI26" s="299">
        <v>50</v>
      </c>
      <c r="JJ26" s="299">
        <v>807</v>
      </c>
      <c r="JK26" s="299">
        <v>859</v>
      </c>
      <c r="JL26" s="299">
        <v>820</v>
      </c>
      <c r="JM26" s="299">
        <v>814</v>
      </c>
      <c r="JN26" s="299">
        <v>763</v>
      </c>
      <c r="JO26" s="299">
        <v>742</v>
      </c>
      <c r="JP26" s="299">
        <v>675</v>
      </c>
      <c r="JQ26" s="299">
        <v>736</v>
      </c>
      <c r="JR26" s="299">
        <v>811</v>
      </c>
      <c r="JS26" s="299">
        <v>801</v>
      </c>
      <c r="JT26" s="299">
        <v>891</v>
      </c>
      <c r="JU26" s="299">
        <v>1538</v>
      </c>
      <c r="JV26" s="299">
        <v>1552</v>
      </c>
      <c r="JW26" s="299">
        <v>1601</v>
      </c>
      <c r="JX26" s="299">
        <v>1470</v>
      </c>
      <c r="JY26" s="299">
        <v>1357</v>
      </c>
      <c r="JZ26" s="302">
        <v>1414</v>
      </c>
      <c r="KA26" s="302">
        <v>1436</v>
      </c>
      <c r="KB26" s="299">
        <v>1300</v>
      </c>
      <c r="KC26" s="303">
        <v>1169</v>
      </c>
      <c r="KD26" s="303">
        <v>1350</v>
      </c>
      <c r="KE26" s="472">
        <v>1458</v>
      </c>
    </row>
    <row r="27" spans="1:291" s="155" customFormat="1" x14ac:dyDescent="0.2">
      <c r="A27" s="395">
        <v>24</v>
      </c>
      <c r="B27" s="154" t="s">
        <v>241</v>
      </c>
      <c r="C27" s="299">
        <v>79851</v>
      </c>
      <c r="D27" s="299">
        <v>68052</v>
      </c>
      <c r="E27" s="299">
        <v>79945</v>
      </c>
      <c r="F27" s="299">
        <v>77893</v>
      </c>
      <c r="G27" s="299">
        <v>77013</v>
      </c>
      <c r="H27" s="299">
        <v>82083</v>
      </c>
      <c r="I27" s="299">
        <v>87923</v>
      </c>
      <c r="J27" s="299">
        <v>71873</v>
      </c>
      <c r="K27" s="299">
        <v>86056</v>
      </c>
      <c r="L27" s="299">
        <v>88719</v>
      </c>
      <c r="M27" s="299">
        <v>95057</v>
      </c>
      <c r="N27" s="299">
        <v>0</v>
      </c>
      <c r="O27" s="299">
        <v>0</v>
      </c>
      <c r="P27" s="299">
        <v>4109</v>
      </c>
      <c r="Q27" s="299">
        <v>4918</v>
      </c>
      <c r="R27" s="299">
        <v>3347</v>
      </c>
      <c r="S27" s="299">
        <v>4089</v>
      </c>
      <c r="T27" s="299">
        <v>3498</v>
      </c>
      <c r="U27" s="299">
        <v>3702</v>
      </c>
      <c r="V27" s="299">
        <v>4156</v>
      </c>
      <c r="W27" s="299">
        <v>3214</v>
      </c>
      <c r="X27" s="299">
        <v>2870</v>
      </c>
      <c r="Y27" s="299">
        <v>2570</v>
      </c>
      <c r="Z27" s="299">
        <v>3153</v>
      </c>
      <c r="AA27" s="299">
        <v>606</v>
      </c>
      <c r="AB27" s="299">
        <v>340</v>
      </c>
      <c r="AC27" s="299">
        <v>339</v>
      </c>
      <c r="AD27" s="299">
        <v>334</v>
      </c>
      <c r="AE27" s="299">
        <v>333</v>
      </c>
      <c r="AF27" s="299">
        <v>105</v>
      </c>
      <c r="AG27" s="299">
        <v>20</v>
      </c>
      <c r="AH27" s="299">
        <v>10</v>
      </c>
      <c r="AI27" s="299">
        <v>9</v>
      </c>
      <c r="AJ27" s="299">
        <v>9</v>
      </c>
      <c r="AK27" s="299">
        <v>9</v>
      </c>
      <c r="AL27" s="299">
        <v>809</v>
      </c>
      <c r="AM27" s="299">
        <v>711</v>
      </c>
      <c r="AN27" s="299">
        <v>1106</v>
      </c>
      <c r="AO27" s="299">
        <v>2019</v>
      </c>
      <c r="AP27" s="299">
        <v>2935</v>
      </c>
      <c r="AQ27" s="299">
        <v>2284</v>
      </c>
      <c r="AR27" s="299">
        <v>2584</v>
      </c>
      <c r="AS27" s="299">
        <v>2884</v>
      </c>
      <c r="AT27" s="299">
        <v>378</v>
      </c>
      <c r="AU27" s="299">
        <v>608</v>
      </c>
      <c r="AV27" s="299">
        <v>872</v>
      </c>
      <c r="AW27" s="299">
        <v>794</v>
      </c>
      <c r="AX27" s="299">
        <v>309</v>
      </c>
      <c r="AY27" s="299">
        <v>465</v>
      </c>
      <c r="AZ27" s="299">
        <v>602</v>
      </c>
      <c r="BA27" s="299">
        <v>523</v>
      </c>
      <c r="BB27" s="299">
        <v>420</v>
      </c>
      <c r="BC27" s="299">
        <v>436</v>
      </c>
      <c r="BD27" s="299">
        <v>253</v>
      </c>
      <c r="BE27" s="299">
        <v>185</v>
      </c>
      <c r="BF27" s="299">
        <v>177</v>
      </c>
      <c r="BG27" s="299">
        <v>111</v>
      </c>
      <c r="BH27" s="299">
        <v>3330</v>
      </c>
      <c r="BI27" s="299">
        <v>1958</v>
      </c>
      <c r="BJ27" s="299">
        <v>1531</v>
      </c>
      <c r="BK27" s="299">
        <v>1431</v>
      </c>
      <c r="BL27" s="299">
        <v>1609</v>
      </c>
      <c r="BM27" s="299">
        <v>1866</v>
      </c>
      <c r="BN27" s="299">
        <v>2342</v>
      </c>
      <c r="BO27" s="299">
        <v>2626</v>
      </c>
      <c r="BP27" s="299">
        <v>3756</v>
      </c>
      <c r="BQ27" s="299">
        <v>4956</v>
      </c>
      <c r="BR27" s="299">
        <v>5976</v>
      </c>
      <c r="BS27" s="299">
        <v>1381</v>
      </c>
      <c r="BT27" s="299">
        <v>1587</v>
      </c>
      <c r="BU27" s="299">
        <v>1424</v>
      </c>
      <c r="BV27" s="299">
        <v>2539</v>
      </c>
      <c r="BW27" s="299">
        <v>4038</v>
      </c>
      <c r="BX27" s="299">
        <v>4564</v>
      </c>
      <c r="BY27" s="299">
        <v>2995</v>
      </c>
      <c r="BZ27" s="299">
        <v>3243</v>
      </c>
      <c r="CA27" s="299">
        <v>3436</v>
      </c>
      <c r="CB27" s="299">
        <v>4091</v>
      </c>
      <c r="CC27" s="299">
        <v>4455</v>
      </c>
      <c r="CD27" s="299">
        <v>0</v>
      </c>
      <c r="CE27" s="299">
        <v>0</v>
      </c>
      <c r="CF27" s="299">
        <v>0</v>
      </c>
      <c r="CG27" s="299">
        <v>0</v>
      </c>
      <c r="CH27" s="299">
        <v>0</v>
      </c>
      <c r="CI27" s="299">
        <v>0</v>
      </c>
      <c r="CJ27" s="299">
        <v>15</v>
      </c>
      <c r="CK27" s="299">
        <v>11</v>
      </c>
      <c r="CL27" s="299">
        <v>9</v>
      </c>
      <c r="CM27" s="299">
        <v>9</v>
      </c>
      <c r="CN27" s="299">
        <v>0</v>
      </c>
      <c r="CO27" s="299">
        <v>0</v>
      </c>
      <c r="CP27" s="299">
        <v>0</v>
      </c>
      <c r="CQ27" s="299">
        <v>59</v>
      </c>
      <c r="CR27" s="304">
        <v>249</v>
      </c>
      <c r="CS27" s="304">
        <v>504</v>
      </c>
      <c r="CT27" s="304">
        <v>959</v>
      </c>
      <c r="CU27" s="304">
        <v>1844</v>
      </c>
      <c r="CV27" s="304">
        <v>2617</v>
      </c>
      <c r="CW27" s="304">
        <v>2929</v>
      </c>
      <c r="CX27" s="299">
        <v>3221</v>
      </c>
      <c r="CY27" s="299">
        <v>3346</v>
      </c>
      <c r="CZ27" s="299">
        <v>3705</v>
      </c>
      <c r="DA27" s="299">
        <v>3422</v>
      </c>
      <c r="DB27" s="304">
        <v>5751</v>
      </c>
      <c r="DC27" s="304">
        <v>7835</v>
      </c>
      <c r="DD27" s="304">
        <v>8883</v>
      </c>
      <c r="DE27" s="304">
        <v>6862</v>
      </c>
      <c r="DF27" s="304">
        <v>6579</v>
      </c>
      <c r="DG27" s="304">
        <v>5779</v>
      </c>
      <c r="DH27" s="304">
        <v>5012</v>
      </c>
      <c r="DI27" s="299">
        <v>5301</v>
      </c>
      <c r="DJ27" s="301" t="s">
        <v>42</v>
      </c>
      <c r="DK27" s="299">
        <v>446</v>
      </c>
      <c r="DL27" s="299">
        <v>391</v>
      </c>
      <c r="DM27" s="299">
        <v>116</v>
      </c>
      <c r="DN27" s="299">
        <v>300</v>
      </c>
      <c r="DO27" s="299">
        <v>204</v>
      </c>
      <c r="DP27" s="299">
        <v>69</v>
      </c>
      <c r="DQ27" s="299">
        <v>40</v>
      </c>
      <c r="DR27" s="299">
        <v>73</v>
      </c>
      <c r="DS27" s="299">
        <v>59</v>
      </c>
      <c r="DT27" s="299">
        <v>73</v>
      </c>
      <c r="DU27" s="299">
        <v>72</v>
      </c>
      <c r="DV27" s="299">
        <v>0</v>
      </c>
      <c r="DW27" s="299">
        <v>37</v>
      </c>
      <c r="DX27" s="299">
        <v>3822</v>
      </c>
      <c r="DY27" s="299">
        <v>4933</v>
      </c>
      <c r="DZ27" s="299">
        <v>3490</v>
      </c>
      <c r="EA27" s="299">
        <v>5079</v>
      </c>
      <c r="EB27" s="299">
        <v>6171</v>
      </c>
      <c r="EC27" s="299">
        <v>6426</v>
      </c>
      <c r="ED27" s="299">
        <v>5712</v>
      </c>
      <c r="EE27" s="299">
        <v>5514</v>
      </c>
      <c r="EF27" s="299">
        <v>14312</v>
      </c>
      <c r="EG27" s="299">
        <v>20308</v>
      </c>
      <c r="EH27" s="299">
        <v>25596</v>
      </c>
      <c r="EI27" s="299">
        <v>7221</v>
      </c>
      <c r="EJ27" s="299">
        <v>6854</v>
      </c>
      <c r="EK27" s="299">
        <v>7976</v>
      </c>
      <c r="EL27" s="299">
        <v>9276</v>
      </c>
      <c r="EM27" s="299">
        <v>10546</v>
      </c>
      <c r="EN27" s="299">
        <v>12096</v>
      </c>
      <c r="EO27" s="299">
        <v>11846</v>
      </c>
      <c r="EP27" s="299">
        <v>12924</v>
      </c>
      <c r="EQ27" s="299">
        <v>13836</v>
      </c>
      <c r="ER27" s="299">
        <v>14274</v>
      </c>
      <c r="ES27" s="299">
        <v>16348</v>
      </c>
      <c r="ET27" s="299">
        <v>143</v>
      </c>
      <c r="EU27" s="299">
        <v>80</v>
      </c>
      <c r="EV27" s="299">
        <v>86</v>
      </c>
      <c r="EW27" s="299">
        <v>28</v>
      </c>
      <c r="EX27" s="299">
        <v>28</v>
      </c>
      <c r="EY27" s="299">
        <v>0</v>
      </c>
      <c r="EZ27" s="299">
        <v>3</v>
      </c>
      <c r="FA27" s="299">
        <v>2</v>
      </c>
      <c r="FB27" s="299">
        <v>2</v>
      </c>
      <c r="FC27" s="299">
        <v>0</v>
      </c>
      <c r="FD27" s="299">
        <v>468</v>
      </c>
      <c r="FE27" s="299">
        <v>8497</v>
      </c>
      <c r="FF27" s="299">
        <v>13762</v>
      </c>
      <c r="FG27" s="299">
        <v>17622</v>
      </c>
      <c r="FH27" s="299">
        <v>15956</v>
      </c>
      <c r="FI27" s="299">
        <v>20591</v>
      </c>
      <c r="FJ27" s="299">
        <v>20733</v>
      </c>
      <c r="FK27" s="299">
        <v>16827</v>
      </c>
      <c r="FL27" s="299">
        <v>18874</v>
      </c>
      <c r="FM27" s="299">
        <v>19253</v>
      </c>
      <c r="FN27" s="299">
        <v>18240</v>
      </c>
      <c r="FO27" s="299">
        <v>17585</v>
      </c>
      <c r="FP27" s="299">
        <v>2293</v>
      </c>
      <c r="FQ27" s="299">
        <v>2328</v>
      </c>
      <c r="FR27" s="299">
        <v>2639</v>
      </c>
      <c r="FS27" s="299">
        <v>2855</v>
      </c>
      <c r="FT27" s="299">
        <v>2542</v>
      </c>
      <c r="FU27" s="299">
        <v>2579</v>
      </c>
      <c r="FV27" s="299">
        <v>3062</v>
      </c>
      <c r="FW27" s="299">
        <v>3130</v>
      </c>
      <c r="FX27" s="299">
        <v>3807</v>
      </c>
      <c r="FY27" s="299">
        <v>6007</v>
      </c>
      <c r="FZ27" s="299">
        <v>7853</v>
      </c>
      <c r="GA27" s="299">
        <v>1026</v>
      </c>
      <c r="GB27" s="299">
        <v>235</v>
      </c>
      <c r="GC27" s="299">
        <v>212</v>
      </c>
      <c r="GD27" s="299">
        <v>242</v>
      </c>
      <c r="GE27" s="299">
        <v>342</v>
      </c>
      <c r="GF27" s="299">
        <v>407</v>
      </c>
      <c r="GG27" s="299">
        <v>456</v>
      </c>
      <c r="GH27" s="299">
        <v>568</v>
      </c>
      <c r="GI27" s="299">
        <v>837</v>
      </c>
      <c r="GJ27" s="299">
        <v>1181</v>
      </c>
      <c r="GK27" s="299">
        <v>1394</v>
      </c>
      <c r="GL27" s="299">
        <v>0</v>
      </c>
      <c r="GM27" s="299">
        <v>41</v>
      </c>
      <c r="GN27" s="299">
        <v>160</v>
      </c>
      <c r="GO27" s="299">
        <v>459</v>
      </c>
      <c r="GP27" s="299">
        <v>662</v>
      </c>
      <c r="GQ27" s="299">
        <v>848</v>
      </c>
      <c r="GR27" s="299">
        <v>862</v>
      </c>
      <c r="GS27" s="299">
        <v>868</v>
      </c>
      <c r="GT27" s="299">
        <v>925</v>
      </c>
      <c r="GU27" s="299">
        <v>1088</v>
      </c>
      <c r="GV27" s="299">
        <v>1263</v>
      </c>
      <c r="GW27" s="299">
        <v>5211</v>
      </c>
      <c r="GX27" s="299">
        <v>5667</v>
      </c>
      <c r="GY27" s="299">
        <v>6908</v>
      </c>
      <c r="GZ27" s="299">
        <v>2132</v>
      </c>
      <c r="HA27" s="299">
        <v>1382</v>
      </c>
      <c r="HB27" s="299">
        <v>1653</v>
      </c>
      <c r="HC27" s="299">
        <v>1135</v>
      </c>
      <c r="HD27" s="299">
        <v>1255</v>
      </c>
      <c r="HE27" s="299">
        <v>1523</v>
      </c>
      <c r="HF27" s="299">
        <v>1707</v>
      </c>
      <c r="HG27" s="299">
        <v>1871</v>
      </c>
      <c r="HH27" s="299">
        <v>100</v>
      </c>
      <c r="HI27" s="299">
        <v>103</v>
      </c>
      <c r="HJ27" s="299">
        <v>88</v>
      </c>
      <c r="HK27" s="299">
        <v>0</v>
      </c>
      <c r="HL27" s="299">
        <v>90</v>
      </c>
      <c r="HM27" s="299">
        <v>90</v>
      </c>
      <c r="HN27" s="299">
        <v>88</v>
      </c>
      <c r="HO27" s="299">
        <v>88</v>
      </c>
      <c r="HP27" s="299">
        <v>87</v>
      </c>
      <c r="HQ27" s="299"/>
      <c r="HR27" s="299">
        <v>7697</v>
      </c>
      <c r="HS27" s="299">
        <v>8632</v>
      </c>
      <c r="HT27" s="299">
        <v>9070</v>
      </c>
      <c r="HU27" s="299">
        <v>10706</v>
      </c>
      <c r="HV27" s="299">
        <v>13157</v>
      </c>
      <c r="HW27" s="299">
        <v>13498</v>
      </c>
      <c r="HX27" s="299">
        <v>17827</v>
      </c>
      <c r="HY27" s="299">
        <v>14978</v>
      </c>
      <c r="HZ27" s="299">
        <v>23086</v>
      </c>
      <c r="IA27" s="299">
        <v>26376</v>
      </c>
      <c r="IB27" s="299">
        <v>21818</v>
      </c>
      <c r="IC27" s="299">
        <v>575</v>
      </c>
      <c r="ID27" s="299">
        <v>559</v>
      </c>
      <c r="IE27" s="299">
        <v>556</v>
      </c>
      <c r="IF27" s="299">
        <v>516</v>
      </c>
      <c r="IG27" s="299">
        <v>511</v>
      </c>
      <c r="IH27" s="299">
        <v>508</v>
      </c>
      <c r="II27" s="299">
        <v>478</v>
      </c>
      <c r="IJ27" s="299">
        <v>478</v>
      </c>
      <c r="IK27" s="299">
        <v>458</v>
      </c>
      <c r="IL27" s="299">
        <v>401</v>
      </c>
      <c r="IM27" s="299">
        <v>336</v>
      </c>
      <c r="IN27" s="299">
        <v>417</v>
      </c>
      <c r="IO27" s="299">
        <v>438</v>
      </c>
      <c r="IP27" s="299">
        <v>451</v>
      </c>
      <c r="IQ27" s="299">
        <v>182</v>
      </c>
      <c r="IR27" s="299">
        <v>75</v>
      </c>
      <c r="IS27" s="299">
        <v>9</v>
      </c>
      <c r="IT27" s="299">
        <v>0</v>
      </c>
      <c r="IU27" s="299">
        <v>4</v>
      </c>
      <c r="IV27" s="299">
        <v>11</v>
      </c>
      <c r="IW27" s="299">
        <v>71</v>
      </c>
      <c r="IX27" s="299">
        <v>179</v>
      </c>
      <c r="IY27" s="299">
        <v>6232</v>
      </c>
      <c r="IZ27" s="299">
        <v>2973</v>
      </c>
      <c r="JA27" s="299">
        <v>2213</v>
      </c>
      <c r="JB27" s="299">
        <v>2169</v>
      </c>
      <c r="JC27" s="299">
        <v>2177</v>
      </c>
      <c r="JD27" s="299">
        <v>2173</v>
      </c>
      <c r="JE27" s="299">
        <v>3391</v>
      </c>
      <c r="JF27" s="299">
        <v>3466</v>
      </c>
      <c r="JG27" s="299">
        <v>5175</v>
      </c>
      <c r="JH27" s="299">
        <v>6689</v>
      </c>
      <c r="JI27" s="299">
        <v>9878</v>
      </c>
      <c r="JJ27" s="299">
        <v>60519</v>
      </c>
      <c r="JK27" s="299">
        <v>64903</v>
      </c>
      <c r="JL27" s="299">
        <v>69186</v>
      </c>
      <c r="JM27" s="299">
        <v>68735</v>
      </c>
      <c r="JN27" s="299">
        <v>79837</v>
      </c>
      <c r="JO27" s="299">
        <v>82426</v>
      </c>
      <c r="JP27" s="299">
        <v>82216</v>
      </c>
      <c r="JQ27" s="299">
        <v>82985</v>
      </c>
      <c r="JR27" s="299">
        <v>97360</v>
      </c>
      <c r="JS27" s="299">
        <v>112540</v>
      </c>
      <c r="JT27" s="299">
        <v>122696</v>
      </c>
      <c r="JU27" s="299">
        <v>140370</v>
      </c>
      <c r="JV27" s="299">
        <v>132955</v>
      </c>
      <c r="JW27" s="299">
        <v>149131</v>
      </c>
      <c r="JX27" s="299">
        <v>146628</v>
      </c>
      <c r="JY27" s="299">
        <v>156850</v>
      </c>
      <c r="JZ27" s="302">
        <v>164509</v>
      </c>
      <c r="KA27" s="302">
        <v>170139</v>
      </c>
      <c r="KB27" s="299">
        <v>154858</v>
      </c>
      <c r="KC27" s="303">
        <v>183416</v>
      </c>
      <c r="KD27" s="303">
        <v>201259</v>
      </c>
      <c r="KE27" s="472">
        <v>217753</v>
      </c>
    </row>
    <row r="28" spans="1:291" s="155" customFormat="1" x14ac:dyDescent="0.2">
      <c r="A28" s="395">
        <v>25</v>
      </c>
      <c r="B28" s="154" t="s">
        <v>242</v>
      </c>
      <c r="C28" s="299">
        <v>39387</v>
      </c>
      <c r="D28" s="299">
        <v>36751</v>
      </c>
      <c r="E28" s="299">
        <v>38578</v>
      </c>
      <c r="F28" s="299">
        <v>38702</v>
      </c>
      <c r="G28" s="299">
        <v>39357</v>
      </c>
      <c r="H28" s="299">
        <v>45051</v>
      </c>
      <c r="I28" s="299">
        <v>50489</v>
      </c>
      <c r="J28" s="299">
        <v>39663</v>
      </c>
      <c r="K28" s="299">
        <v>41186</v>
      </c>
      <c r="L28" s="299">
        <v>47672</v>
      </c>
      <c r="M28" s="299">
        <v>52924</v>
      </c>
      <c r="N28" s="299">
        <v>0</v>
      </c>
      <c r="O28" s="299">
        <v>0</v>
      </c>
      <c r="P28" s="299">
        <v>4975</v>
      </c>
      <c r="Q28" s="299">
        <v>5460</v>
      </c>
      <c r="R28" s="299">
        <v>2274</v>
      </c>
      <c r="S28" s="299">
        <v>2555</v>
      </c>
      <c r="T28" s="299">
        <v>2171</v>
      </c>
      <c r="U28" s="299">
        <v>2179</v>
      </c>
      <c r="V28" s="299">
        <v>2596</v>
      </c>
      <c r="W28" s="299">
        <v>2270</v>
      </c>
      <c r="X28" s="299">
        <v>1908</v>
      </c>
      <c r="Y28" s="299">
        <v>1745</v>
      </c>
      <c r="Z28" s="299">
        <v>2152</v>
      </c>
      <c r="AA28" s="299">
        <v>244</v>
      </c>
      <c r="AB28" s="299">
        <v>130</v>
      </c>
      <c r="AC28" s="299">
        <v>122</v>
      </c>
      <c r="AD28" s="299">
        <v>120</v>
      </c>
      <c r="AE28" s="299">
        <v>118</v>
      </c>
      <c r="AF28" s="299">
        <v>30</v>
      </c>
      <c r="AG28" s="299">
        <v>7</v>
      </c>
      <c r="AH28" s="299">
        <v>4</v>
      </c>
      <c r="AI28" s="299">
        <v>4</v>
      </c>
      <c r="AJ28" s="299">
        <v>4</v>
      </c>
      <c r="AK28" s="299">
        <v>4</v>
      </c>
      <c r="AL28" s="299">
        <v>244</v>
      </c>
      <c r="AM28" s="299">
        <v>115</v>
      </c>
      <c r="AN28" s="304">
        <v>126</v>
      </c>
      <c r="AO28" s="304">
        <v>271</v>
      </c>
      <c r="AP28" s="304">
        <v>427</v>
      </c>
      <c r="AQ28" s="304">
        <v>383</v>
      </c>
      <c r="AR28" s="304">
        <v>407</v>
      </c>
      <c r="AS28" s="299">
        <v>410</v>
      </c>
      <c r="AT28" s="299">
        <v>16</v>
      </c>
      <c r="AU28" s="299">
        <v>72</v>
      </c>
      <c r="AV28" s="299">
        <v>103</v>
      </c>
      <c r="AW28" s="299">
        <v>698</v>
      </c>
      <c r="AX28" s="299">
        <v>290</v>
      </c>
      <c r="AY28" s="299">
        <v>377</v>
      </c>
      <c r="AZ28" s="299">
        <v>459</v>
      </c>
      <c r="BA28" s="299">
        <v>393</v>
      </c>
      <c r="BB28" s="299">
        <v>260</v>
      </c>
      <c r="BC28" s="299">
        <v>114</v>
      </c>
      <c r="BD28" s="299">
        <v>49</v>
      </c>
      <c r="BE28" s="299">
        <v>24</v>
      </c>
      <c r="BF28" s="299">
        <v>14</v>
      </c>
      <c r="BG28" s="299">
        <v>41</v>
      </c>
      <c r="BH28" s="299">
        <v>2210</v>
      </c>
      <c r="BI28" s="299">
        <v>2161</v>
      </c>
      <c r="BJ28" s="299">
        <v>2193</v>
      </c>
      <c r="BK28" s="299">
        <v>1981</v>
      </c>
      <c r="BL28" s="299">
        <v>2249</v>
      </c>
      <c r="BM28" s="299">
        <v>2562</v>
      </c>
      <c r="BN28" s="299">
        <v>1972</v>
      </c>
      <c r="BO28" s="299">
        <v>2203</v>
      </c>
      <c r="BP28" s="299">
        <v>2810</v>
      </c>
      <c r="BQ28" s="299">
        <v>3746</v>
      </c>
      <c r="BR28" s="299">
        <v>4250</v>
      </c>
      <c r="BS28" s="299">
        <v>889</v>
      </c>
      <c r="BT28" s="299">
        <v>1114</v>
      </c>
      <c r="BU28" s="304">
        <v>1158</v>
      </c>
      <c r="BV28" s="304">
        <v>1598</v>
      </c>
      <c r="BW28" s="304">
        <v>1947</v>
      </c>
      <c r="BX28" s="304">
        <v>1884</v>
      </c>
      <c r="BY28" s="304">
        <v>1387</v>
      </c>
      <c r="BZ28" s="299">
        <v>1476</v>
      </c>
      <c r="CA28" s="299">
        <v>1570</v>
      </c>
      <c r="CB28" s="299">
        <v>1537</v>
      </c>
      <c r="CC28" s="299">
        <v>1479</v>
      </c>
      <c r="CD28" s="299">
        <v>0</v>
      </c>
      <c r="CE28" s="299">
        <v>0</v>
      </c>
      <c r="CF28" s="299">
        <v>0</v>
      </c>
      <c r="CG28" s="299">
        <v>0</v>
      </c>
      <c r="CH28" s="299">
        <v>0</v>
      </c>
      <c r="CI28" s="299">
        <v>0</v>
      </c>
      <c r="CJ28" s="299">
        <v>10</v>
      </c>
      <c r="CK28" s="299">
        <v>8</v>
      </c>
      <c r="CL28" s="299">
        <v>6</v>
      </c>
      <c r="CM28" s="299">
        <v>6</v>
      </c>
      <c r="CN28" s="299">
        <v>0</v>
      </c>
      <c r="CO28" s="299">
        <v>0</v>
      </c>
      <c r="CP28" s="299">
        <v>0</v>
      </c>
      <c r="CQ28" s="299">
        <v>21</v>
      </c>
      <c r="CR28" s="304">
        <v>107</v>
      </c>
      <c r="CS28" s="304">
        <v>188</v>
      </c>
      <c r="CT28" s="304">
        <v>476</v>
      </c>
      <c r="CU28" s="304">
        <v>982</v>
      </c>
      <c r="CV28" s="304">
        <v>1562</v>
      </c>
      <c r="CW28" s="304">
        <v>1826</v>
      </c>
      <c r="CX28" s="299">
        <v>2063</v>
      </c>
      <c r="CY28" s="299">
        <v>2337</v>
      </c>
      <c r="CZ28" s="299">
        <v>2616</v>
      </c>
      <c r="DA28" s="299">
        <v>2453</v>
      </c>
      <c r="DB28" s="304">
        <v>0</v>
      </c>
      <c r="DC28" s="304">
        <v>0</v>
      </c>
      <c r="DD28" s="304">
        <v>473</v>
      </c>
      <c r="DE28" s="304">
        <v>-133</v>
      </c>
      <c r="DF28" s="304">
        <v>235</v>
      </c>
      <c r="DG28" s="304">
        <v>616</v>
      </c>
      <c r="DH28" s="304">
        <v>3890</v>
      </c>
      <c r="DI28" s="299">
        <v>4048</v>
      </c>
      <c r="DJ28" s="301" t="s">
        <v>42</v>
      </c>
      <c r="DK28" s="299">
        <v>74</v>
      </c>
      <c r="DL28" s="299">
        <v>135</v>
      </c>
      <c r="DM28" s="299">
        <v>75</v>
      </c>
      <c r="DN28" s="299">
        <v>175</v>
      </c>
      <c r="DO28" s="299">
        <v>89</v>
      </c>
      <c r="DP28" s="299">
        <v>-20</v>
      </c>
      <c r="DQ28" s="299">
        <v>-83</v>
      </c>
      <c r="DR28" s="299">
        <v>-68</v>
      </c>
      <c r="DS28" s="299">
        <v>-80</v>
      </c>
      <c r="DT28" s="299">
        <v>-81</v>
      </c>
      <c r="DU28" s="299">
        <v>-81</v>
      </c>
      <c r="DV28" s="299">
        <v>0</v>
      </c>
      <c r="DW28" s="299">
        <v>0</v>
      </c>
      <c r="DX28" s="299">
        <v>1936</v>
      </c>
      <c r="DY28" s="299">
        <v>2450</v>
      </c>
      <c r="DZ28" s="304">
        <v>1510</v>
      </c>
      <c r="EA28" s="304">
        <v>2309</v>
      </c>
      <c r="EB28" s="304">
        <v>2632</v>
      </c>
      <c r="EC28" s="304">
        <v>1309</v>
      </c>
      <c r="ED28" s="304">
        <v>1634</v>
      </c>
      <c r="EE28" s="299">
        <v>2704</v>
      </c>
      <c r="EF28" s="299">
        <v>9165</v>
      </c>
      <c r="EG28" s="299">
        <v>11696</v>
      </c>
      <c r="EH28" s="299">
        <v>14017</v>
      </c>
      <c r="EI28" s="299">
        <v>3784</v>
      </c>
      <c r="EJ28" s="299">
        <v>3157</v>
      </c>
      <c r="EK28" s="304">
        <v>3487</v>
      </c>
      <c r="EL28" s="304">
        <v>3842</v>
      </c>
      <c r="EM28" s="304">
        <v>4402</v>
      </c>
      <c r="EN28" s="304">
        <v>4929</v>
      </c>
      <c r="EO28" s="304">
        <v>4741</v>
      </c>
      <c r="EP28" s="299">
        <v>5072</v>
      </c>
      <c r="EQ28" s="299">
        <v>4957</v>
      </c>
      <c r="ER28" s="299">
        <v>5214</v>
      </c>
      <c r="ES28" s="299">
        <v>5645</v>
      </c>
      <c r="ET28" s="299">
        <v>28</v>
      </c>
      <c r="EU28" s="299">
        <v>82</v>
      </c>
      <c r="EV28" s="304">
        <v>159</v>
      </c>
      <c r="EW28" s="304">
        <v>135</v>
      </c>
      <c r="EX28" s="304">
        <v>164</v>
      </c>
      <c r="EY28" s="304">
        <v>0</v>
      </c>
      <c r="EZ28" s="304">
        <v>140</v>
      </c>
      <c r="FA28" s="299">
        <v>116</v>
      </c>
      <c r="FB28" s="299">
        <v>104</v>
      </c>
      <c r="FC28" s="299">
        <v>59</v>
      </c>
      <c r="FD28" s="299">
        <v>88</v>
      </c>
      <c r="FE28" s="299">
        <v>1164</v>
      </c>
      <c r="FF28" s="299">
        <v>1628</v>
      </c>
      <c r="FG28" s="304">
        <v>1499</v>
      </c>
      <c r="FH28" s="304">
        <v>1737</v>
      </c>
      <c r="FI28" s="304">
        <v>2347</v>
      </c>
      <c r="FJ28" s="304">
        <v>2391</v>
      </c>
      <c r="FK28" s="304">
        <v>2184</v>
      </c>
      <c r="FL28" s="299">
        <v>1980</v>
      </c>
      <c r="FM28" s="299">
        <v>2124</v>
      </c>
      <c r="FN28" s="299">
        <v>2605</v>
      </c>
      <c r="FO28" s="299">
        <v>2424</v>
      </c>
      <c r="FP28" s="299">
        <v>96</v>
      </c>
      <c r="FQ28" s="304">
        <v>878</v>
      </c>
      <c r="FR28" s="304">
        <v>1168</v>
      </c>
      <c r="FS28" s="304">
        <v>1759</v>
      </c>
      <c r="FT28" s="304">
        <v>1714</v>
      </c>
      <c r="FU28" s="304">
        <v>1417</v>
      </c>
      <c r="FV28" s="304">
        <v>1812</v>
      </c>
      <c r="FW28" s="299">
        <v>1801</v>
      </c>
      <c r="FX28" s="299">
        <v>1885</v>
      </c>
      <c r="FY28" s="299">
        <v>2898</v>
      </c>
      <c r="FZ28" s="299">
        <v>3756</v>
      </c>
      <c r="GA28" s="299">
        <v>259</v>
      </c>
      <c r="GB28" s="299">
        <v>50</v>
      </c>
      <c r="GC28" s="299">
        <v>46</v>
      </c>
      <c r="GD28" s="299">
        <v>51</v>
      </c>
      <c r="GE28" s="299">
        <v>53</v>
      </c>
      <c r="GF28" s="299">
        <v>51</v>
      </c>
      <c r="GG28" s="299">
        <v>56</v>
      </c>
      <c r="GH28" s="299">
        <v>115</v>
      </c>
      <c r="GI28" s="299">
        <v>264</v>
      </c>
      <c r="GJ28" s="299">
        <v>573</v>
      </c>
      <c r="GK28" s="299">
        <v>850</v>
      </c>
      <c r="GL28" s="299">
        <v>10</v>
      </c>
      <c r="GM28" s="304">
        <v>48</v>
      </c>
      <c r="GN28" s="304">
        <v>145</v>
      </c>
      <c r="GO28" s="304">
        <v>307</v>
      </c>
      <c r="GP28" s="304">
        <v>400</v>
      </c>
      <c r="GQ28" s="304">
        <v>415</v>
      </c>
      <c r="GR28" s="304">
        <v>422</v>
      </c>
      <c r="GS28" s="299">
        <v>434</v>
      </c>
      <c r="GT28" s="299">
        <v>457</v>
      </c>
      <c r="GU28" s="299">
        <v>486</v>
      </c>
      <c r="GV28" s="299">
        <v>475</v>
      </c>
      <c r="GW28" s="299">
        <v>609</v>
      </c>
      <c r="GX28" s="299">
        <v>1098</v>
      </c>
      <c r="GY28" s="304">
        <v>1574</v>
      </c>
      <c r="GZ28" s="304">
        <v>443</v>
      </c>
      <c r="HA28" s="304">
        <v>423</v>
      </c>
      <c r="HB28" s="304">
        <v>829</v>
      </c>
      <c r="HC28" s="304">
        <v>228</v>
      </c>
      <c r="HD28" s="299">
        <v>360</v>
      </c>
      <c r="HE28" s="299">
        <v>686</v>
      </c>
      <c r="HF28" s="299">
        <v>993</v>
      </c>
      <c r="HG28" s="299">
        <v>1261</v>
      </c>
      <c r="HH28" s="299">
        <v>185</v>
      </c>
      <c r="HI28" s="299">
        <v>186</v>
      </c>
      <c r="HJ28" s="299">
        <v>166</v>
      </c>
      <c r="HK28" s="299">
        <v>0</v>
      </c>
      <c r="HL28" s="299">
        <v>170</v>
      </c>
      <c r="HM28" s="299">
        <v>168</v>
      </c>
      <c r="HN28" s="299">
        <v>168</v>
      </c>
      <c r="HO28" s="299">
        <v>167</v>
      </c>
      <c r="HP28" s="299">
        <v>166</v>
      </c>
      <c r="HQ28" s="299"/>
      <c r="HR28" s="299">
        <v>4397</v>
      </c>
      <c r="HS28" s="299">
        <v>4696</v>
      </c>
      <c r="HT28" s="304">
        <v>4693</v>
      </c>
      <c r="HU28" s="304">
        <v>5558</v>
      </c>
      <c r="HV28" s="304">
        <v>5929</v>
      </c>
      <c r="HW28" s="304">
        <v>6346</v>
      </c>
      <c r="HX28" s="304">
        <v>8482</v>
      </c>
      <c r="HY28" s="299">
        <v>7689</v>
      </c>
      <c r="HZ28" s="299">
        <v>10759</v>
      </c>
      <c r="IA28" s="299">
        <v>12702</v>
      </c>
      <c r="IB28" s="299">
        <v>14150</v>
      </c>
      <c r="IC28" s="299">
        <v>1350</v>
      </c>
      <c r="ID28" s="299">
        <v>1358</v>
      </c>
      <c r="IE28" s="304">
        <v>1381</v>
      </c>
      <c r="IF28" s="304">
        <v>1377</v>
      </c>
      <c r="IG28" s="304">
        <v>1364</v>
      </c>
      <c r="IH28" s="304">
        <v>1360</v>
      </c>
      <c r="II28" s="304">
        <v>1236</v>
      </c>
      <c r="IJ28" s="299">
        <v>1233</v>
      </c>
      <c r="IK28" s="299">
        <v>1067</v>
      </c>
      <c r="IL28" s="299">
        <v>954</v>
      </c>
      <c r="IM28" s="299">
        <v>925</v>
      </c>
      <c r="IN28" s="299">
        <v>93</v>
      </c>
      <c r="IO28" s="299">
        <v>99</v>
      </c>
      <c r="IP28" s="304">
        <v>98</v>
      </c>
      <c r="IQ28" s="304">
        <v>60</v>
      </c>
      <c r="IR28" s="304">
        <v>21</v>
      </c>
      <c r="IS28" s="304">
        <v>1</v>
      </c>
      <c r="IT28" s="304">
        <v>0</v>
      </c>
      <c r="IU28" s="299">
        <v>0</v>
      </c>
      <c r="IV28" s="299">
        <v>14</v>
      </c>
      <c r="IW28" s="299">
        <v>22</v>
      </c>
      <c r="IX28" s="299">
        <v>46</v>
      </c>
      <c r="IY28" s="299">
        <v>3084</v>
      </c>
      <c r="IZ28" s="299">
        <v>2362</v>
      </c>
      <c r="JA28" s="299">
        <v>1885</v>
      </c>
      <c r="JB28" s="299">
        <v>2032</v>
      </c>
      <c r="JC28" s="299">
        <v>1924</v>
      </c>
      <c r="JD28" s="299">
        <v>2002</v>
      </c>
      <c r="JE28" s="299">
        <v>3255</v>
      </c>
      <c r="JF28" s="299">
        <v>3590</v>
      </c>
      <c r="JG28" s="299">
        <v>5055</v>
      </c>
      <c r="JH28" s="299">
        <v>8099</v>
      </c>
      <c r="JI28" s="299">
        <v>17430</v>
      </c>
      <c r="JJ28" s="299">
        <v>26350</v>
      </c>
      <c r="JK28" s="299">
        <v>27604</v>
      </c>
      <c r="JL28" s="299">
        <v>24797</v>
      </c>
      <c r="JM28" s="299">
        <v>27112</v>
      </c>
      <c r="JN28" s="299">
        <v>30154</v>
      </c>
      <c r="JO28" s="299">
        <v>30674</v>
      </c>
      <c r="JP28" s="299">
        <v>36484</v>
      </c>
      <c r="JQ28" s="299">
        <v>37724</v>
      </c>
      <c r="JR28" s="299">
        <v>45298</v>
      </c>
      <c r="JS28" s="299">
        <v>55960</v>
      </c>
      <c r="JT28" s="299">
        <v>71468</v>
      </c>
      <c r="JU28" s="299">
        <v>65737</v>
      </c>
      <c r="JV28" s="299">
        <v>64355</v>
      </c>
      <c r="JW28" s="299">
        <v>63375</v>
      </c>
      <c r="JX28" s="299">
        <v>65814</v>
      </c>
      <c r="JY28" s="299">
        <v>69511</v>
      </c>
      <c r="JZ28" s="302">
        <v>75725</v>
      </c>
      <c r="KA28" s="302">
        <v>86973</v>
      </c>
      <c r="KB28" s="299">
        <v>77387</v>
      </c>
      <c r="KC28" s="303">
        <v>86484</v>
      </c>
      <c r="KD28" s="303">
        <v>103632</v>
      </c>
      <c r="KE28" s="472">
        <v>124392</v>
      </c>
    </row>
    <row r="29" spans="1:291" s="155" customFormat="1" x14ac:dyDescent="0.2">
      <c r="A29" s="395">
        <v>26</v>
      </c>
      <c r="B29" s="154" t="s">
        <v>279</v>
      </c>
      <c r="C29" s="299">
        <v>3717</v>
      </c>
      <c r="D29" s="299">
        <v>3557</v>
      </c>
      <c r="E29" s="299">
        <v>3864</v>
      </c>
      <c r="F29" s="299">
        <v>3371</v>
      </c>
      <c r="G29" s="299">
        <v>3363</v>
      </c>
      <c r="H29" s="299">
        <v>3721</v>
      </c>
      <c r="I29" s="299">
        <v>4302</v>
      </c>
      <c r="J29" s="299">
        <v>3417</v>
      </c>
      <c r="K29" s="299">
        <v>3458</v>
      </c>
      <c r="L29" s="299">
        <v>4532</v>
      </c>
      <c r="M29" s="299">
        <v>4468</v>
      </c>
      <c r="N29" s="299">
        <v>0</v>
      </c>
      <c r="O29" s="299">
        <v>0</v>
      </c>
      <c r="P29" s="299">
        <v>133</v>
      </c>
      <c r="Q29" s="299">
        <v>158</v>
      </c>
      <c r="R29" s="299">
        <v>83</v>
      </c>
      <c r="S29" s="299">
        <v>109</v>
      </c>
      <c r="T29" s="299">
        <v>96</v>
      </c>
      <c r="U29" s="299">
        <v>115</v>
      </c>
      <c r="V29" s="299">
        <v>121</v>
      </c>
      <c r="W29" s="299">
        <v>73</v>
      </c>
      <c r="X29" s="299">
        <v>92</v>
      </c>
      <c r="Y29" s="299">
        <v>161</v>
      </c>
      <c r="Z29" s="299">
        <v>136</v>
      </c>
      <c r="AA29" s="299">
        <v>0</v>
      </c>
      <c r="AB29" s="299">
        <v>0</v>
      </c>
      <c r="AC29" s="299">
        <v>0</v>
      </c>
      <c r="AD29" s="299">
        <v>0</v>
      </c>
      <c r="AE29" s="299">
        <v>0</v>
      </c>
      <c r="AF29" s="299">
        <v>0</v>
      </c>
      <c r="AG29" s="299">
        <v>0</v>
      </c>
      <c r="AH29" s="299">
        <v>0</v>
      </c>
      <c r="AI29" s="299">
        <v>0</v>
      </c>
      <c r="AJ29" s="299">
        <v>0</v>
      </c>
      <c r="AK29" s="299">
        <v>0</v>
      </c>
      <c r="AL29" s="299">
        <v>4</v>
      </c>
      <c r="AM29" s="299">
        <v>1</v>
      </c>
      <c r="AN29" s="299">
        <v>1</v>
      </c>
      <c r="AO29" s="299">
        <v>1</v>
      </c>
      <c r="AP29" s="299">
        <v>2</v>
      </c>
      <c r="AQ29" s="299">
        <v>0</v>
      </c>
      <c r="AR29" s="299">
        <v>0</v>
      </c>
      <c r="AS29" s="299">
        <v>0</v>
      </c>
      <c r="AT29" s="299">
        <v>0</v>
      </c>
      <c r="AU29" s="299">
        <v>1</v>
      </c>
      <c r="AV29" s="299">
        <v>1</v>
      </c>
      <c r="AW29" s="299">
        <v>416</v>
      </c>
      <c r="AX29" s="299">
        <v>340</v>
      </c>
      <c r="AY29" s="299">
        <v>352</v>
      </c>
      <c r="AZ29" s="299">
        <v>382</v>
      </c>
      <c r="BA29" s="299">
        <v>391</v>
      </c>
      <c r="BB29" s="299">
        <v>438</v>
      </c>
      <c r="BC29" s="299">
        <v>241</v>
      </c>
      <c r="BD29" s="299">
        <v>265</v>
      </c>
      <c r="BE29" s="299">
        <v>196</v>
      </c>
      <c r="BF29" s="299">
        <v>207</v>
      </c>
      <c r="BG29" s="299">
        <v>150</v>
      </c>
      <c r="BH29" s="299">
        <v>664</v>
      </c>
      <c r="BI29" s="299">
        <v>571</v>
      </c>
      <c r="BJ29" s="299">
        <v>478</v>
      </c>
      <c r="BK29" s="299">
        <v>375</v>
      </c>
      <c r="BL29" s="299">
        <v>329</v>
      </c>
      <c r="BM29" s="299">
        <v>352</v>
      </c>
      <c r="BN29" s="299">
        <v>405</v>
      </c>
      <c r="BO29" s="299">
        <v>471</v>
      </c>
      <c r="BP29" s="299">
        <v>586</v>
      </c>
      <c r="BQ29" s="299">
        <v>710</v>
      </c>
      <c r="BR29" s="299">
        <v>739</v>
      </c>
      <c r="BS29" s="299">
        <v>0</v>
      </c>
      <c r="BT29" s="299">
        <v>0</v>
      </c>
      <c r="BU29" s="299">
        <v>0</v>
      </c>
      <c r="BV29" s="299">
        <v>0</v>
      </c>
      <c r="BW29" s="299">
        <v>3</v>
      </c>
      <c r="BX29" s="299">
        <v>75</v>
      </c>
      <c r="BY29" s="299">
        <v>83</v>
      </c>
      <c r="BZ29" s="299">
        <v>82</v>
      </c>
      <c r="CA29" s="299">
        <v>175</v>
      </c>
      <c r="CB29" s="299">
        <v>171</v>
      </c>
      <c r="CC29" s="299">
        <v>165</v>
      </c>
      <c r="CD29" s="299">
        <v>0</v>
      </c>
      <c r="CE29" s="299">
        <v>0</v>
      </c>
      <c r="CF29" s="299">
        <v>0</v>
      </c>
      <c r="CG29" s="299">
        <v>0</v>
      </c>
      <c r="CH29" s="299">
        <v>0</v>
      </c>
      <c r="CI29" s="299">
        <v>0</v>
      </c>
      <c r="CJ29" s="299">
        <v>0</v>
      </c>
      <c r="CK29" s="299">
        <v>0</v>
      </c>
      <c r="CL29" s="299">
        <v>0</v>
      </c>
      <c r="CM29" s="299">
        <v>0</v>
      </c>
      <c r="CN29" s="299">
        <v>0</v>
      </c>
      <c r="CO29" s="299">
        <v>0</v>
      </c>
      <c r="CP29" s="299">
        <v>0</v>
      </c>
      <c r="CQ29" s="299">
        <v>0</v>
      </c>
      <c r="CR29" s="304">
        <v>1</v>
      </c>
      <c r="CS29" s="304">
        <v>1</v>
      </c>
      <c r="CT29" s="304">
        <v>1</v>
      </c>
      <c r="CU29" s="304">
        <v>1</v>
      </c>
      <c r="CV29" s="304">
        <v>0</v>
      </c>
      <c r="CW29" s="304">
        <v>0</v>
      </c>
      <c r="CX29" s="299">
        <v>0</v>
      </c>
      <c r="CY29" s="299">
        <v>0</v>
      </c>
      <c r="CZ29" s="299">
        <v>0</v>
      </c>
      <c r="DA29" s="299">
        <v>0</v>
      </c>
      <c r="DB29" s="304">
        <v>0</v>
      </c>
      <c r="DC29" s="304">
        <v>0</v>
      </c>
      <c r="DD29" s="304">
        <v>-2</v>
      </c>
      <c r="DE29" s="304">
        <v>0</v>
      </c>
      <c r="DF29" s="304">
        <v>1</v>
      </c>
      <c r="DG29" s="304">
        <v>0</v>
      </c>
      <c r="DH29" s="304">
        <v>1</v>
      </c>
      <c r="DI29" s="299">
        <v>2</v>
      </c>
      <c r="DJ29" s="301" t="s">
        <v>42</v>
      </c>
      <c r="DK29" s="299">
        <v>0</v>
      </c>
      <c r="DL29" s="299">
        <v>0</v>
      </c>
      <c r="DM29" s="304">
        <v>0</v>
      </c>
      <c r="DN29" s="304">
        <v>28</v>
      </c>
      <c r="DO29" s="304">
        <v>53</v>
      </c>
      <c r="DP29" s="304">
        <v>28</v>
      </c>
      <c r="DQ29" s="304">
        <v>29</v>
      </c>
      <c r="DR29" s="299">
        <v>29</v>
      </c>
      <c r="DS29" s="299">
        <v>29</v>
      </c>
      <c r="DT29" s="299">
        <v>29</v>
      </c>
      <c r="DU29" s="299">
        <v>29</v>
      </c>
      <c r="DV29" s="299">
        <v>0</v>
      </c>
      <c r="DW29" s="299">
        <v>0</v>
      </c>
      <c r="DX29" s="299">
        <v>115</v>
      </c>
      <c r="DY29" s="299">
        <v>159</v>
      </c>
      <c r="DZ29" s="299">
        <v>131</v>
      </c>
      <c r="EA29" s="299">
        <v>167</v>
      </c>
      <c r="EB29" s="299">
        <v>181</v>
      </c>
      <c r="EC29" s="299">
        <v>211</v>
      </c>
      <c r="ED29" s="299">
        <v>286</v>
      </c>
      <c r="EE29" s="299">
        <v>342</v>
      </c>
      <c r="EF29" s="299">
        <v>448</v>
      </c>
      <c r="EG29" s="299">
        <v>507</v>
      </c>
      <c r="EH29" s="299">
        <v>528</v>
      </c>
      <c r="EI29" s="299">
        <v>545</v>
      </c>
      <c r="EJ29" s="299">
        <v>567</v>
      </c>
      <c r="EK29" s="299">
        <v>644</v>
      </c>
      <c r="EL29" s="299">
        <v>755</v>
      </c>
      <c r="EM29" s="299">
        <v>812</v>
      </c>
      <c r="EN29" s="299">
        <v>881</v>
      </c>
      <c r="EO29" s="299">
        <v>802</v>
      </c>
      <c r="EP29" s="299">
        <v>759</v>
      </c>
      <c r="EQ29" s="299">
        <v>720</v>
      </c>
      <c r="ER29" s="299">
        <v>613</v>
      </c>
      <c r="ES29" s="299">
        <v>515</v>
      </c>
      <c r="ET29" s="299">
        <v>1</v>
      </c>
      <c r="EU29" s="299">
        <v>0</v>
      </c>
      <c r="EV29" s="299">
        <v>0</v>
      </c>
      <c r="EW29" s="299">
        <v>0</v>
      </c>
      <c r="EX29" s="299">
        <v>0</v>
      </c>
      <c r="EY29" s="299">
        <v>0</v>
      </c>
      <c r="EZ29" s="299">
        <v>0</v>
      </c>
      <c r="FA29" s="299">
        <v>0</v>
      </c>
      <c r="FB29" s="299">
        <v>0</v>
      </c>
      <c r="FC29" s="299">
        <v>0</v>
      </c>
      <c r="FD29" s="299">
        <v>1</v>
      </c>
      <c r="FE29" s="299">
        <v>373</v>
      </c>
      <c r="FF29" s="299">
        <v>517</v>
      </c>
      <c r="FG29" s="299">
        <v>487</v>
      </c>
      <c r="FH29" s="299">
        <v>418</v>
      </c>
      <c r="FI29" s="299">
        <v>510</v>
      </c>
      <c r="FJ29" s="299">
        <v>471</v>
      </c>
      <c r="FK29" s="299">
        <v>616</v>
      </c>
      <c r="FL29" s="299">
        <v>598</v>
      </c>
      <c r="FM29" s="299">
        <v>738</v>
      </c>
      <c r="FN29" s="299">
        <v>707</v>
      </c>
      <c r="FO29" s="299">
        <v>753</v>
      </c>
      <c r="FP29" s="299">
        <v>-2</v>
      </c>
      <c r="FQ29" s="299">
        <v>0</v>
      </c>
      <c r="FR29" s="299">
        <v>0</v>
      </c>
      <c r="FS29" s="299">
        <v>0</v>
      </c>
      <c r="FT29" s="299">
        <v>88</v>
      </c>
      <c r="FU29" s="299">
        <v>174</v>
      </c>
      <c r="FV29" s="299">
        <v>151</v>
      </c>
      <c r="FW29" s="299">
        <v>247</v>
      </c>
      <c r="FX29" s="299">
        <v>497</v>
      </c>
      <c r="FY29" s="299">
        <v>749</v>
      </c>
      <c r="FZ29" s="299">
        <v>754</v>
      </c>
      <c r="GA29" s="299">
        <v>0</v>
      </c>
      <c r="GB29" s="299">
        <v>24</v>
      </c>
      <c r="GC29" s="299">
        <v>53</v>
      </c>
      <c r="GD29" s="299">
        <v>57</v>
      </c>
      <c r="GE29" s="299">
        <v>57</v>
      </c>
      <c r="GF29" s="299">
        <v>57</v>
      </c>
      <c r="GG29" s="299">
        <v>57</v>
      </c>
      <c r="GH29" s="299">
        <v>54</v>
      </c>
      <c r="GI29" s="299">
        <v>57</v>
      </c>
      <c r="GJ29" s="299">
        <v>58</v>
      </c>
      <c r="GK29" s="299">
        <v>61</v>
      </c>
      <c r="GL29" s="299">
        <v>0</v>
      </c>
      <c r="GM29" s="299">
        <v>0</v>
      </c>
      <c r="GN29" s="299">
        <v>0</v>
      </c>
      <c r="GO29" s="299">
        <v>0</v>
      </c>
      <c r="GP29" s="299">
        <v>10</v>
      </c>
      <c r="GQ29" s="299">
        <v>22</v>
      </c>
      <c r="GR29" s="299">
        <v>25</v>
      </c>
      <c r="GS29" s="299">
        <v>30</v>
      </c>
      <c r="GT29" s="299">
        <v>51</v>
      </c>
      <c r="GU29" s="299">
        <v>77</v>
      </c>
      <c r="GV29" s="299">
        <v>112</v>
      </c>
      <c r="GW29" s="299">
        <v>863</v>
      </c>
      <c r="GX29" s="299">
        <v>1050</v>
      </c>
      <c r="GY29" s="299">
        <v>1239</v>
      </c>
      <c r="GZ29" s="299">
        <v>513</v>
      </c>
      <c r="HA29" s="299">
        <v>533</v>
      </c>
      <c r="HB29" s="299">
        <v>657</v>
      </c>
      <c r="HC29" s="299">
        <v>533</v>
      </c>
      <c r="HD29" s="299">
        <v>620</v>
      </c>
      <c r="HE29" s="299">
        <v>556</v>
      </c>
      <c r="HF29" s="299">
        <v>671</v>
      </c>
      <c r="HG29" s="299">
        <v>822</v>
      </c>
      <c r="HH29" s="299">
        <v>0</v>
      </c>
      <c r="HI29" s="299">
        <v>0</v>
      </c>
      <c r="HJ29" s="299">
        <v>0</v>
      </c>
      <c r="HK29" s="299">
        <v>0</v>
      </c>
      <c r="HL29" s="299">
        <v>0</v>
      </c>
      <c r="HM29" s="299">
        <v>0</v>
      </c>
      <c r="HN29" s="299">
        <v>0</v>
      </c>
      <c r="HO29" s="299">
        <v>0</v>
      </c>
      <c r="HP29" s="299">
        <v>0</v>
      </c>
      <c r="HQ29" s="299"/>
      <c r="HR29" s="299">
        <v>333</v>
      </c>
      <c r="HS29" s="299">
        <v>300</v>
      </c>
      <c r="HT29" s="299">
        <v>289</v>
      </c>
      <c r="HU29" s="299">
        <v>325</v>
      </c>
      <c r="HV29" s="299">
        <v>436</v>
      </c>
      <c r="HW29" s="299">
        <v>483</v>
      </c>
      <c r="HX29" s="299">
        <v>811</v>
      </c>
      <c r="HY29" s="299">
        <v>633</v>
      </c>
      <c r="HZ29" s="299">
        <v>929</v>
      </c>
      <c r="IA29" s="299">
        <v>1072</v>
      </c>
      <c r="IB29" s="299">
        <v>884</v>
      </c>
      <c r="IC29" s="299">
        <v>0</v>
      </c>
      <c r="ID29" s="299">
        <v>0</v>
      </c>
      <c r="IE29" s="304">
        <v>0</v>
      </c>
      <c r="IF29" s="304">
        <v>0</v>
      </c>
      <c r="IG29" s="304">
        <v>0</v>
      </c>
      <c r="IH29" s="304">
        <v>0</v>
      </c>
      <c r="II29" s="304">
        <v>0</v>
      </c>
      <c r="IJ29" s="299">
        <v>0</v>
      </c>
      <c r="IK29" s="299">
        <v>0</v>
      </c>
      <c r="IL29" s="299">
        <v>0</v>
      </c>
      <c r="IM29" s="299">
        <v>0</v>
      </c>
      <c r="IN29" s="299">
        <v>1</v>
      </c>
      <c r="IO29" s="299">
        <v>0</v>
      </c>
      <c r="IP29" s="304">
        <v>0</v>
      </c>
      <c r="IQ29" s="304">
        <v>1</v>
      </c>
      <c r="IR29" s="304">
        <v>0</v>
      </c>
      <c r="IS29" s="304">
        <v>0</v>
      </c>
      <c r="IT29" s="304">
        <v>0</v>
      </c>
      <c r="IU29" s="299">
        <v>0</v>
      </c>
      <c r="IV29" s="299">
        <v>0</v>
      </c>
      <c r="IW29" s="299">
        <v>0</v>
      </c>
      <c r="IX29" s="299">
        <v>1</v>
      </c>
      <c r="IY29" s="299">
        <v>284</v>
      </c>
      <c r="IZ29" s="299">
        <v>225</v>
      </c>
      <c r="JA29" s="299">
        <v>215</v>
      </c>
      <c r="JB29" s="299">
        <v>192</v>
      </c>
      <c r="JC29" s="299">
        <v>184</v>
      </c>
      <c r="JD29" s="299">
        <v>197</v>
      </c>
      <c r="JE29" s="299">
        <v>256</v>
      </c>
      <c r="JF29" s="299">
        <v>222</v>
      </c>
      <c r="JG29" s="299">
        <v>233</v>
      </c>
      <c r="JH29" s="299">
        <v>243</v>
      </c>
      <c r="JI29" s="299">
        <v>273</v>
      </c>
      <c r="JJ29" s="299">
        <v>3730</v>
      </c>
      <c r="JK29" s="299">
        <v>3913</v>
      </c>
      <c r="JL29" s="299">
        <v>3971</v>
      </c>
      <c r="JM29" s="299">
        <v>3324</v>
      </c>
      <c r="JN29" s="299">
        <v>3687</v>
      </c>
      <c r="JO29" s="299">
        <v>4161</v>
      </c>
      <c r="JP29" s="299">
        <v>4417</v>
      </c>
      <c r="JQ29" s="299">
        <v>4427</v>
      </c>
      <c r="JR29" s="299">
        <v>5307</v>
      </c>
      <c r="JS29" s="299">
        <v>5976</v>
      </c>
      <c r="JT29" s="299">
        <v>5924</v>
      </c>
      <c r="JU29" s="299">
        <v>7447</v>
      </c>
      <c r="JV29" s="299">
        <v>7470</v>
      </c>
      <c r="JW29" s="299">
        <v>7835</v>
      </c>
      <c r="JX29" s="299">
        <v>6695</v>
      </c>
      <c r="JY29" s="299">
        <v>7050</v>
      </c>
      <c r="JZ29" s="302">
        <v>7882</v>
      </c>
      <c r="KA29" s="302">
        <v>8719</v>
      </c>
      <c r="KB29" s="299">
        <v>7844</v>
      </c>
      <c r="KC29" s="303">
        <v>8765</v>
      </c>
      <c r="KD29" s="303">
        <v>10508</v>
      </c>
      <c r="KE29" s="472">
        <v>10392</v>
      </c>
    </row>
    <row r="30" spans="1:291" s="155" customFormat="1" x14ac:dyDescent="0.2">
      <c r="A30" s="395">
        <v>27</v>
      </c>
      <c r="B30" s="154" t="s">
        <v>280</v>
      </c>
      <c r="C30" s="299">
        <v>13244</v>
      </c>
      <c r="D30" s="299">
        <v>11689</v>
      </c>
      <c r="E30" s="299">
        <v>12137</v>
      </c>
      <c r="F30" s="299">
        <v>12496</v>
      </c>
      <c r="G30" s="299">
        <v>14027</v>
      </c>
      <c r="H30" s="299">
        <v>14384</v>
      </c>
      <c r="I30" s="299">
        <v>16712</v>
      </c>
      <c r="J30" s="299">
        <v>9120</v>
      </c>
      <c r="K30" s="299">
        <v>9279</v>
      </c>
      <c r="L30" s="299">
        <v>16636</v>
      </c>
      <c r="M30" s="299">
        <v>17513</v>
      </c>
      <c r="N30" s="299">
        <v>0</v>
      </c>
      <c r="O30" s="299">
        <v>0</v>
      </c>
      <c r="P30" s="299">
        <v>731</v>
      </c>
      <c r="Q30" s="299">
        <v>873</v>
      </c>
      <c r="R30" s="299">
        <v>573</v>
      </c>
      <c r="S30" s="299">
        <v>623</v>
      </c>
      <c r="T30" s="299">
        <v>530</v>
      </c>
      <c r="U30" s="299">
        <v>562</v>
      </c>
      <c r="V30" s="299">
        <v>627</v>
      </c>
      <c r="W30" s="299">
        <v>531</v>
      </c>
      <c r="X30" s="299">
        <v>406</v>
      </c>
      <c r="Y30" s="299">
        <v>416</v>
      </c>
      <c r="Z30" s="299">
        <v>460</v>
      </c>
      <c r="AA30" s="299">
        <v>15</v>
      </c>
      <c r="AB30" s="299">
        <v>6</v>
      </c>
      <c r="AC30" s="299">
        <v>6</v>
      </c>
      <c r="AD30" s="299">
        <v>6</v>
      </c>
      <c r="AE30" s="299">
        <v>6</v>
      </c>
      <c r="AF30" s="299">
        <v>2</v>
      </c>
      <c r="AG30" s="299">
        <v>0</v>
      </c>
      <c r="AH30" s="299">
        <v>0</v>
      </c>
      <c r="AI30" s="299">
        <v>0</v>
      </c>
      <c r="AJ30" s="299">
        <v>0</v>
      </c>
      <c r="AK30" s="299">
        <v>0</v>
      </c>
      <c r="AL30" s="299">
        <v>197</v>
      </c>
      <c r="AM30" s="299">
        <v>141</v>
      </c>
      <c r="AN30" s="299">
        <v>122</v>
      </c>
      <c r="AO30" s="299">
        <v>157</v>
      </c>
      <c r="AP30" s="299">
        <v>191</v>
      </c>
      <c r="AQ30" s="299">
        <v>148</v>
      </c>
      <c r="AR30" s="299">
        <v>146</v>
      </c>
      <c r="AS30" s="299">
        <v>155</v>
      </c>
      <c r="AT30" s="299">
        <v>39</v>
      </c>
      <c r="AU30" s="299">
        <v>86</v>
      </c>
      <c r="AV30" s="299">
        <v>116</v>
      </c>
      <c r="AW30" s="299">
        <v>68</v>
      </c>
      <c r="AX30" s="299">
        <v>24</v>
      </c>
      <c r="AY30" s="299">
        <v>33</v>
      </c>
      <c r="AZ30" s="299">
        <v>35</v>
      </c>
      <c r="BA30" s="299">
        <v>31</v>
      </c>
      <c r="BB30" s="299">
        <v>28</v>
      </c>
      <c r="BC30" s="299">
        <v>15</v>
      </c>
      <c r="BD30" s="299">
        <v>10</v>
      </c>
      <c r="BE30" s="299">
        <v>5</v>
      </c>
      <c r="BF30" s="299">
        <v>4</v>
      </c>
      <c r="BG30" s="299">
        <v>77</v>
      </c>
      <c r="BH30" s="299">
        <v>1453</v>
      </c>
      <c r="BI30" s="299">
        <v>1306</v>
      </c>
      <c r="BJ30" s="299">
        <v>1266</v>
      </c>
      <c r="BK30" s="299">
        <v>1265</v>
      </c>
      <c r="BL30" s="299">
        <v>1288</v>
      </c>
      <c r="BM30" s="299">
        <v>1474</v>
      </c>
      <c r="BN30" s="299">
        <v>1761</v>
      </c>
      <c r="BO30" s="299">
        <v>1939</v>
      </c>
      <c r="BP30" s="299">
        <v>2491</v>
      </c>
      <c r="BQ30" s="299">
        <v>3020</v>
      </c>
      <c r="BR30" s="299">
        <v>3501</v>
      </c>
      <c r="BS30" s="299">
        <v>325</v>
      </c>
      <c r="BT30" s="299">
        <v>298</v>
      </c>
      <c r="BU30" s="299">
        <v>277</v>
      </c>
      <c r="BV30" s="299">
        <v>389</v>
      </c>
      <c r="BW30" s="299">
        <v>436</v>
      </c>
      <c r="BX30" s="299">
        <v>200</v>
      </c>
      <c r="BY30" s="299">
        <v>299</v>
      </c>
      <c r="BZ30" s="299">
        <v>432</v>
      </c>
      <c r="CA30" s="299">
        <v>469</v>
      </c>
      <c r="CB30" s="299">
        <v>504</v>
      </c>
      <c r="CC30" s="299">
        <v>575</v>
      </c>
      <c r="CD30" s="299">
        <v>0</v>
      </c>
      <c r="CE30" s="299">
        <v>0</v>
      </c>
      <c r="CF30" s="299">
        <v>0</v>
      </c>
      <c r="CG30" s="299">
        <v>0</v>
      </c>
      <c r="CH30" s="299">
        <v>0</v>
      </c>
      <c r="CI30" s="299">
        <v>2</v>
      </c>
      <c r="CJ30" s="299">
        <v>9</v>
      </c>
      <c r="CK30" s="299">
        <v>5</v>
      </c>
      <c r="CL30" s="299">
        <v>4</v>
      </c>
      <c r="CM30" s="299">
        <v>4</v>
      </c>
      <c r="CN30" s="299">
        <v>0</v>
      </c>
      <c r="CO30" s="299">
        <v>0</v>
      </c>
      <c r="CP30" s="299">
        <v>0</v>
      </c>
      <c r="CQ30" s="299">
        <v>6</v>
      </c>
      <c r="CR30" s="304">
        <v>62</v>
      </c>
      <c r="CS30" s="304">
        <v>146</v>
      </c>
      <c r="CT30" s="304">
        <v>249</v>
      </c>
      <c r="CU30" s="304">
        <v>370</v>
      </c>
      <c r="CV30" s="304">
        <v>494</v>
      </c>
      <c r="CW30" s="304">
        <v>554</v>
      </c>
      <c r="CX30" s="299">
        <v>607</v>
      </c>
      <c r="CY30" s="299">
        <v>686</v>
      </c>
      <c r="CZ30" s="299">
        <v>802</v>
      </c>
      <c r="DA30" s="299">
        <v>835</v>
      </c>
      <c r="DB30" s="304">
        <v>182</v>
      </c>
      <c r="DC30" s="304">
        <v>403</v>
      </c>
      <c r="DD30" s="304">
        <v>39</v>
      </c>
      <c r="DE30" s="304">
        <v>-48</v>
      </c>
      <c r="DF30" s="304">
        <v>25</v>
      </c>
      <c r="DG30" s="304">
        <v>3341</v>
      </c>
      <c r="DH30" s="304">
        <v>325</v>
      </c>
      <c r="DI30" s="299">
        <v>366</v>
      </c>
      <c r="DJ30" s="301" t="s">
        <v>42</v>
      </c>
      <c r="DK30" s="299">
        <v>259</v>
      </c>
      <c r="DL30" s="299">
        <v>259</v>
      </c>
      <c r="DM30" s="299">
        <v>259</v>
      </c>
      <c r="DN30" s="299">
        <v>259</v>
      </c>
      <c r="DO30" s="299">
        <v>266</v>
      </c>
      <c r="DP30" s="299">
        <v>279</v>
      </c>
      <c r="DQ30" s="299">
        <v>277</v>
      </c>
      <c r="DR30" s="299">
        <v>298</v>
      </c>
      <c r="DS30" s="299">
        <v>401</v>
      </c>
      <c r="DT30" s="299">
        <v>400</v>
      </c>
      <c r="DU30" s="299">
        <v>400</v>
      </c>
      <c r="DV30" s="299">
        <v>0</v>
      </c>
      <c r="DW30" s="299">
        <v>0</v>
      </c>
      <c r="DX30" s="299">
        <v>706</v>
      </c>
      <c r="DY30" s="299">
        <v>960</v>
      </c>
      <c r="DZ30" s="299">
        <v>748</v>
      </c>
      <c r="EA30" s="299">
        <v>1018</v>
      </c>
      <c r="EB30" s="299">
        <v>1055</v>
      </c>
      <c r="EC30" s="299">
        <v>1058</v>
      </c>
      <c r="ED30" s="299">
        <v>1183</v>
      </c>
      <c r="EE30" s="299">
        <v>1460</v>
      </c>
      <c r="EF30" s="299">
        <v>2361</v>
      </c>
      <c r="EG30" s="299">
        <v>2948</v>
      </c>
      <c r="EH30" s="299">
        <v>3496</v>
      </c>
      <c r="EI30" s="299">
        <v>1134</v>
      </c>
      <c r="EJ30" s="299">
        <v>1088</v>
      </c>
      <c r="EK30" s="304">
        <v>1248</v>
      </c>
      <c r="EL30" s="304">
        <v>1437</v>
      </c>
      <c r="EM30" s="304">
        <v>1644</v>
      </c>
      <c r="EN30" s="304">
        <v>1798</v>
      </c>
      <c r="EO30" s="304">
        <v>1878</v>
      </c>
      <c r="EP30" s="299">
        <v>2121</v>
      </c>
      <c r="EQ30" s="299">
        <v>2141</v>
      </c>
      <c r="ER30" s="299">
        <v>2249</v>
      </c>
      <c r="ES30" s="299">
        <v>2392</v>
      </c>
      <c r="ET30" s="299">
        <v>87</v>
      </c>
      <c r="EU30" s="299">
        <v>26</v>
      </c>
      <c r="EV30" s="299">
        <v>28</v>
      </c>
      <c r="EW30" s="299">
        <v>3</v>
      </c>
      <c r="EX30" s="299">
        <v>3</v>
      </c>
      <c r="EY30" s="299">
        <v>0</v>
      </c>
      <c r="EZ30" s="299">
        <v>2</v>
      </c>
      <c r="FA30" s="299">
        <v>1</v>
      </c>
      <c r="FB30" s="299">
        <v>1</v>
      </c>
      <c r="FC30" s="299">
        <v>1</v>
      </c>
      <c r="FD30" s="299">
        <v>14</v>
      </c>
      <c r="FE30" s="299">
        <v>0</v>
      </c>
      <c r="FF30" s="299">
        <v>15</v>
      </c>
      <c r="FG30" s="299">
        <v>69</v>
      </c>
      <c r="FH30" s="299">
        <v>69</v>
      </c>
      <c r="FI30" s="299">
        <v>100</v>
      </c>
      <c r="FJ30" s="299">
        <v>113</v>
      </c>
      <c r="FK30" s="299">
        <v>110</v>
      </c>
      <c r="FL30" s="299">
        <v>148</v>
      </c>
      <c r="FM30" s="299">
        <v>103</v>
      </c>
      <c r="FN30" s="299">
        <v>7</v>
      </c>
      <c r="FO30" s="299">
        <v>140</v>
      </c>
      <c r="FP30" s="299">
        <v>887</v>
      </c>
      <c r="FQ30" s="299">
        <v>947</v>
      </c>
      <c r="FR30" s="299">
        <v>1131</v>
      </c>
      <c r="FS30" s="299">
        <v>1191</v>
      </c>
      <c r="FT30" s="299">
        <v>1118</v>
      </c>
      <c r="FU30" s="299">
        <v>1069</v>
      </c>
      <c r="FV30" s="299">
        <v>1242</v>
      </c>
      <c r="FW30" s="299">
        <v>1440</v>
      </c>
      <c r="FX30" s="299">
        <v>1804</v>
      </c>
      <c r="FY30" s="299">
        <v>2675</v>
      </c>
      <c r="FZ30" s="299">
        <v>3307</v>
      </c>
      <c r="GA30" s="299">
        <v>184</v>
      </c>
      <c r="GB30" s="299">
        <v>80</v>
      </c>
      <c r="GC30" s="299">
        <v>42</v>
      </c>
      <c r="GD30" s="299">
        <v>29</v>
      </c>
      <c r="GE30" s="299">
        <v>28</v>
      </c>
      <c r="GF30" s="299">
        <v>42</v>
      </c>
      <c r="GG30" s="299">
        <v>42</v>
      </c>
      <c r="GH30" s="299">
        <v>58</v>
      </c>
      <c r="GI30" s="299">
        <v>86</v>
      </c>
      <c r="GJ30" s="299">
        <v>184</v>
      </c>
      <c r="GK30" s="299">
        <v>196</v>
      </c>
      <c r="GL30" s="299">
        <v>17</v>
      </c>
      <c r="GM30" s="299">
        <v>31</v>
      </c>
      <c r="GN30" s="299">
        <v>64</v>
      </c>
      <c r="GO30" s="299">
        <v>150</v>
      </c>
      <c r="GP30" s="299">
        <v>172</v>
      </c>
      <c r="GQ30" s="299">
        <v>220</v>
      </c>
      <c r="GR30" s="299">
        <v>206</v>
      </c>
      <c r="GS30" s="299">
        <v>174</v>
      </c>
      <c r="GT30" s="299">
        <v>174</v>
      </c>
      <c r="GU30" s="299">
        <v>203</v>
      </c>
      <c r="GV30" s="299">
        <v>255</v>
      </c>
      <c r="GW30" s="299">
        <v>2304</v>
      </c>
      <c r="GX30" s="299">
        <v>2926</v>
      </c>
      <c r="GY30" s="299">
        <v>3650</v>
      </c>
      <c r="GZ30" s="299">
        <v>1629</v>
      </c>
      <c r="HA30" s="299">
        <v>1485</v>
      </c>
      <c r="HB30" s="299">
        <v>1656</v>
      </c>
      <c r="HC30" s="299">
        <v>1276</v>
      </c>
      <c r="HD30" s="299">
        <v>1349</v>
      </c>
      <c r="HE30" s="299">
        <v>1533</v>
      </c>
      <c r="HF30" s="299">
        <v>1565</v>
      </c>
      <c r="HG30" s="299">
        <v>1019</v>
      </c>
      <c r="HH30" s="299">
        <v>148</v>
      </c>
      <c r="HI30" s="299">
        <v>150</v>
      </c>
      <c r="HJ30" s="299">
        <v>144</v>
      </c>
      <c r="HK30" s="299">
        <v>0</v>
      </c>
      <c r="HL30" s="299">
        <v>143</v>
      </c>
      <c r="HM30" s="299">
        <v>143</v>
      </c>
      <c r="HN30" s="299">
        <v>143</v>
      </c>
      <c r="HO30" s="299">
        <v>142</v>
      </c>
      <c r="HP30" s="299">
        <v>142</v>
      </c>
      <c r="HQ30" s="299"/>
      <c r="HR30" s="299">
        <v>1236</v>
      </c>
      <c r="HS30" s="299">
        <v>1316</v>
      </c>
      <c r="HT30" s="299">
        <v>1393</v>
      </c>
      <c r="HU30" s="299">
        <v>1796</v>
      </c>
      <c r="HV30" s="299">
        <v>2250</v>
      </c>
      <c r="HW30" s="299">
        <v>2483</v>
      </c>
      <c r="HX30" s="299">
        <v>3390</v>
      </c>
      <c r="HY30" s="299">
        <v>3054</v>
      </c>
      <c r="HZ30" s="299">
        <v>4345</v>
      </c>
      <c r="IA30" s="299">
        <v>4673</v>
      </c>
      <c r="IB30" s="299">
        <v>4372</v>
      </c>
      <c r="IC30" s="299">
        <v>4</v>
      </c>
      <c r="ID30" s="299">
        <v>2</v>
      </c>
      <c r="IE30" s="304">
        <v>2</v>
      </c>
      <c r="IF30" s="304">
        <v>2</v>
      </c>
      <c r="IG30" s="304">
        <v>2</v>
      </c>
      <c r="IH30" s="304">
        <v>2</v>
      </c>
      <c r="II30" s="304">
        <v>2</v>
      </c>
      <c r="IJ30" s="299">
        <v>1</v>
      </c>
      <c r="IK30" s="299">
        <v>1</v>
      </c>
      <c r="IL30" s="299">
        <v>1</v>
      </c>
      <c r="IM30" s="299">
        <v>0</v>
      </c>
      <c r="IN30" s="299">
        <v>2</v>
      </c>
      <c r="IO30" s="299">
        <v>3</v>
      </c>
      <c r="IP30" s="304">
        <v>3</v>
      </c>
      <c r="IQ30" s="304">
        <v>3</v>
      </c>
      <c r="IR30" s="304">
        <v>1</v>
      </c>
      <c r="IS30" s="304">
        <v>0</v>
      </c>
      <c r="IT30" s="304">
        <v>0</v>
      </c>
      <c r="IU30" s="299">
        <v>0</v>
      </c>
      <c r="IV30" s="299">
        <v>0</v>
      </c>
      <c r="IW30" s="299">
        <v>1</v>
      </c>
      <c r="IX30" s="299">
        <v>13</v>
      </c>
      <c r="IY30" s="299">
        <v>137</v>
      </c>
      <c r="IZ30" s="299">
        <v>69</v>
      </c>
      <c r="JA30" s="299">
        <v>59</v>
      </c>
      <c r="JB30" s="299">
        <v>51</v>
      </c>
      <c r="JC30" s="299">
        <v>71</v>
      </c>
      <c r="JD30" s="299">
        <v>106</v>
      </c>
      <c r="JE30" s="299">
        <v>175</v>
      </c>
      <c r="JF30" s="299">
        <v>304</v>
      </c>
      <c r="JG30" s="299">
        <v>768</v>
      </c>
      <c r="JH30" s="299">
        <v>1053</v>
      </c>
      <c r="JI30" s="299">
        <v>1381</v>
      </c>
      <c r="JJ30" s="299">
        <v>10082</v>
      </c>
      <c r="JK30" s="299">
        <v>10985</v>
      </c>
      <c r="JL30" s="299">
        <v>11302</v>
      </c>
      <c r="JM30" s="299">
        <v>10313</v>
      </c>
      <c r="JN30" s="299">
        <v>11215</v>
      </c>
      <c r="JO30" s="299">
        <v>15220</v>
      </c>
      <c r="JP30" s="299">
        <v>13662</v>
      </c>
      <c r="JQ30" s="299">
        <v>14595</v>
      </c>
      <c r="JR30" s="299">
        <v>17960</v>
      </c>
      <c r="JS30" s="299">
        <v>20796</v>
      </c>
      <c r="JT30" s="299">
        <v>22549</v>
      </c>
      <c r="JU30" s="299">
        <v>23326</v>
      </c>
      <c r="JV30" s="299">
        <v>22674</v>
      </c>
      <c r="JW30" s="299">
        <v>23439</v>
      </c>
      <c r="JX30" s="299">
        <v>22809</v>
      </c>
      <c r="JY30" s="299">
        <v>25242</v>
      </c>
      <c r="JZ30" s="302">
        <v>29604</v>
      </c>
      <c r="KA30" s="302">
        <v>30374</v>
      </c>
      <c r="KB30" s="299">
        <v>23715</v>
      </c>
      <c r="KC30" s="303">
        <v>27239</v>
      </c>
      <c r="KD30" s="303">
        <v>37432</v>
      </c>
      <c r="KE30" s="472">
        <v>40062</v>
      </c>
    </row>
    <row r="31" spans="1:291" s="155" customFormat="1" x14ac:dyDescent="0.2">
      <c r="A31" s="395">
        <v>28</v>
      </c>
      <c r="B31" s="154" t="s">
        <v>243</v>
      </c>
      <c r="C31" s="299">
        <v>135386</v>
      </c>
      <c r="D31" s="299">
        <v>127970</v>
      </c>
      <c r="E31" s="299">
        <v>139000</v>
      </c>
      <c r="F31" s="299">
        <v>142205</v>
      </c>
      <c r="G31" s="299">
        <v>144190</v>
      </c>
      <c r="H31" s="299">
        <v>147942</v>
      </c>
      <c r="I31" s="299">
        <v>152639</v>
      </c>
      <c r="J31" s="305">
        <v>161646</v>
      </c>
      <c r="K31" s="305">
        <v>165204</v>
      </c>
      <c r="L31" s="299">
        <v>185158</v>
      </c>
      <c r="M31" s="299">
        <v>195184</v>
      </c>
      <c r="N31" s="299">
        <v>0</v>
      </c>
      <c r="O31" s="299">
        <v>0</v>
      </c>
      <c r="P31" s="299">
        <v>11973</v>
      </c>
      <c r="Q31" s="299">
        <v>14516</v>
      </c>
      <c r="R31" s="299">
        <v>10457</v>
      </c>
      <c r="S31" s="299">
        <v>11645</v>
      </c>
      <c r="T31" s="299">
        <v>10357</v>
      </c>
      <c r="U31" s="299">
        <v>11124</v>
      </c>
      <c r="V31" s="299">
        <v>12129</v>
      </c>
      <c r="W31" s="305">
        <v>10250</v>
      </c>
      <c r="X31" s="305">
        <v>8326</v>
      </c>
      <c r="Y31" s="299">
        <v>8017</v>
      </c>
      <c r="Z31" s="299">
        <v>8892</v>
      </c>
      <c r="AA31" s="299">
        <v>826</v>
      </c>
      <c r="AB31" s="299">
        <v>666</v>
      </c>
      <c r="AC31" s="299">
        <v>615</v>
      </c>
      <c r="AD31" s="299">
        <v>612</v>
      </c>
      <c r="AE31" s="299">
        <v>607</v>
      </c>
      <c r="AF31" s="299">
        <v>166</v>
      </c>
      <c r="AG31" s="299">
        <v>29</v>
      </c>
      <c r="AH31" s="305">
        <v>11</v>
      </c>
      <c r="AI31" s="305">
        <v>11</v>
      </c>
      <c r="AJ31" s="299">
        <v>11</v>
      </c>
      <c r="AK31" s="299">
        <v>11</v>
      </c>
      <c r="AL31" s="299">
        <v>1587</v>
      </c>
      <c r="AM31" s="299">
        <v>1505</v>
      </c>
      <c r="AN31" s="299">
        <v>957</v>
      </c>
      <c r="AO31" s="299">
        <v>1149</v>
      </c>
      <c r="AP31" s="299">
        <v>1543</v>
      </c>
      <c r="AQ31" s="299">
        <v>1020</v>
      </c>
      <c r="AR31" s="299">
        <v>1092</v>
      </c>
      <c r="AS31" s="305">
        <v>1255</v>
      </c>
      <c r="AT31" s="305">
        <v>322</v>
      </c>
      <c r="AU31" s="299">
        <v>601</v>
      </c>
      <c r="AV31" s="299">
        <v>723</v>
      </c>
      <c r="AW31" s="299">
        <v>1415</v>
      </c>
      <c r="AX31" s="299">
        <v>731</v>
      </c>
      <c r="AY31" s="299">
        <v>991</v>
      </c>
      <c r="AZ31" s="299">
        <v>1273</v>
      </c>
      <c r="BA31" s="299">
        <v>1148</v>
      </c>
      <c r="BB31" s="299">
        <v>994</v>
      </c>
      <c r="BC31" s="299">
        <v>495</v>
      </c>
      <c r="BD31" s="305">
        <v>317</v>
      </c>
      <c r="BE31" s="305">
        <v>160</v>
      </c>
      <c r="BF31" s="299">
        <v>195</v>
      </c>
      <c r="BG31" s="299">
        <v>340</v>
      </c>
      <c r="BH31" s="299">
        <v>15399</v>
      </c>
      <c r="BI31" s="299">
        <v>11647</v>
      </c>
      <c r="BJ31" s="299">
        <v>10229</v>
      </c>
      <c r="BK31" s="299">
        <v>9825</v>
      </c>
      <c r="BL31" s="299">
        <v>10294</v>
      </c>
      <c r="BM31" s="299">
        <v>11274</v>
      </c>
      <c r="BN31" s="299">
        <v>12177</v>
      </c>
      <c r="BO31" s="305">
        <v>13632</v>
      </c>
      <c r="BP31" s="305">
        <v>17911</v>
      </c>
      <c r="BQ31" s="299">
        <v>21788</v>
      </c>
      <c r="BR31" s="299">
        <v>22721</v>
      </c>
      <c r="BS31" s="299">
        <v>2338</v>
      </c>
      <c r="BT31" s="299">
        <v>2374</v>
      </c>
      <c r="BU31" s="304">
        <v>2196</v>
      </c>
      <c r="BV31" s="304">
        <v>3665</v>
      </c>
      <c r="BW31" s="304">
        <v>4896</v>
      </c>
      <c r="BX31" s="304">
        <v>5524</v>
      </c>
      <c r="BY31" s="304">
        <v>4368</v>
      </c>
      <c r="BZ31" s="305">
        <v>4929</v>
      </c>
      <c r="CA31" s="305">
        <v>6316</v>
      </c>
      <c r="CB31" s="299">
        <v>7706</v>
      </c>
      <c r="CC31" s="299">
        <v>7660</v>
      </c>
      <c r="CD31" s="299">
        <v>0</v>
      </c>
      <c r="CE31" s="299">
        <v>0</v>
      </c>
      <c r="CF31" s="299">
        <v>0</v>
      </c>
      <c r="CG31" s="299">
        <v>0</v>
      </c>
      <c r="CH31" s="299">
        <v>0</v>
      </c>
      <c r="CI31" s="299">
        <v>22</v>
      </c>
      <c r="CJ31" s="299">
        <v>48</v>
      </c>
      <c r="CK31" s="305">
        <v>17</v>
      </c>
      <c r="CL31" s="305">
        <v>14</v>
      </c>
      <c r="CM31" s="299">
        <v>14</v>
      </c>
      <c r="CN31" s="299">
        <v>4</v>
      </c>
      <c r="CO31" s="299">
        <v>0</v>
      </c>
      <c r="CP31" s="299">
        <v>0</v>
      </c>
      <c r="CQ31" s="299">
        <v>1556</v>
      </c>
      <c r="CR31" s="304">
        <v>2247</v>
      </c>
      <c r="CS31" s="304">
        <v>2985</v>
      </c>
      <c r="CT31" s="304">
        <v>3953</v>
      </c>
      <c r="CU31" s="304">
        <v>5218</v>
      </c>
      <c r="CV31" s="304">
        <v>5546</v>
      </c>
      <c r="CW31" s="304">
        <v>6006</v>
      </c>
      <c r="CX31" s="305">
        <v>6500</v>
      </c>
      <c r="CY31" s="305">
        <v>6788</v>
      </c>
      <c r="CZ31" s="299">
        <v>7362</v>
      </c>
      <c r="DA31" s="299">
        <v>6976</v>
      </c>
      <c r="DB31" s="304">
        <v>2137</v>
      </c>
      <c r="DC31" s="304">
        <v>3207</v>
      </c>
      <c r="DD31" s="304">
        <v>4066</v>
      </c>
      <c r="DE31" s="304">
        <v>3723</v>
      </c>
      <c r="DF31" s="304">
        <v>4528</v>
      </c>
      <c r="DG31" s="304">
        <v>-105</v>
      </c>
      <c r="DH31" s="304">
        <v>2480</v>
      </c>
      <c r="DI31" s="305">
        <v>2507</v>
      </c>
      <c r="DJ31" s="301" t="s">
        <v>42</v>
      </c>
      <c r="DK31" s="299">
        <v>4210</v>
      </c>
      <c r="DL31" s="299">
        <v>4377</v>
      </c>
      <c r="DM31" s="299">
        <v>1806</v>
      </c>
      <c r="DN31" s="299">
        <v>2567</v>
      </c>
      <c r="DO31" s="299">
        <v>1637</v>
      </c>
      <c r="DP31" s="299">
        <v>867</v>
      </c>
      <c r="DQ31" s="299">
        <v>579</v>
      </c>
      <c r="DR31" s="305">
        <v>1154</v>
      </c>
      <c r="DS31" s="305">
        <v>1860</v>
      </c>
      <c r="DT31" s="299">
        <v>2073</v>
      </c>
      <c r="DU31" s="299">
        <v>2063</v>
      </c>
      <c r="DV31" s="299">
        <v>1</v>
      </c>
      <c r="DW31" s="299">
        <v>14</v>
      </c>
      <c r="DX31" s="299">
        <v>6421</v>
      </c>
      <c r="DY31" s="299">
        <v>7969</v>
      </c>
      <c r="DZ31" s="299">
        <v>5270</v>
      </c>
      <c r="EA31" s="299">
        <v>7386</v>
      </c>
      <c r="EB31" s="299">
        <v>8701</v>
      </c>
      <c r="EC31" s="299">
        <v>11364</v>
      </c>
      <c r="ED31" s="299">
        <v>12450</v>
      </c>
      <c r="EE31" s="305">
        <v>13444</v>
      </c>
      <c r="EF31" s="305">
        <v>19426</v>
      </c>
      <c r="EG31" s="299">
        <v>22648</v>
      </c>
      <c r="EH31" s="299">
        <v>26043</v>
      </c>
      <c r="EI31" s="299">
        <v>13648</v>
      </c>
      <c r="EJ31" s="299">
        <v>12499</v>
      </c>
      <c r="EK31" s="299">
        <v>13525</v>
      </c>
      <c r="EL31" s="299">
        <v>14944</v>
      </c>
      <c r="EM31" s="299">
        <v>16839</v>
      </c>
      <c r="EN31" s="299">
        <v>19529</v>
      </c>
      <c r="EO31" s="299">
        <v>19364</v>
      </c>
      <c r="EP31" s="305">
        <v>20932</v>
      </c>
      <c r="EQ31" s="305">
        <v>21805</v>
      </c>
      <c r="ER31" s="299">
        <v>23144</v>
      </c>
      <c r="ES31" s="299">
        <v>26141</v>
      </c>
      <c r="ET31" s="299">
        <v>497</v>
      </c>
      <c r="EU31" s="299">
        <v>322</v>
      </c>
      <c r="EV31" s="299">
        <v>356</v>
      </c>
      <c r="EW31" s="299">
        <v>194</v>
      </c>
      <c r="EX31" s="299">
        <v>269</v>
      </c>
      <c r="EY31" s="299">
        <v>0</v>
      </c>
      <c r="EZ31" s="299">
        <v>305</v>
      </c>
      <c r="FA31" s="305">
        <v>273</v>
      </c>
      <c r="FB31" s="305">
        <v>269</v>
      </c>
      <c r="FC31" s="299">
        <v>248</v>
      </c>
      <c r="FD31" s="299">
        <v>857</v>
      </c>
      <c r="FE31" s="299">
        <v>2942</v>
      </c>
      <c r="FF31" s="299">
        <v>4063</v>
      </c>
      <c r="FG31" s="304">
        <v>4500</v>
      </c>
      <c r="FH31" s="304">
        <v>4319</v>
      </c>
      <c r="FI31" s="304">
        <v>5905</v>
      </c>
      <c r="FJ31" s="304">
        <v>5794</v>
      </c>
      <c r="FK31" s="304">
        <v>4937</v>
      </c>
      <c r="FL31" s="305">
        <v>4711</v>
      </c>
      <c r="FM31" s="305">
        <v>5278</v>
      </c>
      <c r="FN31" s="299">
        <v>5969</v>
      </c>
      <c r="FO31" s="299">
        <v>6305</v>
      </c>
      <c r="FP31" s="299">
        <v>4677</v>
      </c>
      <c r="FQ31" s="299">
        <v>5469</v>
      </c>
      <c r="FR31" s="299">
        <v>6886</v>
      </c>
      <c r="FS31" s="299">
        <v>7525</v>
      </c>
      <c r="FT31" s="299">
        <v>7113</v>
      </c>
      <c r="FU31" s="299">
        <v>7234</v>
      </c>
      <c r="FV31" s="299">
        <v>7957</v>
      </c>
      <c r="FW31" s="305">
        <v>9193</v>
      </c>
      <c r="FX31" s="305">
        <v>11276</v>
      </c>
      <c r="FY31" s="299">
        <v>16003</v>
      </c>
      <c r="FZ31" s="299">
        <v>19561</v>
      </c>
      <c r="GA31" s="299">
        <v>2113</v>
      </c>
      <c r="GB31" s="299">
        <v>1099</v>
      </c>
      <c r="GC31" s="299">
        <v>628</v>
      </c>
      <c r="GD31" s="299">
        <v>550</v>
      </c>
      <c r="GE31" s="299">
        <v>580</v>
      </c>
      <c r="GF31" s="299">
        <v>815</v>
      </c>
      <c r="GG31" s="299">
        <v>964</v>
      </c>
      <c r="GH31" s="305">
        <v>1159</v>
      </c>
      <c r="GI31" s="305">
        <v>1952</v>
      </c>
      <c r="GJ31" s="299">
        <v>3226</v>
      </c>
      <c r="GK31" s="299">
        <v>4411</v>
      </c>
      <c r="GL31" s="299">
        <v>103</v>
      </c>
      <c r="GM31" s="299">
        <v>377</v>
      </c>
      <c r="GN31" s="299">
        <v>755</v>
      </c>
      <c r="GO31" s="299">
        <v>1244</v>
      </c>
      <c r="GP31" s="299">
        <v>1596</v>
      </c>
      <c r="GQ31" s="299">
        <v>1749</v>
      </c>
      <c r="GR31" s="299">
        <v>1591</v>
      </c>
      <c r="GS31" s="305">
        <v>1249</v>
      </c>
      <c r="GT31" s="305">
        <v>1253</v>
      </c>
      <c r="GU31" s="299">
        <v>1596</v>
      </c>
      <c r="GV31" s="299">
        <v>1884</v>
      </c>
      <c r="GW31" s="299">
        <v>18452</v>
      </c>
      <c r="GX31" s="299">
        <v>22754</v>
      </c>
      <c r="GY31" s="304">
        <v>28585</v>
      </c>
      <c r="GZ31" s="304">
        <v>12936</v>
      </c>
      <c r="HA31" s="304">
        <v>11093</v>
      </c>
      <c r="HB31" s="304">
        <v>12442</v>
      </c>
      <c r="HC31" s="304">
        <v>8096</v>
      </c>
      <c r="HD31" s="305">
        <v>8565</v>
      </c>
      <c r="HE31" s="305">
        <v>9823</v>
      </c>
      <c r="HF31" s="299">
        <v>11037</v>
      </c>
      <c r="HG31" s="299">
        <v>12814</v>
      </c>
      <c r="HH31" s="299">
        <v>4018</v>
      </c>
      <c r="HI31" s="299">
        <v>4039</v>
      </c>
      <c r="HJ31" s="299">
        <v>3683</v>
      </c>
      <c r="HK31" s="299">
        <v>0</v>
      </c>
      <c r="HL31" s="299">
        <v>3696</v>
      </c>
      <c r="HM31" s="299">
        <v>3687</v>
      </c>
      <c r="HN31" s="299">
        <v>3683</v>
      </c>
      <c r="HO31" s="305">
        <v>3668</v>
      </c>
      <c r="HP31" s="305">
        <v>3654</v>
      </c>
      <c r="HQ31" s="299"/>
      <c r="HR31" s="299">
        <v>7494</v>
      </c>
      <c r="HS31" s="299">
        <v>8000</v>
      </c>
      <c r="HT31" s="299">
        <v>7441</v>
      </c>
      <c r="HU31" s="299">
        <v>9147</v>
      </c>
      <c r="HV31" s="299">
        <v>10653</v>
      </c>
      <c r="HW31" s="299">
        <v>11113</v>
      </c>
      <c r="HX31" s="299">
        <v>14186</v>
      </c>
      <c r="HY31" s="305">
        <v>11367</v>
      </c>
      <c r="HZ31" s="305">
        <v>16279</v>
      </c>
      <c r="IA31" s="299">
        <v>20316</v>
      </c>
      <c r="IB31" s="299">
        <v>19824</v>
      </c>
      <c r="IC31" s="299">
        <v>26</v>
      </c>
      <c r="ID31" s="299">
        <v>14</v>
      </c>
      <c r="IE31" s="304">
        <v>13</v>
      </c>
      <c r="IF31" s="304">
        <v>18</v>
      </c>
      <c r="IG31" s="304">
        <v>18</v>
      </c>
      <c r="IH31" s="304">
        <v>18</v>
      </c>
      <c r="II31" s="304">
        <v>15</v>
      </c>
      <c r="IJ31" s="305">
        <v>15</v>
      </c>
      <c r="IK31" s="305">
        <v>10</v>
      </c>
      <c r="IL31" s="299">
        <v>9</v>
      </c>
      <c r="IM31" s="299">
        <v>3</v>
      </c>
      <c r="IN31" s="299">
        <v>1175</v>
      </c>
      <c r="IO31" s="299">
        <v>1279</v>
      </c>
      <c r="IP31" s="304">
        <v>1360</v>
      </c>
      <c r="IQ31" s="304">
        <v>746</v>
      </c>
      <c r="IR31" s="304">
        <v>425</v>
      </c>
      <c r="IS31" s="304">
        <v>162</v>
      </c>
      <c r="IT31" s="304">
        <v>20</v>
      </c>
      <c r="IU31" s="305">
        <v>18</v>
      </c>
      <c r="IV31" s="305">
        <v>68</v>
      </c>
      <c r="IW31" s="299">
        <v>283</v>
      </c>
      <c r="IX31" s="299">
        <v>712</v>
      </c>
      <c r="IY31" s="299">
        <v>1977</v>
      </c>
      <c r="IZ31" s="299">
        <v>1341</v>
      </c>
      <c r="JA31" s="299">
        <v>1282</v>
      </c>
      <c r="JB31" s="299">
        <v>1231</v>
      </c>
      <c r="JC31" s="299">
        <v>1523</v>
      </c>
      <c r="JD31" s="299">
        <v>1634</v>
      </c>
      <c r="JE31" s="299">
        <v>2729</v>
      </c>
      <c r="JF31" s="305">
        <v>2799</v>
      </c>
      <c r="JG31" s="305">
        <v>4777</v>
      </c>
      <c r="JH31" s="299">
        <v>7110</v>
      </c>
      <c r="JI31" s="299">
        <v>10312</v>
      </c>
      <c r="JJ31" s="299">
        <v>104984</v>
      </c>
      <c r="JK31" s="299">
        <v>110495</v>
      </c>
      <c r="JL31" s="299">
        <v>108586</v>
      </c>
      <c r="JM31" s="299">
        <v>98652</v>
      </c>
      <c r="JN31" s="299">
        <v>108639</v>
      </c>
      <c r="JO31" s="299">
        <v>111973</v>
      </c>
      <c r="JP31" s="299">
        <v>115700</v>
      </c>
      <c r="JQ31" s="305">
        <v>117965</v>
      </c>
      <c r="JR31" s="299">
        <v>137578</v>
      </c>
      <c r="JS31" s="299">
        <v>159357</v>
      </c>
      <c r="JT31" s="299">
        <v>178271</v>
      </c>
      <c r="JU31" s="299">
        <v>240370</v>
      </c>
      <c r="JV31" s="299">
        <v>238465</v>
      </c>
      <c r="JW31" s="299">
        <v>247586</v>
      </c>
      <c r="JX31" s="299">
        <v>240857</v>
      </c>
      <c r="JY31" s="299">
        <v>252829</v>
      </c>
      <c r="JZ31" s="302">
        <v>259915</v>
      </c>
      <c r="KA31" s="302">
        <v>268339</v>
      </c>
      <c r="KB31" s="305">
        <v>279611</v>
      </c>
      <c r="KC31" s="303">
        <v>302782</v>
      </c>
      <c r="KD31" s="303">
        <v>344515</v>
      </c>
      <c r="KE31" s="472">
        <v>373455</v>
      </c>
    </row>
    <row r="32" spans="1:291" s="155" customFormat="1" x14ac:dyDescent="0.2">
      <c r="A32" s="395">
        <v>29</v>
      </c>
      <c r="B32" s="154" t="s">
        <v>244</v>
      </c>
      <c r="C32" s="299">
        <v>112621</v>
      </c>
      <c r="D32" s="299">
        <v>106709</v>
      </c>
      <c r="E32" s="299">
        <v>111745</v>
      </c>
      <c r="F32" s="299">
        <v>111328</v>
      </c>
      <c r="G32" s="299">
        <v>110349</v>
      </c>
      <c r="H32" s="299">
        <v>114482</v>
      </c>
      <c r="I32" s="299">
        <v>120936</v>
      </c>
      <c r="J32" s="299">
        <v>107328</v>
      </c>
      <c r="K32" s="299">
        <v>108507</v>
      </c>
      <c r="L32" s="299">
        <v>120913</v>
      </c>
      <c r="M32" s="299">
        <v>126652</v>
      </c>
      <c r="N32" s="299">
        <v>0</v>
      </c>
      <c r="O32" s="299">
        <v>0</v>
      </c>
      <c r="P32" s="299">
        <v>5909</v>
      </c>
      <c r="Q32" s="299">
        <v>7116</v>
      </c>
      <c r="R32" s="299">
        <v>5509</v>
      </c>
      <c r="S32" s="299">
        <v>6336</v>
      </c>
      <c r="T32" s="299">
        <v>5979</v>
      </c>
      <c r="U32" s="299">
        <v>6282</v>
      </c>
      <c r="V32" s="299">
        <v>6489</v>
      </c>
      <c r="W32" s="299">
        <v>4808</v>
      </c>
      <c r="X32" s="299">
        <v>4028</v>
      </c>
      <c r="Y32" s="299">
        <v>4206</v>
      </c>
      <c r="Z32" s="299">
        <v>4451</v>
      </c>
      <c r="AA32" s="299">
        <v>392</v>
      </c>
      <c r="AB32" s="299">
        <v>274</v>
      </c>
      <c r="AC32" s="299">
        <v>274</v>
      </c>
      <c r="AD32" s="299">
        <v>274</v>
      </c>
      <c r="AE32" s="299">
        <v>272</v>
      </c>
      <c r="AF32" s="299">
        <v>74</v>
      </c>
      <c r="AG32" s="299">
        <v>6</v>
      </c>
      <c r="AH32" s="299">
        <v>3</v>
      </c>
      <c r="AI32" s="299">
        <v>3</v>
      </c>
      <c r="AJ32" s="299">
        <v>3</v>
      </c>
      <c r="AK32" s="299">
        <v>3</v>
      </c>
      <c r="AL32" s="299">
        <v>786</v>
      </c>
      <c r="AM32" s="299">
        <v>576</v>
      </c>
      <c r="AN32" s="304">
        <v>479</v>
      </c>
      <c r="AO32" s="304">
        <v>780</v>
      </c>
      <c r="AP32" s="304">
        <v>1066</v>
      </c>
      <c r="AQ32" s="304">
        <v>732</v>
      </c>
      <c r="AR32" s="304">
        <v>750</v>
      </c>
      <c r="AS32" s="299">
        <v>821</v>
      </c>
      <c r="AT32" s="299">
        <v>171</v>
      </c>
      <c r="AU32" s="299">
        <v>360</v>
      </c>
      <c r="AV32" s="299">
        <v>475</v>
      </c>
      <c r="AW32" s="299">
        <v>2076</v>
      </c>
      <c r="AX32" s="299">
        <v>1173</v>
      </c>
      <c r="AY32" s="304">
        <v>1578</v>
      </c>
      <c r="AZ32" s="304">
        <v>1845</v>
      </c>
      <c r="BA32" s="304">
        <v>1545</v>
      </c>
      <c r="BB32" s="304">
        <v>1158</v>
      </c>
      <c r="BC32" s="304">
        <v>686</v>
      </c>
      <c r="BD32" s="299">
        <v>509</v>
      </c>
      <c r="BE32" s="299">
        <v>385</v>
      </c>
      <c r="BF32" s="299">
        <v>357</v>
      </c>
      <c r="BG32" s="299">
        <v>448</v>
      </c>
      <c r="BH32" s="299">
        <v>11781</v>
      </c>
      <c r="BI32" s="299">
        <v>8616</v>
      </c>
      <c r="BJ32" s="304">
        <v>7461</v>
      </c>
      <c r="BK32" s="304">
        <v>6761</v>
      </c>
      <c r="BL32" s="304">
        <v>6947</v>
      </c>
      <c r="BM32" s="304">
        <v>7526</v>
      </c>
      <c r="BN32" s="304">
        <v>7861</v>
      </c>
      <c r="BO32" s="299">
        <v>8912</v>
      </c>
      <c r="BP32" s="299">
        <v>11999</v>
      </c>
      <c r="BQ32" s="299">
        <v>13443</v>
      </c>
      <c r="BR32" s="299">
        <v>13765</v>
      </c>
      <c r="BS32" s="299">
        <v>849</v>
      </c>
      <c r="BT32" s="299">
        <v>795</v>
      </c>
      <c r="BU32" s="304">
        <v>665</v>
      </c>
      <c r="BV32" s="304">
        <v>810</v>
      </c>
      <c r="BW32" s="304">
        <v>1432</v>
      </c>
      <c r="BX32" s="304">
        <v>1791</v>
      </c>
      <c r="BY32" s="304">
        <v>1270</v>
      </c>
      <c r="BZ32" s="299">
        <v>1478</v>
      </c>
      <c r="CA32" s="299">
        <v>1890</v>
      </c>
      <c r="CB32" s="299">
        <v>3843</v>
      </c>
      <c r="CC32" s="299">
        <v>4220</v>
      </c>
      <c r="CD32" s="299">
        <v>0</v>
      </c>
      <c r="CE32" s="299">
        <v>0</v>
      </c>
      <c r="CF32" s="299">
        <v>0</v>
      </c>
      <c r="CG32" s="299">
        <v>0</v>
      </c>
      <c r="CH32" s="299">
        <v>0</v>
      </c>
      <c r="CI32" s="299">
        <v>5</v>
      </c>
      <c r="CJ32" s="299">
        <v>13</v>
      </c>
      <c r="CK32" s="299">
        <v>7</v>
      </c>
      <c r="CL32" s="299">
        <v>7</v>
      </c>
      <c r="CM32" s="299">
        <v>7</v>
      </c>
      <c r="CN32" s="299">
        <v>3</v>
      </c>
      <c r="CO32" s="299">
        <v>0</v>
      </c>
      <c r="CP32" s="299">
        <v>0</v>
      </c>
      <c r="CQ32" s="299">
        <v>183</v>
      </c>
      <c r="CR32" s="304">
        <v>350</v>
      </c>
      <c r="CS32" s="304">
        <v>579</v>
      </c>
      <c r="CT32" s="304">
        <v>1022</v>
      </c>
      <c r="CU32" s="304">
        <v>1566</v>
      </c>
      <c r="CV32" s="304">
        <v>1993</v>
      </c>
      <c r="CW32" s="304">
        <v>2085</v>
      </c>
      <c r="CX32" s="299">
        <v>2195</v>
      </c>
      <c r="CY32" s="299">
        <v>2220</v>
      </c>
      <c r="CZ32" s="299">
        <v>2442</v>
      </c>
      <c r="DA32" s="299">
        <v>2234</v>
      </c>
      <c r="DB32" s="304">
        <v>1239</v>
      </c>
      <c r="DC32" s="304">
        <v>2040</v>
      </c>
      <c r="DD32" s="304">
        <v>2348</v>
      </c>
      <c r="DE32" s="304">
        <v>1980</v>
      </c>
      <c r="DF32" s="304">
        <v>2542</v>
      </c>
      <c r="DG32" s="304">
        <v>2051</v>
      </c>
      <c r="DH32" s="304">
        <v>1388</v>
      </c>
      <c r="DI32" s="299">
        <v>1287</v>
      </c>
      <c r="DJ32" s="301" t="s">
        <v>42</v>
      </c>
      <c r="DK32" s="299">
        <v>831</v>
      </c>
      <c r="DL32" s="299">
        <v>862</v>
      </c>
      <c r="DM32" s="299">
        <v>532</v>
      </c>
      <c r="DN32" s="299">
        <v>642</v>
      </c>
      <c r="DO32" s="299">
        <v>390</v>
      </c>
      <c r="DP32" s="299">
        <v>247</v>
      </c>
      <c r="DQ32" s="299">
        <v>264</v>
      </c>
      <c r="DR32" s="299">
        <v>592</v>
      </c>
      <c r="DS32" s="299">
        <v>657</v>
      </c>
      <c r="DT32" s="299">
        <v>677</v>
      </c>
      <c r="DU32" s="299">
        <v>671</v>
      </c>
      <c r="DV32" s="299">
        <v>1</v>
      </c>
      <c r="DW32" s="299">
        <v>30</v>
      </c>
      <c r="DX32" s="299">
        <v>3839</v>
      </c>
      <c r="DY32" s="299">
        <v>4745</v>
      </c>
      <c r="DZ32" s="304">
        <v>3239</v>
      </c>
      <c r="EA32" s="304">
        <v>4538</v>
      </c>
      <c r="EB32" s="304">
        <v>5692</v>
      </c>
      <c r="EC32" s="304">
        <v>6738</v>
      </c>
      <c r="ED32" s="304">
        <v>7078</v>
      </c>
      <c r="EE32" s="299">
        <v>7457</v>
      </c>
      <c r="EF32" s="299">
        <v>10449</v>
      </c>
      <c r="EG32" s="299">
        <v>12145</v>
      </c>
      <c r="EH32" s="299">
        <v>13802</v>
      </c>
      <c r="EI32" s="299">
        <v>7674</v>
      </c>
      <c r="EJ32" s="299">
        <v>6789</v>
      </c>
      <c r="EK32" s="304">
        <v>7572</v>
      </c>
      <c r="EL32" s="304">
        <v>8517</v>
      </c>
      <c r="EM32" s="304">
        <v>9558</v>
      </c>
      <c r="EN32" s="304">
        <v>10602</v>
      </c>
      <c r="EO32" s="304">
        <v>10354</v>
      </c>
      <c r="EP32" s="299">
        <v>10856</v>
      </c>
      <c r="EQ32" s="299">
        <v>10938</v>
      </c>
      <c r="ER32" s="299">
        <v>11268</v>
      </c>
      <c r="ES32" s="299">
        <v>11942</v>
      </c>
      <c r="ET32" s="299">
        <v>132</v>
      </c>
      <c r="EU32" s="299">
        <v>97</v>
      </c>
      <c r="EV32" s="304">
        <v>130</v>
      </c>
      <c r="EW32" s="304">
        <v>112</v>
      </c>
      <c r="EX32" s="304">
        <v>118</v>
      </c>
      <c r="EY32" s="304">
        <v>0</v>
      </c>
      <c r="EZ32" s="304">
        <v>104</v>
      </c>
      <c r="FA32" s="299">
        <v>91</v>
      </c>
      <c r="FB32" s="299">
        <v>98</v>
      </c>
      <c r="FC32" s="299">
        <v>73</v>
      </c>
      <c r="FD32" s="299">
        <v>321</v>
      </c>
      <c r="FE32" s="299">
        <v>5548</v>
      </c>
      <c r="FF32" s="299">
        <v>10144</v>
      </c>
      <c r="FG32" s="304">
        <v>11317</v>
      </c>
      <c r="FH32" s="304">
        <v>9967</v>
      </c>
      <c r="FI32" s="304">
        <v>12796</v>
      </c>
      <c r="FJ32" s="304">
        <v>12603</v>
      </c>
      <c r="FK32" s="304">
        <v>10521</v>
      </c>
      <c r="FL32" s="299">
        <v>9742</v>
      </c>
      <c r="FM32" s="299">
        <v>9813</v>
      </c>
      <c r="FN32" s="299">
        <v>11213</v>
      </c>
      <c r="FO32" s="299">
        <v>9452</v>
      </c>
      <c r="FP32" s="299">
        <v>1235</v>
      </c>
      <c r="FQ32" s="304">
        <v>1394</v>
      </c>
      <c r="FR32" s="304">
        <v>1634</v>
      </c>
      <c r="FS32" s="304">
        <v>1733</v>
      </c>
      <c r="FT32" s="304">
        <v>1863</v>
      </c>
      <c r="FU32" s="304">
        <v>2054</v>
      </c>
      <c r="FV32" s="304">
        <v>2250</v>
      </c>
      <c r="FW32" s="299">
        <v>2325</v>
      </c>
      <c r="FX32" s="299">
        <v>2831</v>
      </c>
      <c r="FY32" s="299">
        <v>3716</v>
      </c>
      <c r="FZ32" s="299">
        <v>4848</v>
      </c>
      <c r="GA32" s="299">
        <v>1734</v>
      </c>
      <c r="GB32" s="299">
        <v>827</v>
      </c>
      <c r="GC32" s="304">
        <v>627</v>
      </c>
      <c r="GD32" s="304">
        <v>622</v>
      </c>
      <c r="GE32" s="304">
        <v>642</v>
      </c>
      <c r="GF32" s="304">
        <v>681</v>
      </c>
      <c r="GG32" s="304">
        <v>758</v>
      </c>
      <c r="GH32" s="299">
        <v>1071</v>
      </c>
      <c r="GI32" s="299">
        <v>1707</v>
      </c>
      <c r="GJ32" s="299">
        <v>2333</v>
      </c>
      <c r="GK32" s="299">
        <v>3029</v>
      </c>
      <c r="GL32" s="299">
        <v>10</v>
      </c>
      <c r="GM32" s="304">
        <v>94</v>
      </c>
      <c r="GN32" s="304">
        <v>166</v>
      </c>
      <c r="GO32" s="304">
        <v>185</v>
      </c>
      <c r="GP32" s="304">
        <v>325</v>
      </c>
      <c r="GQ32" s="304">
        <v>397</v>
      </c>
      <c r="GR32" s="304">
        <v>396</v>
      </c>
      <c r="GS32" s="299">
        <v>425</v>
      </c>
      <c r="GT32" s="299">
        <v>458</v>
      </c>
      <c r="GU32" s="299">
        <v>510</v>
      </c>
      <c r="GV32" s="299">
        <v>575</v>
      </c>
      <c r="GW32" s="299">
        <v>5065</v>
      </c>
      <c r="GX32" s="299">
        <v>6753</v>
      </c>
      <c r="GY32" s="304">
        <v>8616</v>
      </c>
      <c r="GZ32" s="304">
        <v>3663</v>
      </c>
      <c r="HA32" s="304">
        <v>3481</v>
      </c>
      <c r="HB32" s="304">
        <v>3690</v>
      </c>
      <c r="HC32" s="304">
        <v>2460</v>
      </c>
      <c r="HD32" s="299">
        <v>3194</v>
      </c>
      <c r="HE32" s="299">
        <v>3703</v>
      </c>
      <c r="HF32" s="299">
        <v>3822</v>
      </c>
      <c r="HG32" s="299">
        <v>4625</v>
      </c>
      <c r="HH32" s="299">
        <v>515</v>
      </c>
      <c r="HI32" s="299">
        <v>527</v>
      </c>
      <c r="HJ32" s="299">
        <v>436</v>
      </c>
      <c r="HK32" s="299">
        <v>0</v>
      </c>
      <c r="HL32" s="299">
        <v>435</v>
      </c>
      <c r="HM32" s="299">
        <v>431</v>
      </c>
      <c r="HN32" s="299">
        <v>431</v>
      </c>
      <c r="HO32" s="299">
        <v>428</v>
      </c>
      <c r="HP32" s="299">
        <v>423</v>
      </c>
      <c r="HQ32" s="299"/>
      <c r="HR32" s="299">
        <v>4321</v>
      </c>
      <c r="HS32" s="299">
        <v>4472</v>
      </c>
      <c r="HT32" s="304">
        <v>4773</v>
      </c>
      <c r="HU32" s="304">
        <v>5189</v>
      </c>
      <c r="HV32" s="304">
        <v>5664</v>
      </c>
      <c r="HW32" s="304">
        <v>6056</v>
      </c>
      <c r="HX32" s="304">
        <v>7642</v>
      </c>
      <c r="HY32" s="299">
        <v>7170</v>
      </c>
      <c r="HZ32" s="299">
        <v>8998</v>
      </c>
      <c r="IA32" s="299">
        <v>10553</v>
      </c>
      <c r="IB32" s="299">
        <v>10507</v>
      </c>
      <c r="IC32" s="299">
        <v>1</v>
      </c>
      <c r="ID32" s="299">
        <v>1</v>
      </c>
      <c r="IE32" s="304">
        <v>1</v>
      </c>
      <c r="IF32" s="304">
        <v>2</v>
      </c>
      <c r="IG32" s="304">
        <v>2</v>
      </c>
      <c r="IH32" s="304">
        <v>2</v>
      </c>
      <c r="II32" s="304">
        <v>0</v>
      </c>
      <c r="IJ32" s="299">
        <v>0</v>
      </c>
      <c r="IK32" s="299">
        <v>0</v>
      </c>
      <c r="IL32" s="299">
        <v>0</v>
      </c>
      <c r="IM32" s="299">
        <v>0</v>
      </c>
      <c r="IN32" s="299">
        <v>225</v>
      </c>
      <c r="IO32" s="299">
        <v>224</v>
      </c>
      <c r="IP32" s="304">
        <v>258</v>
      </c>
      <c r="IQ32" s="304">
        <v>147</v>
      </c>
      <c r="IR32" s="304">
        <v>85</v>
      </c>
      <c r="IS32" s="304">
        <v>31</v>
      </c>
      <c r="IT32" s="304">
        <v>5</v>
      </c>
      <c r="IU32" s="299">
        <v>5</v>
      </c>
      <c r="IV32" s="299">
        <v>19</v>
      </c>
      <c r="IW32" s="299">
        <v>57</v>
      </c>
      <c r="IX32" s="299">
        <v>148</v>
      </c>
      <c r="IY32" s="299">
        <v>5141</v>
      </c>
      <c r="IZ32" s="299">
        <v>3940</v>
      </c>
      <c r="JA32" s="299">
        <v>4008</v>
      </c>
      <c r="JB32" s="299">
        <v>4428</v>
      </c>
      <c r="JC32" s="299">
        <v>4359</v>
      </c>
      <c r="JD32" s="299">
        <v>4357</v>
      </c>
      <c r="JE32" s="299">
        <v>5652</v>
      </c>
      <c r="JF32" s="299">
        <v>5397</v>
      </c>
      <c r="JG32" s="299">
        <v>7474</v>
      </c>
      <c r="JH32" s="299">
        <v>9438</v>
      </c>
      <c r="JI32" s="299">
        <v>12592</v>
      </c>
      <c r="JJ32" s="299">
        <v>59486</v>
      </c>
      <c r="JK32" s="299">
        <v>61809</v>
      </c>
      <c r="JL32" s="299">
        <v>62202</v>
      </c>
      <c r="JM32" s="299">
        <v>59553</v>
      </c>
      <c r="JN32" s="299">
        <v>66759</v>
      </c>
      <c r="JO32" s="299">
        <v>69501</v>
      </c>
      <c r="JP32" s="299">
        <v>68463</v>
      </c>
      <c r="JQ32" s="299">
        <v>68773</v>
      </c>
      <c r="JR32" s="299">
        <v>78271</v>
      </c>
      <c r="JS32" s="299">
        <v>90467</v>
      </c>
      <c r="JT32" s="299">
        <v>98141</v>
      </c>
      <c r="JU32" s="299">
        <v>172107</v>
      </c>
      <c r="JV32" s="299">
        <v>168518</v>
      </c>
      <c r="JW32" s="299">
        <v>173947</v>
      </c>
      <c r="JX32" s="299">
        <v>170881</v>
      </c>
      <c r="JY32" s="299">
        <v>177108</v>
      </c>
      <c r="JZ32" s="302">
        <v>183983</v>
      </c>
      <c r="KA32" s="302">
        <v>189399</v>
      </c>
      <c r="KB32" s="299">
        <v>176101</v>
      </c>
      <c r="KC32" s="303">
        <v>186778</v>
      </c>
      <c r="KD32" s="303">
        <v>211380</v>
      </c>
      <c r="KE32" s="472">
        <v>224793</v>
      </c>
    </row>
    <row r="33" spans="1:291" s="155" customFormat="1" x14ac:dyDescent="0.2">
      <c r="A33" s="395">
        <v>30</v>
      </c>
      <c r="B33" s="154" t="s">
        <v>281</v>
      </c>
      <c r="C33" s="299">
        <v>475</v>
      </c>
      <c r="D33" s="299">
        <v>418</v>
      </c>
      <c r="E33" s="299">
        <v>448</v>
      </c>
      <c r="F33" s="299">
        <v>257</v>
      </c>
      <c r="G33" s="299">
        <v>255</v>
      </c>
      <c r="H33" s="299">
        <v>245</v>
      </c>
      <c r="I33" s="299">
        <v>358</v>
      </c>
      <c r="J33" s="299">
        <v>351</v>
      </c>
      <c r="K33" s="299">
        <v>193</v>
      </c>
      <c r="L33" s="299">
        <v>272</v>
      </c>
      <c r="M33" s="299">
        <v>288</v>
      </c>
      <c r="N33" s="299">
        <v>0</v>
      </c>
      <c r="O33" s="299">
        <v>0</v>
      </c>
      <c r="P33" s="299">
        <v>2</v>
      </c>
      <c r="Q33" s="299">
        <v>2</v>
      </c>
      <c r="R33" s="299">
        <v>3</v>
      </c>
      <c r="S33" s="299">
        <v>3</v>
      </c>
      <c r="T33" s="299">
        <v>2</v>
      </c>
      <c r="U33" s="299">
        <v>3</v>
      </c>
      <c r="V33" s="299">
        <v>3</v>
      </c>
      <c r="W33" s="299">
        <v>2</v>
      </c>
      <c r="X33" s="299">
        <v>1</v>
      </c>
      <c r="Y33" s="299">
        <v>1</v>
      </c>
      <c r="Z33" s="299">
        <v>2</v>
      </c>
      <c r="AA33" s="299">
        <v>0</v>
      </c>
      <c r="AB33" s="299">
        <v>0</v>
      </c>
      <c r="AC33" s="299">
        <v>0</v>
      </c>
      <c r="AD33" s="299">
        <v>0</v>
      </c>
      <c r="AE33" s="299">
        <v>0</v>
      </c>
      <c r="AF33" s="299">
        <v>0</v>
      </c>
      <c r="AG33" s="299">
        <v>0</v>
      </c>
      <c r="AH33" s="299">
        <v>0</v>
      </c>
      <c r="AI33" s="299">
        <v>0</v>
      </c>
      <c r="AJ33" s="299">
        <v>0</v>
      </c>
      <c r="AK33" s="299">
        <v>0</v>
      </c>
      <c r="AL33" s="299">
        <v>1</v>
      </c>
      <c r="AM33" s="299">
        <v>1</v>
      </c>
      <c r="AN33" s="299">
        <v>6</v>
      </c>
      <c r="AO33" s="299">
        <v>6</v>
      </c>
      <c r="AP33" s="299">
        <v>6</v>
      </c>
      <c r="AQ33" s="299">
        <v>2</v>
      </c>
      <c r="AR33" s="299">
        <v>2</v>
      </c>
      <c r="AS33" s="299">
        <v>2</v>
      </c>
      <c r="AT33" s="299">
        <v>0</v>
      </c>
      <c r="AU33" s="299">
        <v>0</v>
      </c>
      <c r="AV33" s="299">
        <v>0</v>
      </c>
      <c r="AW33" s="299">
        <v>3</v>
      </c>
      <c r="AX33" s="299">
        <v>1</v>
      </c>
      <c r="AY33" s="299">
        <v>1</v>
      </c>
      <c r="AZ33" s="299">
        <v>1</v>
      </c>
      <c r="BA33" s="299">
        <v>2</v>
      </c>
      <c r="BB33" s="299">
        <v>4</v>
      </c>
      <c r="BC33" s="299">
        <v>2</v>
      </c>
      <c r="BD33" s="299">
        <v>1</v>
      </c>
      <c r="BE33" s="299">
        <v>1</v>
      </c>
      <c r="BF33" s="299">
        <v>1</v>
      </c>
      <c r="BG33" s="299">
        <v>1</v>
      </c>
      <c r="BH33" s="299">
        <v>0</v>
      </c>
      <c r="BI33" s="299">
        <v>0</v>
      </c>
      <c r="BJ33" s="299">
        <v>0</v>
      </c>
      <c r="BK33" s="299">
        <v>0</v>
      </c>
      <c r="BL33" s="299">
        <v>0</v>
      </c>
      <c r="BM33" s="299">
        <v>0</v>
      </c>
      <c r="BN33" s="299">
        <v>1</v>
      </c>
      <c r="BO33" s="299">
        <v>1</v>
      </c>
      <c r="BP33" s="299">
        <v>3</v>
      </c>
      <c r="BQ33" s="299">
        <v>8</v>
      </c>
      <c r="BR33" s="299">
        <v>15</v>
      </c>
      <c r="BS33" s="299">
        <v>0</v>
      </c>
      <c r="BT33" s="299">
        <v>0</v>
      </c>
      <c r="BU33" s="304">
        <v>0</v>
      </c>
      <c r="BV33" s="304">
        <v>0</v>
      </c>
      <c r="BW33" s="304">
        <v>0</v>
      </c>
      <c r="BX33" s="304">
        <v>0</v>
      </c>
      <c r="BY33" s="304">
        <v>0</v>
      </c>
      <c r="BZ33" s="299">
        <v>0</v>
      </c>
      <c r="CA33" s="299">
        <v>0</v>
      </c>
      <c r="CB33" s="299">
        <v>0</v>
      </c>
      <c r="CC33" s="299">
        <v>0</v>
      </c>
      <c r="CD33" s="299">
        <v>0</v>
      </c>
      <c r="CE33" s="299">
        <v>0</v>
      </c>
      <c r="CF33" s="299">
        <v>0</v>
      </c>
      <c r="CG33" s="299">
        <v>0</v>
      </c>
      <c r="CH33" s="299">
        <v>0</v>
      </c>
      <c r="CI33" s="299">
        <v>0</v>
      </c>
      <c r="CJ33" s="299">
        <v>0</v>
      </c>
      <c r="CK33" s="299">
        <v>0</v>
      </c>
      <c r="CL33" s="299">
        <v>0</v>
      </c>
      <c r="CM33" s="299">
        <v>0</v>
      </c>
      <c r="CN33" s="299">
        <v>0</v>
      </c>
      <c r="CO33" s="299">
        <v>0</v>
      </c>
      <c r="CP33" s="299">
        <v>0</v>
      </c>
      <c r="CQ33" s="299">
        <v>0</v>
      </c>
      <c r="CR33" s="304">
        <v>0</v>
      </c>
      <c r="CS33" s="304">
        <v>0</v>
      </c>
      <c r="CT33" s="304">
        <v>0</v>
      </c>
      <c r="CU33" s="304">
        <v>0</v>
      </c>
      <c r="CV33" s="304">
        <v>0</v>
      </c>
      <c r="CW33" s="304">
        <v>0</v>
      </c>
      <c r="CX33" s="299">
        <v>0</v>
      </c>
      <c r="CY33" s="299">
        <v>0</v>
      </c>
      <c r="CZ33" s="299">
        <v>1</v>
      </c>
      <c r="DA33" s="299">
        <v>2</v>
      </c>
      <c r="DB33" s="304">
        <v>0</v>
      </c>
      <c r="DC33" s="304">
        <v>0</v>
      </c>
      <c r="DD33" s="304">
        <v>0</v>
      </c>
      <c r="DE33" s="304">
        <v>0</v>
      </c>
      <c r="DF33" s="304">
        <v>0</v>
      </c>
      <c r="DG33" s="304">
        <v>0</v>
      </c>
      <c r="DH33" s="304">
        <v>1</v>
      </c>
      <c r="DI33" s="299">
        <v>1</v>
      </c>
      <c r="DJ33" s="301" t="s">
        <v>42</v>
      </c>
      <c r="DK33" s="299">
        <v>0</v>
      </c>
      <c r="DL33" s="299">
        <v>0</v>
      </c>
      <c r="DM33" s="304">
        <v>0</v>
      </c>
      <c r="DN33" s="304">
        <v>0</v>
      </c>
      <c r="DO33" s="304">
        <v>0</v>
      </c>
      <c r="DP33" s="304">
        <v>0</v>
      </c>
      <c r="DQ33" s="304">
        <v>0</v>
      </c>
      <c r="DR33" s="299">
        <v>0</v>
      </c>
      <c r="DS33" s="299">
        <v>0</v>
      </c>
      <c r="DT33" s="299">
        <v>0</v>
      </c>
      <c r="DU33" s="299">
        <v>0</v>
      </c>
      <c r="DV33" s="299">
        <v>0</v>
      </c>
      <c r="DW33" s="299">
        <v>0</v>
      </c>
      <c r="DX33" s="299">
        <v>0</v>
      </c>
      <c r="DY33" s="299">
        <v>0</v>
      </c>
      <c r="DZ33" s="299">
        <v>0</v>
      </c>
      <c r="EA33" s="299">
        <v>0</v>
      </c>
      <c r="EB33" s="299">
        <v>0</v>
      </c>
      <c r="EC33" s="299">
        <v>1</v>
      </c>
      <c r="ED33" s="299">
        <v>0</v>
      </c>
      <c r="EE33" s="299">
        <v>2</v>
      </c>
      <c r="EF33" s="299">
        <v>3</v>
      </c>
      <c r="EG33" s="299">
        <v>9</v>
      </c>
      <c r="EH33" s="299">
        <v>9</v>
      </c>
      <c r="EI33" s="299">
        <v>8</v>
      </c>
      <c r="EJ33" s="299">
        <v>3</v>
      </c>
      <c r="EK33" s="299">
        <v>3</v>
      </c>
      <c r="EL33" s="299">
        <v>3</v>
      </c>
      <c r="EM33" s="299">
        <v>3</v>
      </c>
      <c r="EN33" s="299">
        <v>3</v>
      </c>
      <c r="EO33" s="299">
        <v>3</v>
      </c>
      <c r="EP33" s="299">
        <v>3</v>
      </c>
      <c r="EQ33" s="299">
        <v>0</v>
      </c>
      <c r="ER33" s="299">
        <v>0</v>
      </c>
      <c r="ES33" s="299">
        <v>0</v>
      </c>
      <c r="ET33" s="299">
        <v>14</v>
      </c>
      <c r="EU33" s="299">
        <v>9</v>
      </c>
      <c r="EV33" s="299">
        <v>9</v>
      </c>
      <c r="EW33" s="299">
        <v>0</v>
      </c>
      <c r="EX33" s="299">
        <v>0</v>
      </c>
      <c r="EY33" s="299">
        <v>0</v>
      </c>
      <c r="EZ33" s="299">
        <v>0</v>
      </c>
      <c r="FA33" s="299">
        <v>0</v>
      </c>
      <c r="FB33" s="299">
        <v>0</v>
      </c>
      <c r="FC33" s="299">
        <v>0</v>
      </c>
      <c r="FD33" s="299">
        <v>0</v>
      </c>
      <c r="FE33" s="299">
        <v>0</v>
      </c>
      <c r="FF33" s="299">
        <v>0</v>
      </c>
      <c r="FG33" s="299">
        <v>0</v>
      </c>
      <c r="FH33" s="299">
        <v>0</v>
      </c>
      <c r="FI33" s="299">
        <v>0</v>
      </c>
      <c r="FJ33" s="299">
        <v>0</v>
      </c>
      <c r="FK33" s="299">
        <v>0</v>
      </c>
      <c r="FL33" s="299">
        <v>0</v>
      </c>
      <c r="FM33" s="299">
        <v>0</v>
      </c>
      <c r="FN33" s="299">
        <v>0</v>
      </c>
      <c r="FO33" s="299">
        <v>0</v>
      </c>
      <c r="FP33" s="299">
        <v>1</v>
      </c>
      <c r="FQ33" s="299">
        <v>0</v>
      </c>
      <c r="FR33" s="299">
        <v>0</v>
      </c>
      <c r="FS33" s="299">
        <v>0</v>
      </c>
      <c r="FT33" s="299">
        <v>0</v>
      </c>
      <c r="FU33" s="299">
        <v>0</v>
      </c>
      <c r="FV33" s="299">
        <v>0</v>
      </c>
      <c r="FW33" s="299">
        <v>0</v>
      </c>
      <c r="FX33" s="299">
        <v>0</v>
      </c>
      <c r="FY33" s="299">
        <v>0</v>
      </c>
      <c r="FZ33" s="299">
        <v>0</v>
      </c>
      <c r="GA33" s="299">
        <v>2</v>
      </c>
      <c r="GB33" s="299">
        <v>0</v>
      </c>
      <c r="GC33" s="299">
        <v>0</v>
      </c>
      <c r="GD33" s="299">
        <v>0</v>
      </c>
      <c r="GE33" s="299">
        <v>0</v>
      </c>
      <c r="GF33" s="299">
        <v>0</v>
      </c>
      <c r="GG33" s="299">
        <v>0</v>
      </c>
      <c r="GH33" s="299">
        <v>0</v>
      </c>
      <c r="GI33" s="299">
        <v>0</v>
      </c>
      <c r="GJ33" s="299">
        <v>0</v>
      </c>
      <c r="GK33" s="299">
        <v>0</v>
      </c>
      <c r="GL33" s="299">
        <v>0</v>
      </c>
      <c r="GM33" s="299">
        <v>0</v>
      </c>
      <c r="GN33" s="299">
        <v>0</v>
      </c>
      <c r="GO33" s="299">
        <v>0</v>
      </c>
      <c r="GP33" s="299">
        <v>0</v>
      </c>
      <c r="GQ33" s="299">
        <v>0</v>
      </c>
      <c r="GR33" s="299">
        <v>0</v>
      </c>
      <c r="GS33" s="299">
        <v>0</v>
      </c>
      <c r="GT33" s="299">
        <v>0</v>
      </c>
      <c r="GU33" s="299">
        <v>0</v>
      </c>
      <c r="GV33" s="299">
        <v>0</v>
      </c>
      <c r="GW33" s="299">
        <v>0</v>
      </c>
      <c r="GX33" s="299">
        <v>0</v>
      </c>
      <c r="GY33" s="299">
        <v>0</v>
      </c>
      <c r="GZ33" s="299">
        <v>0</v>
      </c>
      <c r="HA33" s="299">
        <v>0</v>
      </c>
      <c r="HB33" s="299">
        <v>0</v>
      </c>
      <c r="HC33" s="299">
        <v>0</v>
      </c>
      <c r="HD33" s="299">
        <v>0</v>
      </c>
      <c r="HE33" s="299">
        <v>1</v>
      </c>
      <c r="HF33" s="299">
        <v>1</v>
      </c>
      <c r="HG33" s="299">
        <v>1</v>
      </c>
      <c r="HH33" s="299">
        <v>0</v>
      </c>
      <c r="HI33" s="299">
        <v>0</v>
      </c>
      <c r="HJ33" s="299">
        <v>0</v>
      </c>
      <c r="HK33" s="299">
        <v>0</v>
      </c>
      <c r="HL33" s="299">
        <v>0</v>
      </c>
      <c r="HM33" s="299">
        <v>0</v>
      </c>
      <c r="HN33" s="299">
        <v>0</v>
      </c>
      <c r="HO33" s="299">
        <v>0</v>
      </c>
      <c r="HP33" s="299">
        <v>0</v>
      </c>
      <c r="HQ33" s="299"/>
      <c r="HR33" s="299">
        <v>68</v>
      </c>
      <c r="HS33" s="299">
        <v>61</v>
      </c>
      <c r="HT33" s="299">
        <v>58</v>
      </c>
      <c r="HU33" s="299">
        <v>58</v>
      </c>
      <c r="HV33" s="299">
        <v>57</v>
      </c>
      <c r="HW33" s="299">
        <v>94</v>
      </c>
      <c r="HX33" s="299">
        <v>90</v>
      </c>
      <c r="HY33" s="299">
        <v>78</v>
      </c>
      <c r="HZ33" s="299">
        <v>116</v>
      </c>
      <c r="IA33" s="299">
        <v>169</v>
      </c>
      <c r="IB33" s="299">
        <v>181</v>
      </c>
      <c r="IC33" s="299">
        <v>0</v>
      </c>
      <c r="ID33" s="299">
        <v>0</v>
      </c>
      <c r="IE33" s="304">
        <v>0</v>
      </c>
      <c r="IF33" s="304">
        <v>0</v>
      </c>
      <c r="IG33" s="304">
        <v>0</v>
      </c>
      <c r="IH33" s="304">
        <v>0</v>
      </c>
      <c r="II33" s="304">
        <v>0</v>
      </c>
      <c r="IJ33" s="299">
        <v>0</v>
      </c>
      <c r="IK33" s="299">
        <v>0</v>
      </c>
      <c r="IL33" s="299">
        <v>0</v>
      </c>
      <c r="IM33" s="299">
        <v>0</v>
      </c>
      <c r="IN33" s="299">
        <v>0</v>
      </c>
      <c r="IO33" s="299">
        <v>0</v>
      </c>
      <c r="IP33" s="304">
        <v>0</v>
      </c>
      <c r="IQ33" s="304">
        <v>0</v>
      </c>
      <c r="IR33" s="304">
        <v>0</v>
      </c>
      <c r="IS33" s="304">
        <v>0</v>
      </c>
      <c r="IT33" s="304">
        <v>0</v>
      </c>
      <c r="IU33" s="299">
        <v>0</v>
      </c>
      <c r="IV33" s="299">
        <v>0</v>
      </c>
      <c r="IW33" s="299">
        <v>0</v>
      </c>
      <c r="IX33" s="299">
        <v>0</v>
      </c>
      <c r="IY33" s="299">
        <v>1</v>
      </c>
      <c r="IZ33" s="299">
        <v>1</v>
      </c>
      <c r="JA33" s="299">
        <v>0</v>
      </c>
      <c r="JB33" s="299">
        <v>3</v>
      </c>
      <c r="JC33" s="299">
        <v>2</v>
      </c>
      <c r="JD33" s="299">
        <v>1</v>
      </c>
      <c r="JE33" s="299">
        <v>1</v>
      </c>
      <c r="JF33" s="299">
        <v>1</v>
      </c>
      <c r="JG33" s="299">
        <v>5</v>
      </c>
      <c r="JH33" s="299">
        <v>13</v>
      </c>
      <c r="JI33" s="299">
        <v>21</v>
      </c>
      <c r="JJ33" s="299">
        <v>100</v>
      </c>
      <c r="JK33" s="299">
        <v>78</v>
      </c>
      <c r="JL33" s="299">
        <v>80</v>
      </c>
      <c r="JM33" s="299">
        <v>74</v>
      </c>
      <c r="JN33" s="299">
        <v>72</v>
      </c>
      <c r="JO33" s="299">
        <v>108</v>
      </c>
      <c r="JP33" s="299">
        <v>103</v>
      </c>
      <c r="JQ33" s="299">
        <v>91</v>
      </c>
      <c r="JR33" s="299">
        <v>130</v>
      </c>
      <c r="JS33" s="299">
        <v>203</v>
      </c>
      <c r="JT33" s="299">
        <v>232</v>
      </c>
      <c r="JU33" s="299">
        <v>575</v>
      </c>
      <c r="JV33" s="299">
        <v>496</v>
      </c>
      <c r="JW33" s="299">
        <v>528</v>
      </c>
      <c r="JX33" s="299">
        <v>331</v>
      </c>
      <c r="JY33" s="299">
        <v>327</v>
      </c>
      <c r="JZ33" s="302">
        <v>353</v>
      </c>
      <c r="KA33" s="302">
        <v>461</v>
      </c>
      <c r="KB33" s="299">
        <v>442</v>
      </c>
      <c r="KC33" s="303">
        <v>323</v>
      </c>
      <c r="KD33" s="303">
        <v>475</v>
      </c>
      <c r="KE33" s="472">
        <v>520</v>
      </c>
    </row>
    <row r="34" spans="1:291" s="155" customFormat="1" x14ac:dyDescent="0.2">
      <c r="A34" s="395">
        <v>31</v>
      </c>
      <c r="B34" s="154" t="s">
        <v>231</v>
      </c>
      <c r="C34" s="299">
        <v>4066</v>
      </c>
      <c r="D34" s="299">
        <v>3438</v>
      </c>
      <c r="E34" s="299">
        <v>3048</v>
      </c>
      <c r="F34" s="299">
        <v>3075</v>
      </c>
      <c r="G34" s="299">
        <v>4793</v>
      </c>
      <c r="H34" s="299">
        <v>8292</v>
      </c>
      <c r="I34" s="299">
        <v>11702</v>
      </c>
      <c r="J34" s="299">
        <v>1907</v>
      </c>
      <c r="K34" s="299">
        <v>1702</v>
      </c>
      <c r="L34" s="299">
        <v>3008</v>
      </c>
      <c r="M34" s="299">
        <v>3114</v>
      </c>
      <c r="N34" s="299">
        <v>0</v>
      </c>
      <c r="O34" s="299">
        <v>0</v>
      </c>
      <c r="P34" s="299">
        <v>86</v>
      </c>
      <c r="Q34" s="299">
        <v>164</v>
      </c>
      <c r="R34" s="299">
        <v>45</v>
      </c>
      <c r="S34" s="299">
        <v>27</v>
      </c>
      <c r="T34" s="299">
        <v>143</v>
      </c>
      <c r="U34" s="299">
        <v>151</v>
      </c>
      <c r="V34" s="299">
        <v>168</v>
      </c>
      <c r="W34" s="299">
        <v>133</v>
      </c>
      <c r="X34" s="299">
        <v>97</v>
      </c>
      <c r="Y34" s="299">
        <v>92</v>
      </c>
      <c r="Z34" s="299">
        <v>115</v>
      </c>
      <c r="AA34" s="299">
        <v>37</v>
      </c>
      <c r="AB34" s="299">
        <v>35</v>
      </c>
      <c r="AC34" s="299">
        <v>36</v>
      </c>
      <c r="AD34" s="299">
        <v>34</v>
      </c>
      <c r="AE34" s="299">
        <v>34</v>
      </c>
      <c r="AF34" s="299">
        <v>13</v>
      </c>
      <c r="AG34" s="299">
        <v>3</v>
      </c>
      <c r="AH34" s="299">
        <v>1</v>
      </c>
      <c r="AI34" s="299">
        <v>1</v>
      </c>
      <c r="AJ34" s="299">
        <v>1</v>
      </c>
      <c r="AK34" s="299">
        <v>1</v>
      </c>
      <c r="AL34" s="299">
        <v>112</v>
      </c>
      <c r="AM34" s="299">
        <v>71</v>
      </c>
      <c r="AN34" s="304">
        <v>61</v>
      </c>
      <c r="AO34" s="304">
        <v>97</v>
      </c>
      <c r="AP34" s="304">
        <v>94</v>
      </c>
      <c r="AQ34" s="304">
        <v>85</v>
      </c>
      <c r="AR34" s="304">
        <v>90</v>
      </c>
      <c r="AS34" s="299">
        <v>95</v>
      </c>
      <c r="AT34" s="299">
        <v>37</v>
      </c>
      <c r="AU34" s="299">
        <v>35</v>
      </c>
      <c r="AV34" s="299">
        <v>30</v>
      </c>
      <c r="AW34" s="299">
        <v>162</v>
      </c>
      <c r="AX34" s="299">
        <v>79</v>
      </c>
      <c r="AY34" s="304">
        <v>112</v>
      </c>
      <c r="AZ34" s="304">
        <v>121</v>
      </c>
      <c r="BA34" s="304">
        <v>90</v>
      </c>
      <c r="BB34" s="304">
        <v>55</v>
      </c>
      <c r="BC34" s="304">
        <v>43</v>
      </c>
      <c r="BD34" s="299">
        <v>31</v>
      </c>
      <c r="BE34" s="299">
        <v>17</v>
      </c>
      <c r="BF34" s="299">
        <v>14</v>
      </c>
      <c r="BG34" s="299">
        <v>24</v>
      </c>
      <c r="BH34" s="299">
        <v>189</v>
      </c>
      <c r="BI34" s="299">
        <v>157</v>
      </c>
      <c r="BJ34" s="304">
        <v>121</v>
      </c>
      <c r="BK34" s="304">
        <v>92</v>
      </c>
      <c r="BL34" s="304">
        <v>113</v>
      </c>
      <c r="BM34" s="304">
        <v>117</v>
      </c>
      <c r="BN34" s="304">
        <v>133</v>
      </c>
      <c r="BO34" s="299">
        <v>130</v>
      </c>
      <c r="BP34" s="299">
        <v>170</v>
      </c>
      <c r="BQ34" s="299">
        <v>223</v>
      </c>
      <c r="BR34" s="299">
        <v>243</v>
      </c>
      <c r="BS34" s="299">
        <v>208</v>
      </c>
      <c r="BT34" s="299">
        <v>199</v>
      </c>
      <c r="BU34" s="304">
        <v>165</v>
      </c>
      <c r="BV34" s="304">
        <v>206</v>
      </c>
      <c r="BW34" s="304">
        <v>160</v>
      </c>
      <c r="BX34" s="304">
        <v>143</v>
      </c>
      <c r="BY34" s="304">
        <v>129</v>
      </c>
      <c r="BZ34" s="299">
        <v>164</v>
      </c>
      <c r="CA34" s="299">
        <v>89</v>
      </c>
      <c r="CB34" s="299">
        <v>96</v>
      </c>
      <c r="CC34" s="299">
        <v>103</v>
      </c>
      <c r="CD34" s="299">
        <v>0</v>
      </c>
      <c r="CE34" s="299">
        <v>0</v>
      </c>
      <c r="CF34" s="299">
        <v>0</v>
      </c>
      <c r="CG34" s="299">
        <v>0</v>
      </c>
      <c r="CH34" s="299">
        <v>0</v>
      </c>
      <c r="CI34" s="299">
        <v>0</v>
      </c>
      <c r="CJ34" s="299">
        <v>0</v>
      </c>
      <c r="CK34" s="299">
        <v>0</v>
      </c>
      <c r="CL34" s="299">
        <v>0</v>
      </c>
      <c r="CM34" s="299">
        <v>0</v>
      </c>
      <c r="CN34" s="299">
        <v>0</v>
      </c>
      <c r="CO34" s="299">
        <v>0</v>
      </c>
      <c r="CP34" s="299">
        <v>0</v>
      </c>
      <c r="CQ34" s="299">
        <v>70</v>
      </c>
      <c r="CR34" s="304">
        <v>96</v>
      </c>
      <c r="CS34" s="304">
        <v>135</v>
      </c>
      <c r="CT34" s="304">
        <v>183</v>
      </c>
      <c r="CU34" s="304">
        <v>226</v>
      </c>
      <c r="CV34" s="304">
        <v>273</v>
      </c>
      <c r="CW34" s="304">
        <v>302</v>
      </c>
      <c r="CX34" s="299">
        <v>331</v>
      </c>
      <c r="CY34" s="299">
        <v>362</v>
      </c>
      <c r="CZ34" s="299">
        <v>396</v>
      </c>
      <c r="DA34" s="299">
        <v>382</v>
      </c>
      <c r="DB34" s="304">
        <v>90</v>
      </c>
      <c r="DC34" s="304">
        <v>90</v>
      </c>
      <c r="DD34" s="304">
        <v>67</v>
      </c>
      <c r="DE34" s="304">
        <v>-3</v>
      </c>
      <c r="DF34" s="304">
        <v>0</v>
      </c>
      <c r="DG34" s="304">
        <v>-7</v>
      </c>
      <c r="DH34" s="304">
        <v>54</v>
      </c>
      <c r="DI34" s="299">
        <v>65</v>
      </c>
      <c r="DJ34" s="301" t="s">
        <v>42</v>
      </c>
      <c r="DK34" s="299">
        <v>52</v>
      </c>
      <c r="DL34" s="299">
        <v>52</v>
      </c>
      <c r="DM34" s="304">
        <v>52</v>
      </c>
      <c r="DN34" s="304">
        <v>52</v>
      </c>
      <c r="DO34" s="304">
        <v>52</v>
      </c>
      <c r="DP34" s="304">
        <v>52</v>
      </c>
      <c r="DQ34" s="304">
        <v>52</v>
      </c>
      <c r="DR34" s="299">
        <v>52</v>
      </c>
      <c r="DS34" s="299">
        <v>52</v>
      </c>
      <c r="DT34" s="299">
        <v>52</v>
      </c>
      <c r="DU34" s="299">
        <v>52</v>
      </c>
      <c r="DV34" s="299">
        <v>0</v>
      </c>
      <c r="DW34" s="299">
        <v>0</v>
      </c>
      <c r="DX34" s="299">
        <v>475</v>
      </c>
      <c r="DY34" s="299">
        <v>607</v>
      </c>
      <c r="DZ34" s="304">
        <v>450</v>
      </c>
      <c r="EA34" s="304">
        <v>625</v>
      </c>
      <c r="EB34" s="304">
        <v>721</v>
      </c>
      <c r="EC34" s="304">
        <v>423</v>
      </c>
      <c r="ED34" s="304">
        <v>439</v>
      </c>
      <c r="EE34" s="299">
        <v>468</v>
      </c>
      <c r="EF34" s="299">
        <v>574</v>
      </c>
      <c r="EG34" s="299">
        <v>667</v>
      </c>
      <c r="EH34" s="299">
        <v>729</v>
      </c>
      <c r="EI34" s="299">
        <v>764</v>
      </c>
      <c r="EJ34" s="299">
        <v>555</v>
      </c>
      <c r="EK34" s="304">
        <v>667</v>
      </c>
      <c r="EL34" s="304">
        <v>780</v>
      </c>
      <c r="EM34" s="304">
        <v>893</v>
      </c>
      <c r="EN34" s="304">
        <v>1024</v>
      </c>
      <c r="EO34" s="304">
        <v>1023</v>
      </c>
      <c r="EP34" s="299">
        <v>971</v>
      </c>
      <c r="EQ34" s="299">
        <v>872</v>
      </c>
      <c r="ER34" s="299">
        <v>938</v>
      </c>
      <c r="ES34" s="299">
        <v>848</v>
      </c>
      <c r="ET34" s="299">
        <v>9</v>
      </c>
      <c r="EU34" s="299">
        <v>5</v>
      </c>
      <c r="EV34" s="304">
        <v>8</v>
      </c>
      <c r="EW34" s="304">
        <v>2</v>
      </c>
      <c r="EX34" s="304">
        <v>3</v>
      </c>
      <c r="EY34" s="304">
        <v>0</v>
      </c>
      <c r="EZ34" s="304">
        <v>1</v>
      </c>
      <c r="FA34" s="299">
        <v>2</v>
      </c>
      <c r="FB34" s="299">
        <v>1</v>
      </c>
      <c r="FC34" s="299">
        <v>1</v>
      </c>
      <c r="FD34" s="299">
        <v>35</v>
      </c>
      <c r="FE34" s="299">
        <v>449</v>
      </c>
      <c r="FF34" s="299">
        <v>746</v>
      </c>
      <c r="FG34" s="304">
        <v>720</v>
      </c>
      <c r="FH34" s="304">
        <v>772</v>
      </c>
      <c r="FI34" s="304">
        <v>1030</v>
      </c>
      <c r="FJ34" s="304">
        <v>1034</v>
      </c>
      <c r="FK34" s="304">
        <v>932</v>
      </c>
      <c r="FL34" s="299">
        <v>815</v>
      </c>
      <c r="FM34" s="299">
        <v>701</v>
      </c>
      <c r="FN34" s="299">
        <v>444</v>
      </c>
      <c r="FO34" s="299">
        <v>428</v>
      </c>
      <c r="FP34" s="299">
        <v>448</v>
      </c>
      <c r="FQ34" s="304">
        <v>311</v>
      </c>
      <c r="FR34" s="304">
        <v>416</v>
      </c>
      <c r="FS34" s="304">
        <v>440</v>
      </c>
      <c r="FT34" s="304">
        <v>303</v>
      </c>
      <c r="FU34" s="304">
        <v>249</v>
      </c>
      <c r="FV34" s="304">
        <v>349</v>
      </c>
      <c r="FW34" s="299">
        <v>468</v>
      </c>
      <c r="FX34" s="299">
        <v>542</v>
      </c>
      <c r="FY34" s="299">
        <v>726</v>
      </c>
      <c r="FZ34" s="299">
        <v>886</v>
      </c>
      <c r="GA34" s="299">
        <v>166</v>
      </c>
      <c r="GB34" s="299">
        <v>57</v>
      </c>
      <c r="GC34" s="304">
        <v>31</v>
      </c>
      <c r="GD34" s="304">
        <v>30</v>
      </c>
      <c r="GE34" s="304">
        <v>30</v>
      </c>
      <c r="GF34" s="304">
        <v>30</v>
      </c>
      <c r="GG34" s="304">
        <v>29</v>
      </c>
      <c r="GH34" s="299">
        <v>42</v>
      </c>
      <c r="GI34" s="299">
        <v>57</v>
      </c>
      <c r="GJ34" s="299">
        <v>83</v>
      </c>
      <c r="GK34" s="299">
        <v>105</v>
      </c>
      <c r="GL34" s="299">
        <v>108</v>
      </c>
      <c r="GM34" s="304">
        <v>213</v>
      </c>
      <c r="GN34" s="304">
        <v>318</v>
      </c>
      <c r="GO34" s="304">
        <v>428</v>
      </c>
      <c r="GP34" s="304">
        <v>411</v>
      </c>
      <c r="GQ34" s="304">
        <v>437</v>
      </c>
      <c r="GR34" s="304">
        <v>446</v>
      </c>
      <c r="GS34" s="299">
        <v>473</v>
      </c>
      <c r="GT34" s="299">
        <v>469</v>
      </c>
      <c r="GU34" s="299">
        <v>480</v>
      </c>
      <c r="GV34" s="299">
        <v>484</v>
      </c>
      <c r="GW34" s="299">
        <v>118</v>
      </c>
      <c r="GX34" s="299">
        <v>152</v>
      </c>
      <c r="GY34" s="304">
        <v>207</v>
      </c>
      <c r="GZ34" s="304">
        <v>84</v>
      </c>
      <c r="HA34" s="304">
        <v>73</v>
      </c>
      <c r="HB34" s="304">
        <v>71</v>
      </c>
      <c r="HC34" s="304">
        <v>50</v>
      </c>
      <c r="HD34" s="299">
        <v>48</v>
      </c>
      <c r="HE34" s="299">
        <v>68</v>
      </c>
      <c r="HF34" s="299">
        <v>71</v>
      </c>
      <c r="HG34" s="299">
        <v>11</v>
      </c>
      <c r="HH34" s="299">
        <v>81</v>
      </c>
      <c r="HI34" s="299">
        <v>84</v>
      </c>
      <c r="HJ34" s="299">
        <v>86</v>
      </c>
      <c r="HK34" s="299">
        <v>0</v>
      </c>
      <c r="HL34" s="299">
        <v>87</v>
      </c>
      <c r="HM34" s="299">
        <v>86</v>
      </c>
      <c r="HN34" s="299">
        <v>83</v>
      </c>
      <c r="HO34" s="299">
        <v>81</v>
      </c>
      <c r="HP34" s="299">
        <v>81</v>
      </c>
      <c r="HQ34" s="299"/>
      <c r="HR34" s="299">
        <v>156</v>
      </c>
      <c r="HS34" s="299">
        <v>162</v>
      </c>
      <c r="HT34" s="304">
        <v>167</v>
      </c>
      <c r="HU34" s="304">
        <v>194</v>
      </c>
      <c r="HV34" s="304">
        <v>181</v>
      </c>
      <c r="HW34" s="304">
        <v>214</v>
      </c>
      <c r="HX34" s="304">
        <v>195</v>
      </c>
      <c r="HY34" s="299">
        <v>167</v>
      </c>
      <c r="HZ34" s="299">
        <v>216</v>
      </c>
      <c r="IA34" s="299">
        <v>250</v>
      </c>
      <c r="IB34" s="299">
        <v>236</v>
      </c>
      <c r="IC34" s="299">
        <v>1</v>
      </c>
      <c r="ID34" s="299">
        <v>1</v>
      </c>
      <c r="IE34" s="304">
        <v>1</v>
      </c>
      <c r="IF34" s="304">
        <v>1</v>
      </c>
      <c r="IG34" s="304">
        <v>1</v>
      </c>
      <c r="IH34" s="304">
        <v>1</v>
      </c>
      <c r="II34" s="304">
        <v>1</v>
      </c>
      <c r="IJ34" s="299">
        <v>1</v>
      </c>
      <c r="IK34" s="299">
        <v>1</v>
      </c>
      <c r="IL34" s="299">
        <v>1</v>
      </c>
      <c r="IM34" s="299">
        <v>0</v>
      </c>
      <c r="IN34" s="299">
        <v>49</v>
      </c>
      <c r="IO34" s="299">
        <v>58</v>
      </c>
      <c r="IP34" s="304">
        <v>57</v>
      </c>
      <c r="IQ34" s="304">
        <v>27</v>
      </c>
      <c r="IR34" s="304">
        <v>13</v>
      </c>
      <c r="IS34" s="304">
        <v>0</v>
      </c>
      <c r="IT34" s="304">
        <v>0</v>
      </c>
      <c r="IU34" s="299">
        <v>0</v>
      </c>
      <c r="IV34" s="299">
        <v>0</v>
      </c>
      <c r="IW34" s="299">
        <v>0</v>
      </c>
      <c r="IX34" s="299">
        <v>2</v>
      </c>
      <c r="IY34" s="299">
        <v>69</v>
      </c>
      <c r="IZ34" s="299">
        <v>48</v>
      </c>
      <c r="JA34" s="299">
        <v>49</v>
      </c>
      <c r="JB34" s="299">
        <v>47</v>
      </c>
      <c r="JC34" s="299">
        <v>71</v>
      </c>
      <c r="JD34" s="299">
        <v>78</v>
      </c>
      <c r="JE34" s="299">
        <v>160</v>
      </c>
      <c r="JF34" s="299">
        <v>143</v>
      </c>
      <c r="JG34" s="299">
        <v>156</v>
      </c>
      <c r="JH34" s="299">
        <v>181</v>
      </c>
      <c r="JI34" s="299">
        <v>240</v>
      </c>
      <c r="JJ34" s="299">
        <v>3899</v>
      </c>
      <c r="JK34" s="299">
        <v>3942</v>
      </c>
      <c r="JL34" s="299">
        <v>3971</v>
      </c>
      <c r="JM34" s="299">
        <v>4239</v>
      </c>
      <c r="JN34" s="299">
        <v>4729</v>
      </c>
      <c r="JO34" s="299">
        <v>4529</v>
      </c>
      <c r="JP34" s="299">
        <v>4682</v>
      </c>
      <c r="JQ34" s="299">
        <v>4681</v>
      </c>
      <c r="JR34" s="299">
        <v>4563</v>
      </c>
      <c r="JS34" s="299">
        <v>4751</v>
      </c>
      <c r="JT34" s="299">
        <v>4954</v>
      </c>
      <c r="JU34" s="299">
        <v>7965</v>
      </c>
      <c r="JV34" s="299">
        <v>7380</v>
      </c>
      <c r="JW34" s="299">
        <v>7019</v>
      </c>
      <c r="JX34" s="299">
        <v>7314</v>
      </c>
      <c r="JY34" s="299">
        <v>9522</v>
      </c>
      <c r="JZ34" s="302">
        <v>12821</v>
      </c>
      <c r="KA34" s="302">
        <v>16384</v>
      </c>
      <c r="KB34" s="299">
        <v>6588</v>
      </c>
      <c r="KC34" s="303">
        <v>6265</v>
      </c>
      <c r="KD34" s="303">
        <v>7759</v>
      </c>
      <c r="KE34" s="472">
        <v>8068</v>
      </c>
    </row>
    <row r="35" spans="1:291" s="155" customFormat="1" x14ac:dyDescent="0.2">
      <c r="A35" s="395">
        <v>32</v>
      </c>
      <c r="B35" s="156" t="s">
        <v>282</v>
      </c>
      <c r="C35" s="299">
        <v>156</v>
      </c>
      <c r="D35" s="299">
        <v>114</v>
      </c>
      <c r="E35" s="299">
        <v>245</v>
      </c>
      <c r="F35" s="299">
        <v>245</v>
      </c>
      <c r="G35" s="299">
        <v>511</v>
      </c>
      <c r="H35" s="299">
        <v>674</v>
      </c>
      <c r="I35" s="299">
        <v>834</v>
      </c>
      <c r="J35" s="299">
        <v>674</v>
      </c>
      <c r="K35" s="299">
        <v>374</v>
      </c>
      <c r="L35" s="299">
        <v>747</v>
      </c>
      <c r="M35" s="299">
        <v>747</v>
      </c>
      <c r="N35" s="299">
        <v>0</v>
      </c>
      <c r="O35" s="299">
        <v>0</v>
      </c>
      <c r="P35" s="299">
        <v>42</v>
      </c>
      <c r="Q35" s="299">
        <v>54</v>
      </c>
      <c r="R35" s="299">
        <v>48</v>
      </c>
      <c r="S35" s="299">
        <v>48</v>
      </c>
      <c r="T35" s="299">
        <v>45</v>
      </c>
      <c r="U35" s="299">
        <v>45</v>
      </c>
      <c r="V35" s="299">
        <v>46</v>
      </c>
      <c r="W35" s="299">
        <v>40</v>
      </c>
      <c r="X35" s="299">
        <v>28</v>
      </c>
      <c r="Y35" s="299">
        <v>24</v>
      </c>
      <c r="Z35" s="299">
        <v>22</v>
      </c>
      <c r="AA35" s="299">
        <v>0</v>
      </c>
      <c r="AB35" s="299">
        <v>0</v>
      </c>
      <c r="AC35" s="299">
        <v>0</v>
      </c>
      <c r="AD35" s="299">
        <v>0</v>
      </c>
      <c r="AE35" s="299">
        <v>0</v>
      </c>
      <c r="AF35" s="299">
        <v>0</v>
      </c>
      <c r="AG35" s="299">
        <v>0</v>
      </c>
      <c r="AH35" s="299">
        <v>0</v>
      </c>
      <c r="AI35" s="299">
        <v>0</v>
      </c>
      <c r="AJ35" s="299">
        <v>0</v>
      </c>
      <c r="AK35" s="299">
        <v>0</v>
      </c>
      <c r="AL35" s="299">
        <v>0</v>
      </c>
      <c r="AM35" s="299">
        <v>1</v>
      </c>
      <c r="AN35" s="299">
        <v>1</v>
      </c>
      <c r="AO35" s="299">
        <v>0</v>
      </c>
      <c r="AP35" s="299">
        <v>0</v>
      </c>
      <c r="AQ35" s="299">
        <v>0</v>
      </c>
      <c r="AR35" s="299">
        <v>0</v>
      </c>
      <c r="AS35" s="299">
        <v>0</v>
      </c>
      <c r="AT35" s="299">
        <v>1</v>
      </c>
      <c r="AU35" s="299">
        <v>1</v>
      </c>
      <c r="AV35" s="299">
        <v>1</v>
      </c>
      <c r="AW35" s="299">
        <v>2</v>
      </c>
      <c r="AX35" s="299">
        <v>0</v>
      </c>
      <c r="AY35" s="299">
        <v>0</v>
      </c>
      <c r="AZ35" s="299">
        <v>0</v>
      </c>
      <c r="BA35" s="299">
        <v>1</v>
      </c>
      <c r="BB35" s="299">
        <v>1</v>
      </c>
      <c r="BC35" s="299">
        <v>0</v>
      </c>
      <c r="BD35" s="299">
        <v>0</v>
      </c>
      <c r="BE35" s="299">
        <v>0</v>
      </c>
      <c r="BF35" s="299">
        <v>0</v>
      </c>
      <c r="BG35" s="299">
        <v>0</v>
      </c>
      <c r="BH35" s="299">
        <v>24</v>
      </c>
      <c r="BI35" s="299">
        <v>17</v>
      </c>
      <c r="BJ35" s="299">
        <v>8</v>
      </c>
      <c r="BK35" s="299">
        <v>19</v>
      </c>
      <c r="BL35" s="299">
        <v>21</v>
      </c>
      <c r="BM35" s="299">
        <v>20</v>
      </c>
      <c r="BN35" s="299">
        <v>28</v>
      </c>
      <c r="BO35" s="299">
        <v>31</v>
      </c>
      <c r="BP35" s="299">
        <v>38</v>
      </c>
      <c r="BQ35" s="299">
        <v>44</v>
      </c>
      <c r="BR35" s="299">
        <v>60</v>
      </c>
      <c r="BS35" s="299">
        <v>0</v>
      </c>
      <c r="BT35" s="299">
        <v>0</v>
      </c>
      <c r="BU35" s="299">
        <v>0</v>
      </c>
      <c r="BV35" s="299">
        <v>0</v>
      </c>
      <c r="BW35" s="299">
        <v>0</v>
      </c>
      <c r="BX35" s="299">
        <v>0</v>
      </c>
      <c r="BY35" s="299">
        <v>0</v>
      </c>
      <c r="BZ35" s="299">
        <v>0</v>
      </c>
      <c r="CA35" s="299">
        <v>20</v>
      </c>
      <c r="CB35" s="299">
        <v>19</v>
      </c>
      <c r="CC35" s="299">
        <v>12</v>
      </c>
      <c r="CD35" s="299">
        <v>0</v>
      </c>
      <c r="CE35" s="299">
        <v>0</v>
      </c>
      <c r="CF35" s="299">
        <v>0</v>
      </c>
      <c r="CG35" s="299">
        <v>0</v>
      </c>
      <c r="CH35" s="299">
        <v>0</v>
      </c>
      <c r="CI35" s="299">
        <v>0</v>
      </c>
      <c r="CJ35" s="299">
        <v>0</v>
      </c>
      <c r="CK35" s="299">
        <v>0</v>
      </c>
      <c r="CL35" s="299">
        <v>0</v>
      </c>
      <c r="CM35" s="299">
        <v>0</v>
      </c>
      <c r="CN35" s="299">
        <v>0</v>
      </c>
      <c r="CO35" s="299">
        <v>0</v>
      </c>
      <c r="CP35" s="299">
        <v>0</v>
      </c>
      <c r="CQ35" s="299">
        <v>16</v>
      </c>
      <c r="CR35" s="299">
        <v>41</v>
      </c>
      <c r="CS35" s="299">
        <v>53</v>
      </c>
      <c r="CT35" s="299">
        <v>89</v>
      </c>
      <c r="CU35" s="299">
        <v>99</v>
      </c>
      <c r="CV35" s="299">
        <v>102</v>
      </c>
      <c r="CW35" s="299">
        <v>109</v>
      </c>
      <c r="CX35" s="299">
        <v>111</v>
      </c>
      <c r="CY35" s="299">
        <v>117</v>
      </c>
      <c r="CZ35" s="299">
        <v>122</v>
      </c>
      <c r="DA35" s="299">
        <v>113</v>
      </c>
      <c r="DB35" s="299">
        <v>0</v>
      </c>
      <c r="DC35" s="299">
        <v>0</v>
      </c>
      <c r="DD35" s="299">
        <v>0</v>
      </c>
      <c r="DE35" s="299">
        <v>1</v>
      </c>
      <c r="DF35" s="299">
        <v>0</v>
      </c>
      <c r="DG35" s="299">
        <v>1</v>
      </c>
      <c r="DH35" s="299">
        <v>0</v>
      </c>
      <c r="DI35" s="299">
        <v>0</v>
      </c>
      <c r="DJ35" s="301" t="s">
        <v>42</v>
      </c>
      <c r="DK35" s="299">
        <v>0</v>
      </c>
      <c r="DL35" s="299">
        <v>0</v>
      </c>
      <c r="DM35" s="299">
        <v>0</v>
      </c>
      <c r="DN35" s="299">
        <v>0</v>
      </c>
      <c r="DO35" s="299">
        <v>0</v>
      </c>
      <c r="DP35" s="299">
        <v>0</v>
      </c>
      <c r="DQ35" s="299">
        <v>0</v>
      </c>
      <c r="DR35" s="299">
        <v>0</v>
      </c>
      <c r="DS35" s="299">
        <v>0</v>
      </c>
      <c r="DT35" s="299">
        <v>0</v>
      </c>
      <c r="DU35" s="299">
        <v>0</v>
      </c>
      <c r="DV35" s="299">
        <v>0</v>
      </c>
      <c r="DW35" s="299">
        <v>0</v>
      </c>
      <c r="DX35" s="299">
        <v>0</v>
      </c>
      <c r="DY35" s="299">
        <v>4</v>
      </c>
      <c r="DZ35" s="299">
        <v>4</v>
      </c>
      <c r="EA35" s="299">
        <v>4</v>
      </c>
      <c r="EB35" s="299">
        <v>4</v>
      </c>
      <c r="EC35" s="299">
        <v>67</v>
      </c>
      <c r="ED35" s="299">
        <v>70</v>
      </c>
      <c r="EE35" s="299">
        <v>80</v>
      </c>
      <c r="EF35" s="299">
        <v>91</v>
      </c>
      <c r="EG35" s="299">
        <v>107</v>
      </c>
      <c r="EH35" s="299">
        <v>147</v>
      </c>
      <c r="EI35" s="299">
        <v>0</v>
      </c>
      <c r="EJ35" s="299">
        <v>0</v>
      </c>
      <c r="EK35" s="299">
        <v>0</v>
      </c>
      <c r="EL35" s="299">
        <v>0</v>
      </c>
      <c r="EM35" s="299">
        <v>0</v>
      </c>
      <c r="EN35" s="299">
        <v>0</v>
      </c>
      <c r="EO35" s="299">
        <v>0</v>
      </c>
      <c r="EP35" s="299">
        <v>0</v>
      </c>
      <c r="EQ35" s="299">
        <v>0</v>
      </c>
      <c r="ER35" s="299">
        <v>0</v>
      </c>
      <c r="ES35" s="299">
        <v>0</v>
      </c>
      <c r="ET35" s="299">
        <v>0</v>
      </c>
      <c r="EU35" s="299">
        <v>0</v>
      </c>
      <c r="EV35" s="299">
        <v>0</v>
      </c>
      <c r="EW35" s="299">
        <v>0</v>
      </c>
      <c r="EX35" s="299">
        <v>2</v>
      </c>
      <c r="EY35" s="299">
        <v>0</v>
      </c>
      <c r="EZ35" s="299">
        <v>7</v>
      </c>
      <c r="FA35" s="299">
        <v>9</v>
      </c>
      <c r="FB35" s="299">
        <v>11</v>
      </c>
      <c r="FC35" s="299">
        <v>10</v>
      </c>
      <c r="FD35" s="299">
        <v>14</v>
      </c>
      <c r="FE35" s="299">
        <v>21</v>
      </c>
      <c r="FF35" s="299">
        <v>40</v>
      </c>
      <c r="FG35" s="299">
        <v>70</v>
      </c>
      <c r="FH35" s="299">
        <v>0</v>
      </c>
      <c r="FI35" s="299">
        <v>0</v>
      </c>
      <c r="FJ35" s="299">
        <v>0</v>
      </c>
      <c r="FK35" s="299">
        <v>0</v>
      </c>
      <c r="FL35" s="299">
        <v>0</v>
      </c>
      <c r="FM35" s="299">
        <v>0</v>
      </c>
      <c r="FN35" s="299">
        <v>0</v>
      </c>
      <c r="FO35" s="299">
        <v>0</v>
      </c>
      <c r="FP35" s="299">
        <v>19</v>
      </c>
      <c r="FQ35" s="299">
        <v>0</v>
      </c>
      <c r="FR35" s="299">
        <v>0</v>
      </c>
      <c r="FS35" s="299">
        <v>0</v>
      </c>
      <c r="FT35" s="299">
        <v>0</v>
      </c>
      <c r="FU35" s="299">
        <v>0</v>
      </c>
      <c r="FV35" s="299">
        <v>0</v>
      </c>
      <c r="FW35" s="299">
        <v>0</v>
      </c>
      <c r="FX35" s="299">
        <v>0</v>
      </c>
      <c r="FY35" s="299">
        <v>0</v>
      </c>
      <c r="FZ35" s="299">
        <v>0</v>
      </c>
      <c r="GA35" s="299">
        <v>17</v>
      </c>
      <c r="GB35" s="299">
        <v>2</v>
      </c>
      <c r="GC35" s="299">
        <v>0</v>
      </c>
      <c r="GD35" s="299">
        <v>0</v>
      </c>
      <c r="GE35" s="299">
        <v>0</v>
      </c>
      <c r="GF35" s="299">
        <v>0</v>
      </c>
      <c r="GG35" s="299">
        <v>0</v>
      </c>
      <c r="GH35" s="299">
        <v>1</v>
      </c>
      <c r="GI35" s="299">
        <v>1</v>
      </c>
      <c r="GJ35" s="299">
        <v>2</v>
      </c>
      <c r="GK35" s="299">
        <v>2</v>
      </c>
      <c r="GL35" s="299">
        <v>0</v>
      </c>
      <c r="GM35" s="299">
        <v>0</v>
      </c>
      <c r="GN35" s="299">
        <v>0</v>
      </c>
      <c r="GO35" s="299">
        <v>0</v>
      </c>
      <c r="GP35" s="299">
        <v>0</v>
      </c>
      <c r="GQ35" s="299">
        <v>0</v>
      </c>
      <c r="GR35" s="299">
        <v>0</v>
      </c>
      <c r="GS35" s="299">
        <v>0</v>
      </c>
      <c r="GT35" s="299">
        <v>0</v>
      </c>
      <c r="GU35" s="299">
        <v>0</v>
      </c>
      <c r="GV35" s="299">
        <v>0</v>
      </c>
      <c r="GW35" s="299">
        <v>5</v>
      </c>
      <c r="GX35" s="299">
        <v>8</v>
      </c>
      <c r="GY35" s="299">
        <v>9</v>
      </c>
      <c r="GZ35" s="299">
        <v>11</v>
      </c>
      <c r="HA35" s="299">
        <v>2</v>
      </c>
      <c r="HB35" s="299">
        <v>8</v>
      </c>
      <c r="HC35" s="299">
        <v>4</v>
      </c>
      <c r="HD35" s="299">
        <v>11</v>
      </c>
      <c r="HE35" s="299">
        <v>12</v>
      </c>
      <c r="HF35" s="299">
        <v>20</v>
      </c>
      <c r="HG35" s="299">
        <v>18</v>
      </c>
      <c r="HH35" s="299">
        <v>0</v>
      </c>
      <c r="HI35" s="299">
        <v>0</v>
      </c>
      <c r="HJ35" s="299">
        <v>0</v>
      </c>
      <c r="HK35" s="299">
        <v>0</v>
      </c>
      <c r="HL35" s="299">
        <v>0</v>
      </c>
      <c r="HM35" s="299">
        <v>0</v>
      </c>
      <c r="HN35" s="299">
        <v>0</v>
      </c>
      <c r="HO35" s="299">
        <v>0</v>
      </c>
      <c r="HP35" s="299">
        <v>0</v>
      </c>
      <c r="HQ35" s="299"/>
      <c r="HR35" s="299">
        <v>1</v>
      </c>
      <c r="HS35" s="299">
        <v>0</v>
      </c>
      <c r="HT35" s="299">
        <v>0</v>
      </c>
      <c r="HU35" s="299">
        <v>0</v>
      </c>
      <c r="HV35" s="299">
        <v>6</v>
      </c>
      <c r="HW35" s="299">
        <v>11</v>
      </c>
      <c r="HX35" s="299">
        <v>12</v>
      </c>
      <c r="HY35" s="299">
        <v>10</v>
      </c>
      <c r="HZ35" s="299">
        <v>12</v>
      </c>
      <c r="IA35" s="299">
        <v>14</v>
      </c>
      <c r="IB35" s="299">
        <v>19</v>
      </c>
      <c r="IC35" s="299">
        <v>0</v>
      </c>
      <c r="ID35" s="299">
        <v>0</v>
      </c>
      <c r="IE35" s="299">
        <v>0</v>
      </c>
      <c r="IF35" s="299">
        <v>0</v>
      </c>
      <c r="IG35" s="299">
        <v>0</v>
      </c>
      <c r="IH35" s="299">
        <v>0</v>
      </c>
      <c r="II35" s="299">
        <v>0</v>
      </c>
      <c r="IJ35" s="299">
        <v>0</v>
      </c>
      <c r="IK35" s="299">
        <v>0</v>
      </c>
      <c r="IL35" s="299">
        <v>0</v>
      </c>
      <c r="IM35" s="299">
        <v>0</v>
      </c>
      <c r="IN35" s="299">
        <v>0</v>
      </c>
      <c r="IO35" s="299">
        <v>0</v>
      </c>
      <c r="IP35" s="299">
        <v>0</v>
      </c>
      <c r="IQ35" s="299">
        <v>0</v>
      </c>
      <c r="IR35" s="299">
        <v>0</v>
      </c>
      <c r="IS35" s="299">
        <v>0</v>
      </c>
      <c r="IT35" s="299">
        <v>0</v>
      </c>
      <c r="IU35" s="299">
        <v>0</v>
      </c>
      <c r="IV35" s="299">
        <v>0</v>
      </c>
      <c r="IW35" s="299">
        <v>0</v>
      </c>
      <c r="IX35" s="299">
        <v>2</v>
      </c>
      <c r="IY35" s="299">
        <v>1</v>
      </c>
      <c r="IZ35" s="299">
        <v>0</v>
      </c>
      <c r="JA35" s="299">
        <v>1</v>
      </c>
      <c r="JB35" s="299">
        <v>0</v>
      </c>
      <c r="JC35" s="299">
        <v>11</v>
      </c>
      <c r="JD35" s="299">
        <v>5</v>
      </c>
      <c r="JE35" s="299">
        <v>4</v>
      </c>
      <c r="JF35" s="299">
        <v>15</v>
      </c>
      <c r="JG35" s="299">
        <v>20</v>
      </c>
      <c r="JH35" s="299">
        <v>32</v>
      </c>
      <c r="JI35" s="299">
        <v>45</v>
      </c>
      <c r="JJ35" s="299">
        <v>148</v>
      </c>
      <c r="JK35" s="299">
        <v>167</v>
      </c>
      <c r="JL35" s="299">
        <v>194</v>
      </c>
      <c r="JM35" s="299">
        <v>172</v>
      </c>
      <c r="JN35" s="299">
        <v>191</v>
      </c>
      <c r="JO35" s="299">
        <v>260</v>
      </c>
      <c r="JP35" s="299">
        <v>280</v>
      </c>
      <c r="JQ35" s="299">
        <v>308</v>
      </c>
      <c r="JR35" s="299">
        <v>351</v>
      </c>
      <c r="JS35" s="299">
        <v>395</v>
      </c>
      <c r="JT35" s="299">
        <v>455</v>
      </c>
      <c r="JU35" s="299">
        <v>304</v>
      </c>
      <c r="JV35" s="299">
        <v>281</v>
      </c>
      <c r="JW35" s="299">
        <v>439</v>
      </c>
      <c r="JX35" s="299">
        <v>417</v>
      </c>
      <c r="JY35" s="299">
        <v>702</v>
      </c>
      <c r="JZ35" s="299">
        <v>934</v>
      </c>
      <c r="KA35" s="299">
        <v>1114</v>
      </c>
      <c r="KB35" s="299">
        <v>982</v>
      </c>
      <c r="KC35" s="303">
        <v>725</v>
      </c>
      <c r="KD35" s="303">
        <v>1142</v>
      </c>
      <c r="KE35" s="472">
        <v>1202</v>
      </c>
    </row>
    <row r="36" spans="1:291" s="155" customFormat="1" x14ac:dyDescent="0.2">
      <c r="A36" s="395">
        <v>33</v>
      </c>
      <c r="B36" s="154" t="s">
        <v>283</v>
      </c>
      <c r="C36" s="299">
        <v>34967</v>
      </c>
      <c r="D36" s="299">
        <v>32182</v>
      </c>
      <c r="E36" s="299">
        <v>32590</v>
      </c>
      <c r="F36" s="299">
        <v>34067</v>
      </c>
      <c r="G36" s="299">
        <v>29830</v>
      </c>
      <c r="H36" s="299">
        <v>16824</v>
      </c>
      <c r="I36" s="299">
        <v>28348</v>
      </c>
      <c r="J36" s="299">
        <v>44860</v>
      </c>
      <c r="K36" s="299">
        <v>25228</v>
      </c>
      <c r="L36" s="299">
        <v>41391</v>
      </c>
      <c r="M36" s="299">
        <v>42739</v>
      </c>
      <c r="N36" s="299">
        <v>0</v>
      </c>
      <c r="O36" s="299">
        <v>0</v>
      </c>
      <c r="P36" s="299">
        <v>2416</v>
      </c>
      <c r="Q36" s="299">
        <v>2925</v>
      </c>
      <c r="R36" s="299">
        <v>2265</v>
      </c>
      <c r="S36" s="299">
        <v>2628</v>
      </c>
      <c r="T36" s="299">
        <v>2306</v>
      </c>
      <c r="U36" s="299">
        <v>2464</v>
      </c>
      <c r="V36" s="299">
        <v>2702</v>
      </c>
      <c r="W36" s="299">
        <v>2157</v>
      </c>
      <c r="X36" s="299">
        <v>2065</v>
      </c>
      <c r="Y36" s="299">
        <v>1932</v>
      </c>
      <c r="Z36" s="299">
        <v>2241</v>
      </c>
      <c r="AA36" s="299">
        <v>239</v>
      </c>
      <c r="AB36" s="299">
        <v>216</v>
      </c>
      <c r="AC36" s="299">
        <v>199</v>
      </c>
      <c r="AD36" s="299">
        <v>191</v>
      </c>
      <c r="AE36" s="299">
        <v>188</v>
      </c>
      <c r="AF36" s="299">
        <v>77</v>
      </c>
      <c r="AG36" s="299">
        <v>17</v>
      </c>
      <c r="AH36" s="299">
        <v>8</v>
      </c>
      <c r="AI36" s="299">
        <v>6</v>
      </c>
      <c r="AJ36" s="299">
        <v>6</v>
      </c>
      <c r="AK36" s="299">
        <v>6</v>
      </c>
      <c r="AL36" s="299">
        <v>708</v>
      </c>
      <c r="AM36" s="299">
        <v>480</v>
      </c>
      <c r="AN36" s="304">
        <v>393</v>
      </c>
      <c r="AO36" s="304">
        <v>570</v>
      </c>
      <c r="AP36" s="304">
        <v>822</v>
      </c>
      <c r="AQ36" s="304">
        <v>620</v>
      </c>
      <c r="AR36" s="304">
        <v>637</v>
      </c>
      <c r="AS36" s="299">
        <v>661</v>
      </c>
      <c r="AT36" s="299">
        <v>70</v>
      </c>
      <c r="AU36" s="299">
        <v>146</v>
      </c>
      <c r="AV36" s="299">
        <v>181</v>
      </c>
      <c r="AW36" s="299">
        <v>2141</v>
      </c>
      <c r="AX36" s="299">
        <v>1167</v>
      </c>
      <c r="AY36" s="304">
        <v>1654</v>
      </c>
      <c r="AZ36" s="304">
        <v>2125</v>
      </c>
      <c r="BA36" s="304">
        <v>1795</v>
      </c>
      <c r="BB36" s="304">
        <v>1440</v>
      </c>
      <c r="BC36" s="304">
        <v>794</v>
      </c>
      <c r="BD36" s="299">
        <v>552</v>
      </c>
      <c r="BE36" s="299">
        <v>367</v>
      </c>
      <c r="BF36" s="299">
        <v>340</v>
      </c>
      <c r="BG36" s="299">
        <v>303</v>
      </c>
      <c r="BH36" s="299">
        <v>2703</v>
      </c>
      <c r="BI36" s="299">
        <v>2113</v>
      </c>
      <c r="BJ36" s="304">
        <v>1684</v>
      </c>
      <c r="BK36" s="304">
        <v>1665</v>
      </c>
      <c r="BL36" s="304">
        <v>1910</v>
      </c>
      <c r="BM36" s="304">
        <v>2191</v>
      </c>
      <c r="BN36" s="304">
        <v>2430</v>
      </c>
      <c r="BO36" s="299">
        <v>2733</v>
      </c>
      <c r="BP36" s="299">
        <v>3514</v>
      </c>
      <c r="BQ36" s="299">
        <v>4283</v>
      </c>
      <c r="BR36" s="299">
        <v>4439</v>
      </c>
      <c r="BS36" s="299">
        <v>866</v>
      </c>
      <c r="BT36" s="299">
        <v>666</v>
      </c>
      <c r="BU36" s="304">
        <v>646</v>
      </c>
      <c r="BV36" s="304">
        <v>952</v>
      </c>
      <c r="BW36" s="304">
        <v>1101</v>
      </c>
      <c r="BX36" s="304">
        <v>1430</v>
      </c>
      <c r="BY36" s="304">
        <v>854</v>
      </c>
      <c r="BZ36" s="299">
        <v>969</v>
      </c>
      <c r="CA36" s="299">
        <v>1152</v>
      </c>
      <c r="CB36" s="299">
        <v>1280</v>
      </c>
      <c r="CC36" s="299">
        <v>1244</v>
      </c>
      <c r="CD36" s="299">
        <v>0</v>
      </c>
      <c r="CE36" s="299">
        <v>0</v>
      </c>
      <c r="CF36" s="299">
        <v>0</v>
      </c>
      <c r="CG36" s="299">
        <v>0</v>
      </c>
      <c r="CH36" s="299">
        <v>0</v>
      </c>
      <c r="CI36" s="299">
        <v>5</v>
      </c>
      <c r="CJ36" s="299">
        <v>8</v>
      </c>
      <c r="CK36" s="299">
        <v>2</v>
      </c>
      <c r="CL36" s="299">
        <v>1</v>
      </c>
      <c r="CM36" s="299">
        <v>1</v>
      </c>
      <c r="CN36" s="299">
        <v>1</v>
      </c>
      <c r="CO36" s="299">
        <v>0</v>
      </c>
      <c r="CP36" s="299">
        <v>0</v>
      </c>
      <c r="CQ36" s="299">
        <v>664</v>
      </c>
      <c r="CR36" s="304">
        <v>935</v>
      </c>
      <c r="CS36" s="304">
        <v>1386</v>
      </c>
      <c r="CT36" s="304">
        <v>2132</v>
      </c>
      <c r="CU36" s="304">
        <v>3006</v>
      </c>
      <c r="CV36" s="304">
        <v>3652</v>
      </c>
      <c r="CW36" s="304">
        <v>4003</v>
      </c>
      <c r="CX36" s="299">
        <v>4265</v>
      </c>
      <c r="CY36" s="299">
        <v>4450</v>
      </c>
      <c r="CZ36" s="299">
        <v>4702</v>
      </c>
      <c r="DA36" s="299">
        <v>4361</v>
      </c>
      <c r="DB36" s="304">
        <v>1311</v>
      </c>
      <c r="DC36" s="304">
        <v>2156</v>
      </c>
      <c r="DD36" s="304">
        <v>2234</v>
      </c>
      <c r="DE36" s="304">
        <v>1801</v>
      </c>
      <c r="DF36" s="304">
        <v>1774</v>
      </c>
      <c r="DG36" s="304">
        <v>1453</v>
      </c>
      <c r="DH36" s="304">
        <v>646</v>
      </c>
      <c r="DI36" s="299">
        <v>681</v>
      </c>
      <c r="DJ36" s="301" t="s">
        <v>42</v>
      </c>
      <c r="DK36" s="299">
        <v>456</v>
      </c>
      <c r="DL36" s="299">
        <v>591</v>
      </c>
      <c r="DM36" s="299">
        <v>538</v>
      </c>
      <c r="DN36" s="299">
        <v>578</v>
      </c>
      <c r="DO36" s="299">
        <v>348</v>
      </c>
      <c r="DP36" s="299">
        <v>315</v>
      </c>
      <c r="DQ36" s="299">
        <v>293</v>
      </c>
      <c r="DR36" s="299">
        <v>365</v>
      </c>
      <c r="DS36" s="299">
        <v>634</v>
      </c>
      <c r="DT36" s="299">
        <v>640</v>
      </c>
      <c r="DU36" s="299">
        <v>638</v>
      </c>
      <c r="DV36" s="299">
        <v>1</v>
      </c>
      <c r="DW36" s="299">
        <v>8</v>
      </c>
      <c r="DX36" s="299">
        <v>4414</v>
      </c>
      <c r="DY36" s="299">
        <v>5387</v>
      </c>
      <c r="DZ36" s="304">
        <v>3096</v>
      </c>
      <c r="EA36" s="304">
        <v>4364</v>
      </c>
      <c r="EB36" s="304">
        <v>4934</v>
      </c>
      <c r="EC36" s="304">
        <v>4820</v>
      </c>
      <c r="ED36" s="304">
        <v>5134</v>
      </c>
      <c r="EE36" s="299">
        <v>5526</v>
      </c>
      <c r="EF36" s="299">
        <v>7499</v>
      </c>
      <c r="EG36" s="299">
        <v>8219</v>
      </c>
      <c r="EH36" s="299">
        <v>8241</v>
      </c>
      <c r="EI36" s="299">
        <v>6698</v>
      </c>
      <c r="EJ36" s="299">
        <v>5678</v>
      </c>
      <c r="EK36" s="304">
        <v>6092</v>
      </c>
      <c r="EL36" s="304">
        <v>6538</v>
      </c>
      <c r="EM36" s="304">
        <v>6962</v>
      </c>
      <c r="EN36" s="304">
        <v>7176</v>
      </c>
      <c r="EO36" s="304">
        <v>7037</v>
      </c>
      <c r="EP36" s="299">
        <v>7379</v>
      </c>
      <c r="EQ36" s="299">
        <v>7036</v>
      </c>
      <c r="ER36" s="299">
        <v>7214</v>
      </c>
      <c r="ES36" s="299">
        <v>7395</v>
      </c>
      <c r="ET36" s="299">
        <v>304</v>
      </c>
      <c r="EU36" s="299">
        <v>85</v>
      </c>
      <c r="EV36" s="304">
        <v>126</v>
      </c>
      <c r="EW36" s="304">
        <v>73</v>
      </c>
      <c r="EX36" s="304">
        <v>83</v>
      </c>
      <c r="EY36" s="304">
        <v>0</v>
      </c>
      <c r="EZ36" s="304">
        <v>51</v>
      </c>
      <c r="FA36" s="299">
        <v>58</v>
      </c>
      <c r="FB36" s="299">
        <v>58</v>
      </c>
      <c r="FC36" s="299">
        <v>62</v>
      </c>
      <c r="FD36" s="299">
        <v>356</v>
      </c>
      <c r="FE36" s="299">
        <v>2556</v>
      </c>
      <c r="FF36" s="299">
        <v>3642</v>
      </c>
      <c r="FG36" s="304">
        <v>3860</v>
      </c>
      <c r="FH36" s="304">
        <v>4012</v>
      </c>
      <c r="FI36" s="304">
        <v>5386</v>
      </c>
      <c r="FJ36" s="304">
        <v>5830</v>
      </c>
      <c r="FK36" s="304">
        <v>5403</v>
      </c>
      <c r="FL36" s="299">
        <v>4920</v>
      </c>
      <c r="FM36" s="299">
        <v>4928</v>
      </c>
      <c r="FN36" s="299">
        <v>5484</v>
      </c>
      <c r="FO36" s="299">
        <v>4769</v>
      </c>
      <c r="FP36" s="299">
        <v>4414</v>
      </c>
      <c r="FQ36" s="304">
        <v>4482</v>
      </c>
      <c r="FR36" s="304">
        <v>5411</v>
      </c>
      <c r="FS36" s="304">
        <v>5611</v>
      </c>
      <c r="FT36" s="304">
        <v>4582</v>
      </c>
      <c r="FU36" s="304">
        <v>3797</v>
      </c>
      <c r="FV36" s="304">
        <v>4323</v>
      </c>
      <c r="FW36" s="299">
        <v>5083</v>
      </c>
      <c r="FX36" s="299">
        <v>5540</v>
      </c>
      <c r="FY36" s="299">
        <v>7599</v>
      </c>
      <c r="FZ36" s="299">
        <v>8399</v>
      </c>
      <c r="GA36" s="299">
        <v>1601</v>
      </c>
      <c r="GB36" s="299">
        <v>775</v>
      </c>
      <c r="GC36" s="304">
        <v>529</v>
      </c>
      <c r="GD36" s="304">
        <v>524</v>
      </c>
      <c r="GE36" s="304">
        <v>625</v>
      </c>
      <c r="GF36" s="304">
        <v>799</v>
      </c>
      <c r="GG36" s="304">
        <v>837</v>
      </c>
      <c r="GH36" s="299">
        <v>1060</v>
      </c>
      <c r="GI36" s="299">
        <v>1714</v>
      </c>
      <c r="GJ36" s="299">
        <v>2531</v>
      </c>
      <c r="GK36" s="299">
        <v>3190</v>
      </c>
      <c r="GL36" s="299">
        <v>0</v>
      </c>
      <c r="GM36" s="304">
        <v>46</v>
      </c>
      <c r="GN36" s="304">
        <v>334</v>
      </c>
      <c r="GO36" s="304">
        <v>526</v>
      </c>
      <c r="GP36" s="304">
        <v>612</v>
      </c>
      <c r="GQ36" s="304">
        <v>663</v>
      </c>
      <c r="GR36" s="304">
        <v>581</v>
      </c>
      <c r="GS36" s="299">
        <v>412</v>
      </c>
      <c r="GT36" s="299">
        <v>434</v>
      </c>
      <c r="GU36" s="299">
        <v>509</v>
      </c>
      <c r="GV36" s="299">
        <v>585</v>
      </c>
      <c r="GW36" s="299">
        <v>2780</v>
      </c>
      <c r="GX36" s="299">
        <v>3372</v>
      </c>
      <c r="GY36" s="304">
        <v>3984</v>
      </c>
      <c r="GZ36" s="304">
        <v>1092</v>
      </c>
      <c r="HA36" s="304">
        <v>947</v>
      </c>
      <c r="HB36" s="304">
        <v>1216</v>
      </c>
      <c r="HC36" s="304">
        <v>842</v>
      </c>
      <c r="HD36" s="299">
        <v>877</v>
      </c>
      <c r="HE36" s="299">
        <v>916</v>
      </c>
      <c r="HF36" s="299">
        <v>1090</v>
      </c>
      <c r="HG36" s="299">
        <v>1199</v>
      </c>
      <c r="HH36" s="299">
        <v>251</v>
      </c>
      <c r="HI36" s="299">
        <v>257</v>
      </c>
      <c r="HJ36" s="299">
        <v>254</v>
      </c>
      <c r="HK36" s="299">
        <v>0</v>
      </c>
      <c r="HL36" s="299">
        <v>254</v>
      </c>
      <c r="HM36" s="299">
        <v>253</v>
      </c>
      <c r="HN36" s="299">
        <v>253</v>
      </c>
      <c r="HO36" s="299">
        <v>250</v>
      </c>
      <c r="HP36" s="299">
        <v>250</v>
      </c>
      <c r="HQ36" s="299"/>
      <c r="HR36" s="299">
        <v>1247</v>
      </c>
      <c r="HS36" s="299">
        <v>1458</v>
      </c>
      <c r="HT36" s="304">
        <v>1633</v>
      </c>
      <c r="HU36" s="304">
        <v>1895</v>
      </c>
      <c r="HV36" s="304">
        <v>1971</v>
      </c>
      <c r="HW36" s="304">
        <v>1894</v>
      </c>
      <c r="HX36" s="304">
        <v>2672</v>
      </c>
      <c r="HY36" s="299">
        <v>2423</v>
      </c>
      <c r="HZ36" s="299">
        <v>3256</v>
      </c>
      <c r="IA36" s="299">
        <v>3517</v>
      </c>
      <c r="IB36" s="299">
        <v>3078</v>
      </c>
      <c r="IC36" s="299">
        <v>23</v>
      </c>
      <c r="ID36" s="299">
        <v>19</v>
      </c>
      <c r="IE36" s="304">
        <v>20</v>
      </c>
      <c r="IF36" s="304">
        <v>16</v>
      </c>
      <c r="IG36" s="304">
        <v>16</v>
      </c>
      <c r="IH36" s="304">
        <v>16</v>
      </c>
      <c r="II36" s="304">
        <v>9</v>
      </c>
      <c r="IJ36" s="299">
        <v>8</v>
      </c>
      <c r="IK36" s="299">
        <v>2</v>
      </c>
      <c r="IL36" s="299">
        <v>1</v>
      </c>
      <c r="IM36" s="299">
        <v>0</v>
      </c>
      <c r="IN36" s="299">
        <v>121</v>
      </c>
      <c r="IO36" s="299">
        <v>112</v>
      </c>
      <c r="IP36" s="304">
        <v>136</v>
      </c>
      <c r="IQ36" s="304">
        <v>55</v>
      </c>
      <c r="IR36" s="304">
        <v>37</v>
      </c>
      <c r="IS36" s="304">
        <v>22</v>
      </c>
      <c r="IT36" s="304">
        <v>1</v>
      </c>
      <c r="IU36" s="299">
        <v>2</v>
      </c>
      <c r="IV36" s="299">
        <v>5</v>
      </c>
      <c r="IW36" s="299">
        <v>16</v>
      </c>
      <c r="IX36" s="299">
        <v>31</v>
      </c>
      <c r="IY36" s="299">
        <v>979</v>
      </c>
      <c r="IZ36" s="299">
        <v>558</v>
      </c>
      <c r="JA36" s="299">
        <v>541</v>
      </c>
      <c r="JB36" s="299">
        <v>562</v>
      </c>
      <c r="JC36" s="299">
        <v>686</v>
      </c>
      <c r="JD36" s="299">
        <v>781</v>
      </c>
      <c r="JE36" s="299">
        <v>1507</v>
      </c>
      <c r="JF36" s="299">
        <v>1812</v>
      </c>
      <c r="JG36" s="299">
        <v>2499</v>
      </c>
      <c r="JH36" s="299">
        <v>3098</v>
      </c>
      <c r="JI36" s="299">
        <v>3911</v>
      </c>
      <c r="JJ36" s="299">
        <v>36892</v>
      </c>
      <c r="JK36" s="299">
        <v>37120</v>
      </c>
      <c r="JL36" s="299">
        <v>37015</v>
      </c>
      <c r="JM36" s="299">
        <v>37910</v>
      </c>
      <c r="JN36" s="299">
        <v>40345</v>
      </c>
      <c r="JO36" s="299">
        <v>40914</v>
      </c>
      <c r="JP36" s="299">
        <v>41034</v>
      </c>
      <c r="JQ36" s="299">
        <v>42203</v>
      </c>
      <c r="JR36" s="299">
        <v>46396</v>
      </c>
      <c r="JS36" s="299">
        <v>52671</v>
      </c>
      <c r="JT36" s="299">
        <v>54576</v>
      </c>
      <c r="JU36" s="299">
        <v>71859</v>
      </c>
      <c r="JV36" s="299">
        <v>69302</v>
      </c>
      <c r="JW36" s="299">
        <v>69605</v>
      </c>
      <c r="JX36" s="299">
        <v>71977</v>
      </c>
      <c r="JY36" s="299">
        <v>70175</v>
      </c>
      <c r="JZ36" s="302">
        <v>57738</v>
      </c>
      <c r="KA36" s="302">
        <v>69382</v>
      </c>
      <c r="KB36" s="299">
        <v>87063</v>
      </c>
      <c r="KC36" s="303">
        <v>71624</v>
      </c>
      <c r="KD36" s="303">
        <v>94062</v>
      </c>
      <c r="KE36" s="472">
        <v>97315</v>
      </c>
    </row>
    <row r="37" spans="1:291" s="155" customFormat="1" x14ac:dyDescent="0.2">
      <c r="A37" s="395">
        <v>34</v>
      </c>
      <c r="B37" s="154" t="s">
        <v>284</v>
      </c>
      <c r="C37" s="299"/>
      <c r="D37" s="299"/>
      <c r="E37" s="299"/>
      <c r="F37" s="299"/>
      <c r="G37" s="299"/>
      <c r="H37" s="299">
        <v>41</v>
      </c>
      <c r="I37" s="299">
        <v>0</v>
      </c>
      <c r="J37" s="299">
        <v>0</v>
      </c>
      <c r="K37" s="299">
        <v>43</v>
      </c>
      <c r="L37" s="299">
        <v>43</v>
      </c>
      <c r="M37" s="299">
        <v>43</v>
      </c>
      <c r="N37" s="299">
        <v>0</v>
      </c>
      <c r="O37" s="299">
        <v>0</v>
      </c>
      <c r="P37" s="299"/>
      <c r="Q37" s="299"/>
      <c r="R37" s="299"/>
      <c r="S37" s="299"/>
      <c r="T37" s="299"/>
      <c r="U37" s="299">
        <v>0</v>
      </c>
      <c r="V37" s="299">
        <v>0</v>
      </c>
      <c r="W37" s="299">
        <v>0</v>
      </c>
      <c r="X37" s="299">
        <v>0</v>
      </c>
      <c r="Y37" s="299">
        <v>0</v>
      </c>
      <c r="Z37" s="299">
        <v>0</v>
      </c>
      <c r="AA37" s="299"/>
      <c r="AB37" s="299"/>
      <c r="AC37" s="299"/>
      <c r="AD37" s="299"/>
      <c r="AE37" s="299"/>
      <c r="AF37" s="299">
        <v>0</v>
      </c>
      <c r="AG37" s="299">
        <v>0</v>
      </c>
      <c r="AH37" s="299">
        <v>0</v>
      </c>
      <c r="AI37" s="299">
        <v>0</v>
      </c>
      <c r="AJ37" s="299">
        <v>0</v>
      </c>
      <c r="AK37" s="299">
        <v>0</v>
      </c>
      <c r="AL37" s="299"/>
      <c r="AM37" s="299"/>
      <c r="AN37" s="304"/>
      <c r="AO37" s="304"/>
      <c r="AP37" s="304"/>
      <c r="AQ37" s="304">
        <v>0</v>
      </c>
      <c r="AR37" s="304">
        <v>0</v>
      </c>
      <c r="AS37" s="299">
        <v>0</v>
      </c>
      <c r="AT37" s="299">
        <v>0</v>
      </c>
      <c r="AU37" s="299">
        <v>0</v>
      </c>
      <c r="AV37" s="299">
        <v>0</v>
      </c>
      <c r="AW37" s="299"/>
      <c r="AX37" s="299"/>
      <c r="AY37" s="304"/>
      <c r="AZ37" s="304"/>
      <c r="BA37" s="304"/>
      <c r="BB37" s="304">
        <v>0</v>
      </c>
      <c r="BC37" s="304">
        <v>0</v>
      </c>
      <c r="BD37" s="299">
        <v>0</v>
      </c>
      <c r="BE37" s="299">
        <v>0</v>
      </c>
      <c r="BF37" s="299">
        <v>0</v>
      </c>
      <c r="BG37" s="299">
        <v>0</v>
      </c>
      <c r="BH37" s="299"/>
      <c r="BI37" s="299"/>
      <c r="BJ37" s="304"/>
      <c r="BK37" s="304"/>
      <c r="BL37" s="304"/>
      <c r="BM37" s="304">
        <v>0</v>
      </c>
      <c r="BN37" s="304">
        <v>0</v>
      </c>
      <c r="BO37" s="299">
        <v>0</v>
      </c>
      <c r="BP37" s="299">
        <v>0</v>
      </c>
      <c r="BQ37" s="299">
        <v>0</v>
      </c>
      <c r="BR37" s="299">
        <v>0</v>
      </c>
      <c r="BS37" s="299"/>
      <c r="BT37" s="299"/>
      <c r="BU37" s="304"/>
      <c r="BV37" s="304"/>
      <c r="BW37" s="304"/>
      <c r="BX37" s="304">
        <v>0</v>
      </c>
      <c r="BY37" s="304">
        <v>0</v>
      </c>
      <c r="BZ37" s="299">
        <v>0</v>
      </c>
      <c r="CA37" s="299">
        <v>0</v>
      </c>
      <c r="CB37" s="299">
        <v>0</v>
      </c>
      <c r="CC37" s="299">
        <v>0</v>
      </c>
      <c r="CD37" s="299"/>
      <c r="CE37" s="299"/>
      <c r="CF37" s="299"/>
      <c r="CG37" s="299"/>
      <c r="CH37" s="299"/>
      <c r="CI37" s="299">
        <v>0</v>
      </c>
      <c r="CJ37" s="299">
        <v>0</v>
      </c>
      <c r="CK37" s="299">
        <v>0</v>
      </c>
      <c r="CL37" s="299">
        <v>0</v>
      </c>
      <c r="CM37" s="299">
        <v>0</v>
      </c>
      <c r="CN37" s="299">
        <v>0</v>
      </c>
      <c r="CO37" s="299">
        <v>0</v>
      </c>
      <c r="CP37" s="299">
        <v>0</v>
      </c>
      <c r="CQ37" s="299"/>
      <c r="CR37" s="304"/>
      <c r="CS37" s="304"/>
      <c r="CT37" s="304"/>
      <c r="CU37" s="304"/>
      <c r="CV37" s="304"/>
      <c r="CW37" s="304">
        <v>0</v>
      </c>
      <c r="CX37" s="299">
        <v>0</v>
      </c>
      <c r="CY37" s="299">
        <v>0</v>
      </c>
      <c r="CZ37" s="299">
        <v>0</v>
      </c>
      <c r="DA37" s="299">
        <v>0</v>
      </c>
      <c r="DB37" s="304"/>
      <c r="DC37" s="304"/>
      <c r="DD37" s="304"/>
      <c r="DE37" s="304"/>
      <c r="DF37" s="304"/>
      <c r="DG37" s="304">
        <v>0</v>
      </c>
      <c r="DH37" s="304">
        <v>0</v>
      </c>
      <c r="DI37" s="299">
        <v>0</v>
      </c>
      <c r="DJ37" s="301" t="s">
        <v>42</v>
      </c>
      <c r="DK37" s="299"/>
      <c r="DL37" s="299"/>
      <c r="DM37" s="299"/>
      <c r="DN37" s="299"/>
      <c r="DO37" s="299"/>
      <c r="DP37" s="299">
        <v>0</v>
      </c>
      <c r="DQ37" s="299">
        <v>0</v>
      </c>
      <c r="DR37" s="299">
        <v>0</v>
      </c>
      <c r="DS37" s="299">
        <v>0</v>
      </c>
      <c r="DT37" s="299">
        <v>0</v>
      </c>
      <c r="DU37" s="299">
        <v>0</v>
      </c>
      <c r="DV37" s="299">
        <v>0</v>
      </c>
      <c r="DW37" s="299">
        <v>0</v>
      </c>
      <c r="DX37" s="299"/>
      <c r="DY37" s="299"/>
      <c r="DZ37" s="304"/>
      <c r="EA37" s="304"/>
      <c r="EB37" s="304"/>
      <c r="EC37" s="304">
        <v>2</v>
      </c>
      <c r="ED37" s="304">
        <v>2</v>
      </c>
      <c r="EE37" s="299">
        <v>2</v>
      </c>
      <c r="EF37" s="299">
        <v>2</v>
      </c>
      <c r="EG37" s="299">
        <v>2</v>
      </c>
      <c r="EH37" s="299">
        <v>2</v>
      </c>
      <c r="EI37" s="299"/>
      <c r="EJ37" s="299"/>
      <c r="EK37" s="304"/>
      <c r="EL37" s="304"/>
      <c r="EM37" s="304"/>
      <c r="EN37" s="304">
        <v>0</v>
      </c>
      <c r="EO37" s="304">
        <v>0</v>
      </c>
      <c r="EP37" s="299">
        <v>0</v>
      </c>
      <c r="EQ37" s="299">
        <v>0</v>
      </c>
      <c r="ER37" s="299">
        <v>0</v>
      </c>
      <c r="ES37" s="299">
        <v>0</v>
      </c>
      <c r="ET37" s="299"/>
      <c r="EU37" s="299"/>
      <c r="EV37" s="304"/>
      <c r="EW37" s="304"/>
      <c r="EX37" s="304"/>
      <c r="EY37" s="304">
        <v>0</v>
      </c>
      <c r="EZ37" s="304">
        <v>0</v>
      </c>
      <c r="FA37" s="299">
        <v>0</v>
      </c>
      <c r="FB37" s="299">
        <v>0</v>
      </c>
      <c r="FC37" s="299">
        <v>0</v>
      </c>
      <c r="FD37" s="299">
        <v>0</v>
      </c>
      <c r="FE37" s="299"/>
      <c r="FF37" s="299"/>
      <c r="FG37" s="304"/>
      <c r="FH37" s="304"/>
      <c r="FI37" s="304"/>
      <c r="FJ37" s="304">
        <v>0</v>
      </c>
      <c r="FK37" s="304">
        <v>0</v>
      </c>
      <c r="FL37" s="299">
        <v>0</v>
      </c>
      <c r="FM37" s="299">
        <v>0</v>
      </c>
      <c r="FN37" s="299">
        <v>0</v>
      </c>
      <c r="FO37" s="299">
        <v>0</v>
      </c>
      <c r="FP37" s="299"/>
      <c r="FQ37" s="304"/>
      <c r="FR37" s="304"/>
      <c r="FS37" s="304"/>
      <c r="FT37" s="304"/>
      <c r="FU37" s="304">
        <v>0</v>
      </c>
      <c r="FV37" s="304">
        <v>0</v>
      </c>
      <c r="FW37" s="299">
        <v>0</v>
      </c>
      <c r="FX37" s="299">
        <v>0</v>
      </c>
      <c r="FY37" s="299">
        <v>0</v>
      </c>
      <c r="FZ37" s="299">
        <v>0</v>
      </c>
      <c r="GA37" s="299"/>
      <c r="GB37" s="299"/>
      <c r="GC37" s="304"/>
      <c r="GD37" s="304"/>
      <c r="GE37" s="304"/>
      <c r="GF37" s="304">
        <v>0</v>
      </c>
      <c r="GG37" s="304">
        <v>0</v>
      </c>
      <c r="GH37" s="299">
        <v>0</v>
      </c>
      <c r="GI37" s="299">
        <v>0</v>
      </c>
      <c r="GJ37" s="299">
        <v>0</v>
      </c>
      <c r="GK37" s="299">
        <v>0</v>
      </c>
      <c r="GL37" s="299"/>
      <c r="GM37" s="304"/>
      <c r="GN37" s="304"/>
      <c r="GO37" s="304"/>
      <c r="GP37" s="304"/>
      <c r="GQ37" s="304">
        <v>21</v>
      </c>
      <c r="GR37" s="304">
        <v>13</v>
      </c>
      <c r="GS37" s="299">
        <v>14</v>
      </c>
      <c r="GT37" s="299">
        <v>19</v>
      </c>
      <c r="GU37" s="299">
        <v>25</v>
      </c>
      <c r="GV37" s="299">
        <v>25</v>
      </c>
      <c r="GW37" s="299"/>
      <c r="GX37" s="299"/>
      <c r="GY37" s="304"/>
      <c r="GZ37" s="304"/>
      <c r="HA37" s="304"/>
      <c r="HB37" s="304">
        <v>0</v>
      </c>
      <c r="HC37" s="304">
        <v>0</v>
      </c>
      <c r="HD37" s="299">
        <v>0</v>
      </c>
      <c r="HE37" s="299">
        <v>0</v>
      </c>
      <c r="HF37" s="299">
        <v>0</v>
      </c>
      <c r="HG37" s="299">
        <v>0</v>
      </c>
      <c r="HH37" s="299"/>
      <c r="HI37" s="299"/>
      <c r="HJ37" s="299"/>
      <c r="HK37" s="299"/>
      <c r="HL37" s="299"/>
      <c r="HM37" s="299"/>
      <c r="HN37" s="299"/>
      <c r="HO37" s="299"/>
      <c r="HP37" s="299">
        <v>0</v>
      </c>
      <c r="HQ37" s="299"/>
      <c r="HR37" s="299"/>
      <c r="HS37" s="299"/>
      <c r="HT37" s="304"/>
      <c r="HU37" s="304"/>
      <c r="HV37" s="304"/>
      <c r="HW37" s="304"/>
      <c r="HX37" s="304">
        <v>1</v>
      </c>
      <c r="HY37" s="299">
        <v>55</v>
      </c>
      <c r="HZ37" s="299">
        <v>76</v>
      </c>
      <c r="IA37" s="299">
        <v>56</v>
      </c>
      <c r="IB37" s="299">
        <v>109</v>
      </c>
      <c r="IC37" s="299"/>
      <c r="ID37" s="299"/>
      <c r="IE37" s="304"/>
      <c r="IF37" s="304"/>
      <c r="IG37" s="304"/>
      <c r="IH37" s="304">
        <v>0</v>
      </c>
      <c r="II37" s="304">
        <v>0</v>
      </c>
      <c r="IJ37" s="299">
        <v>0</v>
      </c>
      <c r="IK37" s="299">
        <v>0</v>
      </c>
      <c r="IL37" s="299">
        <v>0</v>
      </c>
      <c r="IM37" s="299">
        <v>0</v>
      </c>
      <c r="IN37" s="299"/>
      <c r="IO37" s="299"/>
      <c r="IP37" s="304"/>
      <c r="IQ37" s="304"/>
      <c r="IR37" s="304"/>
      <c r="IS37" s="304">
        <v>0</v>
      </c>
      <c r="IT37" s="304">
        <v>0</v>
      </c>
      <c r="IU37" s="299">
        <v>0</v>
      </c>
      <c r="IV37" s="299">
        <v>0</v>
      </c>
      <c r="IW37" s="299">
        <v>0</v>
      </c>
      <c r="IX37" s="299">
        <v>0</v>
      </c>
      <c r="IY37" s="299"/>
      <c r="IZ37" s="299"/>
      <c r="JA37" s="299"/>
      <c r="JB37" s="299"/>
      <c r="JC37" s="299"/>
      <c r="JD37" s="299">
        <v>0</v>
      </c>
      <c r="JE37" s="299">
        <v>4</v>
      </c>
      <c r="JF37" s="299">
        <v>0</v>
      </c>
      <c r="JG37" s="299">
        <v>0</v>
      </c>
      <c r="JH37" s="299">
        <v>0</v>
      </c>
      <c r="JI37" s="299">
        <v>0</v>
      </c>
      <c r="JJ37" s="299"/>
      <c r="JK37" s="299"/>
      <c r="JL37" s="299"/>
      <c r="JM37" s="299"/>
      <c r="JN37" s="299"/>
      <c r="JO37" s="299">
        <v>23</v>
      </c>
      <c r="JP37" s="299">
        <v>20</v>
      </c>
      <c r="JQ37" s="299">
        <v>71</v>
      </c>
      <c r="JR37" s="299">
        <v>97</v>
      </c>
      <c r="JS37" s="299">
        <v>83</v>
      </c>
      <c r="JT37" s="299">
        <v>136</v>
      </c>
      <c r="JU37" s="299"/>
      <c r="JV37" s="299"/>
      <c r="JW37" s="299"/>
      <c r="JX37" s="299"/>
      <c r="JY37" s="299"/>
      <c r="JZ37" s="302">
        <v>64</v>
      </c>
      <c r="KA37" s="302">
        <v>20</v>
      </c>
      <c r="KB37" s="299">
        <v>71</v>
      </c>
      <c r="KC37" s="303">
        <v>140</v>
      </c>
      <c r="KD37" s="303">
        <v>126</v>
      </c>
      <c r="KE37" s="472">
        <v>179</v>
      </c>
    </row>
    <row r="38" spans="1:291" s="155" customFormat="1" x14ac:dyDescent="0.2">
      <c r="A38" s="395">
        <v>35</v>
      </c>
      <c r="B38" s="154" t="s">
        <v>285</v>
      </c>
      <c r="C38" s="299">
        <v>2</v>
      </c>
      <c r="D38" s="299">
        <v>2</v>
      </c>
      <c r="E38" s="299">
        <v>2</v>
      </c>
      <c r="F38" s="299">
        <v>2</v>
      </c>
      <c r="G38" s="299">
        <v>2</v>
      </c>
      <c r="H38" s="299">
        <v>2</v>
      </c>
      <c r="I38" s="299">
        <v>4</v>
      </c>
      <c r="J38" s="299">
        <v>2</v>
      </c>
      <c r="K38" s="299">
        <v>3</v>
      </c>
      <c r="L38" s="299">
        <v>3</v>
      </c>
      <c r="M38" s="299">
        <v>3</v>
      </c>
      <c r="N38" s="299">
        <v>0</v>
      </c>
      <c r="O38" s="299">
        <v>0</v>
      </c>
      <c r="P38" s="299">
        <v>0</v>
      </c>
      <c r="Q38" s="299">
        <v>0</v>
      </c>
      <c r="R38" s="299">
        <v>1</v>
      </c>
      <c r="S38" s="299">
        <v>1</v>
      </c>
      <c r="T38" s="299">
        <v>0</v>
      </c>
      <c r="U38" s="299">
        <v>0</v>
      </c>
      <c r="V38" s="299">
        <v>0</v>
      </c>
      <c r="W38" s="299">
        <v>0</v>
      </c>
      <c r="X38" s="299">
        <v>0</v>
      </c>
      <c r="Y38" s="299">
        <v>0</v>
      </c>
      <c r="Z38" s="299">
        <v>0</v>
      </c>
      <c r="AA38" s="299">
        <v>0</v>
      </c>
      <c r="AB38" s="299">
        <v>0</v>
      </c>
      <c r="AC38" s="299">
        <v>0</v>
      </c>
      <c r="AD38" s="299">
        <v>0</v>
      </c>
      <c r="AE38" s="299">
        <v>0</v>
      </c>
      <c r="AF38" s="299">
        <v>0</v>
      </c>
      <c r="AG38" s="299">
        <v>0</v>
      </c>
      <c r="AH38" s="299">
        <v>0</v>
      </c>
      <c r="AI38" s="299">
        <v>0</v>
      </c>
      <c r="AJ38" s="299">
        <v>0</v>
      </c>
      <c r="AK38" s="299">
        <v>0</v>
      </c>
      <c r="AL38" s="299">
        <v>0</v>
      </c>
      <c r="AM38" s="299">
        <v>0</v>
      </c>
      <c r="AN38" s="299">
        <v>0</v>
      </c>
      <c r="AO38" s="299">
        <v>0</v>
      </c>
      <c r="AP38" s="299">
        <v>0</v>
      </c>
      <c r="AQ38" s="299">
        <v>0</v>
      </c>
      <c r="AR38" s="299">
        <v>0</v>
      </c>
      <c r="AS38" s="299">
        <v>0</v>
      </c>
      <c r="AT38" s="299">
        <v>0</v>
      </c>
      <c r="AU38" s="299">
        <v>0</v>
      </c>
      <c r="AV38" s="299">
        <v>0</v>
      </c>
      <c r="AW38" s="299">
        <v>0</v>
      </c>
      <c r="AX38" s="299">
        <v>0</v>
      </c>
      <c r="AY38" s="299">
        <v>0</v>
      </c>
      <c r="AZ38" s="299">
        <v>0</v>
      </c>
      <c r="BA38" s="299">
        <v>0</v>
      </c>
      <c r="BB38" s="299">
        <v>0</v>
      </c>
      <c r="BC38" s="299">
        <v>0</v>
      </c>
      <c r="BD38" s="299">
        <v>0</v>
      </c>
      <c r="BE38" s="299">
        <v>0</v>
      </c>
      <c r="BF38" s="299">
        <v>0</v>
      </c>
      <c r="BG38" s="299">
        <v>0</v>
      </c>
      <c r="BH38" s="299">
        <v>0</v>
      </c>
      <c r="BI38" s="299">
        <v>0</v>
      </c>
      <c r="BJ38" s="299">
        <v>0</v>
      </c>
      <c r="BK38" s="299">
        <v>1</v>
      </c>
      <c r="BL38" s="299">
        <v>1</v>
      </c>
      <c r="BM38" s="299">
        <v>1</v>
      </c>
      <c r="BN38" s="299">
        <v>2</v>
      </c>
      <c r="BO38" s="299">
        <v>1</v>
      </c>
      <c r="BP38" s="299">
        <v>1</v>
      </c>
      <c r="BQ38" s="299">
        <v>1</v>
      </c>
      <c r="BR38" s="299">
        <v>1</v>
      </c>
      <c r="BS38" s="299">
        <v>0</v>
      </c>
      <c r="BT38" s="299">
        <v>0</v>
      </c>
      <c r="BU38" s="304">
        <v>0</v>
      </c>
      <c r="BV38" s="304">
        <v>0</v>
      </c>
      <c r="BW38" s="304">
        <v>0</v>
      </c>
      <c r="BX38" s="304">
        <v>0</v>
      </c>
      <c r="BY38" s="304">
        <v>0</v>
      </c>
      <c r="BZ38" s="299">
        <v>0</v>
      </c>
      <c r="CA38" s="299">
        <v>1</v>
      </c>
      <c r="CB38" s="299">
        <v>1</v>
      </c>
      <c r="CC38" s="299">
        <v>1</v>
      </c>
      <c r="CD38" s="299">
        <v>0</v>
      </c>
      <c r="CE38" s="299">
        <v>0</v>
      </c>
      <c r="CF38" s="299">
        <v>0</v>
      </c>
      <c r="CG38" s="299">
        <v>0</v>
      </c>
      <c r="CH38" s="299">
        <v>0</v>
      </c>
      <c r="CI38" s="299">
        <v>0</v>
      </c>
      <c r="CJ38" s="299">
        <v>0</v>
      </c>
      <c r="CK38" s="299">
        <v>0</v>
      </c>
      <c r="CL38" s="299">
        <v>0</v>
      </c>
      <c r="CM38" s="299">
        <v>0</v>
      </c>
      <c r="CN38" s="299">
        <v>0</v>
      </c>
      <c r="CO38" s="299">
        <v>0</v>
      </c>
      <c r="CP38" s="299">
        <v>0</v>
      </c>
      <c r="CQ38" s="299">
        <v>0</v>
      </c>
      <c r="CR38" s="304">
        <v>0</v>
      </c>
      <c r="CS38" s="304">
        <v>0</v>
      </c>
      <c r="CT38" s="304">
        <v>0</v>
      </c>
      <c r="CU38" s="304">
        <v>1</v>
      </c>
      <c r="CV38" s="304">
        <v>1</v>
      </c>
      <c r="CW38" s="304">
        <v>1</v>
      </c>
      <c r="CX38" s="299">
        <v>1</v>
      </c>
      <c r="CY38" s="299">
        <v>8</v>
      </c>
      <c r="CZ38" s="299">
        <v>10</v>
      </c>
      <c r="DA38" s="299">
        <v>10</v>
      </c>
      <c r="DB38" s="304">
        <v>0</v>
      </c>
      <c r="DC38" s="304">
        <v>0</v>
      </c>
      <c r="DD38" s="304">
        <v>0</v>
      </c>
      <c r="DE38" s="304">
        <v>-2</v>
      </c>
      <c r="DF38" s="304">
        <v>-2</v>
      </c>
      <c r="DG38" s="304">
        <v>-2</v>
      </c>
      <c r="DH38" s="304">
        <v>0</v>
      </c>
      <c r="DI38" s="299">
        <v>0</v>
      </c>
      <c r="DJ38" s="301" t="s">
        <v>42</v>
      </c>
      <c r="DK38" s="299">
        <v>0</v>
      </c>
      <c r="DL38" s="299">
        <v>0</v>
      </c>
      <c r="DM38" s="304">
        <v>0</v>
      </c>
      <c r="DN38" s="304">
        <v>0</v>
      </c>
      <c r="DO38" s="304">
        <v>0</v>
      </c>
      <c r="DP38" s="304">
        <v>0</v>
      </c>
      <c r="DQ38" s="304">
        <v>0</v>
      </c>
      <c r="DR38" s="299">
        <v>0</v>
      </c>
      <c r="DS38" s="299">
        <v>0</v>
      </c>
      <c r="DT38" s="299">
        <v>0</v>
      </c>
      <c r="DU38" s="299">
        <v>0</v>
      </c>
      <c r="DV38" s="299">
        <v>0</v>
      </c>
      <c r="DW38" s="299">
        <v>0</v>
      </c>
      <c r="DX38" s="299">
        <v>0</v>
      </c>
      <c r="DY38" s="299">
        <v>0</v>
      </c>
      <c r="DZ38" s="299">
        <v>0</v>
      </c>
      <c r="EA38" s="299">
        <v>0</v>
      </c>
      <c r="EB38" s="299">
        <v>0</v>
      </c>
      <c r="EC38" s="299">
        <v>0</v>
      </c>
      <c r="ED38" s="299">
        <v>0</v>
      </c>
      <c r="EE38" s="299">
        <v>0</v>
      </c>
      <c r="EF38" s="299">
        <v>1</v>
      </c>
      <c r="EG38" s="299">
        <v>3</v>
      </c>
      <c r="EH38" s="299">
        <v>4</v>
      </c>
      <c r="EI38" s="299">
        <v>0</v>
      </c>
      <c r="EJ38" s="299">
        <v>0</v>
      </c>
      <c r="EK38" s="304">
        <v>0</v>
      </c>
      <c r="EL38" s="304">
        <v>0</v>
      </c>
      <c r="EM38" s="304">
        <v>0</v>
      </c>
      <c r="EN38" s="304">
        <v>0</v>
      </c>
      <c r="EO38" s="304">
        <v>0</v>
      </c>
      <c r="EP38" s="299">
        <v>0</v>
      </c>
      <c r="EQ38" s="299">
        <v>0</v>
      </c>
      <c r="ER38" s="299">
        <v>0</v>
      </c>
      <c r="ES38" s="299">
        <v>0</v>
      </c>
      <c r="ET38" s="299">
        <v>0</v>
      </c>
      <c r="EU38" s="299">
        <v>0</v>
      </c>
      <c r="EV38" s="304">
        <v>0</v>
      </c>
      <c r="EW38" s="304">
        <v>0</v>
      </c>
      <c r="EX38" s="304">
        <v>0</v>
      </c>
      <c r="EY38" s="304">
        <v>0</v>
      </c>
      <c r="EZ38" s="304">
        <v>0</v>
      </c>
      <c r="FA38" s="299">
        <v>0</v>
      </c>
      <c r="FB38" s="299">
        <v>0</v>
      </c>
      <c r="FC38" s="299">
        <v>0</v>
      </c>
      <c r="FD38" s="299">
        <v>0</v>
      </c>
      <c r="FE38" s="299">
        <v>0</v>
      </c>
      <c r="FF38" s="299">
        <v>0</v>
      </c>
      <c r="FG38" s="304">
        <v>0</v>
      </c>
      <c r="FH38" s="304">
        <v>0</v>
      </c>
      <c r="FI38" s="304">
        <v>0</v>
      </c>
      <c r="FJ38" s="304">
        <v>0</v>
      </c>
      <c r="FK38" s="304">
        <v>0</v>
      </c>
      <c r="FL38" s="299">
        <v>0</v>
      </c>
      <c r="FM38" s="299">
        <v>0</v>
      </c>
      <c r="FN38" s="299">
        <v>0</v>
      </c>
      <c r="FO38" s="299">
        <v>0</v>
      </c>
      <c r="FP38" s="299">
        <v>0</v>
      </c>
      <c r="FQ38" s="304">
        <v>0</v>
      </c>
      <c r="FR38" s="304">
        <v>0</v>
      </c>
      <c r="FS38" s="304">
        <v>0</v>
      </c>
      <c r="FT38" s="304">
        <v>0</v>
      </c>
      <c r="FU38" s="304">
        <v>0</v>
      </c>
      <c r="FV38" s="304">
        <v>0</v>
      </c>
      <c r="FW38" s="299">
        <v>0</v>
      </c>
      <c r="FX38" s="299">
        <v>0</v>
      </c>
      <c r="FY38" s="299">
        <v>0</v>
      </c>
      <c r="FZ38" s="299">
        <v>0</v>
      </c>
      <c r="GA38" s="299">
        <v>0</v>
      </c>
      <c r="GB38" s="299">
        <v>0</v>
      </c>
      <c r="GC38" s="299">
        <v>0</v>
      </c>
      <c r="GD38" s="299">
        <v>0</v>
      </c>
      <c r="GE38" s="299">
        <v>0</v>
      </c>
      <c r="GF38" s="299">
        <v>0</v>
      </c>
      <c r="GG38" s="299">
        <v>0</v>
      </c>
      <c r="GH38" s="299">
        <v>0</v>
      </c>
      <c r="GI38" s="299">
        <v>0</v>
      </c>
      <c r="GJ38" s="299">
        <v>0</v>
      </c>
      <c r="GK38" s="299">
        <v>0</v>
      </c>
      <c r="GL38" s="299">
        <v>0</v>
      </c>
      <c r="GM38" s="299">
        <v>0</v>
      </c>
      <c r="GN38" s="299">
        <v>0</v>
      </c>
      <c r="GO38" s="299">
        <v>0</v>
      </c>
      <c r="GP38" s="299">
        <v>0</v>
      </c>
      <c r="GQ38" s="299">
        <v>0</v>
      </c>
      <c r="GR38" s="299">
        <v>0</v>
      </c>
      <c r="GS38" s="299">
        <v>0</v>
      </c>
      <c r="GT38" s="299">
        <v>0</v>
      </c>
      <c r="GU38" s="299">
        <v>0</v>
      </c>
      <c r="GV38" s="299">
        <v>0</v>
      </c>
      <c r="GW38" s="299">
        <v>0</v>
      </c>
      <c r="GX38" s="299">
        <v>0</v>
      </c>
      <c r="GY38" s="304">
        <v>0</v>
      </c>
      <c r="GZ38" s="304">
        <v>0</v>
      </c>
      <c r="HA38" s="304">
        <v>1</v>
      </c>
      <c r="HB38" s="304">
        <v>2</v>
      </c>
      <c r="HC38" s="304">
        <v>0</v>
      </c>
      <c r="HD38" s="299">
        <v>3</v>
      </c>
      <c r="HE38" s="299">
        <v>0</v>
      </c>
      <c r="HF38" s="299">
        <v>10</v>
      </c>
      <c r="HG38" s="299">
        <v>17</v>
      </c>
      <c r="HH38" s="299">
        <v>0</v>
      </c>
      <c r="HI38" s="299">
        <v>0</v>
      </c>
      <c r="HJ38" s="299">
        <v>0</v>
      </c>
      <c r="HK38" s="299">
        <v>0</v>
      </c>
      <c r="HL38" s="299">
        <v>0</v>
      </c>
      <c r="HM38" s="299">
        <v>0</v>
      </c>
      <c r="HN38" s="299">
        <v>0</v>
      </c>
      <c r="HO38" s="299">
        <v>0</v>
      </c>
      <c r="HP38" s="299">
        <v>0</v>
      </c>
      <c r="HQ38" s="299"/>
      <c r="HR38" s="299">
        <v>0</v>
      </c>
      <c r="HS38" s="299">
        <v>0</v>
      </c>
      <c r="HT38" s="304">
        <v>0</v>
      </c>
      <c r="HU38" s="304">
        <v>0</v>
      </c>
      <c r="HV38" s="304">
        <v>1</v>
      </c>
      <c r="HW38" s="304"/>
      <c r="HX38" s="304">
        <v>1</v>
      </c>
      <c r="HY38" s="299">
        <v>0</v>
      </c>
      <c r="HZ38" s="299">
        <v>0</v>
      </c>
      <c r="IA38" s="299">
        <v>0</v>
      </c>
      <c r="IB38" s="299">
        <v>0</v>
      </c>
      <c r="IC38" s="299">
        <v>0</v>
      </c>
      <c r="ID38" s="299">
        <v>0</v>
      </c>
      <c r="IE38" s="299">
        <v>0</v>
      </c>
      <c r="IF38" s="299">
        <v>0</v>
      </c>
      <c r="IG38" s="299">
        <v>0</v>
      </c>
      <c r="IH38" s="299">
        <v>0</v>
      </c>
      <c r="II38" s="299">
        <v>0</v>
      </c>
      <c r="IJ38" s="299">
        <v>0</v>
      </c>
      <c r="IK38" s="299">
        <v>0</v>
      </c>
      <c r="IL38" s="299">
        <v>0</v>
      </c>
      <c r="IM38" s="299">
        <v>0</v>
      </c>
      <c r="IN38" s="299">
        <v>0</v>
      </c>
      <c r="IO38" s="299">
        <v>0</v>
      </c>
      <c r="IP38" s="299">
        <v>0</v>
      </c>
      <c r="IQ38" s="299">
        <v>0</v>
      </c>
      <c r="IR38" s="299">
        <v>0</v>
      </c>
      <c r="IS38" s="299">
        <v>0</v>
      </c>
      <c r="IT38" s="299">
        <v>0</v>
      </c>
      <c r="IU38" s="299">
        <v>0</v>
      </c>
      <c r="IV38" s="299">
        <v>0</v>
      </c>
      <c r="IW38" s="299">
        <v>0</v>
      </c>
      <c r="IX38" s="299">
        <v>0</v>
      </c>
      <c r="IY38" s="299">
        <v>0</v>
      </c>
      <c r="IZ38" s="299">
        <v>1</v>
      </c>
      <c r="JA38" s="299">
        <v>0</v>
      </c>
      <c r="JB38" s="299">
        <v>0</v>
      </c>
      <c r="JC38" s="299">
        <v>0</v>
      </c>
      <c r="JD38" s="299">
        <v>0</v>
      </c>
      <c r="JE38" s="299">
        <v>0</v>
      </c>
      <c r="JF38" s="299">
        <v>0</v>
      </c>
      <c r="JG38" s="299">
        <v>1</v>
      </c>
      <c r="JH38" s="299">
        <v>0</v>
      </c>
      <c r="JI38" s="299">
        <v>0</v>
      </c>
      <c r="JJ38" s="299">
        <v>0</v>
      </c>
      <c r="JK38" s="299">
        <v>1</v>
      </c>
      <c r="JL38" s="299">
        <v>1</v>
      </c>
      <c r="JM38" s="299">
        <v>0</v>
      </c>
      <c r="JN38" s="299">
        <v>2</v>
      </c>
      <c r="JO38" s="299">
        <v>3</v>
      </c>
      <c r="JP38" s="299">
        <v>4</v>
      </c>
      <c r="JQ38" s="299">
        <v>5</v>
      </c>
      <c r="JR38" s="299">
        <v>12</v>
      </c>
      <c r="JS38" s="299">
        <v>25</v>
      </c>
      <c r="JT38" s="299">
        <v>33</v>
      </c>
      <c r="JU38" s="299">
        <v>2</v>
      </c>
      <c r="JV38" s="299">
        <v>3</v>
      </c>
      <c r="JW38" s="299">
        <v>3</v>
      </c>
      <c r="JX38" s="299">
        <v>2</v>
      </c>
      <c r="JY38" s="299">
        <v>4</v>
      </c>
      <c r="JZ38" s="302">
        <v>5</v>
      </c>
      <c r="KA38" s="302">
        <v>8</v>
      </c>
      <c r="KB38" s="299">
        <v>7</v>
      </c>
      <c r="KC38" s="303">
        <v>15</v>
      </c>
      <c r="KD38" s="303">
        <v>28</v>
      </c>
      <c r="KE38" s="472">
        <v>36</v>
      </c>
    </row>
    <row r="39" spans="1:291" s="155" customFormat="1" x14ac:dyDescent="0.2">
      <c r="A39" s="395">
        <v>36</v>
      </c>
      <c r="B39" s="154" t="s">
        <v>286</v>
      </c>
      <c r="C39" s="299">
        <v>1356</v>
      </c>
      <c r="D39" s="299">
        <v>1188</v>
      </c>
      <c r="E39" s="299">
        <v>1537</v>
      </c>
      <c r="F39" s="299">
        <v>1307</v>
      </c>
      <c r="G39" s="299">
        <v>1675</v>
      </c>
      <c r="H39" s="299">
        <v>1773</v>
      </c>
      <c r="I39" s="299">
        <v>1872</v>
      </c>
      <c r="J39" s="299">
        <v>1745</v>
      </c>
      <c r="K39" s="299">
        <v>330</v>
      </c>
      <c r="L39" s="299">
        <v>1714</v>
      </c>
      <c r="M39" s="299">
        <v>1836</v>
      </c>
      <c r="N39" s="299">
        <v>0</v>
      </c>
      <c r="O39" s="299">
        <v>0</v>
      </c>
      <c r="P39" s="299">
        <v>59</v>
      </c>
      <c r="Q39" s="299">
        <v>83</v>
      </c>
      <c r="R39" s="299">
        <v>56</v>
      </c>
      <c r="S39" s="299">
        <v>72</v>
      </c>
      <c r="T39" s="299">
        <v>56</v>
      </c>
      <c r="U39" s="299">
        <v>51</v>
      </c>
      <c r="V39" s="299">
        <v>52</v>
      </c>
      <c r="W39" s="299">
        <v>56</v>
      </c>
      <c r="X39" s="299">
        <v>84</v>
      </c>
      <c r="Y39" s="299">
        <v>53</v>
      </c>
      <c r="Z39" s="299">
        <v>53</v>
      </c>
      <c r="AA39" s="299">
        <v>0</v>
      </c>
      <c r="AB39" s="299">
        <v>0</v>
      </c>
      <c r="AC39" s="299">
        <v>0</v>
      </c>
      <c r="AD39" s="299">
        <v>0</v>
      </c>
      <c r="AE39" s="299">
        <v>0</v>
      </c>
      <c r="AF39" s="299">
        <v>0</v>
      </c>
      <c r="AG39" s="299">
        <v>0</v>
      </c>
      <c r="AH39" s="299">
        <v>0</v>
      </c>
      <c r="AI39" s="299">
        <v>0</v>
      </c>
      <c r="AJ39" s="299">
        <v>0</v>
      </c>
      <c r="AK39" s="299">
        <v>0</v>
      </c>
      <c r="AL39" s="299">
        <v>3</v>
      </c>
      <c r="AM39" s="299">
        <v>4</v>
      </c>
      <c r="AN39" s="299">
        <v>3</v>
      </c>
      <c r="AO39" s="299">
        <v>12</v>
      </c>
      <c r="AP39" s="299">
        <v>13</v>
      </c>
      <c r="AQ39" s="299">
        <v>15</v>
      </c>
      <c r="AR39" s="299">
        <v>16</v>
      </c>
      <c r="AS39" s="299">
        <v>19</v>
      </c>
      <c r="AT39" s="299">
        <v>0</v>
      </c>
      <c r="AU39" s="299">
        <v>5</v>
      </c>
      <c r="AV39" s="299">
        <v>5</v>
      </c>
      <c r="AW39" s="299">
        <v>5</v>
      </c>
      <c r="AX39" s="299">
        <v>3</v>
      </c>
      <c r="AY39" s="299">
        <v>4</v>
      </c>
      <c r="AZ39" s="299">
        <v>3</v>
      </c>
      <c r="BA39" s="299">
        <v>3</v>
      </c>
      <c r="BB39" s="299">
        <v>2</v>
      </c>
      <c r="BC39" s="299">
        <v>0</v>
      </c>
      <c r="BD39" s="299">
        <v>0</v>
      </c>
      <c r="BE39" s="299">
        <v>0</v>
      </c>
      <c r="BF39" s="299">
        <v>1</v>
      </c>
      <c r="BG39" s="299">
        <v>1</v>
      </c>
      <c r="BH39" s="299">
        <v>30</v>
      </c>
      <c r="BI39" s="299">
        <v>18</v>
      </c>
      <c r="BJ39" s="299">
        <v>12</v>
      </c>
      <c r="BK39" s="299">
        <v>11</v>
      </c>
      <c r="BL39" s="299">
        <v>9</v>
      </c>
      <c r="BM39" s="299">
        <v>17</v>
      </c>
      <c r="BN39" s="299">
        <v>38</v>
      </c>
      <c r="BO39" s="299">
        <v>34</v>
      </c>
      <c r="BP39" s="299">
        <v>56</v>
      </c>
      <c r="BQ39" s="299">
        <v>89</v>
      </c>
      <c r="BR39" s="299">
        <v>105</v>
      </c>
      <c r="BS39" s="299">
        <v>0</v>
      </c>
      <c r="BT39" s="299">
        <v>0</v>
      </c>
      <c r="BU39" s="299">
        <v>47</v>
      </c>
      <c r="BV39" s="299">
        <v>134</v>
      </c>
      <c r="BW39" s="299">
        <v>152</v>
      </c>
      <c r="BX39" s="299">
        <v>0</v>
      </c>
      <c r="BY39" s="299">
        <v>0</v>
      </c>
      <c r="BZ39" s="299">
        <v>0</v>
      </c>
      <c r="CA39" s="299">
        <v>96</v>
      </c>
      <c r="CB39" s="299">
        <v>112</v>
      </c>
      <c r="CC39" s="299">
        <v>147</v>
      </c>
      <c r="CD39" s="299">
        <v>0</v>
      </c>
      <c r="CE39" s="299">
        <v>0</v>
      </c>
      <c r="CF39" s="299">
        <v>0</v>
      </c>
      <c r="CG39" s="299">
        <v>0</v>
      </c>
      <c r="CH39" s="299">
        <v>0</v>
      </c>
      <c r="CI39" s="299">
        <v>0</v>
      </c>
      <c r="CJ39" s="299">
        <v>1</v>
      </c>
      <c r="CK39" s="299">
        <v>1</v>
      </c>
      <c r="CL39" s="299">
        <v>1</v>
      </c>
      <c r="CM39" s="299">
        <v>0</v>
      </c>
      <c r="CN39" s="299">
        <v>0</v>
      </c>
      <c r="CO39" s="299">
        <v>0</v>
      </c>
      <c r="CP39" s="299">
        <v>0</v>
      </c>
      <c r="CQ39" s="299">
        <v>0</v>
      </c>
      <c r="CR39" s="299">
        <v>1</v>
      </c>
      <c r="CS39" s="299">
        <v>1</v>
      </c>
      <c r="CT39" s="299">
        <v>1</v>
      </c>
      <c r="CU39" s="299">
        <v>5</v>
      </c>
      <c r="CV39" s="299">
        <v>6</v>
      </c>
      <c r="CW39" s="299">
        <v>8</v>
      </c>
      <c r="CX39" s="299">
        <v>10</v>
      </c>
      <c r="CY39" s="299">
        <v>10</v>
      </c>
      <c r="CZ39" s="299">
        <v>12</v>
      </c>
      <c r="DA39" s="299">
        <v>12</v>
      </c>
      <c r="DB39" s="299">
        <v>57</v>
      </c>
      <c r="DC39" s="299">
        <v>106</v>
      </c>
      <c r="DD39" s="299">
        <v>113</v>
      </c>
      <c r="DE39" s="299">
        <v>82</v>
      </c>
      <c r="DF39" s="299">
        <v>118</v>
      </c>
      <c r="DG39" s="299">
        <v>95</v>
      </c>
      <c r="DH39" s="299">
        <v>109</v>
      </c>
      <c r="DI39" s="299">
        <v>143</v>
      </c>
      <c r="DJ39" s="301" t="s">
        <v>42</v>
      </c>
      <c r="DK39" s="299">
        <v>0</v>
      </c>
      <c r="DL39" s="299">
        <v>0</v>
      </c>
      <c r="DM39" s="299">
        <v>0</v>
      </c>
      <c r="DN39" s="299">
        <v>0</v>
      </c>
      <c r="DO39" s="299">
        <v>0</v>
      </c>
      <c r="DP39" s="299">
        <v>0</v>
      </c>
      <c r="DQ39" s="299">
        <v>0</v>
      </c>
      <c r="DR39" s="299">
        <v>0</v>
      </c>
      <c r="DS39" s="299">
        <v>0</v>
      </c>
      <c r="DT39" s="299">
        <v>0</v>
      </c>
      <c r="DU39" s="299">
        <v>0</v>
      </c>
      <c r="DV39" s="299">
        <v>0</v>
      </c>
      <c r="DW39" s="299">
        <v>0</v>
      </c>
      <c r="DX39" s="299">
        <v>118</v>
      </c>
      <c r="DY39" s="299">
        <v>145</v>
      </c>
      <c r="DZ39" s="299">
        <v>90</v>
      </c>
      <c r="EA39" s="299">
        <v>148</v>
      </c>
      <c r="EB39" s="299">
        <v>184</v>
      </c>
      <c r="EC39" s="299">
        <v>187</v>
      </c>
      <c r="ED39" s="299">
        <v>200</v>
      </c>
      <c r="EE39" s="299">
        <v>285</v>
      </c>
      <c r="EF39" s="299">
        <v>655</v>
      </c>
      <c r="EG39" s="299">
        <v>917</v>
      </c>
      <c r="EH39" s="299">
        <v>1186</v>
      </c>
      <c r="EI39" s="299">
        <v>265</v>
      </c>
      <c r="EJ39" s="299">
        <v>208</v>
      </c>
      <c r="EK39" s="299">
        <v>226</v>
      </c>
      <c r="EL39" s="299">
        <v>197</v>
      </c>
      <c r="EM39" s="299">
        <v>250</v>
      </c>
      <c r="EN39" s="299">
        <v>224</v>
      </c>
      <c r="EO39" s="299">
        <v>317</v>
      </c>
      <c r="EP39" s="299">
        <v>296</v>
      </c>
      <c r="EQ39" s="299">
        <v>272</v>
      </c>
      <c r="ER39" s="299">
        <v>264</v>
      </c>
      <c r="ES39" s="299">
        <v>360</v>
      </c>
      <c r="ET39" s="299">
        <v>3</v>
      </c>
      <c r="EU39" s="299">
        <v>2</v>
      </c>
      <c r="EV39" s="299">
        <v>0</v>
      </c>
      <c r="EW39" s="299">
        <v>0</v>
      </c>
      <c r="EX39" s="299">
        <v>0</v>
      </c>
      <c r="EY39" s="299">
        <v>0</v>
      </c>
      <c r="EZ39" s="299">
        <v>0</v>
      </c>
      <c r="FA39" s="299">
        <v>0</v>
      </c>
      <c r="FB39" s="299">
        <v>0</v>
      </c>
      <c r="FC39" s="299">
        <v>0</v>
      </c>
      <c r="FD39" s="299">
        <v>11</v>
      </c>
      <c r="FE39" s="299">
        <v>890</v>
      </c>
      <c r="FF39" s="299">
        <v>1457</v>
      </c>
      <c r="FG39" s="299">
        <v>1604</v>
      </c>
      <c r="FH39" s="299">
        <v>1218</v>
      </c>
      <c r="FI39" s="299">
        <v>1651</v>
      </c>
      <c r="FJ39" s="299">
        <v>1930</v>
      </c>
      <c r="FK39" s="299">
        <v>1635</v>
      </c>
      <c r="FL39" s="299">
        <v>2344</v>
      </c>
      <c r="FM39" s="299">
        <v>1997</v>
      </c>
      <c r="FN39" s="299">
        <v>1971</v>
      </c>
      <c r="FO39" s="299">
        <v>1946</v>
      </c>
      <c r="FP39" s="299">
        <v>113</v>
      </c>
      <c r="FQ39" s="299">
        <v>95</v>
      </c>
      <c r="FR39" s="299">
        <v>113</v>
      </c>
      <c r="FS39" s="299">
        <v>104</v>
      </c>
      <c r="FT39" s="299">
        <v>164</v>
      </c>
      <c r="FU39" s="299">
        <v>124</v>
      </c>
      <c r="FV39" s="299">
        <v>146</v>
      </c>
      <c r="FW39" s="299">
        <v>164</v>
      </c>
      <c r="FX39" s="299">
        <v>218</v>
      </c>
      <c r="FY39" s="299">
        <v>447</v>
      </c>
      <c r="FZ39" s="299">
        <v>562</v>
      </c>
      <c r="GA39" s="299">
        <v>51</v>
      </c>
      <c r="GB39" s="299">
        <v>11</v>
      </c>
      <c r="GC39" s="299">
        <v>7</v>
      </c>
      <c r="GD39" s="299">
        <v>8</v>
      </c>
      <c r="GE39" s="299">
        <v>10</v>
      </c>
      <c r="GF39" s="299">
        <v>8</v>
      </c>
      <c r="GG39" s="299">
        <v>8</v>
      </c>
      <c r="GH39" s="299">
        <v>10</v>
      </c>
      <c r="GI39" s="299">
        <v>14</v>
      </c>
      <c r="GJ39" s="299">
        <v>21</v>
      </c>
      <c r="GK39" s="299">
        <v>32</v>
      </c>
      <c r="GL39" s="299">
        <v>0</v>
      </c>
      <c r="GM39" s="299">
        <v>0</v>
      </c>
      <c r="GN39" s="299">
        <v>0</v>
      </c>
      <c r="GO39" s="299">
        <v>29</v>
      </c>
      <c r="GP39" s="299">
        <v>37</v>
      </c>
      <c r="GQ39" s="299">
        <v>37</v>
      </c>
      <c r="GR39" s="299">
        <v>37</v>
      </c>
      <c r="GS39" s="299">
        <v>35</v>
      </c>
      <c r="GT39" s="299">
        <v>41</v>
      </c>
      <c r="GU39" s="299">
        <v>69</v>
      </c>
      <c r="GV39" s="299">
        <v>103</v>
      </c>
      <c r="GW39" s="299">
        <v>127</v>
      </c>
      <c r="GX39" s="299">
        <v>124</v>
      </c>
      <c r="GY39" s="299">
        <v>156</v>
      </c>
      <c r="GZ39" s="299">
        <v>61</v>
      </c>
      <c r="HA39" s="299">
        <v>92</v>
      </c>
      <c r="HB39" s="299">
        <v>98</v>
      </c>
      <c r="HC39" s="299">
        <v>73</v>
      </c>
      <c r="HD39" s="299">
        <v>89</v>
      </c>
      <c r="HE39" s="299">
        <v>85</v>
      </c>
      <c r="HF39" s="299">
        <v>72</v>
      </c>
      <c r="HG39" s="299">
        <v>65</v>
      </c>
      <c r="HH39" s="299">
        <v>0</v>
      </c>
      <c r="HI39" s="299">
        <v>0</v>
      </c>
      <c r="HJ39" s="299">
        <v>0</v>
      </c>
      <c r="HK39" s="299">
        <v>0</v>
      </c>
      <c r="HL39" s="299">
        <v>0</v>
      </c>
      <c r="HM39" s="299">
        <v>0</v>
      </c>
      <c r="HN39" s="299">
        <v>0</v>
      </c>
      <c r="HO39" s="299">
        <v>0</v>
      </c>
      <c r="HP39" s="299">
        <v>0</v>
      </c>
      <c r="HQ39" s="299"/>
      <c r="HR39" s="299">
        <v>182</v>
      </c>
      <c r="HS39" s="299">
        <v>195</v>
      </c>
      <c r="HT39" s="299">
        <v>221</v>
      </c>
      <c r="HU39" s="299">
        <v>300</v>
      </c>
      <c r="HV39" s="299">
        <v>304</v>
      </c>
      <c r="HW39" s="299"/>
      <c r="HX39" s="299">
        <v>463</v>
      </c>
      <c r="HY39" s="299">
        <v>382</v>
      </c>
      <c r="HZ39" s="299">
        <v>508</v>
      </c>
      <c r="IA39" s="299">
        <v>510</v>
      </c>
      <c r="IB39" s="299">
        <v>468</v>
      </c>
      <c r="IC39" s="299">
        <v>12</v>
      </c>
      <c r="ID39" s="299">
        <v>12</v>
      </c>
      <c r="IE39" s="299">
        <v>12</v>
      </c>
      <c r="IF39" s="299">
        <v>12</v>
      </c>
      <c r="IG39" s="299">
        <v>10</v>
      </c>
      <c r="IH39" s="299">
        <v>10</v>
      </c>
      <c r="II39" s="299">
        <v>8</v>
      </c>
      <c r="IJ39" s="299">
        <v>8</v>
      </c>
      <c r="IK39" s="299">
        <v>6</v>
      </c>
      <c r="IL39" s="299">
        <v>6</v>
      </c>
      <c r="IM39" s="299">
        <v>5</v>
      </c>
      <c r="IN39" s="299">
        <v>0</v>
      </c>
      <c r="IO39" s="299">
        <v>0</v>
      </c>
      <c r="IP39" s="299">
        <v>0</v>
      </c>
      <c r="IQ39" s="299">
        <v>0</v>
      </c>
      <c r="IR39" s="299">
        <v>0</v>
      </c>
      <c r="IS39" s="299">
        <v>0</v>
      </c>
      <c r="IT39" s="299">
        <v>0</v>
      </c>
      <c r="IU39" s="299">
        <v>0</v>
      </c>
      <c r="IV39" s="299">
        <v>0</v>
      </c>
      <c r="IW39" s="299">
        <v>3</v>
      </c>
      <c r="IX39" s="299">
        <v>15</v>
      </c>
      <c r="IY39" s="299">
        <v>253</v>
      </c>
      <c r="IZ39" s="299">
        <v>108</v>
      </c>
      <c r="JA39" s="299">
        <v>68</v>
      </c>
      <c r="JB39" s="299">
        <v>72</v>
      </c>
      <c r="JC39" s="299">
        <v>70</v>
      </c>
      <c r="JD39" s="299">
        <v>70</v>
      </c>
      <c r="JE39" s="299">
        <v>138</v>
      </c>
      <c r="JF39" s="299">
        <v>116</v>
      </c>
      <c r="JG39" s="299">
        <v>149</v>
      </c>
      <c r="JH39" s="299">
        <v>209</v>
      </c>
      <c r="JI39" s="299">
        <v>269</v>
      </c>
      <c r="JJ39" s="299">
        <v>2168</v>
      </c>
      <c r="JK39" s="299">
        <v>2572</v>
      </c>
      <c r="JL39" s="299">
        <v>2733</v>
      </c>
      <c r="JM39" s="299">
        <v>2464</v>
      </c>
      <c r="JN39" s="299">
        <v>3128</v>
      </c>
      <c r="JO39" s="299">
        <v>3255</v>
      </c>
      <c r="JP39" s="299">
        <v>3249</v>
      </c>
      <c r="JQ39" s="299">
        <v>3992</v>
      </c>
      <c r="JR39" s="299">
        <v>4192</v>
      </c>
      <c r="JS39" s="299">
        <v>4761</v>
      </c>
      <c r="JT39" s="299">
        <v>5345</v>
      </c>
      <c r="JU39" s="299">
        <v>3524</v>
      </c>
      <c r="JV39" s="299">
        <v>3760</v>
      </c>
      <c r="JW39" s="299">
        <v>4270</v>
      </c>
      <c r="JX39" s="299">
        <v>3771</v>
      </c>
      <c r="JY39" s="299">
        <v>4803</v>
      </c>
      <c r="JZ39" s="302">
        <v>5028</v>
      </c>
      <c r="KA39" s="302">
        <v>5121</v>
      </c>
      <c r="KB39" s="299">
        <v>5737</v>
      </c>
      <c r="KC39" s="303">
        <v>4522</v>
      </c>
      <c r="KD39" s="303">
        <v>6475</v>
      </c>
      <c r="KE39" s="472">
        <v>7181</v>
      </c>
    </row>
    <row r="40" spans="1:291" s="153" customFormat="1" x14ac:dyDescent="0.2">
      <c r="A40" s="152"/>
      <c r="B40" s="157" t="s">
        <v>52</v>
      </c>
      <c r="C40" s="306">
        <v>1163604</v>
      </c>
      <c r="D40" s="306">
        <v>1061560</v>
      </c>
      <c r="E40" s="307">
        <v>1131181</v>
      </c>
      <c r="F40" s="307">
        <v>1148811</v>
      </c>
      <c r="G40" s="307">
        <v>1179229</v>
      </c>
      <c r="H40" s="307">
        <v>1208826</v>
      </c>
      <c r="I40" s="307">
        <v>1353808</v>
      </c>
      <c r="J40" s="307">
        <v>1326432</v>
      </c>
      <c r="K40" s="307">
        <v>1347325</v>
      </c>
      <c r="L40" s="307">
        <v>1414743</v>
      </c>
      <c r="M40" s="307">
        <v>1486851</v>
      </c>
      <c r="N40" s="307">
        <v>0</v>
      </c>
      <c r="O40" s="307">
        <v>0</v>
      </c>
      <c r="P40" s="306">
        <v>90537</v>
      </c>
      <c r="Q40" s="306">
        <v>110658</v>
      </c>
      <c r="R40" s="306">
        <v>82048</v>
      </c>
      <c r="S40" s="306">
        <v>91720</v>
      </c>
      <c r="T40" s="306">
        <v>81528</v>
      </c>
      <c r="U40" s="306">
        <v>85995</v>
      </c>
      <c r="V40" s="306">
        <v>94775</v>
      </c>
      <c r="W40" s="307">
        <v>79904</v>
      </c>
      <c r="X40" s="307">
        <v>64831</v>
      </c>
      <c r="Y40" s="307">
        <v>60613</v>
      </c>
      <c r="Z40" s="307">
        <v>66314</v>
      </c>
      <c r="AA40" s="306">
        <v>7973</v>
      </c>
      <c r="AB40" s="306">
        <v>6222</v>
      </c>
      <c r="AC40" s="307">
        <v>5814</v>
      </c>
      <c r="AD40" s="307">
        <v>5739</v>
      </c>
      <c r="AE40" s="307">
        <v>5671</v>
      </c>
      <c r="AF40" s="307">
        <v>1661</v>
      </c>
      <c r="AG40" s="307">
        <v>364</v>
      </c>
      <c r="AH40" s="307">
        <v>208</v>
      </c>
      <c r="AI40" s="307">
        <v>172</v>
      </c>
      <c r="AJ40" s="307">
        <v>172</v>
      </c>
      <c r="AK40" s="307">
        <v>171</v>
      </c>
      <c r="AL40" s="306">
        <v>13089</v>
      </c>
      <c r="AM40" s="306">
        <v>9309</v>
      </c>
      <c r="AN40" s="307">
        <v>7915</v>
      </c>
      <c r="AO40" s="307">
        <v>10763</v>
      </c>
      <c r="AP40" s="307">
        <v>14402</v>
      </c>
      <c r="AQ40" s="307">
        <v>10603</v>
      </c>
      <c r="AR40" s="307">
        <v>11671</v>
      </c>
      <c r="AS40" s="307">
        <v>13024</v>
      </c>
      <c r="AT40" s="307">
        <v>2676</v>
      </c>
      <c r="AU40" s="307">
        <v>5444</v>
      </c>
      <c r="AV40" s="307">
        <v>6785</v>
      </c>
      <c r="AW40" s="306">
        <v>18935</v>
      </c>
      <c r="AX40" s="306">
        <v>10443</v>
      </c>
      <c r="AY40" s="307">
        <v>13648</v>
      </c>
      <c r="AZ40" s="307">
        <v>16431</v>
      </c>
      <c r="BA40" s="307">
        <v>13803</v>
      </c>
      <c r="BB40" s="307">
        <v>11285</v>
      </c>
      <c r="BC40" s="307">
        <v>6990</v>
      </c>
      <c r="BD40" s="307">
        <v>5087</v>
      </c>
      <c r="BE40" s="307">
        <v>3256</v>
      </c>
      <c r="BF40" s="307">
        <v>2921</v>
      </c>
      <c r="BG40" s="307">
        <v>2997</v>
      </c>
      <c r="BH40" s="306">
        <v>120982</v>
      </c>
      <c r="BI40" s="306">
        <v>89975</v>
      </c>
      <c r="BJ40" s="307">
        <v>77097</v>
      </c>
      <c r="BK40" s="307">
        <v>70763</v>
      </c>
      <c r="BL40" s="307">
        <v>72719</v>
      </c>
      <c r="BM40" s="307">
        <v>80524</v>
      </c>
      <c r="BN40" s="307">
        <v>88102</v>
      </c>
      <c r="BO40" s="307">
        <v>96139</v>
      </c>
      <c r="BP40" s="307">
        <v>125912</v>
      </c>
      <c r="BQ40" s="307">
        <v>150841</v>
      </c>
      <c r="BR40" s="307">
        <v>161076</v>
      </c>
      <c r="BS40" s="306">
        <v>19132</v>
      </c>
      <c r="BT40" s="306">
        <v>20561</v>
      </c>
      <c r="BU40" s="307">
        <v>18535</v>
      </c>
      <c r="BV40" s="307">
        <v>28638</v>
      </c>
      <c r="BW40" s="307">
        <v>39382</v>
      </c>
      <c r="BX40" s="307">
        <v>43316</v>
      </c>
      <c r="BY40" s="307">
        <v>33213</v>
      </c>
      <c r="BZ40" s="307">
        <v>37645</v>
      </c>
      <c r="CA40" s="307">
        <v>44457</v>
      </c>
      <c r="CB40" s="307">
        <v>53587</v>
      </c>
      <c r="CC40" s="307">
        <v>55001</v>
      </c>
      <c r="CD40" s="306">
        <v>0</v>
      </c>
      <c r="CE40" s="307">
        <v>0</v>
      </c>
      <c r="CF40" s="307">
        <v>0</v>
      </c>
      <c r="CG40" s="307">
        <v>0</v>
      </c>
      <c r="CH40" s="307">
        <v>0</v>
      </c>
      <c r="CI40" s="307">
        <v>54</v>
      </c>
      <c r="CJ40" s="307">
        <v>246</v>
      </c>
      <c r="CK40" s="307">
        <v>157</v>
      </c>
      <c r="CL40" s="307">
        <v>127</v>
      </c>
      <c r="CM40" s="307">
        <v>126</v>
      </c>
      <c r="CN40" s="307">
        <v>25</v>
      </c>
      <c r="CO40" s="307">
        <v>0</v>
      </c>
      <c r="CP40" s="307">
        <v>0</v>
      </c>
      <c r="CQ40" s="306">
        <v>10421</v>
      </c>
      <c r="CR40" s="307">
        <v>15490</v>
      </c>
      <c r="CS40" s="307">
        <v>21449</v>
      </c>
      <c r="CT40" s="307">
        <v>31031</v>
      </c>
      <c r="CU40" s="307">
        <v>43681</v>
      </c>
      <c r="CV40" s="307">
        <v>51723</v>
      </c>
      <c r="CW40" s="307">
        <v>57773</v>
      </c>
      <c r="CX40" s="307">
        <v>63484</v>
      </c>
      <c r="CY40" s="307">
        <v>69034</v>
      </c>
      <c r="CZ40" s="307">
        <v>75904</v>
      </c>
      <c r="DA40" s="307">
        <v>72801</v>
      </c>
      <c r="DB40" s="307">
        <v>32357</v>
      </c>
      <c r="DC40" s="307">
        <v>50300</v>
      </c>
      <c r="DD40" s="307">
        <v>56034</v>
      </c>
      <c r="DE40" s="307">
        <v>46126</v>
      </c>
      <c r="DF40" s="307">
        <v>49833</v>
      </c>
      <c r="DG40" s="307">
        <v>44383</v>
      </c>
      <c r="DH40" s="307">
        <v>36928</v>
      </c>
      <c r="DI40" s="307">
        <v>37100</v>
      </c>
      <c r="DJ40" s="301" t="s">
        <v>42</v>
      </c>
      <c r="DK40" s="306">
        <v>17150</v>
      </c>
      <c r="DL40" s="306">
        <v>17919</v>
      </c>
      <c r="DM40" s="307">
        <v>8755</v>
      </c>
      <c r="DN40" s="307">
        <v>11890</v>
      </c>
      <c r="DO40" s="307">
        <v>7629</v>
      </c>
      <c r="DP40" s="307">
        <v>3928</v>
      </c>
      <c r="DQ40" s="307">
        <v>2861</v>
      </c>
      <c r="DR40" s="307">
        <v>6178</v>
      </c>
      <c r="DS40" s="307">
        <v>8814</v>
      </c>
      <c r="DT40" s="307">
        <v>9718</v>
      </c>
      <c r="DU40" s="307">
        <v>9710</v>
      </c>
      <c r="DV40" s="307">
        <v>14</v>
      </c>
      <c r="DW40" s="307">
        <v>266</v>
      </c>
      <c r="DX40" s="306">
        <v>65214</v>
      </c>
      <c r="DY40" s="306">
        <v>82381</v>
      </c>
      <c r="DZ40" s="307">
        <v>54516</v>
      </c>
      <c r="EA40" s="307">
        <v>77048</v>
      </c>
      <c r="EB40" s="307">
        <v>91172</v>
      </c>
      <c r="EC40" s="307">
        <v>107662</v>
      </c>
      <c r="ED40" s="307">
        <v>112012</v>
      </c>
      <c r="EE40" s="307">
        <v>115442</v>
      </c>
      <c r="EF40" s="307">
        <v>179435</v>
      </c>
      <c r="EG40" s="307">
        <v>214275</v>
      </c>
      <c r="EH40" s="307">
        <v>243575</v>
      </c>
      <c r="EI40" s="306">
        <v>132463</v>
      </c>
      <c r="EJ40" s="306">
        <v>121016</v>
      </c>
      <c r="EK40" s="307">
        <v>136114</v>
      </c>
      <c r="EL40" s="307">
        <v>151563</v>
      </c>
      <c r="EM40" s="307">
        <v>170572</v>
      </c>
      <c r="EN40" s="307">
        <v>190924</v>
      </c>
      <c r="EO40" s="307">
        <v>187560</v>
      </c>
      <c r="EP40" s="307">
        <v>198924</v>
      </c>
      <c r="EQ40" s="307">
        <v>201472</v>
      </c>
      <c r="ER40" s="307">
        <v>209521</v>
      </c>
      <c r="ES40" s="307">
        <v>229441</v>
      </c>
      <c r="ET40" s="306">
        <v>4325</v>
      </c>
      <c r="EU40" s="306">
        <v>2468</v>
      </c>
      <c r="EV40" s="307">
        <v>2910</v>
      </c>
      <c r="EW40" s="307">
        <v>1660</v>
      </c>
      <c r="EX40" s="307">
        <v>2038</v>
      </c>
      <c r="EY40" s="307">
        <v>0</v>
      </c>
      <c r="EZ40" s="307">
        <v>1916</v>
      </c>
      <c r="FA40" s="307">
        <v>1903</v>
      </c>
      <c r="FB40" s="307">
        <v>1881</v>
      </c>
      <c r="FC40" s="307">
        <v>1678</v>
      </c>
      <c r="FD40" s="307">
        <v>5532</v>
      </c>
      <c r="FE40" s="306">
        <v>55548</v>
      </c>
      <c r="FF40" s="306">
        <v>86303</v>
      </c>
      <c r="FG40" s="307">
        <v>96729</v>
      </c>
      <c r="FH40" s="307">
        <v>94688</v>
      </c>
      <c r="FI40" s="307">
        <v>124500</v>
      </c>
      <c r="FJ40" s="307">
        <v>124690</v>
      </c>
      <c r="FK40" s="307">
        <v>109321</v>
      </c>
      <c r="FL40" s="307">
        <v>110730</v>
      </c>
      <c r="FM40" s="307">
        <v>112697</v>
      </c>
      <c r="FN40" s="307">
        <v>119016</v>
      </c>
      <c r="FO40" s="307">
        <v>114436</v>
      </c>
      <c r="FP40" s="306">
        <v>43505</v>
      </c>
      <c r="FQ40" s="307">
        <v>45276</v>
      </c>
      <c r="FR40" s="307">
        <v>54283</v>
      </c>
      <c r="FS40" s="307">
        <v>56968</v>
      </c>
      <c r="FT40" s="307">
        <v>50854</v>
      </c>
      <c r="FU40" s="307">
        <v>45979</v>
      </c>
      <c r="FV40" s="307">
        <v>55217</v>
      </c>
      <c r="FW40" s="307">
        <v>61143</v>
      </c>
      <c r="FX40" s="307">
        <v>70344</v>
      </c>
      <c r="FY40" s="307">
        <v>102693</v>
      </c>
      <c r="FZ40" s="307">
        <v>125311</v>
      </c>
      <c r="GA40" s="306">
        <v>17017</v>
      </c>
      <c r="GB40" s="306">
        <v>7989</v>
      </c>
      <c r="GC40" s="307">
        <v>6248</v>
      </c>
      <c r="GD40" s="307">
        <v>6452</v>
      </c>
      <c r="GE40" s="307">
        <v>7338</v>
      </c>
      <c r="GF40" s="307">
        <v>8829</v>
      </c>
      <c r="GG40" s="307">
        <v>9933</v>
      </c>
      <c r="GH40" s="307">
        <v>12770</v>
      </c>
      <c r="GI40" s="307">
        <v>19509</v>
      </c>
      <c r="GJ40" s="307">
        <v>28172</v>
      </c>
      <c r="GK40" s="307">
        <v>36659</v>
      </c>
      <c r="GL40" s="306">
        <v>1995</v>
      </c>
      <c r="GM40" s="307">
        <v>4439</v>
      </c>
      <c r="GN40" s="307">
        <v>7889</v>
      </c>
      <c r="GO40" s="307">
        <v>12318</v>
      </c>
      <c r="GP40" s="307">
        <v>14250</v>
      </c>
      <c r="GQ40" s="307">
        <v>15351</v>
      </c>
      <c r="GR40" s="307">
        <v>14901</v>
      </c>
      <c r="GS40" s="307">
        <v>14314</v>
      </c>
      <c r="GT40" s="307">
        <v>14857</v>
      </c>
      <c r="GU40" s="307">
        <v>16687</v>
      </c>
      <c r="GV40" s="307">
        <v>18249</v>
      </c>
      <c r="GW40" s="306">
        <v>105022</v>
      </c>
      <c r="GX40" s="306">
        <v>129693</v>
      </c>
      <c r="GY40" s="307">
        <v>162276</v>
      </c>
      <c r="GZ40" s="307">
        <v>65099</v>
      </c>
      <c r="HA40" s="307">
        <v>55492</v>
      </c>
      <c r="HB40" s="307">
        <v>63016</v>
      </c>
      <c r="HC40" s="307">
        <v>42604</v>
      </c>
      <c r="HD40" s="307">
        <v>46538</v>
      </c>
      <c r="HE40" s="307">
        <v>54013</v>
      </c>
      <c r="HF40" s="307">
        <v>61036</v>
      </c>
      <c r="HG40" s="307">
        <v>68793</v>
      </c>
      <c r="HH40" s="306">
        <v>11362</v>
      </c>
      <c r="HI40" s="306">
        <v>11477</v>
      </c>
      <c r="HJ40" s="307">
        <v>10402</v>
      </c>
      <c r="HK40" s="307">
        <v>0</v>
      </c>
      <c r="HL40" s="307">
        <v>10439</v>
      </c>
      <c r="HM40" s="307">
        <v>10398</v>
      </c>
      <c r="HN40" s="307">
        <v>10374</v>
      </c>
      <c r="HO40" s="307">
        <v>10318</v>
      </c>
      <c r="HP40" s="307">
        <v>10246</v>
      </c>
      <c r="HQ40" s="307"/>
      <c r="HR40" s="306">
        <v>83656</v>
      </c>
      <c r="HS40" s="306">
        <v>92619</v>
      </c>
      <c r="HT40" s="307">
        <v>95355</v>
      </c>
      <c r="HU40" s="307">
        <v>108261</v>
      </c>
      <c r="HV40" s="307">
        <v>123613</v>
      </c>
      <c r="HW40" s="307"/>
      <c r="HX40" s="307">
        <v>170096</v>
      </c>
      <c r="HY40" s="307">
        <v>146057</v>
      </c>
      <c r="HZ40" s="307">
        <v>208774</v>
      </c>
      <c r="IA40" s="307">
        <v>246078</v>
      </c>
      <c r="IB40" s="307">
        <v>240304</v>
      </c>
      <c r="IC40" s="306">
        <v>4460</v>
      </c>
      <c r="ID40" s="306">
        <v>4422</v>
      </c>
      <c r="IE40" s="307">
        <v>4508</v>
      </c>
      <c r="IF40" s="307">
        <v>4498</v>
      </c>
      <c r="IG40" s="307">
        <v>4455</v>
      </c>
      <c r="IH40" s="307">
        <v>4436</v>
      </c>
      <c r="II40" s="307">
        <v>3784</v>
      </c>
      <c r="IJ40" s="307">
        <v>3784</v>
      </c>
      <c r="IK40" s="307">
        <v>3327</v>
      </c>
      <c r="IL40" s="307">
        <v>3003</v>
      </c>
      <c r="IM40" s="307">
        <v>2639</v>
      </c>
      <c r="IN40" s="306">
        <v>8167</v>
      </c>
      <c r="IO40" s="306">
        <v>8507</v>
      </c>
      <c r="IP40" s="307">
        <v>9112</v>
      </c>
      <c r="IQ40" s="307">
        <v>4757</v>
      </c>
      <c r="IR40" s="307">
        <v>2678</v>
      </c>
      <c r="IS40" s="307">
        <v>999</v>
      </c>
      <c r="IT40" s="307">
        <v>261</v>
      </c>
      <c r="IU40" s="307">
        <v>163</v>
      </c>
      <c r="IV40" s="307">
        <v>393</v>
      </c>
      <c r="IW40" s="307">
        <v>1540</v>
      </c>
      <c r="IX40" s="307">
        <v>3640</v>
      </c>
      <c r="IY40" s="306">
        <v>40993</v>
      </c>
      <c r="IZ40" s="306">
        <v>27538</v>
      </c>
      <c r="JA40" s="307">
        <v>25704</v>
      </c>
      <c r="JB40" s="307">
        <v>26963</v>
      </c>
      <c r="JC40" s="307">
        <v>29469</v>
      </c>
      <c r="JD40" s="307">
        <v>30926</v>
      </c>
      <c r="JE40" s="307">
        <v>50367</v>
      </c>
      <c r="JF40" s="307">
        <v>55165</v>
      </c>
      <c r="JG40" s="307">
        <v>84656</v>
      </c>
      <c r="JH40" s="307">
        <v>117656</v>
      </c>
      <c r="JI40" s="307">
        <v>172868</v>
      </c>
      <c r="JJ40" s="306">
        <v>904303</v>
      </c>
      <c r="JK40" s="306">
        <v>955005</v>
      </c>
      <c r="JL40" s="307">
        <v>957341</v>
      </c>
      <c r="JM40" s="307">
        <v>923376</v>
      </c>
      <c r="JN40" s="307">
        <v>1015518</v>
      </c>
      <c r="JO40" s="307">
        <v>1067099</v>
      </c>
      <c r="JP40" s="307">
        <v>1101269</v>
      </c>
      <c r="JQ40" s="307">
        <v>1116177</v>
      </c>
      <c r="JR40" s="306">
        <v>1280883</v>
      </c>
      <c r="JS40" s="306">
        <v>1480695</v>
      </c>
      <c r="JT40" s="306">
        <v>1636593</v>
      </c>
      <c r="JU40" s="306">
        <v>2067907</v>
      </c>
      <c r="JV40" s="306">
        <v>2016565</v>
      </c>
      <c r="JW40" s="307">
        <v>2088522</v>
      </c>
      <c r="JX40" s="306">
        <v>2072187</v>
      </c>
      <c r="JY40" s="306">
        <v>2194747</v>
      </c>
      <c r="JZ40" s="308">
        <v>2275925</v>
      </c>
      <c r="KA40" s="308">
        <v>2455077</v>
      </c>
      <c r="KB40" s="307">
        <v>2442609</v>
      </c>
      <c r="KC40" s="309">
        <v>2628208</v>
      </c>
      <c r="KD40" s="309">
        <v>2895438</v>
      </c>
      <c r="KE40" s="473">
        <v>3123444</v>
      </c>
    </row>
    <row r="41" spans="1:291" ht="12.75" customHeight="1" x14ac:dyDescent="0.2">
      <c r="B41" s="150"/>
      <c r="C41" s="350"/>
      <c r="D41" s="350"/>
      <c r="E41" s="350"/>
      <c r="F41" s="350"/>
      <c r="G41" s="350"/>
      <c r="H41" s="350"/>
      <c r="I41" s="350"/>
      <c r="J41" s="350"/>
      <c r="K41" s="350"/>
      <c r="L41" s="350"/>
      <c r="M41" s="433"/>
      <c r="N41" s="350"/>
      <c r="O41" s="433"/>
      <c r="P41" s="150"/>
      <c r="Q41" s="150"/>
      <c r="R41" s="150"/>
      <c r="S41" s="150"/>
      <c r="T41" s="150"/>
      <c r="U41" s="150"/>
      <c r="V41" s="150"/>
      <c r="W41" s="350"/>
      <c r="X41" s="350"/>
      <c r="Y41" s="350"/>
      <c r="Z41" s="433"/>
      <c r="AA41" s="158"/>
      <c r="AB41" s="158"/>
      <c r="AC41" s="158"/>
      <c r="AD41" s="158"/>
      <c r="AE41" s="158"/>
      <c r="AF41" s="158"/>
      <c r="AG41" s="158"/>
      <c r="AH41" s="350"/>
      <c r="AI41" s="350"/>
      <c r="AJ41" s="350"/>
      <c r="AK41" s="433"/>
      <c r="AL41" s="350"/>
      <c r="AM41" s="350"/>
      <c r="AN41" s="350"/>
      <c r="AO41" s="350"/>
      <c r="AP41" s="350"/>
      <c r="AQ41" s="350"/>
      <c r="AR41" s="350"/>
      <c r="AS41" s="350"/>
      <c r="AT41" s="350"/>
      <c r="AU41" s="350"/>
      <c r="AV41" s="433"/>
      <c r="AW41" s="158"/>
      <c r="AX41" s="158"/>
      <c r="AY41" s="158"/>
      <c r="AZ41" s="158"/>
      <c r="BA41" s="158"/>
      <c r="BB41" s="158"/>
      <c r="BC41" s="158"/>
      <c r="BD41" s="350"/>
      <c r="BE41" s="350"/>
      <c r="BF41" s="350"/>
      <c r="BG41" s="433"/>
      <c r="BH41" s="158"/>
      <c r="BI41" s="158"/>
      <c r="BJ41" s="158"/>
      <c r="BK41" s="158"/>
      <c r="BL41" s="158"/>
      <c r="BM41" s="158"/>
      <c r="BN41" s="158"/>
      <c r="BO41" s="350"/>
      <c r="BP41" s="350"/>
      <c r="BQ41" s="350"/>
      <c r="BR41" s="433"/>
      <c r="BS41" s="565"/>
      <c r="BT41" s="565"/>
      <c r="BU41" s="565"/>
      <c r="BV41" s="565"/>
      <c r="BW41" s="350"/>
      <c r="BX41" s="350"/>
      <c r="BY41" s="350"/>
      <c r="BZ41" s="350"/>
      <c r="CA41" s="350"/>
      <c r="CB41" s="350"/>
      <c r="CC41" s="433"/>
      <c r="CD41" s="350"/>
      <c r="CE41" s="350"/>
      <c r="CF41" s="350"/>
      <c r="CG41" s="350"/>
      <c r="CH41" s="350"/>
      <c r="CI41" s="350"/>
      <c r="CJ41" s="350"/>
      <c r="CK41" s="350"/>
      <c r="CL41" s="350"/>
      <c r="CM41" s="350"/>
      <c r="CN41" s="433"/>
      <c r="CO41" s="350"/>
      <c r="CP41" s="433"/>
      <c r="CQ41" s="350"/>
      <c r="CR41" s="350"/>
      <c r="CS41" s="350"/>
      <c r="CT41" s="350"/>
      <c r="CU41" s="350"/>
      <c r="CV41" s="350"/>
      <c r="CW41" s="350"/>
      <c r="CX41" s="350"/>
      <c r="CY41" s="350"/>
      <c r="CZ41" s="350"/>
      <c r="DA41" s="433"/>
      <c r="DB41" s="350"/>
      <c r="DC41" s="350"/>
      <c r="DD41" s="350"/>
      <c r="DE41" s="350"/>
      <c r="DF41" s="350"/>
      <c r="DG41" s="350"/>
      <c r="DH41" s="350"/>
      <c r="DI41" s="350"/>
      <c r="DJ41" s="350"/>
      <c r="DK41" s="350"/>
      <c r="DL41" s="350"/>
      <c r="DM41" s="350"/>
      <c r="DN41" s="350"/>
      <c r="DO41" s="350"/>
      <c r="DP41" s="350"/>
      <c r="DQ41" s="350"/>
      <c r="DR41" s="350"/>
      <c r="DS41" s="350"/>
      <c r="DT41" s="350"/>
      <c r="DU41" s="433"/>
      <c r="DV41" s="350"/>
      <c r="DW41" s="433"/>
      <c r="DX41" s="350"/>
      <c r="DY41" s="350"/>
      <c r="DZ41" s="350"/>
      <c r="EA41" s="350"/>
      <c r="EB41" s="350"/>
      <c r="EC41" s="350"/>
      <c r="ED41" s="350"/>
      <c r="EE41" s="350"/>
      <c r="EF41" s="350"/>
      <c r="EG41" s="350"/>
      <c r="EH41" s="433"/>
      <c r="EI41" s="350"/>
      <c r="EJ41" s="350"/>
      <c r="EK41" s="350"/>
      <c r="EL41" s="350"/>
      <c r="EM41" s="350"/>
      <c r="EN41" s="350"/>
      <c r="EO41" s="350"/>
      <c r="EP41" s="350"/>
      <c r="EQ41" s="350"/>
      <c r="ER41" s="350"/>
      <c r="ES41" s="433"/>
      <c r="ET41" s="350"/>
      <c r="EU41" s="350"/>
      <c r="EV41" s="350"/>
      <c r="EW41" s="350"/>
      <c r="EX41" s="350"/>
      <c r="EY41" s="350"/>
      <c r="EZ41" s="350"/>
      <c r="FA41" s="350"/>
      <c r="FB41" s="350"/>
      <c r="FC41" s="350"/>
      <c r="FD41" s="433"/>
      <c r="FE41" s="350"/>
      <c r="FF41" s="350"/>
      <c r="FG41" s="350"/>
      <c r="FH41" s="350"/>
      <c r="FI41" s="350"/>
      <c r="FJ41" s="350"/>
      <c r="FK41" s="350"/>
      <c r="FL41" s="350"/>
      <c r="FM41" s="350"/>
      <c r="FN41" s="350"/>
      <c r="FO41" s="433"/>
      <c r="FP41" s="350"/>
      <c r="FQ41" s="350"/>
      <c r="FR41" s="350"/>
      <c r="FS41" s="350"/>
      <c r="FT41" s="350"/>
      <c r="FU41" s="350"/>
      <c r="FV41" s="350"/>
      <c r="FW41" s="350"/>
      <c r="FX41" s="350"/>
      <c r="FY41" s="350"/>
      <c r="FZ41" s="433"/>
      <c r="GA41" s="350"/>
      <c r="GB41" s="350"/>
      <c r="GC41" s="350"/>
      <c r="GD41" s="350"/>
      <c r="GE41" s="350"/>
      <c r="GF41" s="350"/>
      <c r="GG41" s="350"/>
      <c r="GH41" s="350"/>
      <c r="GI41" s="350"/>
      <c r="GJ41" s="350"/>
      <c r="GK41" s="433"/>
      <c r="GL41" s="350"/>
      <c r="GM41" s="350"/>
      <c r="GN41" s="350"/>
      <c r="GO41" s="350"/>
      <c r="GP41" s="350"/>
      <c r="GQ41" s="350"/>
      <c r="GR41" s="350"/>
      <c r="GS41" s="350"/>
      <c r="GT41" s="350"/>
      <c r="GU41" s="350"/>
      <c r="GV41" s="433"/>
      <c r="GW41" s="350"/>
      <c r="GX41" s="350"/>
      <c r="GY41" s="350"/>
      <c r="GZ41" s="350"/>
      <c r="HA41" s="350"/>
      <c r="HB41" s="350"/>
      <c r="HC41" s="350"/>
      <c r="HD41" s="350"/>
      <c r="HE41" s="350"/>
      <c r="HF41" s="350"/>
      <c r="HG41" s="433"/>
      <c r="HH41" s="350"/>
      <c r="HI41" s="350"/>
      <c r="HJ41" s="350"/>
      <c r="HK41" s="350"/>
      <c r="HL41" s="350"/>
      <c r="HM41" s="350"/>
      <c r="HN41" s="350"/>
      <c r="HO41" s="350"/>
      <c r="HP41" s="350"/>
      <c r="HQ41" s="350"/>
      <c r="HR41" s="350"/>
      <c r="HS41" s="350"/>
      <c r="HT41" s="350"/>
      <c r="HU41" s="350"/>
      <c r="HV41" s="350"/>
      <c r="HW41" s="350"/>
      <c r="HX41" s="350"/>
      <c r="HY41" s="350"/>
      <c r="HZ41" s="350"/>
      <c r="IA41" s="350"/>
      <c r="IB41" s="433"/>
      <c r="IC41" s="350"/>
      <c r="ID41" s="350"/>
      <c r="IE41" s="350"/>
      <c r="IF41" s="350"/>
      <c r="IG41" s="350"/>
      <c r="IH41" s="350"/>
      <c r="II41" s="350"/>
      <c r="IJ41" s="350"/>
      <c r="IK41" s="350"/>
      <c r="IL41" s="350"/>
      <c r="IM41" s="433"/>
      <c r="IN41" s="350"/>
      <c r="IO41" s="350"/>
      <c r="IP41" s="350"/>
      <c r="IQ41" s="350"/>
      <c r="IR41" s="350"/>
      <c r="IS41" s="350"/>
      <c r="IT41" s="350"/>
      <c r="IU41" s="350"/>
      <c r="IV41" s="350"/>
      <c r="IW41" s="350"/>
      <c r="IX41" s="433"/>
      <c r="IY41" s="350"/>
      <c r="IZ41" s="350"/>
      <c r="JA41" s="350"/>
      <c r="JB41" s="350"/>
      <c r="JC41" s="350"/>
      <c r="JD41" s="350"/>
      <c r="JE41" s="350"/>
      <c r="JF41" s="350"/>
      <c r="JG41" s="350"/>
      <c r="JH41" s="350"/>
      <c r="JI41" s="433"/>
      <c r="JJ41" s="350"/>
      <c r="JK41" s="350"/>
      <c r="JL41" s="350"/>
      <c r="JM41" s="350"/>
      <c r="JN41" s="350"/>
      <c r="JO41" s="350"/>
      <c r="JP41" s="350"/>
      <c r="JQ41" s="350"/>
      <c r="JR41" s="350"/>
      <c r="JS41" s="350"/>
      <c r="JT41" s="433"/>
      <c r="JU41" s="350"/>
      <c r="KB41" s="350"/>
    </row>
    <row r="43" spans="1:291" s="394" customFormat="1" ht="102" customHeight="1" x14ac:dyDescent="0.2">
      <c r="A43" s="521" t="s">
        <v>396</v>
      </c>
      <c r="B43" s="521"/>
      <c r="C43" s="391"/>
      <c r="D43" s="391"/>
      <c r="E43" s="391"/>
      <c r="F43" s="391"/>
      <c r="G43" s="391"/>
      <c r="H43" s="391"/>
      <c r="I43" s="391"/>
      <c r="J43" s="391"/>
      <c r="K43" s="391"/>
      <c r="L43" s="391"/>
      <c r="M43" s="391"/>
      <c r="N43" s="391"/>
      <c r="O43" s="391"/>
      <c r="P43" s="392"/>
      <c r="Q43" s="392"/>
      <c r="R43" s="392"/>
      <c r="S43" s="392"/>
      <c r="T43" s="392"/>
      <c r="U43" s="392"/>
      <c r="V43" s="392"/>
      <c r="W43" s="393"/>
      <c r="X43" s="393"/>
      <c r="Y43" s="393"/>
      <c r="Z43" s="393"/>
      <c r="AA43" s="393"/>
      <c r="AB43" s="393"/>
      <c r="AC43" s="393"/>
      <c r="AD43" s="393"/>
      <c r="AE43" s="393"/>
      <c r="AF43" s="393"/>
      <c r="AG43" s="393"/>
      <c r="AH43" s="393"/>
      <c r="AI43" s="393"/>
      <c r="AJ43" s="393"/>
      <c r="AK43" s="393"/>
      <c r="AL43" s="393"/>
      <c r="AM43" s="393"/>
      <c r="AN43" s="393"/>
      <c r="AO43" s="393"/>
      <c r="AP43" s="393"/>
      <c r="AQ43" s="393"/>
      <c r="AR43" s="393"/>
      <c r="AS43" s="393"/>
      <c r="AT43" s="393"/>
      <c r="AU43" s="393"/>
      <c r="AV43" s="393"/>
      <c r="AW43" s="393"/>
      <c r="AX43" s="393"/>
      <c r="AY43" s="393"/>
      <c r="AZ43" s="393"/>
      <c r="BA43" s="393"/>
      <c r="BB43" s="393"/>
      <c r="BC43" s="393"/>
      <c r="BD43" s="393"/>
      <c r="BE43" s="393"/>
      <c r="BF43" s="393"/>
      <c r="BG43" s="393"/>
      <c r="BH43" s="393"/>
      <c r="BI43" s="393"/>
      <c r="BJ43" s="393"/>
      <c r="BK43" s="393"/>
      <c r="BL43" s="393"/>
      <c r="BM43" s="393"/>
      <c r="BN43" s="393"/>
      <c r="BO43" s="393"/>
      <c r="BP43" s="393"/>
      <c r="BQ43" s="393"/>
      <c r="BR43" s="393"/>
      <c r="BS43" s="393"/>
      <c r="BT43" s="393"/>
      <c r="BU43" s="393"/>
      <c r="BV43" s="393"/>
      <c r="BW43" s="393"/>
      <c r="BX43" s="393"/>
      <c r="BY43" s="393"/>
      <c r="BZ43" s="393"/>
      <c r="CA43" s="393"/>
      <c r="CB43" s="393"/>
      <c r="CC43" s="393"/>
      <c r="CD43" s="393"/>
      <c r="CE43" s="393"/>
      <c r="CF43" s="393"/>
      <c r="CG43" s="393"/>
      <c r="CH43" s="393"/>
      <c r="CI43" s="393"/>
      <c r="CJ43" s="393"/>
      <c r="CK43" s="393"/>
      <c r="CL43" s="393"/>
      <c r="CM43" s="393"/>
      <c r="CN43" s="393"/>
      <c r="CO43" s="393"/>
      <c r="CP43" s="393"/>
      <c r="CQ43" s="393"/>
      <c r="CR43" s="393"/>
      <c r="CS43" s="393"/>
      <c r="CT43" s="393"/>
      <c r="CU43" s="393"/>
      <c r="CV43" s="393"/>
      <c r="CW43" s="393"/>
      <c r="CX43" s="393"/>
      <c r="CY43" s="393"/>
      <c r="CZ43" s="393"/>
      <c r="DA43" s="393"/>
      <c r="DB43" s="393"/>
      <c r="DC43" s="393"/>
      <c r="DD43" s="393"/>
      <c r="DE43" s="393"/>
      <c r="DF43" s="393"/>
      <c r="DG43" s="393"/>
      <c r="DH43" s="393"/>
      <c r="DI43" s="393"/>
      <c r="DJ43" s="393"/>
      <c r="DK43" s="393"/>
      <c r="DL43" s="393"/>
      <c r="DM43" s="393"/>
      <c r="DN43" s="393"/>
      <c r="DO43" s="393"/>
      <c r="DP43" s="393"/>
      <c r="DQ43" s="393"/>
      <c r="DR43" s="393"/>
      <c r="DS43" s="393"/>
      <c r="DT43" s="393"/>
      <c r="DU43" s="393"/>
      <c r="DV43" s="393"/>
      <c r="DW43" s="393"/>
      <c r="DX43" s="393"/>
      <c r="DY43" s="393"/>
      <c r="DZ43" s="393"/>
      <c r="EA43" s="393"/>
      <c r="EB43" s="393"/>
      <c r="EC43" s="393"/>
      <c r="ED43" s="393"/>
      <c r="EE43" s="393"/>
      <c r="EF43" s="393"/>
      <c r="EG43" s="393"/>
      <c r="EH43" s="393"/>
      <c r="EI43" s="393"/>
      <c r="EJ43" s="393"/>
      <c r="EK43" s="393"/>
      <c r="EL43" s="393"/>
      <c r="EM43" s="393"/>
      <c r="EN43" s="393"/>
      <c r="EO43" s="393"/>
      <c r="EP43" s="393"/>
      <c r="EQ43" s="393"/>
      <c r="ER43" s="393"/>
      <c r="ES43" s="393"/>
      <c r="ET43" s="393"/>
      <c r="EU43" s="393"/>
      <c r="EV43" s="393"/>
      <c r="EW43" s="393"/>
      <c r="EX43" s="393"/>
      <c r="EY43" s="393"/>
      <c r="EZ43" s="393"/>
      <c r="FA43" s="393"/>
      <c r="FB43" s="393"/>
      <c r="FC43" s="393"/>
      <c r="FD43" s="393"/>
      <c r="FE43" s="393"/>
      <c r="FF43" s="393"/>
      <c r="FG43" s="393"/>
      <c r="FH43" s="393"/>
      <c r="FI43" s="393"/>
      <c r="FJ43" s="393"/>
      <c r="FK43" s="393"/>
      <c r="FL43" s="393"/>
      <c r="FM43" s="393"/>
      <c r="FN43" s="393"/>
      <c r="FO43" s="393"/>
      <c r="FP43" s="393"/>
      <c r="FQ43" s="393"/>
      <c r="FR43" s="393"/>
      <c r="FS43" s="393"/>
      <c r="FT43" s="393"/>
      <c r="FU43" s="393"/>
      <c r="FV43" s="393"/>
      <c r="FW43" s="393"/>
      <c r="FX43" s="393"/>
      <c r="FY43" s="393"/>
      <c r="FZ43" s="393"/>
      <c r="GA43" s="393"/>
      <c r="GB43" s="393"/>
      <c r="GC43" s="393"/>
      <c r="GD43" s="393"/>
      <c r="GE43" s="393"/>
      <c r="GF43" s="393"/>
      <c r="GG43" s="393"/>
      <c r="GH43" s="393"/>
      <c r="GI43" s="393"/>
      <c r="GJ43" s="393"/>
      <c r="GK43" s="393"/>
      <c r="GL43" s="393"/>
      <c r="GM43" s="393"/>
      <c r="GN43" s="393"/>
      <c r="GO43" s="393"/>
      <c r="GP43" s="393"/>
      <c r="GQ43" s="393"/>
      <c r="GR43" s="393"/>
      <c r="GS43" s="393"/>
      <c r="GT43" s="393"/>
      <c r="GU43" s="393"/>
      <c r="GV43" s="393"/>
      <c r="GW43" s="393"/>
      <c r="GX43" s="393"/>
      <c r="GY43" s="393"/>
      <c r="GZ43" s="393"/>
      <c r="HA43" s="393"/>
      <c r="HB43" s="393"/>
      <c r="HC43" s="393"/>
      <c r="HD43" s="393"/>
      <c r="HE43" s="393"/>
      <c r="HF43" s="393"/>
      <c r="HG43" s="393"/>
      <c r="HH43" s="393"/>
      <c r="HI43" s="393"/>
      <c r="HJ43" s="393"/>
      <c r="HK43" s="393"/>
      <c r="HL43" s="393"/>
      <c r="HM43" s="393"/>
      <c r="HN43" s="393"/>
      <c r="HO43" s="393"/>
      <c r="HP43" s="393"/>
      <c r="HQ43" s="393"/>
      <c r="HR43" s="393"/>
      <c r="HS43" s="393"/>
      <c r="HT43" s="393"/>
      <c r="HU43" s="393"/>
      <c r="HV43" s="393"/>
      <c r="HW43" s="393"/>
      <c r="HX43" s="393"/>
      <c r="HY43" s="393"/>
      <c r="HZ43" s="393"/>
      <c r="IA43" s="393"/>
      <c r="IB43" s="393"/>
      <c r="IC43" s="393"/>
      <c r="ID43" s="393"/>
      <c r="IE43" s="393"/>
      <c r="IF43" s="393"/>
      <c r="IG43" s="393"/>
      <c r="IH43" s="393"/>
      <c r="II43" s="393"/>
      <c r="IJ43" s="393"/>
      <c r="IK43" s="393"/>
      <c r="IL43" s="393"/>
      <c r="IM43" s="393"/>
      <c r="IN43" s="393"/>
      <c r="IO43" s="393"/>
      <c r="IP43" s="393"/>
      <c r="IQ43" s="393"/>
      <c r="IR43" s="393"/>
      <c r="IS43" s="393"/>
      <c r="IT43" s="393"/>
      <c r="IU43" s="393"/>
      <c r="IV43" s="393"/>
      <c r="IW43" s="393"/>
      <c r="IX43" s="393"/>
      <c r="IY43" s="393"/>
      <c r="IZ43" s="393"/>
      <c r="JA43" s="393"/>
      <c r="JB43" s="393"/>
      <c r="JC43" s="393"/>
      <c r="JD43" s="393"/>
      <c r="JE43" s="393"/>
      <c r="JF43" s="393"/>
      <c r="JG43" s="393"/>
      <c r="JH43" s="393"/>
      <c r="JI43" s="393"/>
      <c r="JJ43" s="393"/>
      <c r="JK43" s="393"/>
      <c r="JL43" s="393"/>
      <c r="JM43" s="393"/>
      <c r="JN43" s="393"/>
      <c r="JO43" s="393"/>
      <c r="JP43" s="393"/>
      <c r="JQ43" s="393"/>
      <c r="JR43" s="393"/>
      <c r="JS43" s="393"/>
      <c r="JT43" s="393"/>
      <c r="JU43" s="393"/>
      <c r="KB43" s="393"/>
    </row>
    <row r="44" spans="1:291" x14ac:dyDescent="0.2">
      <c r="A44" s="521" t="s">
        <v>393</v>
      </c>
      <c r="B44" s="521"/>
      <c r="C44" s="521"/>
      <c r="D44" s="521"/>
      <c r="E44" s="521"/>
      <c r="F44" s="521"/>
      <c r="G44" s="521"/>
      <c r="H44" s="521"/>
      <c r="I44" s="521"/>
      <c r="J44" s="521"/>
      <c r="K44" s="521"/>
      <c r="L44" s="521"/>
      <c r="M44" s="432"/>
    </row>
    <row r="51" spans="2:287" s="160" customFormat="1" x14ac:dyDescent="0.2">
      <c r="B51" s="159"/>
      <c r="P51" s="159"/>
      <c r="Q51" s="159"/>
      <c r="R51" s="159"/>
      <c r="S51" s="159"/>
      <c r="T51" s="159"/>
      <c r="U51" s="159"/>
      <c r="V51" s="159"/>
      <c r="JV51" s="150"/>
      <c r="JW51" s="150"/>
      <c r="JX51" s="150"/>
      <c r="JY51" s="150"/>
      <c r="JZ51" s="150"/>
      <c r="KA51" s="150"/>
    </row>
    <row r="52" spans="2:287" s="160" customFormat="1" x14ac:dyDescent="0.2">
      <c r="B52" s="159"/>
      <c r="P52" s="159"/>
      <c r="Q52" s="159"/>
      <c r="R52" s="159"/>
      <c r="S52" s="159"/>
      <c r="T52" s="159"/>
      <c r="U52" s="159"/>
      <c r="V52" s="159"/>
      <c r="JV52" s="150"/>
      <c r="JW52" s="150"/>
      <c r="JX52" s="150"/>
      <c r="JY52" s="150"/>
      <c r="JZ52" s="150"/>
      <c r="KA52" s="150"/>
    </row>
    <row r="53" spans="2:287" s="160" customFormat="1" x14ac:dyDescent="0.2">
      <c r="B53" s="159"/>
      <c r="P53" s="159"/>
      <c r="Q53" s="159"/>
      <c r="R53" s="159"/>
      <c r="S53" s="159"/>
      <c r="T53" s="159"/>
      <c r="U53" s="159"/>
      <c r="V53" s="159"/>
      <c r="JV53" s="150"/>
      <c r="JW53" s="150"/>
      <c r="JX53" s="150"/>
      <c r="JY53" s="150"/>
      <c r="JZ53" s="150"/>
      <c r="KA53" s="150"/>
    </row>
    <row r="54" spans="2:287" s="160" customFormat="1" x14ac:dyDescent="0.2">
      <c r="B54" s="159"/>
      <c r="P54" s="159"/>
      <c r="Q54" s="159"/>
      <c r="R54" s="159"/>
      <c r="S54" s="159"/>
      <c r="T54" s="159"/>
      <c r="U54" s="159"/>
      <c r="V54" s="159"/>
      <c r="JV54" s="150"/>
      <c r="JW54" s="150"/>
      <c r="JX54" s="150"/>
      <c r="JY54" s="150"/>
      <c r="JZ54" s="150"/>
      <c r="KA54" s="150"/>
    </row>
    <row r="55" spans="2:287" s="160" customFormat="1" x14ac:dyDescent="0.2">
      <c r="B55" s="159"/>
      <c r="P55" s="159"/>
      <c r="Q55" s="159"/>
      <c r="R55" s="159"/>
      <c r="S55" s="159"/>
      <c r="T55" s="159"/>
      <c r="U55" s="159"/>
      <c r="V55" s="159"/>
      <c r="JV55" s="150"/>
      <c r="JW55" s="150"/>
      <c r="JX55" s="150"/>
      <c r="JY55" s="150"/>
      <c r="JZ55" s="150"/>
      <c r="KA55" s="150"/>
    </row>
    <row r="56" spans="2:287" s="160" customFormat="1" x14ac:dyDescent="0.2">
      <c r="B56" s="159"/>
      <c r="P56" s="159"/>
      <c r="Q56" s="159"/>
      <c r="R56" s="159"/>
      <c r="S56" s="159"/>
      <c r="T56" s="159"/>
      <c r="U56" s="159"/>
      <c r="V56" s="159"/>
      <c r="JV56" s="150"/>
      <c r="JW56" s="150"/>
      <c r="JX56" s="150"/>
      <c r="JY56" s="150"/>
      <c r="JZ56" s="150"/>
      <c r="KA56" s="150"/>
    </row>
    <row r="57" spans="2:287" s="160" customFormat="1" x14ac:dyDescent="0.2">
      <c r="B57" s="159"/>
      <c r="P57" s="159"/>
      <c r="Q57" s="159"/>
      <c r="R57" s="159"/>
      <c r="S57" s="159"/>
      <c r="T57" s="159"/>
      <c r="U57" s="159"/>
      <c r="V57" s="159"/>
      <c r="JV57" s="150"/>
      <c r="JW57" s="150"/>
      <c r="JX57" s="150"/>
      <c r="JY57" s="150"/>
      <c r="JZ57" s="150"/>
      <c r="KA57" s="150"/>
    </row>
    <row r="58" spans="2:287" s="160" customFormat="1" x14ac:dyDescent="0.2">
      <c r="B58" s="159"/>
      <c r="P58" s="159"/>
      <c r="Q58" s="159"/>
      <c r="R58" s="159"/>
      <c r="S58" s="159"/>
      <c r="T58" s="159"/>
      <c r="U58" s="159"/>
      <c r="V58" s="159"/>
      <c r="JV58" s="150"/>
      <c r="JW58" s="150"/>
      <c r="JX58" s="150"/>
      <c r="JY58" s="150"/>
      <c r="JZ58" s="150"/>
      <c r="KA58" s="150"/>
    </row>
    <row r="59" spans="2:287" s="160" customFormat="1" x14ac:dyDescent="0.2">
      <c r="B59" s="159"/>
      <c r="P59" s="159"/>
      <c r="Q59" s="159"/>
      <c r="R59" s="159"/>
      <c r="S59" s="159"/>
      <c r="T59" s="159"/>
      <c r="U59" s="159"/>
      <c r="V59" s="159"/>
      <c r="JV59" s="150"/>
      <c r="JW59" s="150"/>
      <c r="JX59" s="150"/>
      <c r="JY59" s="150"/>
      <c r="JZ59" s="150"/>
      <c r="KA59" s="150"/>
    </row>
    <row r="60" spans="2:287" s="160" customFormat="1" x14ac:dyDescent="0.2">
      <c r="B60" s="159"/>
      <c r="P60" s="159"/>
      <c r="Q60" s="159"/>
      <c r="R60" s="159"/>
      <c r="S60" s="159"/>
      <c r="T60" s="159"/>
      <c r="U60" s="159"/>
      <c r="V60" s="159"/>
      <c r="JV60" s="150"/>
      <c r="JW60" s="150"/>
      <c r="JX60" s="150"/>
      <c r="JY60" s="150"/>
      <c r="JZ60" s="150"/>
      <c r="KA60" s="150"/>
    </row>
    <row r="61" spans="2:287" s="160" customFormat="1" x14ac:dyDescent="0.2">
      <c r="B61" s="159"/>
      <c r="P61" s="159"/>
      <c r="Q61" s="159"/>
      <c r="R61" s="159"/>
      <c r="S61" s="159"/>
      <c r="T61" s="159"/>
      <c r="U61" s="159"/>
      <c r="V61" s="159"/>
      <c r="JV61" s="150"/>
      <c r="JW61" s="150"/>
      <c r="JX61" s="150"/>
      <c r="JY61" s="150"/>
      <c r="JZ61" s="150"/>
      <c r="KA61" s="150"/>
    </row>
    <row r="62" spans="2:287" s="160" customFormat="1" x14ac:dyDescent="0.2">
      <c r="B62" s="159"/>
      <c r="P62" s="159"/>
      <c r="Q62" s="159"/>
      <c r="R62" s="159"/>
      <c r="S62" s="159"/>
      <c r="T62" s="159"/>
      <c r="U62" s="159"/>
      <c r="V62" s="159"/>
      <c r="JV62" s="150"/>
      <c r="JW62" s="150"/>
      <c r="JX62" s="150"/>
      <c r="JY62" s="150"/>
      <c r="JZ62" s="150"/>
      <c r="KA62" s="150"/>
    </row>
    <row r="63" spans="2:287" s="160" customFormat="1" x14ac:dyDescent="0.2">
      <c r="B63" s="159"/>
      <c r="P63" s="159"/>
      <c r="Q63" s="159"/>
      <c r="R63" s="159"/>
      <c r="S63" s="159"/>
      <c r="T63" s="159"/>
      <c r="U63" s="159"/>
      <c r="V63" s="159"/>
      <c r="JV63" s="150"/>
      <c r="JW63" s="150"/>
      <c r="JX63" s="150"/>
      <c r="JY63" s="150"/>
      <c r="JZ63" s="150"/>
      <c r="KA63" s="150"/>
    </row>
    <row r="64" spans="2:287" s="160" customFormat="1" x14ac:dyDescent="0.2">
      <c r="B64" s="159"/>
      <c r="P64" s="159"/>
      <c r="Q64" s="159"/>
      <c r="R64" s="159"/>
      <c r="S64" s="159"/>
      <c r="T64" s="159"/>
      <c r="U64" s="159"/>
      <c r="V64" s="159"/>
      <c r="JV64" s="150"/>
      <c r="JW64" s="150"/>
      <c r="JX64" s="150"/>
      <c r="JY64" s="150"/>
      <c r="JZ64" s="150"/>
      <c r="KA64" s="150"/>
    </row>
    <row r="65" spans="2:287" s="160" customFormat="1" x14ac:dyDescent="0.2">
      <c r="B65" s="159"/>
      <c r="P65" s="159"/>
      <c r="Q65" s="159"/>
      <c r="R65" s="159"/>
      <c r="S65" s="159"/>
      <c r="T65" s="159"/>
      <c r="U65" s="159"/>
      <c r="V65" s="159"/>
      <c r="JV65" s="150"/>
      <c r="JW65" s="150"/>
      <c r="JX65" s="150"/>
      <c r="JY65" s="150"/>
      <c r="JZ65" s="150"/>
      <c r="KA65" s="150"/>
    </row>
    <row r="66" spans="2:287" s="160" customFormat="1" x14ac:dyDescent="0.2">
      <c r="B66" s="159"/>
      <c r="P66" s="159"/>
      <c r="Q66" s="159"/>
      <c r="R66" s="159"/>
      <c r="S66" s="159"/>
      <c r="T66" s="159"/>
      <c r="U66" s="159"/>
      <c r="V66" s="159"/>
      <c r="JV66" s="150"/>
      <c r="JW66" s="150"/>
      <c r="JX66" s="150"/>
      <c r="JY66" s="150"/>
      <c r="JZ66" s="150"/>
      <c r="KA66" s="150"/>
    </row>
    <row r="67" spans="2:287" s="160" customFormat="1" x14ac:dyDescent="0.2">
      <c r="B67" s="159"/>
      <c r="P67" s="159"/>
      <c r="Q67" s="159"/>
      <c r="R67" s="159"/>
      <c r="S67" s="159"/>
      <c r="T67" s="159"/>
      <c r="U67" s="159"/>
      <c r="V67" s="159"/>
      <c r="JV67" s="150"/>
      <c r="JW67" s="150"/>
      <c r="JX67" s="150"/>
      <c r="JY67" s="150"/>
      <c r="JZ67" s="150"/>
      <c r="KA67" s="150"/>
    </row>
    <row r="68" spans="2:287" s="160" customFormat="1" x14ac:dyDescent="0.2">
      <c r="B68" s="159"/>
      <c r="P68" s="159"/>
      <c r="Q68" s="159"/>
      <c r="R68" s="159"/>
      <c r="S68" s="159"/>
      <c r="T68" s="159"/>
      <c r="U68" s="159"/>
      <c r="V68" s="159"/>
      <c r="JV68" s="150"/>
      <c r="JW68" s="150"/>
      <c r="JX68" s="150"/>
      <c r="JY68" s="150"/>
      <c r="JZ68" s="150"/>
      <c r="KA68" s="150"/>
    </row>
    <row r="69" spans="2:287" s="160" customFormat="1" x14ac:dyDescent="0.2">
      <c r="B69" s="159"/>
      <c r="P69" s="159"/>
      <c r="Q69" s="159"/>
      <c r="R69" s="159"/>
      <c r="S69" s="159"/>
      <c r="T69" s="159"/>
      <c r="U69" s="159"/>
      <c r="V69" s="159"/>
      <c r="JV69" s="150"/>
      <c r="JW69" s="150"/>
      <c r="JX69" s="150"/>
      <c r="JY69" s="150"/>
      <c r="JZ69" s="150"/>
      <c r="KA69" s="150"/>
    </row>
    <row r="70" spans="2:287" s="160" customFormat="1" x14ac:dyDescent="0.2">
      <c r="B70" s="159"/>
      <c r="P70" s="159"/>
      <c r="Q70" s="159"/>
      <c r="R70" s="159"/>
      <c r="S70" s="159"/>
      <c r="T70" s="159"/>
      <c r="U70" s="159"/>
      <c r="V70" s="159"/>
      <c r="JV70" s="150"/>
      <c r="JW70" s="150"/>
      <c r="JX70" s="150"/>
      <c r="JY70" s="150"/>
      <c r="JZ70" s="150"/>
      <c r="KA70" s="150"/>
    </row>
    <row r="71" spans="2:287" s="160" customFormat="1" x14ac:dyDescent="0.2">
      <c r="B71" s="159"/>
      <c r="P71" s="159"/>
      <c r="Q71" s="159"/>
      <c r="R71" s="159"/>
      <c r="S71" s="159"/>
      <c r="T71" s="159"/>
      <c r="U71" s="159"/>
      <c r="V71" s="159"/>
      <c r="JV71" s="150"/>
      <c r="JW71" s="150"/>
      <c r="JX71" s="150"/>
      <c r="JY71" s="150"/>
      <c r="JZ71" s="150"/>
      <c r="KA71" s="150"/>
    </row>
    <row r="72" spans="2:287" s="160" customFormat="1" x14ac:dyDescent="0.2">
      <c r="B72" s="159"/>
      <c r="P72" s="159"/>
      <c r="Q72" s="159"/>
      <c r="R72" s="159"/>
      <c r="S72" s="159"/>
      <c r="T72" s="159"/>
      <c r="U72" s="159"/>
      <c r="V72" s="159"/>
      <c r="JV72" s="150"/>
      <c r="JW72" s="150"/>
      <c r="JX72" s="150"/>
      <c r="JY72" s="150"/>
      <c r="JZ72" s="150"/>
      <c r="KA72" s="150"/>
    </row>
    <row r="73" spans="2:287" s="160" customFormat="1" x14ac:dyDescent="0.2">
      <c r="B73" s="159"/>
      <c r="P73" s="159"/>
      <c r="Q73" s="159"/>
      <c r="R73" s="159"/>
      <c r="S73" s="159"/>
      <c r="T73" s="159"/>
      <c r="U73" s="159"/>
      <c r="V73" s="159"/>
      <c r="JV73" s="150"/>
      <c r="JW73" s="150"/>
      <c r="JX73" s="150"/>
      <c r="JY73" s="150"/>
      <c r="JZ73" s="150"/>
      <c r="KA73" s="150"/>
    </row>
    <row r="74" spans="2:287" s="160" customFormat="1" x14ac:dyDescent="0.2">
      <c r="B74" s="159"/>
      <c r="P74" s="159"/>
      <c r="Q74" s="159"/>
      <c r="R74" s="159"/>
      <c r="S74" s="159"/>
      <c r="T74" s="159"/>
      <c r="U74" s="159"/>
      <c r="V74" s="159"/>
      <c r="JV74" s="150"/>
      <c r="JW74" s="150"/>
      <c r="JX74" s="150"/>
      <c r="JY74" s="150"/>
      <c r="JZ74" s="150"/>
      <c r="KA74" s="150"/>
    </row>
    <row r="75" spans="2:287" s="160" customFormat="1" x14ac:dyDescent="0.2">
      <c r="B75" s="159"/>
      <c r="P75" s="159"/>
      <c r="Q75" s="159"/>
      <c r="R75" s="159"/>
      <c r="S75" s="159"/>
      <c r="T75" s="159"/>
      <c r="U75" s="159"/>
      <c r="V75" s="159"/>
      <c r="JV75" s="150"/>
      <c r="JW75" s="150"/>
      <c r="JX75" s="150"/>
      <c r="JY75" s="150"/>
      <c r="JZ75" s="150"/>
      <c r="KA75" s="150"/>
    </row>
    <row r="76" spans="2:287" s="160" customFormat="1" x14ac:dyDescent="0.2">
      <c r="B76" s="159"/>
      <c r="P76" s="159"/>
      <c r="Q76" s="159"/>
      <c r="R76" s="159"/>
      <c r="S76" s="159"/>
      <c r="T76" s="159"/>
      <c r="U76" s="159"/>
      <c r="V76" s="159"/>
      <c r="JV76" s="150"/>
      <c r="JW76" s="150"/>
      <c r="JX76" s="150"/>
      <c r="JY76" s="150"/>
      <c r="JZ76" s="150"/>
      <c r="KA76" s="150"/>
    </row>
    <row r="77" spans="2:287" s="160" customFormat="1" x14ac:dyDescent="0.2">
      <c r="B77" s="159"/>
      <c r="P77" s="159"/>
      <c r="Q77" s="159"/>
      <c r="R77" s="159"/>
      <c r="S77" s="159"/>
      <c r="T77" s="159"/>
      <c r="U77" s="159"/>
      <c r="V77" s="159"/>
      <c r="JV77" s="150"/>
      <c r="JW77" s="150"/>
      <c r="JX77" s="150"/>
      <c r="JY77" s="150"/>
      <c r="JZ77" s="150"/>
      <c r="KA77" s="150"/>
    </row>
    <row r="78" spans="2:287" s="160" customFormat="1" x14ac:dyDescent="0.2">
      <c r="B78" s="159"/>
      <c r="P78" s="159"/>
      <c r="Q78" s="159"/>
      <c r="R78" s="159"/>
      <c r="S78" s="159"/>
      <c r="T78" s="159"/>
      <c r="U78" s="159"/>
      <c r="V78" s="159"/>
      <c r="JV78" s="150"/>
      <c r="JW78" s="150"/>
      <c r="JX78" s="150"/>
      <c r="JY78" s="150"/>
      <c r="JZ78" s="150"/>
      <c r="KA78" s="150"/>
    </row>
    <row r="79" spans="2:287" s="160" customFormat="1" x14ac:dyDescent="0.2">
      <c r="B79" s="159"/>
      <c r="P79" s="159"/>
      <c r="Q79" s="159"/>
      <c r="R79" s="159"/>
      <c r="S79" s="159"/>
      <c r="T79" s="159"/>
      <c r="U79" s="159"/>
      <c r="V79" s="159"/>
      <c r="JV79" s="150"/>
      <c r="JW79" s="150"/>
      <c r="JX79" s="150"/>
      <c r="JY79" s="150"/>
      <c r="JZ79" s="150"/>
      <c r="KA79" s="150"/>
    </row>
    <row r="80" spans="2:287" s="160" customFormat="1" x14ac:dyDescent="0.2">
      <c r="B80" s="159"/>
      <c r="P80" s="159"/>
      <c r="Q80" s="159"/>
      <c r="R80" s="159"/>
      <c r="S80" s="159"/>
      <c r="T80" s="159"/>
      <c r="U80" s="159"/>
      <c r="V80" s="159"/>
      <c r="JV80" s="150"/>
      <c r="JW80" s="150"/>
      <c r="JX80" s="150"/>
      <c r="JY80" s="150"/>
      <c r="JZ80" s="150"/>
      <c r="KA80" s="150"/>
    </row>
    <row r="81" spans="2:287" s="160" customFormat="1" x14ac:dyDescent="0.2">
      <c r="B81" s="159"/>
      <c r="P81" s="159"/>
      <c r="Q81" s="159"/>
      <c r="R81" s="159"/>
      <c r="S81" s="159"/>
      <c r="T81" s="159"/>
      <c r="U81" s="159"/>
      <c r="V81" s="159"/>
      <c r="JV81" s="150"/>
      <c r="JW81" s="150"/>
      <c r="JX81" s="150"/>
      <c r="JY81" s="150"/>
      <c r="JZ81" s="150"/>
      <c r="KA81" s="150"/>
    </row>
    <row r="82" spans="2:287" s="160" customFormat="1" x14ac:dyDescent="0.2">
      <c r="B82" s="159"/>
      <c r="P82" s="159"/>
      <c r="Q82" s="159"/>
      <c r="R82" s="159"/>
      <c r="S82" s="159"/>
      <c r="T82" s="159"/>
      <c r="U82" s="159"/>
      <c r="V82" s="159"/>
      <c r="JV82" s="150"/>
      <c r="JW82" s="150"/>
      <c r="JX82" s="150"/>
      <c r="JY82" s="150"/>
      <c r="JZ82" s="150"/>
      <c r="KA82" s="150"/>
    </row>
    <row r="83" spans="2:287" s="160" customFormat="1" x14ac:dyDescent="0.2">
      <c r="B83" s="159"/>
      <c r="P83" s="159"/>
      <c r="Q83" s="159"/>
      <c r="R83" s="159"/>
      <c r="S83" s="159"/>
      <c r="T83" s="159"/>
      <c r="U83" s="159"/>
      <c r="V83" s="159"/>
      <c r="JV83" s="150"/>
      <c r="JW83" s="150"/>
      <c r="JX83" s="150"/>
      <c r="JY83" s="150"/>
      <c r="JZ83" s="150"/>
      <c r="KA83" s="150"/>
    </row>
    <row r="84" spans="2:287" s="160" customFormat="1" x14ac:dyDescent="0.2">
      <c r="B84" s="159"/>
      <c r="P84" s="159"/>
      <c r="Q84" s="159"/>
      <c r="R84" s="159"/>
      <c r="S84" s="159"/>
      <c r="T84" s="159"/>
      <c r="U84" s="159"/>
      <c r="V84" s="159"/>
      <c r="JV84" s="150"/>
      <c r="JW84" s="150"/>
      <c r="JX84" s="150"/>
      <c r="JY84" s="150"/>
      <c r="JZ84" s="150"/>
      <c r="KA84" s="150"/>
    </row>
    <row r="85" spans="2:287" s="160" customFormat="1" x14ac:dyDescent="0.2">
      <c r="B85" s="159"/>
      <c r="P85" s="159"/>
      <c r="Q85" s="159"/>
      <c r="R85" s="159"/>
      <c r="S85" s="159"/>
      <c r="T85" s="159"/>
      <c r="U85" s="159"/>
      <c r="V85" s="159"/>
      <c r="JV85" s="150"/>
      <c r="JW85" s="150"/>
      <c r="JX85" s="150"/>
      <c r="JY85" s="150"/>
      <c r="JZ85" s="150"/>
      <c r="KA85" s="150"/>
    </row>
    <row r="86" spans="2:287" s="160" customFormat="1" x14ac:dyDescent="0.2">
      <c r="B86" s="159"/>
      <c r="P86" s="159"/>
      <c r="Q86" s="159"/>
      <c r="R86" s="159"/>
      <c r="S86" s="159"/>
      <c r="T86" s="159"/>
      <c r="U86" s="159"/>
      <c r="V86" s="159"/>
      <c r="JV86" s="150"/>
      <c r="JW86" s="150"/>
      <c r="JX86" s="150"/>
      <c r="JY86" s="150"/>
      <c r="JZ86" s="150"/>
      <c r="KA86" s="150"/>
    </row>
    <row r="87" spans="2:287" s="160" customFormat="1" x14ac:dyDescent="0.2">
      <c r="B87" s="159"/>
      <c r="P87" s="159"/>
      <c r="Q87" s="159"/>
      <c r="R87" s="159"/>
      <c r="S87" s="159"/>
      <c r="T87" s="159"/>
      <c r="U87" s="159"/>
      <c r="V87" s="159"/>
      <c r="JV87" s="150"/>
      <c r="JW87" s="150"/>
      <c r="JX87" s="150"/>
      <c r="JY87" s="150"/>
      <c r="JZ87" s="150"/>
      <c r="KA87" s="150"/>
    </row>
    <row r="88" spans="2:287" s="160" customFormat="1" x14ac:dyDescent="0.2">
      <c r="B88" s="159"/>
      <c r="P88" s="159"/>
      <c r="Q88" s="159"/>
      <c r="R88" s="159"/>
      <c r="S88" s="159"/>
      <c r="T88" s="159"/>
      <c r="U88" s="159"/>
      <c r="V88" s="159"/>
      <c r="JV88" s="150"/>
      <c r="JW88" s="150"/>
      <c r="JX88" s="150"/>
      <c r="JY88" s="150"/>
      <c r="JZ88" s="150"/>
      <c r="KA88" s="150"/>
    </row>
    <row r="89" spans="2:287" s="160" customFormat="1" x14ac:dyDescent="0.2">
      <c r="B89" s="159"/>
      <c r="P89" s="159"/>
      <c r="Q89" s="159"/>
      <c r="R89" s="159"/>
      <c r="S89" s="159"/>
      <c r="T89" s="159"/>
      <c r="U89" s="159"/>
      <c r="V89" s="159"/>
      <c r="JV89" s="150"/>
      <c r="JW89" s="150"/>
      <c r="JX89" s="150"/>
      <c r="JY89" s="150"/>
      <c r="JZ89" s="150"/>
      <c r="KA89" s="150"/>
    </row>
    <row r="90" spans="2:287" s="160" customFormat="1" x14ac:dyDescent="0.2">
      <c r="B90" s="159"/>
      <c r="P90" s="159"/>
      <c r="Q90" s="159"/>
      <c r="R90" s="159"/>
      <c r="S90" s="159"/>
      <c r="T90" s="159"/>
      <c r="U90" s="159"/>
      <c r="V90" s="159"/>
      <c r="JV90" s="150"/>
      <c r="JW90" s="150"/>
      <c r="JX90" s="150"/>
      <c r="JY90" s="150"/>
      <c r="JZ90" s="150"/>
      <c r="KA90" s="150"/>
    </row>
    <row r="91" spans="2:287" s="160" customFormat="1" x14ac:dyDescent="0.2">
      <c r="B91" s="159"/>
      <c r="P91" s="159"/>
      <c r="Q91" s="159"/>
      <c r="R91" s="159"/>
      <c r="S91" s="159"/>
      <c r="T91" s="159"/>
      <c r="U91" s="159"/>
      <c r="V91" s="159"/>
      <c r="JV91" s="150"/>
      <c r="JW91" s="150"/>
      <c r="JX91" s="150"/>
      <c r="JY91" s="150"/>
      <c r="JZ91" s="150"/>
      <c r="KA91" s="150"/>
    </row>
    <row r="92" spans="2:287" s="160" customFormat="1" x14ac:dyDescent="0.2">
      <c r="B92" s="159"/>
      <c r="P92" s="159"/>
      <c r="Q92" s="159"/>
      <c r="R92" s="159"/>
      <c r="S92" s="159"/>
      <c r="T92" s="159"/>
      <c r="U92" s="159"/>
      <c r="V92" s="159"/>
      <c r="JV92" s="150"/>
      <c r="JW92" s="150"/>
      <c r="JX92" s="150"/>
      <c r="JY92" s="150"/>
      <c r="JZ92" s="150"/>
      <c r="KA92" s="150"/>
    </row>
    <row r="93" spans="2:287" s="160" customFormat="1" x14ac:dyDescent="0.2">
      <c r="B93" s="159"/>
      <c r="P93" s="159"/>
      <c r="Q93" s="159"/>
      <c r="R93" s="159"/>
      <c r="S93" s="159"/>
      <c r="T93" s="159"/>
      <c r="U93" s="159"/>
      <c r="V93" s="159"/>
      <c r="JV93" s="150"/>
      <c r="JW93" s="150"/>
      <c r="JX93" s="150"/>
      <c r="JY93" s="150"/>
      <c r="JZ93" s="150"/>
      <c r="KA93" s="150"/>
    </row>
    <row r="94" spans="2:287" s="160" customFormat="1" x14ac:dyDescent="0.2">
      <c r="B94" s="159"/>
      <c r="P94" s="159"/>
      <c r="Q94" s="159"/>
      <c r="R94" s="159"/>
      <c r="S94" s="159"/>
      <c r="T94" s="159"/>
      <c r="U94" s="159"/>
      <c r="V94" s="159"/>
      <c r="JV94" s="150"/>
      <c r="JW94" s="150"/>
      <c r="JX94" s="150"/>
      <c r="JY94" s="150"/>
      <c r="JZ94" s="150"/>
      <c r="KA94" s="150"/>
    </row>
    <row r="95" spans="2:287" s="160" customFormat="1" x14ac:dyDescent="0.2">
      <c r="B95" s="159"/>
      <c r="P95" s="159"/>
      <c r="Q95" s="159"/>
      <c r="R95" s="159"/>
      <c r="S95" s="159"/>
      <c r="T95" s="159"/>
      <c r="U95" s="159"/>
      <c r="V95" s="159"/>
      <c r="JV95" s="150"/>
      <c r="JW95" s="150"/>
      <c r="JX95" s="150"/>
      <c r="JY95" s="150"/>
      <c r="JZ95" s="150"/>
      <c r="KA95" s="150"/>
    </row>
    <row r="96" spans="2:287" s="160" customFormat="1" x14ac:dyDescent="0.2">
      <c r="B96" s="159"/>
      <c r="P96" s="159"/>
      <c r="Q96" s="159"/>
      <c r="R96" s="159"/>
      <c r="S96" s="159"/>
      <c r="T96" s="159"/>
      <c r="U96" s="159"/>
      <c r="V96" s="159"/>
      <c r="JV96" s="150"/>
      <c r="JW96" s="150"/>
      <c r="JX96" s="150"/>
      <c r="JY96" s="150"/>
      <c r="JZ96" s="150"/>
      <c r="KA96" s="150"/>
    </row>
    <row r="97" spans="2:287" s="160" customFormat="1" x14ac:dyDescent="0.2">
      <c r="B97" s="159"/>
      <c r="P97" s="159"/>
      <c r="Q97" s="159"/>
      <c r="R97" s="159"/>
      <c r="S97" s="159"/>
      <c r="T97" s="159"/>
      <c r="U97" s="159"/>
      <c r="V97" s="159"/>
      <c r="JV97" s="150"/>
      <c r="JW97" s="150"/>
      <c r="JX97" s="150"/>
      <c r="JY97" s="150"/>
      <c r="JZ97" s="150"/>
      <c r="KA97" s="150"/>
    </row>
    <row r="98" spans="2:287" s="160" customFormat="1" x14ac:dyDescent="0.2">
      <c r="B98" s="159"/>
      <c r="P98" s="159"/>
      <c r="Q98" s="159"/>
      <c r="R98" s="159"/>
      <c r="S98" s="159"/>
      <c r="T98" s="159"/>
      <c r="U98" s="159"/>
      <c r="V98" s="159"/>
      <c r="JV98" s="150"/>
      <c r="JW98" s="150"/>
      <c r="JX98" s="150"/>
      <c r="JY98" s="150"/>
      <c r="JZ98" s="150"/>
      <c r="KA98" s="150"/>
    </row>
    <row r="99" spans="2:287" s="160" customFormat="1" x14ac:dyDescent="0.2">
      <c r="B99" s="159"/>
      <c r="P99" s="159"/>
      <c r="Q99" s="159"/>
      <c r="R99" s="159"/>
      <c r="S99" s="159"/>
      <c r="T99" s="159"/>
      <c r="U99" s="159"/>
      <c r="V99" s="159"/>
      <c r="JV99" s="150"/>
      <c r="JW99" s="150"/>
      <c r="JX99" s="150"/>
      <c r="JY99" s="150"/>
      <c r="JZ99" s="150"/>
      <c r="KA99" s="150"/>
    </row>
  </sheetData>
  <mergeCells count="34">
    <mergeCell ref="A44:L44"/>
    <mergeCell ref="A43:B43"/>
    <mergeCell ref="DB2:DJ2"/>
    <mergeCell ref="A2:A3"/>
    <mergeCell ref="B2:B3"/>
    <mergeCell ref="C2:M2"/>
    <mergeCell ref="N2:O2"/>
    <mergeCell ref="P2:Z2"/>
    <mergeCell ref="AA2:AK2"/>
    <mergeCell ref="BS41:BV41"/>
    <mergeCell ref="AL2:AV2"/>
    <mergeCell ref="AW2:BG2"/>
    <mergeCell ref="BH2:BR2"/>
    <mergeCell ref="BS2:CC2"/>
    <mergeCell ref="FE2:FO2"/>
    <mergeCell ref="HR2:IB2"/>
    <mergeCell ref="ET2:FD2"/>
    <mergeCell ref="DV2:DW2"/>
    <mergeCell ref="DK2:DU2"/>
    <mergeCell ref="HH2:HQ2"/>
    <mergeCell ref="GW2:HG2"/>
    <mergeCell ref="GL2:GV2"/>
    <mergeCell ref="GA2:GK2"/>
    <mergeCell ref="FP2:FZ2"/>
    <mergeCell ref="JU2:KE2"/>
    <mergeCell ref="JJ2:JT2"/>
    <mergeCell ref="IY2:JI2"/>
    <mergeCell ref="IN2:IX2"/>
    <mergeCell ref="IC2:IM2"/>
    <mergeCell ref="EI2:ES2"/>
    <mergeCell ref="DX2:EH2"/>
    <mergeCell ref="CD2:CN2"/>
    <mergeCell ref="CO2:CP2"/>
    <mergeCell ref="CQ2:DA2"/>
  </mergeCells>
  <printOptions horizontalCentered="1" verticalCentered="1"/>
  <pageMargins left="0.2" right="0.2" top="0.54" bottom="0.71" header="0.17" footer="0.41"/>
  <pageSetup paperSize="9" scale="1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M29"/>
  <sheetViews>
    <sheetView zoomScale="104" zoomScaleNormal="104" workbookViewId="0">
      <pane xSplit="2" ySplit="3" topLeftCell="C4" activePane="bottomRight" state="frozen"/>
      <selection pane="topRight" activeCell="C1" sqref="C1"/>
      <selection pane="bottomLeft" activeCell="A4" sqref="A4"/>
      <selection pane="bottomRight" activeCell="K33" sqref="K33"/>
    </sheetView>
  </sheetViews>
  <sheetFormatPr defaultRowHeight="15" x14ac:dyDescent="0.25"/>
  <cols>
    <col min="2" max="2" width="20.42578125" customWidth="1"/>
  </cols>
  <sheetData>
    <row r="1" spans="1:13" ht="16.5" customHeight="1" x14ac:dyDescent="0.25">
      <c r="A1" s="566" t="s">
        <v>378</v>
      </c>
      <c r="B1" s="566"/>
      <c r="C1" s="566"/>
      <c r="D1" s="566"/>
      <c r="E1" s="566"/>
      <c r="F1" s="566"/>
      <c r="G1" s="566"/>
      <c r="H1" s="566"/>
      <c r="I1" s="566"/>
      <c r="J1" s="566"/>
      <c r="K1" s="566"/>
      <c r="L1" s="566"/>
    </row>
    <row r="2" spans="1:13" ht="14.65" customHeight="1" x14ac:dyDescent="0.25">
      <c r="A2" s="567" t="s">
        <v>302</v>
      </c>
      <c r="B2" s="567"/>
      <c r="C2" s="567"/>
      <c r="D2" s="567"/>
      <c r="E2" s="567"/>
      <c r="F2" s="567"/>
      <c r="G2" s="567"/>
      <c r="H2" s="567"/>
      <c r="I2" s="567"/>
      <c r="J2" s="567"/>
      <c r="K2" s="567"/>
      <c r="L2" s="567"/>
    </row>
    <row r="3" spans="1:13" x14ac:dyDescent="0.25">
      <c r="A3" s="170" t="s">
        <v>1</v>
      </c>
      <c r="B3" s="170" t="s">
        <v>303</v>
      </c>
      <c r="C3" s="164">
        <v>2015</v>
      </c>
      <c r="D3" s="171">
        <v>2016</v>
      </c>
      <c r="E3" s="171">
        <v>2017</v>
      </c>
      <c r="F3" s="171">
        <v>2018</v>
      </c>
      <c r="G3" s="171">
        <v>2019</v>
      </c>
      <c r="H3" s="171">
        <v>2020</v>
      </c>
      <c r="I3" s="171">
        <v>2021</v>
      </c>
      <c r="J3" s="171">
        <v>2022</v>
      </c>
      <c r="K3" s="171">
        <v>2023</v>
      </c>
      <c r="L3" s="172">
        <v>2024</v>
      </c>
      <c r="M3" s="448">
        <v>2025</v>
      </c>
    </row>
    <row r="4" spans="1:13" x14ac:dyDescent="0.25">
      <c r="A4" s="396">
        <v>1</v>
      </c>
      <c r="B4" s="173" t="s">
        <v>229</v>
      </c>
      <c r="C4" s="175">
        <v>29</v>
      </c>
      <c r="D4" s="175">
        <v>3</v>
      </c>
      <c r="E4" s="174">
        <v>0</v>
      </c>
      <c r="F4" s="174">
        <v>1</v>
      </c>
      <c r="G4" s="176">
        <v>1</v>
      </c>
      <c r="H4" s="176">
        <v>1</v>
      </c>
      <c r="I4" s="176" t="s">
        <v>42</v>
      </c>
      <c r="J4" s="176">
        <v>1</v>
      </c>
      <c r="K4" s="177">
        <v>3</v>
      </c>
      <c r="L4" s="178">
        <v>4</v>
      </c>
      <c r="M4" s="449">
        <v>7</v>
      </c>
    </row>
    <row r="5" spans="1:13" x14ac:dyDescent="0.25">
      <c r="A5" s="396">
        <v>2</v>
      </c>
      <c r="B5" s="173" t="s">
        <v>230</v>
      </c>
      <c r="C5" s="179" t="s">
        <v>42</v>
      </c>
      <c r="D5" s="175">
        <v>1</v>
      </c>
      <c r="E5" s="174">
        <v>1</v>
      </c>
      <c r="F5" s="174">
        <v>1</v>
      </c>
      <c r="G5" s="176">
        <v>1</v>
      </c>
      <c r="H5" s="176">
        <v>1</v>
      </c>
      <c r="I5" s="176">
        <v>1</v>
      </c>
      <c r="J5" s="176">
        <v>1</v>
      </c>
      <c r="K5" s="177">
        <v>3</v>
      </c>
      <c r="L5" s="178">
        <v>3</v>
      </c>
      <c r="M5" s="449">
        <v>4</v>
      </c>
    </row>
    <row r="6" spans="1:13" x14ac:dyDescent="0.25">
      <c r="A6" s="396">
        <v>3</v>
      </c>
      <c r="B6" s="173" t="s">
        <v>231</v>
      </c>
      <c r="C6" s="175">
        <v>4</v>
      </c>
      <c r="D6" s="175">
        <v>3</v>
      </c>
      <c r="E6" s="174">
        <v>6</v>
      </c>
      <c r="F6" s="174">
        <v>6</v>
      </c>
      <c r="G6" s="176">
        <v>6</v>
      </c>
      <c r="H6" s="176">
        <v>6</v>
      </c>
      <c r="I6" s="176">
        <v>7</v>
      </c>
      <c r="J6" s="176">
        <v>7</v>
      </c>
      <c r="K6" s="177">
        <v>6</v>
      </c>
      <c r="L6" s="178">
        <v>9</v>
      </c>
      <c r="M6" s="449">
        <v>10</v>
      </c>
    </row>
    <row r="7" spans="1:13" x14ac:dyDescent="0.25">
      <c r="A7" s="396">
        <v>4</v>
      </c>
      <c r="B7" s="173" t="s">
        <v>304</v>
      </c>
      <c r="C7" s="179" t="s">
        <v>42</v>
      </c>
      <c r="D7" s="179" t="s">
        <v>42</v>
      </c>
      <c r="E7" s="179" t="s">
        <v>42</v>
      </c>
      <c r="F7" s="179" t="s">
        <v>42</v>
      </c>
      <c r="G7" s="179" t="s">
        <v>42</v>
      </c>
      <c r="H7" s="176">
        <v>1</v>
      </c>
      <c r="I7" s="176" t="s">
        <v>42</v>
      </c>
      <c r="J7" s="176">
        <v>1</v>
      </c>
      <c r="K7" s="177">
        <v>2</v>
      </c>
      <c r="L7" s="178">
        <v>4</v>
      </c>
      <c r="M7" s="449">
        <v>6</v>
      </c>
    </row>
    <row r="8" spans="1:13" x14ac:dyDescent="0.25">
      <c r="A8" s="396">
        <v>5</v>
      </c>
      <c r="B8" s="173" t="s">
        <v>273</v>
      </c>
      <c r="C8" s="179" t="s">
        <v>42</v>
      </c>
      <c r="D8" s="179" t="s">
        <v>42</v>
      </c>
      <c r="E8" s="179" t="s">
        <v>42</v>
      </c>
      <c r="F8" s="179" t="s">
        <v>42</v>
      </c>
      <c r="G8" s="179" t="s">
        <v>42</v>
      </c>
      <c r="H8" s="176" t="s">
        <v>42</v>
      </c>
      <c r="I8" s="176" t="s">
        <v>42</v>
      </c>
      <c r="J8" s="176" t="s">
        <v>42</v>
      </c>
      <c r="K8" s="180" t="s">
        <v>42</v>
      </c>
      <c r="L8" s="178">
        <v>1</v>
      </c>
      <c r="M8" s="449">
        <v>1</v>
      </c>
    </row>
    <row r="9" spans="1:13" x14ac:dyDescent="0.25">
      <c r="A9" s="396">
        <v>6</v>
      </c>
      <c r="B9" s="173" t="s">
        <v>232</v>
      </c>
      <c r="C9" s="175">
        <v>18</v>
      </c>
      <c r="D9" s="175">
        <v>21</v>
      </c>
      <c r="E9" s="174">
        <v>18</v>
      </c>
      <c r="F9" s="174">
        <v>21</v>
      </c>
      <c r="G9" s="176">
        <v>23</v>
      </c>
      <c r="H9" s="176">
        <v>23</v>
      </c>
      <c r="I9" s="176">
        <v>27</v>
      </c>
      <c r="J9" s="176">
        <v>35</v>
      </c>
      <c r="K9" s="177">
        <v>39</v>
      </c>
      <c r="L9" s="178">
        <v>39</v>
      </c>
      <c r="M9" s="449">
        <v>48</v>
      </c>
    </row>
    <row r="10" spans="1:13" x14ac:dyDescent="0.25">
      <c r="A10" s="396">
        <v>7</v>
      </c>
      <c r="B10" s="173" t="s">
        <v>233</v>
      </c>
      <c r="C10" s="175">
        <v>3</v>
      </c>
      <c r="D10" s="175">
        <v>7</v>
      </c>
      <c r="E10" s="174">
        <v>1</v>
      </c>
      <c r="F10" s="174">
        <v>5</v>
      </c>
      <c r="G10" s="176">
        <v>11</v>
      </c>
      <c r="H10" s="176">
        <v>14</v>
      </c>
      <c r="I10" s="176">
        <v>16</v>
      </c>
      <c r="J10" s="176">
        <v>22</v>
      </c>
      <c r="K10" s="177">
        <v>33</v>
      </c>
      <c r="L10" s="178">
        <v>40</v>
      </c>
      <c r="M10" s="449">
        <v>46</v>
      </c>
    </row>
    <row r="11" spans="1:13" x14ac:dyDescent="0.25">
      <c r="A11" s="396">
        <v>8</v>
      </c>
      <c r="B11" s="173" t="s">
        <v>247</v>
      </c>
      <c r="C11" s="175" t="s">
        <v>42</v>
      </c>
      <c r="D11" s="175" t="s">
        <v>42</v>
      </c>
      <c r="E11" s="174" t="s">
        <v>42</v>
      </c>
      <c r="F11" s="174" t="s">
        <v>42</v>
      </c>
      <c r="G11" s="176" t="s">
        <v>42</v>
      </c>
      <c r="H11" s="176" t="s">
        <v>42</v>
      </c>
      <c r="I11" s="176" t="s">
        <v>42</v>
      </c>
      <c r="J11" s="176" t="s">
        <v>42</v>
      </c>
      <c r="K11" s="177" t="s">
        <v>42</v>
      </c>
      <c r="L11" s="178" t="s">
        <v>42</v>
      </c>
      <c r="M11" s="449">
        <v>1</v>
      </c>
    </row>
    <row r="12" spans="1:13" x14ac:dyDescent="0.25">
      <c r="A12" s="396">
        <v>8</v>
      </c>
      <c r="B12" s="173" t="s">
        <v>305</v>
      </c>
      <c r="C12" s="179" t="s">
        <v>42</v>
      </c>
      <c r="D12" s="179" t="s">
        <v>42</v>
      </c>
      <c r="E12" s="179" t="s">
        <v>42</v>
      </c>
      <c r="F12" s="179" t="s">
        <v>42</v>
      </c>
      <c r="G12" s="179" t="s">
        <v>42</v>
      </c>
      <c r="H12" s="176">
        <v>1</v>
      </c>
      <c r="I12" s="176">
        <v>1</v>
      </c>
      <c r="J12" s="176">
        <v>2</v>
      </c>
      <c r="K12" s="177">
        <v>1</v>
      </c>
      <c r="L12" s="178">
        <v>2</v>
      </c>
      <c r="M12" s="449">
        <v>2</v>
      </c>
    </row>
    <row r="13" spans="1:13" x14ac:dyDescent="0.25">
      <c r="A13" s="396">
        <v>9</v>
      </c>
      <c r="B13" s="173" t="s">
        <v>234</v>
      </c>
      <c r="C13" s="179" t="s">
        <v>42</v>
      </c>
      <c r="D13" s="179" t="s">
        <v>42</v>
      </c>
      <c r="E13" s="174">
        <v>1</v>
      </c>
      <c r="F13" s="174">
        <v>1</v>
      </c>
      <c r="G13" s="176">
        <v>1</v>
      </c>
      <c r="H13" s="176">
        <v>1</v>
      </c>
      <c r="I13" s="176">
        <v>1</v>
      </c>
      <c r="J13" s="176">
        <v>1</v>
      </c>
      <c r="K13" s="177">
        <v>2</v>
      </c>
      <c r="L13" s="178">
        <v>2</v>
      </c>
      <c r="M13" s="449">
        <v>3</v>
      </c>
    </row>
    <row r="14" spans="1:13" x14ac:dyDescent="0.25">
      <c r="A14" s="396">
        <v>10</v>
      </c>
      <c r="B14" s="173" t="s">
        <v>235</v>
      </c>
      <c r="C14" s="175">
        <v>17</v>
      </c>
      <c r="D14" s="175">
        <v>15</v>
      </c>
      <c r="E14" s="174">
        <v>12</v>
      </c>
      <c r="F14" s="174">
        <v>17</v>
      </c>
      <c r="G14" s="176">
        <v>19</v>
      </c>
      <c r="H14" s="176">
        <v>20</v>
      </c>
      <c r="I14" s="176">
        <v>19</v>
      </c>
      <c r="J14" s="176">
        <v>26</v>
      </c>
      <c r="K14" s="177">
        <v>30</v>
      </c>
      <c r="L14" s="178">
        <v>36</v>
      </c>
      <c r="M14" s="449">
        <v>41</v>
      </c>
    </row>
    <row r="15" spans="1:13" x14ac:dyDescent="0.25">
      <c r="A15" s="396">
        <v>11</v>
      </c>
      <c r="B15" s="173" t="s">
        <v>236</v>
      </c>
      <c r="C15" s="175">
        <v>13</v>
      </c>
      <c r="D15" s="175">
        <v>11</v>
      </c>
      <c r="E15" s="174">
        <v>12</v>
      </c>
      <c r="F15" s="174">
        <v>13</v>
      </c>
      <c r="G15" s="176">
        <v>13</v>
      </c>
      <c r="H15" s="176">
        <v>14</v>
      </c>
      <c r="I15" s="176">
        <v>15</v>
      </c>
      <c r="J15" s="176">
        <v>18</v>
      </c>
      <c r="K15" s="177">
        <v>18</v>
      </c>
      <c r="L15" s="178">
        <v>19</v>
      </c>
      <c r="M15" s="449">
        <v>21</v>
      </c>
    </row>
    <row r="16" spans="1:13" x14ac:dyDescent="0.25">
      <c r="A16" s="396">
        <v>12</v>
      </c>
      <c r="B16" s="173" t="s">
        <v>237</v>
      </c>
      <c r="C16" s="175">
        <v>4</v>
      </c>
      <c r="D16" s="175">
        <v>5</v>
      </c>
      <c r="E16" s="174">
        <v>4</v>
      </c>
      <c r="F16" s="174">
        <v>5</v>
      </c>
      <c r="G16" s="176">
        <v>5</v>
      </c>
      <c r="H16" s="176">
        <v>6</v>
      </c>
      <c r="I16" s="176">
        <v>7</v>
      </c>
      <c r="J16" s="176">
        <v>9</v>
      </c>
      <c r="K16" s="177">
        <v>11</v>
      </c>
      <c r="L16" s="178">
        <v>13</v>
      </c>
      <c r="M16" s="449">
        <v>19</v>
      </c>
    </row>
    <row r="17" spans="1:13" x14ac:dyDescent="0.25">
      <c r="A17" s="396">
        <v>13</v>
      </c>
      <c r="B17" s="173" t="s">
        <v>238</v>
      </c>
      <c r="C17" s="175">
        <v>132</v>
      </c>
      <c r="D17" s="175">
        <v>139</v>
      </c>
      <c r="E17" s="174">
        <v>121</v>
      </c>
      <c r="F17" s="174">
        <v>129</v>
      </c>
      <c r="G17" s="176">
        <v>129</v>
      </c>
      <c r="H17" s="176">
        <v>134</v>
      </c>
      <c r="I17" s="176">
        <v>141</v>
      </c>
      <c r="J17" s="176">
        <v>159</v>
      </c>
      <c r="K17" s="177">
        <v>156</v>
      </c>
      <c r="L17" s="178">
        <v>175</v>
      </c>
      <c r="M17" s="449">
        <v>193</v>
      </c>
    </row>
    <row r="18" spans="1:13" x14ac:dyDescent="0.25">
      <c r="A18" s="396">
        <v>14</v>
      </c>
      <c r="B18" s="173" t="s">
        <v>299</v>
      </c>
      <c r="C18" s="175">
        <v>85</v>
      </c>
      <c r="D18" s="175">
        <v>87</v>
      </c>
      <c r="E18" s="174">
        <v>69</v>
      </c>
      <c r="F18" s="174">
        <v>74</v>
      </c>
      <c r="G18" s="176">
        <v>79</v>
      </c>
      <c r="H18" s="176">
        <v>84</v>
      </c>
      <c r="I18" s="176">
        <v>82</v>
      </c>
      <c r="J18" s="176">
        <v>92</v>
      </c>
      <c r="K18" s="177">
        <v>112</v>
      </c>
      <c r="L18" s="178">
        <v>118</v>
      </c>
      <c r="M18" s="449">
        <v>128</v>
      </c>
    </row>
    <row r="19" spans="1:13" x14ac:dyDescent="0.25">
      <c r="A19" s="396">
        <v>15</v>
      </c>
      <c r="B19" s="173" t="s">
        <v>306</v>
      </c>
      <c r="C19" s="179" t="s">
        <v>42</v>
      </c>
      <c r="D19" s="175">
        <v>1</v>
      </c>
      <c r="E19" s="174">
        <v>1</v>
      </c>
      <c r="F19" s="174">
        <v>2</v>
      </c>
      <c r="G19" s="176">
        <v>2</v>
      </c>
      <c r="H19" s="176">
        <v>2</v>
      </c>
      <c r="I19" s="176">
        <v>2</v>
      </c>
      <c r="J19" s="176">
        <v>2</v>
      </c>
      <c r="K19" s="177">
        <v>2</v>
      </c>
      <c r="L19" s="178">
        <v>2</v>
      </c>
      <c r="M19" s="449">
        <v>3</v>
      </c>
    </row>
    <row r="20" spans="1:13" x14ac:dyDescent="0.25">
      <c r="A20" s="396">
        <v>16</v>
      </c>
      <c r="B20" s="173" t="s">
        <v>239</v>
      </c>
      <c r="C20" s="175">
        <v>12</v>
      </c>
      <c r="D20" s="175">
        <v>13</v>
      </c>
      <c r="E20" s="174">
        <v>10</v>
      </c>
      <c r="F20" s="174">
        <v>10</v>
      </c>
      <c r="G20" s="176">
        <v>11</v>
      </c>
      <c r="H20" s="176">
        <v>11</v>
      </c>
      <c r="I20" s="176">
        <v>15</v>
      </c>
      <c r="J20" s="176">
        <v>15</v>
      </c>
      <c r="K20" s="177">
        <v>18</v>
      </c>
      <c r="L20" s="178">
        <v>19</v>
      </c>
      <c r="M20" s="449">
        <v>19</v>
      </c>
    </row>
    <row r="21" spans="1:13" x14ac:dyDescent="0.25">
      <c r="A21" s="396">
        <v>17</v>
      </c>
      <c r="B21" s="173" t="s">
        <v>240</v>
      </c>
      <c r="C21" s="175">
        <v>7</v>
      </c>
      <c r="D21" s="175">
        <v>7</v>
      </c>
      <c r="E21" s="174">
        <v>6</v>
      </c>
      <c r="F21" s="174">
        <v>7</v>
      </c>
      <c r="G21" s="176">
        <v>7</v>
      </c>
      <c r="H21" s="176">
        <v>7</v>
      </c>
      <c r="I21" s="176">
        <v>9</v>
      </c>
      <c r="J21" s="176">
        <v>11</v>
      </c>
      <c r="K21" s="177">
        <v>16</v>
      </c>
      <c r="L21" s="178">
        <v>20</v>
      </c>
      <c r="M21" s="449">
        <v>24</v>
      </c>
    </row>
    <row r="22" spans="1:13" x14ac:dyDescent="0.25">
      <c r="A22" s="396">
        <v>18</v>
      </c>
      <c r="B22" s="173" t="s">
        <v>241</v>
      </c>
      <c r="C22" s="175">
        <v>36</v>
      </c>
      <c r="D22" s="175">
        <v>42</v>
      </c>
      <c r="E22" s="174">
        <v>35</v>
      </c>
      <c r="F22" s="174">
        <v>39</v>
      </c>
      <c r="G22" s="176">
        <v>39</v>
      </c>
      <c r="H22" s="176">
        <v>41</v>
      </c>
      <c r="I22" s="176">
        <v>42</v>
      </c>
      <c r="J22" s="176">
        <v>45</v>
      </c>
      <c r="K22" s="177">
        <v>50</v>
      </c>
      <c r="L22" s="178">
        <v>52</v>
      </c>
      <c r="M22" s="449">
        <v>61</v>
      </c>
    </row>
    <row r="23" spans="1:13" x14ac:dyDescent="0.25">
      <c r="A23" s="396">
        <v>19</v>
      </c>
      <c r="B23" s="173" t="s">
        <v>242</v>
      </c>
      <c r="C23" s="179" t="s">
        <v>42</v>
      </c>
      <c r="D23" s="175">
        <v>32</v>
      </c>
      <c r="E23" s="174">
        <v>31</v>
      </c>
      <c r="F23" s="174">
        <v>35</v>
      </c>
      <c r="G23" s="176">
        <v>38</v>
      </c>
      <c r="H23" s="176">
        <v>41</v>
      </c>
      <c r="I23" s="176">
        <v>43</v>
      </c>
      <c r="J23" s="176">
        <v>49</v>
      </c>
      <c r="K23" s="177">
        <v>52</v>
      </c>
      <c r="L23" s="178">
        <v>54</v>
      </c>
      <c r="M23" s="449">
        <v>58</v>
      </c>
    </row>
    <row r="24" spans="1:13" x14ac:dyDescent="0.25">
      <c r="A24" s="396">
        <v>20</v>
      </c>
      <c r="B24" s="173" t="s">
        <v>243</v>
      </c>
      <c r="C24" s="175">
        <v>23</v>
      </c>
      <c r="D24" s="175">
        <v>32</v>
      </c>
      <c r="E24" s="174">
        <v>27</v>
      </c>
      <c r="F24" s="174">
        <v>31</v>
      </c>
      <c r="G24" s="176">
        <v>23</v>
      </c>
      <c r="H24" s="176">
        <v>25</v>
      </c>
      <c r="I24" s="176">
        <v>28</v>
      </c>
      <c r="J24" s="176">
        <v>33</v>
      </c>
      <c r="K24" s="177">
        <v>25</v>
      </c>
      <c r="L24" s="178">
        <v>26</v>
      </c>
      <c r="M24" s="449">
        <v>32</v>
      </c>
    </row>
    <row r="25" spans="1:13" x14ac:dyDescent="0.25">
      <c r="A25" s="396">
        <v>21</v>
      </c>
      <c r="B25" s="173" t="s">
        <v>301</v>
      </c>
      <c r="C25" s="175" t="s">
        <v>42</v>
      </c>
      <c r="D25" s="175" t="s">
        <v>42</v>
      </c>
      <c r="E25" s="174" t="s">
        <v>42</v>
      </c>
      <c r="F25" s="174" t="s">
        <v>42</v>
      </c>
      <c r="G25" s="176" t="s">
        <v>42</v>
      </c>
      <c r="H25" s="176" t="s">
        <v>42</v>
      </c>
      <c r="I25" s="176" t="s">
        <v>42</v>
      </c>
      <c r="J25" s="176" t="s">
        <v>42</v>
      </c>
      <c r="K25" s="180" t="s">
        <v>42</v>
      </c>
      <c r="L25" s="178">
        <v>2</v>
      </c>
      <c r="M25" s="449">
        <v>1</v>
      </c>
    </row>
    <row r="26" spans="1:13" x14ac:dyDescent="0.25">
      <c r="A26" s="396">
        <v>22</v>
      </c>
      <c r="B26" s="173" t="s">
        <v>244</v>
      </c>
      <c r="C26" s="175">
        <v>36</v>
      </c>
      <c r="D26" s="175">
        <v>38</v>
      </c>
      <c r="E26" s="174">
        <v>30</v>
      </c>
      <c r="F26" s="174">
        <v>29</v>
      </c>
      <c r="G26" s="176">
        <v>29</v>
      </c>
      <c r="H26" s="176">
        <v>30</v>
      </c>
      <c r="I26" s="176">
        <v>30</v>
      </c>
      <c r="J26" s="176">
        <v>33</v>
      </c>
      <c r="K26" s="177">
        <v>37</v>
      </c>
      <c r="L26" s="178">
        <v>43</v>
      </c>
      <c r="M26" s="449">
        <v>43</v>
      </c>
    </row>
    <row r="27" spans="1:13" x14ac:dyDescent="0.25">
      <c r="A27" s="170"/>
      <c r="B27" s="170" t="s">
        <v>52</v>
      </c>
      <c r="C27" s="181">
        <v>419</v>
      </c>
      <c r="D27" s="181">
        <v>457</v>
      </c>
      <c r="E27" s="181">
        <v>385</v>
      </c>
      <c r="F27" s="181">
        <v>426</v>
      </c>
      <c r="G27" s="182">
        <v>437</v>
      </c>
      <c r="H27" s="182">
        <v>463</v>
      </c>
      <c r="I27" s="182">
        <v>486</v>
      </c>
      <c r="J27" s="182">
        <v>562</v>
      </c>
      <c r="K27" s="183">
        <v>616</v>
      </c>
      <c r="L27" s="183">
        <v>683</v>
      </c>
      <c r="M27" s="518">
        <v>771</v>
      </c>
    </row>
    <row r="28" spans="1:13" x14ac:dyDescent="0.25">
      <c r="A28" s="312" t="s">
        <v>362</v>
      </c>
      <c r="B28" s="184"/>
      <c r="C28" s="184"/>
      <c r="D28" s="184"/>
      <c r="E28" s="184"/>
      <c r="F28" s="184"/>
      <c r="G28" s="184"/>
      <c r="H28" s="184"/>
      <c r="I28" s="184"/>
      <c r="J28" s="184"/>
      <c r="K28" s="161"/>
      <c r="L28" s="161"/>
    </row>
    <row r="29" spans="1:13" x14ac:dyDescent="0.25">
      <c r="A29" s="311" t="s">
        <v>361</v>
      </c>
    </row>
  </sheetData>
  <mergeCells count="2">
    <mergeCell ref="A1:L1"/>
    <mergeCell ref="A2:L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X41"/>
  <sheetViews>
    <sheetView workbookViewId="0">
      <pane xSplit="2" ySplit="3" topLeftCell="C16" activePane="bottomRight" state="frozen"/>
      <selection activeCell="FS19" sqref="FS19:GL21"/>
      <selection pane="topRight" activeCell="FS19" sqref="FS19:GL21"/>
      <selection pane="bottomLeft" activeCell="FS19" sqref="FS19:GL21"/>
      <selection pane="bottomRight" activeCell="B6" sqref="B6"/>
    </sheetView>
  </sheetViews>
  <sheetFormatPr defaultRowHeight="15" x14ac:dyDescent="0.25"/>
  <cols>
    <col min="1" max="1" width="5.7109375" style="168" bestFit="1" customWidth="1"/>
    <col min="2" max="2" width="38.5703125" style="516" customWidth="1"/>
    <col min="3" max="4" width="7.28515625" style="168" customWidth="1"/>
    <col min="5" max="5" width="8.5703125" style="168" customWidth="1"/>
    <col min="6" max="6" width="7.7109375" style="168" customWidth="1"/>
    <col min="7" max="8" width="6.28515625" style="168" customWidth="1"/>
    <col min="9" max="9" width="7.85546875" style="168" customWidth="1"/>
    <col min="10" max="10" width="9.140625" style="168"/>
    <col min="11" max="11" width="9.28515625" style="517" customWidth="1"/>
    <col min="12" max="12" width="9.140625" style="486"/>
    <col min="13" max="16384" width="9.140625" style="168"/>
  </cols>
  <sheetData>
    <row r="1" spans="1:24" ht="16.5" customHeight="1" x14ac:dyDescent="0.25">
      <c r="A1" s="568" t="s">
        <v>411</v>
      </c>
      <c r="B1" s="568"/>
      <c r="C1" s="568"/>
      <c r="D1" s="568"/>
      <c r="E1" s="568"/>
      <c r="F1" s="568"/>
      <c r="G1" s="568"/>
      <c r="H1" s="568"/>
      <c r="I1" s="568"/>
      <c r="J1" s="568"/>
      <c r="K1" s="568"/>
    </row>
    <row r="2" spans="1:24" ht="14.65" customHeight="1" x14ac:dyDescent="0.25">
      <c r="A2" s="569" t="s">
        <v>412</v>
      </c>
      <c r="B2" s="569"/>
      <c r="C2" s="569"/>
      <c r="D2" s="569"/>
      <c r="E2" s="569"/>
      <c r="F2" s="569"/>
      <c r="G2" s="569"/>
      <c r="H2" s="569"/>
      <c r="I2" s="569"/>
      <c r="J2" s="569"/>
      <c r="K2" s="569"/>
    </row>
    <row r="3" spans="1:24" ht="25.5" x14ac:dyDescent="0.25">
      <c r="A3" s="487" t="s">
        <v>1</v>
      </c>
      <c r="B3" s="488" t="s">
        <v>298</v>
      </c>
      <c r="C3" s="162">
        <v>2016</v>
      </c>
      <c r="D3" s="163">
        <v>2017</v>
      </c>
      <c r="E3" s="163">
        <v>2018</v>
      </c>
      <c r="F3" s="163">
        <v>2019</v>
      </c>
      <c r="G3" s="163">
        <v>2020</v>
      </c>
      <c r="H3" s="163">
        <v>2021</v>
      </c>
      <c r="I3" s="163">
        <v>2022</v>
      </c>
      <c r="J3" s="163">
        <v>2023</v>
      </c>
      <c r="K3" s="489">
        <v>2024</v>
      </c>
      <c r="L3" s="490">
        <v>2025</v>
      </c>
      <c r="M3" s="165"/>
      <c r="N3" s="166"/>
      <c r="O3" s="166"/>
      <c r="P3" s="166"/>
      <c r="Q3" s="167"/>
      <c r="S3" s="165"/>
      <c r="T3" s="166"/>
      <c r="U3" s="166"/>
      <c r="V3" s="166"/>
      <c r="W3" s="167"/>
      <c r="X3" s="167"/>
    </row>
    <row r="4" spans="1:24" x14ac:dyDescent="0.25">
      <c r="A4" s="491">
        <v>1</v>
      </c>
      <c r="B4" s="492" t="s">
        <v>413</v>
      </c>
      <c r="C4" s="162" t="s">
        <v>42</v>
      </c>
      <c r="D4" s="163" t="s">
        <v>42</v>
      </c>
      <c r="E4" s="163" t="s">
        <v>42</v>
      </c>
      <c r="F4" s="163" t="s">
        <v>42</v>
      </c>
      <c r="G4" s="163" t="s">
        <v>42</v>
      </c>
      <c r="H4" s="163" t="s">
        <v>42</v>
      </c>
      <c r="I4" s="163" t="s">
        <v>42</v>
      </c>
      <c r="J4" s="163" t="s">
        <v>42</v>
      </c>
      <c r="K4" s="489" t="s">
        <v>42</v>
      </c>
      <c r="L4" s="490" t="s">
        <v>42</v>
      </c>
      <c r="M4" s="165"/>
      <c r="N4" s="166"/>
      <c r="O4" s="166"/>
      <c r="P4" s="166"/>
      <c r="Q4" s="167"/>
      <c r="S4" s="165"/>
      <c r="T4" s="166"/>
      <c r="U4" s="166"/>
      <c r="V4" s="166"/>
      <c r="W4" s="167"/>
      <c r="X4" s="167"/>
    </row>
    <row r="5" spans="1:24" x14ac:dyDescent="0.25">
      <c r="A5" s="491">
        <v>2</v>
      </c>
      <c r="B5" s="493" t="s">
        <v>229</v>
      </c>
      <c r="C5" s="494" t="s">
        <v>42</v>
      </c>
      <c r="D5" s="180">
        <v>3</v>
      </c>
      <c r="E5" s="180">
        <v>6</v>
      </c>
      <c r="F5" s="495">
        <v>7</v>
      </c>
      <c r="G5" s="495">
        <v>8</v>
      </c>
      <c r="H5" s="495">
        <v>12</v>
      </c>
      <c r="I5" s="495">
        <v>15</v>
      </c>
      <c r="J5" s="496">
        <v>16</v>
      </c>
      <c r="K5" s="497">
        <v>17</v>
      </c>
      <c r="L5" s="498">
        <v>19</v>
      </c>
      <c r="M5" s="499"/>
      <c r="N5" s="499"/>
      <c r="O5" s="499"/>
      <c r="P5" s="499"/>
      <c r="Q5" s="499"/>
      <c r="S5" s="500"/>
      <c r="T5" s="500"/>
      <c r="U5" s="500"/>
      <c r="V5" s="500"/>
      <c r="W5" s="500"/>
      <c r="X5" s="500"/>
    </row>
    <row r="6" spans="1:24" x14ac:dyDescent="0.25">
      <c r="A6" s="491">
        <v>3</v>
      </c>
      <c r="B6" s="501" t="s">
        <v>272</v>
      </c>
      <c r="C6" s="494" t="s">
        <v>42</v>
      </c>
      <c r="D6" s="180" t="s">
        <v>42</v>
      </c>
      <c r="E6" s="180" t="s">
        <v>42</v>
      </c>
      <c r="F6" s="495" t="s">
        <v>42</v>
      </c>
      <c r="G6" s="495" t="s">
        <v>42</v>
      </c>
      <c r="H6" s="495" t="s">
        <v>42</v>
      </c>
      <c r="I6" s="495" t="s">
        <v>42</v>
      </c>
      <c r="J6" s="496" t="s">
        <v>42</v>
      </c>
      <c r="K6" s="497" t="s">
        <v>42</v>
      </c>
      <c r="L6" s="498" t="s">
        <v>42</v>
      </c>
      <c r="M6" s="499"/>
      <c r="N6" s="499"/>
      <c r="O6" s="499"/>
      <c r="P6" s="499"/>
      <c r="Q6" s="499"/>
      <c r="S6" s="500"/>
      <c r="T6" s="500"/>
      <c r="U6" s="500"/>
      <c r="V6" s="500"/>
      <c r="W6" s="500"/>
      <c r="X6" s="500"/>
    </row>
    <row r="7" spans="1:24" x14ac:dyDescent="0.25">
      <c r="A7" s="491">
        <v>4</v>
      </c>
      <c r="B7" s="493" t="s">
        <v>245</v>
      </c>
      <c r="C7" s="494" t="s">
        <v>42</v>
      </c>
      <c r="D7" s="494" t="s">
        <v>42</v>
      </c>
      <c r="E7" s="494" t="s">
        <v>42</v>
      </c>
      <c r="F7" s="494" t="s">
        <v>42</v>
      </c>
      <c r="G7" s="494" t="s">
        <v>42</v>
      </c>
      <c r="H7" s="494" t="s">
        <v>42</v>
      </c>
      <c r="I7" s="495">
        <v>2</v>
      </c>
      <c r="J7" s="496">
        <v>3</v>
      </c>
      <c r="K7" s="497">
        <v>5</v>
      </c>
      <c r="L7" s="498">
        <v>5</v>
      </c>
      <c r="M7" s="499"/>
      <c r="N7" s="499"/>
      <c r="O7" s="499"/>
      <c r="P7" s="499"/>
      <c r="Q7" s="499"/>
      <c r="S7" s="500"/>
      <c r="T7" s="500"/>
      <c r="U7" s="500"/>
      <c r="V7" s="500"/>
      <c r="W7" s="500"/>
      <c r="X7" s="500"/>
    </row>
    <row r="8" spans="1:24" x14ac:dyDescent="0.25">
      <c r="A8" s="491">
        <v>5</v>
      </c>
      <c r="B8" s="493" t="s">
        <v>230</v>
      </c>
      <c r="C8" s="494" t="s">
        <v>42</v>
      </c>
      <c r="D8" s="180">
        <v>3</v>
      </c>
      <c r="E8" s="180">
        <v>5</v>
      </c>
      <c r="F8" s="495">
        <v>6</v>
      </c>
      <c r="G8" s="495">
        <v>8</v>
      </c>
      <c r="H8" s="495">
        <v>8</v>
      </c>
      <c r="I8" s="495">
        <v>16</v>
      </c>
      <c r="J8" s="496">
        <v>16</v>
      </c>
      <c r="K8" s="497">
        <v>20</v>
      </c>
      <c r="L8" s="498">
        <v>22</v>
      </c>
      <c r="M8" s="499"/>
      <c r="N8" s="499"/>
      <c r="O8" s="499"/>
      <c r="P8" s="499"/>
      <c r="Q8" s="499"/>
      <c r="S8" s="500"/>
      <c r="T8" s="500"/>
      <c r="U8" s="500"/>
      <c r="V8" s="500"/>
      <c r="W8" s="500"/>
      <c r="X8" s="500"/>
    </row>
    <row r="9" spans="1:24" x14ac:dyDescent="0.25">
      <c r="A9" s="491">
        <v>6</v>
      </c>
      <c r="B9" s="493" t="s">
        <v>231</v>
      </c>
      <c r="C9" s="494" t="s">
        <v>42</v>
      </c>
      <c r="D9" s="180">
        <v>1</v>
      </c>
      <c r="E9" s="180">
        <v>5</v>
      </c>
      <c r="F9" s="495">
        <v>6</v>
      </c>
      <c r="G9" s="495">
        <v>7</v>
      </c>
      <c r="H9" s="495">
        <v>7</v>
      </c>
      <c r="I9" s="495">
        <v>7</v>
      </c>
      <c r="J9" s="496">
        <v>7</v>
      </c>
      <c r="K9" s="497">
        <v>8</v>
      </c>
      <c r="L9" s="498">
        <v>8</v>
      </c>
      <c r="M9" s="499"/>
      <c r="N9" s="499"/>
      <c r="O9" s="499"/>
      <c r="P9" s="499"/>
      <c r="Q9" s="499"/>
      <c r="S9" s="500"/>
      <c r="T9" s="500"/>
      <c r="U9" s="500"/>
      <c r="V9" s="500"/>
      <c r="W9" s="500"/>
      <c r="X9" s="500"/>
    </row>
    <row r="10" spans="1:24" x14ac:dyDescent="0.25">
      <c r="A10" s="491">
        <v>7</v>
      </c>
      <c r="B10" s="493" t="s">
        <v>246</v>
      </c>
      <c r="C10" s="494" t="s">
        <v>42</v>
      </c>
      <c r="D10" s="494" t="s">
        <v>42</v>
      </c>
      <c r="E10" s="180">
        <v>2</v>
      </c>
      <c r="F10" s="495">
        <v>2</v>
      </c>
      <c r="G10" s="495">
        <v>3</v>
      </c>
      <c r="H10" s="495">
        <v>3</v>
      </c>
      <c r="I10" s="495">
        <v>4</v>
      </c>
      <c r="J10" s="496">
        <v>4</v>
      </c>
      <c r="K10" s="497">
        <v>4</v>
      </c>
      <c r="L10" s="498">
        <v>4</v>
      </c>
      <c r="M10" s="499"/>
      <c r="N10" s="499"/>
      <c r="O10" s="499"/>
      <c r="P10" s="499"/>
      <c r="Q10" s="499"/>
      <c r="S10" s="500"/>
      <c r="T10" s="500"/>
      <c r="U10" s="500"/>
      <c r="V10" s="500"/>
      <c r="W10" s="500"/>
      <c r="X10" s="500"/>
    </row>
    <row r="11" spans="1:24" x14ac:dyDescent="0.25">
      <c r="A11" s="491">
        <v>8</v>
      </c>
      <c r="B11" s="501" t="s">
        <v>414</v>
      </c>
      <c r="C11" s="494" t="s">
        <v>42</v>
      </c>
      <c r="D11" s="494" t="s">
        <v>42</v>
      </c>
      <c r="E11" s="180" t="s">
        <v>42</v>
      </c>
      <c r="F11" s="495" t="s">
        <v>42</v>
      </c>
      <c r="G11" s="495" t="s">
        <v>42</v>
      </c>
      <c r="H11" s="495" t="s">
        <v>42</v>
      </c>
      <c r="I11" s="495" t="s">
        <v>42</v>
      </c>
      <c r="J11" s="496" t="s">
        <v>42</v>
      </c>
      <c r="K11" s="502" t="s">
        <v>42</v>
      </c>
      <c r="L11" s="498" t="s">
        <v>42</v>
      </c>
      <c r="M11" s="499"/>
      <c r="N11" s="499"/>
      <c r="O11" s="499"/>
      <c r="P11" s="499"/>
      <c r="Q11" s="499"/>
      <c r="S11" s="500"/>
      <c r="T11" s="500"/>
      <c r="U11" s="500"/>
      <c r="V11" s="500"/>
      <c r="W11" s="500"/>
      <c r="X11" s="500"/>
    </row>
    <row r="12" spans="1:24" x14ac:dyDescent="0.25">
      <c r="A12" s="491">
        <v>9</v>
      </c>
      <c r="B12" s="493" t="s">
        <v>273</v>
      </c>
      <c r="C12" s="494" t="s">
        <v>42</v>
      </c>
      <c r="D12" s="494" t="s">
        <v>42</v>
      </c>
      <c r="E12" s="180" t="s">
        <v>42</v>
      </c>
      <c r="F12" s="495" t="s">
        <v>42</v>
      </c>
      <c r="G12" s="495" t="s">
        <v>42</v>
      </c>
      <c r="H12" s="495" t="s">
        <v>42</v>
      </c>
      <c r="I12" s="495" t="s">
        <v>42</v>
      </c>
      <c r="J12" s="494" t="s">
        <v>42</v>
      </c>
      <c r="K12" s="497" t="s">
        <v>42</v>
      </c>
      <c r="L12" s="498">
        <v>1</v>
      </c>
      <c r="M12" s="499"/>
      <c r="N12" s="499"/>
      <c r="O12" s="499"/>
      <c r="P12" s="499"/>
      <c r="Q12" s="499"/>
      <c r="S12" s="500"/>
      <c r="T12" s="500"/>
      <c r="U12" s="500"/>
      <c r="V12" s="500"/>
      <c r="W12" s="500"/>
      <c r="X12" s="500"/>
    </row>
    <row r="13" spans="1:24" x14ac:dyDescent="0.25">
      <c r="A13" s="491">
        <v>10</v>
      </c>
      <c r="B13" s="493" t="s">
        <v>232</v>
      </c>
      <c r="C13" s="494" t="s">
        <v>42</v>
      </c>
      <c r="D13" s="180">
        <v>9</v>
      </c>
      <c r="E13" s="180">
        <v>20</v>
      </c>
      <c r="F13" s="495">
        <v>26</v>
      </c>
      <c r="G13" s="495">
        <v>32</v>
      </c>
      <c r="H13" s="495">
        <v>36</v>
      </c>
      <c r="I13" s="495">
        <v>38</v>
      </c>
      <c r="J13" s="496">
        <v>40</v>
      </c>
      <c r="K13" s="497">
        <v>46</v>
      </c>
      <c r="L13" s="498">
        <v>51</v>
      </c>
      <c r="M13" s="499"/>
      <c r="N13" s="499"/>
      <c r="O13" s="499"/>
      <c r="P13" s="499"/>
      <c r="Q13" s="499"/>
      <c r="S13" s="500"/>
      <c r="T13" s="500"/>
      <c r="U13" s="500"/>
      <c r="V13" s="500"/>
      <c r="W13" s="500"/>
      <c r="X13" s="500"/>
    </row>
    <row r="14" spans="1:24" x14ac:dyDescent="0.25">
      <c r="A14" s="491">
        <v>11</v>
      </c>
      <c r="B14" s="493" t="s">
        <v>233</v>
      </c>
      <c r="C14" s="495">
        <v>1</v>
      </c>
      <c r="D14" s="180">
        <v>6</v>
      </c>
      <c r="E14" s="180">
        <v>8</v>
      </c>
      <c r="F14" s="495">
        <v>10</v>
      </c>
      <c r="G14" s="495">
        <v>13</v>
      </c>
      <c r="H14" s="495">
        <v>19</v>
      </c>
      <c r="I14" s="495">
        <v>30</v>
      </c>
      <c r="J14" s="496">
        <v>34</v>
      </c>
      <c r="K14" s="497">
        <v>42</v>
      </c>
      <c r="L14" s="498">
        <v>47</v>
      </c>
      <c r="M14" s="499"/>
      <c r="N14" s="499"/>
      <c r="O14" s="499"/>
      <c r="P14" s="499"/>
      <c r="Q14" s="499"/>
      <c r="S14" s="500"/>
      <c r="T14" s="500"/>
      <c r="U14" s="500"/>
      <c r="V14" s="500"/>
      <c r="W14" s="500"/>
      <c r="X14" s="500"/>
    </row>
    <row r="15" spans="1:24" x14ac:dyDescent="0.25">
      <c r="A15" s="491">
        <v>12</v>
      </c>
      <c r="B15" s="493" t="s">
        <v>247</v>
      </c>
      <c r="C15" s="494" t="s">
        <v>42</v>
      </c>
      <c r="D15" s="494" t="s">
        <v>42</v>
      </c>
      <c r="E15" s="180">
        <v>2</v>
      </c>
      <c r="F15" s="495">
        <v>2</v>
      </c>
      <c r="G15" s="495">
        <v>3</v>
      </c>
      <c r="H15" s="495">
        <v>3</v>
      </c>
      <c r="I15" s="495">
        <v>4</v>
      </c>
      <c r="J15" s="496">
        <v>4</v>
      </c>
      <c r="K15" s="497">
        <v>5</v>
      </c>
      <c r="L15" s="498">
        <v>5</v>
      </c>
      <c r="M15" s="499"/>
      <c r="N15" s="499"/>
      <c r="O15" s="499"/>
      <c r="P15" s="499"/>
      <c r="Q15" s="499"/>
      <c r="S15" s="500"/>
      <c r="T15" s="500"/>
      <c r="U15" s="500"/>
      <c r="V15" s="500"/>
      <c r="W15" s="500"/>
      <c r="X15" s="500"/>
    </row>
    <row r="16" spans="1:24" x14ac:dyDescent="0.25">
      <c r="A16" s="491">
        <v>13</v>
      </c>
      <c r="B16" s="493" t="s">
        <v>248</v>
      </c>
      <c r="C16" s="494" t="s">
        <v>42</v>
      </c>
      <c r="D16" s="494" t="s">
        <v>42</v>
      </c>
      <c r="E16" s="180">
        <v>2</v>
      </c>
      <c r="F16" s="495">
        <v>4</v>
      </c>
      <c r="G16" s="495">
        <v>5</v>
      </c>
      <c r="H16" s="495">
        <v>5</v>
      </c>
      <c r="I16" s="495">
        <v>7</v>
      </c>
      <c r="J16" s="496">
        <v>9</v>
      </c>
      <c r="K16" s="497">
        <v>9</v>
      </c>
      <c r="L16" s="498">
        <v>9</v>
      </c>
      <c r="M16" s="499"/>
      <c r="N16" s="499"/>
      <c r="O16" s="499"/>
      <c r="P16" s="499"/>
      <c r="Q16" s="499"/>
      <c r="S16" s="500"/>
      <c r="T16" s="500"/>
      <c r="U16" s="500"/>
      <c r="V16" s="500"/>
      <c r="W16" s="500"/>
      <c r="X16" s="500"/>
    </row>
    <row r="17" spans="1:24" x14ac:dyDescent="0.25">
      <c r="A17" s="491">
        <v>14</v>
      </c>
      <c r="B17" s="493" t="s">
        <v>234</v>
      </c>
      <c r="C17" s="494" t="s">
        <v>42</v>
      </c>
      <c r="D17" s="494" t="s">
        <v>42</v>
      </c>
      <c r="E17" s="180">
        <v>1</v>
      </c>
      <c r="F17" s="495">
        <v>1</v>
      </c>
      <c r="G17" s="495">
        <v>4</v>
      </c>
      <c r="H17" s="495">
        <v>4</v>
      </c>
      <c r="I17" s="495">
        <v>6</v>
      </c>
      <c r="J17" s="496">
        <v>6</v>
      </c>
      <c r="K17" s="497">
        <v>11</v>
      </c>
      <c r="L17" s="498">
        <v>11</v>
      </c>
      <c r="M17" s="499"/>
      <c r="N17" s="499"/>
      <c r="O17" s="499"/>
      <c r="P17" s="499"/>
      <c r="Q17" s="499"/>
      <c r="S17" s="500"/>
      <c r="T17" s="500"/>
      <c r="U17" s="500"/>
      <c r="V17" s="500"/>
      <c r="W17" s="500"/>
      <c r="X17" s="500"/>
    </row>
    <row r="18" spans="1:24" x14ac:dyDescent="0.25">
      <c r="A18" s="491">
        <v>15</v>
      </c>
      <c r="B18" s="493" t="s">
        <v>235</v>
      </c>
      <c r="C18" s="494" t="s">
        <v>42</v>
      </c>
      <c r="D18" s="180">
        <v>4</v>
      </c>
      <c r="E18" s="180">
        <v>5</v>
      </c>
      <c r="F18" s="495">
        <v>5</v>
      </c>
      <c r="G18" s="495">
        <v>12</v>
      </c>
      <c r="H18" s="495">
        <v>16</v>
      </c>
      <c r="I18" s="495">
        <v>20</v>
      </c>
      <c r="J18" s="496">
        <v>21</v>
      </c>
      <c r="K18" s="497">
        <v>25</v>
      </c>
      <c r="L18" s="498">
        <v>30</v>
      </c>
      <c r="M18" s="499"/>
      <c r="N18" s="499"/>
      <c r="O18" s="499"/>
      <c r="P18" s="499"/>
      <c r="Q18" s="499"/>
      <c r="S18" s="500"/>
      <c r="T18" s="500"/>
      <c r="U18" s="500"/>
      <c r="V18" s="500"/>
      <c r="W18" s="500"/>
      <c r="X18" s="500"/>
    </row>
    <row r="19" spans="1:24" x14ac:dyDescent="0.25">
      <c r="A19" s="491">
        <v>16</v>
      </c>
      <c r="B19" s="493" t="s">
        <v>236</v>
      </c>
      <c r="C19" s="494" t="s">
        <v>42</v>
      </c>
      <c r="D19" s="180">
        <v>3</v>
      </c>
      <c r="E19" s="180">
        <v>5</v>
      </c>
      <c r="F19" s="495">
        <v>10</v>
      </c>
      <c r="G19" s="495">
        <v>11</v>
      </c>
      <c r="H19" s="495">
        <v>13</v>
      </c>
      <c r="I19" s="495">
        <v>15</v>
      </c>
      <c r="J19" s="496">
        <v>16</v>
      </c>
      <c r="K19" s="497">
        <v>17</v>
      </c>
      <c r="L19" s="498">
        <v>19</v>
      </c>
      <c r="M19" s="499"/>
      <c r="N19" s="499"/>
      <c r="O19" s="499"/>
      <c r="P19" s="499"/>
      <c r="Q19" s="499"/>
      <c r="S19" s="500"/>
      <c r="T19" s="500"/>
      <c r="U19" s="500"/>
      <c r="V19" s="500"/>
      <c r="W19" s="500"/>
      <c r="X19" s="500"/>
    </row>
    <row r="20" spans="1:24" x14ac:dyDescent="0.25">
      <c r="A20" s="491">
        <v>17</v>
      </c>
      <c r="B20" s="501" t="s">
        <v>284</v>
      </c>
      <c r="C20" s="494" t="s">
        <v>42</v>
      </c>
      <c r="D20" s="180" t="s">
        <v>42</v>
      </c>
      <c r="E20" s="180" t="s">
        <v>42</v>
      </c>
      <c r="F20" s="495" t="s">
        <v>42</v>
      </c>
      <c r="G20" s="495" t="s">
        <v>42</v>
      </c>
      <c r="H20" s="495" t="s">
        <v>42</v>
      </c>
      <c r="I20" s="495" t="s">
        <v>42</v>
      </c>
      <c r="J20" s="496" t="s">
        <v>42</v>
      </c>
      <c r="K20" s="497" t="s">
        <v>42</v>
      </c>
      <c r="L20" s="498" t="s">
        <v>42</v>
      </c>
      <c r="M20" s="499"/>
      <c r="N20" s="499"/>
      <c r="O20" s="499"/>
      <c r="P20" s="499"/>
      <c r="Q20" s="499"/>
      <c r="S20" s="500"/>
      <c r="T20" s="500"/>
      <c r="U20" s="500"/>
      <c r="V20" s="500"/>
      <c r="W20" s="500"/>
      <c r="X20" s="500"/>
    </row>
    <row r="21" spans="1:24" x14ac:dyDescent="0.25">
      <c r="A21" s="491">
        <v>18</v>
      </c>
      <c r="B21" s="501" t="s">
        <v>285</v>
      </c>
      <c r="C21" s="494" t="s">
        <v>42</v>
      </c>
      <c r="D21" s="180" t="s">
        <v>42</v>
      </c>
      <c r="E21" s="180" t="s">
        <v>42</v>
      </c>
      <c r="F21" s="495" t="s">
        <v>42</v>
      </c>
      <c r="G21" s="495" t="s">
        <v>42</v>
      </c>
      <c r="H21" s="495" t="s">
        <v>42</v>
      </c>
      <c r="I21" s="495" t="s">
        <v>42</v>
      </c>
      <c r="J21" s="496" t="s">
        <v>42</v>
      </c>
      <c r="K21" s="497" t="s">
        <v>42</v>
      </c>
      <c r="L21" s="498" t="s">
        <v>42</v>
      </c>
      <c r="M21" s="499"/>
      <c r="N21" s="499"/>
      <c r="O21" s="499"/>
      <c r="P21" s="499"/>
      <c r="Q21" s="499"/>
      <c r="S21" s="500"/>
      <c r="T21" s="500"/>
      <c r="U21" s="500"/>
      <c r="V21" s="500"/>
      <c r="W21" s="500"/>
      <c r="X21" s="500"/>
    </row>
    <row r="22" spans="1:24" x14ac:dyDescent="0.25">
      <c r="A22" s="491">
        <v>19</v>
      </c>
      <c r="B22" s="493" t="s">
        <v>237</v>
      </c>
      <c r="C22" s="494" t="s">
        <v>42</v>
      </c>
      <c r="D22" s="180">
        <v>2</v>
      </c>
      <c r="E22" s="180">
        <v>2</v>
      </c>
      <c r="F22" s="495">
        <v>3</v>
      </c>
      <c r="G22" s="495">
        <v>3</v>
      </c>
      <c r="H22" s="495">
        <v>7</v>
      </c>
      <c r="I22" s="495">
        <v>11</v>
      </c>
      <c r="J22" s="496">
        <v>14</v>
      </c>
      <c r="K22" s="497">
        <v>17</v>
      </c>
      <c r="L22" s="498">
        <v>19</v>
      </c>
      <c r="M22" s="499"/>
      <c r="N22" s="499"/>
      <c r="O22" s="499"/>
      <c r="P22" s="499"/>
      <c r="Q22" s="499"/>
      <c r="S22" s="500"/>
      <c r="T22" s="500"/>
      <c r="U22" s="500"/>
      <c r="V22" s="500"/>
      <c r="W22" s="500"/>
      <c r="X22" s="500"/>
    </row>
    <row r="23" spans="1:24" x14ac:dyDescent="0.25">
      <c r="A23" s="491">
        <v>20</v>
      </c>
      <c r="B23" s="493" t="s">
        <v>238</v>
      </c>
      <c r="C23" s="495">
        <v>5</v>
      </c>
      <c r="D23" s="180">
        <v>24</v>
      </c>
      <c r="E23" s="180">
        <v>38</v>
      </c>
      <c r="F23" s="495">
        <v>48</v>
      </c>
      <c r="G23" s="495">
        <v>61</v>
      </c>
      <c r="H23" s="495">
        <v>76</v>
      </c>
      <c r="I23" s="495">
        <v>87</v>
      </c>
      <c r="J23" s="496">
        <v>104</v>
      </c>
      <c r="K23" s="497">
        <v>115</v>
      </c>
      <c r="L23" s="498">
        <v>144</v>
      </c>
      <c r="M23" s="499"/>
      <c r="N23" s="499"/>
      <c r="O23" s="499"/>
      <c r="P23" s="499"/>
      <c r="Q23" s="499"/>
      <c r="S23" s="500"/>
      <c r="T23" s="500"/>
      <c r="U23" s="500"/>
      <c r="V23" s="500"/>
      <c r="W23" s="500"/>
      <c r="X23" s="500"/>
    </row>
    <row r="24" spans="1:24" x14ac:dyDescent="0.25">
      <c r="A24" s="491">
        <v>21</v>
      </c>
      <c r="B24" s="501" t="s">
        <v>274</v>
      </c>
      <c r="C24" s="495" t="s">
        <v>42</v>
      </c>
      <c r="D24" s="180" t="s">
        <v>42</v>
      </c>
      <c r="E24" s="180" t="s">
        <v>42</v>
      </c>
      <c r="F24" s="495" t="s">
        <v>42</v>
      </c>
      <c r="G24" s="495" t="s">
        <v>42</v>
      </c>
      <c r="H24" s="495" t="s">
        <v>42</v>
      </c>
      <c r="I24" s="495" t="s">
        <v>42</v>
      </c>
      <c r="J24" s="496" t="s">
        <v>42</v>
      </c>
      <c r="K24" s="497" t="s">
        <v>42</v>
      </c>
      <c r="L24" s="498" t="s">
        <v>42</v>
      </c>
      <c r="M24" s="499"/>
      <c r="N24" s="499"/>
      <c r="O24" s="499"/>
      <c r="P24" s="499"/>
      <c r="Q24" s="499"/>
      <c r="S24" s="500"/>
      <c r="T24" s="500"/>
      <c r="U24" s="500"/>
      <c r="V24" s="500"/>
      <c r="W24" s="500"/>
      <c r="X24" s="500"/>
    </row>
    <row r="25" spans="1:24" x14ac:dyDescent="0.25">
      <c r="A25" s="491">
        <v>22</v>
      </c>
      <c r="B25" s="501" t="s">
        <v>275</v>
      </c>
      <c r="C25" s="495" t="s">
        <v>42</v>
      </c>
      <c r="D25" s="180" t="s">
        <v>42</v>
      </c>
      <c r="E25" s="180" t="s">
        <v>42</v>
      </c>
      <c r="F25" s="495" t="s">
        <v>42</v>
      </c>
      <c r="G25" s="495" t="s">
        <v>42</v>
      </c>
      <c r="H25" s="495" t="s">
        <v>42</v>
      </c>
      <c r="I25" s="495" t="s">
        <v>42</v>
      </c>
      <c r="J25" s="496" t="s">
        <v>42</v>
      </c>
      <c r="K25" s="497" t="s">
        <v>42</v>
      </c>
      <c r="L25" s="498" t="s">
        <v>42</v>
      </c>
      <c r="M25" s="499"/>
      <c r="N25" s="499"/>
      <c r="O25" s="499"/>
      <c r="P25" s="499"/>
      <c r="Q25" s="499"/>
      <c r="S25" s="500"/>
      <c r="T25" s="500"/>
      <c r="U25" s="500"/>
      <c r="V25" s="500"/>
      <c r="W25" s="500"/>
      <c r="X25" s="500"/>
    </row>
    <row r="26" spans="1:24" x14ac:dyDescent="0.25">
      <c r="A26" s="491">
        <v>23</v>
      </c>
      <c r="B26" s="501" t="s">
        <v>276</v>
      </c>
      <c r="C26" s="495" t="s">
        <v>42</v>
      </c>
      <c r="D26" s="180" t="s">
        <v>42</v>
      </c>
      <c r="E26" s="180" t="s">
        <v>42</v>
      </c>
      <c r="F26" s="495" t="s">
        <v>42</v>
      </c>
      <c r="G26" s="495" t="s">
        <v>42</v>
      </c>
      <c r="H26" s="495" t="s">
        <v>42</v>
      </c>
      <c r="I26" s="495" t="s">
        <v>42</v>
      </c>
      <c r="J26" s="496" t="s">
        <v>42</v>
      </c>
      <c r="K26" s="497" t="s">
        <v>42</v>
      </c>
      <c r="L26" s="498" t="s">
        <v>42</v>
      </c>
      <c r="M26" s="499"/>
      <c r="N26" s="499"/>
      <c r="O26" s="499"/>
      <c r="P26" s="499"/>
      <c r="Q26" s="499"/>
      <c r="S26" s="500"/>
      <c r="T26" s="500"/>
      <c r="U26" s="500"/>
      <c r="V26" s="500"/>
      <c r="W26" s="500"/>
      <c r="X26" s="500"/>
    </row>
    <row r="27" spans="1:24" x14ac:dyDescent="0.25">
      <c r="A27" s="491">
        <v>24</v>
      </c>
      <c r="B27" s="501" t="s">
        <v>277</v>
      </c>
      <c r="C27" s="495" t="s">
        <v>42</v>
      </c>
      <c r="D27" s="180" t="s">
        <v>42</v>
      </c>
      <c r="E27" s="180" t="s">
        <v>42</v>
      </c>
      <c r="F27" s="495" t="s">
        <v>42</v>
      </c>
      <c r="G27" s="495" t="s">
        <v>42</v>
      </c>
      <c r="H27" s="495" t="s">
        <v>42</v>
      </c>
      <c r="I27" s="495" t="s">
        <v>42</v>
      </c>
      <c r="J27" s="496" t="s">
        <v>42</v>
      </c>
      <c r="K27" s="497" t="s">
        <v>42</v>
      </c>
      <c r="L27" s="498" t="s">
        <v>42</v>
      </c>
      <c r="M27" s="499"/>
      <c r="N27" s="499"/>
      <c r="O27" s="499"/>
      <c r="P27" s="499"/>
      <c r="Q27" s="499"/>
      <c r="S27" s="500"/>
      <c r="T27" s="500"/>
      <c r="U27" s="500"/>
      <c r="V27" s="500"/>
      <c r="W27" s="500"/>
      <c r="X27" s="500"/>
    </row>
    <row r="28" spans="1:24" x14ac:dyDescent="0.25">
      <c r="A28" s="491">
        <v>25</v>
      </c>
      <c r="B28" s="493" t="s">
        <v>299</v>
      </c>
      <c r="C28" s="495">
        <v>4</v>
      </c>
      <c r="D28" s="180">
        <v>18</v>
      </c>
      <c r="E28" s="180">
        <v>31</v>
      </c>
      <c r="F28" s="495">
        <v>36</v>
      </c>
      <c r="G28" s="495">
        <v>45</v>
      </c>
      <c r="H28" s="495">
        <v>55</v>
      </c>
      <c r="I28" s="495">
        <v>74</v>
      </c>
      <c r="J28" s="496">
        <v>84</v>
      </c>
      <c r="K28" s="497">
        <v>92</v>
      </c>
      <c r="L28" s="498">
        <v>105</v>
      </c>
      <c r="M28" s="499"/>
      <c r="N28" s="499"/>
      <c r="O28" s="499"/>
      <c r="P28" s="499"/>
      <c r="Q28" s="499"/>
      <c r="S28" s="500"/>
      <c r="T28" s="500"/>
      <c r="U28" s="500"/>
      <c r="V28" s="500"/>
      <c r="W28" s="500"/>
      <c r="X28" s="500"/>
    </row>
    <row r="29" spans="1:24" x14ac:dyDescent="0.25">
      <c r="A29" s="491">
        <v>26</v>
      </c>
      <c r="B29" s="493" t="s">
        <v>306</v>
      </c>
      <c r="C29" s="494" t="s">
        <v>42</v>
      </c>
      <c r="D29" s="494" t="s">
        <v>42</v>
      </c>
      <c r="E29" s="180">
        <v>1</v>
      </c>
      <c r="F29" s="495">
        <v>3</v>
      </c>
      <c r="G29" s="495">
        <v>4</v>
      </c>
      <c r="H29" s="495">
        <v>4</v>
      </c>
      <c r="I29" s="495">
        <v>7</v>
      </c>
      <c r="J29" s="496">
        <v>16</v>
      </c>
      <c r="K29" s="497">
        <v>19</v>
      </c>
      <c r="L29" s="498">
        <v>21</v>
      </c>
      <c r="M29" s="499"/>
      <c r="N29" s="499"/>
      <c r="O29" s="499"/>
      <c r="P29" s="499"/>
      <c r="Q29" s="499"/>
      <c r="S29" s="500"/>
      <c r="T29" s="500"/>
      <c r="U29" s="500"/>
      <c r="V29" s="500"/>
      <c r="W29" s="500"/>
      <c r="X29" s="500"/>
    </row>
    <row r="30" spans="1:24" x14ac:dyDescent="0.25">
      <c r="A30" s="491">
        <v>27</v>
      </c>
      <c r="B30" s="501" t="s">
        <v>286</v>
      </c>
      <c r="C30" s="494" t="s">
        <v>42</v>
      </c>
      <c r="D30" s="494" t="s">
        <v>42</v>
      </c>
      <c r="E30" s="180" t="s">
        <v>42</v>
      </c>
      <c r="F30" s="495" t="s">
        <v>42</v>
      </c>
      <c r="G30" s="495" t="s">
        <v>42</v>
      </c>
      <c r="H30" s="495" t="s">
        <v>42</v>
      </c>
      <c r="I30" s="495" t="s">
        <v>42</v>
      </c>
      <c r="J30" s="496" t="s">
        <v>42</v>
      </c>
      <c r="K30" s="497" t="s">
        <v>42</v>
      </c>
      <c r="L30" s="498" t="s">
        <v>42</v>
      </c>
      <c r="M30" s="499"/>
      <c r="N30" s="499"/>
      <c r="O30" s="499"/>
      <c r="P30" s="499"/>
      <c r="Q30" s="499"/>
      <c r="S30" s="500"/>
      <c r="T30" s="500"/>
      <c r="U30" s="500"/>
      <c r="V30" s="500"/>
      <c r="W30" s="500"/>
      <c r="X30" s="500"/>
    </row>
    <row r="31" spans="1:24" x14ac:dyDescent="0.25">
      <c r="A31" s="491">
        <v>28</v>
      </c>
      <c r="B31" s="493" t="s">
        <v>239</v>
      </c>
      <c r="C31" s="494" t="s">
        <v>42</v>
      </c>
      <c r="D31" s="180">
        <v>6</v>
      </c>
      <c r="E31" s="180">
        <v>12</v>
      </c>
      <c r="F31" s="495">
        <v>13</v>
      </c>
      <c r="G31" s="495">
        <v>14</v>
      </c>
      <c r="H31" s="495">
        <v>16</v>
      </c>
      <c r="I31" s="495">
        <v>18</v>
      </c>
      <c r="J31" s="496">
        <v>20</v>
      </c>
      <c r="K31" s="497">
        <v>23</v>
      </c>
      <c r="L31" s="498">
        <v>25</v>
      </c>
      <c r="M31" s="499"/>
      <c r="N31" s="499"/>
      <c r="O31" s="499"/>
      <c r="P31" s="499"/>
      <c r="Q31" s="499"/>
      <c r="S31" s="500"/>
      <c r="T31" s="500"/>
      <c r="U31" s="500"/>
      <c r="V31" s="500"/>
      <c r="W31" s="500"/>
      <c r="X31" s="500"/>
    </row>
    <row r="32" spans="1:24" x14ac:dyDescent="0.25">
      <c r="A32" s="491">
        <v>29</v>
      </c>
      <c r="B32" s="493" t="s">
        <v>240</v>
      </c>
      <c r="C32" s="494" t="s">
        <v>42</v>
      </c>
      <c r="D32" s="180">
        <v>1</v>
      </c>
      <c r="E32" s="180">
        <v>3</v>
      </c>
      <c r="F32" s="495">
        <v>7</v>
      </c>
      <c r="G32" s="495">
        <v>7</v>
      </c>
      <c r="H32" s="495">
        <v>12</v>
      </c>
      <c r="I32" s="495">
        <v>14</v>
      </c>
      <c r="J32" s="496">
        <v>16</v>
      </c>
      <c r="K32" s="497">
        <v>18</v>
      </c>
      <c r="L32" s="498">
        <v>21</v>
      </c>
      <c r="M32" s="499"/>
      <c r="N32" s="499"/>
      <c r="O32" s="499"/>
      <c r="P32" s="499"/>
      <c r="Q32" s="499"/>
      <c r="S32" s="500"/>
      <c r="T32" s="500"/>
      <c r="U32" s="500"/>
      <c r="V32" s="500"/>
      <c r="W32" s="500"/>
      <c r="X32" s="500"/>
    </row>
    <row r="33" spans="1:24" x14ac:dyDescent="0.25">
      <c r="A33" s="491">
        <v>30</v>
      </c>
      <c r="B33" s="503" t="s">
        <v>249</v>
      </c>
      <c r="C33" s="494" t="s">
        <v>42</v>
      </c>
      <c r="D33" s="180" t="s">
        <v>42</v>
      </c>
      <c r="E33" s="180" t="s">
        <v>42</v>
      </c>
      <c r="F33" s="495" t="s">
        <v>42</v>
      </c>
      <c r="G33" s="495" t="s">
        <v>42</v>
      </c>
      <c r="H33" s="495" t="s">
        <v>42</v>
      </c>
      <c r="I33" s="495" t="s">
        <v>42</v>
      </c>
      <c r="J33" s="496">
        <v>1</v>
      </c>
      <c r="K33" s="497">
        <v>1</v>
      </c>
      <c r="L33" s="498">
        <v>1</v>
      </c>
      <c r="M33" s="499"/>
      <c r="N33" s="499"/>
      <c r="O33" s="499"/>
      <c r="P33" s="499"/>
      <c r="Q33" s="499"/>
      <c r="S33" s="500"/>
      <c r="T33" s="500"/>
      <c r="U33" s="500"/>
      <c r="V33" s="500"/>
      <c r="W33" s="500"/>
      <c r="X33" s="500"/>
    </row>
    <row r="34" spans="1:24" x14ac:dyDescent="0.25">
      <c r="A34" s="491">
        <v>31</v>
      </c>
      <c r="B34" s="493" t="s">
        <v>300</v>
      </c>
      <c r="C34" s="495">
        <v>1</v>
      </c>
      <c r="D34" s="180">
        <v>5</v>
      </c>
      <c r="E34" s="180">
        <v>5</v>
      </c>
      <c r="F34" s="495">
        <v>7</v>
      </c>
      <c r="G34" s="495">
        <v>9</v>
      </c>
      <c r="H34" s="495">
        <v>13</v>
      </c>
      <c r="I34" s="495">
        <v>20</v>
      </c>
      <c r="J34" s="496">
        <v>23</v>
      </c>
      <c r="K34" s="497">
        <v>28</v>
      </c>
      <c r="L34" s="498">
        <v>37</v>
      </c>
      <c r="M34" s="499"/>
      <c r="N34" s="499"/>
      <c r="O34" s="499"/>
      <c r="P34" s="499"/>
      <c r="Q34" s="499"/>
      <c r="S34" s="500"/>
      <c r="T34" s="500"/>
      <c r="U34" s="500"/>
      <c r="V34" s="500"/>
      <c r="W34" s="500"/>
      <c r="X34" s="500"/>
    </row>
    <row r="35" spans="1:24" x14ac:dyDescent="0.25">
      <c r="A35" s="491">
        <v>32</v>
      </c>
      <c r="B35" s="493" t="s">
        <v>242</v>
      </c>
      <c r="C35" s="494" t="s">
        <v>42</v>
      </c>
      <c r="D35" s="180">
        <v>6</v>
      </c>
      <c r="E35" s="180">
        <v>16</v>
      </c>
      <c r="F35" s="495">
        <v>18</v>
      </c>
      <c r="G35" s="495">
        <v>25</v>
      </c>
      <c r="H35" s="495">
        <v>27</v>
      </c>
      <c r="I35" s="495">
        <v>32</v>
      </c>
      <c r="J35" s="496">
        <v>35</v>
      </c>
      <c r="K35" s="497">
        <v>36</v>
      </c>
      <c r="L35" s="498">
        <v>38</v>
      </c>
      <c r="M35" s="499"/>
      <c r="N35" s="499"/>
      <c r="O35" s="499"/>
      <c r="P35" s="499"/>
      <c r="Q35" s="499"/>
      <c r="S35" s="500"/>
      <c r="T35" s="500"/>
      <c r="U35" s="500"/>
      <c r="V35" s="500"/>
      <c r="W35" s="500"/>
      <c r="X35" s="500"/>
    </row>
    <row r="36" spans="1:24" x14ac:dyDescent="0.25">
      <c r="A36" s="491">
        <v>33</v>
      </c>
      <c r="B36" s="493" t="s">
        <v>279</v>
      </c>
      <c r="C36" s="494" t="s">
        <v>42</v>
      </c>
      <c r="D36" s="180" t="s">
        <v>42</v>
      </c>
      <c r="E36" s="180" t="s">
        <v>42</v>
      </c>
      <c r="F36" s="495" t="s">
        <v>42</v>
      </c>
      <c r="G36" s="495" t="s">
        <v>42</v>
      </c>
      <c r="H36" s="495" t="s">
        <v>42</v>
      </c>
      <c r="I36" s="495" t="s">
        <v>42</v>
      </c>
      <c r="J36" s="496" t="s">
        <v>42</v>
      </c>
      <c r="K36" s="497" t="s">
        <v>42</v>
      </c>
      <c r="L36" s="498" t="s">
        <v>42</v>
      </c>
      <c r="M36" s="499"/>
      <c r="N36" s="499"/>
      <c r="O36" s="499"/>
      <c r="P36" s="499"/>
      <c r="Q36" s="499"/>
      <c r="S36" s="500"/>
      <c r="T36" s="500"/>
      <c r="U36" s="500"/>
      <c r="V36" s="500"/>
      <c r="W36" s="500"/>
      <c r="X36" s="500"/>
    </row>
    <row r="37" spans="1:24" x14ac:dyDescent="0.25">
      <c r="A37" s="491">
        <v>34</v>
      </c>
      <c r="B37" s="493" t="s">
        <v>243</v>
      </c>
      <c r="C37" s="495">
        <v>3</v>
      </c>
      <c r="D37" s="180">
        <v>19</v>
      </c>
      <c r="E37" s="180">
        <v>32</v>
      </c>
      <c r="F37" s="495">
        <v>40</v>
      </c>
      <c r="G37" s="495">
        <v>43</v>
      </c>
      <c r="H37" s="495">
        <v>53</v>
      </c>
      <c r="I37" s="495">
        <v>61</v>
      </c>
      <c r="J37" s="496">
        <v>75</v>
      </c>
      <c r="K37" s="497">
        <v>84</v>
      </c>
      <c r="L37" s="498">
        <v>108</v>
      </c>
      <c r="M37" s="499"/>
      <c r="N37" s="499"/>
      <c r="O37" s="499"/>
      <c r="P37" s="499"/>
      <c r="Q37" s="499"/>
      <c r="S37" s="500"/>
      <c r="T37" s="500"/>
      <c r="U37" s="500"/>
      <c r="V37" s="500"/>
      <c r="W37" s="500"/>
      <c r="X37" s="500"/>
    </row>
    <row r="38" spans="1:24" x14ac:dyDescent="0.25">
      <c r="A38" s="491">
        <v>35</v>
      </c>
      <c r="B38" s="493" t="s">
        <v>301</v>
      </c>
      <c r="C38" s="494" t="s">
        <v>42</v>
      </c>
      <c r="D38" s="494" t="s">
        <v>42</v>
      </c>
      <c r="E38" s="180">
        <v>2</v>
      </c>
      <c r="F38" s="495">
        <v>5</v>
      </c>
      <c r="G38" s="495">
        <v>6</v>
      </c>
      <c r="H38" s="495">
        <v>7</v>
      </c>
      <c r="I38" s="495">
        <v>8</v>
      </c>
      <c r="J38" s="496">
        <v>9</v>
      </c>
      <c r="K38" s="497">
        <v>10</v>
      </c>
      <c r="L38" s="498">
        <v>10</v>
      </c>
      <c r="M38" s="499"/>
      <c r="N38" s="499"/>
      <c r="O38" s="499"/>
      <c r="P38" s="499"/>
      <c r="Q38" s="499"/>
      <c r="S38" s="500"/>
      <c r="T38" s="500"/>
      <c r="U38" s="500"/>
      <c r="V38" s="500"/>
      <c r="W38" s="500"/>
      <c r="X38" s="500"/>
    </row>
    <row r="39" spans="1:24" x14ac:dyDescent="0.25">
      <c r="A39" s="491">
        <v>36</v>
      </c>
      <c r="B39" s="504" t="s">
        <v>244</v>
      </c>
      <c r="C39" s="494" t="s">
        <v>42</v>
      </c>
      <c r="D39" s="180">
        <v>4</v>
      </c>
      <c r="E39" s="180">
        <v>9</v>
      </c>
      <c r="F39" s="495">
        <v>13</v>
      </c>
      <c r="G39" s="495">
        <v>16</v>
      </c>
      <c r="H39" s="495">
        <v>21</v>
      </c>
      <c r="I39" s="495">
        <v>27</v>
      </c>
      <c r="J39" s="496">
        <v>29</v>
      </c>
      <c r="K39" s="497">
        <v>33</v>
      </c>
      <c r="L39" s="498">
        <v>39</v>
      </c>
      <c r="M39" s="499"/>
      <c r="N39" s="499"/>
      <c r="O39" s="499"/>
      <c r="P39" s="499"/>
      <c r="Q39" s="499"/>
      <c r="S39" s="500"/>
      <c r="T39" s="500"/>
      <c r="U39" s="500"/>
      <c r="V39" s="500"/>
      <c r="W39" s="500"/>
      <c r="X39" s="500"/>
    </row>
    <row r="40" spans="1:24" x14ac:dyDescent="0.25">
      <c r="A40" s="505"/>
      <c r="B40" s="506" t="s">
        <v>52</v>
      </c>
      <c r="C40" s="507">
        <v>14</v>
      </c>
      <c r="D40" s="508">
        <v>114</v>
      </c>
      <c r="E40" s="508">
        <v>212</v>
      </c>
      <c r="F40" s="509">
        <v>272</v>
      </c>
      <c r="G40" s="509">
        <v>339</v>
      </c>
      <c r="H40" s="509">
        <v>417</v>
      </c>
      <c r="I40" s="509">
        <v>523</v>
      </c>
      <c r="J40" s="509">
        <v>602</v>
      </c>
      <c r="K40" s="510">
        <f>+K5+K7+K8+K9+K10+K13+K14+K15+K16+K17+K18+K19+K22+K23+K28+K29+K31+K32+K33+K34+K35+K37+K38+K39</f>
        <v>685</v>
      </c>
      <c r="L40" s="511">
        <f>SUM(L4:L39)</f>
        <v>799</v>
      </c>
      <c r="M40" s="499"/>
      <c r="N40" s="499"/>
      <c r="O40" s="499"/>
      <c r="P40" s="499"/>
      <c r="Q40" s="499"/>
      <c r="S40" s="500"/>
      <c r="T40" s="500"/>
      <c r="U40" s="500"/>
      <c r="V40" s="500"/>
      <c r="W40" s="500"/>
      <c r="X40" s="500"/>
    </row>
    <row r="41" spans="1:24" ht="15.75" x14ac:dyDescent="0.25">
      <c r="A41" s="512"/>
      <c r="B41" s="513"/>
      <c r="C41" s="512"/>
      <c r="D41" s="512"/>
      <c r="E41" s="512"/>
      <c r="F41" s="169"/>
      <c r="G41" s="169"/>
      <c r="H41" s="169"/>
      <c r="I41" s="512"/>
      <c r="J41" s="512"/>
      <c r="K41" s="514"/>
      <c r="L41" s="515"/>
      <c r="M41" s="499"/>
      <c r="N41" s="499"/>
      <c r="O41" s="499"/>
      <c r="P41" s="499"/>
      <c r="Q41" s="499"/>
    </row>
  </sheetData>
  <mergeCells count="2">
    <mergeCell ref="A1:K1"/>
    <mergeCell ref="A2:K2"/>
  </mergeCells>
  <pageMargins left="0.25" right="0.25"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B050"/>
  </sheetPr>
  <dimension ref="A1:BH39"/>
  <sheetViews>
    <sheetView workbookViewId="0">
      <pane xSplit="2" ySplit="3" topLeftCell="C4" activePane="bottomRight" state="frozen"/>
      <selection activeCell="C28" sqref="A28:XFD28"/>
      <selection pane="topRight" activeCell="C28" sqref="A28:XFD28"/>
      <selection pane="bottomLeft" activeCell="C28" sqref="A28:XFD28"/>
      <selection pane="bottomRight" activeCell="M4" sqref="M4"/>
    </sheetView>
  </sheetViews>
  <sheetFormatPr defaultRowHeight="12.75" x14ac:dyDescent="0.2"/>
  <cols>
    <col min="1" max="1" width="5.7109375" style="69" customWidth="1"/>
    <col min="2" max="2" width="23.5703125" style="69" customWidth="1"/>
    <col min="3" max="3" width="11.85546875" style="73" bestFit="1" customWidth="1"/>
    <col min="4" max="4" width="11.85546875" style="69" bestFit="1" customWidth="1"/>
    <col min="5" max="5" width="12" style="73" customWidth="1"/>
    <col min="6" max="6" width="11.85546875" style="69" bestFit="1" customWidth="1"/>
    <col min="7" max="7" width="11.85546875" style="73" bestFit="1" customWidth="1"/>
    <col min="8" max="8" width="12.5703125" style="69" customWidth="1"/>
    <col min="9" max="9" width="11.85546875" style="73" bestFit="1" customWidth="1"/>
    <col min="10" max="12" width="11.85546875" style="69" bestFit="1" customWidth="1"/>
    <col min="13" max="13" width="11.85546875" style="69" customWidth="1"/>
    <col min="14" max="14" width="11.140625" style="73" customWidth="1"/>
    <col min="15" max="18" width="10.28515625" style="73" bestFit="1" customWidth="1"/>
    <col min="19" max="21" width="11.85546875" style="73" bestFit="1" customWidth="1"/>
    <col min="22" max="22" width="11.5703125" style="73" bestFit="1" customWidth="1"/>
    <col min="23" max="23" width="9.5703125" style="73" bestFit="1" customWidth="1"/>
    <col min="24" max="24" width="12.140625" style="73" customWidth="1"/>
    <col min="25" max="27" width="9.140625" style="73"/>
    <col min="28" max="28" width="10.85546875" style="72" customWidth="1"/>
    <col min="29" max="29" width="15" style="72" customWidth="1"/>
    <col min="30" max="30" width="9.140625" style="69"/>
    <col min="31" max="31" width="9.140625" style="73"/>
    <col min="32" max="32" width="12.140625" style="69" customWidth="1"/>
    <col min="33" max="33" width="12.7109375" style="73" customWidth="1"/>
    <col min="34" max="34" width="9.140625" style="69"/>
    <col min="35" max="35" width="12" style="73" customWidth="1"/>
    <col min="36" max="36" width="9.140625" style="69"/>
    <col min="37" max="37" width="9.140625" style="73"/>
    <col min="38" max="38" width="9.140625" style="69"/>
    <col min="39" max="39" width="9.140625" style="73"/>
    <col min="40" max="40" width="9.140625" style="69"/>
    <col min="41" max="47" width="9.140625" style="73"/>
    <col min="48" max="48" width="9.7109375" style="73" bestFit="1" customWidth="1"/>
    <col min="49" max="55" width="9.140625" style="73"/>
    <col min="56" max="56" width="10.85546875" style="72" customWidth="1"/>
    <col min="57" max="57" width="15" style="72" customWidth="1"/>
    <col min="58" max="58" width="9.140625" style="69"/>
    <col min="59" max="59" width="10" style="73" customWidth="1"/>
    <col min="60" max="258" width="9.140625" style="69"/>
    <col min="259" max="259" width="23.5703125" style="69" customWidth="1"/>
    <col min="260" max="260" width="12.140625" style="69" customWidth="1"/>
    <col min="261" max="261" width="12.7109375" style="69" customWidth="1"/>
    <col min="262" max="262" width="9.140625" style="69"/>
    <col min="263" max="263" width="12" style="69" customWidth="1"/>
    <col min="264" max="275" width="9.140625" style="69"/>
    <col min="276" max="276" width="9.7109375" style="69" bestFit="1" customWidth="1"/>
    <col min="277" max="283" width="9.140625" style="69"/>
    <col min="284" max="284" width="10.85546875" style="69" customWidth="1"/>
    <col min="285" max="285" width="15" style="69" customWidth="1"/>
    <col min="286" max="514" width="9.140625" style="69"/>
    <col min="515" max="515" width="23.5703125" style="69" customWidth="1"/>
    <col min="516" max="516" width="12.140625" style="69" customWidth="1"/>
    <col min="517" max="517" width="12.7109375" style="69" customWidth="1"/>
    <col min="518" max="518" width="9.140625" style="69"/>
    <col min="519" max="519" width="12" style="69" customWidth="1"/>
    <col min="520" max="531" width="9.140625" style="69"/>
    <col min="532" max="532" width="9.7109375" style="69" bestFit="1" customWidth="1"/>
    <col min="533" max="539" width="9.140625" style="69"/>
    <col min="540" max="540" width="10.85546875" style="69" customWidth="1"/>
    <col min="541" max="541" width="15" style="69" customWidth="1"/>
    <col min="542" max="770" width="9.140625" style="69"/>
    <col min="771" max="771" width="23.5703125" style="69" customWidth="1"/>
    <col min="772" max="772" width="12.140625" style="69" customWidth="1"/>
    <col min="773" max="773" width="12.7109375" style="69" customWidth="1"/>
    <col min="774" max="774" width="9.140625" style="69"/>
    <col min="775" max="775" width="12" style="69" customWidth="1"/>
    <col min="776" max="787" width="9.140625" style="69"/>
    <col min="788" max="788" width="9.7109375" style="69" bestFit="1" customWidth="1"/>
    <col min="789" max="795" width="9.140625" style="69"/>
    <col min="796" max="796" width="10.85546875" style="69" customWidth="1"/>
    <col min="797" max="797" width="15" style="69" customWidth="1"/>
    <col min="798" max="1026" width="9.140625" style="69"/>
    <col min="1027" max="1027" width="23.5703125" style="69" customWidth="1"/>
    <col min="1028" max="1028" width="12.140625" style="69" customWidth="1"/>
    <col min="1029" max="1029" width="12.7109375" style="69" customWidth="1"/>
    <col min="1030" max="1030" width="9.140625" style="69"/>
    <col min="1031" max="1031" width="12" style="69" customWidth="1"/>
    <col min="1032" max="1043" width="9.140625" style="69"/>
    <col min="1044" max="1044" width="9.7109375" style="69" bestFit="1" customWidth="1"/>
    <col min="1045" max="1051" width="9.140625" style="69"/>
    <col min="1052" max="1052" width="10.85546875" style="69" customWidth="1"/>
    <col min="1053" max="1053" width="15" style="69" customWidth="1"/>
    <col min="1054" max="1282" width="9.140625" style="69"/>
    <col min="1283" max="1283" width="23.5703125" style="69" customWidth="1"/>
    <col min="1284" max="1284" width="12.140625" style="69" customWidth="1"/>
    <col min="1285" max="1285" width="12.7109375" style="69" customWidth="1"/>
    <col min="1286" max="1286" width="9.140625" style="69"/>
    <col min="1287" max="1287" width="12" style="69" customWidth="1"/>
    <col min="1288" max="1299" width="9.140625" style="69"/>
    <col min="1300" max="1300" width="9.7109375" style="69" bestFit="1" customWidth="1"/>
    <col min="1301" max="1307" width="9.140625" style="69"/>
    <col min="1308" max="1308" width="10.85546875" style="69" customWidth="1"/>
    <col min="1309" max="1309" width="15" style="69" customWidth="1"/>
    <col min="1310" max="1538" width="9.140625" style="69"/>
    <col min="1539" max="1539" width="23.5703125" style="69" customWidth="1"/>
    <col min="1540" max="1540" width="12.140625" style="69" customWidth="1"/>
    <col min="1541" max="1541" width="12.7109375" style="69" customWidth="1"/>
    <col min="1542" max="1542" width="9.140625" style="69"/>
    <col min="1543" max="1543" width="12" style="69" customWidth="1"/>
    <col min="1544" max="1555" width="9.140625" style="69"/>
    <col min="1556" max="1556" width="9.7109375" style="69" bestFit="1" customWidth="1"/>
    <col min="1557" max="1563" width="9.140625" style="69"/>
    <col min="1564" max="1564" width="10.85546875" style="69" customWidth="1"/>
    <col min="1565" max="1565" width="15" style="69" customWidth="1"/>
    <col min="1566" max="1794" width="9.140625" style="69"/>
    <col min="1795" max="1795" width="23.5703125" style="69" customWidth="1"/>
    <col min="1796" max="1796" width="12.140625" style="69" customWidth="1"/>
    <col min="1797" max="1797" width="12.7109375" style="69" customWidth="1"/>
    <col min="1798" max="1798" width="9.140625" style="69"/>
    <col min="1799" max="1799" width="12" style="69" customWidth="1"/>
    <col min="1800" max="1811" width="9.140625" style="69"/>
    <col min="1812" max="1812" width="9.7109375" style="69" bestFit="1" customWidth="1"/>
    <col min="1813" max="1819" width="9.140625" style="69"/>
    <col min="1820" max="1820" width="10.85546875" style="69" customWidth="1"/>
    <col min="1821" max="1821" width="15" style="69" customWidth="1"/>
    <col min="1822" max="2050" width="9.140625" style="69"/>
    <col min="2051" max="2051" width="23.5703125" style="69" customWidth="1"/>
    <col min="2052" max="2052" width="12.140625" style="69" customWidth="1"/>
    <col min="2053" max="2053" width="12.7109375" style="69" customWidth="1"/>
    <col min="2054" max="2054" width="9.140625" style="69"/>
    <col min="2055" max="2055" width="12" style="69" customWidth="1"/>
    <col min="2056" max="2067" width="9.140625" style="69"/>
    <col min="2068" max="2068" width="9.7109375" style="69" bestFit="1" customWidth="1"/>
    <col min="2069" max="2075" width="9.140625" style="69"/>
    <col min="2076" max="2076" width="10.85546875" style="69" customWidth="1"/>
    <col min="2077" max="2077" width="15" style="69" customWidth="1"/>
    <col min="2078" max="2306" width="9.140625" style="69"/>
    <col min="2307" max="2307" width="23.5703125" style="69" customWidth="1"/>
    <col min="2308" max="2308" width="12.140625" style="69" customWidth="1"/>
    <col min="2309" max="2309" width="12.7109375" style="69" customWidth="1"/>
    <col min="2310" max="2310" width="9.140625" style="69"/>
    <col min="2311" max="2311" width="12" style="69" customWidth="1"/>
    <col min="2312" max="2323" width="9.140625" style="69"/>
    <col min="2324" max="2324" width="9.7109375" style="69" bestFit="1" customWidth="1"/>
    <col min="2325" max="2331" width="9.140625" style="69"/>
    <col min="2332" max="2332" width="10.85546875" style="69" customWidth="1"/>
    <col min="2333" max="2333" width="15" style="69" customWidth="1"/>
    <col min="2334" max="2562" width="9.140625" style="69"/>
    <col min="2563" max="2563" width="23.5703125" style="69" customWidth="1"/>
    <col min="2564" max="2564" width="12.140625" style="69" customWidth="1"/>
    <col min="2565" max="2565" width="12.7109375" style="69" customWidth="1"/>
    <col min="2566" max="2566" width="9.140625" style="69"/>
    <col min="2567" max="2567" width="12" style="69" customWidth="1"/>
    <col min="2568" max="2579" width="9.140625" style="69"/>
    <col min="2580" max="2580" width="9.7109375" style="69" bestFit="1" customWidth="1"/>
    <col min="2581" max="2587" width="9.140625" style="69"/>
    <col min="2588" max="2588" width="10.85546875" style="69" customWidth="1"/>
    <col min="2589" max="2589" width="15" style="69" customWidth="1"/>
    <col min="2590" max="2818" width="9.140625" style="69"/>
    <col min="2819" max="2819" width="23.5703125" style="69" customWidth="1"/>
    <col min="2820" max="2820" width="12.140625" style="69" customWidth="1"/>
    <col min="2821" max="2821" width="12.7109375" style="69" customWidth="1"/>
    <col min="2822" max="2822" width="9.140625" style="69"/>
    <col min="2823" max="2823" width="12" style="69" customWidth="1"/>
    <col min="2824" max="2835" width="9.140625" style="69"/>
    <col min="2836" max="2836" width="9.7109375" style="69" bestFit="1" customWidth="1"/>
    <col min="2837" max="2843" width="9.140625" style="69"/>
    <col min="2844" max="2844" width="10.85546875" style="69" customWidth="1"/>
    <col min="2845" max="2845" width="15" style="69" customWidth="1"/>
    <col min="2846" max="3074" width="9.140625" style="69"/>
    <col min="3075" max="3075" width="23.5703125" style="69" customWidth="1"/>
    <col min="3076" max="3076" width="12.140625" style="69" customWidth="1"/>
    <col min="3077" max="3077" width="12.7109375" style="69" customWidth="1"/>
    <col min="3078" max="3078" width="9.140625" style="69"/>
    <col min="3079" max="3079" width="12" style="69" customWidth="1"/>
    <col min="3080" max="3091" width="9.140625" style="69"/>
    <col min="3092" max="3092" width="9.7109375" style="69" bestFit="1" customWidth="1"/>
    <col min="3093" max="3099" width="9.140625" style="69"/>
    <col min="3100" max="3100" width="10.85546875" style="69" customWidth="1"/>
    <col min="3101" max="3101" width="15" style="69" customWidth="1"/>
    <col min="3102" max="3330" width="9.140625" style="69"/>
    <col min="3331" max="3331" width="23.5703125" style="69" customWidth="1"/>
    <col min="3332" max="3332" width="12.140625" style="69" customWidth="1"/>
    <col min="3333" max="3333" width="12.7109375" style="69" customWidth="1"/>
    <col min="3334" max="3334" width="9.140625" style="69"/>
    <col min="3335" max="3335" width="12" style="69" customWidth="1"/>
    <col min="3336" max="3347" width="9.140625" style="69"/>
    <col min="3348" max="3348" width="9.7109375" style="69" bestFit="1" customWidth="1"/>
    <col min="3349" max="3355" width="9.140625" style="69"/>
    <col min="3356" max="3356" width="10.85546875" style="69" customWidth="1"/>
    <col min="3357" max="3357" width="15" style="69" customWidth="1"/>
    <col min="3358" max="3586" width="9.140625" style="69"/>
    <col min="3587" max="3587" width="23.5703125" style="69" customWidth="1"/>
    <col min="3588" max="3588" width="12.140625" style="69" customWidth="1"/>
    <col min="3589" max="3589" width="12.7109375" style="69" customWidth="1"/>
    <col min="3590" max="3590" width="9.140625" style="69"/>
    <col min="3591" max="3591" width="12" style="69" customWidth="1"/>
    <col min="3592" max="3603" width="9.140625" style="69"/>
    <col min="3604" max="3604" width="9.7109375" style="69" bestFit="1" customWidth="1"/>
    <col min="3605" max="3611" width="9.140625" style="69"/>
    <col min="3612" max="3612" width="10.85546875" style="69" customWidth="1"/>
    <col min="3613" max="3613" width="15" style="69" customWidth="1"/>
    <col min="3614" max="3842" width="9.140625" style="69"/>
    <col min="3843" max="3843" width="23.5703125" style="69" customWidth="1"/>
    <col min="3844" max="3844" width="12.140625" style="69" customWidth="1"/>
    <col min="3845" max="3845" width="12.7109375" style="69" customWidth="1"/>
    <col min="3846" max="3846" width="9.140625" style="69"/>
    <col min="3847" max="3847" width="12" style="69" customWidth="1"/>
    <col min="3848" max="3859" width="9.140625" style="69"/>
    <col min="3860" max="3860" width="9.7109375" style="69" bestFit="1" customWidth="1"/>
    <col min="3861" max="3867" width="9.140625" style="69"/>
    <col min="3868" max="3868" width="10.85546875" style="69" customWidth="1"/>
    <col min="3869" max="3869" width="15" style="69" customWidth="1"/>
    <col min="3870" max="4098" width="9.140625" style="69"/>
    <col min="4099" max="4099" width="23.5703125" style="69" customWidth="1"/>
    <col min="4100" max="4100" width="12.140625" style="69" customWidth="1"/>
    <col min="4101" max="4101" width="12.7109375" style="69" customWidth="1"/>
    <col min="4102" max="4102" width="9.140625" style="69"/>
    <col min="4103" max="4103" width="12" style="69" customWidth="1"/>
    <col min="4104" max="4115" width="9.140625" style="69"/>
    <col min="4116" max="4116" width="9.7109375" style="69" bestFit="1" customWidth="1"/>
    <col min="4117" max="4123" width="9.140625" style="69"/>
    <col min="4124" max="4124" width="10.85546875" style="69" customWidth="1"/>
    <col min="4125" max="4125" width="15" style="69" customWidth="1"/>
    <col min="4126" max="4354" width="9.140625" style="69"/>
    <col min="4355" max="4355" width="23.5703125" style="69" customWidth="1"/>
    <col min="4356" max="4356" width="12.140625" style="69" customWidth="1"/>
    <col min="4357" max="4357" width="12.7109375" style="69" customWidth="1"/>
    <col min="4358" max="4358" width="9.140625" style="69"/>
    <col min="4359" max="4359" width="12" style="69" customWidth="1"/>
    <col min="4360" max="4371" width="9.140625" style="69"/>
    <col min="4372" max="4372" width="9.7109375" style="69" bestFit="1" customWidth="1"/>
    <col min="4373" max="4379" width="9.140625" style="69"/>
    <col min="4380" max="4380" width="10.85546875" style="69" customWidth="1"/>
    <col min="4381" max="4381" width="15" style="69" customWidth="1"/>
    <col min="4382" max="4610" width="9.140625" style="69"/>
    <col min="4611" max="4611" width="23.5703125" style="69" customWidth="1"/>
    <col min="4612" max="4612" width="12.140625" style="69" customWidth="1"/>
    <col min="4613" max="4613" width="12.7109375" style="69" customWidth="1"/>
    <col min="4614" max="4614" width="9.140625" style="69"/>
    <col min="4615" max="4615" width="12" style="69" customWidth="1"/>
    <col min="4616" max="4627" width="9.140625" style="69"/>
    <col min="4628" max="4628" width="9.7109375" style="69" bestFit="1" customWidth="1"/>
    <col min="4629" max="4635" width="9.140625" style="69"/>
    <col min="4636" max="4636" width="10.85546875" style="69" customWidth="1"/>
    <col min="4637" max="4637" width="15" style="69" customWidth="1"/>
    <col min="4638" max="4866" width="9.140625" style="69"/>
    <col min="4867" max="4867" width="23.5703125" style="69" customWidth="1"/>
    <col min="4868" max="4868" width="12.140625" style="69" customWidth="1"/>
    <col min="4869" max="4869" width="12.7109375" style="69" customWidth="1"/>
    <col min="4870" max="4870" width="9.140625" style="69"/>
    <col min="4871" max="4871" width="12" style="69" customWidth="1"/>
    <col min="4872" max="4883" width="9.140625" style="69"/>
    <col min="4884" max="4884" width="9.7109375" style="69" bestFit="1" customWidth="1"/>
    <col min="4885" max="4891" width="9.140625" style="69"/>
    <col min="4892" max="4892" width="10.85546875" style="69" customWidth="1"/>
    <col min="4893" max="4893" width="15" style="69" customWidth="1"/>
    <col min="4894" max="5122" width="9.140625" style="69"/>
    <col min="5123" max="5123" width="23.5703125" style="69" customWidth="1"/>
    <col min="5124" max="5124" width="12.140625" style="69" customWidth="1"/>
    <col min="5125" max="5125" width="12.7109375" style="69" customWidth="1"/>
    <col min="5126" max="5126" width="9.140625" style="69"/>
    <col min="5127" max="5127" width="12" style="69" customWidth="1"/>
    <col min="5128" max="5139" width="9.140625" style="69"/>
    <col min="5140" max="5140" width="9.7109375" style="69" bestFit="1" customWidth="1"/>
    <col min="5141" max="5147" width="9.140625" style="69"/>
    <col min="5148" max="5148" width="10.85546875" style="69" customWidth="1"/>
    <col min="5149" max="5149" width="15" style="69" customWidth="1"/>
    <col min="5150" max="5378" width="9.140625" style="69"/>
    <col min="5379" max="5379" width="23.5703125" style="69" customWidth="1"/>
    <col min="5380" max="5380" width="12.140625" style="69" customWidth="1"/>
    <col min="5381" max="5381" width="12.7109375" style="69" customWidth="1"/>
    <col min="5382" max="5382" width="9.140625" style="69"/>
    <col min="5383" max="5383" width="12" style="69" customWidth="1"/>
    <col min="5384" max="5395" width="9.140625" style="69"/>
    <col min="5396" max="5396" width="9.7109375" style="69" bestFit="1" customWidth="1"/>
    <col min="5397" max="5403" width="9.140625" style="69"/>
    <col min="5404" max="5404" width="10.85546875" style="69" customWidth="1"/>
    <col min="5405" max="5405" width="15" style="69" customWidth="1"/>
    <col min="5406" max="5634" width="9.140625" style="69"/>
    <col min="5635" max="5635" width="23.5703125" style="69" customWidth="1"/>
    <col min="5636" max="5636" width="12.140625" style="69" customWidth="1"/>
    <col min="5637" max="5637" width="12.7109375" style="69" customWidth="1"/>
    <col min="5638" max="5638" width="9.140625" style="69"/>
    <col min="5639" max="5639" width="12" style="69" customWidth="1"/>
    <col min="5640" max="5651" width="9.140625" style="69"/>
    <col min="5652" max="5652" width="9.7109375" style="69" bestFit="1" customWidth="1"/>
    <col min="5653" max="5659" width="9.140625" style="69"/>
    <col min="5660" max="5660" width="10.85546875" style="69" customWidth="1"/>
    <col min="5661" max="5661" width="15" style="69" customWidth="1"/>
    <col min="5662" max="5890" width="9.140625" style="69"/>
    <col min="5891" max="5891" width="23.5703125" style="69" customWidth="1"/>
    <col min="5892" max="5892" width="12.140625" style="69" customWidth="1"/>
    <col min="5893" max="5893" width="12.7109375" style="69" customWidth="1"/>
    <col min="5894" max="5894" width="9.140625" style="69"/>
    <col min="5895" max="5895" width="12" style="69" customWidth="1"/>
    <col min="5896" max="5907" width="9.140625" style="69"/>
    <col min="5908" max="5908" width="9.7109375" style="69" bestFit="1" customWidth="1"/>
    <col min="5909" max="5915" width="9.140625" style="69"/>
    <col min="5916" max="5916" width="10.85546875" style="69" customWidth="1"/>
    <col min="5917" max="5917" width="15" style="69" customWidth="1"/>
    <col min="5918" max="6146" width="9.140625" style="69"/>
    <col min="6147" max="6147" width="23.5703125" style="69" customWidth="1"/>
    <col min="6148" max="6148" width="12.140625" style="69" customWidth="1"/>
    <col min="6149" max="6149" width="12.7109375" style="69" customWidth="1"/>
    <col min="6150" max="6150" width="9.140625" style="69"/>
    <col min="6151" max="6151" width="12" style="69" customWidth="1"/>
    <col min="6152" max="6163" width="9.140625" style="69"/>
    <col min="6164" max="6164" width="9.7109375" style="69" bestFit="1" customWidth="1"/>
    <col min="6165" max="6171" width="9.140625" style="69"/>
    <col min="6172" max="6172" width="10.85546875" style="69" customWidth="1"/>
    <col min="6173" max="6173" width="15" style="69" customWidth="1"/>
    <col min="6174" max="6402" width="9.140625" style="69"/>
    <col min="6403" max="6403" width="23.5703125" style="69" customWidth="1"/>
    <col min="6404" max="6404" width="12.140625" style="69" customWidth="1"/>
    <col min="6405" max="6405" width="12.7109375" style="69" customWidth="1"/>
    <col min="6406" max="6406" width="9.140625" style="69"/>
    <col min="6407" max="6407" width="12" style="69" customWidth="1"/>
    <col min="6408" max="6419" width="9.140625" style="69"/>
    <col min="6420" max="6420" width="9.7109375" style="69" bestFit="1" customWidth="1"/>
    <col min="6421" max="6427" width="9.140625" style="69"/>
    <col min="6428" max="6428" width="10.85546875" style="69" customWidth="1"/>
    <col min="6429" max="6429" width="15" style="69" customWidth="1"/>
    <col min="6430" max="6658" width="9.140625" style="69"/>
    <col min="6659" max="6659" width="23.5703125" style="69" customWidth="1"/>
    <col min="6660" max="6660" width="12.140625" style="69" customWidth="1"/>
    <col min="6661" max="6661" width="12.7109375" style="69" customWidth="1"/>
    <col min="6662" max="6662" width="9.140625" style="69"/>
    <col min="6663" max="6663" width="12" style="69" customWidth="1"/>
    <col min="6664" max="6675" width="9.140625" style="69"/>
    <col min="6676" max="6676" width="9.7109375" style="69" bestFit="1" customWidth="1"/>
    <col min="6677" max="6683" width="9.140625" style="69"/>
    <col min="6684" max="6684" width="10.85546875" style="69" customWidth="1"/>
    <col min="6685" max="6685" width="15" style="69" customWidth="1"/>
    <col min="6686" max="6914" width="9.140625" style="69"/>
    <col min="6915" max="6915" width="23.5703125" style="69" customWidth="1"/>
    <col min="6916" max="6916" width="12.140625" style="69" customWidth="1"/>
    <col min="6917" max="6917" width="12.7109375" style="69" customWidth="1"/>
    <col min="6918" max="6918" width="9.140625" style="69"/>
    <col min="6919" max="6919" width="12" style="69" customWidth="1"/>
    <col min="6920" max="6931" width="9.140625" style="69"/>
    <col min="6932" max="6932" width="9.7109375" style="69" bestFit="1" customWidth="1"/>
    <col min="6933" max="6939" width="9.140625" style="69"/>
    <col min="6940" max="6940" width="10.85546875" style="69" customWidth="1"/>
    <col min="6941" max="6941" width="15" style="69" customWidth="1"/>
    <col min="6942" max="7170" width="9.140625" style="69"/>
    <col min="7171" max="7171" width="23.5703125" style="69" customWidth="1"/>
    <col min="7172" max="7172" width="12.140625" style="69" customWidth="1"/>
    <col min="7173" max="7173" width="12.7109375" style="69" customWidth="1"/>
    <col min="7174" max="7174" width="9.140625" style="69"/>
    <col min="7175" max="7175" width="12" style="69" customWidth="1"/>
    <col min="7176" max="7187" width="9.140625" style="69"/>
    <col min="7188" max="7188" width="9.7109375" style="69" bestFit="1" customWidth="1"/>
    <col min="7189" max="7195" width="9.140625" style="69"/>
    <col min="7196" max="7196" width="10.85546875" style="69" customWidth="1"/>
    <col min="7197" max="7197" width="15" style="69" customWidth="1"/>
    <col min="7198" max="7426" width="9.140625" style="69"/>
    <col min="7427" max="7427" width="23.5703125" style="69" customWidth="1"/>
    <col min="7428" max="7428" width="12.140625" style="69" customWidth="1"/>
    <col min="7429" max="7429" width="12.7109375" style="69" customWidth="1"/>
    <col min="7430" max="7430" width="9.140625" style="69"/>
    <col min="7431" max="7431" width="12" style="69" customWidth="1"/>
    <col min="7432" max="7443" width="9.140625" style="69"/>
    <col min="7444" max="7444" width="9.7109375" style="69" bestFit="1" customWidth="1"/>
    <col min="7445" max="7451" width="9.140625" style="69"/>
    <col min="7452" max="7452" width="10.85546875" style="69" customWidth="1"/>
    <col min="7453" max="7453" width="15" style="69" customWidth="1"/>
    <col min="7454" max="7682" width="9.140625" style="69"/>
    <col min="7683" max="7683" width="23.5703125" style="69" customWidth="1"/>
    <col min="7684" max="7684" width="12.140625" style="69" customWidth="1"/>
    <col min="7685" max="7685" width="12.7109375" style="69" customWidth="1"/>
    <col min="7686" max="7686" width="9.140625" style="69"/>
    <col min="7687" max="7687" width="12" style="69" customWidth="1"/>
    <col min="7688" max="7699" width="9.140625" style="69"/>
    <col min="7700" max="7700" width="9.7109375" style="69" bestFit="1" customWidth="1"/>
    <col min="7701" max="7707" width="9.140625" style="69"/>
    <col min="7708" max="7708" width="10.85546875" style="69" customWidth="1"/>
    <col min="7709" max="7709" width="15" style="69" customWidth="1"/>
    <col min="7710" max="7938" width="9.140625" style="69"/>
    <col min="7939" max="7939" width="23.5703125" style="69" customWidth="1"/>
    <col min="7940" max="7940" width="12.140625" style="69" customWidth="1"/>
    <col min="7941" max="7941" width="12.7109375" style="69" customWidth="1"/>
    <col min="7942" max="7942" width="9.140625" style="69"/>
    <col min="7943" max="7943" width="12" style="69" customWidth="1"/>
    <col min="7944" max="7955" width="9.140625" style="69"/>
    <col min="7956" max="7956" width="9.7109375" style="69" bestFit="1" customWidth="1"/>
    <col min="7957" max="7963" width="9.140625" style="69"/>
    <col min="7964" max="7964" width="10.85546875" style="69" customWidth="1"/>
    <col min="7965" max="7965" width="15" style="69" customWidth="1"/>
    <col min="7966" max="8194" width="9.140625" style="69"/>
    <col min="8195" max="8195" width="23.5703125" style="69" customWidth="1"/>
    <col min="8196" max="8196" width="12.140625" style="69" customWidth="1"/>
    <col min="8197" max="8197" width="12.7109375" style="69" customWidth="1"/>
    <col min="8198" max="8198" width="9.140625" style="69"/>
    <col min="8199" max="8199" width="12" style="69" customWidth="1"/>
    <col min="8200" max="8211" width="9.140625" style="69"/>
    <col min="8212" max="8212" width="9.7109375" style="69" bestFit="1" customWidth="1"/>
    <col min="8213" max="8219" width="9.140625" style="69"/>
    <col min="8220" max="8220" width="10.85546875" style="69" customWidth="1"/>
    <col min="8221" max="8221" width="15" style="69" customWidth="1"/>
    <col min="8222" max="8450" width="9.140625" style="69"/>
    <col min="8451" max="8451" width="23.5703125" style="69" customWidth="1"/>
    <col min="8452" max="8452" width="12.140625" style="69" customWidth="1"/>
    <col min="8453" max="8453" width="12.7109375" style="69" customWidth="1"/>
    <col min="8454" max="8454" width="9.140625" style="69"/>
    <col min="8455" max="8455" width="12" style="69" customWidth="1"/>
    <col min="8456" max="8467" width="9.140625" style="69"/>
    <col min="8468" max="8468" width="9.7109375" style="69" bestFit="1" customWidth="1"/>
    <col min="8469" max="8475" width="9.140625" style="69"/>
    <col min="8476" max="8476" width="10.85546875" style="69" customWidth="1"/>
    <col min="8477" max="8477" width="15" style="69" customWidth="1"/>
    <col min="8478" max="8706" width="9.140625" style="69"/>
    <col min="8707" max="8707" width="23.5703125" style="69" customWidth="1"/>
    <col min="8708" max="8708" width="12.140625" style="69" customWidth="1"/>
    <col min="8709" max="8709" width="12.7109375" style="69" customWidth="1"/>
    <col min="8710" max="8710" width="9.140625" style="69"/>
    <col min="8711" max="8711" width="12" style="69" customWidth="1"/>
    <col min="8712" max="8723" width="9.140625" style="69"/>
    <col min="8724" max="8724" width="9.7109375" style="69" bestFit="1" customWidth="1"/>
    <col min="8725" max="8731" width="9.140625" style="69"/>
    <col min="8732" max="8732" width="10.85546875" style="69" customWidth="1"/>
    <col min="8733" max="8733" width="15" style="69" customWidth="1"/>
    <col min="8734" max="8962" width="9.140625" style="69"/>
    <col min="8963" max="8963" width="23.5703125" style="69" customWidth="1"/>
    <col min="8964" max="8964" width="12.140625" style="69" customWidth="1"/>
    <col min="8965" max="8965" width="12.7109375" style="69" customWidth="1"/>
    <col min="8966" max="8966" width="9.140625" style="69"/>
    <col min="8967" max="8967" width="12" style="69" customWidth="1"/>
    <col min="8968" max="8979" width="9.140625" style="69"/>
    <col min="8980" max="8980" width="9.7109375" style="69" bestFit="1" customWidth="1"/>
    <col min="8981" max="8987" width="9.140625" style="69"/>
    <col min="8988" max="8988" width="10.85546875" style="69" customWidth="1"/>
    <col min="8989" max="8989" width="15" style="69" customWidth="1"/>
    <col min="8990" max="9218" width="9.140625" style="69"/>
    <col min="9219" max="9219" width="23.5703125" style="69" customWidth="1"/>
    <col min="9220" max="9220" width="12.140625" style="69" customWidth="1"/>
    <col min="9221" max="9221" width="12.7109375" style="69" customWidth="1"/>
    <col min="9222" max="9222" width="9.140625" style="69"/>
    <col min="9223" max="9223" width="12" style="69" customWidth="1"/>
    <col min="9224" max="9235" width="9.140625" style="69"/>
    <col min="9236" max="9236" width="9.7109375" style="69" bestFit="1" customWidth="1"/>
    <col min="9237" max="9243" width="9.140625" style="69"/>
    <col min="9244" max="9244" width="10.85546875" style="69" customWidth="1"/>
    <col min="9245" max="9245" width="15" style="69" customWidth="1"/>
    <col min="9246" max="9474" width="9.140625" style="69"/>
    <col min="9475" max="9475" width="23.5703125" style="69" customWidth="1"/>
    <col min="9476" max="9476" width="12.140625" style="69" customWidth="1"/>
    <col min="9477" max="9477" width="12.7109375" style="69" customWidth="1"/>
    <col min="9478" max="9478" width="9.140625" style="69"/>
    <col min="9479" max="9479" width="12" style="69" customWidth="1"/>
    <col min="9480" max="9491" width="9.140625" style="69"/>
    <col min="9492" max="9492" width="9.7109375" style="69" bestFit="1" customWidth="1"/>
    <col min="9493" max="9499" width="9.140625" style="69"/>
    <col min="9500" max="9500" width="10.85546875" style="69" customWidth="1"/>
    <col min="9501" max="9501" width="15" style="69" customWidth="1"/>
    <col min="9502" max="9730" width="9.140625" style="69"/>
    <col min="9731" max="9731" width="23.5703125" style="69" customWidth="1"/>
    <col min="9732" max="9732" width="12.140625" style="69" customWidth="1"/>
    <col min="9733" max="9733" width="12.7109375" style="69" customWidth="1"/>
    <col min="9734" max="9734" width="9.140625" style="69"/>
    <col min="9735" max="9735" width="12" style="69" customWidth="1"/>
    <col min="9736" max="9747" width="9.140625" style="69"/>
    <col min="9748" max="9748" width="9.7109375" style="69" bestFit="1" customWidth="1"/>
    <col min="9749" max="9755" width="9.140625" style="69"/>
    <col min="9756" max="9756" width="10.85546875" style="69" customWidth="1"/>
    <col min="9757" max="9757" width="15" style="69" customWidth="1"/>
    <col min="9758" max="9986" width="9.140625" style="69"/>
    <col min="9987" max="9987" width="23.5703125" style="69" customWidth="1"/>
    <col min="9988" max="9988" width="12.140625" style="69" customWidth="1"/>
    <col min="9989" max="9989" width="12.7109375" style="69" customWidth="1"/>
    <col min="9990" max="9990" width="9.140625" style="69"/>
    <col min="9991" max="9991" width="12" style="69" customWidth="1"/>
    <col min="9992" max="10003" width="9.140625" style="69"/>
    <col min="10004" max="10004" width="9.7109375" style="69" bestFit="1" customWidth="1"/>
    <col min="10005" max="10011" width="9.140625" style="69"/>
    <col min="10012" max="10012" width="10.85546875" style="69" customWidth="1"/>
    <col min="10013" max="10013" width="15" style="69" customWidth="1"/>
    <col min="10014" max="10242" width="9.140625" style="69"/>
    <col min="10243" max="10243" width="23.5703125" style="69" customWidth="1"/>
    <col min="10244" max="10244" width="12.140625" style="69" customWidth="1"/>
    <col min="10245" max="10245" width="12.7109375" style="69" customWidth="1"/>
    <col min="10246" max="10246" width="9.140625" style="69"/>
    <col min="10247" max="10247" width="12" style="69" customWidth="1"/>
    <col min="10248" max="10259" width="9.140625" style="69"/>
    <col min="10260" max="10260" width="9.7109375" style="69" bestFit="1" customWidth="1"/>
    <col min="10261" max="10267" width="9.140625" style="69"/>
    <col min="10268" max="10268" width="10.85546875" style="69" customWidth="1"/>
    <col min="10269" max="10269" width="15" style="69" customWidth="1"/>
    <col min="10270" max="10498" width="9.140625" style="69"/>
    <col min="10499" max="10499" width="23.5703125" style="69" customWidth="1"/>
    <col min="10500" max="10500" width="12.140625" style="69" customWidth="1"/>
    <col min="10501" max="10501" width="12.7109375" style="69" customWidth="1"/>
    <col min="10502" max="10502" width="9.140625" style="69"/>
    <col min="10503" max="10503" width="12" style="69" customWidth="1"/>
    <col min="10504" max="10515" width="9.140625" style="69"/>
    <col min="10516" max="10516" width="9.7109375" style="69" bestFit="1" customWidth="1"/>
    <col min="10517" max="10523" width="9.140625" style="69"/>
    <col min="10524" max="10524" width="10.85546875" style="69" customWidth="1"/>
    <col min="10525" max="10525" width="15" style="69" customWidth="1"/>
    <col min="10526" max="10754" width="9.140625" style="69"/>
    <col min="10755" max="10755" width="23.5703125" style="69" customWidth="1"/>
    <col min="10756" max="10756" width="12.140625" style="69" customWidth="1"/>
    <col min="10757" max="10757" width="12.7109375" style="69" customWidth="1"/>
    <col min="10758" max="10758" width="9.140625" style="69"/>
    <col min="10759" max="10759" width="12" style="69" customWidth="1"/>
    <col min="10760" max="10771" width="9.140625" style="69"/>
    <col min="10772" max="10772" width="9.7109375" style="69" bestFit="1" customWidth="1"/>
    <col min="10773" max="10779" width="9.140625" style="69"/>
    <col min="10780" max="10780" width="10.85546875" style="69" customWidth="1"/>
    <col min="10781" max="10781" width="15" style="69" customWidth="1"/>
    <col min="10782" max="11010" width="9.140625" style="69"/>
    <col min="11011" max="11011" width="23.5703125" style="69" customWidth="1"/>
    <col min="11012" max="11012" width="12.140625" style="69" customWidth="1"/>
    <col min="11013" max="11013" width="12.7109375" style="69" customWidth="1"/>
    <col min="11014" max="11014" width="9.140625" style="69"/>
    <col min="11015" max="11015" width="12" style="69" customWidth="1"/>
    <col min="11016" max="11027" width="9.140625" style="69"/>
    <col min="11028" max="11028" width="9.7109375" style="69" bestFit="1" customWidth="1"/>
    <col min="11029" max="11035" width="9.140625" style="69"/>
    <col min="11036" max="11036" width="10.85546875" style="69" customWidth="1"/>
    <col min="11037" max="11037" width="15" style="69" customWidth="1"/>
    <col min="11038" max="11266" width="9.140625" style="69"/>
    <col min="11267" max="11267" width="23.5703125" style="69" customWidth="1"/>
    <col min="11268" max="11268" width="12.140625" style="69" customWidth="1"/>
    <col min="11269" max="11269" width="12.7109375" style="69" customWidth="1"/>
    <col min="11270" max="11270" width="9.140625" style="69"/>
    <col min="11271" max="11271" width="12" style="69" customWidth="1"/>
    <col min="11272" max="11283" width="9.140625" style="69"/>
    <col min="11284" max="11284" width="9.7109375" style="69" bestFit="1" customWidth="1"/>
    <col min="11285" max="11291" width="9.140625" style="69"/>
    <col min="11292" max="11292" width="10.85546875" style="69" customWidth="1"/>
    <col min="11293" max="11293" width="15" style="69" customWidth="1"/>
    <col min="11294" max="11522" width="9.140625" style="69"/>
    <col min="11523" max="11523" width="23.5703125" style="69" customWidth="1"/>
    <col min="11524" max="11524" width="12.140625" style="69" customWidth="1"/>
    <col min="11525" max="11525" width="12.7109375" style="69" customWidth="1"/>
    <col min="11526" max="11526" width="9.140625" style="69"/>
    <col min="11527" max="11527" width="12" style="69" customWidth="1"/>
    <col min="11528" max="11539" width="9.140625" style="69"/>
    <col min="11540" max="11540" width="9.7109375" style="69" bestFit="1" customWidth="1"/>
    <col min="11541" max="11547" width="9.140625" style="69"/>
    <col min="11548" max="11548" width="10.85546875" style="69" customWidth="1"/>
    <col min="11549" max="11549" width="15" style="69" customWidth="1"/>
    <col min="11550" max="11778" width="9.140625" style="69"/>
    <col min="11779" max="11779" width="23.5703125" style="69" customWidth="1"/>
    <col min="11780" max="11780" width="12.140625" style="69" customWidth="1"/>
    <col min="11781" max="11781" width="12.7109375" style="69" customWidth="1"/>
    <col min="11782" max="11782" width="9.140625" style="69"/>
    <col min="11783" max="11783" width="12" style="69" customWidth="1"/>
    <col min="11784" max="11795" width="9.140625" style="69"/>
    <col min="11796" max="11796" width="9.7109375" style="69" bestFit="1" customWidth="1"/>
    <col min="11797" max="11803" width="9.140625" style="69"/>
    <col min="11804" max="11804" width="10.85546875" style="69" customWidth="1"/>
    <col min="11805" max="11805" width="15" style="69" customWidth="1"/>
    <col min="11806" max="12034" width="9.140625" style="69"/>
    <col min="12035" max="12035" width="23.5703125" style="69" customWidth="1"/>
    <col min="12036" max="12036" width="12.140625" style="69" customWidth="1"/>
    <col min="12037" max="12037" width="12.7109375" style="69" customWidth="1"/>
    <col min="12038" max="12038" width="9.140625" style="69"/>
    <col min="12039" max="12039" width="12" style="69" customWidth="1"/>
    <col min="12040" max="12051" width="9.140625" style="69"/>
    <col min="12052" max="12052" width="9.7109375" style="69" bestFit="1" customWidth="1"/>
    <col min="12053" max="12059" width="9.140625" style="69"/>
    <col min="12060" max="12060" width="10.85546875" style="69" customWidth="1"/>
    <col min="12061" max="12061" width="15" style="69" customWidth="1"/>
    <col min="12062" max="12290" width="9.140625" style="69"/>
    <col min="12291" max="12291" width="23.5703125" style="69" customWidth="1"/>
    <col min="12292" max="12292" width="12.140625" style="69" customWidth="1"/>
    <col min="12293" max="12293" width="12.7109375" style="69" customWidth="1"/>
    <col min="12294" max="12294" width="9.140625" style="69"/>
    <col min="12295" max="12295" width="12" style="69" customWidth="1"/>
    <col min="12296" max="12307" width="9.140625" style="69"/>
    <col min="12308" max="12308" width="9.7109375" style="69" bestFit="1" customWidth="1"/>
    <col min="12309" max="12315" width="9.140625" style="69"/>
    <col min="12316" max="12316" width="10.85546875" style="69" customWidth="1"/>
    <col min="12317" max="12317" width="15" style="69" customWidth="1"/>
    <col min="12318" max="12546" width="9.140625" style="69"/>
    <col min="12547" max="12547" width="23.5703125" style="69" customWidth="1"/>
    <col min="12548" max="12548" width="12.140625" style="69" customWidth="1"/>
    <col min="12549" max="12549" width="12.7109375" style="69" customWidth="1"/>
    <col min="12550" max="12550" width="9.140625" style="69"/>
    <col min="12551" max="12551" width="12" style="69" customWidth="1"/>
    <col min="12552" max="12563" width="9.140625" style="69"/>
    <col min="12564" max="12564" width="9.7109375" style="69" bestFit="1" customWidth="1"/>
    <col min="12565" max="12571" width="9.140625" style="69"/>
    <col min="12572" max="12572" width="10.85546875" style="69" customWidth="1"/>
    <col min="12573" max="12573" width="15" style="69" customWidth="1"/>
    <col min="12574" max="12802" width="9.140625" style="69"/>
    <col min="12803" max="12803" width="23.5703125" style="69" customWidth="1"/>
    <col min="12804" max="12804" width="12.140625" style="69" customWidth="1"/>
    <col min="12805" max="12805" width="12.7109375" style="69" customWidth="1"/>
    <col min="12806" max="12806" width="9.140625" style="69"/>
    <col min="12807" max="12807" width="12" style="69" customWidth="1"/>
    <col min="12808" max="12819" width="9.140625" style="69"/>
    <col min="12820" max="12820" width="9.7109375" style="69" bestFit="1" customWidth="1"/>
    <col min="12821" max="12827" width="9.140625" style="69"/>
    <col min="12828" max="12828" width="10.85546875" style="69" customWidth="1"/>
    <col min="12829" max="12829" width="15" style="69" customWidth="1"/>
    <col min="12830" max="13058" width="9.140625" style="69"/>
    <col min="13059" max="13059" width="23.5703125" style="69" customWidth="1"/>
    <col min="13060" max="13060" width="12.140625" style="69" customWidth="1"/>
    <col min="13061" max="13061" width="12.7109375" style="69" customWidth="1"/>
    <col min="13062" max="13062" width="9.140625" style="69"/>
    <col min="13063" max="13063" width="12" style="69" customWidth="1"/>
    <col min="13064" max="13075" width="9.140625" style="69"/>
    <col min="13076" max="13076" width="9.7109375" style="69" bestFit="1" customWidth="1"/>
    <col min="13077" max="13083" width="9.140625" style="69"/>
    <col min="13084" max="13084" width="10.85546875" style="69" customWidth="1"/>
    <col min="13085" max="13085" width="15" style="69" customWidth="1"/>
    <col min="13086" max="13314" width="9.140625" style="69"/>
    <col min="13315" max="13315" width="23.5703125" style="69" customWidth="1"/>
    <col min="13316" max="13316" width="12.140625" style="69" customWidth="1"/>
    <col min="13317" max="13317" width="12.7109375" style="69" customWidth="1"/>
    <col min="13318" max="13318" width="9.140625" style="69"/>
    <col min="13319" max="13319" width="12" style="69" customWidth="1"/>
    <col min="13320" max="13331" width="9.140625" style="69"/>
    <col min="13332" max="13332" width="9.7109375" style="69" bestFit="1" customWidth="1"/>
    <col min="13333" max="13339" width="9.140625" style="69"/>
    <col min="13340" max="13340" width="10.85546875" style="69" customWidth="1"/>
    <col min="13341" max="13341" width="15" style="69" customWidth="1"/>
    <col min="13342" max="13570" width="9.140625" style="69"/>
    <col min="13571" max="13571" width="23.5703125" style="69" customWidth="1"/>
    <col min="13572" max="13572" width="12.140625" style="69" customWidth="1"/>
    <col min="13573" max="13573" width="12.7109375" style="69" customWidth="1"/>
    <col min="13574" max="13574" width="9.140625" style="69"/>
    <col min="13575" max="13575" width="12" style="69" customWidth="1"/>
    <col min="13576" max="13587" width="9.140625" style="69"/>
    <col min="13588" max="13588" width="9.7109375" style="69" bestFit="1" customWidth="1"/>
    <col min="13589" max="13595" width="9.140625" style="69"/>
    <col min="13596" max="13596" width="10.85546875" style="69" customWidth="1"/>
    <col min="13597" max="13597" width="15" style="69" customWidth="1"/>
    <col min="13598" max="13826" width="9.140625" style="69"/>
    <col min="13827" max="13827" width="23.5703125" style="69" customWidth="1"/>
    <col min="13828" max="13828" width="12.140625" style="69" customWidth="1"/>
    <col min="13829" max="13829" width="12.7109375" style="69" customWidth="1"/>
    <col min="13830" max="13830" width="9.140625" style="69"/>
    <col min="13831" max="13831" width="12" style="69" customWidth="1"/>
    <col min="13832" max="13843" width="9.140625" style="69"/>
    <col min="13844" max="13844" width="9.7109375" style="69" bestFit="1" customWidth="1"/>
    <col min="13845" max="13851" width="9.140625" style="69"/>
    <col min="13852" max="13852" width="10.85546875" style="69" customWidth="1"/>
    <col min="13853" max="13853" width="15" style="69" customWidth="1"/>
    <col min="13854" max="14082" width="9.140625" style="69"/>
    <col min="14083" max="14083" width="23.5703125" style="69" customWidth="1"/>
    <col min="14084" max="14084" width="12.140625" style="69" customWidth="1"/>
    <col min="14085" max="14085" width="12.7109375" style="69" customWidth="1"/>
    <col min="14086" max="14086" width="9.140625" style="69"/>
    <col min="14087" max="14087" width="12" style="69" customWidth="1"/>
    <col min="14088" max="14099" width="9.140625" style="69"/>
    <col min="14100" max="14100" width="9.7109375" style="69" bestFit="1" customWidth="1"/>
    <col min="14101" max="14107" width="9.140625" style="69"/>
    <col min="14108" max="14108" width="10.85546875" style="69" customWidth="1"/>
    <col min="14109" max="14109" width="15" style="69" customWidth="1"/>
    <col min="14110" max="14338" width="9.140625" style="69"/>
    <col min="14339" max="14339" width="23.5703125" style="69" customWidth="1"/>
    <col min="14340" max="14340" width="12.140625" style="69" customWidth="1"/>
    <col min="14341" max="14341" width="12.7109375" style="69" customWidth="1"/>
    <col min="14342" max="14342" width="9.140625" style="69"/>
    <col min="14343" max="14343" width="12" style="69" customWidth="1"/>
    <col min="14344" max="14355" width="9.140625" style="69"/>
    <col min="14356" max="14356" width="9.7109375" style="69" bestFit="1" customWidth="1"/>
    <col min="14357" max="14363" width="9.140625" style="69"/>
    <col min="14364" max="14364" width="10.85546875" style="69" customWidth="1"/>
    <col min="14365" max="14365" width="15" style="69" customWidth="1"/>
    <col min="14366" max="14594" width="9.140625" style="69"/>
    <col min="14595" max="14595" width="23.5703125" style="69" customWidth="1"/>
    <col min="14596" max="14596" width="12.140625" style="69" customWidth="1"/>
    <col min="14597" max="14597" width="12.7109375" style="69" customWidth="1"/>
    <col min="14598" max="14598" width="9.140625" style="69"/>
    <col min="14599" max="14599" width="12" style="69" customWidth="1"/>
    <col min="14600" max="14611" width="9.140625" style="69"/>
    <col min="14612" max="14612" width="9.7109375" style="69" bestFit="1" customWidth="1"/>
    <col min="14613" max="14619" width="9.140625" style="69"/>
    <col min="14620" max="14620" width="10.85546875" style="69" customWidth="1"/>
    <col min="14621" max="14621" width="15" style="69" customWidth="1"/>
    <col min="14622" max="14850" width="9.140625" style="69"/>
    <col min="14851" max="14851" width="23.5703125" style="69" customWidth="1"/>
    <col min="14852" max="14852" width="12.140625" style="69" customWidth="1"/>
    <col min="14853" max="14853" width="12.7109375" style="69" customWidth="1"/>
    <col min="14854" max="14854" width="9.140625" style="69"/>
    <col min="14855" max="14855" width="12" style="69" customWidth="1"/>
    <col min="14856" max="14867" width="9.140625" style="69"/>
    <col min="14868" max="14868" width="9.7109375" style="69" bestFit="1" customWidth="1"/>
    <col min="14869" max="14875" width="9.140625" style="69"/>
    <col min="14876" max="14876" width="10.85546875" style="69" customWidth="1"/>
    <col min="14877" max="14877" width="15" style="69" customWidth="1"/>
    <col min="14878" max="15106" width="9.140625" style="69"/>
    <col min="15107" max="15107" width="23.5703125" style="69" customWidth="1"/>
    <col min="15108" max="15108" width="12.140625" style="69" customWidth="1"/>
    <col min="15109" max="15109" width="12.7109375" style="69" customWidth="1"/>
    <col min="15110" max="15110" width="9.140625" style="69"/>
    <col min="15111" max="15111" width="12" style="69" customWidth="1"/>
    <col min="15112" max="15123" width="9.140625" style="69"/>
    <col min="15124" max="15124" width="9.7109375" style="69" bestFit="1" customWidth="1"/>
    <col min="15125" max="15131" width="9.140625" style="69"/>
    <col min="15132" max="15132" width="10.85546875" style="69" customWidth="1"/>
    <col min="15133" max="15133" width="15" style="69" customWidth="1"/>
    <col min="15134" max="15362" width="9.140625" style="69"/>
    <col min="15363" max="15363" width="23.5703125" style="69" customWidth="1"/>
    <col min="15364" max="15364" width="12.140625" style="69" customWidth="1"/>
    <col min="15365" max="15365" width="12.7109375" style="69" customWidth="1"/>
    <col min="15366" max="15366" width="9.140625" style="69"/>
    <col min="15367" max="15367" width="12" style="69" customWidth="1"/>
    <col min="15368" max="15379" width="9.140625" style="69"/>
    <col min="15380" max="15380" width="9.7109375" style="69" bestFit="1" customWidth="1"/>
    <col min="15381" max="15387" width="9.140625" style="69"/>
    <col min="15388" max="15388" width="10.85546875" style="69" customWidth="1"/>
    <col min="15389" max="15389" width="15" style="69" customWidth="1"/>
    <col min="15390" max="15618" width="9.140625" style="69"/>
    <col min="15619" max="15619" width="23.5703125" style="69" customWidth="1"/>
    <col min="15620" max="15620" width="12.140625" style="69" customWidth="1"/>
    <col min="15621" max="15621" width="12.7109375" style="69" customWidth="1"/>
    <col min="15622" max="15622" width="9.140625" style="69"/>
    <col min="15623" max="15623" width="12" style="69" customWidth="1"/>
    <col min="15624" max="15635" width="9.140625" style="69"/>
    <col min="15636" max="15636" width="9.7109375" style="69" bestFit="1" customWidth="1"/>
    <col min="15637" max="15643" width="9.140625" style="69"/>
    <col min="15644" max="15644" width="10.85546875" style="69" customWidth="1"/>
    <col min="15645" max="15645" width="15" style="69" customWidth="1"/>
    <col min="15646" max="15874" width="9.140625" style="69"/>
    <col min="15875" max="15875" width="23.5703125" style="69" customWidth="1"/>
    <col min="15876" max="15876" width="12.140625" style="69" customWidth="1"/>
    <col min="15877" max="15877" width="12.7109375" style="69" customWidth="1"/>
    <col min="15878" max="15878" width="9.140625" style="69"/>
    <col min="15879" max="15879" width="12" style="69" customWidth="1"/>
    <col min="15880" max="15891" width="9.140625" style="69"/>
    <col min="15892" max="15892" width="9.7109375" style="69" bestFit="1" customWidth="1"/>
    <col min="15893" max="15899" width="9.140625" style="69"/>
    <col min="15900" max="15900" width="10.85546875" style="69" customWidth="1"/>
    <col min="15901" max="15901" width="15" style="69" customWidth="1"/>
    <col min="15902" max="16130" width="9.140625" style="69"/>
    <col min="16131" max="16131" width="23.5703125" style="69" customWidth="1"/>
    <col min="16132" max="16132" width="12.140625" style="69" customWidth="1"/>
    <col min="16133" max="16133" width="12.7109375" style="69" customWidth="1"/>
    <col min="16134" max="16134" width="9.140625" style="69"/>
    <col min="16135" max="16135" width="12" style="69" customWidth="1"/>
    <col min="16136" max="16147" width="9.140625" style="69"/>
    <col min="16148" max="16148" width="9.7109375" style="69" bestFit="1" customWidth="1"/>
    <col min="16149" max="16155" width="9.140625" style="69"/>
    <col min="16156" max="16156" width="10.85546875" style="69" customWidth="1"/>
    <col min="16157" max="16157" width="15" style="69" customWidth="1"/>
    <col min="16158" max="16384" width="9.140625" style="69"/>
  </cols>
  <sheetData>
    <row r="1" spans="1:60" ht="23.25" customHeight="1" x14ac:dyDescent="0.2">
      <c r="A1" s="570" t="s">
        <v>371</v>
      </c>
      <c r="B1" s="570"/>
      <c r="C1" s="570"/>
      <c r="D1" s="570"/>
      <c r="E1" s="570"/>
      <c r="F1" s="570"/>
      <c r="G1" s="570"/>
      <c r="H1" s="570"/>
      <c r="I1" s="570"/>
      <c r="J1" s="570"/>
      <c r="K1" s="570"/>
      <c r="L1" s="570"/>
      <c r="M1" s="570"/>
      <c r="N1" s="570"/>
      <c r="O1" s="570"/>
      <c r="P1" s="570"/>
      <c r="Q1" s="570"/>
      <c r="R1" s="570"/>
      <c r="S1" s="570"/>
      <c r="T1" s="570"/>
      <c r="U1" s="570"/>
      <c r="V1" s="570"/>
      <c r="W1" s="71"/>
      <c r="X1" s="71"/>
      <c r="Y1" s="71"/>
      <c r="Z1" s="71"/>
      <c r="AA1" s="71"/>
      <c r="AE1" s="69"/>
      <c r="AF1" s="70"/>
      <c r="AG1" s="70"/>
      <c r="AH1" s="70"/>
      <c r="AI1" s="70"/>
      <c r="AJ1" s="70"/>
      <c r="AK1" s="70"/>
      <c r="AL1" s="70"/>
      <c r="AM1" s="70"/>
      <c r="AN1" s="70"/>
      <c r="AO1" s="70"/>
      <c r="AP1" s="70"/>
      <c r="AQ1" s="70"/>
      <c r="AR1" s="70"/>
      <c r="AS1" s="70"/>
      <c r="AT1" s="70"/>
      <c r="AU1" s="70"/>
      <c r="AV1" s="71"/>
      <c r="AW1" s="71"/>
      <c r="AX1" s="71"/>
      <c r="AY1" s="71"/>
      <c r="AZ1" s="71"/>
      <c r="BA1" s="71"/>
      <c r="BB1" s="71"/>
      <c r="BC1" s="71"/>
      <c r="BG1" s="69"/>
    </row>
    <row r="2" spans="1:60" ht="12.75" customHeight="1" x14ac:dyDescent="0.2">
      <c r="A2" s="580" t="s">
        <v>1</v>
      </c>
      <c r="B2" s="580" t="s">
        <v>201</v>
      </c>
      <c r="C2" s="577" t="s">
        <v>200</v>
      </c>
      <c r="D2" s="578"/>
      <c r="E2" s="578"/>
      <c r="F2" s="578"/>
      <c r="G2" s="578"/>
      <c r="H2" s="578"/>
      <c r="I2" s="578"/>
      <c r="J2" s="578"/>
      <c r="K2" s="578"/>
      <c r="L2" s="578"/>
      <c r="M2" s="579"/>
      <c r="N2" s="577" t="s">
        <v>199</v>
      </c>
      <c r="O2" s="578"/>
      <c r="P2" s="578"/>
      <c r="Q2" s="578"/>
      <c r="R2" s="578"/>
      <c r="S2" s="578"/>
      <c r="T2" s="578"/>
      <c r="U2" s="578"/>
      <c r="V2" s="578"/>
      <c r="W2" s="578"/>
      <c r="X2" s="579"/>
      <c r="AB2" s="73"/>
      <c r="AD2" s="72"/>
      <c r="AE2" s="69"/>
      <c r="AF2" s="73"/>
      <c r="AG2" s="69"/>
      <c r="AH2" s="73"/>
      <c r="AI2" s="69"/>
      <c r="AJ2" s="73"/>
      <c r="AK2" s="69"/>
      <c r="AL2" s="73"/>
      <c r="AM2" s="69"/>
      <c r="AN2" s="73"/>
      <c r="AO2" s="69"/>
      <c r="BD2" s="73"/>
      <c r="BF2" s="72"/>
      <c r="BG2" s="69"/>
      <c r="BH2" s="73"/>
    </row>
    <row r="3" spans="1:60" x14ac:dyDescent="0.2">
      <c r="A3" s="580"/>
      <c r="B3" s="580"/>
      <c r="C3" s="74" t="s">
        <v>33</v>
      </c>
      <c r="D3" s="74" t="s">
        <v>34</v>
      </c>
      <c r="E3" s="74" t="s">
        <v>35</v>
      </c>
      <c r="F3" s="74" t="s">
        <v>36</v>
      </c>
      <c r="G3" s="74" t="s">
        <v>37</v>
      </c>
      <c r="H3" s="74" t="s">
        <v>38</v>
      </c>
      <c r="I3" s="74" t="s">
        <v>39</v>
      </c>
      <c r="J3" s="74" t="s">
        <v>40</v>
      </c>
      <c r="K3" s="74" t="s">
        <v>41</v>
      </c>
      <c r="L3" s="74" t="s">
        <v>292</v>
      </c>
      <c r="M3" s="74" t="s">
        <v>399</v>
      </c>
      <c r="N3" s="451" t="s">
        <v>33</v>
      </c>
      <c r="O3" s="451" t="s">
        <v>34</v>
      </c>
      <c r="P3" s="451" t="s">
        <v>35</v>
      </c>
      <c r="Q3" s="451" t="s">
        <v>36</v>
      </c>
      <c r="R3" s="451" t="s">
        <v>37</v>
      </c>
      <c r="S3" s="451" t="s">
        <v>38</v>
      </c>
      <c r="T3" s="451" t="s">
        <v>39</v>
      </c>
      <c r="U3" s="451" t="s">
        <v>40</v>
      </c>
      <c r="V3" s="451" t="s">
        <v>41</v>
      </c>
      <c r="W3" s="452" t="s">
        <v>292</v>
      </c>
      <c r="X3" s="110" t="s">
        <v>399</v>
      </c>
      <c r="AB3" s="73"/>
      <c r="AD3" s="72"/>
      <c r="AE3" s="69"/>
      <c r="AF3" s="73"/>
      <c r="AG3" s="69"/>
      <c r="AH3" s="73"/>
      <c r="AI3" s="69"/>
      <c r="AJ3" s="73"/>
      <c r="AK3" s="69"/>
      <c r="AL3" s="73"/>
      <c r="AM3" s="69"/>
      <c r="AN3" s="73"/>
      <c r="AO3" s="69"/>
      <c r="BD3" s="73"/>
      <c r="BF3" s="72"/>
      <c r="BG3" s="69"/>
      <c r="BH3" s="73"/>
    </row>
    <row r="4" spans="1:60" ht="15" customHeight="1" x14ac:dyDescent="0.2">
      <c r="A4" s="573">
        <v>1</v>
      </c>
      <c r="B4" s="574" t="s">
        <v>50</v>
      </c>
      <c r="C4" s="366">
        <v>21654232</v>
      </c>
      <c r="D4" s="366">
        <v>22099564</v>
      </c>
      <c r="E4" s="366">
        <v>21536497</v>
      </c>
      <c r="F4" s="366">
        <v>22488896</v>
      </c>
      <c r="G4" s="366">
        <v>22527242</v>
      </c>
      <c r="H4" s="366">
        <v>22614911</v>
      </c>
      <c r="I4" s="366">
        <v>21407714</v>
      </c>
      <c r="J4" s="366">
        <v>22433867</v>
      </c>
      <c r="K4" s="366">
        <v>21811224</v>
      </c>
      <c r="L4" s="366">
        <v>21918052</v>
      </c>
      <c r="M4" s="366">
        <v>19614455</v>
      </c>
      <c r="N4" s="367">
        <v>39568.04</v>
      </c>
      <c r="O4" s="367">
        <v>39816.458311938019</v>
      </c>
      <c r="P4" s="367">
        <v>53465.344996984648</v>
      </c>
      <c r="Q4" s="367">
        <v>60709.05</v>
      </c>
      <c r="R4" s="367">
        <v>60822.12377169211</v>
      </c>
      <c r="S4" s="368">
        <v>61067.75</v>
      </c>
      <c r="T4" s="368">
        <v>66259.490000000005</v>
      </c>
      <c r="U4" s="368">
        <v>68873.217144313778</v>
      </c>
      <c r="V4" s="368">
        <v>76192.980276306364</v>
      </c>
      <c r="W4" s="108">
        <v>76022.097130741022</v>
      </c>
      <c r="X4" s="108">
        <v>82292.606281032116</v>
      </c>
      <c r="AB4" s="73"/>
      <c r="AD4" s="72"/>
      <c r="AE4" s="69"/>
      <c r="AF4" s="73"/>
      <c r="AG4" s="69"/>
      <c r="AH4" s="73"/>
      <c r="AI4" s="69"/>
      <c r="AJ4" s="73"/>
      <c r="AK4" s="69"/>
      <c r="AL4" s="73"/>
      <c r="AM4" s="69"/>
      <c r="AN4" s="73"/>
      <c r="AO4" s="69"/>
      <c r="BD4" s="73"/>
      <c r="BF4" s="72"/>
      <c r="BG4" s="69"/>
      <c r="BH4" s="73"/>
    </row>
    <row r="5" spans="1:60" ht="15" customHeight="1" x14ac:dyDescent="0.2">
      <c r="A5" s="573"/>
      <c r="B5" s="574"/>
      <c r="C5" s="369" t="s">
        <v>198</v>
      </c>
      <c r="D5" s="369" t="s">
        <v>197</v>
      </c>
      <c r="E5" s="369" t="s">
        <v>196</v>
      </c>
      <c r="F5" s="369" t="s">
        <v>195</v>
      </c>
      <c r="G5" s="369" t="s">
        <v>194</v>
      </c>
      <c r="H5" s="369" t="s">
        <v>191</v>
      </c>
      <c r="I5" s="369" t="s">
        <v>193</v>
      </c>
      <c r="J5" s="369" t="s">
        <v>192</v>
      </c>
      <c r="K5" s="109">
        <v>0.76610037662907493</v>
      </c>
      <c r="L5" s="109">
        <v>0.75121309247730661</v>
      </c>
      <c r="M5" s="109">
        <v>0.72587226439581809</v>
      </c>
      <c r="N5" s="369" t="s">
        <v>190</v>
      </c>
      <c r="O5" s="369" t="s">
        <v>189</v>
      </c>
      <c r="P5" s="370">
        <v>-68.790000000000006</v>
      </c>
      <c r="Q5" s="370">
        <v>-65.89</v>
      </c>
      <c r="R5" s="370">
        <v>-62.26</v>
      </c>
      <c r="S5" s="371">
        <v>-60.09</v>
      </c>
      <c r="T5" s="369" t="s">
        <v>188</v>
      </c>
      <c r="U5" s="369" t="s">
        <v>187</v>
      </c>
      <c r="V5" s="109">
        <v>0.52757181443227552</v>
      </c>
      <c r="W5" s="109">
        <v>0.50791011858640567</v>
      </c>
      <c r="X5" s="108">
        <v>0.49443258197194512</v>
      </c>
      <c r="AB5" s="73"/>
      <c r="AD5" s="72"/>
      <c r="AE5" s="69"/>
      <c r="AF5" s="73"/>
      <c r="AG5" s="69"/>
      <c r="AH5" s="73"/>
      <c r="AI5" s="69"/>
      <c r="AJ5" s="73"/>
      <c r="AK5" s="69"/>
      <c r="AL5" s="73"/>
      <c r="AM5" s="69"/>
      <c r="AN5" s="73"/>
      <c r="AO5" s="69"/>
      <c r="BD5" s="73"/>
      <c r="BF5" s="72"/>
      <c r="BG5" s="69"/>
      <c r="BH5" s="73"/>
    </row>
    <row r="6" spans="1:60" ht="15" customHeight="1" x14ac:dyDescent="0.2">
      <c r="A6" s="573">
        <v>2</v>
      </c>
      <c r="B6" s="574" t="s">
        <v>186</v>
      </c>
      <c r="C6" s="366">
        <v>2414000</v>
      </c>
      <c r="D6" s="366">
        <v>2713791</v>
      </c>
      <c r="E6" s="366">
        <v>2879990</v>
      </c>
      <c r="F6" s="366">
        <v>3199208</v>
      </c>
      <c r="G6" s="366">
        <v>3393652</v>
      </c>
      <c r="H6" s="366">
        <v>3237319</v>
      </c>
      <c r="I6" s="366">
        <v>3661658</v>
      </c>
      <c r="J6" s="366">
        <v>3762186</v>
      </c>
      <c r="K6" s="366">
        <v>4102267</v>
      </c>
      <c r="L6" s="366">
        <v>4216601</v>
      </c>
      <c r="M6" s="366">
        <v>4209200</v>
      </c>
      <c r="N6" s="367" t="s">
        <v>185</v>
      </c>
      <c r="O6" s="367" t="s">
        <v>184</v>
      </c>
      <c r="P6" s="367">
        <v>18250.347219643521</v>
      </c>
      <c r="Q6" s="367">
        <v>23204.78</v>
      </c>
      <c r="R6" s="367">
        <v>26410.437064792579</v>
      </c>
      <c r="S6" s="368">
        <v>27893.37</v>
      </c>
      <c r="T6" s="368">
        <v>33027.269999999997</v>
      </c>
      <c r="U6" s="368">
        <v>39992.193891601579</v>
      </c>
      <c r="V6" s="369">
        <v>47326.311948138282</v>
      </c>
      <c r="W6" s="108">
        <v>49501.393159765772</v>
      </c>
      <c r="X6" s="108">
        <v>54240.985879496933</v>
      </c>
      <c r="AB6" s="73"/>
      <c r="AD6" s="72"/>
      <c r="AE6" s="69"/>
      <c r="AF6" s="73"/>
      <c r="AG6" s="69"/>
      <c r="AH6" s="73"/>
      <c r="AI6" s="69"/>
      <c r="AJ6" s="73"/>
      <c r="AK6" s="69"/>
      <c r="AL6" s="73"/>
      <c r="AM6" s="69"/>
      <c r="AN6" s="73"/>
      <c r="AO6" s="69"/>
      <c r="BD6" s="73"/>
      <c r="BF6" s="72"/>
      <c r="BG6" s="69"/>
      <c r="BH6" s="73"/>
    </row>
    <row r="7" spans="1:60" ht="15" customHeight="1" x14ac:dyDescent="0.2">
      <c r="A7" s="573"/>
      <c r="B7" s="574"/>
      <c r="C7" s="369" t="s">
        <v>183</v>
      </c>
      <c r="D7" s="369" t="s">
        <v>182</v>
      </c>
      <c r="E7" s="369" t="s">
        <v>181</v>
      </c>
      <c r="F7" s="369" t="s">
        <v>180</v>
      </c>
      <c r="G7" s="369" t="s">
        <v>179</v>
      </c>
      <c r="H7" s="369" t="s">
        <v>178</v>
      </c>
      <c r="I7" s="369" t="s">
        <v>177</v>
      </c>
      <c r="J7" s="369" t="s">
        <v>176</v>
      </c>
      <c r="K7" s="109">
        <v>0.14408857997758517</v>
      </c>
      <c r="L7" s="109">
        <v>0.14451858572800647</v>
      </c>
      <c r="M7" s="109">
        <v>0.15576989191363602</v>
      </c>
      <c r="N7" s="369" t="s">
        <v>175</v>
      </c>
      <c r="O7" s="369" t="s">
        <v>174</v>
      </c>
      <c r="P7" s="370">
        <v>-23.48</v>
      </c>
      <c r="Q7" s="370">
        <v>-25.19</v>
      </c>
      <c r="R7" s="370">
        <v>-27.03</v>
      </c>
      <c r="S7" s="371">
        <v>-27.45</v>
      </c>
      <c r="T7" s="369" t="s">
        <v>173</v>
      </c>
      <c r="U7" s="369" t="s">
        <v>172</v>
      </c>
      <c r="V7" s="109">
        <v>0.32769460092416769</v>
      </c>
      <c r="W7" s="109">
        <v>0.33072303210380866</v>
      </c>
      <c r="X7" s="108">
        <v>0.32589210512445477</v>
      </c>
      <c r="AB7" s="73"/>
      <c r="AD7" s="72"/>
      <c r="AE7" s="69"/>
      <c r="AF7" s="73"/>
      <c r="AG7" s="69"/>
      <c r="AH7" s="73"/>
      <c r="AI7" s="69"/>
      <c r="AJ7" s="73"/>
      <c r="AK7" s="69"/>
      <c r="AL7" s="73"/>
      <c r="AM7" s="69"/>
      <c r="AN7" s="73"/>
      <c r="AO7" s="69"/>
      <c r="BD7" s="73"/>
      <c r="BF7" s="72"/>
      <c r="BG7" s="69"/>
      <c r="BH7" s="73"/>
    </row>
    <row r="8" spans="1:60" ht="15" customHeight="1" x14ac:dyDescent="0.2">
      <c r="A8" s="573">
        <v>3</v>
      </c>
      <c r="B8" s="574" t="s">
        <v>171</v>
      </c>
      <c r="C8" s="366">
        <v>393200</v>
      </c>
      <c r="D8" s="366">
        <v>318418</v>
      </c>
      <c r="E8" s="366">
        <v>302390</v>
      </c>
      <c r="F8" s="366">
        <v>437583</v>
      </c>
      <c r="G8" s="366">
        <v>472995</v>
      </c>
      <c r="H8" s="366">
        <v>438534</v>
      </c>
      <c r="I8" s="366">
        <v>442189</v>
      </c>
      <c r="J8" s="366">
        <v>495752</v>
      </c>
      <c r="K8" s="366">
        <v>518880</v>
      </c>
      <c r="L8" s="366">
        <v>656447</v>
      </c>
      <c r="M8" s="366">
        <v>750592</v>
      </c>
      <c r="N8" s="367" t="s">
        <v>170</v>
      </c>
      <c r="O8" s="367" t="s">
        <v>169</v>
      </c>
      <c r="P8" s="367">
        <v>1011.4082697249415</v>
      </c>
      <c r="Q8" s="367">
        <v>1214.6099999999999</v>
      </c>
      <c r="R8" s="367">
        <v>1386.6336824136858</v>
      </c>
      <c r="S8" s="368">
        <v>1564.08</v>
      </c>
      <c r="T8" s="368">
        <v>1959.5</v>
      </c>
      <c r="U8" s="368">
        <v>2470.2778946894491</v>
      </c>
      <c r="V8" s="369">
        <v>3378.4743601737277</v>
      </c>
      <c r="W8" s="108">
        <v>2956.3625879129117</v>
      </c>
      <c r="X8" s="108">
        <v>3489.0763537613921</v>
      </c>
      <c r="AB8" s="73"/>
      <c r="AD8" s="72"/>
      <c r="AE8" s="69"/>
      <c r="AF8" s="73"/>
      <c r="AG8" s="69"/>
      <c r="AH8" s="73"/>
      <c r="AI8" s="69"/>
      <c r="AJ8" s="73"/>
      <c r="AK8" s="69"/>
      <c r="AL8" s="73"/>
      <c r="AM8" s="69"/>
      <c r="AN8" s="73"/>
      <c r="AO8" s="69"/>
      <c r="BD8" s="73"/>
      <c r="BF8" s="72"/>
      <c r="BG8" s="69"/>
      <c r="BH8" s="73"/>
    </row>
    <row r="9" spans="1:60" ht="15" customHeight="1" x14ac:dyDescent="0.2">
      <c r="A9" s="573"/>
      <c r="B9" s="574"/>
      <c r="C9" s="369" t="s">
        <v>165</v>
      </c>
      <c r="D9" s="369" t="s">
        <v>168</v>
      </c>
      <c r="E9" s="369" t="s">
        <v>167</v>
      </c>
      <c r="F9" s="369" t="s">
        <v>150</v>
      </c>
      <c r="G9" s="369" t="s">
        <v>166</v>
      </c>
      <c r="H9" s="369" t="s">
        <v>165</v>
      </c>
      <c r="I9" s="369" t="s">
        <v>164</v>
      </c>
      <c r="J9" s="369" t="s">
        <v>163</v>
      </c>
      <c r="K9" s="109">
        <v>1.8225211176836953E-2</v>
      </c>
      <c r="L9" s="109">
        <v>2.2498878135586615E-2</v>
      </c>
      <c r="M9" s="109">
        <v>2.7777163050280308E-2</v>
      </c>
      <c r="N9" s="369" t="s">
        <v>162</v>
      </c>
      <c r="O9" s="369" t="s">
        <v>161</v>
      </c>
      <c r="P9" s="370">
        <v>-1.3</v>
      </c>
      <c r="Q9" s="370">
        <v>-1.32</v>
      </c>
      <c r="R9" s="370">
        <v>-1.42</v>
      </c>
      <c r="S9" s="371">
        <v>-1.54</v>
      </c>
      <c r="T9" s="369" t="s">
        <v>160</v>
      </c>
      <c r="U9" s="369" t="s">
        <v>159</v>
      </c>
      <c r="V9" s="109">
        <v>2.3393071668100136E-2</v>
      </c>
      <c r="W9" s="109">
        <v>1.9751710743113299E-2</v>
      </c>
      <c r="X9" s="108">
        <v>2.0963159489640951E-2</v>
      </c>
      <c r="AB9" s="73"/>
      <c r="AD9" s="72"/>
      <c r="AE9" s="69"/>
      <c r="AF9" s="73"/>
      <c r="AG9" s="69"/>
      <c r="AH9" s="73"/>
      <c r="AI9" s="69"/>
      <c r="AJ9" s="73"/>
      <c r="AK9" s="69"/>
      <c r="AL9" s="73"/>
      <c r="AM9" s="69"/>
      <c r="AN9" s="73"/>
      <c r="AO9" s="69"/>
      <c r="BD9" s="73"/>
      <c r="BF9" s="72"/>
      <c r="BG9" s="69"/>
      <c r="BH9" s="73"/>
    </row>
    <row r="10" spans="1:60" ht="15" customHeight="1" x14ac:dyDescent="0.2">
      <c r="A10" s="573">
        <v>4</v>
      </c>
      <c r="B10" s="574" t="s">
        <v>49</v>
      </c>
      <c r="C10" s="366">
        <v>256740</v>
      </c>
      <c r="D10" s="366">
        <v>246421</v>
      </c>
      <c r="E10" s="366">
        <v>227614</v>
      </c>
      <c r="F10" s="366">
        <v>236381</v>
      </c>
      <c r="G10" s="366">
        <v>278462</v>
      </c>
      <c r="H10" s="366">
        <v>310835</v>
      </c>
      <c r="I10" s="366">
        <v>277967</v>
      </c>
      <c r="J10" s="366">
        <v>483653</v>
      </c>
      <c r="K10" s="366">
        <v>653813</v>
      </c>
      <c r="L10" s="366">
        <v>799743</v>
      </c>
      <c r="M10" s="366">
        <v>1040922</v>
      </c>
      <c r="N10" s="367" t="s">
        <v>158</v>
      </c>
      <c r="O10" s="367" t="s">
        <v>157</v>
      </c>
      <c r="P10" s="367">
        <v>972.08211136321052</v>
      </c>
      <c r="Q10" s="367">
        <v>1182.1400000000001</v>
      </c>
      <c r="R10" s="367">
        <v>1390.6991155892379</v>
      </c>
      <c r="S10" s="368">
        <v>1712.11</v>
      </c>
      <c r="T10" s="368">
        <v>1661.145563199299</v>
      </c>
      <c r="U10" s="368">
        <v>2424.7387145979392</v>
      </c>
      <c r="V10" s="371">
        <v>4440.8536030574251</v>
      </c>
      <c r="W10" s="108">
        <v>4582.0268299154577</v>
      </c>
      <c r="X10" s="108">
        <v>6191.8377607753355</v>
      </c>
      <c r="AB10" s="73"/>
      <c r="AD10" s="72"/>
      <c r="AE10" s="69"/>
      <c r="AF10" s="73"/>
      <c r="AG10" s="69"/>
      <c r="AH10" s="73"/>
      <c r="AI10" s="69"/>
      <c r="AJ10" s="73"/>
      <c r="AK10" s="69"/>
      <c r="AL10" s="73"/>
      <c r="AM10" s="69"/>
      <c r="AN10" s="73"/>
      <c r="AO10" s="69"/>
      <c r="BD10" s="73"/>
      <c r="BF10" s="72"/>
      <c r="BG10" s="69"/>
      <c r="BH10" s="73"/>
    </row>
    <row r="11" spans="1:60" ht="15" customHeight="1" x14ac:dyDescent="0.2">
      <c r="A11" s="573"/>
      <c r="B11" s="574"/>
      <c r="C11" s="369" t="s">
        <v>152</v>
      </c>
      <c r="D11" s="369" t="s">
        <v>156</v>
      </c>
      <c r="E11" s="369" t="s">
        <v>90</v>
      </c>
      <c r="F11" s="369" t="s">
        <v>155</v>
      </c>
      <c r="G11" s="369" t="s">
        <v>154</v>
      </c>
      <c r="H11" s="369" t="s">
        <v>153</v>
      </c>
      <c r="I11" s="369" t="s">
        <v>152</v>
      </c>
      <c r="J11" s="369" t="s">
        <v>151</v>
      </c>
      <c r="K11" s="109">
        <v>2.2964616086881936E-2</v>
      </c>
      <c r="L11" s="109">
        <v>2.7410164562848862E-2</v>
      </c>
      <c r="M11" s="109">
        <v>3.8521407258036162E-2</v>
      </c>
      <c r="N11" s="369" t="s">
        <v>149</v>
      </c>
      <c r="O11" s="369" t="s">
        <v>148</v>
      </c>
      <c r="P11" s="370">
        <v>-1.25</v>
      </c>
      <c r="Q11" s="370">
        <v>-1.28</v>
      </c>
      <c r="R11" s="370">
        <v>-1.42</v>
      </c>
      <c r="S11" s="371">
        <v>-1.68</v>
      </c>
      <c r="T11" s="371">
        <v>-1.46</v>
      </c>
      <c r="U11" s="371">
        <v>-1.94</v>
      </c>
      <c r="V11" s="109">
        <v>3.0749147552660745E-2</v>
      </c>
      <c r="W11" s="109">
        <v>3.0612912276625163E-2</v>
      </c>
      <c r="X11" s="108">
        <v>3.7201961021341219E-2</v>
      </c>
      <c r="AB11" s="73"/>
      <c r="AD11" s="72"/>
      <c r="AE11" s="69"/>
      <c r="AF11" s="73"/>
      <c r="AG11" s="69"/>
      <c r="AH11" s="73"/>
      <c r="AI11" s="69"/>
      <c r="AJ11" s="73"/>
      <c r="AK11" s="69"/>
      <c r="AL11" s="73"/>
      <c r="AM11" s="69"/>
      <c r="AN11" s="73"/>
      <c r="AO11" s="69"/>
      <c r="BD11" s="73"/>
      <c r="BF11" s="72"/>
      <c r="BG11" s="69"/>
      <c r="BH11" s="73"/>
    </row>
    <row r="12" spans="1:60" ht="15" customHeight="1" x14ac:dyDescent="0.2">
      <c r="A12" s="573">
        <v>5</v>
      </c>
      <c r="B12" s="574" t="s">
        <v>147</v>
      </c>
      <c r="C12" s="366">
        <v>666858</v>
      </c>
      <c r="D12" s="366">
        <v>562234</v>
      </c>
      <c r="E12" s="366">
        <v>610675</v>
      </c>
      <c r="F12" s="366">
        <v>785516</v>
      </c>
      <c r="G12" s="366">
        <v>782359</v>
      </c>
      <c r="H12" s="366">
        <v>743695</v>
      </c>
      <c r="I12" s="366">
        <v>803753</v>
      </c>
      <c r="J12" s="366">
        <v>737345</v>
      </c>
      <c r="K12" s="366">
        <v>734095</v>
      </c>
      <c r="L12" s="366">
        <v>894692</v>
      </c>
      <c r="M12" s="366">
        <v>883497</v>
      </c>
      <c r="N12" s="367" t="s">
        <v>146</v>
      </c>
      <c r="O12" s="367" t="s">
        <v>145</v>
      </c>
      <c r="P12" s="367">
        <v>3529.1771911670639</v>
      </c>
      <c r="Q12" s="367">
        <v>5163.3100000000004</v>
      </c>
      <c r="R12" s="367">
        <v>6270.8356919132302</v>
      </c>
      <c r="S12" s="368">
        <v>7309.98</v>
      </c>
      <c r="T12" s="368">
        <v>8080.163259507035</v>
      </c>
      <c r="U12" s="368">
        <v>8961.9799996943766</v>
      </c>
      <c r="V12" s="371">
        <v>11280.714699812776</v>
      </c>
      <c r="W12" s="108">
        <v>14834.5420407807</v>
      </c>
      <c r="X12" s="108">
        <v>17778.661526103009</v>
      </c>
      <c r="AB12" s="73"/>
      <c r="AD12" s="72"/>
      <c r="AE12" s="69"/>
      <c r="AF12" s="73"/>
      <c r="AG12" s="69"/>
      <c r="AH12" s="73"/>
      <c r="AI12" s="69"/>
      <c r="AJ12" s="73"/>
      <c r="AK12" s="69"/>
      <c r="AL12" s="73"/>
      <c r="AM12" s="69"/>
      <c r="AN12" s="73"/>
      <c r="AO12" s="69"/>
      <c r="BD12" s="73"/>
      <c r="BF12" s="72"/>
      <c r="BG12" s="69"/>
      <c r="BH12" s="73"/>
    </row>
    <row r="13" spans="1:60" ht="15" customHeight="1" x14ac:dyDescent="0.2">
      <c r="A13" s="573"/>
      <c r="B13" s="574"/>
      <c r="C13" s="369" t="s">
        <v>140</v>
      </c>
      <c r="D13" s="369" t="s">
        <v>144</v>
      </c>
      <c r="E13" s="369" t="s">
        <v>143</v>
      </c>
      <c r="F13" s="369" t="s">
        <v>142</v>
      </c>
      <c r="G13" s="369" t="s">
        <v>141</v>
      </c>
      <c r="H13" s="369" t="s">
        <v>140</v>
      </c>
      <c r="I13" s="369" t="s">
        <v>139</v>
      </c>
      <c r="J13" s="369" t="s">
        <v>138</v>
      </c>
      <c r="K13" s="109">
        <v>2.5784451894195426E-2</v>
      </c>
      <c r="L13" s="109">
        <v>3.0664419636138578E-2</v>
      </c>
      <c r="M13" s="109">
        <v>3.2695579254020161E-2</v>
      </c>
      <c r="N13" s="369" t="s">
        <v>137</v>
      </c>
      <c r="O13" s="369" t="s">
        <v>136</v>
      </c>
      <c r="P13" s="370">
        <v>-4.54</v>
      </c>
      <c r="Q13" s="370">
        <v>-5.6</v>
      </c>
      <c r="R13" s="370">
        <v>-6.42</v>
      </c>
      <c r="S13" s="371">
        <v>-7.19</v>
      </c>
      <c r="T13" s="371">
        <v>-7.09</v>
      </c>
      <c r="U13" s="371">
        <v>-7.16</v>
      </c>
      <c r="V13" s="109">
        <v>7.810938882677837E-2</v>
      </c>
      <c r="W13" s="109">
        <v>9.9110841340644573E-2</v>
      </c>
      <c r="X13" s="108">
        <v>0.10681821757275549</v>
      </c>
      <c r="AB13" s="73"/>
      <c r="AD13" s="72"/>
      <c r="AE13" s="69"/>
      <c r="AF13" s="73"/>
      <c r="AG13" s="69"/>
      <c r="AH13" s="73"/>
      <c r="AI13" s="69"/>
      <c r="AJ13" s="73"/>
      <c r="AK13" s="69"/>
      <c r="AL13" s="73"/>
      <c r="AM13" s="69"/>
      <c r="AN13" s="73"/>
      <c r="AO13" s="69"/>
      <c r="BD13" s="73"/>
      <c r="BF13" s="72"/>
      <c r="BG13" s="69"/>
      <c r="BH13" s="73"/>
    </row>
    <row r="14" spans="1:60" ht="15" customHeight="1" x14ac:dyDescent="0.2">
      <c r="A14" s="573">
        <v>6</v>
      </c>
      <c r="B14" s="574" t="s">
        <v>135</v>
      </c>
      <c r="C14" s="366">
        <v>482297</v>
      </c>
      <c r="D14" s="366">
        <v>548431</v>
      </c>
      <c r="E14" s="366">
        <v>575401</v>
      </c>
      <c r="F14" s="366" t="s">
        <v>134</v>
      </c>
      <c r="G14" s="366">
        <v>671702</v>
      </c>
      <c r="H14" s="366" t="s">
        <v>133</v>
      </c>
      <c r="I14" s="366">
        <v>1016834</v>
      </c>
      <c r="J14" s="366">
        <v>762953</v>
      </c>
      <c r="K14" s="366">
        <v>304580</v>
      </c>
      <c r="L14" s="366">
        <v>249010</v>
      </c>
      <c r="M14" s="366">
        <v>196807</v>
      </c>
      <c r="N14" s="369" t="s">
        <v>132</v>
      </c>
      <c r="O14" s="369" t="s">
        <v>131</v>
      </c>
      <c r="P14" s="372">
        <v>17.961019324000031</v>
      </c>
      <c r="Q14" s="372">
        <v>18.88</v>
      </c>
      <c r="R14" s="372">
        <v>22.042600101000001</v>
      </c>
      <c r="S14" s="373">
        <v>223.14</v>
      </c>
      <c r="T14" s="373">
        <v>353.83840317900001</v>
      </c>
      <c r="U14" s="373">
        <v>288.65061487600002</v>
      </c>
      <c r="V14" s="371">
        <v>171.71007506500001</v>
      </c>
      <c r="W14" s="108">
        <v>138.78412346299999</v>
      </c>
      <c r="X14" s="108">
        <v>112.534047547</v>
      </c>
      <c r="AB14" s="73"/>
      <c r="AD14" s="72"/>
      <c r="AE14" s="69"/>
      <c r="AF14" s="73"/>
      <c r="AG14" s="69"/>
      <c r="AH14" s="73"/>
      <c r="AI14" s="69"/>
      <c r="AJ14" s="73"/>
      <c r="AK14" s="69"/>
      <c r="AL14" s="73"/>
      <c r="AM14" s="69"/>
      <c r="AN14" s="73"/>
      <c r="AO14" s="69"/>
      <c r="BD14" s="73"/>
      <c r="BF14" s="72"/>
      <c r="BG14" s="69"/>
      <c r="BH14" s="73"/>
    </row>
    <row r="15" spans="1:60" ht="15" customHeight="1" x14ac:dyDescent="0.2">
      <c r="A15" s="573"/>
      <c r="B15" s="574"/>
      <c r="C15" s="369" t="s">
        <v>130</v>
      </c>
      <c r="D15" s="369" t="s">
        <v>129</v>
      </c>
      <c r="E15" s="369" t="s">
        <v>128</v>
      </c>
      <c r="F15" s="369" t="s">
        <v>127</v>
      </c>
      <c r="G15" s="369" t="s">
        <v>126</v>
      </c>
      <c r="H15" s="369" t="s">
        <v>125</v>
      </c>
      <c r="I15" s="369" t="s">
        <v>124</v>
      </c>
      <c r="J15" s="369" t="s">
        <v>123</v>
      </c>
      <c r="K15" s="109">
        <v>1.0698109043017653E-2</v>
      </c>
      <c r="L15" s="109">
        <v>8.5344980547438307E-3</v>
      </c>
      <c r="M15" s="109">
        <v>7.2832379354383168E-3</v>
      </c>
      <c r="N15" s="369" t="s">
        <v>60</v>
      </c>
      <c r="O15" s="369" t="s">
        <v>65</v>
      </c>
      <c r="P15" s="370">
        <v>-0.02</v>
      </c>
      <c r="Q15" s="370">
        <v>-0.02</v>
      </c>
      <c r="R15" s="370">
        <v>-0.02</v>
      </c>
      <c r="S15" s="371">
        <v>-0.22</v>
      </c>
      <c r="T15" s="371">
        <v>-0.31</v>
      </c>
      <c r="U15" s="371">
        <v>-0.23</v>
      </c>
      <c r="V15" s="109">
        <v>1.1889467445666351E-3</v>
      </c>
      <c r="W15" s="109">
        <v>9.2722857256589324E-4</v>
      </c>
      <c r="X15" s="108">
        <v>6.7612999761366901E-4</v>
      </c>
      <c r="AB15" s="73"/>
      <c r="AD15" s="72"/>
      <c r="AE15" s="69"/>
      <c r="AF15" s="73"/>
      <c r="AG15" s="69"/>
      <c r="AH15" s="73"/>
      <c r="AI15" s="69"/>
      <c r="AJ15" s="73"/>
      <c r="AK15" s="69"/>
      <c r="AL15" s="73"/>
      <c r="AM15" s="69"/>
      <c r="AN15" s="73"/>
      <c r="AO15" s="69"/>
      <c r="BD15" s="73"/>
      <c r="BF15" s="72"/>
      <c r="BG15" s="69"/>
      <c r="BH15" s="73"/>
    </row>
    <row r="16" spans="1:60" ht="15" customHeight="1" x14ac:dyDescent="0.2">
      <c r="A16" s="573">
        <v>7</v>
      </c>
      <c r="B16" s="574" t="s">
        <v>122</v>
      </c>
      <c r="C16" s="366">
        <v>2029</v>
      </c>
      <c r="D16" s="369">
        <v>7581</v>
      </c>
      <c r="E16" s="366">
        <v>5500</v>
      </c>
      <c r="F16" s="369" t="s">
        <v>121</v>
      </c>
      <c r="G16" s="366">
        <v>27048</v>
      </c>
      <c r="H16" s="369" t="s">
        <v>120</v>
      </c>
      <c r="I16" s="366">
        <v>28997</v>
      </c>
      <c r="J16" s="366">
        <v>88435</v>
      </c>
      <c r="K16" s="366">
        <v>117530</v>
      </c>
      <c r="L16" s="366">
        <v>183818</v>
      </c>
      <c r="M16" s="366">
        <v>85220</v>
      </c>
      <c r="N16" s="369" t="s">
        <v>119</v>
      </c>
      <c r="O16" s="369" t="s">
        <v>105</v>
      </c>
      <c r="P16" s="372">
        <v>1.5386622699999655</v>
      </c>
      <c r="Q16" s="372">
        <v>2.2400000000000002</v>
      </c>
      <c r="R16" s="372">
        <v>2.28370830000057</v>
      </c>
      <c r="S16" s="373">
        <v>1.26</v>
      </c>
      <c r="T16" s="373">
        <v>7.4087738999998924</v>
      </c>
      <c r="U16" s="373">
        <v>11.713558199999925</v>
      </c>
      <c r="V16" s="371">
        <v>82.459537806999947</v>
      </c>
      <c r="W16" s="108">
        <v>180.24974626399998</v>
      </c>
      <c r="X16" s="108">
        <v>103.17796065900029</v>
      </c>
      <c r="AB16" s="73"/>
      <c r="AD16" s="72"/>
      <c r="AE16" s="69"/>
      <c r="AF16" s="73"/>
      <c r="AG16" s="69"/>
      <c r="AH16" s="73"/>
      <c r="AI16" s="69"/>
      <c r="AJ16" s="73"/>
      <c r="AK16" s="69"/>
      <c r="AL16" s="73"/>
      <c r="AM16" s="69"/>
      <c r="AN16" s="73"/>
      <c r="AO16" s="69"/>
      <c r="BD16" s="73"/>
      <c r="BF16" s="72"/>
      <c r="BG16" s="69"/>
      <c r="BH16" s="73"/>
    </row>
    <row r="17" spans="1:60" ht="15" customHeight="1" x14ac:dyDescent="0.2">
      <c r="A17" s="573"/>
      <c r="B17" s="574"/>
      <c r="C17" s="369" t="s">
        <v>62</v>
      </c>
      <c r="D17" s="369" t="s">
        <v>60</v>
      </c>
      <c r="E17" s="369" t="s">
        <v>59</v>
      </c>
      <c r="F17" s="369" t="s">
        <v>118</v>
      </c>
      <c r="G17" s="369" t="s">
        <v>118</v>
      </c>
      <c r="H17" s="369" t="s">
        <v>64</v>
      </c>
      <c r="I17" s="369" t="s">
        <v>101</v>
      </c>
      <c r="J17" s="369" t="s">
        <v>117</v>
      </c>
      <c r="K17" s="109">
        <v>4.1281395883704273E-3</v>
      </c>
      <c r="L17" s="109">
        <v>6.3001259524794236E-3</v>
      </c>
      <c r="M17" s="109">
        <v>3.1537370970445835E-3</v>
      </c>
      <c r="N17" s="369" t="s">
        <v>62</v>
      </c>
      <c r="O17" s="369" t="s">
        <v>116</v>
      </c>
      <c r="P17" s="370">
        <v>0</v>
      </c>
      <c r="Q17" s="374">
        <v>2E-3</v>
      </c>
      <c r="R17" s="374">
        <v>2E-3</v>
      </c>
      <c r="S17" s="373">
        <v>-1E-3</v>
      </c>
      <c r="T17" s="371">
        <v>-0.01</v>
      </c>
      <c r="U17" s="371">
        <v>-0.01</v>
      </c>
      <c r="V17" s="109">
        <v>5.7096241438942582E-4</v>
      </c>
      <c r="W17" s="109">
        <v>1.2042639371375281E-3</v>
      </c>
      <c r="X17" s="108">
        <v>6.1991651251162036E-4</v>
      </c>
      <c r="AB17" s="73"/>
      <c r="AD17" s="72"/>
      <c r="AE17" s="69"/>
      <c r="AF17" s="73"/>
      <c r="AG17" s="69"/>
      <c r="AH17" s="73"/>
      <c r="AI17" s="69"/>
      <c r="AJ17" s="73"/>
      <c r="AK17" s="69"/>
      <c r="AL17" s="73"/>
      <c r="AM17" s="69"/>
      <c r="AN17" s="73"/>
      <c r="AO17" s="69"/>
      <c r="BD17" s="73"/>
      <c r="BF17" s="72"/>
      <c r="BG17" s="69"/>
      <c r="BH17" s="73"/>
    </row>
    <row r="18" spans="1:60" ht="15" customHeight="1" x14ac:dyDescent="0.2">
      <c r="A18" s="573">
        <v>8</v>
      </c>
      <c r="B18" s="574" t="s">
        <v>115</v>
      </c>
      <c r="C18" s="366"/>
      <c r="D18" s="369" t="s">
        <v>114</v>
      </c>
      <c r="E18" s="366">
        <v>18633</v>
      </c>
      <c r="F18" s="369" t="s">
        <v>113</v>
      </c>
      <c r="G18" s="366">
        <v>131731</v>
      </c>
      <c r="H18" s="369" t="s">
        <v>112</v>
      </c>
      <c r="I18" s="366">
        <v>142751</v>
      </c>
      <c r="J18" s="366">
        <v>50968</v>
      </c>
      <c r="K18" s="366">
        <v>3849</v>
      </c>
      <c r="L18" s="366">
        <v>3548</v>
      </c>
      <c r="M18" s="366">
        <v>4258</v>
      </c>
      <c r="N18" s="369"/>
      <c r="O18" s="369" t="s">
        <v>102</v>
      </c>
      <c r="P18" s="372">
        <v>46.364290189999998</v>
      </c>
      <c r="Q18" s="372">
        <v>68.48</v>
      </c>
      <c r="R18" s="372">
        <v>161.70132016700003</v>
      </c>
      <c r="S18" s="373">
        <v>270</v>
      </c>
      <c r="T18" s="373">
        <v>384.47775070029087</v>
      </c>
      <c r="U18" s="373">
        <v>234.64967474044272</v>
      </c>
      <c r="V18" s="371">
        <v>50.738157345730009</v>
      </c>
      <c r="W18" s="108">
        <v>14.280392688999999</v>
      </c>
      <c r="X18" s="108">
        <v>18.097301371140002</v>
      </c>
      <c r="AB18" s="73"/>
      <c r="AD18" s="72"/>
      <c r="AE18" s="69"/>
      <c r="AF18" s="73"/>
      <c r="AG18" s="69"/>
      <c r="AH18" s="73"/>
      <c r="AI18" s="69"/>
      <c r="AJ18" s="73"/>
      <c r="AK18" s="69"/>
      <c r="AL18" s="73"/>
      <c r="AM18" s="69"/>
      <c r="AN18" s="73"/>
      <c r="AO18" s="69"/>
      <c r="BD18" s="73"/>
      <c r="BF18" s="72"/>
      <c r="BG18" s="69"/>
      <c r="BH18" s="73"/>
    </row>
    <row r="19" spans="1:60" ht="15" customHeight="1" x14ac:dyDescent="0.2">
      <c r="A19" s="573"/>
      <c r="B19" s="574"/>
      <c r="C19" s="369"/>
      <c r="D19" s="369" t="s">
        <v>74</v>
      </c>
      <c r="E19" s="369" t="s">
        <v>82</v>
      </c>
      <c r="F19" s="369" t="s">
        <v>111</v>
      </c>
      <c r="G19" s="369" t="s">
        <v>110</v>
      </c>
      <c r="H19" s="369" t="s">
        <v>109</v>
      </c>
      <c r="I19" s="369" t="s">
        <v>108</v>
      </c>
      <c r="J19" s="369" t="s">
        <v>107</v>
      </c>
      <c r="K19" s="109">
        <v>1.3519279567461733E-4</v>
      </c>
      <c r="L19" s="109">
        <v>1.2160314484651664E-4</v>
      </c>
      <c r="M19" s="109">
        <v>1.5757583383261954E-4</v>
      </c>
      <c r="N19" s="369"/>
      <c r="O19" s="369" t="s">
        <v>74</v>
      </c>
      <c r="P19" s="370">
        <v>-0.06</v>
      </c>
      <c r="Q19" s="370">
        <v>-7.0000000000000007E-2</v>
      </c>
      <c r="R19" s="370">
        <v>-0.17</v>
      </c>
      <c r="S19" s="371">
        <v>-0.27</v>
      </c>
      <c r="T19" s="371">
        <v>-0.34</v>
      </c>
      <c r="U19" s="371">
        <v>-0.19</v>
      </c>
      <c r="V19" s="109">
        <v>3.513187387442448E-4</v>
      </c>
      <c r="W19" s="109">
        <v>9.5408522230801157E-5</v>
      </c>
      <c r="X19" s="108">
        <v>1.0873267779488962E-4</v>
      </c>
      <c r="AB19" s="73"/>
      <c r="AD19" s="72"/>
      <c r="AE19" s="69"/>
      <c r="AF19" s="73"/>
      <c r="AG19" s="69"/>
      <c r="AH19" s="73"/>
      <c r="AI19" s="69"/>
      <c r="AJ19" s="73"/>
      <c r="AK19" s="69"/>
      <c r="AL19" s="73"/>
      <c r="AM19" s="69"/>
      <c r="AN19" s="73"/>
      <c r="AO19" s="69"/>
      <c r="BD19" s="73"/>
      <c r="BF19" s="72"/>
      <c r="BG19" s="69"/>
      <c r="BH19" s="73"/>
    </row>
    <row r="20" spans="1:60" ht="15" customHeight="1" x14ac:dyDescent="0.2">
      <c r="A20" s="573">
        <v>9</v>
      </c>
      <c r="B20" s="574" t="s">
        <v>106</v>
      </c>
      <c r="C20" s="366"/>
      <c r="D20" s="369" t="s">
        <v>105</v>
      </c>
      <c r="E20" s="366">
        <v>2669</v>
      </c>
      <c r="F20" s="369" t="s">
        <v>104</v>
      </c>
      <c r="G20" s="366">
        <v>9601</v>
      </c>
      <c r="H20" s="369" t="s">
        <v>103</v>
      </c>
      <c r="I20" s="366">
        <v>20284</v>
      </c>
      <c r="J20" s="366">
        <v>27767</v>
      </c>
      <c r="K20" s="366">
        <v>30221</v>
      </c>
      <c r="L20" s="366">
        <v>23827</v>
      </c>
      <c r="M20" s="366">
        <v>33915</v>
      </c>
      <c r="N20" s="369"/>
      <c r="O20" s="369" t="s">
        <v>102</v>
      </c>
      <c r="P20" s="372">
        <v>14.518954032</v>
      </c>
      <c r="Q20" s="372">
        <v>40.67</v>
      </c>
      <c r="R20" s="372">
        <v>62.755995188000007</v>
      </c>
      <c r="S20" s="373">
        <v>68</v>
      </c>
      <c r="T20" s="373">
        <v>160.81072261500003</v>
      </c>
      <c r="U20" s="373">
        <v>207.268061493</v>
      </c>
      <c r="V20" s="371">
        <v>234.75355521200007</v>
      </c>
      <c r="W20" s="108">
        <v>246.35895213879996</v>
      </c>
      <c r="X20" s="108">
        <v>758.20762294027986</v>
      </c>
      <c r="AB20" s="73"/>
      <c r="AD20" s="72"/>
      <c r="AE20" s="69"/>
      <c r="AF20" s="73"/>
      <c r="AG20" s="69"/>
      <c r="AH20" s="73"/>
      <c r="AI20" s="69"/>
      <c r="AJ20" s="73"/>
      <c r="AK20" s="69"/>
      <c r="AL20" s="73"/>
      <c r="AM20" s="69"/>
      <c r="AN20" s="73"/>
      <c r="AO20" s="69"/>
      <c r="BD20" s="73"/>
      <c r="BF20" s="72"/>
      <c r="BG20" s="69"/>
      <c r="BH20" s="73"/>
    </row>
    <row r="21" spans="1:60" ht="15" customHeight="1" x14ac:dyDescent="0.2">
      <c r="A21" s="573"/>
      <c r="B21" s="574"/>
      <c r="C21" s="369"/>
      <c r="D21" s="369" t="s">
        <v>74</v>
      </c>
      <c r="E21" s="369" t="s">
        <v>62</v>
      </c>
      <c r="F21" s="369" t="s">
        <v>59</v>
      </c>
      <c r="G21" s="369" t="s">
        <v>60</v>
      </c>
      <c r="H21" s="369" t="s">
        <v>65</v>
      </c>
      <c r="I21" s="369" t="s">
        <v>82</v>
      </c>
      <c r="J21" s="369" t="s">
        <v>101</v>
      </c>
      <c r="K21" s="109">
        <v>1.0614864843030943E-3</v>
      </c>
      <c r="L21" s="109">
        <v>8.1663983434553328E-4</v>
      </c>
      <c r="M21" s="109">
        <v>1.2550926266870106E-3</v>
      </c>
      <c r="N21" s="369"/>
      <c r="O21" s="369" t="s">
        <v>74</v>
      </c>
      <c r="P21" s="370">
        <v>-0.02</v>
      </c>
      <c r="Q21" s="370">
        <v>-0.04</v>
      </c>
      <c r="R21" s="370">
        <v>-0.06</v>
      </c>
      <c r="S21" s="371">
        <v>-7.0000000000000007E-2</v>
      </c>
      <c r="T21" s="371">
        <v>-0.14000000000000001</v>
      </c>
      <c r="U21" s="371">
        <v>-0.17</v>
      </c>
      <c r="V21" s="109">
        <v>1.6254694148790966E-3</v>
      </c>
      <c r="W21" s="109">
        <v>1.6459451832859591E-3</v>
      </c>
      <c r="X21" s="108">
        <v>4.5554828024395849E-3</v>
      </c>
      <c r="AB21" s="73"/>
      <c r="AD21" s="72"/>
      <c r="AE21" s="69"/>
      <c r="AF21" s="73"/>
      <c r="AG21" s="69"/>
      <c r="AH21" s="73"/>
      <c r="AI21" s="69"/>
      <c r="AJ21" s="73"/>
      <c r="AK21" s="69"/>
      <c r="AL21" s="73"/>
      <c r="AM21" s="69"/>
      <c r="AN21" s="73"/>
      <c r="AO21" s="69"/>
      <c r="BD21" s="73"/>
      <c r="BF21" s="72"/>
      <c r="BG21" s="69"/>
      <c r="BH21" s="73"/>
    </row>
    <row r="22" spans="1:60" ht="15" customHeight="1" x14ac:dyDescent="0.2">
      <c r="A22" s="573">
        <v>10</v>
      </c>
      <c r="B22" s="574" t="s">
        <v>100</v>
      </c>
      <c r="C22" s="366"/>
      <c r="D22" s="369" t="s">
        <v>99</v>
      </c>
      <c r="E22" s="366">
        <v>260168</v>
      </c>
      <c r="F22" s="369" t="s">
        <v>98</v>
      </c>
      <c r="G22" s="366">
        <v>317177</v>
      </c>
      <c r="H22" s="369" t="s">
        <v>97</v>
      </c>
      <c r="I22" s="366">
        <v>298704</v>
      </c>
      <c r="J22" s="366">
        <v>250548</v>
      </c>
      <c r="K22" s="366">
        <v>176564</v>
      </c>
      <c r="L22" s="366">
        <v>195097</v>
      </c>
      <c r="M22" s="366">
        <v>200069</v>
      </c>
      <c r="N22" s="367"/>
      <c r="O22" s="367" t="s">
        <v>96</v>
      </c>
      <c r="P22" s="367">
        <v>418.06262186037196</v>
      </c>
      <c r="Q22" s="367">
        <v>498.91</v>
      </c>
      <c r="R22" s="367">
        <v>1105.5695537636575</v>
      </c>
      <c r="S22" s="368">
        <v>1470</v>
      </c>
      <c r="T22" s="368">
        <v>1794.8655911011042</v>
      </c>
      <c r="U22" s="368">
        <v>1697.9891510185892</v>
      </c>
      <c r="V22" s="371">
        <v>1215.2851115921244</v>
      </c>
      <c r="W22" s="108">
        <v>975.34351825478973</v>
      </c>
      <c r="X22" s="108">
        <v>1441.529055832505</v>
      </c>
      <c r="AB22" s="73"/>
      <c r="AD22" s="72"/>
      <c r="AE22" s="69"/>
      <c r="AF22" s="73"/>
      <c r="AG22" s="69"/>
      <c r="AH22" s="73"/>
      <c r="AI22" s="69"/>
      <c r="AJ22" s="73"/>
      <c r="AK22" s="69"/>
      <c r="AL22" s="73"/>
      <c r="AM22" s="69"/>
      <c r="AN22" s="73"/>
      <c r="AO22" s="69"/>
      <c r="BD22" s="73"/>
      <c r="BF22" s="72"/>
      <c r="BG22" s="69"/>
      <c r="BH22" s="73"/>
    </row>
    <row r="23" spans="1:60" ht="15" customHeight="1" x14ac:dyDescent="0.2">
      <c r="A23" s="573"/>
      <c r="B23" s="574"/>
      <c r="C23" s="369"/>
      <c r="D23" s="369" t="s">
        <v>95</v>
      </c>
      <c r="E23" s="369" t="s">
        <v>94</v>
      </c>
      <c r="F23" s="369" t="s">
        <v>93</v>
      </c>
      <c r="G23" s="369" t="s">
        <v>92</v>
      </c>
      <c r="H23" s="369" t="s">
        <v>91</v>
      </c>
      <c r="I23" s="369" t="s">
        <v>91</v>
      </c>
      <c r="J23" s="369" t="s">
        <v>90</v>
      </c>
      <c r="K23" s="109">
        <v>6.2016577748748069E-3</v>
      </c>
      <c r="L23" s="109">
        <v>6.6866991967646158E-3</v>
      </c>
      <c r="M23" s="109">
        <v>7.4039547907605351E-3</v>
      </c>
      <c r="N23" s="369"/>
      <c r="O23" s="369" t="s">
        <v>89</v>
      </c>
      <c r="P23" s="370">
        <v>-0.54</v>
      </c>
      <c r="Q23" s="370">
        <v>-0.54</v>
      </c>
      <c r="R23" s="370">
        <v>-1.1299999999999999</v>
      </c>
      <c r="S23" s="371">
        <v>-1.45</v>
      </c>
      <c r="T23" s="371">
        <v>-1.58</v>
      </c>
      <c r="U23" s="371">
        <v>-1.36</v>
      </c>
      <c r="V23" s="109">
        <v>8.4148194367790752E-3</v>
      </c>
      <c r="W23" s="109">
        <v>6.5163532803800142E-3</v>
      </c>
      <c r="X23" s="108">
        <v>8.6610324459626114E-3</v>
      </c>
      <c r="AB23" s="73"/>
      <c r="AD23" s="72"/>
      <c r="AE23" s="69"/>
      <c r="AF23" s="73"/>
      <c r="AG23" s="69"/>
      <c r="AH23" s="73"/>
      <c r="AI23" s="69"/>
      <c r="AJ23" s="73"/>
      <c r="AK23" s="69"/>
      <c r="AL23" s="73"/>
      <c r="AM23" s="69"/>
      <c r="AN23" s="73"/>
      <c r="AO23" s="69"/>
      <c r="BD23" s="73"/>
      <c r="BF23" s="72"/>
      <c r="BG23" s="69"/>
      <c r="BH23" s="73"/>
    </row>
    <row r="24" spans="1:60" x14ac:dyDescent="0.2">
      <c r="A24" s="573">
        <v>11</v>
      </c>
      <c r="B24" s="574" t="s">
        <v>51</v>
      </c>
      <c r="C24" s="366"/>
      <c r="D24" s="369"/>
      <c r="E24" s="366">
        <v>0</v>
      </c>
      <c r="F24" s="369" t="s">
        <v>88</v>
      </c>
      <c r="G24" s="366">
        <v>35776</v>
      </c>
      <c r="H24" s="369" t="s">
        <v>87</v>
      </c>
      <c r="I24" s="366">
        <v>22787</v>
      </c>
      <c r="J24" s="366">
        <v>19387</v>
      </c>
      <c r="K24" s="366">
        <v>16322</v>
      </c>
      <c r="L24" s="366">
        <v>6986</v>
      </c>
      <c r="M24" s="366">
        <v>2975</v>
      </c>
      <c r="N24" s="369"/>
      <c r="O24" s="369"/>
      <c r="P24" s="375">
        <v>0</v>
      </c>
      <c r="Q24" s="376">
        <v>30.81</v>
      </c>
      <c r="R24" s="376">
        <v>54.927127278000135</v>
      </c>
      <c r="S24" s="373">
        <v>41</v>
      </c>
      <c r="T24" s="373">
        <v>55.917823427000002</v>
      </c>
      <c r="U24" s="373">
        <v>42.32534107599988</v>
      </c>
      <c r="V24" s="371">
        <v>46.694365249000015</v>
      </c>
      <c r="W24" s="108">
        <v>60.4083362780976</v>
      </c>
      <c r="X24" s="108">
        <v>11.631285441414899</v>
      </c>
      <c r="AB24" s="73"/>
      <c r="AD24" s="72"/>
      <c r="AE24" s="69"/>
      <c r="AF24" s="73"/>
      <c r="AG24" s="69"/>
      <c r="AH24" s="73"/>
      <c r="AI24" s="69"/>
      <c r="AJ24" s="73"/>
      <c r="AK24" s="69"/>
      <c r="AL24" s="73"/>
      <c r="AM24" s="69"/>
      <c r="AN24" s="73"/>
      <c r="AO24" s="69"/>
      <c r="BD24" s="73"/>
      <c r="BF24" s="72"/>
      <c r="BG24" s="69"/>
      <c r="BH24" s="73"/>
    </row>
    <row r="25" spans="1:60" ht="15" customHeight="1" x14ac:dyDescent="0.2">
      <c r="A25" s="573"/>
      <c r="B25" s="574"/>
      <c r="C25" s="369"/>
      <c r="D25" s="369"/>
      <c r="E25" s="369" t="s">
        <v>77</v>
      </c>
      <c r="F25" s="369" t="s">
        <v>86</v>
      </c>
      <c r="G25" s="369" t="s">
        <v>85</v>
      </c>
      <c r="H25" s="369" t="s">
        <v>84</v>
      </c>
      <c r="I25" s="369" t="s">
        <v>83</v>
      </c>
      <c r="J25" s="369" t="s">
        <v>82</v>
      </c>
      <c r="K25" s="109">
        <v>5.7329613172281218E-4</v>
      </c>
      <c r="L25" s="109">
        <v>2.3943618091819765E-4</v>
      </c>
      <c r="M25" s="109">
        <v>1.10095844446229E-4</v>
      </c>
      <c r="N25" s="369"/>
      <c r="O25" s="369"/>
      <c r="P25" s="369" t="s">
        <v>74</v>
      </c>
      <c r="Q25" s="377" t="s">
        <v>60</v>
      </c>
      <c r="R25" s="377" t="s">
        <v>64</v>
      </c>
      <c r="S25" s="371">
        <v>-0.04</v>
      </c>
      <c r="T25" s="371">
        <v>-0.05</v>
      </c>
      <c r="U25" s="371">
        <v>-0.03</v>
      </c>
      <c r="V25" s="109">
        <v>3.2331890561103214E-4</v>
      </c>
      <c r="W25" s="109">
        <v>4.0359324986588872E-4</v>
      </c>
      <c r="X25" s="108">
        <v>6.9883392352552149E-5</v>
      </c>
      <c r="AB25" s="73"/>
      <c r="AD25" s="72"/>
      <c r="AE25" s="69"/>
      <c r="AF25" s="73"/>
      <c r="AG25" s="69"/>
      <c r="AH25" s="73"/>
      <c r="AI25" s="69"/>
      <c r="AJ25" s="73"/>
      <c r="AK25" s="69"/>
      <c r="AL25" s="73"/>
      <c r="AM25" s="69"/>
      <c r="AN25" s="73"/>
      <c r="AO25" s="69"/>
      <c r="BD25" s="73"/>
      <c r="BF25" s="72"/>
      <c r="BG25" s="69"/>
      <c r="BH25" s="73"/>
    </row>
    <row r="26" spans="1:60" ht="15" customHeight="1" x14ac:dyDescent="0.2">
      <c r="A26" s="573">
        <v>12</v>
      </c>
      <c r="B26" s="574" t="s">
        <v>81</v>
      </c>
      <c r="C26" s="366"/>
      <c r="D26" s="369" t="s">
        <v>80</v>
      </c>
      <c r="E26" s="366">
        <v>80</v>
      </c>
      <c r="F26" s="369" t="s">
        <v>79</v>
      </c>
      <c r="G26" s="366">
        <v>0</v>
      </c>
      <c r="H26" s="369">
        <v>0</v>
      </c>
      <c r="I26" s="366">
        <v>3787</v>
      </c>
      <c r="J26" s="366">
        <v>0</v>
      </c>
      <c r="K26" s="366">
        <v>1107</v>
      </c>
      <c r="L26" s="366">
        <v>29056</v>
      </c>
      <c r="M26" s="366">
        <v>0</v>
      </c>
      <c r="N26" s="369"/>
      <c r="O26" s="369" t="s">
        <v>78</v>
      </c>
      <c r="P26" s="372">
        <v>-1.1238276</v>
      </c>
      <c r="Q26" s="372">
        <v>0.85</v>
      </c>
      <c r="R26" s="372">
        <v>-0.16387699999999999</v>
      </c>
      <c r="S26" s="373">
        <v>0</v>
      </c>
      <c r="T26" s="373">
        <v>144.0468506</v>
      </c>
      <c r="U26" s="373">
        <v>0.10928839999999999</v>
      </c>
      <c r="V26" s="369">
        <v>1.0313090379999998</v>
      </c>
      <c r="W26" s="108">
        <v>164.43319433599999</v>
      </c>
      <c r="X26" s="108">
        <v>0.13264999999999999</v>
      </c>
      <c r="AB26" s="73"/>
      <c r="AD26" s="72"/>
      <c r="AE26" s="69"/>
      <c r="AF26" s="73"/>
      <c r="AG26" s="69"/>
      <c r="AH26" s="73"/>
      <c r="AI26" s="69"/>
      <c r="AJ26" s="73"/>
      <c r="AK26" s="69"/>
      <c r="AL26" s="73"/>
      <c r="AM26" s="69"/>
      <c r="AN26" s="73"/>
      <c r="AO26" s="69"/>
      <c r="BD26" s="73"/>
      <c r="BF26" s="72"/>
      <c r="BG26" s="69"/>
      <c r="BH26" s="73"/>
    </row>
    <row r="27" spans="1:60" ht="15" customHeight="1" x14ac:dyDescent="0.2">
      <c r="A27" s="573"/>
      <c r="B27" s="574"/>
      <c r="C27" s="369"/>
      <c r="D27" s="369" t="s">
        <v>74</v>
      </c>
      <c r="E27" s="369" t="s">
        <v>77</v>
      </c>
      <c r="F27" s="369" t="s">
        <v>75</v>
      </c>
      <c r="G27" s="369" t="s">
        <v>76</v>
      </c>
      <c r="H27" s="369" t="s">
        <v>42</v>
      </c>
      <c r="I27" s="369" t="s">
        <v>62</v>
      </c>
      <c r="J27" s="369" t="s">
        <v>42</v>
      </c>
      <c r="K27" s="109">
        <v>3.8882417462146365E-5</v>
      </c>
      <c r="L27" s="109">
        <v>9.9585709601476531E-4</v>
      </c>
      <c r="M27" s="109">
        <v>0</v>
      </c>
      <c r="N27" s="369"/>
      <c r="O27" s="369" t="s">
        <v>74</v>
      </c>
      <c r="P27" s="369" t="s">
        <v>74</v>
      </c>
      <c r="Q27" s="369" t="s">
        <v>75</v>
      </c>
      <c r="R27" s="369" t="s">
        <v>74</v>
      </c>
      <c r="S27" s="369" t="s">
        <v>74</v>
      </c>
      <c r="T27" s="371">
        <v>-0.13</v>
      </c>
      <c r="U27" s="369" t="s">
        <v>74</v>
      </c>
      <c r="V27" s="109">
        <v>7.140941047915137E-6</v>
      </c>
      <c r="W27" s="109">
        <v>1.0985922039365497E-3</v>
      </c>
      <c r="X27" s="108">
        <v>7.969911874536869E-7</v>
      </c>
      <c r="AB27" s="73"/>
      <c r="AD27" s="72"/>
      <c r="AE27" s="69"/>
      <c r="AF27" s="73"/>
      <c r="AG27" s="69"/>
      <c r="AH27" s="73"/>
      <c r="AI27" s="69"/>
      <c r="AJ27" s="73"/>
      <c r="AK27" s="69"/>
      <c r="AL27" s="73"/>
      <c r="AM27" s="69"/>
      <c r="AN27" s="73"/>
      <c r="AO27" s="69"/>
      <c r="BD27" s="73"/>
      <c r="BF27" s="72"/>
      <c r="BG27" s="69"/>
      <c r="BH27" s="73"/>
    </row>
    <row r="28" spans="1:60" ht="15" customHeight="1" x14ac:dyDescent="0.2">
      <c r="A28" s="575"/>
      <c r="B28" s="576" t="s">
        <v>52</v>
      </c>
      <c r="C28" s="378">
        <v>25869356</v>
      </c>
      <c r="D28" s="378">
        <v>26702452</v>
      </c>
      <c r="E28" s="378">
        <v>26419617</v>
      </c>
      <c r="F28" s="378" t="s">
        <v>73</v>
      </c>
      <c r="G28" s="378">
        <v>28647745</v>
      </c>
      <c r="H28" s="378" t="s">
        <v>72</v>
      </c>
      <c r="I28" s="378">
        <v>28127425</v>
      </c>
      <c r="J28" s="378">
        <v>29112861</v>
      </c>
      <c r="K28" s="378">
        <v>28470452</v>
      </c>
      <c r="L28" s="378">
        <v>29176877</v>
      </c>
      <c r="M28" s="378">
        <v>27021910</v>
      </c>
      <c r="N28" s="379">
        <v>55398.95</v>
      </c>
      <c r="O28" s="379">
        <v>58320.11</v>
      </c>
      <c r="P28" s="380">
        <v>77725.681508959766</v>
      </c>
      <c r="Q28" s="380">
        <v>92134.73</v>
      </c>
      <c r="R28" s="380">
        <v>97689.845754198497</v>
      </c>
      <c r="S28" s="379">
        <v>101619.69</v>
      </c>
      <c r="T28" s="379">
        <v>113888.94888402073</v>
      </c>
      <c r="U28" s="379">
        <v>125205.11333470115</v>
      </c>
      <c r="V28" s="381">
        <v>144422.00699879744</v>
      </c>
      <c r="W28" s="110">
        <v>149676.28001253956</v>
      </c>
      <c r="X28" s="110">
        <v>166438.47772496013</v>
      </c>
      <c r="AB28" s="73"/>
      <c r="AD28" s="72"/>
      <c r="AE28" s="69"/>
      <c r="AF28" s="73"/>
      <c r="AG28" s="69"/>
      <c r="AH28" s="73"/>
      <c r="AI28" s="69"/>
      <c r="AJ28" s="73"/>
      <c r="AK28" s="69"/>
      <c r="AL28" s="73"/>
      <c r="AM28" s="69"/>
      <c r="AN28" s="73"/>
      <c r="AO28" s="69"/>
      <c r="BD28" s="73"/>
      <c r="BF28" s="72"/>
      <c r="BG28" s="69"/>
      <c r="BH28" s="73"/>
    </row>
    <row r="29" spans="1:60" ht="15" customHeight="1" x14ac:dyDescent="0.2">
      <c r="A29" s="575"/>
      <c r="B29" s="576"/>
      <c r="C29" s="382" t="s">
        <v>71</v>
      </c>
      <c r="D29" s="382" t="s">
        <v>71</v>
      </c>
      <c r="E29" s="382" t="s">
        <v>71</v>
      </c>
      <c r="F29" s="382" t="s">
        <v>71</v>
      </c>
      <c r="G29" s="382" t="s">
        <v>71</v>
      </c>
      <c r="H29" s="382" t="s">
        <v>71</v>
      </c>
      <c r="I29" s="382" t="s">
        <v>71</v>
      </c>
      <c r="J29" s="382" t="s">
        <v>71</v>
      </c>
      <c r="K29" s="109">
        <v>1</v>
      </c>
      <c r="L29" s="109">
        <v>1</v>
      </c>
      <c r="M29" s="109">
        <v>1</v>
      </c>
      <c r="N29" s="382" t="s">
        <v>71</v>
      </c>
      <c r="O29" s="382" t="s">
        <v>71</v>
      </c>
      <c r="P29" s="383">
        <v>-100</v>
      </c>
      <c r="Q29" s="383">
        <v>-100</v>
      </c>
      <c r="R29" s="382" t="s">
        <v>71</v>
      </c>
      <c r="S29" s="381">
        <v>-100</v>
      </c>
      <c r="T29" s="381">
        <v>-100</v>
      </c>
      <c r="U29" s="381">
        <v>-100</v>
      </c>
      <c r="V29" s="109">
        <v>1</v>
      </c>
      <c r="W29" s="109">
        <v>1</v>
      </c>
      <c r="X29" s="108">
        <v>1</v>
      </c>
      <c r="AB29" s="73"/>
      <c r="AD29" s="72"/>
      <c r="AE29" s="69"/>
      <c r="AF29" s="73"/>
      <c r="AG29" s="69"/>
      <c r="AH29" s="73"/>
      <c r="AI29" s="69"/>
      <c r="AJ29" s="73"/>
      <c r="AK29" s="69"/>
      <c r="AL29" s="73"/>
      <c r="AM29" s="69"/>
      <c r="AN29" s="73"/>
      <c r="AO29" s="69"/>
      <c r="BD29" s="73"/>
      <c r="BF29" s="72"/>
      <c r="BG29" s="69"/>
      <c r="BH29" s="73"/>
    </row>
    <row r="30" spans="1:60" ht="15" customHeight="1" x14ac:dyDescent="0.2">
      <c r="A30" s="571"/>
      <c r="B30" s="572" t="s">
        <v>70</v>
      </c>
      <c r="C30" s="366">
        <v>8669</v>
      </c>
      <c r="D30" s="366">
        <v>10826</v>
      </c>
      <c r="E30" s="366">
        <v>15435</v>
      </c>
      <c r="F30" s="366" t="s">
        <v>69</v>
      </c>
      <c r="G30" s="366">
        <v>15105</v>
      </c>
      <c r="H30" s="366" t="s">
        <v>68</v>
      </c>
      <c r="I30" s="366">
        <v>4514</v>
      </c>
      <c r="J30" s="366">
        <v>2450</v>
      </c>
      <c r="K30" s="366">
        <v>768</v>
      </c>
      <c r="L30" s="366">
        <v>612</v>
      </c>
      <c r="M30" s="366">
        <v>230</v>
      </c>
      <c r="N30" s="367" t="s">
        <v>67</v>
      </c>
      <c r="O30" s="367" t="s">
        <v>66</v>
      </c>
      <c r="P30" s="367">
        <v>25.827203616000002</v>
      </c>
      <c r="Q30" s="367">
        <v>3.75</v>
      </c>
      <c r="R30" s="367">
        <v>30.160107386000007</v>
      </c>
      <c r="S30" s="368">
        <v>20.43</v>
      </c>
      <c r="T30" s="368">
        <v>11.2262453</v>
      </c>
      <c r="U30" s="368">
        <v>7.8515713720000004</v>
      </c>
      <c r="V30" s="371">
        <v>3.2025177000000009</v>
      </c>
      <c r="W30" s="108">
        <v>2.8353262799999999</v>
      </c>
      <c r="X30" s="108">
        <v>1.1609514759999999</v>
      </c>
      <c r="AB30" s="73"/>
      <c r="AD30" s="72"/>
      <c r="AE30" s="69"/>
      <c r="AF30" s="73"/>
      <c r="AG30" s="69"/>
      <c r="AH30" s="73"/>
      <c r="AI30" s="69"/>
      <c r="AJ30" s="73"/>
      <c r="AK30" s="69"/>
      <c r="AL30" s="73"/>
      <c r="AM30" s="69"/>
      <c r="AN30" s="73"/>
      <c r="AO30" s="69"/>
      <c r="BD30" s="73"/>
      <c r="BF30" s="72"/>
      <c r="BG30" s="69"/>
      <c r="BH30" s="73"/>
    </row>
    <row r="31" spans="1:60" ht="15" customHeight="1" x14ac:dyDescent="0.2">
      <c r="A31" s="571"/>
      <c r="B31" s="572"/>
      <c r="C31" s="369" t="s">
        <v>60</v>
      </c>
      <c r="D31" s="369" t="s">
        <v>65</v>
      </c>
      <c r="E31" s="369" t="s">
        <v>64</v>
      </c>
      <c r="F31" s="369" t="s">
        <v>62</v>
      </c>
      <c r="G31" s="369" t="s">
        <v>63</v>
      </c>
      <c r="H31" s="369" t="s">
        <v>60</v>
      </c>
      <c r="I31" s="369" t="s">
        <v>59</v>
      </c>
      <c r="J31" s="369" t="s">
        <v>62</v>
      </c>
      <c r="K31" s="384">
        <v>2.6975335691895585E-5</v>
      </c>
      <c r="L31" s="384">
        <v>2.0975514274540076E-5</v>
      </c>
      <c r="M31" s="384">
        <v>8.5116115034059396E-6</v>
      </c>
      <c r="N31" s="369" t="s">
        <v>62</v>
      </c>
      <c r="O31" s="369" t="s">
        <v>60</v>
      </c>
      <c r="P31" s="369" t="s">
        <v>60</v>
      </c>
      <c r="Q31" s="369" t="s">
        <v>61</v>
      </c>
      <c r="R31" s="369" t="s">
        <v>60</v>
      </c>
      <c r="S31" s="369" t="s">
        <v>59</v>
      </c>
      <c r="T31" s="371">
        <v>-0.01</v>
      </c>
      <c r="U31" s="371">
        <v>-0.01</v>
      </c>
      <c r="V31" s="109">
        <v>2.217472092066043E-5</v>
      </c>
      <c r="W31" s="109">
        <v>1.8943056840819816E-5</v>
      </c>
      <c r="X31" s="108">
        <v>6.9752589177033583E-6</v>
      </c>
      <c r="AB31" s="73"/>
      <c r="AD31" s="72"/>
      <c r="AE31" s="69"/>
      <c r="AF31" s="73"/>
      <c r="AG31" s="69"/>
      <c r="AH31" s="73"/>
      <c r="AI31" s="69"/>
      <c r="AJ31" s="73"/>
      <c r="AK31" s="69"/>
      <c r="AL31" s="73"/>
      <c r="AM31" s="69"/>
      <c r="AN31" s="73"/>
      <c r="AO31" s="69"/>
      <c r="BD31" s="73"/>
      <c r="BF31" s="72"/>
      <c r="BG31" s="69"/>
      <c r="BH31" s="73"/>
    </row>
    <row r="32" spans="1:60" x14ac:dyDescent="0.2">
      <c r="A32" s="75" t="s">
        <v>58</v>
      </c>
      <c r="C32" s="77"/>
      <c r="D32" s="77"/>
      <c r="E32" s="77"/>
      <c r="F32" s="77"/>
      <c r="G32" s="77"/>
      <c r="H32" s="77"/>
      <c r="I32" s="77"/>
      <c r="J32" s="76"/>
      <c r="N32" s="78"/>
      <c r="O32" s="78"/>
      <c r="P32" s="76"/>
      <c r="Q32" s="76"/>
      <c r="R32" s="76"/>
      <c r="S32" s="76"/>
    </row>
    <row r="33" spans="1:19" x14ac:dyDescent="0.2">
      <c r="A33" s="79" t="s">
        <v>57</v>
      </c>
      <c r="C33" s="77"/>
      <c r="D33" s="77"/>
      <c r="E33" s="77"/>
      <c r="F33" s="77"/>
      <c r="G33" s="77"/>
      <c r="H33" s="77"/>
      <c r="I33" s="77"/>
      <c r="J33" s="76"/>
      <c r="N33" s="78"/>
      <c r="O33" s="78"/>
      <c r="P33" s="76"/>
      <c r="Q33" s="76"/>
      <c r="R33" s="76"/>
      <c r="S33" s="76"/>
    </row>
    <row r="34" spans="1:19" x14ac:dyDescent="0.2">
      <c r="A34" s="69" t="s">
        <v>56</v>
      </c>
      <c r="C34" s="77"/>
      <c r="D34" s="77"/>
      <c r="E34" s="77"/>
      <c r="F34" s="77"/>
      <c r="G34" s="77"/>
      <c r="H34" s="77"/>
      <c r="I34" s="77"/>
      <c r="J34" s="76"/>
      <c r="N34" s="78"/>
      <c r="O34" s="78"/>
      <c r="P34" s="76"/>
      <c r="Q34" s="76"/>
      <c r="R34" s="76"/>
      <c r="S34" s="76"/>
    </row>
    <row r="35" spans="1:19" x14ac:dyDescent="0.2">
      <c r="A35" s="76" t="s">
        <v>55</v>
      </c>
      <c r="C35" s="77"/>
      <c r="D35" s="77"/>
      <c r="E35" s="77"/>
      <c r="F35" s="77"/>
      <c r="G35" s="77"/>
      <c r="H35" s="77"/>
      <c r="I35" s="77"/>
      <c r="J35" s="76"/>
      <c r="N35" s="78"/>
      <c r="O35" s="78"/>
      <c r="P35" s="76"/>
      <c r="Q35" s="76"/>
      <c r="R35" s="76"/>
      <c r="S35" s="76"/>
    </row>
    <row r="36" spans="1:19" x14ac:dyDescent="0.2">
      <c r="A36" s="76" t="s">
        <v>54</v>
      </c>
      <c r="C36" s="77"/>
      <c r="D36" s="77"/>
      <c r="E36" s="77"/>
      <c r="F36" s="77"/>
      <c r="G36" s="77"/>
      <c r="H36" s="77"/>
      <c r="I36" s="77"/>
      <c r="J36" s="76"/>
      <c r="N36" s="77"/>
      <c r="O36" s="77"/>
      <c r="P36" s="76"/>
      <c r="Q36" s="76"/>
      <c r="R36" s="76"/>
      <c r="S36" s="76"/>
    </row>
    <row r="37" spans="1:19" x14ac:dyDescent="0.2">
      <c r="A37" s="76" t="s">
        <v>53</v>
      </c>
    </row>
    <row r="38" spans="1:19" ht="28.5" customHeight="1" x14ac:dyDescent="0.2">
      <c r="A38" s="532" t="s">
        <v>296</v>
      </c>
      <c r="B38" s="532"/>
      <c r="C38" s="532"/>
      <c r="D38" s="532"/>
      <c r="E38" s="532"/>
      <c r="F38" s="532"/>
      <c r="G38" s="532"/>
      <c r="H38" s="532"/>
      <c r="I38" s="532"/>
      <c r="J38" s="532"/>
      <c r="K38" s="532"/>
      <c r="L38" s="532"/>
      <c r="M38" s="450"/>
    </row>
    <row r="39" spans="1:19" x14ac:dyDescent="0.2">
      <c r="A39" s="521" t="s">
        <v>397</v>
      </c>
      <c r="B39" s="521"/>
      <c r="C39" s="521"/>
      <c r="D39" s="521"/>
      <c r="E39" s="521"/>
      <c r="F39" s="521"/>
      <c r="G39" s="521"/>
      <c r="H39" s="521"/>
      <c r="I39" s="521"/>
      <c r="J39" s="521"/>
      <c r="K39" s="521"/>
      <c r="L39" s="521"/>
      <c r="M39" s="432"/>
    </row>
  </sheetData>
  <mergeCells count="35">
    <mergeCell ref="N2:X2"/>
    <mergeCell ref="A2:A3"/>
    <mergeCell ref="B2:B3"/>
    <mergeCell ref="A4:A5"/>
    <mergeCell ref="B4:B5"/>
    <mergeCell ref="C2:M2"/>
    <mergeCell ref="A6:A7"/>
    <mergeCell ref="B6:B7"/>
    <mergeCell ref="A8:A9"/>
    <mergeCell ref="B8:B9"/>
    <mergeCell ref="A10:A11"/>
    <mergeCell ref="B10:B11"/>
    <mergeCell ref="B22:B23"/>
    <mergeCell ref="A12:A13"/>
    <mergeCell ref="B12:B13"/>
    <mergeCell ref="A14:A15"/>
    <mergeCell ref="B14:B15"/>
    <mergeCell ref="A16:A17"/>
    <mergeCell ref="B16:B17"/>
    <mergeCell ref="A39:L39"/>
    <mergeCell ref="A38:L38"/>
    <mergeCell ref="A1:V1"/>
    <mergeCell ref="A30:A31"/>
    <mergeCell ref="B30:B31"/>
    <mergeCell ref="A24:A25"/>
    <mergeCell ref="B24:B25"/>
    <mergeCell ref="A26:A27"/>
    <mergeCell ref="B26:B27"/>
    <mergeCell ref="A28:A29"/>
    <mergeCell ref="B28:B29"/>
    <mergeCell ref="A18:A19"/>
    <mergeCell ref="B18:B19"/>
    <mergeCell ref="A20:A21"/>
    <mergeCell ref="B20:B21"/>
    <mergeCell ref="A22:A23"/>
  </mergeCells>
  <pageMargins left="0.7" right="0.7" top="0.75" bottom="0.75" header="0.3" footer="0.3"/>
  <pageSetup orientation="portrait" r:id="rId1"/>
  <ignoredErrors>
    <ignoredError sqref="C5:D5 C7:D7 C9:D9 C13:D13 C29 C31 C11:D11 C15:D15 C17:D17 D18:D20"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B050"/>
  </sheetPr>
  <dimension ref="A1:BO77"/>
  <sheetViews>
    <sheetView zoomScaleNormal="100" workbookViewId="0">
      <pane xSplit="2" ySplit="4" topLeftCell="C5" activePane="bottomRight" state="frozen"/>
      <selection activeCell="C28" sqref="A28:XFD28"/>
      <selection pane="topRight" activeCell="C28" sqref="A28:XFD28"/>
      <selection pane="bottomLeft" activeCell="C28" sqref="A28:XFD28"/>
      <selection pane="bottomRight" activeCell="B33" sqref="B33:B34"/>
    </sheetView>
  </sheetViews>
  <sheetFormatPr defaultRowHeight="12.75" x14ac:dyDescent="0.2"/>
  <cols>
    <col min="1" max="1" width="6.7109375" style="10" customWidth="1"/>
    <col min="2" max="2" width="43.42578125" style="10" bestFit="1" customWidth="1"/>
    <col min="3" max="3" width="9" style="10" bestFit="1" customWidth="1"/>
    <col min="4" max="4" width="9.28515625" style="11" bestFit="1" customWidth="1"/>
    <col min="5" max="5" width="8.140625" style="10" bestFit="1" customWidth="1"/>
    <col min="6" max="6" width="9.28515625" style="11" bestFit="1" customWidth="1"/>
    <col min="7" max="7" width="8.140625" style="10" bestFit="1" customWidth="1"/>
    <col min="8" max="8" width="9.28515625" style="11" bestFit="1" customWidth="1"/>
    <col min="9" max="9" width="8.140625" style="10" bestFit="1" customWidth="1"/>
    <col min="10" max="10" width="9.28515625" style="11" bestFit="1" customWidth="1"/>
    <col min="11" max="11" width="8.140625" style="10" bestFit="1" customWidth="1"/>
    <col min="12" max="12" width="9.28515625" style="11" bestFit="1" customWidth="1"/>
    <col min="13" max="13" width="8.140625" style="11" bestFit="1" customWidth="1"/>
    <col min="14" max="14" width="9.28515625" style="11" bestFit="1" customWidth="1"/>
    <col min="15" max="15" width="8.140625" style="11" bestFit="1" customWidth="1"/>
    <col min="16" max="16" width="9.28515625" style="11" bestFit="1" customWidth="1"/>
    <col min="17" max="17" width="8.140625" style="11" bestFit="1" customWidth="1"/>
    <col min="18" max="18" width="9.28515625" style="11" bestFit="1" customWidth="1"/>
    <col min="19" max="19" width="8.140625" style="11" bestFit="1" customWidth="1"/>
    <col min="20" max="20" width="9.28515625" style="11" bestFit="1" customWidth="1"/>
    <col min="21" max="21" width="8.140625" style="11" bestFit="1" customWidth="1"/>
    <col min="22" max="22" width="9.28515625" style="11" bestFit="1" customWidth="1"/>
    <col min="23" max="23" width="8.140625" style="11" bestFit="1" customWidth="1"/>
    <col min="24" max="24" width="9.28515625" style="11" bestFit="1" customWidth="1"/>
    <col min="25" max="25" width="8.140625" style="11" bestFit="1" customWidth="1"/>
    <col min="26" max="26" width="9.28515625" style="11" bestFit="1" customWidth="1"/>
    <col min="27" max="27" width="9" style="12" bestFit="1" customWidth="1"/>
    <col min="28" max="28" width="9.5703125" style="12" bestFit="1" customWidth="1"/>
    <col min="29" max="29" width="8.140625" style="10" bestFit="1" customWidth="1"/>
    <col min="30" max="30" width="9.28515625" style="11" bestFit="1" customWidth="1"/>
    <col min="31" max="31" width="12.140625" style="10" customWidth="1"/>
    <col min="32" max="32" width="12.7109375" style="11" customWidth="1"/>
    <col min="33" max="33" width="9.140625" style="10"/>
    <col min="34" max="34" width="12" style="11" customWidth="1"/>
    <col min="35" max="35" width="9.140625" style="10"/>
    <col min="36" max="36" width="9.140625" style="11"/>
    <col min="37" max="37" width="9.140625" style="10"/>
    <col min="38" max="38" width="9.140625" style="11"/>
    <col min="39" max="39" width="9.140625" style="10"/>
    <col min="40" max="46" width="9.140625" style="11"/>
    <col min="47" max="47" width="9.7109375" style="11" bestFit="1" customWidth="1"/>
    <col min="48" max="54" width="9.140625" style="11"/>
    <col min="55" max="55" width="10.85546875" style="12" customWidth="1"/>
    <col min="56" max="56" width="15" style="12" customWidth="1"/>
    <col min="57" max="57" width="9.140625" style="10"/>
    <col min="58" max="58" width="10" style="11" customWidth="1"/>
    <col min="59" max="257" width="9.140625" style="10"/>
    <col min="258" max="258" width="23.5703125" style="10" customWidth="1"/>
    <col min="259" max="259" width="12.140625" style="10" customWidth="1"/>
    <col min="260" max="260" width="12.7109375" style="10" customWidth="1"/>
    <col min="261" max="261" width="9.140625" style="10"/>
    <col min="262" max="262" width="12" style="10" customWidth="1"/>
    <col min="263" max="274" width="9.140625" style="10"/>
    <col min="275" max="275" width="9.7109375" style="10" bestFit="1" customWidth="1"/>
    <col min="276" max="282" width="9.140625" style="10"/>
    <col min="283" max="283" width="10.85546875" style="10" customWidth="1"/>
    <col min="284" max="284" width="15" style="10" customWidth="1"/>
    <col min="285" max="513" width="9.140625" style="10"/>
    <col min="514" max="514" width="23.5703125" style="10" customWidth="1"/>
    <col min="515" max="515" width="12.140625" style="10" customWidth="1"/>
    <col min="516" max="516" width="12.7109375" style="10" customWidth="1"/>
    <col min="517" max="517" width="9.140625" style="10"/>
    <col min="518" max="518" width="12" style="10" customWidth="1"/>
    <col min="519" max="530" width="9.140625" style="10"/>
    <col min="531" max="531" width="9.7109375" style="10" bestFit="1" customWidth="1"/>
    <col min="532" max="538" width="9.140625" style="10"/>
    <col min="539" max="539" width="10.85546875" style="10" customWidth="1"/>
    <col min="540" max="540" width="15" style="10" customWidth="1"/>
    <col min="541" max="769" width="9.140625" style="10"/>
    <col min="770" max="770" width="23.5703125" style="10" customWidth="1"/>
    <col min="771" max="771" width="12.140625" style="10" customWidth="1"/>
    <col min="772" max="772" width="12.7109375" style="10" customWidth="1"/>
    <col min="773" max="773" width="9.140625" style="10"/>
    <col min="774" max="774" width="12" style="10" customWidth="1"/>
    <col min="775" max="786" width="9.140625" style="10"/>
    <col min="787" max="787" width="9.7109375" style="10" bestFit="1" customWidth="1"/>
    <col min="788" max="794" width="9.140625" style="10"/>
    <col min="795" max="795" width="10.85546875" style="10" customWidth="1"/>
    <col min="796" max="796" width="15" style="10" customWidth="1"/>
    <col min="797" max="1025" width="9.140625" style="10"/>
    <col min="1026" max="1026" width="23.5703125" style="10" customWidth="1"/>
    <col min="1027" max="1027" width="12.140625" style="10" customWidth="1"/>
    <col min="1028" max="1028" width="12.7109375" style="10" customWidth="1"/>
    <col min="1029" max="1029" width="9.140625" style="10"/>
    <col min="1030" max="1030" width="12" style="10" customWidth="1"/>
    <col min="1031" max="1042" width="9.140625" style="10"/>
    <col min="1043" max="1043" width="9.7109375" style="10" bestFit="1" customWidth="1"/>
    <col min="1044" max="1050" width="9.140625" style="10"/>
    <col min="1051" max="1051" width="10.85546875" style="10" customWidth="1"/>
    <col min="1052" max="1052" width="15" style="10" customWidth="1"/>
    <col min="1053" max="1281" width="9.140625" style="10"/>
    <col min="1282" max="1282" width="23.5703125" style="10" customWidth="1"/>
    <col min="1283" max="1283" width="12.140625" style="10" customWidth="1"/>
    <col min="1284" max="1284" width="12.7109375" style="10" customWidth="1"/>
    <col min="1285" max="1285" width="9.140625" style="10"/>
    <col min="1286" max="1286" width="12" style="10" customWidth="1"/>
    <col min="1287" max="1298" width="9.140625" style="10"/>
    <col min="1299" max="1299" width="9.7109375" style="10" bestFit="1" customWidth="1"/>
    <col min="1300" max="1306" width="9.140625" style="10"/>
    <col min="1307" max="1307" width="10.85546875" style="10" customWidth="1"/>
    <col min="1308" max="1308" width="15" style="10" customWidth="1"/>
    <col min="1309" max="1537" width="9.140625" style="10"/>
    <col min="1538" max="1538" width="23.5703125" style="10" customWidth="1"/>
    <col min="1539" max="1539" width="12.140625" style="10" customWidth="1"/>
    <col min="1540" max="1540" width="12.7109375" style="10" customWidth="1"/>
    <col min="1541" max="1541" width="9.140625" style="10"/>
    <col min="1542" max="1542" width="12" style="10" customWidth="1"/>
    <col min="1543" max="1554" width="9.140625" style="10"/>
    <col min="1555" max="1555" width="9.7109375" style="10" bestFit="1" customWidth="1"/>
    <col min="1556" max="1562" width="9.140625" style="10"/>
    <col min="1563" max="1563" width="10.85546875" style="10" customWidth="1"/>
    <col min="1564" max="1564" width="15" style="10" customWidth="1"/>
    <col min="1565" max="1793" width="9.140625" style="10"/>
    <col min="1794" max="1794" width="23.5703125" style="10" customWidth="1"/>
    <col min="1795" max="1795" width="12.140625" style="10" customWidth="1"/>
    <col min="1796" max="1796" width="12.7109375" style="10" customWidth="1"/>
    <col min="1797" max="1797" width="9.140625" style="10"/>
    <col min="1798" max="1798" width="12" style="10" customWidth="1"/>
    <col min="1799" max="1810" width="9.140625" style="10"/>
    <col min="1811" max="1811" width="9.7109375" style="10" bestFit="1" customWidth="1"/>
    <col min="1812" max="1818" width="9.140625" style="10"/>
    <col min="1819" max="1819" width="10.85546875" style="10" customWidth="1"/>
    <col min="1820" max="1820" width="15" style="10" customWidth="1"/>
    <col min="1821" max="2049" width="9.140625" style="10"/>
    <col min="2050" max="2050" width="23.5703125" style="10" customWidth="1"/>
    <col min="2051" max="2051" width="12.140625" style="10" customWidth="1"/>
    <col min="2052" max="2052" width="12.7109375" style="10" customWidth="1"/>
    <col min="2053" max="2053" width="9.140625" style="10"/>
    <col min="2054" max="2054" width="12" style="10" customWidth="1"/>
    <col min="2055" max="2066" width="9.140625" style="10"/>
    <col min="2067" max="2067" width="9.7109375" style="10" bestFit="1" customWidth="1"/>
    <col min="2068" max="2074" width="9.140625" style="10"/>
    <col min="2075" max="2075" width="10.85546875" style="10" customWidth="1"/>
    <col min="2076" max="2076" width="15" style="10" customWidth="1"/>
    <col min="2077" max="2305" width="9.140625" style="10"/>
    <col min="2306" max="2306" width="23.5703125" style="10" customWidth="1"/>
    <col min="2307" max="2307" width="12.140625" style="10" customWidth="1"/>
    <col min="2308" max="2308" width="12.7109375" style="10" customWidth="1"/>
    <col min="2309" max="2309" width="9.140625" style="10"/>
    <col min="2310" max="2310" width="12" style="10" customWidth="1"/>
    <col min="2311" max="2322" width="9.140625" style="10"/>
    <col min="2323" max="2323" width="9.7109375" style="10" bestFit="1" customWidth="1"/>
    <col min="2324" max="2330" width="9.140625" style="10"/>
    <col min="2331" max="2331" width="10.85546875" style="10" customWidth="1"/>
    <col min="2332" max="2332" width="15" style="10" customWidth="1"/>
    <col min="2333" max="2561" width="9.140625" style="10"/>
    <col min="2562" max="2562" width="23.5703125" style="10" customWidth="1"/>
    <col min="2563" max="2563" width="12.140625" style="10" customWidth="1"/>
    <col min="2564" max="2564" width="12.7109375" style="10" customWidth="1"/>
    <col min="2565" max="2565" width="9.140625" style="10"/>
    <col min="2566" max="2566" width="12" style="10" customWidth="1"/>
    <col min="2567" max="2578" width="9.140625" style="10"/>
    <col min="2579" max="2579" width="9.7109375" style="10" bestFit="1" customWidth="1"/>
    <col min="2580" max="2586" width="9.140625" style="10"/>
    <col min="2587" max="2587" width="10.85546875" style="10" customWidth="1"/>
    <col min="2588" max="2588" width="15" style="10" customWidth="1"/>
    <col min="2589" max="2817" width="9.140625" style="10"/>
    <col min="2818" max="2818" width="23.5703125" style="10" customWidth="1"/>
    <col min="2819" max="2819" width="12.140625" style="10" customWidth="1"/>
    <col min="2820" max="2820" width="12.7109375" style="10" customWidth="1"/>
    <col min="2821" max="2821" width="9.140625" style="10"/>
    <col min="2822" max="2822" width="12" style="10" customWidth="1"/>
    <col min="2823" max="2834" width="9.140625" style="10"/>
    <col min="2835" max="2835" width="9.7109375" style="10" bestFit="1" customWidth="1"/>
    <col min="2836" max="2842" width="9.140625" style="10"/>
    <col min="2843" max="2843" width="10.85546875" style="10" customWidth="1"/>
    <col min="2844" max="2844" width="15" style="10" customWidth="1"/>
    <col min="2845" max="3073" width="9.140625" style="10"/>
    <col min="3074" max="3074" width="23.5703125" style="10" customWidth="1"/>
    <col min="3075" max="3075" width="12.140625" style="10" customWidth="1"/>
    <col min="3076" max="3076" width="12.7109375" style="10" customWidth="1"/>
    <col min="3077" max="3077" width="9.140625" style="10"/>
    <col min="3078" max="3078" width="12" style="10" customWidth="1"/>
    <col min="3079" max="3090" width="9.140625" style="10"/>
    <col min="3091" max="3091" width="9.7109375" style="10" bestFit="1" customWidth="1"/>
    <col min="3092" max="3098" width="9.140625" style="10"/>
    <col min="3099" max="3099" width="10.85546875" style="10" customWidth="1"/>
    <col min="3100" max="3100" width="15" style="10" customWidth="1"/>
    <col min="3101" max="3329" width="9.140625" style="10"/>
    <col min="3330" max="3330" width="23.5703125" style="10" customWidth="1"/>
    <col min="3331" max="3331" width="12.140625" style="10" customWidth="1"/>
    <col min="3332" max="3332" width="12.7109375" style="10" customWidth="1"/>
    <col min="3333" max="3333" width="9.140625" style="10"/>
    <col min="3334" max="3334" width="12" style="10" customWidth="1"/>
    <col min="3335" max="3346" width="9.140625" style="10"/>
    <col min="3347" max="3347" width="9.7109375" style="10" bestFit="1" customWidth="1"/>
    <col min="3348" max="3354" width="9.140625" style="10"/>
    <col min="3355" max="3355" width="10.85546875" style="10" customWidth="1"/>
    <col min="3356" max="3356" width="15" style="10" customWidth="1"/>
    <col min="3357" max="3585" width="9.140625" style="10"/>
    <col min="3586" max="3586" width="23.5703125" style="10" customWidth="1"/>
    <col min="3587" max="3587" width="12.140625" style="10" customWidth="1"/>
    <col min="3588" max="3588" width="12.7109375" style="10" customWidth="1"/>
    <col min="3589" max="3589" width="9.140625" style="10"/>
    <col min="3590" max="3590" width="12" style="10" customWidth="1"/>
    <col min="3591" max="3602" width="9.140625" style="10"/>
    <col min="3603" max="3603" width="9.7109375" style="10" bestFit="1" customWidth="1"/>
    <col min="3604" max="3610" width="9.140625" style="10"/>
    <col min="3611" max="3611" width="10.85546875" style="10" customWidth="1"/>
    <col min="3612" max="3612" width="15" style="10" customWidth="1"/>
    <col min="3613" max="3841" width="9.140625" style="10"/>
    <col min="3842" max="3842" width="23.5703125" style="10" customWidth="1"/>
    <col min="3843" max="3843" width="12.140625" style="10" customWidth="1"/>
    <col min="3844" max="3844" width="12.7109375" style="10" customWidth="1"/>
    <col min="3845" max="3845" width="9.140625" style="10"/>
    <col min="3846" max="3846" width="12" style="10" customWidth="1"/>
    <col min="3847" max="3858" width="9.140625" style="10"/>
    <col min="3859" max="3859" width="9.7109375" style="10" bestFit="1" customWidth="1"/>
    <col min="3860" max="3866" width="9.140625" style="10"/>
    <col min="3867" max="3867" width="10.85546875" style="10" customWidth="1"/>
    <col min="3868" max="3868" width="15" style="10" customWidth="1"/>
    <col min="3869" max="4097" width="9.140625" style="10"/>
    <col min="4098" max="4098" width="23.5703125" style="10" customWidth="1"/>
    <col min="4099" max="4099" width="12.140625" style="10" customWidth="1"/>
    <col min="4100" max="4100" width="12.7109375" style="10" customWidth="1"/>
    <col min="4101" max="4101" width="9.140625" style="10"/>
    <col min="4102" max="4102" width="12" style="10" customWidth="1"/>
    <col min="4103" max="4114" width="9.140625" style="10"/>
    <col min="4115" max="4115" width="9.7109375" style="10" bestFit="1" customWidth="1"/>
    <col min="4116" max="4122" width="9.140625" style="10"/>
    <col min="4123" max="4123" width="10.85546875" style="10" customWidth="1"/>
    <col min="4124" max="4124" width="15" style="10" customWidth="1"/>
    <col min="4125" max="4353" width="9.140625" style="10"/>
    <col min="4354" max="4354" width="23.5703125" style="10" customWidth="1"/>
    <col min="4355" max="4355" width="12.140625" style="10" customWidth="1"/>
    <col min="4356" max="4356" width="12.7109375" style="10" customWidth="1"/>
    <col min="4357" max="4357" width="9.140625" style="10"/>
    <col min="4358" max="4358" width="12" style="10" customWidth="1"/>
    <col min="4359" max="4370" width="9.140625" style="10"/>
    <col min="4371" max="4371" width="9.7109375" style="10" bestFit="1" customWidth="1"/>
    <col min="4372" max="4378" width="9.140625" style="10"/>
    <col min="4379" max="4379" width="10.85546875" style="10" customWidth="1"/>
    <col min="4380" max="4380" width="15" style="10" customWidth="1"/>
    <col min="4381" max="4609" width="9.140625" style="10"/>
    <col min="4610" max="4610" width="23.5703125" style="10" customWidth="1"/>
    <col min="4611" max="4611" width="12.140625" style="10" customWidth="1"/>
    <col min="4612" max="4612" width="12.7109375" style="10" customWidth="1"/>
    <col min="4613" max="4613" width="9.140625" style="10"/>
    <col min="4614" max="4614" width="12" style="10" customWidth="1"/>
    <col min="4615" max="4626" width="9.140625" style="10"/>
    <col min="4627" max="4627" width="9.7109375" style="10" bestFit="1" customWidth="1"/>
    <col min="4628" max="4634" width="9.140625" style="10"/>
    <col min="4635" max="4635" width="10.85546875" style="10" customWidth="1"/>
    <col min="4636" max="4636" width="15" style="10" customWidth="1"/>
    <col min="4637" max="4865" width="9.140625" style="10"/>
    <col min="4866" max="4866" width="23.5703125" style="10" customWidth="1"/>
    <col min="4867" max="4867" width="12.140625" style="10" customWidth="1"/>
    <col min="4868" max="4868" width="12.7109375" style="10" customWidth="1"/>
    <col min="4869" max="4869" width="9.140625" style="10"/>
    <col min="4870" max="4870" width="12" style="10" customWidth="1"/>
    <col min="4871" max="4882" width="9.140625" style="10"/>
    <col min="4883" max="4883" width="9.7109375" style="10" bestFit="1" customWidth="1"/>
    <col min="4884" max="4890" width="9.140625" style="10"/>
    <col min="4891" max="4891" width="10.85546875" style="10" customWidth="1"/>
    <col min="4892" max="4892" width="15" style="10" customWidth="1"/>
    <col min="4893" max="5121" width="9.140625" style="10"/>
    <col min="5122" max="5122" width="23.5703125" style="10" customWidth="1"/>
    <col min="5123" max="5123" width="12.140625" style="10" customWidth="1"/>
    <col min="5124" max="5124" width="12.7109375" style="10" customWidth="1"/>
    <col min="5125" max="5125" width="9.140625" style="10"/>
    <col min="5126" max="5126" width="12" style="10" customWidth="1"/>
    <col min="5127" max="5138" width="9.140625" style="10"/>
    <col min="5139" max="5139" width="9.7109375" style="10" bestFit="1" customWidth="1"/>
    <col min="5140" max="5146" width="9.140625" style="10"/>
    <col min="5147" max="5147" width="10.85546875" style="10" customWidth="1"/>
    <col min="5148" max="5148" width="15" style="10" customWidth="1"/>
    <col min="5149" max="5377" width="9.140625" style="10"/>
    <col min="5378" max="5378" width="23.5703125" style="10" customWidth="1"/>
    <col min="5379" max="5379" width="12.140625" style="10" customWidth="1"/>
    <col min="5380" max="5380" width="12.7109375" style="10" customWidth="1"/>
    <col min="5381" max="5381" width="9.140625" style="10"/>
    <col min="5382" max="5382" width="12" style="10" customWidth="1"/>
    <col min="5383" max="5394" width="9.140625" style="10"/>
    <col min="5395" max="5395" width="9.7109375" style="10" bestFit="1" customWidth="1"/>
    <col min="5396" max="5402" width="9.140625" style="10"/>
    <col min="5403" max="5403" width="10.85546875" style="10" customWidth="1"/>
    <col min="5404" max="5404" width="15" style="10" customWidth="1"/>
    <col min="5405" max="5633" width="9.140625" style="10"/>
    <col min="5634" max="5634" width="23.5703125" style="10" customWidth="1"/>
    <col min="5635" max="5635" width="12.140625" style="10" customWidth="1"/>
    <col min="5636" max="5636" width="12.7109375" style="10" customWidth="1"/>
    <col min="5637" max="5637" width="9.140625" style="10"/>
    <col min="5638" max="5638" width="12" style="10" customWidth="1"/>
    <col min="5639" max="5650" width="9.140625" style="10"/>
    <col min="5651" max="5651" width="9.7109375" style="10" bestFit="1" customWidth="1"/>
    <col min="5652" max="5658" width="9.140625" style="10"/>
    <col min="5659" max="5659" width="10.85546875" style="10" customWidth="1"/>
    <col min="5660" max="5660" width="15" style="10" customWidth="1"/>
    <col min="5661" max="5889" width="9.140625" style="10"/>
    <col min="5890" max="5890" width="23.5703125" style="10" customWidth="1"/>
    <col min="5891" max="5891" width="12.140625" style="10" customWidth="1"/>
    <col min="5892" max="5892" width="12.7109375" style="10" customWidth="1"/>
    <col min="5893" max="5893" width="9.140625" style="10"/>
    <col min="5894" max="5894" width="12" style="10" customWidth="1"/>
    <col min="5895" max="5906" width="9.140625" style="10"/>
    <col min="5907" max="5907" width="9.7109375" style="10" bestFit="1" customWidth="1"/>
    <col min="5908" max="5914" width="9.140625" style="10"/>
    <col min="5915" max="5915" width="10.85546875" style="10" customWidth="1"/>
    <col min="5916" max="5916" width="15" style="10" customWidth="1"/>
    <col min="5917" max="6145" width="9.140625" style="10"/>
    <col min="6146" max="6146" width="23.5703125" style="10" customWidth="1"/>
    <col min="6147" max="6147" width="12.140625" style="10" customWidth="1"/>
    <col min="6148" max="6148" width="12.7109375" style="10" customWidth="1"/>
    <col min="6149" max="6149" width="9.140625" style="10"/>
    <col min="6150" max="6150" width="12" style="10" customWidth="1"/>
    <col min="6151" max="6162" width="9.140625" style="10"/>
    <col min="6163" max="6163" width="9.7109375" style="10" bestFit="1" customWidth="1"/>
    <col min="6164" max="6170" width="9.140625" style="10"/>
    <col min="6171" max="6171" width="10.85546875" style="10" customWidth="1"/>
    <col min="6172" max="6172" width="15" style="10" customWidth="1"/>
    <col min="6173" max="6401" width="9.140625" style="10"/>
    <col min="6402" max="6402" width="23.5703125" style="10" customWidth="1"/>
    <col min="6403" max="6403" width="12.140625" style="10" customWidth="1"/>
    <col min="6404" max="6404" width="12.7109375" style="10" customWidth="1"/>
    <col min="6405" max="6405" width="9.140625" style="10"/>
    <col min="6406" max="6406" width="12" style="10" customWidth="1"/>
    <col min="6407" max="6418" width="9.140625" style="10"/>
    <col min="6419" max="6419" width="9.7109375" style="10" bestFit="1" customWidth="1"/>
    <col min="6420" max="6426" width="9.140625" style="10"/>
    <col min="6427" max="6427" width="10.85546875" style="10" customWidth="1"/>
    <col min="6428" max="6428" width="15" style="10" customWidth="1"/>
    <col min="6429" max="6657" width="9.140625" style="10"/>
    <col min="6658" max="6658" width="23.5703125" style="10" customWidth="1"/>
    <col min="6659" max="6659" width="12.140625" style="10" customWidth="1"/>
    <col min="6660" max="6660" width="12.7109375" style="10" customWidth="1"/>
    <col min="6661" max="6661" width="9.140625" style="10"/>
    <col min="6662" max="6662" width="12" style="10" customWidth="1"/>
    <col min="6663" max="6674" width="9.140625" style="10"/>
    <col min="6675" max="6675" width="9.7109375" style="10" bestFit="1" customWidth="1"/>
    <col min="6676" max="6682" width="9.140625" style="10"/>
    <col min="6683" max="6683" width="10.85546875" style="10" customWidth="1"/>
    <col min="6684" max="6684" width="15" style="10" customWidth="1"/>
    <col min="6685" max="6913" width="9.140625" style="10"/>
    <col min="6914" max="6914" width="23.5703125" style="10" customWidth="1"/>
    <col min="6915" max="6915" width="12.140625" style="10" customWidth="1"/>
    <col min="6916" max="6916" width="12.7109375" style="10" customWidth="1"/>
    <col min="6917" max="6917" width="9.140625" style="10"/>
    <col min="6918" max="6918" width="12" style="10" customWidth="1"/>
    <col min="6919" max="6930" width="9.140625" style="10"/>
    <col min="6931" max="6931" width="9.7109375" style="10" bestFit="1" customWidth="1"/>
    <col min="6932" max="6938" width="9.140625" style="10"/>
    <col min="6939" max="6939" width="10.85546875" style="10" customWidth="1"/>
    <col min="6940" max="6940" width="15" style="10" customWidth="1"/>
    <col min="6941" max="7169" width="9.140625" style="10"/>
    <col min="7170" max="7170" width="23.5703125" style="10" customWidth="1"/>
    <col min="7171" max="7171" width="12.140625" style="10" customWidth="1"/>
    <col min="7172" max="7172" width="12.7109375" style="10" customWidth="1"/>
    <col min="7173" max="7173" width="9.140625" style="10"/>
    <col min="7174" max="7174" width="12" style="10" customWidth="1"/>
    <col min="7175" max="7186" width="9.140625" style="10"/>
    <col min="7187" max="7187" width="9.7109375" style="10" bestFit="1" customWidth="1"/>
    <col min="7188" max="7194" width="9.140625" style="10"/>
    <col min="7195" max="7195" width="10.85546875" style="10" customWidth="1"/>
    <col min="7196" max="7196" width="15" style="10" customWidth="1"/>
    <col min="7197" max="7425" width="9.140625" style="10"/>
    <col min="7426" max="7426" width="23.5703125" style="10" customWidth="1"/>
    <col min="7427" max="7427" width="12.140625" style="10" customWidth="1"/>
    <col min="7428" max="7428" width="12.7109375" style="10" customWidth="1"/>
    <col min="7429" max="7429" width="9.140625" style="10"/>
    <col min="7430" max="7430" width="12" style="10" customWidth="1"/>
    <col min="7431" max="7442" width="9.140625" style="10"/>
    <col min="7443" max="7443" width="9.7109375" style="10" bestFit="1" customWidth="1"/>
    <col min="7444" max="7450" width="9.140625" style="10"/>
    <col min="7451" max="7451" width="10.85546875" style="10" customWidth="1"/>
    <col min="7452" max="7452" width="15" style="10" customWidth="1"/>
    <col min="7453" max="7681" width="9.140625" style="10"/>
    <col min="7682" max="7682" width="23.5703125" style="10" customWidth="1"/>
    <col min="7683" max="7683" width="12.140625" style="10" customWidth="1"/>
    <col min="7684" max="7684" width="12.7109375" style="10" customWidth="1"/>
    <col min="7685" max="7685" width="9.140625" style="10"/>
    <col min="7686" max="7686" width="12" style="10" customWidth="1"/>
    <col min="7687" max="7698" width="9.140625" style="10"/>
    <col min="7699" max="7699" width="9.7109375" style="10" bestFit="1" customWidth="1"/>
    <col min="7700" max="7706" width="9.140625" style="10"/>
    <col min="7707" max="7707" width="10.85546875" style="10" customWidth="1"/>
    <col min="7708" max="7708" width="15" style="10" customWidth="1"/>
    <col min="7709" max="7937" width="9.140625" style="10"/>
    <col min="7938" max="7938" width="23.5703125" style="10" customWidth="1"/>
    <col min="7939" max="7939" width="12.140625" style="10" customWidth="1"/>
    <col min="7940" max="7940" width="12.7109375" style="10" customWidth="1"/>
    <col min="7941" max="7941" width="9.140625" style="10"/>
    <col min="7942" max="7942" width="12" style="10" customWidth="1"/>
    <col min="7943" max="7954" width="9.140625" style="10"/>
    <col min="7955" max="7955" width="9.7109375" style="10" bestFit="1" customWidth="1"/>
    <col min="7956" max="7962" width="9.140625" style="10"/>
    <col min="7963" max="7963" width="10.85546875" style="10" customWidth="1"/>
    <col min="7964" max="7964" width="15" style="10" customWidth="1"/>
    <col min="7965" max="8193" width="9.140625" style="10"/>
    <col min="8194" max="8194" width="23.5703125" style="10" customWidth="1"/>
    <col min="8195" max="8195" width="12.140625" style="10" customWidth="1"/>
    <col min="8196" max="8196" width="12.7109375" style="10" customWidth="1"/>
    <col min="8197" max="8197" width="9.140625" style="10"/>
    <col min="8198" max="8198" width="12" style="10" customWidth="1"/>
    <col min="8199" max="8210" width="9.140625" style="10"/>
    <col min="8211" max="8211" width="9.7109375" style="10" bestFit="1" customWidth="1"/>
    <col min="8212" max="8218" width="9.140625" style="10"/>
    <col min="8219" max="8219" width="10.85546875" style="10" customWidth="1"/>
    <col min="8220" max="8220" width="15" style="10" customWidth="1"/>
    <col min="8221" max="8449" width="9.140625" style="10"/>
    <col min="8450" max="8450" width="23.5703125" style="10" customWidth="1"/>
    <col min="8451" max="8451" width="12.140625" style="10" customWidth="1"/>
    <col min="8452" max="8452" width="12.7109375" style="10" customWidth="1"/>
    <col min="8453" max="8453" width="9.140625" style="10"/>
    <col min="8454" max="8454" width="12" style="10" customWidth="1"/>
    <col min="8455" max="8466" width="9.140625" style="10"/>
    <col min="8467" max="8467" width="9.7109375" style="10" bestFit="1" customWidth="1"/>
    <col min="8468" max="8474" width="9.140625" style="10"/>
    <col min="8475" max="8475" width="10.85546875" style="10" customWidth="1"/>
    <col min="8476" max="8476" width="15" style="10" customWidth="1"/>
    <col min="8477" max="8705" width="9.140625" style="10"/>
    <col min="8706" max="8706" width="23.5703125" style="10" customWidth="1"/>
    <col min="8707" max="8707" width="12.140625" style="10" customWidth="1"/>
    <col min="8708" max="8708" width="12.7109375" style="10" customWidth="1"/>
    <col min="8709" max="8709" width="9.140625" style="10"/>
    <col min="8710" max="8710" width="12" style="10" customWidth="1"/>
    <col min="8711" max="8722" width="9.140625" style="10"/>
    <col min="8723" max="8723" width="9.7109375" style="10" bestFit="1" customWidth="1"/>
    <col min="8724" max="8730" width="9.140625" style="10"/>
    <col min="8731" max="8731" width="10.85546875" style="10" customWidth="1"/>
    <col min="8732" max="8732" width="15" style="10" customWidth="1"/>
    <col min="8733" max="8961" width="9.140625" style="10"/>
    <col min="8962" max="8962" width="23.5703125" style="10" customWidth="1"/>
    <col min="8963" max="8963" width="12.140625" style="10" customWidth="1"/>
    <col min="8964" max="8964" width="12.7109375" style="10" customWidth="1"/>
    <col min="8965" max="8965" width="9.140625" style="10"/>
    <col min="8966" max="8966" width="12" style="10" customWidth="1"/>
    <col min="8967" max="8978" width="9.140625" style="10"/>
    <col min="8979" max="8979" width="9.7109375" style="10" bestFit="1" customWidth="1"/>
    <col min="8980" max="8986" width="9.140625" style="10"/>
    <col min="8987" max="8987" width="10.85546875" style="10" customWidth="1"/>
    <col min="8988" max="8988" width="15" style="10" customWidth="1"/>
    <col min="8989" max="9217" width="9.140625" style="10"/>
    <col min="9218" max="9218" width="23.5703125" style="10" customWidth="1"/>
    <col min="9219" max="9219" width="12.140625" style="10" customWidth="1"/>
    <col min="9220" max="9220" width="12.7109375" style="10" customWidth="1"/>
    <col min="9221" max="9221" width="9.140625" style="10"/>
    <col min="9222" max="9222" width="12" style="10" customWidth="1"/>
    <col min="9223" max="9234" width="9.140625" style="10"/>
    <col min="9235" max="9235" width="9.7109375" style="10" bestFit="1" customWidth="1"/>
    <col min="9236" max="9242" width="9.140625" style="10"/>
    <col min="9243" max="9243" width="10.85546875" style="10" customWidth="1"/>
    <col min="9244" max="9244" width="15" style="10" customWidth="1"/>
    <col min="9245" max="9473" width="9.140625" style="10"/>
    <col min="9474" max="9474" width="23.5703125" style="10" customWidth="1"/>
    <col min="9475" max="9475" width="12.140625" style="10" customWidth="1"/>
    <col min="9476" max="9476" width="12.7109375" style="10" customWidth="1"/>
    <col min="9477" max="9477" width="9.140625" style="10"/>
    <col min="9478" max="9478" width="12" style="10" customWidth="1"/>
    <col min="9479" max="9490" width="9.140625" style="10"/>
    <col min="9491" max="9491" width="9.7109375" style="10" bestFit="1" customWidth="1"/>
    <col min="9492" max="9498" width="9.140625" style="10"/>
    <col min="9499" max="9499" width="10.85546875" style="10" customWidth="1"/>
    <col min="9500" max="9500" width="15" style="10" customWidth="1"/>
    <col min="9501" max="9729" width="9.140625" style="10"/>
    <col min="9730" max="9730" width="23.5703125" style="10" customWidth="1"/>
    <col min="9731" max="9731" width="12.140625" style="10" customWidth="1"/>
    <col min="9732" max="9732" width="12.7109375" style="10" customWidth="1"/>
    <col min="9733" max="9733" width="9.140625" style="10"/>
    <col min="9734" max="9734" width="12" style="10" customWidth="1"/>
    <col min="9735" max="9746" width="9.140625" style="10"/>
    <col min="9747" max="9747" width="9.7109375" style="10" bestFit="1" customWidth="1"/>
    <col min="9748" max="9754" width="9.140625" style="10"/>
    <col min="9755" max="9755" width="10.85546875" style="10" customWidth="1"/>
    <col min="9756" max="9756" width="15" style="10" customWidth="1"/>
    <col min="9757" max="9985" width="9.140625" style="10"/>
    <col min="9986" max="9986" width="23.5703125" style="10" customWidth="1"/>
    <col min="9987" max="9987" width="12.140625" style="10" customWidth="1"/>
    <col min="9988" max="9988" width="12.7109375" style="10" customWidth="1"/>
    <col min="9989" max="9989" width="9.140625" style="10"/>
    <col min="9990" max="9990" width="12" style="10" customWidth="1"/>
    <col min="9991" max="10002" width="9.140625" style="10"/>
    <col min="10003" max="10003" width="9.7109375" style="10" bestFit="1" customWidth="1"/>
    <col min="10004" max="10010" width="9.140625" style="10"/>
    <col min="10011" max="10011" width="10.85546875" style="10" customWidth="1"/>
    <col min="10012" max="10012" width="15" style="10" customWidth="1"/>
    <col min="10013" max="10241" width="9.140625" style="10"/>
    <col min="10242" max="10242" width="23.5703125" style="10" customWidth="1"/>
    <col min="10243" max="10243" width="12.140625" style="10" customWidth="1"/>
    <col min="10244" max="10244" width="12.7109375" style="10" customWidth="1"/>
    <col min="10245" max="10245" width="9.140625" style="10"/>
    <col min="10246" max="10246" width="12" style="10" customWidth="1"/>
    <col min="10247" max="10258" width="9.140625" style="10"/>
    <col min="10259" max="10259" width="9.7109375" style="10" bestFit="1" customWidth="1"/>
    <col min="10260" max="10266" width="9.140625" style="10"/>
    <col min="10267" max="10267" width="10.85546875" style="10" customWidth="1"/>
    <col min="10268" max="10268" width="15" style="10" customWidth="1"/>
    <col min="10269" max="10497" width="9.140625" style="10"/>
    <col min="10498" max="10498" width="23.5703125" style="10" customWidth="1"/>
    <col min="10499" max="10499" width="12.140625" style="10" customWidth="1"/>
    <col min="10500" max="10500" width="12.7109375" style="10" customWidth="1"/>
    <col min="10501" max="10501" width="9.140625" style="10"/>
    <col min="10502" max="10502" width="12" style="10" customWidth="1"/>
    <col min="10503" max="10514" width="9.140625" style="10"/>
    <col min="10515" max="10515" width="9.7109375" style="10" bestFit="1" customWidth="1"/>
    <col min="10516" max="10522" width="9.140625" style="10"/>
    <col min="10523" max="10523" width="10.85546875" style="10" customWidth="1"/>
    <col min="10524" max="10524" width="15" style="10" customWidth="1"/>
    <col min="10525" max="10753" width="9.140625" style="10"/>
    <col min="10754" max="10754" width="23.5703125" style="10" customWidth="1"/>
    <col min="10755" max="10755" width="12.140625" style="10" customWidth="1"/>
    <col min="10756" max="10756" width="12.7109375" style="10" customWidth="1"/>
    <col min="10757" max="10757" width="9.140625" style="10"/>
    <col min="10758" max="10758" width="12" style="10" customWidth="1"/>
    <col min="10759" max="10770" width="9.140625" style="10"/>
    <col min="10771" max="10771" width="9.7109375" style="10" bestFit="1" customWidth="1"/>
    <col min="10772" max="10778" width="9.140625" style="10"/>
    <col min="10779" max="10779" width="10.85546875" style="10" customWidth="1"/>
    <col min="10780" max="10780" width="15" style="10" customWidth="1"/>
    <col min="10781" max="11009" width="9.140625" style="10"/>
    <col min="11010" max="11010" width="23.5703125" style="10" customWidth="1"/>
    <col min="11011" max="11011" width="12.140625" style="10" customWidth="1"/>
    <col min="11012" max="11012" width="12.7109375" style="10" customWidth="1"/>
    <col min="11013" max="11013" width="9.140625" style="10"/>
    <col min="11014" max="11014" width="12" style="10" customWidth="1"/>
    <col min="11015" max="11026" width="9.140625" style="10"/>
    <col min="11027" max="11027" width="9.7109375" style="10" bestFit="1" customWidth="1"/>
    <col min="11028" max="11034" width="9.140625" style="10"/>
    <col min="11035" max="11035" width="10.85546875" style="10" customWidth="1"/>
    <col min="11036" max="11036" width="15" style="10" customWidth="1"/>
    <col min="11037" max="11265" width="9.140625" style="10"/>
    <col min="11266" max="11266" width="23.5703125" style="10" customWidth="1"/>
    <col min="11267" max="11267" width="12.140625" style="10" customWidth="1"/>
    <col min="11268" max="11268" width="12.7109375" style="10" customWidth="1"/>
    <col min="11269" max="11269" width="9.140625" style="10"/>
    <col min="11270" max="11270" width="12" style="10" customWidth="1"/>
    <col min="11271" max="11282" width="9.140625" style="10"/>
    <col min="11283" max="11283" width="9.7109375" style="10" bestFit="1" customWidth="1"/>
    <col min="11284" max="11290" width="9.140625" style="10"/>
    <col min="11291" max="11291" width="10.85546875" style="10" customWidth="1"/>
    <col min="11292" max="11292" width="15" style="10" customWidth="1"/>
    <col min="11293" max="11521" width="9.140625" style="10"/>
    <col min="11522" max="11522" width="23.5703125" style="10" customWidth="1"/>
    <col min="11523" max="11523" width="12.140625" style="10" customWidth="1"/>
    <col min="11524" max="11524" width="12.7109375" style="10" customWidth="1"/>
    <col min="11525" max="11525" width="9.140625" style="10"/>
    <col min="11526" max="11526" width="12" style="10" customWidth="1"/>
    <col min="11527" max="11538" width="9.140625" style="10"/>
    <col min="11539" max="11539" width="9.7109375" style="10" bestFit="1" customWidth="1"/>
    <col min="11540" max="11546" width="9.140625" style="10"/>
    <col min="11547" max="11547" width="10.85546875" style="10" customWidth="1"/>
    <col min="11548" max="11548" width="15" style="10" customWidth="1"/>
    <col min="11549" max="11777" width="9.140625" style="10"/>
    <col min="11778" max="11778" width="23.5703125" style="10" customWidth="1"/>
    <col min="11779" max="11779" width="12.140625" style="10" customWidth="1"/>
    <col min="11780" max="11780" width="12.7109375" style="10" customWidth="1"/>
    <col min="11781" max="11781" width="9.140625" style="10"/>
    <col min="11782" max="11782" width="12" style="10" customWidth="1"/>
    <col min="11783" max="11794" width="9.140625" style="10"/>
    <col min="11795" max="11795" width="9.7109375" style="10" bestFit="1" customWidth="1"/>
    <col min="11796" max="11802" width="9.140625" style="10"/>
    <col min="11803" max="11803" width="10.85546875" style="10" customWidth="1"/>
    <col min="11804" max="11804" width="15" style="10" customWidth="1"/>
    <col min="11805" max="12033" width="9.140625" style="10"/>
    <col min="12034" max="12034" width="23.5703125" style="10" customWidth="1"/>
    <col min="12035" max="12035" width="12.140625" style="10" customWidth="1"/>
    <col min="12036" max="12036" width="12.7109375" style="10" customWidth="1"/>
    <col min="12037" max="12037" width="9.140625" style="10"/>
    <col min="12038" max="12038" width="12" style="10" customWidth="1"/>
    <col min="12039" max="12050" width="9.140625" style="10"/>
    <col min="12051" max="12051" width="9.7109375" style="10" bestFit="1" customWidth="1"/>
    <col min="12052" max="12058" width="9.140625" style="10"/>
    <col min="12059" max="12059" width="10.85546875" style="10" customWidth="1"/>
    <col min="12060" max="12060" width="15" style="10" customWidth="1"/>
    <col min="12061" max="12289" width="9.140625" style="10"/>
    <col min="12290" max="12290" width="23.5703125" style="10" customWidth="1"/>
    <col min="12291" max="12291" width="12.140625" style="10" customWidth="1"/>
    <col min="12292" max="12292" width="12.7109375" style="10" customWidth="1"/>
    <col min="12293" max="12293" width="9.140625" style="10"/>
    <col min="12294" max="12294" width="12" style="10" customWidth="1"/>
    <col min="12295" max="12306" width="9.140625" style="10"/>
    <col min="12307" max="12307" width="9.7109375" style="10" bestFit="1" customWidth="1"/>
    <col min="12308" max="12314" width="9.140625" style="10"/>
    <col min="12315" max="12315" width="10.85546875" style="10" customWidth="1"/>
    <col min="12316" max="12316" width="15" style="10" customWidth="1"/>
    <col min="12317" max="12545" width="9.140625" style="10"/>
    <col min="12546" max="12546" width="23.5703125" style="10" customWidth="1"/>
    <col min="12547" max="12547" width="12.140625" style="10" customWidth="1"/>
    <col min="12548" max="12548" width="12.7109375" style="10" customWidth="1"/>
    <col min="12549" max="12549" width="9.140625" style="10"/>
    <col min="12550" max="12550" width="12" style="10" customWidth="1"/>
    <col min="12551" max="12562" width="9.140625" style="10"/>
    <col min="12563" max="12563" width="9.7109375" style="10" bestFit="1" customWidth="1"/>
    <col min="12564" max="12570" width="9.140625" style="10"/>
    <col min="12571" max="12571" width="10.85546875" style="10" customWidth="1"/>
    <col min="12572" max="12572" width="15" style="10" customWidth="1"/>
    <col min="12573" max="12801" width="9.140625" style="10"/>
    <col min="12802" max="12802" width="23.5703125" style="10" customWidth="1"/>
    <col min="12803" max="12803" width="12.140625" style="10" customWidth="1"/>
    <col min="12804" max="12804" width="12.7109375" style="10" customWidth="1"/>
    <col min="12805" max="12805" width="9.140625" style="10"/>
    <col min="12806" max="12806" width="12" style="10" customWidth="1"/>
    <col min="12807" max="12818" width="9.140625" style="10"/>
    <col min="12819" max="12819" width="9.7109375" style="10" bestFit="1" customWidth="1"/>
    <col min="12820" max="12826" width="9.140625" style="10"/>
    <col min="12827" max="12827" width="10.85546875" style="10" customWidth="1"/>
    <col min="12828" max="12828" width="15" style="10" customWidth="1"/>
    <col min="12829" max="13057" width="9.140625" style="10"/>
    <col min="13058" max="13058" width="23.5703125" style="10" customWidth="1"/>
    <col min="13059" max="13059" width="12.140625" style="10" customWidth="1"/>
    <col min="13060" max="13060" width="12.7109375" style="10" customWidth="1"/>
    <col min="13061" max="13061" width="9.140625" style="10"/>
    <col min="13062" max="13062" width="12" style="10" customWidth="1"/>
    <col min="13063" max="13074" width="9.140625" style="10"/>
    <col min="13075" max="13075" width="9.7109375" style="10" bestFit="1" customWidth="1"/>
    <col min="13076" max="13082" width="9.140625" style="10"/>
    <col min="13083" max="13083" width="10.85546875" style="10" customWidth="1"/>
    <col min="13084" max="13084" width="15" style="10" customWidth="1"/>
    <col min="13085" max="13313" width="9.140625" style="10"/>
    <col min="13314" max="13314" width="23.5703125" style="10" customWidth="1"/>
    <col min="13315" max="13315" width="12.140625" style="10" customWidth="1"/>
    <col min="13316" max="13316" width="12.7109375" style="10" customWidth="1"/>
    <col min="13317" max="13317" width="9.140625" style="10"/>
    <col min="13318" max="13318" width="12" style="10" customWidth="1"/>
    <col min="13319" max="13330" width="9.140625" style="10"/>
    <col min="13331" max="13331" width="9.7109375" style="10" bestFit="1" customWidth="1"/>
    <col min="13332" max="13338" width="9.140625" style="10"/>
    <col min="13339" max="13339" width="10.85546875" style="10" customWidth="1"/>
    <col min="13340" max="13340" width="15" style="10" customWidth="1"/>
    <col min="13341" max="13569" width="9.140625" style="10"/>
    <col min="13570" max="13570" width="23.5703125" style="10" customWidth="1"/>
    <col min="13571" max="13571" width="12.140625" style="10" customWidth="1"/>
    <col min="13572" max="13572" width="12.7109375" style="10" customWidth="1"/>
    <col min="13573" max="13573" width="9.140625" style="10"/>
    <col min="13574" max="13574" width="12" style="10" customWidth="1"/>
    <col min="13575" max="13586" width="9.140625" style="10"/>
    <col min="13587" max="13587" width="9.7109375" style="10" bestFit="1" customWidth="1"/>
    <col min="13588" max="13594" width="9.140625" style="10"/>
    <col min="13595" max="13595" width="10.85546875" style="10" customWidth="1"/>
    <col min="13596" max="13596" width="15" style="10" customWidth="1"/>
    <col min="13597" max="13825" width="9.140625" style="10"/>
    <col min="13826" max="13826" width="23.5703125" style="10" customWidth="1"/>
    <col min="13827" max="13827" width="12.140625" style="10" customWidth="1"/>
    <col min="13828" max="13828" width="12.7109375" style="10" customWidth="1"/>
    <col min="13829" max="13829" width="9.140625" style="10"/>
    <col min="13830" max="13830" width="12" style="10" customWidth="1"/>
    <col min="13831" max="13842" width="9.140625" style="10"/>
    <col min="13843" max="13843" width="9.7109375" style="10" bestFit="1" customWidth="1"/>
    <col min="13844" max="13850" width="9.140625" style="10"/>
    <col min="13851" max="13851" width="10.85546875" style="10" customWidth="1"/>
    <col min="13852" max="13852" width="15" style="10" customWidth="1"/>
    <col min="13853" max="14081" width="9.140625" style="10"/>
    <col min="14082" max="14082" width="23.5703125" style="10" customWidth="1"/>
    <col min="14083" max="14083" width="12.140625" style="10" customWidth="1"/>
    <col min="14084" max="14084" width="12.7109375" style="10" customWidth="1"/>
    <col min="14085" max="14085" width="9.140625" style="10"/>
    <col min="14086" max="14086" width="12" style="10" customWidth="1"/>
    <col min="14087" max="14098" width="9.140625" style="10"/>
    <col min="14099" max="14099" width="9.7109375" style="10" bestFit="1" customWidth="1"/>
    <col min="14100" max="14106" width="9.140625" style="10"/>
    <col min="14107" max="14107" width="10.85546875" style="10" customWidth="1"/>
    <col min="14108" max="14108" width="15" style="10" customWidth="1"/>
    <col min="14109" max="14337" width="9.140625" style="10"/>
    <col min="14338" max="14338" width="23.5703125" style="10" customWidth="1"/>
    <col min="14339" max="14339" width="12.140625" style="10" customWidth="1"/>
    <col min="14340" max="14340" width="12.7109375" style="10" customWidth="1"/>
    <col min="14341" max="14341" width="9.140625" style="10"/>
    <col min="14342" max="14342" width="12" style="10" customWidth="1"/>
    <col min="14343" max="14354" width="9.140625" style="10"/>
    <col min="14355" max="14355" width="9.7109375" style="10" bestFit="1" customWidth="1"/>
    <col min="14356" max="14362" width="9.140625" style="10"/>
    <col min="14363" max="14363" width="10.85546875" style="10" customWidth="1"/>
    <col min="14364" max="14364" width="15" style="10" customWidth="1"/>
    <col min="14365" max="14593" width="9.140625" style="10"/>
    <col min="14594" max="14594" width="23.5703125" style="10" customWidth="1"/>
    <col min="14595" max="14595" width="12.140625" style="10" customWidth="1"/>
    <col min="14596" max="14596" width="12.7109375" style="10" customWidth="1"/>
    <col min="14597" max="14597" width="9.140625" style="10"/>
    <col min="14598" max="14598" width="12" style="10" customWidth="1"/>
    <col min="14599" max="14610" width="9.140625" style="10"/>
    <col min="14611" max="14611" width="9.7109375" style="10" bestFit="1" customWidth="1"/>
    <col min="14612" max="14618" width="9.140625" style="10"/>
    <col min="14619" max="14619" width="10.85546875" style="10" customWidth="1"/>
    <col min="14620" max="14620" width="15" style="10" customWidth="1"/>
    <col min="14621" max="14849" width="9.140625" style="10"/>
    <col min="14850" max="14850" width="23.5703125" style="10" customWidth="1"/>
    <col min="14851" max="14851" width="12.140625" style="10" customWidth="1"/>
    <col min="14852" max="14852" width="12.7109375" style="10" customWidth="1"/>
    <col min="14853" max="14853" width="9.140625" style="10"/>
    <col min="14854" max="14854" width="12" style="10" customWidth="1"/>
    <col min="14855" max="14866" width="9.140625" style="10"/>
    <col min="14867" max="14867" width="9.7109375" style="10" bestFit="1" customWidth="1"/>
    <col min="14868" max="14874" width="9.140625" style="10"/>
    <col min="14875" max="14875" width="10.85546875" style="10" customWidth="1"/>
    <col min="14876" max="14876" width="15" style="10" customWidth="1"/>
    <col min="14877" max="15105" width="9.140625" style="10"/>
    <col min="15106" max="15106" width="23.5703125" style="10" customWidth="1"/>
    <col min="15107" max="15107" width="12.140625" style="10" customWidth="1"/>
    <col min="15108" max="15108" width="12.7109375" style="10" customWidth="1"/>
    <col min="15109" max="15109" width="9.140625" style="10"/>
    <col min="15110" max="15110" width="12" style="10" customWidth="1"/>
    <col min="15111" max="15122" width="9.140625" style="10"/>
    <col min="15123" max="15123" width="9.7109375" style="10" bestFit="1" customWidth="1"/>
    <col min="15124" max="15130" width="9.140625" style="10"/>
    <col min="15131" max="15131" width="10.85546875" style="10" customWidth="1"/>
    <col min="15132" max="15132" width="15" style="10" customWidth="1"/>
    <col min="15133" max="15361" width="9.140625" style="10"/>
    <col min="15362" max="15362" width="23.5703125" style="10" customWidth="1"/>
    <col min="15363" max="15363" width="12.140625" style="10" customWidth="1"/>
    <col min="15364" max="15364" width="12.7109375" style="10" customWidth="1"/>
    <col min="15365" max="15365" width="9.140625" style="10"/>
    <col min="15366" max="15366" width="12" style="10" customWidth="1"/>
    <col min="15367" max="15378" width="9.140625" style="10"/>
    <col min="15379" max="15379" width="9.7109375" style="10" bestFit="1" customWidth="1"/>
    <col min="15380" max="15386" width="9.140625" style="10"/>
    <col min="15387" max="15387" width="10.85546875" style="10" customWidth="1"/>
    <col min="15388" max="15388" width="15" style="10" customWidth="1"/>
    <col min="15389" max="15617" width="9.140625" style="10"/>
    <col min="15618" max="15618" width="23.5703125" style="10" customWidth="1"/>
    <col min="15619" max="15619" width="12.140625" style="10" customWidth="1"/>
    <col min="15620" max="15620" width="12.7109375" style="10" customWidth="1"/>
    <col min="15621" max="15621" width="9.140625" style="10"/>
    <col min="15622" max="15622" width="12" style="10" customWidth="1"/>
    <col min="15623" max="15634" width="9.140625" style="10"/>
    <col min="15635" max="15635" width="9.7109375" style="10" bestFit="1" customWidth="1"/>
    <col min="15636" max="15642" width="9.140625" style="10"/>
    <col min="15643" max="15643" width="10.85546875" style="10" customWidth="1"/>
    <col min="15644" max="15644" width="15" style="10" customWidth="1"/>
    <col min="15645" max="15873" width="9.140625" style="10"/>
    <col min="15874" max="15874" width="23.5703125" style="10" customWidth="1"/>
    <col min="15875" max="15875" width="12.140625" style="10" customWidth="1"/>
    <col min="15876" max="15876" width="12.7109375" style="10" customWidth="1"/>
    <col min="15877" max="15877" width="9.140625" style="10"/>
    <col min="15878" max="15878" width="12" style="10" customWidth="1"/>
    <col min="15879" max="15890" width="9.140625" style="10"/>
    <col min="15891" max="15891" width="9.7109375" style="10" bestFit="1" customWidth="1"/>
    <col min="15892" max="15898" width="9.140625" style="10"/>
    <col min="15899" max="15899" width="10.85546875" style="10" customWidth="1"/>
    <col min="15900" max="15900" width="15" style="10" customWidth="1"/>
    <col min="15901" max="16129" width="9.140625" style="10"/>
    <col min="16130" max="16130" width="23.5703125" style="10" customWidth="1"/>
    <col min="16131" max="16131" width="12.140625" style="10" customWidth="1"/>
    <col min="16132" max="16132" width="12.7109375" style="10" customWidth="1"/>
    <col min="16133" max="16133" width="9.140625" style="10"/>
    <col min="16134" max="16134" width="12" style="10" customWidth="1"/>
    <col min="16135" max="16146" width="9.140625" style="10"/>
    <col min="16147" max="16147" width="9.7109375" style="10" bestFit="1" customWidth="1"/>
    <col min="16148" max="16154" width="9.140625" style="10"/>
    <col min="16155" max="16155" width="10.85546875" style="10" customWidth="1"/>
    <col min="16156" max="16156" width="15" style="10" customWidth="1"/>
    <col min="16157" max="16384" width="9.140625" style="10"/>
  </cols>
  <sheetData>
    <row r="1" spans="1:67" ht="21" customHeight="1" x14ac:dyDescent="0.2">
      <c r="A1" s="582" t="s">
        <v>400</v>
      </c>
      <c r="B1" s="582"/>
      <c r="C1" s="582"/>
      <c r="D1" s="582"/>
      <c r="E1" s="582"/>
      <c r="F1" s="582"/>
      <c r="G1" s="582"/>
      <c r="H1" s="582"/>
      <c r="I1" s="582"/>
      <c r="J1" s="582"/>
      <c r="K1" s="582"/>
      <c r="L1" s="582"/>
      <c r="M1" s="582"/>
      <c r="N1" s="582"/>
      <c r="O1" s="582"/>
      <c r="P1" s="582"/>
      <c r="Q1" s="582"/>
      <c r="R1" s="582"/>
      <c r="S1" s="582"/>
      <c r="T1" s="582"/>
      <c r="U1" s="582"/>
      <c r="V1" s="582"/>
      <c r="W1" s="582"/>
      <c r="X1" s="582"/>
      <c r="Y1" s="582"/>
      <c r="Z1" s="582"/>
      <c r="AA1" s="582"/>
      <c r="AB1" s="582"/>
      <c r="AC1" s="582"/>
      <c r="AD1" s="582"/>
      <c r="AE1" s="15"/>
      <c r="AF1" s="15"/>
      <c r="AG1" s="15"/>
      <c r="AH1" s="15"/>
      <c r="AI1" s="15"/>
      <c r="AJ1" s="15"/>
      <c r="AK1" s="15"/>
      <c r="AL1" s="15"/>
      <c r="AM1" s="15"/>
      <c r="AN1" s="15"/>
      <c r="AO1" s="15"/>
      <c r="AP1" s="15"/>
      <c r="AQ1" s="15"/>
      <c r="AR1" s="15"/>
      <c r="AS1" s="15"/>
      <c r="AT1" s="15"/>
      <c r="AU1" s="14"/>
      <c r="AV1" s="14"/>
      <c r="AW1" s="14"/>
      <c r="AX1" s="14"/>
      <c r="AY1" s="14"/>
      <c r="AZ1" s="14"/>
      <c r="BA1" s="14"/>
      <c r="BB1" s="14"/>
      <c r="BF1" s="10"/>
    </row>
    <row r="2" spans="1:67" ht="17.25" customHeight="1" x14ac:dyDescent="0.2">
      <c r="A2" s="583" t="s">
        <v>1</v>
      </c>
      <c r="B2" s="583" t="s">
        <v>48</v>
      </c>
      <c r="C2" s="581" t="s">
        <v>50</v>
      </c>
      <c r="D2" s="581"/>
      <c r="E2" s="584" t="s">
        <v>222</v>
      </c>
      <c r="F2" s="584"/>
      <c r="G2" s="584"/>
      <c r="H2" s="584"/>
      <c r="I2" s="584" t="s">
        <v>49</v>
      </c>
      <c r="J2" s="584"/>
      <c r="K2" s="584" t="s">
        <v>147</v>
      </c>
      <c r="L2" s="584"/>
      <c r="M2" s="584" t="s">
        <v>135</v>
      </c>
      <c r="N2" s="584"/>
      <c r="O2" s="581" t="s">
        <v>122</v>
      </c>
      <c r="P2" s="581"/>
      <c r="Q2" s="581" t="s">
        <v>214</v>
      </c>
      <c r="R2" s="581"/>
      <c r="S2" s="581" t="s">
        <v>106</v>
      </c>
      <c r="T2" s="581"/>
      <c r="U2" s="581" t="s">
        <v>100</v>
      </c>
      <c r="V2" s="581"/>
      <c r="W2" s="581" t="s">
        <v>215</v>
      </c>
      <c r="X2" s="581"/>
      <c r="Y2" s="581" t="s">
        <v>81</v>
      </c>
      <c r="Z2" s="581"/>
      <c r="AA2" s="585" t="s">
        <v>250</v>
      </c>
      <c r="AB2" s="585"/>
      <c r="AC2" s="581" t="s">
        <v>70</v>
      </c>
      <c r="AD2" s="581"/>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row>
    <row r="3" spans="1:67" x14ac:dyDescent="0.2">
      <c r="A3" s="583"/>
      <c r="B3" s="583"/>
      <c r="C3" s="581"/>
      <c r="D3" s="581"/>
      <c r="E3" s="583" t="s">
        <v>224</v>
      </c>
      <c r="F3" s="583"/>
      <c r="G3" s="586" t="s">
        <v>225</v>
      </c>
      <c r="H3" s="586"/>
      <c r="I3" s="584"/>
      <c r="J3" s="584"/>
      <c r="K3" s="584"/>
      <c r="L3" s="584"/>
      <c r="M3" s="584"/>
      <c r="N3" s="584"/>
      <c r="O3" s="581"/>
      <c r="P3" s="581"/>
      <c r="Q3" s="581"/>
      <c r="R3" s="581"/>
      <c r="S3" s="581"/>
      <c r="T3" s="581"/>
      <c r="U3" s="581"/>
      <c r="V3" s="581"/>
      <c r="W3" s="581"/>
      <c r="X3" s="581"/>
      <c r="Y3" s="581"/>
      <c r="Z3" s="581"/>
      <c r="AA3" s="585"/>
      <c r="AB3" s="585"/>
      <c r="AC3" s="581"/>
      <c r="AD3" s="581"/>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row>
    <row r="4" spans="1:67" s="46" customFormat="1" ht="28.5" customHeight="1" x14ac:dyDescent="0.2">
      <c r="A4" s="583"/>
      <c r="B4" s="583"/>
      <c r="C4" s="44" t="s">
        <v>251</v>
      </c>
      <c r="D4" s="45" t="s">
        <v>199</v>
      </c>
      <c r="E4" s="44" t="s">
        <v>251</v>
      </c>
      <c r="F4" s="45" t="s">
        <v>199</v>
      </c>
      <c r="G4" s="44" t="s">
        <v>251</v>
      </c>
      <c r="H4" s="45" t="s">
        <v>199</v>
      </c>
      <c r="I4" s="44" t="s">
        <v>251</v>
      </c>
      <c r="J4" s="45" t="s">
        <v>199</v>
      </c>
      <c r="K4" s="44" t="s">
        <v>251</v>
      </c>
      <c r="L4" s="45" t="s">
        <v>199</v>
      </c>
      <c r="M4" s="44" t="s">
        <v>251</v>
      </c>
      <c r="N4" s="45" t="s">
        <v>199</v>
      </c>
      <c r="O4" s="44" t="s">
        <v>251</v>
      </c>
      <c r="P4" s="45" t="s">
        <v>199</v>
      </c>
      <c r="Q4" s="44" t="s">
        <v>251</v>
      </c>
      <c r="R4" s="45" t="s">
        <v>199</v>
      </c>
      <c r="S4" s="44" t="s">
        <v>251</v>
      </c>
      <c r="T4" s="45" t="s">
        <v>199</v>
      </c>
      <c r="U4" s="44" t="s">
        <v>251</v>
      </c>
      <c r="V4" s="45" t="s">
        <v>199</v>
      </c>
      <c r="W4" s="44" t="s">
        <v>251</v>
      </c>
      <c r="X4" s="45" t="s">
        <v>199</v>
      </c>
      <c r="Y4" s="44" t="s">
        <v>251</v>
      </c>
      <c r="Z4" s="45" t="s">
        <v>199</v>
      </c>
      <c r="AA4" s="44" t="s">
        <v>251</v>
      </c>
      <c r="AB4" s="45" t="s">
        <v>199</v>
      </c>
      <c r="AC4" s="44" t="s">
        <v>251</v>
      </c>
      <c r="AD4" s="45" t="s">
        <v>199</v>
      </c>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row>
    <row r="5" spans="1:67" ht="18" customHeight="1" x14ac:dyDescent="0.2">
      <c r="A5" s="398"/>
      <c r="B5" s="406" t="s">
        <v>3</v>
      </c>
      <c r="C5" s="399"/>
      <c r="D5" s="400"/>
      <c r="E5" s="399"/>
      <c r="F5" s="400"/>
      <c r="G5" s="399"/>
      <c r="H5" s="400"/>
      <c r="I5" s="399"/>
      <c r="J5" s="400"/>
      <c r="K5" s="399"/>
      <c r="L5" s="400"/>
      <c r="M5" s="399"/>
      <c r="N5" s="400"/>
      <c r="O5" s="399"/>
      <c r="P5" s="400"/>
      <c r="Q5" s="399"/>
      <c r="R5" s="400"/>
      <c r="S5" s="399"/>
      <c r="T5" s="400"/>
      <c r="U5" s="399"/>
      <c r="V5" s="400"/>
      <c r="W5" s="399"/>
      <c r="X5" s="400"/>
      <c r="Y5" s="399"/>
      <c r="Z5" s="400"/>
      <c r="AA5" s="399"/>
      <c r="AB5" s="400"/>
      <c r="AC5" s="399"/>
      <c r="AD5" s="400"/>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row>
    <row r="6" spans="1:67" x14ac:dyDescent="0.2">
      <c r="A6" s="587">
        <v>1</v>
      </c>
      <c r="B6" s="588" t="s">
        <v>4</v>
      </c>
      <c r="C6" s="401">
        <v>17358647</v>
      </c>
      <c r="D6" s="401">
        <v>58575.999900000003</v>
      </c>
      <c r="E6" s="401">
        <v>125303</v>
      </c>
      <c r="F6" s="401">
        <v>2576.7438000000002</v>
      </c>
      <c r="G6" s="401">
        <v>20294</v>
      </c>
      <c r="H6" s="401">
        <v>41.880099999999999</v>
      </c>
      <c r="I6" s="401">
        <v>4483</v>
      </c>
      <c r="J6" s="401">
        <v>144.33529999999999</v>
      </c>
      <c r="K6" s="401">
        <v>0</v>
      </c>
      <c r="L6" s="401">
        <v>0</v>
      </c>
      <c r="M6" s="401">
        <v>178556</v>
      </c>
      <c r="N6" s="401">
        <v>109.10760000000001</v>
      </c>
      <c r="O6" s="401">
        <v>72383</v>
      </c>
      <c r="P6" s="401">
        <v>86.350399999999993</v>
      </c>
      <c r="Q6" s="401">
        <v>0</v>
      </c>
      <c r="R6" s="401">
        <v>0</v>
      </c>
      <c r="S6" s="401">
        <v>14485</v>
      </c>
      <c r="T6" s="401">
        <v>537.68230000000005</v>
      </c>
      <c r="U6" s="401">
        <v>8748</v>
      </c>
      <c r="V6" s="401">
        <v>332.30669999999998</v>
      </c>
      <c r="W6" s="401">
        <v>76</v>
      </c>
      <c r="X6" s="401">
        <v>0.18870000000000001</v>
      </c>
      <c r="Y6" s="401">
        <v>0</v>
      </c>
      <c r="Z6" s="401">
        <v>0</v>
      </c>
      <c r="AA6" s="401">
        <v>17782975</v>
      </c>
      <c r="AB6" s="401">
        <v>62404.594800000013</v>
      </c>
      <c r="AC6" s="401">
        <v>0</v>
      </c>
      <c r="AD6" s="401">
        <v>0</v>
      </c>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row>
    <row r="7" spans="1:67" x14ac:dyDescent="0.2">
      <c r="A7" s="587"/>
      <c r="B7" s="588"/>
      <c r="C7" s="403">
        <v>0.97613852575286197</v>
      </c>
      <c r="D7" s="403">
        <v>0.93864883006980104</v>
      </c>
      <c r="E7" s="403">
        <v>7.0462338275794683E-3</v>
      </c>
      <c r="F7" s="403">
        <v>4.1290930712044295E-2</v>
      </c>
      <c r="G7" s="403">
        <v>1.1412038761793232E-3</v>
      </c>
      <c r="H7" s="403">
        <v>6.7110603208339376E-4</v>
      </c>
      <c r="I7" s="403">
        <v>2.5209505158726254E-4</v>
      </c>
      <c r="J7" s="403">
        <v>2.3128953959652976E-3</v>
      </c>
      <c r="K7" s="403">
        <v>0</v>
      </c>
      <c r="L7" s="403">
        <v>0</v>
      </c>
      <c r="M7" s="403">
        <v>1.0040839623291378E-2</v>
      </c>
      <c r="N7" s="403">
        <v>1.7483904887080524E-3</v>
      </c>
      <c r="O7" s="403">
        <v>4.0703538075040875E-3</v>
      </c>
      <c r="P7" s="403">
        <v>1.3837186232318903E-3</v>
      </c>
      <c r="Q7" s="403">
        <v>0</v>
      </c>
      <c r="R7" s="403">
        <v>0</v>
      </c>
      <c r="S7" s="403">
        <v>8.1454312340876599E-4</v>
      </c>
      <c r="T7" s="403">
        <v>8.6160690847078454E-3</v>
      </c>
      <c r="U7" s="403">
        <v>4.9193118699205284E-4</v>
      </c>
      <c r="V7" s="403">
        <v>5.325035777653986E-3</v>
      </c>
      <c r="W7" s="403">
        <v>4.273750595724281E-6</v>
      </c>
      <c r="X7" s="403">
        <v>3.0238158040247375E-6</v>
      </c>
      <c r="Y7" s="403">
        <v>0</v>
      </c>
      <c r="Z7" s="403">
        <v>0</v>
      </c>
      <c r="AA7" s="403">
        <v>1</v>
      </c>
      <c r="AB7" s="403">
        <v>1</v>
      </c>
      <c r="AC7" s="403"/>
      <c r="AD7" s="403"/>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row>
    <row r="8" spans="1:67" ht="15.75" customHeight="1" x14ac:dyDescent="0.2">
      <c r="A8" s="404"/>
      <c r="B8" s="406" t="s">
        <v>5</v>
      </c>
      <c r="C8" s="403"/>
      <c r="D8" s="403"/>
      <c r="E8" s="403"/>
      <c r="F8" s="403"/>
      <c r="G8" s="403"/>
      <c r="H8" s="403"/>
      <c r="I8" s="403"/>
      <c r="J8" s="403"/>
      <c r="K8" s="403"/>
      <c r="L8" s="403"/>
      <c r="M8" s="403"/>
      <c r="N8" s="403"/>
      <c r="O8" s="403"/>
      <c r="P8" s="403"/>
      <c r="Q8" s="403"/>
      <c r="R8" s="403"/>
      <c r="S8" s="403"/>
      <c r="T8" s="403"/>
      <c r="U8" s="403"/>
      <c r="V8" s="403"/>
      <c r="W8" s="403"/>
      <c r="X8" s="403"/>
      <c r="Y8" s="403"/>
      <c r="Z8" s="403"/>
      <c r="AA8" s="405"/>
      <c r="AB8" s="405"/>
      <c r="AC8" s="403"/>
      <c r="AD8" s="403"/>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row>
    <row r="9" spans="1:67" x14ac:dyDescent="0.2">
      <c r="A9" s="591">
        <v>2</v>
      </c>
      <c r="B9" s="590" t="s">
        <v>359</v>
      </c>
      <c r="C9" s="401">
        <v>0</v>
      </c>
      <c r="D9" s="401">
        <v>0</v>
      </c>
      <c r="E9" s="401">
        <v>0</v>
      </c>
      <c r="F9" s="401">
        <v>0</v>
      </c>
      <c r="G9" s="401">
        <v>0</v>
      </c>
      <c r="H9" s="401">
        <v>0</v>
      </c>
      <c r="I9" s="401">
        <v>0</v>
      </c>
      <c r="J9" s="401">
        <v>0</v>
      </c>
      <c r="K9" s="401">
        <v>0</v>
      </c>
      <c r="L9" s="401">
        <v>0</v>
      </c>
      <c r="M9" s="401">
        <v>0</v>
      </c>
      <c r="N9" s="401">
        <v>0</v>
      </c>
      <c r="O9" s="401">
        <v>0</v>
      </c>
      <c r="P9" s="401">
        <v>0</v>
      </c>
      <c r="Q9" s="401">
        <v>0</v>
      </c>
      <c r="R9" s="401">
        <v>0</v>
      </c>
      <c r="S9" s="401">
        <v>0</v>
      </c>
      <c r="T9" s="401">
        <v>0</v>
      </c>
      <c r="U9" s="401">
        <v>1837</v>
      </c>
      <c r="V9" s="401">
        <v>3.3632699219999997</v>
      </c>
      <c r="W9" s="401">
        <v>0</v>
      </c>
      <c r="X9" s="401">
        <v>0</v>
      </c>
      <c r="Y9" s="401">
        <v>0</v>
      </c>
      <c r="Z9" s="401">
        <v>0</v>
      </c>
      <c r="AA9" s="401">
        <v>1837</v>
      </c>
      <c r="AB9" s="401">
        <v>3.3632699219999997</v>
      </c>
      <c r="AC9" s="401">
        <v>0</v>
      </c>
      <c r="AD9" s="401">
        <v>0</v>
      </c>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row>
    <row r="10" spans="1:67" x14ac:dyDescent="0.2">
      <c r="A10" s="591"/>
      <c r="B10" s="590"/>
      <c r="C10" s="403">
        <v>0</v>
      </c>
      <c r="D10" s="403">
        <v>0</v>
      </c>
      <c r="E10" s="403">
        <v>0</v>
      </c>
      <c r="F10" s="403">
        <v>0</v>
      </c>
      <c r="G10" s="403">
        <v>0</v>
      </c>
      <c r="H10" s="403">
        <v>0</v>
      </c>
      <c r="I10" s="403">
        <v>0</v>
      </c>
      <c r="J10" s="403">
        <v>0</v>
      </c>
      <c r="K10" s="403">
        <v>0</v>
      </c>
      <c r="L10" s="403">
        <v>0</v>
      </c>
      <c r="M10" s="403">
        <v>0</v>
      </c>
      <c r="N10" s="403">
        <v>0</v>
      </c>
      <c r="O10" s="403">
        <v>0</v>
      </c>
      <c r="P10" s="403">
        <v>0</v>
      </c>
      <c r="Q10" s="403">
        <v>0</v>
      </c>
      <c r="R10" s="403">
        <v>0</v>
      </c>
      <c r="S10" s="403">
        <v>0</v>
      </c>
      <c r="T10" s="403">
        <v>0</v>
      </c>
      <c r="U10" s="403">
        <v>1</v>
      </c>
      <c r="V10" s="403">
        <v>1</v>
      </c>
      <c r="W10" s="403">
        <v>0</v>
      </c>
      <c r="X10" s="403">
        <v>0</v>
      </c>
      <c r="Y10" s="403">
        <v>0</v>
      </c>
      <c r="Z10" s="403">
        <v>0</v>
      </c>
      <c r="AA10" s="403">
        <v>1</v>
      </c>
      <c r="AB10" s="403">
        <v>1</v>
      </c>
      <c r="AC10" s="403"/>
      <c r="AD10" s="403"/>
      <c r="AE10" s="346"/>
      <c r="AF10" s="40"/>
      <c r="AG10" s="40"/>
      <c r="AH10" s="40"/>
      <c r="AI10" s="40"/>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row>
    <row r="11" spans="1:67" x14ac:dyDescent="0.2">
      <c r="A11" s="589">
        <v>3</v>
      </c>
      <c r="B11" s="588" t="s">
        <v>6</v>
      </c>
      <c r="C11" s="401">
        <v>93414</v>
      </c>
      <c r="D11" s="401">
        <v>1175.7830090656046</v>
      </c>
      <c r="E11" s="401">
        <v>178844</v>
      </c>
      <c r="F11" s="401">
        <v>2423.7732244691647</v>
      </c>
      <c r="G11" s="401">
        <v>1060</v>
      </c>
      <c r="H11" s="401">
        <v>20.98335138945151</v>
      </c>
      <c r="I11" s="401">
        <v>36026</v>
      </c>
      <c r="J11" s="401">
        <v>235.27713671061946</v>
      </c>
      <c r="K11" s="401">
        <v>41120</v>
      </c>
      <c r="L11" s="401">
        <v>735.54693462583555</v>
      </c>
      <c r="M11" s="401">
        <v>0</v>
      </c>
      <c r="N11" s="401">
        <v>0</v>
      </c>
      <c r="O11" s="401">
        <v>0</v>
      </c>
      <c r="P11" s="401">
        <v>0</v>
      </c>
      <c r="Q11" s="401">
        <v>126</v>
      </c>
      <c r="R11" s="401">
        <v>0.97258241899999998</v>
      </c>
      <c r="S11" s="401">
        <v>131</v>
      </c>
      <c r="T11" s="401">
        <v>1.4389275809999997</v>
      </c>
      <c r="U11" s="401">
        <v>959</v>
      </c>
      <c r="V11" s="401">
        <v>36.745799360555601</v>
      </c>
      <c r="W11" s="401">
        <v>726</v>
      </c>
      <c r="X11" s="401">
        <v>2.2366046684149001</v>
      </c>
      <c r="Y11" s="401">
        <v>0</v>
      </c>
      <c r="Z11" s="401">
        <v>0</v>
      </c>
      <c r="AA11" s="401">
        <v>352406</v>
      </c>
      <c r="AB11" s="401">
        <v>4632.7575702896456</v>
      </c>
      <c r="AC11" s="401">
        <v>0</v>
      </c>
      <c r="AD11" s="401">
        <v>0</v>
      </c>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row>
    <row r="12" spans="1:67" x14ac:dyDescent="0.2">
      <c r="A12" s="589"/>
      <c r="B12" s="588"/>
      <c r="C12" s="403">
        <v>0.26507494197034104</v>
      </c>
      <c r="D12" s="403">
        <v>0.25379765533297549</v>
      </c>
      <c r="E12" s="403">
        <v>0.5074941970341027</v>
      </c>
      <c r="F12" s="403">
        <v>0.52318153663232314</v>
      </c>
      <c r="G12" s="403">
        <v>3.0078943037292216E-3</v>
      </c>
      <c r="H12" s="403">
        <v>4.5293437161529702E-3</v>
      </c>
      <c r="I12" s="403">
        <v>0.10222867942089522</v>
      </c>
      <c r="J12" s="403">
        <v>5.0785549025806169E-2</v>
      </c>
      <c r="K12" s="403">
        <v>0.11668359789560905</v>
      </c>
      <c r="L12" s="403">
        <v>0.15877086669567478</v>
      </c>
      <c r="M12" s="403">
        <v>0</v>
      </c>
      <c r="N12" s="403">
        <v>0</v>
      </c>
      <c r="O12" s="403">
        <v>0</v>
      </c>
      <c r="P12" s="403">
        <v>0</v>
      </c>
      <c r="Q12" s="403">
        <v>3.5754215308479422E-4</v>
      </c>
      <c r="R12" s="403">
        <v>2.0993596238172958E-4</v>
      </c>
      <c r="S12" s="403">
        <v>3.7173033376276229E-4</v>
      </c>
      <c r="T12" s="403">
        <v>3.1059850621754773E-4</v>
      </c>
      <c r="U12" s="403">
        <v>2.7212930540342671E-3</v>
      </c>
      <c r="V12" s="403">
        <v>7.9317337035311793E-3</v>
      </c>
      <c r="W12" s="403">
        <v>2.0601238344409574E-3</v>
      </c>
      <c r="X12" s="403">
        <v>4.8278042493707802E-4</v>
      </c>
      <c r="Y12" s="403">
        <v>0</v>
      </c>
      <c r="Z12" s="403">
        <v>0</v>
      </c>
      <c r="AA12" s="403">
        <v>1</v>
      </c>
      <c r="AB12" s="403">
        <v>1</v>
      </c>
      <c r="AC12" s="403"/>
      <c r="AD12" s="403"/>
      <c r="AE12" s="346"/>
      <c r="AF12" s="40"/>
      <c r="AG12" s="40"/>
      <c r="AH12" s="40"/>
      <c r="AI12" s="40"/>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row>
    <row r="13" spans="1:67" x14ac:dyDescent="0.2">
      <c r="A13" s="591">
        <v>4</v>
      </c>
      <c r="B13" s="588" t="s">
        <v>360</v>
      </c>
      <c r="C13" s="401">
        <v>-28</v>
      </c>
      <c r="D13" s="401">
        <v>-0.04</v>
      </c>
      <c r="E13" s="401">
        <v>11099</v>
      </c>
      <c r="F13" s="401">
        <v>125.39</v>
      </c>
      <c r="G13" s="401">
        <v>1353</v>
      </c>
      <c r="H13" s="401">
        <v>10.74</v>
      </c>
      <c r="I13" s="401">
        <v>21643</v>
      </c>
      <c r="J13" s="401">
        <v>26.44</v>
      </c>
      <c r="K13" s="401">
        <v>506</v>
      </c>
      <c r="L13" s="401">
        <v>1.07</v>
      </c>
      <c r="M13" s="401">
        <v>0</v>
      </c>
      <c r="N13" s="401">
        <v>0</v>
      </c>
      <c r="O13" s="401">
        <v>0</v>
      </c>
      <c r="P13" s="401">
        <v>0</v>
      </c>
      <c r="Q13" s="401">
        <v>88</v>
      </c>
      <c r="R13" s="401">
        <v>0.25</v>
      </c>
      <c r="S13" s="401">
        <v>0</v>
      </c>
      <c r="T13" s="401">
        <v>0</v>
      </c>
      <c r="U13" s="401">
        <v>0</v>
      </c>
      <c r="V13" s="401">
        <v>0</v>
      </c>
      <c r="W13" s="401">
        <v>0</v>
      </c>
      <c r="X13" s="401">
        <v>0</v>
      </c>
      <c r="Y13" s="401">
        <v>0</v>
      </c>
      <c r="Z13" s="401">
        <v>0</v>
      </c>
      <c r="AA13" s="401">
        <v>34661</v>
      </c>
      <c r="AB13" s="401">
        <v>163.85</v>
      </c>
      <c r="AC13" s="401">
        <v>0</v>
      </c>
      <c r="AD13" s="401">
        <v>0</v>
      </c>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row>
    <row r="14" spans="1:67" x14ac:dyDescent="0.2">
      <c r="A14" s="591"/>
      <c r="B14" s="588"/>
      <c r="C14" s="403">
        <v>-8.0782435590433048E-4</v>
      </c>
      <c r="D14" s="403">
        <v>-2.4412572474824537E-4</v>
      </c>
      <c r="E14" s="403">
        <v>0.32021580450650589</v>
      </c>
      <c r="F14" s="403">
        <v>0.76527311565456213</v>
      </c>
      <c r="G14" s="403">
        <v>3.9035226912091402E-2</v>
      </c>
      <c r="H14" s="403">
        <v>6.5547757094903875E-2</v>
      </c>
      <c r="I14" s="403">
        <v>0.62441937624419375</v>
      </c>
      <c r="J14" s="403">
        <v>0.1613671040585902</v>
      </c>
      <c r="K14" s="403">
        <v>1.4598540145985401E-2</v>
      </c>
      <c r="L14" s="403">
        <v>6.5303631370155638E-3</v>
      </c>
      <c r="M14" s="403">
        <v>0</v>
      </c>
      <c r="N14" s="403">
        <v>0</v>
      </c>
      <c r="O14" s="403">
        <v>0</v>
      </c>
      <c r="P14" s="403">
        <v>0</v>
      </c>
      <c r="Q14" s="403">
        <v>2.5388765471278957E-3</v>
      </c>
      <c r="R14" s="403">
        <v>1.5257857796765334E-3</v>
      </c>
      <c r="S14" s="403">
        <v>0</v>
      </c>
      <c r="T14" s="403">
        <v>0</v>
      </c>
      <c r="U14" s="403">
        <v>0</v>
      </c>
      <c r="V14" s="403">
        <v>0</v>
      </c>
      <c r="W14" s="403">
        <v>0</v>
      </c>
      <c r="X14" s="403">
        <v>0</v>
      </c>
      <c r="Y14" s="403">
        <v>0</v>
      </c>
      <c r="Z14" s="403">
        <v>0</v>
      </c>
      <c r="AA14" s="403">
        <v>1</v>
      </c>
      <c r="AB14" s="403">
        <v>1</v>
      </c>
      <c r="AC14" s="403"/>
      <c r="AD14" s="403"/>
      <c r="AE14" s="346"/>
      <c r="AF14" s="40"/>
      <c r="AG14" s="40"/>
      <c r="AH14" s="40"/>
      <c r="AI14" s="40"/>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row>
    <row r="15" spans="1:67" x14ac:dyDescent="0.2">
      <c r="A15" s="589">
        <v>5</v>
      </c>
      <c r="B15" s="588" t="s">
        <v>7</v>
      </c>
      <c r="C15" s="401">
        <v>8728</v>
      </c>
      <c r="D15" s="401">
        <v>80.628620799999993</v>
      </c>
      <c r="E15" s="401">
        <v>41717</v>
      </c>
      <c r="F15" s="401">
        <v>753.74034358899996</v>
      </c>
      <c r="G15" s="401">
        <v>0</v>
      </c>
      <c r="H15" s="401">
        <v>0</v>
      </c>
      <c r="I15" s="401">
        <v>887</v>
      </c>
      <c r="J15" s="401">
        <v>32.879161000000003</v>
      </c>
      <c r="K15" s="401">
        <v>12910</v>
      </c>
      <c r="L15" s="401">
        <v>145.10032997900001</v>
      </c>
      <c r="M15" s="401">
        <v>0</v>
      </c>
      <c r="N15" s="401">
        <v>0</v>
      </c>
      <c r="O15" s="401">
        <v>0</v>
      </c>
      <c r="P15" s="401">
        <v>0</v>
      </c>
      <c r="Q15" s="401">
        <v>0</v>
      </c>
      <c r="R15" s="401">
        <v>0</v>
      </c>
      <c r="S15" s="401">
        <v>0</v>
      </c>
      <c r="T15" s="401">
        <v>0</v>
      </c>
      <c r="U15" s="401">
        <v>2</v>
      </c>
      <c r="V15" s="401">
        <v>6.2270480000000007E-3</v>
      </c>
      <c r="W15" s="401">
        <v>0</v>
      </c>
      <c r="X15" s="401">
        <v>0</v>
      </c>
      <c r="Y15" s="401">
        <v>0</v>
      </c>
      <c r="Z15" s="401">
        <v>0</v>
      </c>
      <c r="AA15" s="401">
        <v>64244</v>
      </c>
      <c r="AB15" s="401">
        <v>1012.3546824159999</v>
      </c>
      <c r="AC15" s="401">
        <v>0</v>
      </c>
      <c r="AD15" s="401">
        <v>0</v>
      </c>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row>
    <row r="16" spans="1:67" x14ac:dyDescent="0.2">
      <c r="A16" s="589"/>
      <c r="B16" s="588"/>
      <c r="C16" s="403">
        <v>0.13585704501587698</v>
      </c>
      <c r="D16" s="403">
        <v>7.9644636608563468E-2</v>
      </c>
      <c r="E16" s="403">
        <v>0.64935246871303154</v>
      </c>
      <c r="F16" s="403">
        <v>0.74454176651821979</v>
      </c>
      <c r="G16" s="403">
        <v>0</v>
      </c>
      <c r="H16" s="403">
        <v>0</v>
      </c>
      <c r="I16" s="403">
        <v>1.3806736815889422E-2</v>
      </c>
      <c r="J16" s="403">
        <v>3.2477906776243071E-2</v>
      </c>
      <c r="K16" s="403">
        <v>0.20095261814332857</v>
      </c>
      <c r="L16" s="403">
        <v>0.14332953904328852</v>
      </c>
      <c r="M16" s="403">
        <v>0</v>
      </c>
      <c r="N16" s="403">
        <v>0</v>
      </c>
      <c r="O16" s="403">
        <v>0</v>
      </c>
      <c r="P16" s="403">
        <v>0</v>
      </c>
      <c r="Q16" s="403">
        <v>0</v>
      </c>
      <c r="R16" s="403">
        <v>0</v>
      </c>
      <c r="S16" s="403">
        <v>0</v>
      </c>
      <c r="T16" s="403">
        <v>0</v>
      </c>
      <c r="U16" s="403">
        <v>3.1131311873482345E-5</v>
      </c>
      <c r="V16" s="403">
        <v>6.1510536851956425E-6</v>
      </c>
      <c r="W16" s="403">
        <v>0</v>
      </c>
      <c r="X16" s="403">
        <v>0</v>
      </c>
      <c r="Y16" s="403">
        <v>0</v>
      </c>
      <c r="Z16" s="403">
        <v>0</v>
      </c>
      <c r="AA16" s="403">
        <v>1</v>
      </c>
      <c r="AB16" s="403">
        <v>1</v>
      </c>
      <c r="AC16" s="403"/>
      <c r="AD16" s="403"/>
      <c r="AE16" s="346"/>
      <c r="AF16" s="40"/>
      <c r="AG16" s="40"/>
      <c r="AH16" s="40"/>
      <c r="AI16" s="40"/>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row>
    <row r="17" spans="1:67" x14ac:dyDescent="0.2">
      <c r="A17" s="591">
        <v>6</v>
      </c>
      <c r="B17" s="588" t="s">
        <v>8</v>
      </c>
      <c r="C17" s="401">
        <v>3113</v>
      </c>
      <c r="D17" s="401">
        <v>36.405441600000003</v>
      </c>
      <c r="E17" s="401">
        <v>9158</v>
      </c>
      <c r="F17" s="401">
        <v>46.366820300000001</v>
      </c>
      <c r="G17" s="401">
        <v>-15</v>
      </c>
      <c r="H17" s="401">
        <v>-0.15088090000000001</v>
      </c>
      <c r="I17" s="401">
        <v>212</v>
      </c>
      <c r="J17" s="401">
        <v>-0.60282000000000002</v>
      </c>
      <c r="K17" s="401">
        <v>3382</v>
      </c>
      <c r="L17" s="401">
        <v>58.368239000000003</v>
      </c>
      <c r="M17" s="401">
        <v>0</v>
      </c>
      <c r="N17" s="401">
        <v>0</v>
      </c>
      <c r="O17" s="401">
        <v>0</v>
      </c>
      <c r="P17" s="401">
        <v>0</v>
      </c>
      <c r="Q17" s="401">
        <v>0</v>
      </c>
      <c r="R17" s="401">
        <v>0</v>
      </c>
      <c r="S17" s="401">
        <v>283</v>
      </c>
      <c r="T17" s="401">
        <v>21.414176399999999</v>
      </c>
      <c r="U17" s="401">
        <v>0</v>
      </c>
      <c r="V17" s="401">
        <v>0</v>
      </c>
      <c r="W17" s="401">
        <v>200</v>
      </c>
      <c r="X17" s="401">
        <v>0.65909589999999996</v>
      </c>
      <c r="Y17" s="401">
        <v>0</v>
      </c>
      <c r="Z17" s="401">
        <v>2.75E-2</v>
      </c>
      <c r="AA17" s="401">
        <v>16333</v>
      </c>
      <c r="AB17" s="401">
        <v>162.48757230000001</v>
      </c>
      <c r="AC17" s="401">
        <v>0</v>
      </c>
      <c r="AD17" s="401">
        <v>2.75E-2</v>
      </c>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row>
    <row r="18" spans="1:67" x14ac:dyDescent="0.2">
      <c r="A18" s="591"/>
      <c r="B18" s="588"/>
      <c r="C18" s="403">
        <v>0.19059572644339681</v>
      </c>
      <c r="D18" s="403">
        <v>0.22405062174715007</v>
      </c>
      <c r="E18" s="403">
        <v>0.56070532051674526</v>
      </c>
      <c r="F18" s="403">
        <v>0.28535610227712166</v>
      </c>
      <c r="G18" s="403">
        <v>-9.1838608951203091E-4</v>
      </c>
      <c r="H18" s="403">
        <v>-9.2856886138608405E-4</v>
      </c>
      <c r="I18" s="403">
        <v>1.2979856731770037E-2</v>
      </c>
      <c r="J18" s="403">
        <v>-3.7099452682265227E-3</v>
      </c>
      <c r="K18" s="403">
        <v>0.20706545031531257</v>
      </c>
      <c r="L18" s="403">
        <v>0.3592166353020218</v>
      </c>
      <c r="M18" s="403">
        <v>0</v>
      </c>
      <c r="N18" s="403">
        <v>0</v>
      </c>
      <c r="O18" s="403">
        <v>0</v>
      </c>
      <c r="P18" s="403">
        <v>0</v>
      </c>
      <c r="Q18" s="403">
        <v>0</v>
      </c>
      <c r="R18" s="403">
        <v>0</v>
      </c>
      <c r="S18" s="403">
        <v>1.7326884222126981E-2</v>
      </c>
      <c r="T18" s="403">
        <v>0.1317896261042236</v>
      </c>
      <c r="U18" s="403">
        <v>0</v>
      </c>
      <c r="V18" s="403">
        <v>0</v>
      </c>
      <c r="W18" s="403">
        <v>1.2245147860160411E-2</v>
      </c>
      <c r="X18" s="403">
        <v>4.056284986418004E-3</v>
      </c>
      <c r="Y18" s="403">
        <v>0</v>
      </c>
      <c r="Z18" s="403">
        <v>1.6924371267746486E-4</v>
      </c>
      <c r="AA18" s="403">
        <v>1</v>
      </c>
      <c r="AB18" s="403">
        <v>1</v>
      </c>
      <c r="AC18" s="403"/>
      <c r="AD18" s="403"/>
      <c r="AE18" s="346"/>
      <c r="AF18" s="40"/>
      <c r="AG18" s="40"/>
      <c r="AH18" s="40"/>
      <c r="AI18" s="40"/>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row>
    <row r="19" spans="1:67" x14ac:dyDescent="0.2">
      <c r="A19" s="589">
        <v>7</v>
      </c>
      <c r="B19" s="588" t="s">
        <v>9</v>
      </c>
      <c r="C19" s="401">
        <v>204796</v>
      </c>
      <c r="D19" s="401">
        <v>2032.8238237357864</v>
      </c>
      <c r="E19" s="401">
        <v>244397</v>
      </c>
      <c r="F19" s="401">
        <v>2658.1252308428016</v>
      </c>
      <c r="G19" s="401">
        <v>33086</v>
      </c>
      <c r="H19" s="401">
        <v>261.84743646662929</v>
      </c>
      <c r="I19" s="401">
        <v>158923</v>
      </c>
      <c r="J19" s="401">
        <v>785.00188606758866</v>
      </c>
      <c r="K19" s="401">
        <v>123992</v>
      </c>
      <c r="L19" s="401">
        <v>1861.9399300271602</v>
      </c>
      <c r="M19" s="401">
        <v>0</v>
      </c>
      <c r="N19" s="401">
        <v>0</v>
      </c>
      <c r="O19" s="401">
        <v>0</v>
      </c>
      <c r="P19" s="401">
        <v>0</v>
      </c>
      <c r="Q19" s="401">
        <v>377</v>
      </c>
      <c r="R19" s="401">
        <v>1.242990519140001</v>
      </c>
      <c r="S19" s="401">
        <v>901</v>
      </c>
      <c r="T19" s="401">
        <v>9.5081502093700063</v>
      </c>
      <c r="U19" s="401">
        <v>12500</v>
      </c>
      <c r="V19" s="401">
        <v>35.318038388950107</v>
      </c>
      <c r="W19" s="401">
        <v>108</v>
      </c>
      <c r="X19" s="401">
        <v>0.80167758</v>
      </c>
      <c r="Y19" s="401">
        <v>0</v>
      </c>
      <c r="Z19" s="401">
        <v>0</v>
      </c>
      <c r="AA19" s="401">
        <v>779080</v>
      </c>
      <c r="AB19" s="401">
        <v>7646.6091638374255</v>
      </c>
      <c r="AC19" s="401">
        <v>0</v>
      </c>
      <c r="AD19" s="401">
        <v>0</v>
      </c>
      <c r="AE19" s="49"/>
      <c r="AF19" s="50"/>
      <c r="AG19" s="49"/>
      <c r="AH19" s="50"/>
      <c r="AI19" s="49"/>
      <c r="AJ19" s="50"/>
      <c r="AK19" s="49"/>
      <c r="AL19" s="50"/>
      <c r="AM19" s="49"/>
      <c r="AN19" s="50"/>
      <c r="AO19" s="49"/>
      <c r="AP19" s="50"/>
      <c r="AQ19" s="49"/>
      <c r="AR19" s="50"/>
      <c r="AS19" s="49"/>
      <c r="AT19" s="50"/>
      <c r="AU19" s="49"/>
      <c r="AV19" s="50"/>
      <c r="AW19" s="49"/>
      <c r="AX19" s="50"/>
      <c r="AY19" s="49"/>
      <c r="AZ19" s="50"/>
      <c r="BA19" s="49"/>
      <c r="BB19" s="50"/>
      <c r="BC19" s="51"/>
      <c r="BD19" s="52"/>
      <c r="BE19" s="49"/>
      <c r="BF19" s="50"/>
    </row>
    <row r="20" spans="1:67" x14ac:dyDescent="0.2">
      <c r="A20" s="589"/>
      <c r="B20" s="588"/>
      <c r="C20" s="403">
        <v>0.26286902500385068</v>
      </c>
      <c r="D20" s="403">
        <v>0.26584643992914903</v>
      </c>
      <c r="E20" s="403">
        <v>0.31369949170816863</v>
      </c>
      <c r="F20" s="403">
        <v>0.34762143244010529</v>
      </c>
      <c r="G20" s="403">
        <v>4.246803922575345E-2</v>
      </c>
      <c r="H20" s="403">
        <v>3.4243601425971409E-2</v>
      </c>
      <c r="I20" s="403">
        <v>0.20398803717204908</v>
      </c>
      <c r="J20" s="403">
        <v>0.10266012937865887</v>
      </c>
      <c r="K20" s="403">
        <v>0.15915182009549725</v>
      </c>
      <c r="L20" s="403">
        <v>0.24349877051814059</v>
      </c>
      <c r="M20" s="403">
        <v>0</v>
      </c>
      <c r="N20" s="403">
        <v>0</v>
      </c>
      <c r="O20" s="403">
        <v>0</v>
      </c>
      <c r="P20" s="403">
        <v>0</v>
      </c>
      <c r="Q20" s="403">
        <v>4.8390409200595576E-4</v>
      </c>
      <c r="R20" s="403">
        <v>1.6255447251291321E-4</v>
      </c>
      <c r="S20" s="403">
        <v>1.1564922729373106E-3</v>
      </c>
      <c r="T20" s="403">
        <v>1.2434466056322371E-3</v>
      </c>
      <c r="U20" s="403">
        <v>1.6044565384812855E-2</v>
      </c>
      <c r="V20" s="403">
        <v>4.6187843045486406E-3</v>
      </c>
      <c r="W20" s="403">
        <v>1.3862504492478307E-4</v>
      </c>
      <c r="X20" s="403">
        <v>1.0484092528114523E-4</v>
      </c>
      <c r="Y20" s="403">
        <v>0</v>
      </c>
      <c r="Z20" s="403">
        <v>0</v>
      </c>
      <c r="AA20" s="403">
        <v>1</v>
      </c>
      <c r="AB20" s="403">
        <v>1</v>
      </c>
      <c r="AC20" s="403"/>
      <c r="AD20" s="403"/>
      <c r="AE20" s="346"/>
      <c r="AF20" s="40"/>
      <c r="AG20" s="40"/>
      <c r="AH20" s="40"/>
      <c r="AI20" s="40"/>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row>
    <row r="21" spans="1:67" x14ac:dyDescent="0.2">
      <c r="A21" s="591">
        <v>8</v>
      </c>
      <c r="B21" s="588" t="s">
        <v>10</v>
      </c>
      <c r="C21" s="401">
        <v>19760</v>
      </c>
      <c r="D21" s="401">
        <v>149.76130319977136</v>
      </c>
      <c r="E21" s="401">
        <v>10263</v>
      </c>
      <c r="F21" s="401">
        <v>74.374791850667421</v>
      </c>
      <c r="G21" s="401">
        <v>5114</v>
      </c>
      <c r="H21" s="401">
        <v>64.439460907310206</v>
      </c>
      <c r="I21" s="401">
        <v>12921</v>
      </c>
      <c r="J21" s="401">
        <v>108.8406319491405</v>
      </c>
      <c r="K21" s="401">
        <v>20519</v>
      </c>
      <c r="L21" s="401">
        <v>224.49694073802166</v>
      </c>
      <c r="M21" s="401">
        <v>0</v>
      </c>
      <c r="N21" s="401">
        <v>0</v>
      </c>
      <c r="O21" s="401">
        <v>0</v>
      </c>
      <c r="P21" s="401">
        <v>0</v>
      </c>
      <c r="Q21" s="401">
        <v>0</v>
      </c>
      <c r="R21" s="401">
        <v>0</v>
      </c>
      <c r="S21" s="401">
        <v>3099</v>
      </c>
      <c r="T21" s="401">
        <v>31.044294727909904</v>
      </c>
      <c r="U21" s="401">
        <v>-223</v>
      </c>
      <c r="V21" s="401">
        <v>-0.91957681499999988</v>
      </c>
      <c r="W21" s="401">
        <v>60</v>
      </c>
      <c r="X21" s="401">
        <v>5.4148280000000017E-3</v>
      </c>
      <c r="Y21" s="401">
        <v>0</v>
      </c>
      <c r="Z21" s="401">
        <v>0</v>
      </c>
      <c r="AA21" s="401">
        <v>71513</v>
      </c>
      <c r="AB21" s="401">
        <v>652.04326138582098</v>
      </c>
      <c r="AC21" s="401">
        <v>0</v>
      </c>
      <c r="AD21" s="401">
        <v>0</v>
      </c>
      <c r="AE21" s="53"/>
      <c r="AF21" s="54"/>
      <c r="AG21" s="53"/>
      <c r="AH21" s="54"/>
      <c r="AI21" s="53"/>
      <c r="AJ21" s="54"/>
      <c r="AK21" s="53"/>
      <c r="AL21" s="54"/>
      <c r="AM21" s="53"/>
      <c r="AN21" s="54"/>
      <c r="AO21" s="53"/>
      <c r="AP21" s="54"/>
      <c r="AQ21" s="53"/>
      <c r="AR21" s="54"/>
      <c r="AS21" s="53"/>
      <c r="AT21" s="54"/>
      <c r="AU21" s="53"/>
      <c r="AV21" s="54"/>
      <c r="AW21" s="53"/>
      <c r="AX21" s="54"/>
      <c r="AY21" s="53"/>
      <c r="AZ21" s="54"/>
      <c r="BA21" s="53"/>
      <c r="BB21" s="54"/>
      <c r="BC21" s="55"/>
      <c r="BD21" s="56"/>
      <c r="BE21" s="53"/>
      <c r="BF21" s="54"/>
    </row>
    <row r="22" spans="1:67" x14ac:dyDescent="0.2">
      <c r="A22" s="591"/>
      <c r="B22" s="588"/>
      <c r="C22" s="403">
        <v>0.27631339756407924</v>
      </c>
      <c r="D22" s="403">
        <v>0.22968001061996404</v>
      </c>
      <c r="E22" s="403">
        <v>0.14351236838057416</v>
      </c>
      <c r="F22" s="403">
        <v>0.11406419827511884</v>
      </c>
      <c r="G22" s="403">
        <v>7.1511473438395812E-2</v>
      </c>
      <c r="H22" s="403">
        <v>9.8826971649632139E-2</v>
      </c>
      <c r="I22" s="403">
        <v>0.18068043572497308</v>
      </c>
      <c r="J22" s="403">
        <v>0.16692240897914645</v>
      </c>
      <c r="K22" s="403">
        <v>0.28692685246039179</v>
      </c>
      <c r="L22" s="403">
        <v>0.34429761648159174</v>
      </c>
      <c r="M22" s="403">
        <v>0</v>
      </c>
      <c r="N22" s="403">
        <v>0</v>
      </c>
      <c r="O22" s="403">
        <v>0</v>
      </c>
      <c r="P22" s="403">
        <v>0</v>
      </c>
      <c r="Q22" s="403">
        <v>0</v>
      </c>
      <c r="R22" s="403">
        <v>0</v>
      </c>
      <c r="S22" s="403">
        <v>4.3334778292058784E-2</v>
      </c>
      <c r="T22" s="403">
        <v>4.7610789906684832E-2</v>
      </c>
      <c r="U22" s="403">
        <v>-3.1183141526715421E-3</v>
      </c>
      <c r="V22" s="403">
        <v>-1.4103003120461304E-3</v>
      </c>
      <c r="W22" s="403">
        <v>8.3900829219862123E-4</v>
      </c>
      <c r="X22" s="403">
        <v>8.304399908207915E-6</v>
      </c>
      <c r="Y22" s="403">
        <v>0</v>
      </c>
      <c r="Z22" s="403">
        <v>0</v>
      </c>
      <c r="AA22" s="403">
        <v>1</v>
      </c>
      <c r="AB22" s="403">
        <v>1</v>
      </c>
      <c r="AC22" s="403"/>
      <c r="AD22" s="403"/>
      <c r="AE22" s="346"/>
      <c r="AF22" s="40"/>
      <c r="AG22" s="40"/>
      <c r="AH22" s="40"/>
      <c r="AI22" s="40"/>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row>
    <row r="23" spans="1:67" x14ac:dyDescent="0.2">
      <c r="A23" s="589">
        <v>9</v>
      </c>
      <c r="B23" s="588" t="s">
        <v>30</v>
      </c>
      <c r="C23" s="401">
        <v>144</v>
      </c>
      <c r="D23" s="401">
        <v>0.93047689500000064</v>
      </c>
      <c r="E23" s="401">
        <v>165072</v>
      </c>
      <c r="F23" s="401">
        <v>2053.8542541320021</v>
      </c>
      <c r="G23" s="401">
        <v>-1395</v>
      </c>
      <c r="H23" s="401">
        <v>-6.7317384150000024</v>
      </c>
      <c r="I23" s="401">
        <v>19509</v>
      </c>
      <c r="J23" s="401">
        <v>87.945552412999675</v>
      </c>
      <c r="K23" s="401">
        <v>9556</v>
      </c>
      <c r="L23" s="401">
        <v>86.798892135000003</v>
      </c>
      <c r="M23" s="401">
        <v>0</v>
      </c>
      <c r="N23" s="401">
        <v>0</v>
      </c>
      <c r="O23" s="401">
        <v>0</v>
      </c>
      <c r="P23" s="401">
        <v>0</v>
      </c>
      <c r="Q23" s="401">
        <v>-28</v>
      </c>
      <c r="R23" s="401">
        <v>-0.12086256099999999</v>
      </c>
      <c r="S23" s="401">
        <v>0</v>
      </c>
      <c r="T23" s="401">
        <v>0</v>
      </c>
      <c r="U23" s="401">
        <v>1263</v>
      </c>
      <c r="V23" s="401">
        <v>5.2714785030000142</v>
      </c>
      <c r="W23" s="401">
        <v>0</v>
      </c>
      <c r="X23" s="401">
        <v>0</v>
      </c>
      <c r="Y23" s="401">
        <v>0</v>
      </c>
      <c r="Z23" s="401">
        <v>0</v>
      </c>
      <c r="AA23" s="401">
        <v>194121</v>
      </c>
      <c r="AB23" s="401">
        <v>2227.9480531020017</v>
      </c>
      <c r="AC23" s="401">
        <v>0</v>
      </c>
      <c r="AD23" s="401">
        <v>0</v>
      </c>
      <c r="AE23" s="49"/>
      <c r="AF23" s="50"/>
      <c r="AG23" s="49"/>
      <c r="AH23" s="50"/>
      <c r="AI23" s="49"/>
      <c r="AJ23" s="50"/>
      <c r="AK23" s="49"/>
      <c r="AL23" s="50"/>
      <c r="AM23" s="49"/>
      <c r="AN23" s="50"/>
      <c r="AO23" s="49"/>
      <c r="AP23" s="50"/>
      <c r="AQ23" s="49"/>
      <c r="AR23" s="50"/>
      <c r="AS23" s="49"/>
      <c r="AT23" s="50"/>
      <c r="AU23" s="49"/>
      <c r="AV23" s="50"/>
      <c r="AW23" s="49"/>
      <c r="AX23" s="50"/>
      <c r="AY23" s="49"/>
      <c r="AZ23" s="50"/>
      <c r="BA23" s="49"/>
      <c r="BB23" s="50"/>
      <c r="BC23" s="51"/>
      <c r="BD23" s="52"/>
      <c r="BE23" s="49"/>
      <c r="BF23" s="50"/>
    </row>
    <row r="24" spans="1:67" x14ac:dyDescent="0.2">
      <c r="A24" s="589"/>
      <c r="B24" s="588"/>
      <c r="C24" s="403">
        <v>7.418053688163568E-4</v>
      </c>
      <c r="D24" s="403">
        <v>4.176385053971457E-4</v>
      </c>
      <c r="E24" s="403">
        <v>0.85035622111981701</v>
      </c>
      <c r="F24" s="403">
        <v>0.92185913009614096</v>
      </c>
      <c r="G24" s="403">
        <v>-7.1862395104084565E-3</v>
      </c>
      <c r="H24" s="403">
        <v>-3.0214970253131862E-3</v>
      </c>
      <c r="I24" s="403">
        <v>0.10049917319609934</v>
      </c>
      <c r="J24" s="403">
        <v>3.9473789476622632E-2</v>
      </c>
      <c r="K24" s="403">
        <v>4.9227028502841011E-2</v>
      </c>
      <c r="L24" s="403">
        <v>3.8959118465149468E-2</v>
      </c>
      <c r="M24" s="403">
        <v>0</v>
      </c>
      <c r="N24" s="403">
        <v>0</v>
      </c>
      <c r="O24" s="403">
        <v>0</v>
      </c>
      <c r="P24" s="403">
        <v>0</v>
      </c>
      <c r="Q24" s="403">
        <v>-1.4423993282540272E-4</v>
      </c>
      <c r="R24" s="403">
        <v>-5.4248374791199215E-5</v>
      </c>
      <c r="S24" s="403">
        <v>0</v>
      </c>
      <c r="T24" s="403">
        <v>0</v>
      </c>
      <c r="U24" s="403">
        <v>6.5062512556601296E-3</v>
      </c>
      <c r="V24" s="403">
        <v>2.3660688567942439E-3</v>
      </c>
      <c r="W24" s="403">
        <v>0</v>
      </c>
      <c r="X24" s="403">
        <v>0</v>
      </c>
      <c r="Y24" s="403">
        <v>0</v>
      </c>
      <c r="Z24" s="403">
        <v>0</v>
      </c>
      <c r="AA24" s="403">
        <v>1</v>
      </c>
      <c r="AB24" s="403">
        <v>1</v>
      </c>
      <c r="AC24" s="403"/>
      <c r="AD24" s="403"/>
      <c r="AE24" s="346"/>
      <c r="AF24" s="40"/>
      <c r="AG24" s="40"/>
      <c r="AH24" s="40"/>
      <c r="AI24" s="40"/>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row>
    <row r="25" spans="1:67" x14ac:dyDescent="0.2">
      <c r="A25" s="591">
        <v>10</v>
      </c>
      <c r="B25" s="588" t="s">
        <v>358</v>
      </c>
      <c r="C25" s="401">
        <v>0</v>
      </c>
      <c r="D25" s="401">
        <v>0</v>
      </c>
      <c r="E25" s="401">
        <v>0</v>
      </c>
      <c r="F25" s="401">
        <v>0</v>
      </c>
      <c r="G25" s="401">
        <v>0</v>
      </c>
      <c r="H25" s="401">
        <v>0</v>
      </c>
      <c r="I25" s="401">
        <v>0</v>
      </c>
      <c r="J25" s="401">
        <v>0</v>
      </c>
      <c r="K25" s="401">
        <v>0</v>
      </c>
      <c r="L25" s="401">
        <v>0</v>
      </c>
      <c r="M25" s="401">
        <v>0</v>
      </c>
      <c r="N25" s="401">
        <v>0</v>
      </c>
      <c r="O25" s="401">
        <v>0</v>
      </c>
      <c r="P25" s="401">
        <v>0</v>
      </c>
      <c r="Q25" s="401">
        <v>0</v>
      </c>
      <c r="R25" s="401">
        <v>0</v>
      </c>
      <c r="S25" s="401">
        <v>0</v>
      </c>
      <c r="T25" s="401">
        <v>0</v>
      </c>
      <c r="U25" s="401">
        <v>0</v>
      </c>
      <c r="V25" s="401">
        <v>0</v>
      </c>
      <c r="W25" s="401">
        <v>0</v>
      </c>
      <c r="X25" s="401">
        <v>0</v>
      </c>
      <c r="Y25" s="401">
        <v>0</v>
      </c>
      <c r="Z25" s="401">
        <v>0</v>
      </c>
      <c r="AA25" s="401">
        <v>0</v>
      </c>
      <c r="AB25" s="401">
        <v>0</v>
      </c>
      <c r="AC25" s="401">
        <v>0</v>
      </c>
      <c r="AD25" s="401">
        <v>0</v>
      </c>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row>
    <row r="26" spans="1:67" x14ac:dyDescent="0.2">
      <c r="A26" s="591"/>
      <c r="B26" s="588"/>
      <c r="C26" s="403"/>
      <c r="D26" s="403"/>
      <c r="E26" s="403"/>
      <c r="F26" s="403"/>
      <c r="G26" s="403"/>
      <c r="H26" s="403"/>
      <c r="I26" s="403"/>
      <c r="J26" s="403"/>
      <c r="K26" s="403"/>
      <c r="L26" s="403"/>
      <c r="M26" s="403"/>
      <c r="N26" s="403"/>
      <c r="O26" s="403"/>
      <c r="P26" s="403"/>
      <c r="Q26" s="403"/>
      <c r="R26" s="403"/>
      <c r="S26" s="403"/>
      <c r="T26" s="403"/>
      <c r="U26" s="403"/>
      <c r="V26" s="403"/>
      <c r="W26" s="403"/>
      <c r="X26" s="403"/>
      <c r="Y26" s="403"/>
      <c r="Z26" s="403"/>
      <c r="AA26" s="403"/>
      <c r="AB26" s="403"/>
      <c r="AC26" s="403"/>
      <c r="AD26" s="403"/>
      <c r="AE26" s="346"/>
      <c r="AF26" s="40"/>
      <c r="AG26" s="40"/>
      <c r="AH26" s="40"/>
      <c r="AI26" s="40"/>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row>
    <row r="27" spans="1:67" x14ac:dyDescent="0.2">
      <c r="A27" s="589">
        <v>11</v>
      </c>
      <c r="B27" s="588" t="s">
        <v>410</v>
      </c>
      <c r="C27" s="401">
        <v>14875</v>
      </c>
      <c r="D27" s="401">
        <v>168.62388383999848</v>
      </c>
      <c r="E27" s="401">
        <v>14220</v>
      </c>
      <c r="F27" s="401">
        <v>164.82282818099577</v>
      </c>
      <c r="G27" s="401">
        <v>4882</v>
      </c>
      <c r="H27" s="401">
        <v>89.085330546999671</v>
      </c>
      <c r="I27" s="401">
        <v>1795</v>
      </c>
      <c r="J27" s="401">
        <v>25.551130899999873</v>
      </c>
      <c r="K27" s="401">
        <v>13527</v>
      </c>
      <c r="L27" s="401">
        <v>138.79025365999985</v>
      </c>
      <c r="M27" s="401">
        <v>0</v>
      </c>
      <c r="N27" s="401">
        <v>0</v>
      </c>
      <c r="O27" s="401">
        <v>0</v>
      </c>
      <c r="P27" s="401">
        <v>0</v>
      </c>
      <c r="Q27" s="401">
        <v>0</v>
      </c>
      <c r="R27" s="401">
        <v>4.8809999999999999E-4</v>
      </c>
      <c r="S27" s="401">
        <v>0</v>
      </c>
      <c r="T27" s="401">
        <v>0</v>
      </c>
      <c r="U27" s="401">
        <v>565</v>
      </c>
      <c r="V27" s="401">
        <v>5.6864243799999938</v>
      </c>
      <c r="W27" s="401">
        <v>109</v>
      </c>
      <c r="X27" s="401">
        <v>0.45943758700000004</v>
      </c>
      <c r="Y27" s="401">
        <v>0</v>
      </c>
      <c r="Z27" s="401">
        <v>0</v>
      </c>
      <c r="AA27" s="401">
        <v>49973</v>
      </c>
      <c r="AB27" s="401">
        <v>593.01977719499359</v>
      </c>
      <c r="AC27" s="401">
        <v>0</v>
      </c>
      <c r="AD27" s="401">
        <v>0</v>
      </c>
      <c r="AE27" s="49"/>
      <c r="AF27" s="50"/>
      <c r="AG27" s="49"/>
      <c r="AH27" s="50"/>
      <c r="AI27" s="49"/>
      <c r="AJ27" s="50"/>
      <c r="AK27" s="49"/>
      <c r="AL27" s="50"/>
      <c r="AM27" s="49"/>
      <c r="AN27" s="50"/>
      <c r="AO27" s="49"/>
      <c r="AP27" s="50"/>
      <c r="AQ27" s="49"/>
      <c r="AR27" s="50"/>
      <c r="AS27" s="49"/>
      <c r="AT27" s="50"/>
      <c r="AU27" s="49"/>
      <c r="AV27" s="50"/>
      <c r="AW27" s="49"/>
      <c r="AX27" s="50"/>
      <c r="AY27" s="49"/>
      <c r="AZ27" s="50"/>
      <c r="BA27" s="49"/>
      <c r="BB27" s="50"/>
      <c r="BC27" s="51"/>
      <c r="BD27" s="52"/>
      <c r="BE27" s="49"/>
      <c r="BF27" s="50"/>
    </row>
    <row r="28" spans="1:67" x14ac:dyDescent="0.2">
      <c r="A28" s="589"/>
      <c r="B28" s="588"/>
      <c r="C28" s="403">
        <v>0.29766073679787086</v>
      </c>
      <c r="D28" s="403">
        <v>0.28434782502127659</v>
      </c>
      <c r="E28" s="403">
        <v>0.28455365897584695</v>
      </c>
      <c r="F28" s="403">
        <v>0.2779381641546832</v>
      </c>
      <c r="G28" s="403">
        <v>9.7692754087207095E-2</v>
      </c>
      <c r="H28" s="403">
        <v>0.15022320329412406</v>
      </c>
      <c r="I28" s="403">
        <v>3.5919396474096012E-2</v>
      </c>
      <c r="J28" s="403">
        <v>4.308647347455713E-2</v>
      </c>
      <c r="K28" s="403">
        <v>0.27068617053208732</v>
      </c>
      <c r="L28" s="403">
        <v>0.23403983981189144</v>
      </c>
      <c r="M28" s="403">
        <v>0</v>
      </c>
      <c r="N28" s="403">
        <v>0</v>
      </c>
      <c r="O28" s="403">
        <v>0</v>
      </c>
      <c r="P28" s="403">
        <v>0</v>
      </c>
      <c r="Q28" s="403">
        <v>0</v>
      </c>
      <c r="R28" s="403">
        <v>8.2307541631871338E-7</v>
      </c>
      <c r="S28" s="403">
        <v>0</v>
      </c>
      <c r="T28" s="403">
        <v>0</v>
      </c>
      <c r="U28" s="403">
        <v>1.1306105296860304E-2</v>
      </c>
      <c r="V28" s="403">
        <v>9.5889287316807542E-3</v>
      </c>
      <c r="W28" s="403">
        <v>2.181177836031457E-3</v>
      </c>
      <c r="X28" s="403">
        <v>7.7474243637060049E-4</v>
      </c>
      <c r="Y28" s="403">
        <v>0</v>
      </c>
      <c r="Z28" s="403">
        <v>0</v>
      </c>
      <c r="AA28" s="403">
        <v>1</v>
      </c>
      <c r="AB28" s="403">
        <v>1</v>
      </c>
      <c r="AC28" s="403"/>
      <c r="AD28" s="403"/>
      <c r="AE28" s="346"/>
      <c r="AF28" s="40"/>
      <c r="AG28" s="40"/>
      <c r="AH28" s="40"/>
      <c r="AI28" s="40"/>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row>
    <row r="29" spans="1:67" s="22" customFormat="1" x14ac:dyDescent="0.2">
      <c r="A29" s="591">
        <v>12</v>
      </c>
      <c r="B29" s="588" t="s">
        <v>12</v>
      </c>
      <c r="C29" s="401"/>
      <c r="D29" s="401"/>
      <c r="E29" s="401"/>
      <c r="F29" s="401"/>
      <c r="G29" s="401"/>
      <c r="H29" s="401"/>
      <c r="I29" s="401"/>
      <c r="J29" s="401"/>
      <c r="K29" s="401"/>
      <c r="L29" s="401"/>
      <c r="M29" s="401"/>
      <c r="N29" s="401"/>
      <c r="O29" s="401"/>
      <c r="P29" s="401"/>
      <c r="Q29" s="401"/>
      <c r="R29" s="401"/>
      <c r="S29" s="401"/>
      <c r="T29" s="401"/>
      <c r="U29" s="401"/>
      <c r="V29" s="401"/>
      <c r="W29" s="401"/>
      <c r="X29" s="401"/>
      <c r="Y29" s="401"/>
      <c r="Z29" s="401"/>
      <c r="AA29" s="401"/>
      <c r="AB29" s="401"/>
      <c r="AC29" s="401"/>
      <c r="AD29" s="401"/>
      <c r="AE29" s="49"/>
      <c r="AF29" s="50"/>
      <c r="AG29" s="49"/>
      <c r="AH29" s="50"/>
      <c r="AI29" s="49"/>
      <c r="AJ29" s="50"/>
      <c r="AK29" s="49"/>
      <c r="AL29" s="50"/>
      <c r="AM29" s="49"/>
      <c r="AN29" s="50"/>
      <c r="AO29" s="49"/>
      <c r="AP29" s="50"/>
      <c r="AQ29" s="49"/>
      <c r="AR29" s="50"/>
      <c r="AS29" s="49"/>
      <c r="AT29" s="50"/>
      <c r="AU29" s="49"/>
      <c r="AV29" s="50"/>
      <c r="AW29" s="49"/>
      <c r="AX29" s="50"/>
      <c r="AY29" s="49"/>
      <c r="AZ29" s="50"/>
      <c r="BA29" s="49"/>
      <c r="BB29" s="50"/>
      <c r="BC29" s="51"/>
      <c r="BD29" s="52"/>
      <c r="BE29" s="49"/>
      <c r="BF29" s="50"/>
    </row>
    <row r="30" spans="1:67" x14ac:dyDescent="0.2">
      <c r="A30" s="591"/>
      <c r="B30" s="588"/>
      <c r="C30" s="403"/>
      <c r="D30" s="403"/>
      <c r="E30" s="403"/>
      <c r="F30" s="403"/>
      <c r="G30" s="403"/>
      <c r="H30" s="403"/>
      <c r="I30" s="403"/>
      <c r="J30" s="403"/>
      <c r="K30" s="403"/>
      <c r="L30" s="403"/>
      <c r="M30" s="403"/>
      <c r="N30" s="403"/>
      <c r="O30" s="403"/>
      <c r="P30" s="403"/>
      <c r="Q30" s="403"/>
      <c r="R30" s="403"/>
      <c r="S30" s="403"/>
      <c r="T30" s="403"/>
      <c r="U30" s="403"/>
      <c r="V30" s="403"/>
      <c r="W30" s="403"/>
      <c r="X30" s="403"/>
      <c r="Y30" s="403"/>
      <c r="Z30" s="403"/>
      <c r="AA30" s="403"/>
      <c r="AB30" s="403"/>
      <c r="AC30" s="403"/>
      <c r="AD30" s="403"/>
      <c r="AE30" s="346"/>
      <c r="AF30" s="40"/>
      <c r="AG30" s="40"/>
      <c r="AH30" s="40"/>
      <c r="AI30" s="40"/>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row>
    <row r="31" spans="1:67" x14ac:dyDescent="0.2">
      <c r="A31" s="589">
        <v>13</v>
      </c>
      <c r="B31" s="588" t="s">
        <v>13</v>
      </c>
      <c r="C31" s="401">
        <v>1871</v>
      </c>
      <c r="D31" s="401">
        <v>21.128095200000001</v>
      </c>
      <c r="E31" s="401">
        <v>5464</v>
      </c>
      <c r="F31" s="401">
        <v>57.342951999999997</v>
      </c>
      <c r="G31" s="401">
        <v>2523</v>
      </c>
      <c r="H31" s="401">
        <v>34.042934100000004</v>
      </c>
      <c r="I31" s="401">
        <v>1259</v>
      </c>
      <c r="J31" s="401">
        <v>10.2109501</v>
      </c>
      <c r="K31" s="401">
        <v>25493</v>
      </c>
      <c r="L31" s="401">
        <v>322.61629341900004</v>
      </c>
      <c r="M31" s="401">
        <v>0</v>
      </c>
      <c r="N31" s="401">
        <v>0</v>
      </c>
      <c r="O31" s="401">
        <v>0</v>
      </c>
      <c r="P31" s="401">
        <v>0</v>
      </c>
      <c r="Q31" s="401">
        <v>0</v>
      </c>
      <c r="R31" s="401">
        <v>0</v>
      </c>
      <c r="S31" s="401">
        <v>1545</v>
      </c>
      <c r="T31" s="401">
        <v>28.830096900000001</v>
      </c>
      <c r="U31" s="401">
        <v>52</v>
      </c>
      <c r="V31" s="401">
        <v>2.2828242999999997</v>
      </c>
      <c r="W31" s="401">
        <v>0</v>
      </c>
      <c r="X31" s="401">
        <v>0</v>
      </c>
      <c r="Y31" s="401">
        <v>0</v>
      </c>
      <c r="Z31" s="401">
        <v>0</v>
      </c>
      <c r="AA31" s="401">
        <v>38207</v>
      </c>
      <c r="AB31" s="401">
        <v>476.45414601900006</v>
      </c>
      <c r="AC31" s="401">
        <v>0</v>
      </c>
      <c r="AD31" s="401">
        <v>0</v>
      </c>
      <c r="AE31" s="49"/>
      <c r="AF31" s="50"/>
      <c r="AG31" s="49"/>
      <c r="AH31" s="50"/>
      <c r="AI31" s="49"/>
      <c r="AJ31" s="50"/>
      <c r="AK31" s="49"/>
      <c r="AL31" s="50"/>
      <c r="AM31" s="49"/>
      <c r="AN31" s="50"/>
      <c r="AO31" s="49"/>
      <c r="AP31" s="50"/>
      <c r="AQ31" s="49"/>
      <c r="AR31" s="50"/>
      <c r="AS31" s="49"/>
      <c r="AT31" s="50"/>
      <c r="AU31" s="49"/>
      <c r="AV31" s="50"/>
      <c r="AW31" s="49"/>
      <c r="AX31" s="50"/>
      <c r="AY31" s="49"/>
      <c r="AZ31" s="50"/>
      <c r="BA31" s="49"/>
      <c r="BB31" s="50"/>
      <c r="BC31" s="51"/>
      <c r="BD31" s="52"/>
      <c r="BE31" s="49"/>
      <c r="BF31" s="50"/>
    </row>
    <row r="32" spans="1:67" x14ac:dyDescent="0.2">
      <c r="A32" s="589"/>
      <c r="B32" s="588"/>
      <c r="C32" s="403">
        <v>4.897008401601801E-2</v>
      </c>
      <c r="D32" s="403">
        <v>4.4344446105748551E-2</v>
      </c>
      <c r="E32" s="403">
        <v>0.14301044311251865</v>
      </c>
      <c r="F32" s="403">
        <v>0.12035355863544793</v>
      </c>
      <c r="G32" s="403">
        <v>6.6035019760776817E-2</v>
      </c>
      <c r="H32" s="403">
        <v>7.1450598938942678E-2</v>
      </c>
      <c r="I32" s="403">
        <v>3.2952076844557282E-2</v>
      </c>
      <c r="J32" s="403">
        <v>2.1431128651764962E-2</v>
      </c>
      <c r="K32" s="403">
        <v>0.66723375297720311</v>
      </c>
      <c r="L32" s="403">
        <v>0.67711929073261701</v>
      </c>
      <c r="M32" s="403">
        <v>0</v>
      </c>
      <c r="N32" s="403">
        <v>0</v>
      </c>
      <c r="O32" s="403">
        <v>0</v>
      </c>
      <c r="P32" s="403">
        <v>0</v>
      </c>
      <c r="Q32" s="403">
        <v>0</v>
      </c>
      <c r="R32" s="403">
        <v>0</v>
      </c>
      <c r="S32" s="403">
        <v>4.0437616143638604E-2</v>
      </c>
      <c r="T32" s="403">
        <v>6.0509698867958456E-2</v>
      </c>
      <c r="U32" s="403">
        <v>1.3610071452875127E-3</v>
      </c>
      <c r="V32" s="403">
        <v>4.7912780675204054E-3</v>
      </c>
      <c r="W32" s="403">
        <v>0</v>
      </c>
      <c r="X32" s="403">
        <v>0</v>
      </c>
      <c r="Y32" s="403">
        <v>0</v>
      </c>
      <c r="Z32" s="403">
        <v>0</v>
      </c>
      <c r="AA32" s="403">
        <v>1</v>
      </c>
      <c r="AB32" s="403">
        <v>1</v>
      </c>
      <c r="AC32" s="403"/>
      <c r="AD32" s="403"/>
      <c r="AE32" s="346"/>
      <c r="AF32" s="40"/>
      <c r="AG32" s="40"/>
      <c r="AH32" s="40"/>
      <c r="AI32" s="40"/>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row>
    <row r="33" spans="1:67" x14ac:dyDescent="0.2">
      <c r="A33" s="591">
        <v>14</v>
      </c>
      <c r="B33" s="588" t="s">
        <v>357</v>
      </c>
      <c r="C33" s="401">
        <v>153</v>
      </c>
      <c r="D33" s="401">
        <v>0.46374845899999989</v>
      </c>
      <c r="E33" s="401">
        <v>0</v>
      </c>
      <c r="F33" s="401">
        <v>0</v>
      </c>
      <c r="G33" s="401">
        <v>315</v>
      </c>
      <c r="H33" s="401">
        <v>2.1799056030000012</v>
      </c>
      <c r="I33" s="401">
        <v>4918</v>
      </c>
      <c r="J33" s="401">
        <v>45.33793749699997</v>
      </c>
      <c r="K33" s="401">
        <v>641</v>
      </c>
      <c r="L33" s="401">
        <v>2.0342255250000005</v>
      </c>
      <c r="M33" s="401">
        <v>0</v>
      </c>
      <c r="N33" s="401">
        <v>0</v>
      </c>
      <c r="O33" s="401">
        <v>0</v>
      </c>
      <c r="P33" s="401">
        <v>0</v>
      </c>
      <c r="Q33" s="401">
        <v>0</v>
      </c>
      <c r="R33" s="401">
        <v>0</v>
      </c>
      <c r="S33" s="401">
        <v>20</v>
      </c>
      <c r="T33" s="401">
        <v>3.8466060999999996E-2</v>
      </c>
      <c r="U33" s="401">
        <v>0</v>
      </c>
      <c r="V33" s="401">
        <v>0</v>
      </c>
      <c r="W33" s="401">
        <v>465</v>
      </c>
      <c r="X33" s="401">
        <v>1.1457895769999999</v>
      </c>
      <c r="Y33" s="401">
        <v>0</v>
      </c>
      <c r="Z33" s="401">
        <v>0</v>
      </c>
      <c r="AA33" s="401">
        <v>6512</v>
      </c>
      <c r="AB33" s="401">
        <v>51.20007272199998</v>
      </c>
      <c r="AC33" s="401">
        <v>0</v>
      </c>
      <c r="AD33" s="401">
        <v>0</v>
      </c>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row>
    <row r="34" spans="1:67" x14ac:dyDescent="0.2">
      <c r="A34" s="591"/>
      <c r="B34" s="588"/>
      <c r="C34" s="403">
        <v>2.3495085995085995E-2</v>
      </c>
      <c r="D34" s="403">
        <v>9.057574224904049E-3</v>
      </c>
      <c r="E34" s="403">
        <v>0</v>
      </c>
      <c r="F34" s="403">
        <v>0</v>
      </c>
      <c r="G34" s="403">
        <v>4.8372235872235873E-2</v>
      </c>
      <c r="H34" s="403">
        <v>4.2576220835392004E-2</v>
      </c>
      <c r="I34" s="403">
        <v>0.75522113022113024</v>
      </c>
      <c r="J34" s="403">
        <v>0.88550533400939624</v>
      </c>
      <c r="K34" s="403">
        <v>9.8433660933660933E-2</v>
      </c>
      <c r="L34" s="403">
        <v>3.9730910853294964E-2</v>
      </c>
      <c r="M34" s="403">
        <v>0</v>
      </c>
      <c r="N34" s="403">
        <v>0</v>
      </c>
      <c r="O34" s="403">
        <v>0</v>
      </c>
      <c r="P34" s="403">
        <v>0</v>
      </c>
      <c r="Q34" s="403">
        <v>0</v>
      </c>
      <c r="R34" s="403">
        <v>0</v>
      </c>
      <c r="S34" s="403">
        <v>3.0712530712530711E-3</v>
      </c>
      <c r="T34" s="403">
        <v>7.5128918681147984E-4</v>
      </c>
      <c r="U34" s="403">
        <v>0</v>
      </c>
      <c r="V34" s="403">
        <v>0</v>
      </c>
      <c r="W34" s="403">
        <v>7.1406633906633904E-2</v>
      </c>
      <c r="X34" s="403">
        <v>2.2378670890201093E-2</v>
      </c>
      <c r="Y34" s="403">
        <v>0</v>
      </c>
      <c r="Z34" s="403">
        <v>0</v>
      </c>
      <c r="AA34" s="403">
        <v>1</v>
      </c>
      <c r="AB34" s="403">
        <v>1</v>
      </c>
      <c r="AC34" s="403"/>
      <c r="AD34" s="403"/>
      <c r="AE34" s="346"/>
      <c r="AF34" s="40"/>
      <c r="AG34" s="40"/>
      <c r="AH34" s="40"/>
      <c r="AI34" s="40"/>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row>
    <row r="35" spans="1:67" x14ac:dyDescent="0.2">
      <c r="A35" s="589">
        <v>15</v>
      </c>
      <c r="B35" s="588" t="s">
        <v>14</v>
      </c>
      <c r="C35" s="401">
        <v>251800</v>
      </c>
      <c r="D35" s="401">
        <v>2920.5406114299985</v>
      </c>
      <c r="E35" s="401">
        <v>628682</v>
      </c>
      <c r="F35" s="401">
        <v>8468.700649866998</v>
      </c>
      <c r="G35" s="401">
        <v>72128</v>
      </c>
      <c r="H35" s="401">
        <v>731.55629301199986</v>
      </c>
      <c r="I35" s="401">
        <v>152545</v>
      </c>
      <c r="J35" s="401">
        <v>996.77679175000026</v>
      </c>
      <c r="K35" s="401">
        <v>99223</v>
      </c>
      <c r="L35" s="401">
        <v>3257.172581468004</v>
      </c>
      <c r="M35" s="401">
        <v>0</v>
      </c>
      <c r="N35" s="401">
        <v>0</v>
      </c>
      <c r="O35" s="401">
        <v>0</v>
      </c>
      <c r="P35" s="401">
        <v>0</v>
      </c>
      <c r="Q35" s="401">
        <v>117</v>
      </c>
      <c r="R35" s="401">
        <v>0.37843647000000002</v>
      </c>
      <c r="S35" s="401">
        <v>603</v>
      </c>
      <c r="T35" s="401">
        <v>7.4072150200000006</v>
      </c>
      <c r="U35" s="401">
        <v>62048</v>
      </c>
      <c r="V35" s="401">
        <v>503.97744056599981</v>
      </c>
      <c r="W35" s="401">
        <v>0</v>
      </c>
      <c r="X35" s="401">
        <v>0</v>
      </c>
      <c r="Y35" s="401">
        <v>0</v>
      </c>
      <c r="Z35" s="401">
        <v>0.10514999999999999</v>
      </c>
      <c r="AA35" s="401">
        <v>1267146</v>
      </c>
      <c r="AB35" s="401">
        <v>16886.615169583001</v>
      </c>
      <c r="AC35" s="401">
        <v>0</v>
      </c>
      <c r="AD35" s="401">
        <v>0</v>
      </c>
      <c r="AE35" s="49"/>
      <c r="AF35" s="50"/>
      <c r="AG35" s="49"/>
      <c r="AH35" s="50"/>
      <c r="AI35" s="49"/>
      <c r="AJ35" s="50"/>
      <c r="AK35" s="49"/>
      <c r="AL35" s="50"/>
      <c r="AM35" s="49"/>
      <c r="AN35" s="50"/>
      <c r="AO35" s="49"/>
      <c r="AP35" s="50"/>
      <c r="AQ35" s="49"/>
      <c r="AR35" s="50"/>
      <c r="AS35" s="49"/>
      <c r="AT35" s="50"/>
      <c r="AU35" s="49"/>
      <c r="AV35" s="50"/>
      <c r="AW35" s="49"/>
      <c r="AX35" s="50"/>
      <c r="AY35" s="49"/>
      <c r="AZ35" s="50"/>
      <c r="BA35" s="49"/>
      <c r="BB35" s="50"/>
      <c r="BC35" s="51"/>
      <c r="BD35" s="52"/>
      <c r="BE35" s="49"/>
      <c r="BF35" s="50"/>
    </row>
    <row r="36" spans="1:67" x14ac:dyDescent="0.2">
      <c r="A36" s="589"/>
      <c r="B36" s="588"/>
      <c r="C36" s="403">
        <v>0.19871427601870661</v>
      </c>
      <c r="D36" s="403">
        <v>0.17295003066633621</v>
      </c>
      <c r="E36" s="403">
        <v>0.49614014486097102</v>
      </c>
      <c r="F36" s="403">
        <v>0.50150373919346702</v>
      </c>
      <c r="G36" s="403">
        <v>5.6921617556303691E-2</v>
      </c>
      <c r="H36" s="403">
        <v>4.3321665453104827E-2</v>
      </c>
      <c r="I36" s="403">
        <v>0.12038470705033201</v>
      </c>
      <c r="J36" s="403">
        <v>5.9027625236906175E-2</v>
      </c>
      <c r="K36" s="403">
        <v>7.8304315366974284E-2</v>
      </c>
      <c r="L36" s="403">
        <v>0.19288487057696341</v>
      </c>
      <c r="M36" s="403">
        <v>0</v>
      </c>
      <c r="N36" s="403">
        <v>0</v>
      </c>
      <c r="O36" s="403">
        <v>0</v>
      </c>
      <c r="P36" s="403">
        <v>0</v>
      </c>
      <c r="Q36" s="403">
        <v>9.2333480119891474E-5</v>
      </c>
      <c r="R36" s="403">
        <v>2.2410439641074922E-5</v>
      </c>
      <c r="S36" s="403">
        <v>4.7587255138713296E-4</v>
      </c>
      <c r="T36" s="403">
        <v>4.3864415370477793E-4</v>
      </c>
      <c r="U36" s="403">
        <v>4.8966733115205351E-2</v>
      </c>
      <c r="V36" s="403">
        <v>2.9844787454728565E-2</v>
      </c>
      <c r="W36" s="403">
        <v>0</v>
      </c>
      <c r="X36" s="403">
        <v>0</v>
      </c>
      <c r="Y36" s="403">
        <v>0</v>
      </c>
      <c r="Z36" s="403">
        <v>6.2268251478485357E-6</v>
      </c>
      <c r="AA36" s="403">
        <v>1</v>
      </c>
      <c r="AB36" s="403">
        <v>1</v>
      </c>
      <c r="AC36" s="403"/>
      <c r="AD36" s="403"/>
      <c r="AE36" s="346"/>
      <c r="AF36" s="40"/>
      <c r="AG36" s="40"/>
      <c r="AH36" s="40"/>
      <c r="AI36" s="40"/>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row>
    <row r="37" spans="1:67" x14ac:dyDescent="0.2">
      <c r="A37" s="591">
        <v>16</v>
      </c>
      <c r="B37" s="588" t="s">
        <v>15</v>
      </c>
      <c r="C37" s="401">
        <v>181768</v>
      </c>
      <c r="D37" s="401">
        <v>3255.8694169999999</v>
      </c>
      <c r="E37" s="401">
        <v>221894</v>
      </c>
      <c r="F37" s="401">
        <v>3068.2337710000002</v>
      </c>
      <c r="G37" s="401">
        <v>25962</v>
      </c>
      <c r="H37" s="401">
        <v>275.01277800000003</v>
      </c>
      <c r="I37" s="401">
        <v>121060</v>
      </c>
      <c r="J37" s="401">
        <v>786.17684399999996</v>
      </c>
      <c r="K37" s="401">
        <v>73404</v>
      </c>
      <c r="L37" s="401">
        <v>2408.0892699999999</v>
      </c>
      <c r="M37" s="401">
        <v>3442</v>
      </c>
      <c r="N37" s="401">
        <v>1.7534999999999999E-2</v>
      </c>
      <c r="O37" s="401">
        <v>0</v>
      </c>
      <c r="P37" s="401">
        <v>0</v>
      </c>
      <c r="Q37" s="401">
        <v>195</v>
      </c>
      <c r="R37" s="401">
        <v>0.89427100000000004</v>
      </c>
      <c r="S37" s="401">
        <v>2101</v>
      </c>
      <c r="T37" s="401">
        <v>20.890585000000002</v>
      </c>
      <c r="U37" s="401">
        <v>29836</v>
      </c>
      <c r="V37" s="401">
        <v>216.52298099999999</v>
      </c>
      <c r="W37" s="401">
        <v>306</v>
      </c>
      <c r="X37" s="401">
        <v>4.6340079999999997</v>
      </c>
      <c r="Y37" s="401">
        <v>0</v>
      </c>
      <c r="Z37" s="401">
        <v>0</v>
      </c>
      <c r="AA37" s="401">
        <v>659968</v>
      </c>
      <c r="AB37" s="401">
        <v>10036.34146</v>
      </c>
      <c r="AC37" s="401">
        <v>0</v>
      </c>
      <c r="AD37" s="401">
        <v>0</v>
      </c>
      <c r="AE37" s="49"/>
      <c r="AF37" s="50"/>
      <c r="AG37" s="49"/>
      <c r="AH37" s="50"/>
      <c r="AI37" s="49"/>
      <c r="AJ37" s="50"/>
      <c r="AK37" s="49"/>
      <c r="AL37" s="50"/>
      <c r="AM37" s="49"/>
      <c r="AN37" s="50"/>
      <c r="AO37" s="49"/>
      <c r="AP37" s="50"/>
      <c r="AQ37" s="49"/>
      <c r="AR37" s="50"/>
      <c r="AS37" s="49"/>
      <c r="AT37" s="50"/>
      <c r="AU37" s="49"/>
      <c r="AV37" s="50"/>
      <c r="AW37" s="49"/>
      <c r="AX37" s="50"/>
      <c r="AY37" s="49"/>
      <c r="AZ37" s="50"/>
      <c r="BA37" s="49"/>
      <c r="BB37" s="50"/>
      <c r="BC37" s="51"/>
      <c r="BD37" s="52"/>
      <c r="BE37" s="49"/>
      <c r="BF37" s="50"/>
    </row>
    <row r="38" spans="1:67" x14ac:dyDescent="0.2">
      <c r="A38" s="591"/>
      <c r="B38" s="588"/>
      <c r="C38" s="403">
        <v>0.27541941427463151</v>
      </c>
      <c r="D38" s="403">
        <v>0.32440799568013101</v>
      </c>
      <c r="E38" s="403">
        <v>0.33621933184639258</v>
      </c>
      <c r="F38" s="403">
        <v>0.30571237369996779</v>
      </c>
      <c r="G38" s="403">
        <v>3.9338270946470133E-2</v>
      </c>
      <c r="H38" s="403">
        <v>2.7401696035957712E-2</v>
      </c>
      <c r="I38" s="403">
        <v>0.18343313615205586</v>
      </c>
      <c r="J38" s="403">
        <v>7.8333010802125499E-2</v>
      </c>
      <c r="K38" s="403">
        <v>0.11122357447633825</v>
      </c>
      <c r="L38" s="403">
        <v>0.23993696105273804</v>
      </c>
      <c r="M38" s="403">
        <v>5.2154043832428236E-3</v>
      </c>
      <c r="N38" s="403">
        <v>1.7471505996369317E-6</v>
      </c>
      <c r="O38" s="403">
        <v>0</v>
      </c>
      <c r="P38" s="403">
        <v>0</v>
      </c>
      <c r="Q38" s="403">
        <v>2.9546887121799847E-4</v>
      </c>
      <c r="R38" s="403">
        <v>8.9103285650865053E-5</v>
      </c>
      <c r="S38" s="403">
        <v>3.1834876842513574E-3</v>
      </c>
      <c r="T38" s="403">
        <v>2.0814940467360305E-3</v>
      </c>
      <c r="U38" s="403">
        <v>4.5208252521334369E-2</v>
      </c>
      <c r="V38" s="403">
        <v>2.157389541427579E-2</v>
      </c>
      <c r="W38" s="403">
        <v>4.6365884406516681E-4</v>
      </c>
      <c r="X38" s="403">
        <v>4.6172283181764121E-4</v>
      </c>
      <c r="Y38" s="403">
        <v>0</v>
      </c>
      <c r="Z38" s="403">
        <v>0</v>
      </c>
      <c r="AA38" s="403">
        <v>1</v>
      </c>
      <c r="AB38" s="403">
        <v>1</v>
      </c>
      <c r="AC38" s="403"/>
      <c r="AD38" s="403"/>
      <c r="AE38" s="346"/>
      <c r="AF38" s="40"/>
      <c r="AG38" s="40"/>
      <c r="AH38" s="40"/>
      <c r="AI38" s="40"/>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row>
    <row r="39" spans="1:67" x14ac:dyDescent="0.2">
      <c r="A39" s="589">
        <v>17</v>
      </c>
      <c r="B39" s="588" t="s">
        <v>16</v>
      </c>
      <c r="C39" s="401">
        <v>10449</v>
      </c>
      <c r="D39" s="401">
        <v>79.99066126699995</v>
      </c>
      <c r="E39" s="401">
        <v>153336</v>
      </c>
      <c r="F39" s="401">
        <v>1160.1184067922648</v>
      </c>
      <c r="G39" s="401">
        <v>214</v>
      </c>
      <c r="H39" s="401">
        <v>3.0606653369999921</v>
      </c>
      <c r="I39" s="401">
        <v>16985</v>
      </c>
      <c r="J39" s="401">
        <v>157.29340649998701</v>
      </c>
      <c r="K39" s="401">
        <v>12708</v>
      </c>
      <c r="L39" s="401">
        <v>120.63408900099803</v>
      </c>
      <c r="M39" s="401">
        <v>0</v>
      </c>
      <c r="N39" s="401">
        <v>0</v>
      </c>
      <c r="O39" s="401">
        <v>9021</v>
      </c>
      <c r="P39" s="401">
        <v>9.1436261000003061</v>
      </c>
      <c r="Q39" s="401">
        <v>0</v>
      </c>
      <c r="R39" s="401">
        <v>-8.8091426514447235E-20</v>
      </c>
      <c r="S39" s="401">
        <v>0</v>
      </c>
      <c r="T39" s="401">
        <v>0</v>
      </c>
      <c r="U39" s="401">
        <v>0</v>
      </c>
      <c r="V39" s="401">
        <v>0</v>
      </c>
      <c r="W39" s="401">
        <v>0</v>
      </c>
      <c r="X39" s="401">
        <v>0</v>
      </c>
      <c r="Y39" s="401">
        <v>0</v>
      </c>
      <c r="Z39" s="401">
        <v>0</v>
      </c>
      <c r="AA39" s="401">
        <v>202713</v>
      </c>
      <c r="AB39" s="401">
        <v>1530.2408549972502</v>
      </c>
      <c r="AC39" s="401">
        <v>0</v>
      </c>
      <c r="AD39" s="401">
        <v>0</v>
      </c>
      <c r="AE39" s="49"/>
      <c r="AF39" s="50"/>
      <c r="AG39" s="49"/>
      <c r="AH39" s="50"/>
      <c r="AI39" s="49"/>
      <c r="AJ39" s="50"/>
      <c r="AK39" s="49"/>
      <c r="AL39" s="50"/>
      <c r="AM39" s="49"/>
      <c r="AN39" s="50"/>
      <c r="AO39" s="49"/>
      <c r="AP39" s="50"/>
      <c r="AQ39" s="49"/>
      <c r="AR39" s="50"/>
      <c r="AS39" s="49"/>
      <c r="AT39" s="50"/>
      <c r="AU39" s="49"/>
      <c r="AV39" s="50"/>
      <c r="AW39" s="49"/>
      <c r="AX39" s="50"/>
      <c r="AY39" s="49"/>
      <c r="AZ39" s="50"/>
      <c r="BA39" s="49"/>
      <c r="BB39" s="50"/>
      <c r="BC39" s="51"/>
      <c r="BD39" s="52"/>
      <c r="BE39" s="49"/>
      <c r="BF39" s="50"/>
    </row>
    <row r="40" spans="1:67" x14ac:dyDescent="0.2">
      <c r="A40" s="589"/>
      <c r="B40" s="588"/>
      <c r="C40" s="403">
        <v>5.1545781474301104E-2</v>
      </c>
      <c r="D40" s="403">
        <v>5.2273249015524222E-2</v>
      </c>
      <c r="E40" s="403">
        <v>0.75641917390596558</v>
      </c>
      <c r="F40" s="403">
        <v>0.75812797900651363</v>
      </c>
      <c r="G40" s="403">
        <v>1.0556797048043292E-3</v>
      </c>
      <c r="H40" s="403">
        <v>2.0001199987602553E-3</v>
      </c>
      <c r="I40" s="403">
        <v>8.3788410215427725E-2</v>
      </c>
      <c r="J40" s="403">
        <v>0.10278996668159776</v>
      </c>
      <c r="K40" s="403">
        <v>6.2689615367539323E-2</v>
      </c>
      <c r="L40" s="403">
        <v>7.8833399727270256E-2</v>
      </c>
      <c r="M40" s="403">
        <v>0</v>
      </c>
      <c r="N40" s="403">
        <v>0</v>
      </c>
      <c r="O40" s="403">
        <v>4.4501339331961938E-2</v>
      </c>
      <c r="P40" s="403">
        <v>5.9752855703337875E-3</v>
      </c>
      <c r="Q40" s="403">
        <v>0</v>
      </c>
      <c r="R40" s="403">
        <v>-5.7567033468470255E-23</v>
      </c>
      <c r="S40" s="403">
        <v>0</v>
      </c>
      <c r="T40" s="403">
        <v>0</v>
      </c>
      <c r="U40" s="403">
        <v>0</v>
      </c>
      <c r="V40" s="403">
        <v>0</v>
      </c>
      <c r="W40" s="403">
        <v>0</v>
      </c>
      <c r="X40" s="403">
        <v>0</v>
      </c>
      <c r="Y40" s="403">
        <v>0</v>
      </c>
      <c r="Z40" s="403">
        <v>0</v>
      </c>
      <c r="AA40" s="403">
        <v>1</v>
      </c>
      <c r="AB40" s="403">
        <v>1</v>
      </c>
      <c r="AC40" s="403"/>
      <c r="AD40" s="403"/>
      <c r="AE40" s="346"/>
      <c r="AF40" s="40"/>
      <c r="AG40" s="40"/>
      <c r="AH40" s="40"/>
      <c r="AI40" s="40"/>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row>
    <row r="41" spans="1:67" x14ac:dyDescent="0.2">
      <c r="A41" s="591">
        <v>18</v>
      </c>
      <c r="B41" s="588" t="s">
        <v>17</v>
      </c>
      <c r="C41" s="401">
        <v>99759</v>
      </c>
      <c r="D41" s="401">
        <v>796.10631631299987</v>
      </c>
      <c r="E41" s="401">
        <v>134664</v>
      </c>
      <c r="F41" s="401">
        <v>1914.1605766160003</v>
      </c>
      <c r="G41" s="401">
        <v>5143</v>
      </c>
      <c r="H41" s="401">
        <v>74.28994302000001</v>
      </c>
      <c r="I41" s="401">
        <v>8960</v>
      </c>
      <c r="J41" s="401">
        <v>103.3574694</v>
      </c>
      <c r="K41" s="401">
        <v>59315</v>
      </c>
      <c r="L41" s="401">
        <v>1195.8960032</v>
      </c>
      <c r="M41" s="401">
        <v>0</v>
      </c>
      <c r="N41" s="401">
        <v>0</v>
      </c>
      <c r="O41" s="401">
        <v>0</v>
      </c>
      <c r="P41" s="401">
        <v>0</v>
      </c>
      <c r="Q41" s="401">
        <v>328</v>
      </c>
      <c r="R41" s="401">
        <v>1.8756193999999999</v>
      </c>
      <c r="S41" s="401">
        <v>48</v>
      </c>
      <c r="T41" s="401">
        <v>0.74643720000000002</v>
      </c>
      <c r="U41" s="401">
        <v>2603</v>
      </c>
      <c r="V41" s="401">
        <v>6.9964275000000002</v>
      </c>
      <c r="W41" s="401">
        <v>0</v>
      </c>
      <c r="X41" s="401">
        <v>0</v>
      </c>
      <c r="Y41" s="401">
        <v>0</v>
      </c>
      <c r="Z41" s="401">
        <v>0</v>
      </c>
      <c r="AA41" s="401">
        <v>310820</v>
      </c>
      <c r="AB41" s="401">
        <v>4093.4287926490001</v>
      </c>
      <c r="AC41" s="401">
        <v>123</v>
      </c>
      <c r="AD41" s="401">
        <v>0.65623880000000001</v>
      </c>
      <c r="AE41" s="49"/>
      <c r="AF41" s="50"/>
      <c r="AG41" s="49"/>
      <c r="AH41" s="50"/>
      <c r="AI41" s="49"/>
      <c r="AJ41" s="50"/>
      <c r="AK41" s="49"/>
      <c r="AL41" s="50"/>
      <c r="AM41" s="49"/>
      <c r="AN41" s="50"/>
      <c r="AO41" s="49"/>
      <c r="AP41" s="50"/>
      <c r="AQ41" s="49"/>
      <c r="AR41" s="50"/>
      <c r="AS41" s="49"/>
      <c r="AT41" s="50"/>
      <c r="AU41" s="49"/>
      <c r="AV41" s="50"/>
      <c r="AW41" s="49"/>
      <c r="AX41" s="50"/>
      <c r="AY41" s="49"/>
      <c r="AZ41" s="50"/>
      <c r="BA41" s="49"/>
      <c r="BB41" s="50"/>
      <c r="BC41" s="51"/>
      <c r="BD41" s="52"/>
      <c r="BE41" s="49"/>
      <c r="BF41" s="50"/>
    </row>
    <row r="42" spans="1:67" x14ac:dyDescent="0.2">
      <c r="A42" s="591"/>
      <c r="B42" s="588"/>
      <c r="C42" s="403">
        <v>0.32095425004825945</v>
      </c>
      <c r="D42" s="403">
        <v>0.19448397825867927</v>
      </c>
      <c r="E42" s="403">
        <v>0.43325397336078758</v>
      </c>
      <c r="F42" s="403">
        <v>0.46761790019493182</v>
      </c>
      <c r="G42" s="403">
        <v>1.6546554275786628E-2</v>
      </c>
      <c r="H42" s="403">
        <v>1.8148585643754267E-2</v>
      </c>
      <c r="I42" s="403">
        <v>2.8826973811209061E-2</v>
      </c>
      <c r="J42" s="403">
        <v>2.5249607269487589E-2</v>
      </c>
      <c r="K42" s="403">
        <v>0.19083392317096712</v>
      </c>
      <c r="L42" s="403">
        <v>0.29215019089805494</v>
      </c>
      <c r="M42" s="403">
        <v>0</v>
      </c>
      <c r="N42" s="403">
        <v>0</v>
      </c>
      <c r="O42" s="403">
        <v>0</v>
      </c>
      <c r="P42" s="403">
        <v>0</v>
      </c>
      <c r="Q42" s="403">
        <v>1.0552731484460458E-3</v>
      </c>
      <c r="R42" s="403">
        <v>4.5820252287477104E-4</v>
      </c>
      <c r="S42" s="403">
        <v>1.5443021684576283E-4</v>
      </c>
      <c r="T42" s="403">
        <v>1.8235011229228066E-4</v>
      </c>
      <c r="U42" s="403">
        <v>8.3746219676983456E-3</v>
      </c>
      <c r="V42" s="403">
        <v>1.7091850999250847E-3</v>
      </c>
      <c r="W42" s="403">
        <v>0</v>
      </c>
      <c r="X42" s="403">
        <v>0</v>
      </c>
      <c r="Y42" s="403">
        <v>0</v>
      </c>
      <c r="Z42" s="403">
        <v>0</v>
      </c>
      <c r="AA42" s="403">
        <v>1</v>
      </c>
      <c r="AB42" s="403">
        <v>1</v>
      </c>
      <c r="AC42" s="403"/>
      <c r="AD42" s="403"/>
      <c r="AE42" s="346"/>
      <c r="AF42" s="40"/>
      <c r="AG42" s="40"/>
      <c r="AH42" s="40"/>
      <c r="AI42" s="40"/>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row>
    <row r="43" spans="1:67" x14ac:dyDescent="0.2">
      <c r="A43" s="589">
        <v>19</v>
      </c>
      <c r="B43" s="588" t="s">
        <v>405</v>
      </c>
      <c r="C43" s="401">
        <v>120562</v>
      </c>
      <c r="D43" s="401">
        <v>1986.7018501189966</v>
      </c>
      <c r="E43" s="401">
        <v>324212</v>
      </c>
      <c r="F43" s="401">
        <v>5390.4559793219842</v>
      </c>
      <c r="G43" s="401">
        <v>16772</v>
      </c>
      <c r="H43" s="401">
        <v>147.155399797</v>
      </c>
      <c r="I43" s="401">
        <v>176313</v>
      </c>
      <c r="J43" s="401">
        <v>773.13259000599999</v>
      </c>
      <c r="K43" s="401">
        <v>91456</v>
      </c>
      <c r="L43" s="401">
        <v>2043.0083182149956</v>
      </c>
      <c r="M43" s="401">
        <v>0</v>
      </c>
      <c r="N43" s="401">
        <v>0</v>
      </c>
      <c r="O43" s="401">
        <v>0</v>
      </c>
      <c r="P43" s="401">
        <v>0</v>
      </c>
      <c r="Q43" s="401">
        <v>2362</v>
      </c>
      <c r="R43" s="401">
        <v>8.4930547100000009</v>
      </c>
      <c r="S43" s="401">
        <v>3239</v>
      </c>
      <c r="T43" s="401">
        <v>54.693414560999898</v>
      </c>
      <c r="U43" s="401">
        <v>60437</v>
      </c>
      <c r="V43" s="401">
        <v>206.00377720699996</v>
      </c>
      <c r="W43" s="401">
        <v>0</v>
      </c>
      <c r="X43" s="401">
        <v>0</v>
      </c>
      <c r="Y43" s="401">
        <v>0</v>
      </c>
      <c r="Z43" s="401">
        <v>0</v>
      </c>
      <c r="AA43" s="401">
        <v>795353</v>
      </c>
      <c r="AB43" s="401">
        <v>10609.644383936975</v>
      </c>
      <c r="AC43" s="401">
        <v>0</v>
      </c>
      <c r="AD43" s="401">
        <v>0</v>
      </c>
      <c r="AE43" s="49"/>
      <c r="AF43" s="50"/>
      <c r="AG43" s="49"/>
      <c r="AH43" s="50"/>
      <c r="AI43" s="49"/>
      <c r="AJ43" s="50"/>
      <c r="AK43" s="49"/>
      <c r="AL43" s="50"/>
      <c r="AM43" s="49"/>
      <c r="AN43" s="50"/>
      <c r="AO43" s="49"/>
      <c r="AP43" s="50"/>
      <c r="AQ43" s="49"/>
      <c r="AR43" s="50"/>
      <c r="AS43" s="49"/>
      <c r="AT43" s="50"/>
      <c r="AU43" s="49"/>
      <c r="AV43" s="50"/>
      <c r="AW43" s="49"/>
      <c r="AX43" s="50"/>
      <c r="AY43" s="49"/>
      <c r="AZ43" s="50"/>
      <c r="BA43" s="49"/>
      <c r="BB43" s="50"/>
      <c r="BC43" s="51"/>
      <c r="BD43" s="52"/>
      <c r="BE43" s="49"/>
      <c r="BF43" s="50"/>
    </row>
    <row r="44" spans="1:67" x14ac:dyDescent="0.2">
      <c r="A44" s="589"/>
      <c r="B44" s="588"/>
      <c r="C44" s="403">
        <v>0.15158300779653813</v>
      </c>
      <c r="D44" s="403">
        <v>0.18725432994972646</v>
      </c>
      <c r="E44" s="403">
        <v>0.40763283724333721</v>
      </c>
      <c r="F44" s="403">
        <v>0.5080713155177139</v>
      </c>
      <c r="G44" s="403">
        <v>2.1087491968974782E-2</v>
      </c>
      <c r="H44" s="403">
        <v>1.3869965332654655E-2</v>
      </c>
      <c r="I44" s="403">
        <v>0.22167892746994103</v>
      </c>
      <c r="J44" s="403">
        <v>7.2870735533466555E-2</v>
      </c>
      <c r="K44" s="403">
        <v>0.11498793617425218</v>
      </c>
      <c r="L44" s="403">
        <v>0.19256143224820191</v>
      </c>
      <c r="M44" s="403">
        <v>0</v>
      </c>
      <c r="N44" s="403">
        <v>0</v>
      </c>
      <c r="O44" s="403">
        <v>0</v>
      </c>
      <c r="P44" s="403">
        <v>0</v>
      </c>
      <c r="Q44" s="403">
        <v>2.9697505384401642E-3</v>
      </c>
      <c r="R44" s="403">
        <v>8.005032405099745E-4</v>
      </c>
      <c r="S44" s="403">
        <v>4.0724055859473716E-3</v>
      </c>
      <c r="T44" s="403">
        <v>5.155065766747644E-3</v>
      </c>
      <c r="U44" s="403">
        <v>7.5987643222569096E-2</v>
      </c>
      <c r="V44" s="403">
        <v>1.9416652410979028E-2</v>
      </c>
      <c r="W44" s="403">
        <v>0</v>
      </c>
      <c r="X44" s="403">
        <v>0</v>
      </c>
      <c r="Y44" s="403">
        <v>0</v>
      </c>
      <c r="Z44" s="403">
        <v>0</v>
      </c>
      <c r="AA44" s="403">
        <v>1</v>
      </c>
      <c r="AB44" s="403">
        <v>1</v>
      </c>
      <c r="AC44" s="403"/>
      <c r="AD44" s="403"/>
      <c r="AE44" s="346"/>
      <c r="AF44" s="40"/>
      <c r="AG44" s="40"/>
      <c r="AH44" s="40"/>
      <c r="AI44" s="40"/>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row>
    <row r="45" spans="1:67" x14ac:dyDescent="0.2">
      <c r="A45" s="591">
        <v>20</v>
      </c>
      <c r="B45" s="588" t="s">
        <v>19</v>
      </c>
      <c r="C45" s="401">
        <v>29370</v>
      </c>
      <c r="D45" s="401">
        <v>334.58739770199986</v>
      </c>
      <c r="E45" s="401">
        <v>191198</v>
      </c>
      <c r="F45" s="401">
        <v>2122.9506973799994</v>
      </c>
      <c r="G45" s="401">
        <v>3207</v>
      </c>
      <c r="H45" s="401">
        <v>20.244140728000009</v>
      </c>
      <c r="I45" s="401">
        <v>33687</v>
      </c>
      <c r="J45" s="401">
        <v>158.92808064900009</v>
      </c>
      <c r="K45" s="401">
        <v>35567</v>
      </c>
      <c r="L45" s="401">
        <v>559.40528567399804</v>
      </c>
      <c r="M45" s="401">
        <v>0</v>
      </c>
      <c r="N45" s="401">
        <v>0</v>
      </c>
      <c r="O45" s="401">
        <v>0</v>
      </c>
      <c r="P45" s="401">
        <v>0</v>
      </c>
      <c r="Q45" s="401">
        <v>-2</v>
      </c>
      <c r="R45" s="401">
        <v>0.15629288300000002</v>
      </c>
      <c r="S45" s="401">
        <v>2162</v>
      </c>
      <c r="T45" s="401">
        <v>16.743040679999996</v>
      </c>
      <c r="U45" s="401">
        <v>600</v>
      </c>
      <c r="V45" s="401">
        <v>2.8325957819999998</v>
      </c>
      <c r="W45" s="401">
        <v>2</v>
      </c>
      <c r="X45" s="401">
        <v>1.7500000000000002E-2</v>
      </c>
      <c r="Y45" s="401">
        <v>0</v>
      </c>
      <c r="Z45" s="401">
        <v>0</v>
      </c>
      <c r="AA45" s="401">
        <v>295791</v>
      </c>
      <c r="AB45" s="401">
        <v>3215.865031477997</v>
      </c>
      <c r="AC45" s="401">
        <v>0</v>
      </c>
      <c r="AD45" s="401">
        <v>0</v>
      </c>
      <c r="AE45" s="49"/>
      <c r="AF45" s="50"/>
      <c r="AG45" s="49"/>
      <c r="AH45" s="50"/>
      <c r="AI45" s="49"/>
      <c r="AJ45" s="50"/>
      <c r="AK45" s="49"/>
      <c r="AL45" s="50"/>
      <c r="AM45" s="49"/>
      <c r="AN45" s="50"/>
      <c r="AO45" s="49"/>
      <c r="AP45" s="50"/>
      <c r="AQ45" s="49"/>
      <c r="AR45" s="50"/>
      <c r="AS45" s="49"/>
      <c r="AT45" s="50"/>
      <c r="AU45" s="49"/>
      <c r="AV45" s="50"/>
      <c r="AW45" s="49"/>
      <c r="AX45" s="50"/>
      <c r="AY45" s="49"/>
      <c r="AZ45" s="50"/>
      <c r="BA45" s="49"/>
      <c r="BB45" s="50"/>
      <c r="BC45" s="51"/>
      <c r="BD45" s="52"/>
      <c r="BE45" s="49"/>
      <c r="BF45" s="50"/>
    </row>
    <row r="46" spans="1:67" x14ac:dyDescent="0.2">
      <c r="A46" s="591"/>
      <c r="B46" s="588"/>
      <c r="C46" s="403">
        <v>9.9293081939612768E-2</v>
      </c>
      <c r="D46" s="403">
        <v>0.10404273637946335</v>
      </c>
      <c r="E46" s="403">
        <v>0.64639559689104809</v>
      </c>
      <c r="F46" s="403">
        <v>0.66014919052877685</v>
      </c>
      <c r="G46" s="403">
        <v>1.0842114871649239E-2</v>
      </c>
      <c r="H46" s="403">
        <v>6.2950840690897689E-3</v>
      </c>
      <c r="I46" s="403">
        <v>0.1138878464862014</v>
      </c>
      <c r="J46" s="403">
        <v>4.9420009575450827E-2</v>
      </c>
      <c r="K46" s="403">
        <v>0.12024368557528796</v>
      </c>
      <c r="L46" s="403">
        <v>0.17395173000058958</v>
      </c>
      <c r="M46" s="403">
        <v>0</v>
      </c>
      <c r="N46" s="403">
        <v>0</v>
      </c>
      <c r="O46" s="403">
        <v>0</v>
      </c>
      <c r="P46" s="403">
        <v>0</v>
      </c>
      <c r="Q46" s="403">
        <v>-6.7615309458367562E-6</v>
      </c>
      <c r="R46" s="403">
        <v>4.8600572931435661E-5</v>
      </c>
      <c r="S46" s="403">
        <v>7.3092149524495338E-3</v>
      </c>
      <c r="T46" s="403">
        <v>5.2063878664413256E-3</v>
      </c>
      <c r="U46" s="403">
        <v>2.0284592837510268E-3</v>
      </c>
      <c r="V46" s="403">
        <v>8.8081923658909014E-4</v>
      </c>
      <c r="W46" s="403">
        <v>6.7615309458367562E-6</v>
      </c>
      <c r="X46" s="403">
        <v>5.4417706678308823E-6</v>
      </c>
      <c r="Y46" s="403">
        <v>0</v>
      </c>
      <c r="Z46" s="403">
        <v>0</v>
      </c>
      <c r="AA46" s="403">
        <v>1</v>
      </c>
      <c r="AB46" s="403">
        <v>1</v>
      </c>
      <c r="AC46" s="403"/>
      <c r="AD46" s="403"/>
      <c r="AE46" s="346"/>
      <c r="AF46" s="40"/>
      <c r="AG46" s="40"/>
      <c r="AH46" s="40"/>
      <c r="AI46" s="40"/>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row>
    <row r="47" spans="1:67" s="22" customFormat="1" x14ac:dyDescent="0.2">
      <c r="A47" s="589">
        <v>21</v>
      </c>
      <c r="B47" s="588" t="s">
        <v>20</v>
      </c>
      <c r="C47" s="401">
        <v>18441</v>
      </c>
      <c r="D47" s="401">
        <v>114.05622109000068</v>
      </c>
      <c r="E47" s="401">
        <v>492</v>
      </c>
      <c r="F47" s="401">
        <v>2.0763250000000002</v>
      </c>
      <c r="G47" s="401">
        <v>3356</v>
      </c>
      <c r="H47" s="401">
        <v>21.884182595999999</v>
      </c>
      <c r="I47" s="401">
        <v>4884</v>
      </c>
      <c r="J47" s="401">
        <v>28.079116642000002</v>
      </c>
      <c r="K47" s="401">
        <v>21089</v>
      </c>
      <c r="L47" s="401">
        <v>87.879381590001529</v>
      </c>
      <c r="M47" s="401">
        <v>0</v>
      </c>
      <c r="N47" s="401">
        <v>0</v>
      </c>
      <c r="O47" s="401">
        <v>0</v>
      </c>
      <c r="P47" s="401">
        <v>0</v>
      </c>
      <c r="Q47" s="401">
        <v>85</v>
      </c>
      <c r="R47" s="401">
        <v>0.39299479999999998</v>
      </c>
      <c r="S47" s="401">
        <v>65</v>
      </c>
      <c r="T47" s="401">
        <v>0.4163231</v>
      </c>
      <c r="U47" s="401">
        <v>0</v>
      </c>
      <c r="V47" s="401">
        <v>0</v>
      </c>
      <c r="W47" s="401">
        <v>0</v>
      </c>
      <c r="X47" s="401">
        <v>0</v>
      </c>
      <c r="Y47" s="401">
        <v>0</v>
      </c>
      <c r="Z47" s="401">
        <v>0</v>
      </c>
      <c r="AA47" s="401">
        <v>48412</v>
      </c>
      <c r="AB47" s="401">
        <v>254.78454481800219</v>
      </c>
      <c r="AC47" s="401">
        <v>0</v>
      </c>
      <c r="AD47" s="401">
        <v>0</v>
      </c>
      <c r="AE47" s="49"/>
      <c r="AF47" s="50"/>
      <c r="AG47" s="49"/>
      <c r="AH47" s="50"/>
      <c r="AI47" s="49"/>
      <c r="AJ47" s="50"/>
      <c r="AK47" s="49"/>
      <c r="AL47" s="50"/>
      <c r="AM47" s="49"/>
      <c r="AN47" s="50"/>
      <c r="AO47" s="49"/>
      <c r="AP47" s="50"/>
      <c r="AQ47" s="49"/>
      <c r="AR47" s="50"/>
      <c r="AS47" s="49"/>
      <c r="AT47" s="50"/>
      <c r="AU47" s="49"/>
      <c r="AV47" s="50"/>
      <c r="AW47" s="49"/>
      <c r="AX47" s="50"/>
      <c r="AY47" s="49"/>
      <c r="AZ47" s="50"/>
      <c r="BA47" s="49"/>
      <c r="BB47" s="50"/>
      <c r="BC47" s="51"/>
      <c r="BD47" s="52"/>
      <c r="BE47" s="49"/>
      <c r="BF47" s="50"/>
    </row>
    <row r="48" spans="1:67" x14ac:dyDescent="0.2">
      <c r="A48" s="589"/>
      <c r="B48" s="588"/>
      <c r="C48" s="403">
        <v>0.38091795422622488</v>
      </c>
      <c r="D48" s="403">
        <v>0.44765753421767934</v>
      </c>
      <c r="E48" s="403">
        <v>1.0162769561265802E-2</v>
      </c>
      <c r="F48" s="403">
        <v>8.149336536418101E-3</v>
      </c>
      <c r="G48" s="403">
        <v>6.9321655787821207E-2</v>
      </c>
      <c r="H48" s="403">
        <v>8.5892896728223131E-2</v>
      </c>
      <c r="I48" s="403">
        <v>0.10088407832768735</v>
      </c>
      <c r="J48" s="403">
        <v>0.11020729951283932</v>
      </c>
      <c r="K48" s="403">
        <v>0.43561513674295627</v>
      </c>
      <c r="L48" s="403">
        <v>0.34491645344020205</v>
      </c>
      <c r="M48" s="403">
        <v>0</v>
      </c>
      <c r="N48" s="403">
        <v>0</v>
      </c>
      <c r="O48" s="403">
        <v>0</v>
      </c>
      <c r="P48" s="403">
        <v>0</v>
      </c>
      <c r="Q48" s="403">
        <v>1.7557630339585227E-3</v>
      </c>
      <c r="R48" s="403">
        <v>1.5424593366945558E-3</v>
      </c>
      <c r="S48" s="403">
        <v>1.3426423200859291E-3</v>
      </c>
      <c r="T48" s="403">
        <v>1.6340202279435281E-3</v>
      </c>
      <c r="U48" s="403">
        <v>0</v>
      </c>
      <c r="V48" s="403">
        <v>0</v>
      </c>
      <c r="W48" s="403">
        <v>0</v>
      </c>
      <c r="X48" s="403">
        <v>0</v>
      </c>
      <c r="Y48" s="403">
        <v>0</v>
      </c>
      <c r="Z48" s="403">
        <v>0</v>
      </c>
      <c r="AA48" s="403">
        <v>1</v>
      </c>
      <c r="AB48" s="403">
        <v>1</v>
      </c>
      <c r="AC48" s="403"/>
      <c r="AD48" s="403"/>
      <c r="AE48" s="346"/>
      <c r="AF48" s="40"/>
      <c r="AG48" s="40"/>
      <c r="AH48" s="40"/>
      <c r="AI48" s="40"/>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row>
    <row r="49" spans="1:67" x14ac:dyDescent="0.2">
      <c r="A49" s="591">
        <v>22</v>
      </c>
      <c r="B49" s="588" t="s">
        <v>21</v>
      </c>
      <c r="C49" s="401">
        <v>59757</v>
      </c>
      <c r="D49" s="401">
        <v>422.12993380598806</v>
      </c>
      <c r="E49" s="401">
        <v>6016</v>
      </c>
      <c r="F49" s="401">
        <v>25.173146927000019</v>
      </c>
      <c r="G49" s="401">
        <v>30914</v>
      </c>
      <c r="H49" s="401">
        <v>118.79226389400003</v>
      </c>
      <c r="I49" s="401">
        <v>2546</v>
      </c>
      <c r="J49" s="401">
        <v>12.584622799999989</v>
      </c>
      <c r="K49" s="401">
        <v>61125</v>
      </c>
      <c r="L49" s="401">
        <v>500.01882843699002</v>
      </c>
      <c r="M49" s="401">
        <v>0</v>
      </c>
      <c r="N49" s="401">
        <v>0</v>
      </c>
      <c r="O49" s="401">
        <v>0</v>
      </c>
      <c r="P49" s="401">
        <v>0</v>
      </c>
      <c r="Q49" s="401">
        <v>0</v>
      </c>
      <c r="R49" s="401">
        <v>0</v>
      </c>
      <c r="S49" s="401">
        <v>24</v>
      </c>
      <c r="T49" s="401">
        <v>0.1080091</v>
      </c>
      <c r="U49" s="401">
        <v>0</v>
      </c>
      <c r="V49" s="401">
        <v>0</v>
      </c>
      <c r="W49" s="401">
        <v>0</v>
      </c>
      <c r="X49" s="401">
        <v>0</v>
      </c>
      <c r="Y49" s="401">
        <v>0</v>
      </c>
      <c r="Z49" s="401">
        <v>0</v>
      </c>
      <c r="AA49" s="401">
        <v>160382</v>
      </c>
      <c r="AB49" s="401">
        <v>1078.806804963978</v>
      </c>
      <c r="AC49" s="401">
        <v>107</v>
      </c>
      <c r="AD49" s="401">
        <v>0.477212676</v>
      </c>
      <c r="AE49" s="49"/>
      <c r="AF49" s="50"/>
      <c r="AG49" s="49"/>
      <c r="AH49" s="50"/>
      <c r="AI49" s="49"/>
      <c r="AJ49" s="50"/>
      <c r="AK49" s="49"/>
      <c r="AL49" s="50"/>
      <c r="AM49" s="49"/>
      <c r="AN49" s="50"/>
      <c r="AO49" s="49"/>
      <c r="AP49" s="50"/>
      <c r="AQ49" s="49"/>
      <c r="AR49" s="50"/>
      <c r="AS49" s="49"/>
      <c r="AT49" s="50"/>
      <c r="AU49" s="49"/>
      <c r="AV49" s="50"/>
      <c r="AW49" s="49"/>
      <c r="AX49" s="50"/>
      <c r="AY49" s="49"/>
      <c r="AZ49" s="50"/>
      <c r="BA49" s="49"/>
      <c r="BB49" s="50"/>
      <c r="BC49" s="51"/>
      <c r="BD49" s="52"/>
      <c r="BE49" s="49"/>
      <c r="BF49" s="50"/>
    </row>
    <row r="50" spans="1:67" x14ac:dyDescent="0.2">
      <c r="A50" s="591"/>
      <c r="B50" s="588"/>
      <c r="C50" s="403">
        <v>0.37259168734646031</v>
      </c>
      <c r="D50" s="403">
        <v>0.39129335471709709</v>
      </c>
      <c r="E50" s="403">
        <v>3.7510443815390752E-2</v>
      </c>
      <c r="F50" s="403">
        <v>2.3334249293913718E-2</v>
      </c>
      <c r="G50" s="403">
        <v>0.19275230387449963</v>
      </c>
      <c r="H50" s="403">
        <v>0.11011449255547343</v>
      </c>
      <c r="I50" s="403">
        <v>1.5874599393946951E-2</v>
      </c>
      <c r="J50" s="403">
        <v>1.1665316479367404E-2</v>
      </c>
      <c r="K50" s="403">
        <v>0.3811213228417154</v>
      </c>
      <c r="L50" s="403">
        <v>0.46349246791568571</v>
      </c>
      <c r="M50" s="403">
        <v>0</v>
      </c>
      <c r="N50" s="403">
        <v>0</v>
      </c>
      <c r="O50" s="403">
        <v>0</v>
      </c>
      <c r="P50" s="403">
        <v>0</v>
      </c>
      <c r="Q50" s="403">
        <v>0</v>
      </c>
      <c r="R50" s="403">
        <v>0</v>
      </c>
      <c r="S50" s="403">
        <v>1.496427279869312E-4</v>
      </c>
      <c r="T50" s="403">
        <v>1.0011903846268979E-4</v>
      </c>
      <c r="U50" s="403">
        <v>0</v>
      </c>
      <c r="V50" s="403">
        <v>0</v>
      </c>
      <c r="W50" s="403">
        <v>0</v>
      </c>
      <c r="X50" s="403">
        <v>0</v>
      </c>
      <c r="Y50" s="403">
        <v>0</v>
      </c>
      <c r="Z50" s="403">
        <v>0</v>
      </c>
      <c r="AA50" s="403">
        <v>1</v>
      </c>
      <c r="AB50" s="403">
        <v>1</v>
      </c>
      <c r="AC50" s="403"/>
      <c r="AD50" s="403"/>
      <c r="AE50" s="346"/>
      <c r="AF50" s="40"/>
      <c r="AG50" s="40"/>
      <c r="AH50" s="40"/>
      <c r="AI50" s="40"/>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row>
    <row r="51" spans="1:67" x14ac:dyDescent="0.2">
      <c r="A51" s="589">
        <v>23</v>
      </c>
      <c r="B51" s="588" t="s">
        <v>22</v>
      </c>
      <c r="C51" s="401">
        <v>0</v>
      </c>
      <c r="D51" s="401">
        <v>0</v>
      </c>
      <c r="E51" s="401">
        <v>0</v>
      </c>
      <c r="F51" s="401">
        <v>0</v>
      </c>
      <c r="G51" s="401">
        <v>0</v>
      </c>
      <c r="H51" s="401">
        <v>0</v>
      </c>
      <c r="I51" s="401">
        <v>0</v>
      </c>
      <c r="J51" s="401">
        <v>0</v>
      </c>
      <c r="K51" s="401">
        <v>0</v>
      </c>
      <c r="L51" s="401">
        <v>0</v>
      </c>
      <c r="M51" s="401">
        <v>0</v>
      </c>
      <c r="N51" s="401">
        <v>0</v>
      </c>
      <c r="O51" s="401">
        <v>0</v>
      </c>
      <c r="P51" s="401">
        <v>0</v>
      </c>
      <c r="Q51" s="401">
        <v>0</v>
      </c>
      <c r="R51" s="401">
        <v>0</v>
      </c>
      <c r="S51" s="401">
        <v>0</v>
      </c>
      <c r="T51" s="401">
        <v>0</v>
      </c>
      <c r="U51" s="401">
        <v>0</v>
      </c>
      <c r="V51" s="401">
        <v>0</v>
      </c>
      <c r="W51" s="401">
        <v>0</v>
      </c>
      <c r="X51" s="401">
        <v>0</v>
      </c>
      <c r="Y51" s="401">
        <v>0</v>
      </c>
      <c r="Z51" s="401">
        <v>0</v>
      </c>
      <c r="AA51" s="401">
        <v>0</v>
      </c>
      <c r="AB51" s="401">
        <v>0</v>
      </c>
      <c r="AC51" s="401">
        <v>0</v>
      </c>
      <c r="AD51" s="401">
        <v>0</v>
      </c>
      <c r="AE51" s="49"/>
      <c r="AF51" s="50"/>
      <c r="AG51" s="49"/>
      <c r="AH51" s="50"/>
      <c r="AI51" s="49"/>
      <c r="AJ51" s="50"/>
      <c r="AK51" s="49"/>
      <c r="AL51" s="50"/>
      <c r="AM51" s="49"/>
      <c r="AN51" s="50"/>
      <c r="AO51" s="49"/>
      <c r="AP51" s="50"/>
      <c r="AQ51" s="49"/>
      <c r="AR51" s="50"/>
      <c r="AS51" s="49"/>
      <c r="AT51" s="50"/>
      <c r="AU51" s="49"/>
      <c r="AV51" s="50"/>
      <c r="AW51" s="49"/>
      <c r="AX51" s="50"/>
      <c r="AY51" s="49"/>
      <c r="AZ51" s="50"/>
      <c r="BA51" s="49"/>
      <c r="BB51" s="50"/>
      <c r="BC51" s="51"/>
      <c r="BD51" s="52"/>
      <c r="BE51" s="49"/>
      <c r="BF51" s="50"/>
    </row>
    <row r="52" spans="1:67" x14ac:dyDescent="0.2">
      <c r="A52" s="589"/>
      <c r="B52" s="588"/>
      <c r="C52" s="403"/>
      <c r="D52" s="403"/>
      <c r="E52" s="403"/>
      <c r="F52" s="403"/>
      <c r="G52" s="403"/>
      <c r="H52" s="403"/>
      <c r="I52" s="403"/>
      <c r="J52" s="403"/>
      <c r="K52" s="403"/>
      <c r="L52" s="403"/>
      <c r="M52" s="403"/>
      <c r="N52" s="403"/>
      <c r="O52" s="403"/>
      <c r="P52" s="403"/>
      <c r="Q52" s="403"/>
      <c r="R52" s="403"/>
      <c r="S52" s="403"/>
      <c r="T52" s="403"/>
      <c r="U52" s="403"/>
      <c r="V52" s="403"/>
      <c r="W52" s="403"/>
      <c r="X52" s="403"/>
      <c r="Y52" s="403"/>
      <c r="Z52" s="403"/>
      <c r="AA52" s="403"/>
      <c r="AB52" s="403"/>
      <c r="AC52" s="403"/>
      <c r="AD52" s="403"/>
      <c r="AE52" s="346"/>
      <c r="AF52" s="40"/>
      <c r="AG52" s="40"/>
      <c r="AH52" s="40"/>
      <c r="AI52" s="40"/>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row>
    <row r="53" spans="1:67" x14ac:dyDescent="0.2">
      <c r="A53" s="591">
        <v>24</v>
      </c>
      <c r="B53" s="588" t="s">
        <v>23</v>
      </c>
      <c r="C53" s="401">
        <v>803695</v>
      </c>
      <c r="D53" s="401">
        <v>7078.9550242999758</v>
      </c>
      <c r="E53" s="401">
        <v>1249808</v>
      </c>
      <c r="F53" s="401">
        <v>15607.685000641077</v>
      </c>
      <c r="G53" s="401">
        <v>96585</v>
      </c>
      <c r="H53" s="401">
        <v>564.79328697299945</v>
      </c>
      <c r="I53" s="401">
        <v>1975</v>
      </c>
      <c r="J53" s="401">
        <v>9.3826552300000063</v>
      </c>
      <c r="K53" s="401">
        <v>35915</v>
      </c>
      <c r="L53" s="401">
        <v>3018.7684048620013</v>
      </c>
      <c r="M53" s="401">
        <v>0</v>
      </c>
      <c r="N53" s="401">
        <v>0</v>
      </c>
      <c r="O53" s="401">
        <v>1710</v>
      </c>
      <c r="P53" s="401">
        <v>4.5808941589999987</v>
      </c>
      <c r="Q53" s="401">
        <v>0</v>
      </c>
      <c r="R53" s="401">
        <v>0</v>
      </c>
      <c r="S53" s="401">
        <v>8</v>
      </c>
      <c r="T53" s="401">
        <v>1.24595E-2</v>
      </c>
      <c r="U53" s="401">
        <v>12022</v>
      </c>
      <c r="V53" s="401">
        <v>74.507482296999854</v>
      </c>
      <c r="W53" s="401">
        <v>909</v>
      </c>
      <c r="X53" s="401">
        <v>1.4202573009999997</v>
      </c>
      <c r="Y53" s="401">
        <v>0</v>
      </c>
      <c r="Z53" s="401">
        <v>0</v>
      </c>
      <c r="AA53" s="401">
        <v>2202627</v>
      </c>
      <c r="AB53" s="401">
        <v>26360.105465263052</v>
      </c>
      <c r="AC53" s="401">
        <v>0</v>
      </c>
      <c r="AD53" s="401">
        <v>0</v>
      </c>
      <c r="AE53" s="49"/>
      <c r="AF53" s="50"/>
      <c r="AG53" s="49"/>
      <c r="AH53" s="50"/>
      <c r="AI53" s="49"/>
      <c r="AJ53" s="50"/>
      <c r="AK53" s="49"/>
      <c r="AL53" s="50"/>
      <c r="AM53" s="49"/>
      <c r="AN53" s="50"/>
      <c r="AO53" s="49"/>
      <c r="AP53" s="50"/>
      <c r="AQ53" s="49"/>
      <c r="AR53" s="50"/>
      <c r="AS53" s="49"/>
      <c r="AT53" s="50"/>
      <c r="AU53" s="49"/>
      <c r="AV53" s="50"/>
      <c r="AW53" s="49"/>
      <c r="AX53" s="50"/>
      <c r="AY53" s="49"/>
      <c r="AZ53" s="50"/>
      <c r="BA53" s="49"/>
      <c r="BB53" s="50"/>
      <c r="BC53" s="51"/>
      <c r="BD53" s="52"/>
      <c r="BE53" s="49"/>
      <c r="BF53" s="50"/>
    </row>
    <row r="54" spans="1:67" x14ac:dyDescent="0.2">
      <c r="A54" s="591"/>
      <c r="B54" s="588"/>
      <c r="C54" s="403">
        <v>0.36488020895049411</v>
      </c>
      <c r="D54" s="403">
        <v>0.26854805393811931</v>
      </c>
      <c r="E54" s="403">
        <v>0.56741699797559919</v>
      </c>
      <c r="F54" s="403">
        <v>0.59209493760215215</v>
      </c>
      <c r="G54" s="403">
        <v>4.3849911946053505E-2</v>
      </c>
      <c r="H54" s="403">
        <v>2.1426063249909054E-2</v>
      </c>
      <c r="I54" s="403">
        <v>8.9665658325263425E-4</v>
      </c>
      <c r="J54" s="403">
        <v>3.5594149053630789E-4</v>
      </c>
      <c r="K54" s="403">
        <v>1.630552971519917E-2</v>
      </c>
      <c r="L54" s="403">
        <v>0.11452034624216843</v>
      </c>
      <c r="M54" s="403">
        <v>0</v>
      </c>
      <c r="N54" s="403">
        <v>0</v>
      </c>
      <c r="O54" s="403">
        <v>7.7634569993012884E-4</v>
      </c>
      <c r="P54" s="403">
        <v>1.7378132894940924E-4</v>
      </c>
      <c r="Q54" s="403">
        <v>0</v>
      </c>
      <c r="R54" s="403">
        <v>0</v>
      </c>
      <c r="S54" s="403">
        <v>3.6320266663397844E-6</v>
      </c>
      <c r="T54" s="403">
        <v>4.7266502846200446E-7</v>
      </c>
      <c r="U54" s="403">
        <v>5.458028072842111E-3</v>
      </c>
      <c r="V54" s="403">
        <v>2.826524438423992E-3</v>
      </c>
      <c r="W54" s="403">
        <v>4.1268902996285798E-4</v>
      </c>
      <c r="X54" s="403">
        <v>5.3879044712912596E-5</v>
      </c>
      <c r="Y54" s="403">
        <v>0</v>
      </c>
      <c r="Z54" s="403">
        <v>0</v>
      </c>
      <c r="AA54" s="403">
        <v>1</v>
      </c>
      <c r="AB54" s="403">
        <v>1</v>
      </c>
      <c r="AC54" s="403"/>
      <c r="AD54" s="403"/>
      <c r="AE54" s="346"/>
      <c r="AF54" s="40"/>
      <c r="AG54" s="40"/>
      <c r="AH54" s="40"/>
      <c r="AI54" s="40"/>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row>
    <row r="55" spans="1:67" x14ac:dyDescent="0.2">
      <c r="A55" s="589">
        <v>25</v>
      </c>
      <c r="B55" s="588" t="s">
        <v>24</v>
      </c>
      <c r="C55" s="401">
        <v>2653</v>
      </c>
      <c r="D55" s="401">
        <v>25.445043493000028</v>
      </c>
      <c r="E55" s="401">
        <v>9208</v>
      </c>
      <c r="F55" s="401">
        <v>33.778526138000018</v>
      </c>
      <c r="G55" s="401">
        <v>402350</v>
      </c>
      <c r="H55" s="401">
        <v>796.70118518700269</v>
      </c>
      <c r="I55" s="401">
        <v>37078</v>
      </c>
      <c r="J55" s="401">
        <v>129.48691301100001</v>
      </c>
      <c r="K55" s="401">
        <v>76063</v>
      </c>
      <c r="L55" s="401">
        <v>348.16041391900035</v>
      </c>
      <c r="M55" s="401">
        <v>0</v>
      </c>
      <c r="N55" s="401">
        <v>0</v>
      </c>
      <c r="O55" s="401">
        <v>2106</v>
      </c>
      <c r="P55" s="401">
        <v>3.1030403999999998</v>
      </c>
      <c r="Q55" s="401">
        <v>106</v>
      </c>
      <c r="R55" s="401">
        <v>0.64909720000000004</v>
      </c>
      <c r="S55" s="401">
        <v>4895</v>
      </c>
      <c r="T55" s="401">
        <v>23.812791099999998</v>
      </c>
      <c r="U55" s="401">
        <v>6589</v>
      </c>
      <c r="V55" s="401">
        <v>10.440909512999916</v>
      </c>
      <c r="W55" s="401">
        <v>0</v>
      </c>
      <c r="X55" s="401">
        <v>0</v>
      </c>
      <c r="Y55" s="401">
        <v>0</v>
      </c>
      <c r="Z55" s="401">
        <v>0</v>
      </c>
      <c r="AA55" s="401">
        <v>541048</v>
      </c>
      <c r="AB55" s="401">
        <v>1371.5779199610029</v>
      </c>
      <c r="AC55" s="401">
        <v>0</v>
      </c>
      <c r="AD55" s="401">
        <v>0</v>
      </c>
      <c r="AE55" s="49"/>
      <c r="AF55" s="50"/>
      <c r="AG55" s="49"/>
      <c r="AH55" s="50"/>
      <c r="AI55" s="49"/>
      <c r="AJ55" s="50"/>
      <c r="AK55" s="49"/>
      <c r="AL55" s="50"/>
      <c r="AM55" s="49"/>
      <c r="AN55" s="50"/>
      <c r="AO55" s="49"/>
      <c r="AP55" s="50"/>
      <c r="AQ55" s="49"/>
      <c r="AR55" s="50"/>
      <c r="AS55" s="49"/>
      <c r="AT55" s="50"/>
      <c r="AU55" s="49"/>
      <c r="AV55" s="50"/>
      <c r="AW55" s="49"/>
      <c r="AX55" s="50"/>
      <c r="AY55" s="49"/>
      <c r="AZ55" s="50"/>
      <c r="BA55" s="49"/>
      <c r="BB55" s="50"/>
      <c r="BC55" s="51"/>
      <c r="BD55" s="52"/>
      <c r="BE55" s="49"/>
      <c r="BF55" s="50"/>
    </row>
    <row r="56" spans="1:67" x14ac:dyDescent="0.2">
      <c r="A56" s="589"/>
      <c r="B56" s="588"/>
      <c r="C56" s="403">
        <v>4.9034466442903404E-3</v>
      </c>
      <c r="D56" s="403">
        <v>1.8551657272029787E-2</v>
      </c>
      <c r="E56" s="403">
        <v>1.7018822729221807E-2</v>
      </c>
      <c r="F56" s="403">
        <v>2.4627493375630034E-2</v>
      </c>
      <c r="G56" s="403">
        <v>0.74364936197897413</v>
      </c>
      <c r="H56" s="403">
        <v>0.58086469138381491</v>
      </c>
      <c r="I56" s="403">
        <v>6.8529964069731331E-2</v>
      </c>
      <c r="J56" s="403">
        <v>9.4407259789280967E-2</v>
      </c>
      <c r="K56" s="403">
        <v>0.14058456920642901</v>
      </c>
      <c r="L56" s="403">
        <v>0.25383932538728776</v>
      </c>
      <c r="M56" s="403">
        <v>0</v>
      </c>
      <c r="N56" s="403">
        <v>0</v>
      </c>
      <c r="O56" s="403">
        <v>3.8924457719093316E-3</v>
      </c>
      <c r="P56" s="403">
        <v>2.2623872510926877E-3</v>
      </c>
      <c r="Q56" s="403">
        <v>1.9591607398973843E-4</v>
      </c>
      <c r="R56" s="403">
        <v>4.7324850491793814E-4</v>
      </c>
      <c r="S56" s="403">
        <v>9.047256435658204E-3</v>
      </c>
      <c r="T56" s="403">
        <v>1.7361602832361905E-2</v>
      </c>
      <c r="U56" s="403">
        <v>1.2178217089796099E-2</v>
      </c>
      <c r="V56" s="403">
        <v>7.612334203584128E-3</v>
      </c>
      <c r="W56" s="403">
        <v>0</v>
      </c>
      <c r="X56" s="403">
        <v>0</v>
      </c>
      <c r="Y56" s="403">
        <v>0</v>
      </c>
      <c r="Z56" s="403">
        <v>0</v>
      </c>
      <c r="AA56" s="403">
        <v>1</v>
      </c>
      <c r="AB56" s="403">
        <v>1</v>
      </c>
      <c r="AC56" s="403"/>
      <c r="AD56" s="403"/>
      <c r="AE56" s="346"/>
      <c r="AF56" s="40"/>
      <c r="AG56" s="40"/>
      <c r="AH56" s="40"/>
      <c r="AI56" s="40"/>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row>
    <row r="57" spans="1:67" x14ac:dyDescent="0.2">
      <c r="A57" s="591">
        <v>26</v>
      </c>
      <c r="B57" s="588" t="s">
        <v>25</v>
      </c>
      <c r="C57" s="401">
        <v>2841</v>
      </c>
      <c r="D57" s="401">
        <v>22.008208072000027</v>
      </c>
      <c r="E57" s="401">
        <v>168119</v>
      </c>
      <c r="F57" s="401">
        <v>1618.864596735973</v>
      </c>
      <c r="G57" s="401">
        <v>1337</v>
      </c>
      <c r="H57" s="401">
        <v>7.8763208999999996</v>
      </c>
      <c r="I57" s="401">
        <v>2279</v>
      </c>
      <c r="J57" s="401">
        <v>24.621251099999999</v>
      </c>
      <c r="K57" s="401">
        <v>1822</v>
      </c>
      <c r="L57" s="401">
        <v>15.757868918000012</v>
      </c>
      <c r="M57" s="401">
        <v>0</v>
      </c>
      <c r="N57" s="401">
        <v>0</v>
      </c>
      <c r="O57" s="401">
        <v>0</v>
      </c>
      <c r="P57" s="401">
        <v>0</v>
      </c>
      <c r="Q57" s="401">
        <v>150</v>
      </c>
      <c r="R57" s="401">
        <v>1.4341286</v>
      </c>
      <c r="S57" s="401">
        <v>306</v>
      </c>
      <c r="T57" s="401">
        <v>3.4209358000000001</v>
      </c>
      <c r="U57" s="401">
        <v>231</v>
      </c>
      <c r="V57" s="401">
        <v>0.18625687999999999</v>
      </c>
      <c r="W57" s="401">
        <v>14</v>
      </c>
      <c r="X57" s="401">
        <v>6.2799999999999995E-2</v>
      </c>
      <c r="Y57" s="401">
        <v>0</v>
      </c>
      <c r="Z57" s="401">
        <v>0</v>
      </c>
      <c r="AA57" s="401">
        <v>177099</v>
      </c>
      <c r="AB57" s="401">
        <v>1694.2323670059732</v>
      </c>
      <c r="AC57" s="401">
        <v>0</v>
      </c>
      <c r="AD57" s="401">
        <v>0</v>
      </c>
      <c r="AE57" s="49"/>
      <c r="AF57" s="50"/>
      <c r="AG57" s="49"/>
      <c r="AH57" s="50"/>
      <c r="AI57" s="49"/>
      <c r="AJ57" s="50"/>
      <c r="AK57" s="49"/>
      <c r="AL57" s="50"/>
      <c r="AM57" s="49"/>
      <c r="AN57" s="50"/>
      <c r="AO57" s="49"/>
      <c r="AP57" s="50"/>
      <c r="AQ57" s="49"/>
      <c r="AR57" s="50"/>
      <c r="AS57" s="49"/>
      <c r="AT57" s="50"/>
      <c r="AU57" s="49"/>
      <c r="AV57" s="50"/>
      <c r="AW57" s="49"/>
      <c r="AX57" s="50"/>
      <c r="AY57" s="49"/>
      <c r="AZ57" s="50"/>
      <c r="BA57" s="49"/>
      <c r="BB57" s="50"/>
      <c r="BC57" s="51"/>
      <c r="BD57" s="52"/>
      <c r="BE57" s="49"/>
      <c r="BF57" s="50"/>
    </row>
    <row r="58" spans="1:67" x14ac:dyDescent="0.2">
      <c r="A58" s="591"/>
      <c r="B58" s="588"/>
      <c r="C58" s="403">
        <v>1.6041874883539715E-2</v>
      </c>
      <c r="D58" s="403">
        <v>1.2990076509335414E-2</v>
      </c>
      <c r="E58" s="403">
        <v>0.9492938977633979</v>
      </c>
      <c r="F58" s="403">
        <v>0.95551509241722898</v>
      </c>
      <c r="G58" s="403">
        <v>7.5494497427992255E-3</v>
      </c>
      <c r="H58" s="403">
        <v>4.6489023898881937E-3</v>
      </c>
      <c r="I58" s="403">
        <v>1.286850857430025E-2</v>
      </c>
      <c r="J58" s="403">
        <v>1.4532393300637016E-2</v>
      </c>
      <c r="K58" s="403">
        <v>1.0288030988317268E-2</v>
      </c>
      <c r="L58" s="403">
        <v>9.3008900224513628E-3</v>
      </c>
      <c r="M58" s="403">
        <v>0</v>
      </c>
      <c r="N58" s="403">
        <v>0</v>
      </c>
      <c r="O58" s="403">
        <v>0</v>
      </c>
      <c r="P58" s="403">
        <v>0</v>
      </c>
      <c r="Q58" s="403">
        <v>8.4698389036640522E-4</v>
      </c>
      <c r="R58" s="403">
        <v>8.4647692248636158E-4</v>
      </c>
      <c r="S58" s="403">
        <v>1.7278471363474668E-3</v>
      </c>
      <c r="T58" s="403">
        <v>2.0191656508401126E-3</v>
      </c>
      <c r="U58" s="403">
        <v>1.304355191164264E-3</v>
      </c>
      <c r="V58" s="403">
        <v>1.0993585273615737E-4</v>
      </c>
      <c r="W58" s="403">
        <v>7.905182976753116E-5</v>
      </c>
      <c r="X58" s="403">
        <v>3.7066934396359922E-5</v>
      </c>
      <c r="Y58" s="403">
        <v>0</v>
      </c>
      <c r="Z58" s="403">
        <v>0</v>
      </c>
      <c r="AA58" s="403">
        <v>1</v>
      </c>
      <c r="AB58" s="403">
        <v>1</v>
      </c>
      <c r="AC58" s="403"/>
      <c r="AD58" s="403"/>
      <c r="AE58" s="346"/>
      <c r="AF58" s="40"/>
      <c r="AG58" s="40"/>
      <c r="AH58" s="40"/>
      <c r="AI58" s="40"/>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row>
    <row r="59" spans="1:67" x14ac:dyDescent="0.2">
      <c r="A59" s="589">
        <v>27</v>
      </c>
      <c r="B59" s="588" t="s">
        <v>26</v>
      </c>
      <c r="C59" s="401">
        <v>327887</v>
      </c>
      <c r="D59" s="401">
        <v>3013.7072936449999</v>
      </c>
      <c r="E59" s="401">
        <v>316034</v>
      </c>
      <c r="F59" s="401">
        <v>3894.2539577130001</v>
      </c>
      <c r="G59" s="401">
        <v>25407</v>
      </c>
      <c r="H59" s="401">
        <v>209.39399461900001</v>
      </c>
      <c r="I59" s="401">
        <v>220034</v>
      </c>
      <c r="J59" s="401">
        <v>1510.80115305</v>
      </c>
      <c r="K59" s="401">
        <v>64164</v>
      </c>
      <c r="L59" s="401">
        <v>647.10904171000004</v>
      </c>
      <c r="M59" s="401">
        <v>14809</v>
      </c>
      <c r="N59" s="401">
        <v>3.4089125469999999</v>
      </c>
      <c r="O59" s="401">
        <v>0</v>
      </c>
      <c r="P59" s="401">
        <v>0</v>
      </c>
      <c r="Q59" s="401">
        <v>354</v>
      </c>
      <c r="R59" s="401">
        <v>1.478207831</v>
      </c>
      <c r="S59" s="401">
        <v>0</v>
      </c>
      <c r="T59" s="401">
        <v>0</v>
      </c>
      <c r="U59" s="401">
        <v>0</v>
      </c>
      <c r="V59" s="401">
        <v>0</v>
      </c>
      <c r="W59" s="401">
        <v>0</v>
      </c>
      <c r="X59" s="401">
        <v>0</v>
      </c>
      <c r="Y59" s="401">
        <v>0</v>
      </c>
      <c r="Z59" s="401">
        <v>0</v>
      </c>
      <c r="AA59" s="401">
        <v>968689</v>
      </c>
      <c r="AB59" s="401">
        <v>9280.1525611150009</v>
      </c>
      <c r="AC59" s="401">
        <v>0</v>
      </c>
      <c r="AD59" s="401">
        <v>0</v>
      </c>
      <c r="AE59" s="49"/>
      <c r="AF59" s="50"/>
      <c r="AG59" s="49"/>
      <c r="AH59" s="50"/>
      <c r="AI59" s="49"/>
      <c r="AJ59" s="50"/>
      <c r="AK59" s="49"/>
      <c r="AL59" s="50"/>
      <c r="AM59" s="49"/>
      <c r="AN59" s="50"/>
      <c r="AO59" s="49"/>
      <c r="AP59" s="50"/>
      <c r="AQ59" s="49"/>
      <c r="AR59" s="50"/>
      <c r="AS59" s="49"/>
      <c r="AT59" s="50"/>
      <c r="AU59" s="49"/>
      <c r="AV59" s="50"/>
      <c r="AW59" s="49"/>
      <c r="AX59" s="50"/>
      <c r="AY59" s="49"/>
      <c r="AZ59" s="50"/>
      <c r="BA59" s="49"/>
      <c r="BB59" s="50"/>
      <c r="BC59" s="51"/>
      <c r="BD59" s="52"/>
      <c r="BE59" s="49"/>
      <c r="BF59" s="50"/>
    </row>
    <row r="60" spans="1:67" x14ac:dyDescent="0.2">
      <c r="A60" s="589"/>
      <c r="B60" s="588"/>
      <c r="C60" s="403">
        <v>0.33848531365587925</v>
      </c>
      <c r="D60" s="403">
        <v>0.32474760234791938</v>
      </c>
      <c r="E60" s="403">
        <v>0.32624918833598815</v>
      </c>
      <c r="F60" s="403">
        <v>0.4196325364337663</v>
      </c>
      <c r="G60" s="403">
        <v>2.6228232177716481E-2</v>
      </c>
      <c r="H60" s="403">
        <v>2.2563637099716122E-2</v>
      </c>
      <c r="I60" s="403">
        <v>0.22714617384939853</v>
      </c>
      <c r="J60" s="403">
        <v>0.16279917200719798</v>
      </c>
      <c r="K60" s="403">
        <v>6.6237977307474327E-2</v>
      </c>
      <c r="L60" s="403">
        <v>6.9730431417848432E-2</v>
      </c>
      <c r="M60" s="403">
        <v>1.5287672307624015E-2</v>
      </c>
      <c r="N60" s="403">
        <v>3.6733367523328976E-4</v>
      </c>
      <c r="O60" s="403">
        <v>0</v>
      </c>
      <c r="P60" s="403">
        <v>0</v>
      </c>
      <c r="Q60" s="403">
        <v>3.654423659192992E-4</v>
      </c>
      <c r="R60" s="403">
        <v>1.592870183184138E-4</v>
      </c>
      <c r="S60" s="403">
        <v>0</v>
      </c>
      <c r="T60" s="403">
        <v>0</v>
      </c>
      <c r="U60" s="403">
        <v>0</v>
      </c>
      <c r="V60" s="403">
        <v>0</v>
      </c>
      <c r="W60" s="403">
        <v>0</v>
      </c>
      <c r="X60" s="403">
        <v>0</v>
      </c>
      <c r="Y60" s="403">
        <v>0</v>
      </c>
      <c r="Z60" s="403">
        <v>0</v>
      </c>
      <c r="AA60" s="403">
        <v>1</v>
      </c>
      <c r="AB60" s="403">
        <v>1</v>
      </c>
      <c r="AC60" s="403"/>
      <c r="AD60" s="403"/>
      <c r="AE60" s="346"/>
      <c r="AF60" s="40"/>
      <c r="AG60" s="40"/>
      <c r="AH60" s="40"/>
      <c r="AI60" s="40"/>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row>
    <row r="61" spans="1:67" s="12" customFormat="1" x14ac:dyDescent="0.2">
      <c r="A61" s="588"/>
      <c r="B61" s="592" t="s">
        <v>27</v>
      </c>
      <c r="C61" s="401">
        <v>2255808</v>
      </c>
      <c r="D61" s="401">
        <v>23716.606381032121</v>
      </c>
      <c r="E61" s="401">
        <v>4083897</v>
      </c>
      <c r="F61" s="401">
        <v>51664.242079496929</v>
      </c>
      <c r="G61" s="401">
        <v>730298</v>
      </c>
      <c r="H61" s="401">
        <v>3447.1962537613922</v>
      </c>
      <c r="I61" s="401">
        <v>1036439</v>
      </c>
      <c r="J61" s="401">
        <v>6047.5024607753357</v>
      </c>
      <c r="K61" s="401">
        <v>883497</v>
      </c>
      <c r="L61" s="401">
        <v>17778.661526103009</v>
      </c>
      <c r="M61" s="401">
        <v>18251</v>
      </c>
      <c r="N61" s="401">
        <v>3.426447547</v>
      </c>
      <c r="O61" s="401">
        <v>12837</v>
      </c>
      <c r="P61" s="401">
        <v>16.827560659000305</v>
      </c>
      <c r="Q61" s="401">
        <v>4258</v>
      </c>
      <c r="R61" s="401">
        <v>18.097301371140002</v>
      </c>
      <c r="S61" s="401">
        <v>19430</v>
      </c>
      <c r="T61" s="401">
        <v>220.52532294027981</v>
      </c>
      <c r="U61" s="401">
        <v>191321</v>
      </c>
      <c r="V61" s="401">
        <v>1109.2223558325052</v>
      </c>
      <c r="W61" s="401">
        <v>2899</v>
      </c>
      <c r="X61" s="401">
        <v>11.442585441414899</v>
      </c>
      <c r="Y61" s="401">
        <v>0</v>
      </c>
      <c r="Z61" s="401">
        <v>0.13264999999999999</v>
      </c>
      <c r="AA61" s="401">
        <v>9238935</v>
      </c>
      <c r="AB61" s="401">
        <v>104033.88292496011</v>
      </c>
      <c r="AC61" s="401">
        <v>230</v>
      </c>
      <c r="AD61" s="401">
        <v>1.1609514759999999</v>
      </c>
      <c r="AE61" s="57"/>
      <c r="AF61" s="58"/>
      <c r="AG61" s="57"/>
      <c r="AH61" s="58"/>
      <c r="AI61" s="57"/>
      <c r="AJ61" s="58"/>
      <c r="AK61" s="57"/>
      <c r="AL61" s="58"/>
      <c r="AM61" s="57"/>
      <c r="AN61" s="58"/>
      <c r="AO61" s="57"/>
      <c r="AP61" s="58"/>
      <c r="AQ61" s="57"/>
      <c r="AR61" s="58"/>
      <c r="AS61" s="57"/>
      <c r="AT61" s="58"/>
      <c r="AU61" s="57"/>
      <c r="AV61" s="58"/>
      <c r="AW61" s="57"/>
      <c r="AX61" s="58"/>
      <c r="AY61" s="57"/>
      <c r="AZ61" s="58"/>
      <c r="BA61" s="57"/>
      <c r="BB61" s="58"/>
      <c r="BC61" s="57"/>
      <c r="BD61" s="58"/>
      <c r="BE61" s="57"/>
      <c r="BF61" s="58"/>
      <c r="BG61" s="59"/>
    </row>
    <row r="62" spans="1:67" x14ac:dyDescent="0.2">
      <c r="A62" s="588"/>
      <c r="B62" s="592"/>
      <c r="C62" s="403">
        <v>0.24416320712289891</v>
      </c>
      <c r="D62" s="403">
        <v>0.22797002009565448</v>
      </c>
      <c r="E62" s="403">
        <v>0.44203114319994674</v>
      </c>
      <c r="F62" s="403">
        <v>0.49660976430883069</v>
      </c>
      <c r="G62" s="403">
        <v>7.9045690872378685E-2</v>
      </c>
      <c r="H62" s="403">
        <v>3.3135322424213111E-2</v>
      </c>
      <c r="I62" s="403">
        <v>0.1121816529719064</v>
      </c>
      <c r="J62" s="403">
        <v>5.8130123482340978E-2</v>
      </c>
      <c r="K62" s="403">
        <v>9.5627580451642963E-2</v>
      </c>
      <c r="L62" s="403">
        <v>0.17089299203536218</v>
      </c>
      <c r="M62" s="403">
        <v>1.9754441393948544E-3</v>
      </c>
      <c r="N62" s="403">
        <v>3.2935880606047408E-5</v>
      </c>
      <c r="O62" s="403">
        <v>1.3894458614548105E-3</v>
      </c>
      <c r="P62" s="403">
        <v>1.6175076990193729E-4</v>
      </c>
      <c r="Q62" s="403">
        <v>4.6087563122805823E-4</v>
      </c>
      <c r="R62" s="403">
        <v>1.7395583883179319E-4</v>
      </c>
      <c r="S62" s="403">
        <v>2.1030562505310406E-3</v>
      </c>
      <c r="T62" s="403">
        <v>2.1197451901256558E-3</v>
      </c>
      <c r="U62" s="403">
        <v>2.0708122743584623E-2</v>
      </c>
      <c r="V62" s="403">
        <v>1.0662125882897113E-2</v>
      </c>
      <c r="W62" s="403">
        <v>3.1378075503291233E-4</v>
      </c>
      <c r="X62" s="403">
        <v>1.0998902587985169E-4</v>
      </c>
      <c r="Y62" s="403">
        <v>0</v>
      </c>
      <c r="Z62" s="403">
        <v>1.2750653563097396E-6</v>
      </c>
      <c r="AA62" s="403">
        <v>1</v>
      </c>
      <c r="AB62" s="403">
        <v>1</v>
      </c>
      <c r="AC62" s="403"/>
      <c r="AD62" s="403"/>
      <c r="AE62" s="346"/>
      <c r="AF62" s="40"/>
      <c r="AG62" s="40"/>
      <c r="AH62" s="40"/>
      <c r="AI62" s="40"/>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row>
    <row r="63" spans="1:67" s="12" customFormat="1" x14ac:dyDescent="0.2">
      <c r="A63" s="588"/>
      <c r="B63" s="592" t="s">
        <v>28</v>
      </c>
      <c r="C63" s="401">
        <v>19614455</v>
      </c>
      <c r="D63" s="401">
        <v>82292.606281032116</v>
      </c>
      <c r="E63" s="401">
        <v>4209200</v>
      </c>
      <c r="F63" s="401">
        <v>54240.985879496933</v>
      </c>
      <c r="G63" s="401">
        <v>750592</v>
      </c>
      <c r="H63" s="401">
        <v>3489.0763537613921</v>
      </c>
      <c r="I63" s="401">
        <v>1040922</v>
      </c>
      <c r="J63" s="401">
        <v>6191.8377607753355</v>
      </c>
      <c r="K63" s="401">
        <v>883497</v>
      </c>
      <c r="L63" s="401">
        <v>17778.661526103009</v>
      </c>
      <c r="M63" s="401">
        <v>196807</v>
      </c>
      <c r="N63" s="401">
        <v>112.534047547</v>
      </c>
      <c r="O63" s="401">
        <v>85220</v>
      </c>
      <c r="P63" s="401">
        <v>103.17796065900029</v>
      </c>
      <c r="Q63" s="401">
        <v>4258</v>
      </c>
      <c r="R63" s="401">
        <v>18.097301371140002</v>
      </c>
      <c r="S63" s="401">
        <v>33915</v>
      </c>
      <c r="T63" s="401">
        <v>758.20762294027986</v>
      </c>
      <c r="U63" s="401">
        <v>200069</v>
      </c>
      <c r="V63" s="401">
        <v>1441.529055832505</v>
      </c>
      <c r="W63" s="401">
        <v>2975</v>
      </c>
      <c r="X63" s="401">
        <v>11.631285441414899</v>
      </c>
      <c r="Y63" s="401">
        <v>0</v>
      </c>
      <c r="Z63" s="401">
        <v>0.13264999999999999</v>
      </c>
      <c r="AA63" s="401">
        <v>27021910</v>
      </c>
      <c r="AB63" s="401">
        <v>166438.47772496013</v>
      </c>
      <c r="AC63" s="401">
        <v>230</v>
      </c>
      <c r="AD63" s="401">
        <v>1.1609514759999999</v>
      </c>
      <c r="AE63" s="57"/>
      <c r="AF63" s="58"/>
      <c r="AG63" s="57"/>
      <c r="AH63" s="58"/>
      <c r="AI63" s="57"/>
      <c r="AJ63" s="58"/>
      <c r="AK63" s="57"/>
      <c r="AL63" s="58"/>
      <c r="AM63" s="57"/>
      <c r="AN63" s="58"/>
      <c r="AO63" s="57"/>
      <c r="AP63" s="58"/>
      <c r="AQ63" s="57"/>
      <c r="AR63" s="58"/>
      <c r="AS63" s="57"/>
      <c r="AT63" s="58"/>
      <c r="AU63" s="57"/>
      <c r="AV63" s="58"/>
      <c r="AW63" s="57"/>
      <c r="AX63" s="58"/>
      <c r="AY63" s="57"/>
      <c r="AZ63" s="58"/>
      <c r="BA63" s="57"/>
      <c r="BB63" s="58"/>
      <c r="BC63" s="57"/>
      <c r="BD63" s="58"/>
      <c r="BE63" s="57"/>
      <c r="BF63" s="58"/>
    </row>
    <row r="64" spans="1:67" x14ac:dyDescent="0.2">
      <c r="A64" s="588"/>
      <c r="B64" s="592"/>
      <c r="C64" s="403">
        <v>0.72587226439581809</v>
      </c>
      <c r="D64" s="403">
        <v>0.49443258197194512</v>
      </c>
      <c r="E64" s="403">
        <v>0.15576989191363602</v>
      </c>
      <c r="F64" s="403">
        <v>0.32589210512445477</v>
      </c>
      <c r="G64" s="403">
        <v>2.7777163050280308E-2</v>
      </c>
      <c r="H64" s="403">
        <v>2.0963159489640951E-2</v>
      </c>
      <c r="I64" s="403">
        <v>3.8521407258036162E-2</v>
      </c>
      <c r="J64" s="403">
        <v>3.7201961021341219E-2</v>
      </c>
      <c r="K64" s="403">
        <v>3.2695579254020161E-2</v>
      </c>
      <c r="L64" s="403">
        <v>0.10681821757275549</v>
      </c>
      <c r="M64" s="403">
        <v>7.2832379354383168E-3</v>
      </c>
      <c r="N64" s="403">
        <v>6.7612999761366901E-4</v>
      </c>
      <c r="O64" s="403">
        <v>3.1537370970445835E-3</v>
      </c>
      <c r="P64" s="403">
        <v>6.1991651251162036E-4</v>
      </c>
      <c r="Q64" s="403">
        <v>1.5757583383261954E-4</v>
      </c>
      <c r="R64" s="403">
        <v>1.0873267779488962E-4</v>
      </c>
      <c r="S64" s="403">
        <v>1.2550926266870106E-3</v>
      </c>
      <c r="T64" s="403">
        <v>4.5554828024395849E-3</v>
      </c>
      <c r="U64" s="403">
        <v>7.4039547907605351E-3</v>
      </c>
      <c r="V64" s="403">
        <v>8.6610324459626114E-3</v>
      </c>
      <c r="W64" s="403">
        <v>1.10095844446229E-4</v>
      </c>
      <c r="X64" s="403">
        <v>6.9883392352552149E-5</v>
      </c>
      <c r="Y64" s="403">
        <v>0</v>
      </c>
      <c r="Z64" s="403">
        <v>7.969911874536869E-7</v>
      </c>
      <c r="AA64" s="403">
        <v>1</v>
      </c>
      <c r="AB64" s="403">
        <v>1</v>
      </c>
      <c r="AC64" s="403"/>
      <c r="AD64" s="403"/>
      <c r="AE64" s="346"/>
      <c r="AF64" s="40"/>
      <c r="AG64" s="40"/>
      <c r="AH64" s="40"/>
      <c r="AI64" s="40"/>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row>
    <row r="65" spans="1:58" x14ac:dyDescent="0.2">
      <c r="A65" s="10" t="s">
        <v>218</v>
      </c>
      <c r="C65" s="47"/>
      <c r="D65" s="48"/>
      <c r="AA65" s="60"/>
      <c r="AB65" s="61"/>
      <c r="BC65" s="60"/>
      <c r="BD65" s="61"/>
    </row>
    <row r="66" spans="1:58" s="22" customFormat="1" x14ac:dyDescent="0.2">
      <c r="A66" s="32" t="s">
        <v>57</v>
      </c>
      <c r="D66" s="63"/>
      <c r="F66" s="397"/>
      <c r="H66" s="63"/>
      <c r="J66" s="63"/>
      <c r="L66" s="63"/>
      <c r="M66" s="63"/>
      <c r="N66" s="63"/>
      <c r="O66" s="63"/>
      <c r="P66" s="63"/>
      <c r="Q66" s="63"/>
      <c r="R66" s="63"/>
      <c r="S66" s="63"/>
      <c r="T66" s="63"/>
      <c r="U66" s="63"/>
      <c r="V66" s="63"/>
      <c r="W66" s="63"/>
      <c r="X66" s="63"/>
      <c r="Y66" s="63"/>
      <c r="Z66" s="63"/>
      <c r="AA66" s="65"/>
      <c r="AB66" s="58"/>
      <c r="AD66" s="63"/>
      <c r="AF66" s="63"/>
      <c r="AH66" s="397"/>
      <c r="AJ66" s="63"/>
      <c r="AL66" s="63"/>
      <c r="AN66" s="63"/>
      <c r="AO66" s="63"/>
      <c r="AP66" s="63"/>
      <c r="AQ66" s="63"/>
      <c r="AR66" s="63"/>
      <c r="AS66" s="63"/>
      <c r="AT66" s="63"/>
      <c r="AU66" s="63"/>
      <c r="AV66" s="63"/>
      <c r="AW66" s="63"/>
      <c r="AX66" s="63"/>
      <c r="AY66" s="63"/>
      <c r="AZ66" s="63"/>
      <c r="BA66" s="63"/>
      <c r="BB66" s="63"/>
      <c r="BC66" s="65"/>
      <c r="BD66" s="58"/>
      <c r="BF66" s="63"/>
    </row>
    <row r="67" spans="1:58" s="22" customFormat="1" x14ac:dyDescent="0.2">
      <c r="A67" s="22" t="s">
        <v>219</v>
      </c>
      <c r="D67" s="63"/>
      <c r="F67" s="397"/>
      <c r="H67" s="63"/>
      <c r="J67" s="63"/>
      <c r="L67" s="63"/>
      <c r="M67" s="63"/>
      <c r="N67" s="63"/>
      <c r="O67" s="63"/>
      <c r="P67" s="63"/>
      <c r="Q67" s="63"/>
      <c r="R67" s="63"/>
      <c r="S67" s="63"/>
      <c r="T67" s="63"/>
      <c r="U67" s="63"/>
      <c r="V67" s="63"/>
      <c r="W67" s="63"/>
      <c r="X67" s="63"/>
      <c r="Y67" s="63"/>
      <c r="Z67" s="63"/>
      <c r="AA67" s="65"/>
      <c r="AB67" s="58"/>
      <c r="AD67" s="63"/>
      <c r="AF67" s="63"/>
      <c r="AH67" s="397"/>
      <c r="AJ67" s="63"/>
      <c r="AL67" s="63"/>
      <c r="AN67" s="63"/>
      <c r="AO67" s="63"/>
      <c r="AP67" s="63"/>
      <c r="AQ67" s="63"/>
      <c r="AR67" s="63"/>
      <c r="AS67" s="63"/>
      <c r="AT67" s="63"/>
      <c r="AU67" s="63"/>
      <c r="AV67" s="63"/>
      <c r="AW67" s="63"/>
      <c r="AX67" s="63"/>
      <c r="AY67" s="63"/>
      <c r="AZ67" s="63"/>
      <c r="BA67" s="63"/>
      <c r="BB67" s="63"/>
      <c r="BC67" s="65"/>
      <c r="BD67" s="58"/>
      <c r="BF67" s="63"/>
    </row>
    <row r="68" spans="1:58" s="22" customFormat="1" x14ac:dyDescent="0.2">
      <c r="A68" s="23" t="s">
        <v>56</v>
      </c>
      <c r="C68" s="40"/>
      <c r="D68" s="40"/>
      <c r="E68" s="40"/>
      <c r="F68" s="40"/>
      <c r="G68" s="40"/>
      <c r="H68" s="40"/>
      <c r="I68" s="40"/>
      <c r="J68" s="40"/>
      <c r="K68" s="40"/>
      <c r="L68" s="40"/>
      <c r="M68" s="40"/>
      <c r="N68" s="40"/>
      <c r="O68" s="40"/>
      <c r="P68" s="40"/>
      <c r="Q68" s="40"/>
      <c r="R68" s="40"/>
      <c r="S68" s="40"/>
      <c r="T68" s="40"/>
      <c r="U68" s="40"/>
      <c r="V68" s="40"/>
      <c r="W68" s="40"/>
      <c r="X68" s="40"/>
      <c r="Y68" s="40"/>
      <c r="Z68" s="40"/>
      <c r="AA68" s="41"/>
      <c r="AB68" s="41"/>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1"/>
      <c r="BD68" s="41"/>
      <c r="BE68" s="40"/>
      <c r="BF68" s="40"/>
    </row>
    <row r="69" spans="1:58" s="22" customFormat="1" x14ac:dyDescent="0.2">
      <c r="A69" s="24" t="s">
        <v>220</v>
      </c>
      <c r="C69" s="62"/>
      <c r="D69" s="62"/>
      <c r="E69" s="62"/>
      <c r="F69" s="62"/>
      <c r="G69" s="62"/>
      <c r="H69" s="62"/>
      <c r="I69" s="62"/>
      <c r="J69" s="62"/>
      <c r="K69" s="62"/>
      <c r="L69" s="62"/>
      <c r="M69" s="62"/>
      <c r="N69" s="62"/>
      <c r="O69" s="62"/>
      <c r="P69" s="62"/>
      <c r="Q69" s="62"/>
      <c r="R69" s="62"/>
      <c r="S69" s="62"/>
      <c r="T69" s="62"/>
      <c r="U69" s="62"/>
      <c r="V69" s="62"/>
      <c r="W69" s="62"/>
      <c r="X69" s="62"/>
      <c r="Y69" s="62"/>
      <c r="Z69" s="62"/>
      <c r="AA69" s="15"/>
      <c r="AB69" s="58"/>
      <c r="AD69" s="63"/>
      <c r="AE69" s="62"/>
      <c r="AF69" s="62"/>
      <c r="AG69" s="62"/>
      <c r="AH69" s="62"/>
      <c r="AI69" s="62"/>
      <c r="AJ69" s="62"/>
      <c r="AK69" s="62"/>
      <c r="AL69" s="62"/>
      <c r="AM69" s="62"/>
      <c r="AN69" s="62"/>
      <c r="AO69" s="62"/>
      <c r="AP69" s="62"/>
      <c r="AQ69" s="62"/>
      <c r="AR69" s="62"/>
      <c r="AS69" s="62"/>
      <c r="AT69" s="62"/>
      <c r="AU69" s="62"/>
      <c r="AV69" s="62"/>
      <c r="AW69" s="62"/>
      <c r="AX69" s="62"/>
      <c r="AY69" s="62"/>
      <c r="AZ69" s="62"/>
      <c r="BA69" s="62"/>
      <c r="BB69" s="62"/>
      <c r="BC69" s="15"/>
      <c r="BD69" s="58"/>
      <c r="BF69" s="63"/>
    </row>
    <row r="70" spans="1:58" s="22" customFormat="1" x14ac:dyDescent="0.2">
      <c r="A70" s="22" t="s">
        <v>221</v>
      </c>
      <c r="D70" s="63"/>
      <c r="F70" s="63"/>
      <c r="H70" s="64"/>
      <c r="J70" s="63"/>
      <c r="L70" s="63"/>
      <c r="M70" s="63"/>
      <c r="N70" s="63"/>
      <c r="O70" s="63"/>
      <c r="P70" s="63"/>
      <c r="Q70" s="63"/>
      <c r="R70" s="63"/>
      <c r="S70" s="63"/>
      <c r="T70" s="63"/>
      <c r="U70" s="63"/>
      <c r="V70" s="63"/>
      <c r="W70" s="63"/>
      <c r="X70" s="63"/>
      <c r="Y70" s="63"/>
      <c r="Z70" s="63"/>
      <c r="AA70" s="65"/>
      <c r="AB70" s="58"/>
      <c r="AD70" s="63"/>
      <c r="AF70" s="63"/>
      <c r="AH70" s="63"/>
      <c r="AJ70" s="64"/>
      <c r="AL70" s="63"/>
      <c r="AN70" s="63"/>
      <c r="AO70" s="63"/>
      <c r="AP70" s="63"/>
      <c r="AQ70" s="63"/>
      <c r="AR70" s="63"/>
      <c r="AS70" s="63"/>
      <c r="AT70" s="63"/>
      <c r="AU70" s="63"/>
      <c r="AV70" s="63"/>
      <c r="AW70" s="63"/>
      <c r="AX70" s="63"/>
      <c r="AY70" s="63"/>
      <c r="AZ70" s="63"/>
      <c r="BA70" s="63"/>
      <c r="BB70" s="63"/>
      <c r="BC70" s="65"/>
      <c r="BD70" s="58"/>
      <c r="BF70" s="63"/>
    </row>
    <row r="71" spans="1:58" s="22" customFormat="1" x14ac:dyDescent="0.2">
      <c r="A71" s="22" t="s">
        <v>53</v>
      </c>
      <c r="D71" s="63"/>
      <c r="F71" s="63"/>
      <c r="H71" s="63"/>
      <c r="J71" s="63"/>
      <c r="L71" s="63"/>
      <c r="M71" s="63"/>
      <c r="N71" s="63"/>
      <c r="O71" s="63"/>
      <c r="P71" s="63"/>
      <c r="Q71" s="63"/>
      <c r="R71" s="63"/>
      <c r="S71" s="63"/>
      <c r="T71" s="63"/>
      <c r="U71" s="63"/>
      <c r="V71" s="63"/>
      <c r="W71" s="63"/>
      <c r="X71" s="63"/>
      <c r="Y71" s="63"/>
      <c r="Z71" s="63"/>
      <c r="AA71" s="65"/>
      <c r="AB71" s="58"/>
      <c r="AD71" s="63"/>
      <c r="AF71" s="63"/>
      <c r="AH71" s="63"/>
      <c r="AJ71" s="63"/>
      <c r="AL71" s="63"/>
      <c r="AN71" s="63"/>
      <c r="AO71" s="63"/>
      <c r="AP71" s="63"/>
      <c r="AQ71" s="63"/>
      <c r="AR71" s="63"/>
      <c r="AS71" s="63"/>
      <c r="AT71" s="63"/>
      <c r="AU71" s="63"/>
      <c r="AV71" s="63"/>
      <c r="AW71" s="63"/>
      <c r="AX71" s="63"/>
      <c r="AY71" s="63"/>
      <c r="AZ71" s="63"/>
      <c r="BA71" s="63"/>
      <c r="BB71" s="63"/>
      <c r="BC71" s="65"/>
      <c r="BD71" s="58"/>
      <c r="BF71" s="63"/>
    </row>
    <row r="72" spans="1:58" s="22" customFormat="1" ht="16.5" customHeight="1" x14ac:dyDescent="0.2">
      <c r="A72" s="390" t="s">
        <v>296</v>
      </c>
      <c r="B72" s="390"/>
      <c r="C72" s="390"/>
      <c r="D72" s="390"/>
      <c r="E72" s="390"/>
      <c r="F72" s="390"/>
      <c r="G72" s="390"/>
      <c r="H72" s="390"/>
      <c r="I72" s="390"/>
      <c r="J72" s="390"/>
      <c r="K72" s="390"/>
      <c r="L72" s="390"/>
      <c r="M72" s="390"/>
      <c r="N72" s="390"/>
      <c r="O72" s="63"/>
      <c r="P72" s="63"/>
      <c r="Q72" s="63"/>
      <c r="R72" s="63"/>
      <c r="S72" s="63"/>
      <c r="T72" s="63"/>
      <c r="U72" s="63"/>
      <c r="V72" s="63"/>
      <c r="W72" s="63"/>
      <c r="X72" s="63"/>
      <c r="Y72" s="63"/>
      <c r="Z72" s="63"/>
      <c r="AA72" s="65"/>
      <c r="AB72" s="65"/>
      <c r="AD72" s="63"/>
      <c r="AF72" s="63"/>
      <c r="AH72" s="63"/>
      <c r="AJ72" s="63"/>
      <c r="AL72" s="63"/>
      <c r="AN72" s="63"/>
      <c r="AO72" s="63"/>
      <c r="AP72" s="63"/>
      <c r="AQ72" s="63"/>
      <c r="AR72" s="63"/>
      <c r="AS72" s="63"/>
      <c r="AT72" s="63"/>
      <c r="AU72" s="63"/>
      <c r="AV72" s="63"/>
      <c r="AW72" s="63"/>
      <c r="AX72" s="63"/>
      <c r="AY72" s="63"/>
      <c r="AZ72" s="63"/>
      <c r="BA72" s="63"/>
      <c r="BB72" s="63"/>
      <c r="BC72" s="65"/>
      <c r="BD72" s="65"/>
      <c r="BF72" s="63"/>
    </row>
    <row r="73" spans="1:58" s="22" customFormat="1" x14ac:dyDescent="0.2">
      <c r="A73" s="521" t="s">
        <v>397</v>
      </c>
      <c r="B73" s="521"/>
      <c r="C73" s="521"/>
      <c r="D73" s="521"/>
      <c r="E73" s="521"/>
      <c r="F73" s="521"/>
      <c r="G73" s="521"/>
      <c r="H73" s="521"/>
      <c r="I73" s="521"/>
      <c r="J73" s="521"/>
      <c r="K73" s="521"/>
      <c r="L73" s="521"/>
      <c r="M73" s="63"/>
      <c r="N73" s="63"/>
      <c r="O73" s="63"/>
      <c r="P73" s="63"/>
      <c r="Q73" s="63"/>
      <c r="R73" s="63"/>
      <c r="S73" s="63"/>
      <c r="T73" s="63"/>
      <c r="U73" s="63"/>
      <c r="V73" s="63"/>
      <c r="W73" s="63"/>
      <c r="X73" s="63"/>
      <c r="Y73" s="63"/>
      <c r="Z73" s="63"/>
      <c r="AA73" s="65"/>
      <c r="AB73" s="65"/>
      <c r="AD73" s="63"/>
      <c r="AF73" s="63"/>
      <c r="AH73" s="63"/>
      <c r="AJ73" s="63"/>
      <c r="AL73" s="63"/>
      <c r="AN73" s="63"/>
      <c r="AO73" s="63"/>
      <c r="AP73" s="63"/>
      <c r="AQ73" s="63"/>
      <c r="AR73" s="63"/>
      <c r="AS73" s="63"/>
      <c r="AT73" s="63"/>
      <c r="AU73" s="63"/>
      <c r="AV73" s="63"/>
      <c r="AW73" s="63"/>
      <c r="AX73" s="63"/>
      <c r="AY73" s="63"/>
      <c r="AZ73" s="63"/>
      <c r="BA73" s="63"/>
      <c r="BB73" s="63"/>
      <c r="BC73" s="65"/>
      <c r="BD73" s="65"/>
      <c r="BF73" s="63"/>
    </row>
    <row r="74" spans="1:58" x14ac:dyDescent="0.2">
      <c r="A74" s="474" t="s">
        <v>406</v>
      </c>
    </row>
    <row r="75" spans="1:58" x14ac:dyDescent="0.2">
      <c r="A75" s="474" t="s">
        <v>407</v>
      </c>
    </row>
    <row r="76" spans="1:58" ht="15" x14ac:dyDescent="0.2">
      <c r="A76" s="475" t="s">
        <v>408</v>
      </c>
    </row>
    <row r="77" spans="1:58" ht="15" x14ac:dyDescent="0.2">
      <c r="A77" s="475" t="s">
        <v>409</v>
      </c>
    </row>
  </sheetData>
  <mergeCells count="77">
    <mergeCell ref="A49:A50"/>
    <mergeCell ref="B49:B50"/>
    <mergeCell ref="A51:A52"/>
    <mergeCell ref="B51:B52"/>
    <mergeCell ref="A43:A44"/>
    <mergeCell ref="B43:B44"/>
    <mergeCell ref="A47:A48"/>
    <mergeCell ref="B47:B48"/>
    <mergeCell ref="A61:A62"/>
    <mergeCell ref="B61:B62"/>
    <mergeCell ref="A63:A64"/>
    <mergeCell ref="B63:B64"/>
    <mergeCell ref="A53:A54"/>
    <mergeCell ref="B53:B54"/>
    <mergeCell ref="A55:A56"/>
    <mergeCell ref="B55:B56"/>
    <mergeCell ref="A57:A58"/>
    <mergeCell ref="B57:B58"/>
    <mergeCell ref="A59:A60"/>
    <mergeCell ref="B59:B60"/>
    <mergeCell ref="A29:A30"/>
    <mergeCell ref="B29:B30"/>
    <mergeCell ref="A31:A32"/>
    <mergeCell ref="B31:B32"/>
    <mergeCell ref="A45:A46"/>
    <mergeCell ref="B45:B46"/>
    <mergeCell ref="A35:A36"/>
    <mergeCell ref="B35:B36"/>
    <mergeCell ref="A37:A38"/>
    <mergeCell ref="B37:B38"/>
    <mergeCell ref="A39:A40"/>
    <mergeCell ref="B39:B40"/>
    <mergeCell ref="B33:B34"/>
    <mergeCell ref="A33:A34"/>
    <mergeCell ref="A41:A42"/>
    <mergeCell ref="B41:B42"/>
    <mergeCell ref="A21:A22"/>
    <mergeCell ref="B21:B22"/>
    <mergeCell ref="A23:A24"/>
    <mergeCell ref="B23:B24"/>
    <mergeCell ref="A27:A28"/>
    <mergeCell ref="B27:B28"/>
    <mergeCell ref="B25:B26"/>
    <mergeCell ref="A25:A26"/>
    <mergeCell ref="A15:A16"/>
    <mergeCell ref="B15:B16"/>
    <mergeCell ref="A17:A18"/>
    <mergeCell ref="B17:B18"/>
    <mergeCell ref="A19:A20"/>
    <mergeCell ref="B19:B20"/>
    <mergeCell ref="A11:A12"/>
    <mergeCell ref="B11:B12"/>
    <mergeCell ref="B9:B10"/>
    <mergeCell ref="A9:A10"/>
    <mergeCell ref="A13:A14"/>
    <mergeCell ref="B13:B14"/>
    <mergeCell ref="AA2:AB3"/>
    <mergeCell ref="E3:F3"/>
    <mergeCell ref="G3:H3"/>
    <mergeCell ref="A6:A7"/>
    <mergeCell ref="B6:B7"/>
    <mergeCell ref="A73:L73"/>
    <mergeCell ref="AC2:AD3"/>
    <mergeCell ref="A1:AD1"/>
    <mergeCell ref="A2:A4"/>
    <mergeCell ref="B2:B4"/>
    <mergeCell ref="C2:D3"/>
    <mergeCell ref="E2:H2"/>
    <mergeCell ref="I2:J3"/>
    <mergeCell ref="K2:L3"/>
    <mergeCell ref="M2:N3"/>
    <mergeCell ref="O2:P3"/>
    <mergeCell ref="Q2:R3"/>
    <mergeCell ref="S2:T3"/>
    <mergeCell ref="U2:V3"/>
    <mergeCell ref="W2:X3"/>
    <mergeCell ref="Y2:Z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B050"/>
  </sheetPr>
  <dimension ref="A1:AT583"/>
  <sheetViews>
    <sheetView zoomScale="98" zoomScaleNormal="98" workbookViewId="0">
      <pane xSplit="2" ySplit="3" topLeftCell="O4" activePane="bottomRight" state="frozen"/>
      <selection activeCell="C28" sqref="A28:XFD28"/>
      <selection pane="topRight" activeCell="C28" sqref="A28:XFD28"/>
      <selection pane="bottomLeft" activeCell="C28" sqref="A28:XFD28"/>
      <selection pane="bottomRight" activeCell="X4" sqref="X4"/>
    </sheetView>
  </sheetViews>
  <sheetFormatPr defaultRowHeight="12.75" x14ac:dyDescent="0.2"/>
  <cols>
    <col min="1" max="1" width="6.140625" style="13" customWidth="1"/>
    <col min="2" max="2" width="24.140625" style="13" customWidth="1"/>
    <col min="3" max="3" width="7.7109375" style="28" bestFit="1" customWidth="1"/>
    <col min="4" max="5" width="7.7109375" style="13" bestFit="1" customWidth="1"/>
    <col min="6" max="6" width="7.7109375" style="28" bestFit="1" customWidth="1"/>
    <col min="7" max="8" width="7.7109375" style="13" bestFit="1" customWidth="1"/>
    <col min="9" max="9" width="7.7109375" style="28" bestFit="1" customWidth="1"/>
    <col min="10" max="10" width="7.7109375" style="13" bestFit="1" customWidth="1"/>
    <col min="11" max="11" width="8.28515625" style="13" bestFit="1" customWidth="1"/>
    <col min="12" max="13" width="8.28515625" style="13" customWidth="1"/>
    <col min="14" max="14" width="10" style="28" bestFit="1" customWidth="1"/>
    <col min="15" max="16" width="10" style="13" bestFit="1" customWidth="1"/>
    <col min="17" max="17" width="10" style="28" bestFit="1" customWidth="1"/>
    <col min="18" max="19" width="10" style="13" bestFit="1" customWidth="1"/>
    <col min="20" max="20" width="10" style="28" bestFit="1" customWidth="1"/>
    <col min="21" max="22" width="10" style="13" bestFit="1" customWidth="1"/>
    <col min="23" max="24" width="10" style="13" customWidth="1"/>
    <col min="25" max="25" width="8.5703125" style="28" bestFit="1" customWidth="1"/>
    <col min="26" max="26" width="9" style="13" bestFit="1" customWidth="1"/>
    <col min="27" max="27" width="9.140625" style="13" bestFit="1" customWidth="1"/>
    <col min="28" max="28" width="10.140625" style="28" bestFit="1" customWidth="1"/>
    <col min="29" max="30" width="9.5703125" style="13" bestFit="1" customWidth="1"/>
    <col min="31" max="31" width="9.5703125" style="28" bestFit="1" customWidth="1"/>
    <col min="32" max="33" width="9.5703125" style="13" bestFit="1" customWidth="1"/>
    <col min="34" max="34" width="9.85546875" style="13" customWidth="1"/>
    <col min="35" max="35" width="11.5703125" style="13" customWidth="1"/>
    <col min="36" max="36" width="9.140625" style="28"/>
    <col min="37" max="38" width="9.140625" style="13"/>
    <col min="39" max="39" width="9.140625" style="28"/>
    <col min="40" max="40" width="9.140625" style="13"/>
    <col min="41" max="41" width="11.85546875" style="29" customWidth="1"/>
    <col min="42" max="42" width="13" style="30" customWidth="1"/>
    <col min="43" max="43" width="12.85546875" style="85" customWidth="1"/>
    <col min="44" max="44" width="9.140625" style="13"/>
    <col min="45" max="45" width="9.140625" style="84"/>
    <col min="46" max="46" width="9.140625" style="86"/>
    <col min="47" max="186" width="9.140625" style="13"/>
    <col min="187" max="187" width="14.85546875" style="13" customWidth="1"/>
    <col min="188" max="191" width="9.140625" style="13"/>
    <col min="192" max="192" width="11.28515625" style="13" bestFit="1" customWidth="1"/>
    <col min="193" max="193" width="10.42578125" style="13" customWidth="1"/>
    <col min="194" max="195" width="9.140625" style="13"/>
    <col min="196" max="196" width="10.28515625" style="13" customWidth="1"/>
    <col min="197" max="198" width="9.140625" style="13"/>
    <col min="199" max="199" width="11.28515625" style="13" customWidth="1"/>
    <col min="200" max="200" width="9.140625" style="13"/>
    <col min="201" max="201" width="10.42578125" style="13" customWidth="1"/>
    <col min="202" max="202" width="12.28515625" style="13" customWidth="1"/>
    <col min="203" max="223" width="9.140625" style="13"/>
    <col min="224" max="224" width="11.85546875" style="13" customWidth="1"/>
    <col min="225" max="225" width="13" style="13" customWidth="1"/>
    <col min="226" max="226" width="12.85546875" style="13" customWidth="1"/>
    <col min="227" max="229" width="9.140625" style="13"/>
    <col min="230" max="235" width="0" style="13" hidden="1" customWidth="1"/>
    <col min="236" max="236" width="9.140625" style="13"/>
    <col min="237" max="257" width="0" style="13" hidden="1" customWidth="1"/>
    <col min="258" max="442" width="9.140625" style="13"/>
    <col min="443" max="443" width="14.85546875" style="13" customWidth="1"/>
    <col min="444" max="447" width="9.140625" style="13"/>
    <col min="448" max="448" width="11.28515625" style="13" bestFit="1" customWidth="1"/>
    <col min="449" max="449" width="10.42578125" style="13" customWidth="1"/>
    <col min="450" max="451" width="9.140625" style="13"/>
    <col min="452" max="452" width="10.28515625" style="13" customWidth="1"/>
    <col min="453" max="454" width="9.140625" style="13"/>
    <col min="455" max="455" width="11.28515625" style="13" customWidth="1"/>
    <col min="456" max="456" width="9.140625" style="13"/>
    <col min="457" max="457" width="10.42578125" style="13" customWidth="1"/>
    <col min="458" max="458" width="12.28515625" style="13" customWidth="1"/>
    <col min="459" max="479" width="9.140625" style="13"/>
    <col min="480" max="480" width="11.85546875" style="13" customWidth="1"/>
    <col min="481" max="481" width="13" style="13" customWidth="1"/>
    <col min="482" max="482" width="12.85546875" style="13" customWidth="1"/>
    <col min="483" max="485" width="9.140625" style="13"/>
    <col min="486" max="491" width="0" style="13" hidden="1" customWidth="1"/>
    <col min="492" max="492" width="9.140625" style="13"/>
    <col min="493" max="513" width="0" style="13" hidden="1" customWidth="1"/>
    <col min="514" max="698" width="9.140625" style="13"/>
    <col min="699" max="699" width="14.85546875" style="13" customWidth="1"/>
    <col min="700" max="703" width="9.140625" style="13"/>
    <col min="704" max="704" width="11.28515625" style="13" bestFit="1" customWidth="1"/>
    <col min="705" max="705" width="10.42578125" style="13" customWidth="1"/>
    <col min="706" max="707" width="9.140625" style="13"/>
    <col min="708" max="708" width="10.28515625" style="13" customWidth="1"/>
    <col min="709" max="710" width="9.140625" style="13"/>
    <col min="711" max="711" width="11.28515625" style="13" customWidth="1"/>
    <col min="712" max="712" width="9.140625" style="13"/>
    <col min="713" max="713" width="10.42578125" style="13" customWidth="1"/>
    <col min="714" max="714" width="12.28515625" style="13" customWidth="1"/>
    <col min="715" max="735" width="9.140625" style="13"/>
    <col min="736" max="736" width="11.85546875" style="13" customWidth="1"/>
    <col min="737" max="737" width="13" style="13" customWidth="1"/>
    <col min="738" max="738" width="12.85546875" style="13" customWidth="1"/>
    <col min="739" max="741" width="9.140625" style="13"/>
    <col min="742" max="747" width="0" style="13" hidden="1" customWidth="1"/>
    <col min="748" max="748" width="9.140625" style="13"/>
    <col min="749" max="769" width="0" style="13" hidden="1" customWidth="1"/>
    <col min="770" max="954" width="9.140625" style="13"/>
    <col min="955" max="955" width="14.85546875" style="13" customWidth="1"/>
    <col min="956" max="959" width="9.140625" style="13"/>
    <col min="960" max="960" width="11.28515625" style="13" bestFit="1" customWidth="1"/>
    <col min="961" max="961" width="10.42578125" style="13" customWidth="1"/>
    <col min="962" max="963" width="9.140625" style="13"/>
    <col min="964" max="964" width="10.28515625" style="13" customWidth="1"/>
    <col min="965" max="966" width="9.140625" style="13"/>
    <col min="967" max="967" width="11.28515625" style="13" customWidth="1"/>
    <col min="968" max="968" width="9.140625" style="13"/>
    <col min="969" max="969" width="10.42578125" style="13" customWidth="1"/>
    <col min="970" max="970" width="12.28515625" style="13" customWidth="1"/>
    <col min="971" max="991" width="9.140625" style="13"/>
    <col min="992" max="992" width="11.85546875" style="13" customWidth="1"/>
    <col min="993" max="993" width="13" style="13" customWidth="1"/>
    <col min="994" max="994" width="12.85546875" style="13" customWidth="1"/>
    <col min="995" max="997" width="9.140625" style="13"/>
    <col min="998" max="1003" width="0" style="13" hidden="1" customWidth="1"/>
    <col min="1004" max="1004" width="9.140625" style="13"/>
    <col min="1005" max="1025" width="0" style="13" hidden="1" customWidth="1"/>
    <col min="1026" max="1210" width="9.140625" style="13"/>
    <col min="1211" max="1211" width="14.85546875" style="13" customWidth="1"/>
    <col min="1212" max="1215" width="9.140625" style="13"/>
    <col min="1216" max="1216" width="11.28515625" style="13" bestFit="1" customWidth="1"/>
    <col min="1217" max="1217" width="10.42578125" style="13" customWidth="1"/>
    <col min="1218" max="1219" width="9.140625" style="13"/>
    <col min="1220" max="1220" width="10.28515625" style="13" customWidth="1"/>
    <col min="1221" max="1222" width="9.140625" style="13"/>
    <col min="1223" max="1223" width="11.28515625" style="13" customWidth="1"/>
    <col min="1224" max="1224" width="9.140625" style="13"/>
    <col min="1225" max="1225" width="10.42578125" style="13" customWidth="1"/>
    <col min="1226" max="1226" width="12.28515625" style="13" customWidth="1"/>
    <col min="1227" max="1247" width="9.140625" style="13"/>
    <col min="1248" max="1248" width="11.85546875" style="13" customWidth="1"/>
    <col min="1249" max="1249" width="13" style="13" customWidth="1"/>
    <col min="1250" max="1250" width="12.85546875" style="13" customWidth="1"/>
    <col min="1251" max="1253" width="9.140625" style="13"/>
    <col min="1254" max="1259" width="0" style="13" hidden="1" customWidth="1"/>
    <col min="1260" max="1260" width="9.140625" style="13"/>
    <col min="1261" max="1281" width="0" style="13" hidden="1" customWidth="1"/>
    <col min="1282" max="1466" width="9.140625" style="13"/>
    <col min="1467" max="1467" width="14.85546875" style="13" customWidth="1"/>
    <col min="1468" max="1471" width="9.140625" style="13"/>
    <col min="1472" max="1472" width="11.28515625" style="13" bestFit="1" customWidth="1"/>
    <col min="1473" max="1473" width="10.42578125" style="13" customWidth="1"/>
    <col min="1474" max="1475" width="9.140625" style="13"/>
    <col min="1476" max="1476" width="10.28515625" style="13" customWidth="1"/>
    <col min="1477" max="1478" width="9.140625" style="13"/>
    <col min="1479" max="1479" width="11.28515625" style="13" customWidth="1"/>
    <col min="1480" max="1480" width="9.140625" style="13"/>
    <col min="1481" max="1481" width="10.42578125" style="13" customWidth="1"/>
    <col min="1482" max="1482" width="12.28515625" style="13" customWidth="1"/>
    <col min="1483" max="1503" width="9.140625" style="13"/>
    <col min="1504" max="1504" width="11.85546875" style="13" customWidth="1"/>
    <col min="1505" max="1505" width="13" style="13" customWidth="1"/>
    <col min="1506" max="1506" width="12.85546875" style="13" customWidth="1"/>
    <col min="1507" max="1509" width="9.140625" style="13"/>
    <col min="1510" max="1515" width="0" style="13" hidden="1" customWidth="1"/>
    <col min="1516" max="1516" width="9.140625" style="13"/>
    <col min="1517" max="1537" width="0" style="13" hidden="1" customWidth="1"/>
    <col min="1538" max="1722" width="9.140625" style="13"/>
    <col min="1723" max="1723" width="14.85546875" style="13" customWidth="1"/>
    <col min="1724" max="1727" width="9.140625" style="13"/>
    <col min="1728" max="1728" width="11.28515625" style="13" bestFit="1" customWidth="1"/>
    <col min="1729" max="1729" width="10.42578125" style="13" customWidth="1"/>
    <col min="1730" max="1731" width="9.140625" style="13"/>
    <col min="1732" max="1732" width="10.28515625" style="13" customWidth="1"/>
    <col min="1733" max="1734" width="9.140625" style="13"/>
    <col min="1735" max="1735" width="11.28515625" style="13" customWidth="1"/>
    <col min="1736" max="1736" width="9.140625" style="13"/>
    <col min="1737" max="1737" width="10.42578125" style="13" customWidth="1"/>
    <col min="1738" max="1738" width="12.28515625" style="13" customWidth="1"/>
    <col min="1739" max="1759" width="9.140625" style="13"/>
    <col min="1760" max="1760" width="11.85546875" style="13" customWidth="1"/>
    <col min="1761" max="1761" width="13" style="13" customWidth="1"/>
    <col min="1762" max="1762" width="12.85546875" style="13" customWidth="1"/>
    <col min="1763" max="1765" width="9.140625" style="13"/>
    <col min="1766" max="1771" width="0" style="13" hidden="1" customWidth="1"/>
    <col min="1772" max="1772" width="9.140625" style="13"/>
    <col min="1773" max="1793" width="0" style="13" hidden="1" customWidth="1"/>
    <col min="1794" max="1978" width="9.140625" style="13"/>
    <col min="1979" max="1979" width="14.85546875" style="13" customWidth="1"/>
    <col min="1980" max="1983" width="9.140625" style="13"/>
    <col min="1984" max="1984" width="11.28515625" style="13" bestFit="1" customWidth="1"/>
    <col min="1985" max="1985" width="10.42578125" style="13" customWidth="1"/>
    <col min="1986" max="1987" width="9.140625" style="13"/>
    <col min="1988" max="1988" width="10.28515625" style="13" customWidth="1"/>
    <col min="1989" max="1990" width="9.140625" style="13"/>
    <col min="1991" max="1991" width="11.28515625" style="13" customWidth="1"/>
    <col min="1992" max="1992" width="9.140625" style="13"/>
    <col min="1993" max="1993" width="10.42578125" style="13" customWidth="1"/>
    <col min="1994" max="1994" width="12.28515625" style="13" customWidth="1"/>
    <col min="1995" max="2015" width="9.140625" style="13"/>
    <col min="2016" max="2016" width="11.85546875" style="13" customWidth="1"/>
    <col min="2017" max="2017" width="13" style="13" customWidth="1"/>
    <col min="2018" max="2018" width="12.85546875" style="13" customWidth="1"/>
    <col min="2019" max="2021" width="9.140625" style="13"/>
    <col min="2022" max="2027" width="0" style="13" hidden="1" customWidth="1"/>
    <col min="2028" max="2028" width="9.140625" style="13"/>
    <col min="2029" max="2049" width="0" style="13" hidden="1" customWidth="1"/>
    <col min="2050" max="2234" width="9.140625" style="13"/>
    <col min="2235" max="2235" width="14.85546875" style="13" customWidth="1"/>
    <col min="2236" max="2239" width="9.140625" style="13"/>
    <col min="2240" max="2240" width="11.28515625" style="13" bestFit="1" customWidth="1"/>
    <col min="2241" max="2241" width="10.42578125" style="13" customWidth="1"/>
    <col min="2242" max="2243" width="9.140625" style="13"/>
    <col min="2244" max="2244" width="10.28515625" style="13" customWidth="1"/>
    <col min="2245" max="2246" width="9.140625" style="13"/>
    <col min="2247" max="2247" width="11.28515625" style="13" customWidth="1"/>
    <col min="2248" max="2248" width="9.140625" style="13"/>
    <col min="2249" max="2249" width="10.42578125" style="13" customWidth="1"/>
    <col min="2250" max="2250" width="12.28515625" style="13" customWidth="1"/>
    <col min="2251" max="2271" width="9.140625" style="13"/>
    <col min="2272" max="2272" width="11.85546875" style="13" customWidth="1"/>
    <col min="2273" max="2273" width="13" style="13" customWidth="1"/>
    <col min="2274" max="2274" width="12.85546875" style="13" customWidth="1"/>
    <col min="2275" max="2277" width="9.140625" style="13"/>
    <col min="2278" max="2283" width="0" style="13" hidden="1" customWidth="1"/>
    <col min="2284" max="2284" width="9.140625" style="13"/>
    <col min="2285" max="2305" width="0" style="13" hidden="1" customWidth="1"/>
    <col min="2306" max="2490" width="9.140625" style="13"/>
    <col min="2491" max="2491" width="14.85546875" style="13" customWidth="1"/>
    <col min="2492" max="2495" width="9.140625" style="13"/>
    <col min="2496" max="2496" width="11.28515625" style="13" bestFit="1" customWidth="1"/>
    <col min="2497" max="2497" width="10.42578125" style="13" customWidth="1"/>
    <col min="2498" max="2499" width="9.140625" style="13"/>
    <col min="2500" max="2500" width="10.28515625" style="13" customWidth="1"/>
    <col min="2501" max="2502" width="9.140625" style="13"/>
    <col min="2503" max="2503" width="11.28515625" style="13" customWidth="1"/>
    <col min="2504" max="2504" width="9.140625" style="13"/>
    <col min="2505" max="2505" width="10.42578125" style="13" customWidth="1"/>
    <col min="2506" max="2506" width="12.28515625" style="13" customWidth="1"/>
    <col min="2507" max="2527" width="9.140625" style="13"/>
    <col min="2528" max="2528" width="11.85546875" style="13" customWidth="1"/>
    <col min="2529" max="2529" width="13" style="13" customWidth="1"/>
    <col min="2530" max="2530" width="12.85546875" style="13" customWidth="1"/>
    <col min="2531" max="2533" width="9.140625" style="13"/>
    <col min="2534" max="2539" width="0" style="13" hidden="1" customWidth="1"/>
    <col min="2540" max="2540" width="9.140625" style="13"/>
    <col min="2541" max="2561" width="0" style="13" hidden="1" customWidth="1"/>
    <col min="2562" max="2746" width="9.140625" style="13"/>
    <col min="2747" max="2747" width="14.85546875" style="13" customWidth="1"/>
    <col min="2748" max="2751" width="9.140625" style="13"/>
    <col min="2752" max="2752" width="11.28515625" style="13" bestFit="1" customWidth="1"/>
    <col min="2753" max="2753" width="10.42578125" style="13" customWidth="1"/>
    <col min="2754" max="2755" width="9.140625" style="13"/>
    <col min="2756" max="2756" width="10.28515625" style="13" customWidth="1"/>
    <col min="2757" max="2758" width="9.140625" style="13"/>
    <col min="2759" max="2759" width="11.28515625" style="13" customWidth="1"/>
    <col min="2760" max="2760" width="9.140625" style="13"/>
    <col min="2761" max="2761" width="10.42578125" style="13" customWidth="1"/>
    <col min="2762" max="2762" width="12.28515625" style="13" customWidth="1"/>
    <col min="2763" max="2783" width="9.140625" style="13"/>
    <col min="2784" max="2784" width="11.85546875" style="13" customWidth="1"/>
    <col min="2785" max="2785" width="13" style="13" customWidth="1"/>
    <col min="2786" max="2786" width="12.85546875" style="13" customWidth="1"/>
    <col min="2787" max="2789" width="9.140625" style="13"/>
    <col min="2790" max="2795" width="0" style="13" hidden="1" customWidth="1"/>
    <col min="2796" max="2796" width="9.140625" style="13"/>
    <col min="2797" max="2817" width="0" style="13" hidden="1" customWidth="1"/>
    <col min="2818" max="3002" width="9.140625" style="13"/>
    <col min="3003" max="3003" width="14.85546875" style="13" customWidth="1"/>
    <col min="3004" max="3007" width="9.140625" style="13"/>
    <col min="3008" max="3008" width="11.28515625" style="13" bestFit="1" customWidth="1"/>
    <col min="3009" max="3009" width="10.42578125" style="13" customWidth="1"/>
    <col min="3010" max="3011" width="9.140625" style="13"/>
    <col min="3012" max="3012" width="10.28515625" style="13" customWidth="1"/>
    <col min="3013" max="3014" width="9.140625" style="13"/>
    <col min="3015" max="3015" width="11.28515625" style="13" customWidth="1"/>
    <col min="3016" max="3016" width="9.140625" style="13"/>
    <col min="3017" max="3017" width="10.42578125" style="13" customWidth="1"/>
    <col min="3018" max="3018" width="12.28515625" style="13" customWidth="1"/>
    <col min="3019" max="3039" width="9.140625" style="13"/>
    <col min="3040" max="3040" width="11.85546875" style="13" customWidth="1"/>
    <col min="3041" max="3041" width="13" style="13" customWidth="1"/>
    <col min="3042" max="3042" width="12.85546875" style="13" customWidth="1"/>
    <col min="3043" max="3045" width="9.140625" style="13"/>
    <col min="3046" max="3051" width="0" style="13" hidden="1" customWidth="1"/>
    <col min="3052" max="3052" width="9.140625" style="13"/>
    <col min="3053" max="3073" width="0" style="13" hidden="1" customWidth="1"/>
    <col min="3074" max="3258" width="9.140625" style="13"/>
    <col min="3259" max="3259" width="14.85546875" style="13" customWidth="1"/>
    <col min="3260" max="3263" width="9.140625" style="13"/>
    <col min="3264" max="3264" width="11.28515625" style="13" bestFit="1" customWidth="1"/>
    <col min="3265" max="3265" width="10.42578125" style="13" customWidth="1"/>
    <col min="3266" max="3267" width="9.140625" style="13"/>
    <col min="3268" max="3268" width="10.28515625" style="13" customWidth="1"/>
    <col min="3269" max="3270" width="9.140625" style="13"/>
    <col min="3271" max="3271" width="11.28515625" style="13" customWidth="1"/>
    <col min="3272" max="3272" width="9.140625" style="13"/>
    <col min="3273" max="3273" width="10.42578125" style="13" customWidth="1"/>
    <col min="3274" max="3274" width="12.28515625" style="13" customWidth="1"/>
    <col min="3275" max="3295" width="9.140625" style="13"/>
    <col min="3296" max="3296" width="11.85546875" style="13" customWidth="1"/>
    <col min="3297" max="3297" width="13" style="13" customWidth="1"/>
    <col min="3298" max="3298" width="12.85546875" style="13" customWidth="1"/>
    <col min="3299" max="3301" width="9.140625" style="13"/>
    <col min="3302" max="3307" width="0" style="13" hidden="1" customWidth="1"/>
    <col min="3308" max="3308" width="9.140625" style="13"/>
    <col min="3309" max="3329" width="0" style="13" hidden="1" customWidth="1"/>
    <col min="3330" max="3514" width="9.140625" style="13"/>
    <col min="3515" max="3515" width="14.85546875" style="13" customWidth="1"/>
    <col min="3516" max="3519" width="9.140625" style="13"/>
    <col min="3520" max="3520" width="11.28515625" style="13" bestFit="1" customWidth="1"/>
    <col min="3521" max="3521" width="10.42578125" style="13" customWidth="1"/>
    <col min="3522" max="3523" width="9.140625" style="13"/>
    <col min="3524" max="3524" width="10.28515625" style="13" customWidth="1"/>
    <col min="3525" max="3526" width="9.140625" style="13"/>
    <col min="3527" max="3527" width="11.28515625" style="13" customWidth="1"/>
    <col min="3528" max="3528" width="9.140625" style="13"/>
    <col min="3529" max="3529" width="10.42578125" style="13" customWidth="1"/>
    <col min="3530" max="3530" width="12.28515625" style="13" customWidth="1"/>
    <col min="3531" max="3551" width="9.140625" style="13"/>
    <col min="3552" max="3552" width="11.85546875" style="13" customWidth="1"/>
    <col min="3553" max="3553" width="13" style="13" customWidth="1"/>
    <col min="3554" max="3554" width="12.85546875" style="13" customWidth="1"/>
    <col min="3555" max="3557" width="9.140625" style="13"/>
    <col min="3558" max="3563" width="0" style="13" hidden="1" customWidth="1"/>
    <col min="3564" max="3564" width="9.140625" style="13"/>
    <col min="3565" max="3585" width="0" style="13" hidden="1" customWidth="1"/>
    <col min="3586" max="3770" width="9.140625" style="13"/>
    <col min="3771" max="3771" width="14.85546875" style="13" customWidth="1"/>
    <col min="3772" max="3775" width="9.140625" style="13"/>
    <col min="3776" max="3776" width="11.28515625" style="13" bestFit="1" customWidth="1"/>
    <col min="3777" max="3777" width="10.42578125" style="13" customWidth="1"/>
    <col min="3778" max="3779" width="9.140625" style="13"/>
    <col min="3780" max="3780" width="10.28515625" style="13" customWidth="1"/>
    <col min="3781" max="3782" width="9.140625" style="13"/>
    <col min="3783" max="3783" width="11.28515625" style="13" customWidth="1"/>
    <col min="3784" max="3784" width="9.140625" style="13"/>
    <col min="3785" max="3785" width="10.42578125" style="13" customWidth="1"/>
    <col min="3786" max="3786" width="12.28515625" style="13" customWidth="1"/>
    <col min="3787" max="3807" width="9.140625" style="13"/>
    <col min="3808" max="3808" width="11.85546875" style="13" customWidth="1"/>
    <col min="3809" max="3809" width="13" style="13" customWidth="1"/>
    <col min="3810" max="3810" width="12.85546875" style="13" customWidth="1"/>
    <col min="3811" max="3813" width="9.140625" style="13"/>
    <col min="3814" max="3819" width="0" style="13" hidden="1" customWidth="1"/>
    <col min="3820" max="3820" width="9.140625" style="13"/>
    <col min="3821" max="3841" width="0" style="13" hidden="1" customWidth="1"/>
    <col min="3842" max="4026" width="9.140625" style="13"/>
    <col min="4027" max="4027" width="14.85546875" style="13" customWidth="1"/>
    <col min="4028" max="4031" width="9.140625" style="13"/>
    <col min="4032" max="4032" width="11.28515625" style="13" bestFit="1" customWidth="1"/>
    <col min="4033" max="4033" width="10.42578125" style="13" customWidth="1"/>
    <col min="4034" max="4035" width="9.140625" style="13"/>
    <col min="4036" max="4036" width="10.28515625" style="13" customWidth="1"/>
    <col min="4037" max="4038" width="9.140625" style="13"/>
    <col min="4039" max="4039" width="11.28515625" style="13" customWidth="1"/>
    <col min="4040" max="4040" width="9.140625" style="13"/>
    <col min="4041" max="4041" width="10.42578125" style="13" customWidth="1"/>
    <col min="4042" max="4042" width="12.28515625" style="13" customWidth="1"/>
    <col min="4043" max="4063" width="9.140625" style="13"/>
    <col min="4064" max="4064" width="11.85546875" style="13" customWidth="1"/>
    <col min="4065" max="4065" width="13" style="13" customWidth="1"/>
    <col min="4066" max="4066" width="12.85546875" style="13" customWidth="1"/>
    <col min="4067" max="4069" width="9.140625" style="13"/>
    <col min="4070" max="4075" width="0" style="13" hidden="1" customWidth="1"/>
    <col min="4076" max="4076" width="9.140625" style="13"/>
    <col min="4077" max="4097" width="0" style="13" hidden="1" customWidth="1"/>
    <col min="4098" max="4282" width="9.140625" style="13"/>
    <col min="4283" max="4283" width="14.85546875" style="13" customWidth="1"/>
    <col min="4284" max="4287" width="9.140625" style="13"/>
    <col min="4288" max="4288" width="11.28515625" style="13" bestFit="1" customWidth="1"/>
    <col min="4289" max="4289" width="10.42578125" style="13" customWidth="1"/>
    <col min="4290" max="4291" width="9.140625" style="13"/>
    <col min="4292" max="4292" width="10.28515625" style="13" customWidth="1"/>
    <col min="4293" max="4294" width="9.140625" style="13"/>
    <col min="4295" max="4295" width="11.28515625" style="13" customWidth="1"/>
    <col min="4296" max="4296" width="9.140625" style="13"/>
    <col min="4297" max="4297" width="10.42578125" style="13" customWidth="1"/>
    <col min="4298" max="4298" width="12.28515625" style="13" customWidth="1"/>
    <col min="4299" max="4319" width="9.140625" style="13"/>
    <col min="4320" max="4320" width="11.85546875" style="13" customWidth="1"/>
    <col min="4321" max="4321" width="13" style="13" customWidth="1"/>
    <col min="4322" max="4322" width="12.85546875" style="13" customWidth="1"/>
    <col min="4323" max="4325" width="9.140625" style="13"/>
    <col min="4326" max="4331" width="0" style="13" hidden="1" customWidth="1"/>
    <col min="4332" max="4332" width="9.140625" style="13"/>
    <col min="4333" max="4353" width="0" style="13" hidden="1" customWidth="1"/>
    <col min="4354" max="4538" width="9.140625" style="13"/>
    <col min="4539" max="4539" width="14.85546875" style="13" customWidth="1"/>
    <col min="4540" max="4543" width="9.140625" style="13"/>
    <col min="4544" max="4544" width="11.28515625" style="13" bestFit="1" customWidth="1"/>
    <col min="4545" max="4545" width="10.42578125" style="13" customWidth="1"/>
    <col min="4546" max="4547" width="9.140625" style="13"/>
    <col min="4548" max="4548" width="10.28515625" style="13" customWidth="1"/>
    <col min="4549" max="4550" width="9.140625" style="13"/>
    <col min="4551" max="4551" width="11.28515625" style="13" customWidth="1"/>
    <col min="4552" max="4552" width="9.140625" style="13"/>
    <col min="4553" max="4553" width="10.42578125" style="13" customWidth="1"/>
    <col min="4554" max="4554" width="12.28515625" style="13" customWidth="1"/>
    <col min="4555" max="4575" width="9.140625" style="13"/>
    <col min="4576" max="4576" width="11.85546875" style="13" customWidth="1"/>
    <col min="4577" max="4577" width="13" style="13" customWidth="1"/>
    <col min="4578" max="4578" width="12.85546875" style="13" customWidth="1"/>
    <col min="4579" max="4581" width="9.140625" style="13"/>
    <col min="4582" max="4587" width="0" style="13" hidden="1" customWidth="1"/>
    <col min="4588" max="4588" width="9.140625" style="13"/>
    <col min="4589" max="4609" width="0" style="13" hidden="1" customWidth="1"/>
    <col min="4610" max="4794" width="9.140625" style="13"/>
    <col min="4795" max="4795" width="14.85546875" style="13" customWidth="1"/>
    <col min="4796" max="4799" width="9.140625" style="13"/>
    <col min="4800" max="4800" width="11.28515625" style="13" bestFit="1" customWidth="1"/>
    <col min="4801" max="4801" width="10.42578125" style="13" customWidth="1"/>
    <col min="4802" max="4803" width="9.140625" style="13"/>
    <col min="4804" max="4804" width="10.28515625" style="13" customWidth="1"/>
    <col min="4805" max="4806" width="9.140625" style="13"/>
    <col min="4807" max="4807" width="11.28515625" style="13" customWidth="1"/>
    <col min="4808" max="4808" width="9.140625" style="13"/>
    <col min="4809" max="4809" width="10.42578125" style="13" customWidth="1"/>
    <col min="4810" max="4810" width="12.28515625" style="13" customWidth="1"/>
    <col min="4811" max="4831" width="9.140625" style="13"/>
    <col min="4832" max="4832" width="11.85546875" style="13" customWidth="1"/>
    <col min="4833" max="4833" width="13" style="13" customWidth="1"/>
    <col min="4834" max="4834" width="12.85546875" style="13" customWidth="1"/>
    <col min="4835" max="4837" width="9.140625" style="13"/>
    <col min="4838" max="4843" width="0" style="13" hidden="1" customWidth="1"/>
    <col min="4844" max="4844" width="9.140625" style="13"/>
    <col min="4845" max="4865" width="0" style="13" hidden="1" customWidth="1"/>
    <col min="4866" max="5050" width="9.140625" style="13"/>
    <col min="5051" max="5051" width="14.85546875" style="13" customWidth="1"/>
    <col min="5052" max="5055" width="9.140625" style="13"/>
    <col min="5056" max="5056" width="11.28515625" style="13" bestFit="1" customWidth="1"/>
    <col min="5057" max="5057" width="10.42578125" style="13" customWidth="1"/>
    <col min="5058" max="5059" width="9.140625" style="13"/>
    <col min="5060" max="5060" width="10.28515625" style="13" customWidth="1"/>
    <col min="5061" max="5062" width="9.140625" style="13"/>
    <col min="5063" max="5063" width="11.28515625" style="13" customWidth="1"/>
    <col min="5064" max="5064" width="9.140625" style="13"/>
    <col min="5065" max="5065" width="10.42578125" style="13" customWidth="1"/>
    <col min="5066" max="5066" width="12.28515625" style="13" customWidth="1"/>
    <col min="5067" max="5087" width="9.140625" style="13"/>
    <col min="5088" max="5088" width="11.85546875" style="13" customWidth="1"/>
    <col min="5089" max="5089" width="13" style="13" customWidth="1"/>
    <col min="5090" max="5090" width="12.85546875" style="13" customWidth="1"/>
    <col min="5091" max="5093" width="9.140625" style="13"/>
    <col min="5094" max="5099" width="0" style="13" hidden="1" customWidth="1"/>
    <col min="5100" max="5100" width="9.140625" style="13"/>
    <col min="5101" max="5121" width="0" style="13" hidden="1" customWidth="1"/>
    <col min="5122" max="5306" width="9.140625" style="13"/>
    <col min="5307" max="5307" width="14.85546875" style="13" customWidth="1"/>
    <col min="5308" max="5311" width="9.140625" style="13"/>
    <col min="5312" max="5312" width="11.28515625" style="13" bestFit="1" customWidth="1"/>
    <col min="5313" max="5313" width="10.42578125" style="13" customWidth="1"/>
    <col min="5314" max="5315" width="9.140625" style="13"/>
    <col min="5316" max="5316" width="10.28515625" style="13" customWidth="1"/>
    <col min="5317" max="5318" width="9.140625" style="13"/>
    <col min="5319" max="5319" width="11.28515625" style="13" customWidth="1"/>
    <col min="5320" max="5320" width="9.140625" style="13"/>
    <col min="5321" max="5321" width="10.42578125" style="13" customWidth="1"/>
    <col min="5322" max="5322" width="12.28515625" style="13" customWidth="1"/>
    <col min="5323" max="5343" width="9.140625" style="13"/>
    <col min="5344" max="5344" width="11.85546875" style="13" customWidth="1"/>
    <col min="5345" max="5345" width="13" style="13" customWidth="1"/>
    <col min="5346" max="5346" width="12.85546875" style="13" customWidth="1"/>
    <col min="5347" max="5349" width="9.140625" style="13"/>
    <col min="5350" max="5355" width="0" style="13" hidden="1" customWidth="1"/>
    <col min="5356" max="5356" width="9.140625" style="13"/>
    <col min="5357" max="5377" width="0" style="13" hidden="1" customWidth="1"/>
    <col min="5378" max="5562" width="9.140625" style="13"/>
    <col min="5563" max="5563" width="14.85546875" style="13" customWidth="1"/>
    <col min="5564" max="5567" width="9.140625" style="13"/>
    <col min="5568" max="5568" width="11.28515625" style="13" bestFit="1" customWidth="1"/>
    <col min="5569" max="5569" width="10.42578125" style="13" customWidth="1"/>
    <col min="5570" max="5571" width="9.140625" style="13"/>
    <col min="5572" max="5572" width="10.28515625" style="13" customWidth="1"/>
    <col min="5573" max="5574" width="9.140625" style="13"/>
    <col min="5575" max="5575" width="11.28515625" style="13" customWidth="1"/>
    <col min="5576" max="5576" width="9.140625" style="13"/>
    <col min="5577" max="5577" width="10.42578125" style="13" customWidth="1"/>
    <col min="5578" max="5578" width="12.28515625" style="13" customWidth="1"/>
    <col min="5579" max="5599" width="9.140625" style="13"/>
    <col min="5600" max="5600" width="11.85546875" style="13" customWidth="1"/>
    <col min="5601" max="5601" width="13" style="13" customWidth="1"/>
    <col min="5602" max="5602" width="12.85546875" style="13" customWidth="1"/>
    <col min="5603" max="5605" width="9.140625" style="13"/>
    <col min="5606" max="5611" width="0" style="13" hidden="1" customWidth="1"/>
    <col min="5612" max="5612" width="9.140625" style="13"/>
    <col min="5613" max="5633" width="0" style="13" hidden="1" customWidth="1"/>
    <col min="5634" max="5818" width="9.140625" style="13"/>
    <col min="5819" max="5819" width="14.85546875" style="13" customWidth="1"/>
    <col min="5820" max="5823" width="9.140625" style="13"/>
    <col min="5824" max="5824" width="11.28515625" style="13" bestFit="1" customWidth="1"/>
    <col min="5825" max="5825" width="10.42578125" style="13" customWidth="1"/>
    <col min="5826" max="5827" width="9.140625" style="13"/>
    <col min="5828" max="5828" width="10.28515625" style="13" customWidth="1"/>
    <col min="5829" max="5830" width="9.140625" style="13"/>
    <col min="5831" max="5831" width="11.28515625" style="13" customWidth="1"/>
    <col min="5832" max="5832" width="9.140625" style="13"/>
    <col min="5833" max="5833" width="10.42578125" style="13" customWidth="1"/>
    <col min="5834" max="5834" width="12.28515625" style="13" customWidth="1"/>
    <col min="5835" max="5855" width="9.140625" style="13"/>
    <col min="5856" max="5856" width="11.85546875" style="13" customWidth="1"/>
    <col min="5857" max="5857" width="13" style="13" customWidth="1"/>
    <col min="5858" max="5858" width="12.85546875" style="13" customWidth="1"/>
    <col min="5859" max="5861" width="9.140625" style="13"/>
    <col min="5862" max="5867" width="0" style="13" hidden="1" customWidth="1"/>
    <col min="5868" max="5868" width="9.140625" style="13"/>
    <col min="5869" max="5889" width="0" style="13" hidden="1" customWidth="1"/>
    <col min="5890" max="6074" width="9.140625" style="13"/>
    <col min="6075" max="6075" width="14.85546875" style="13" customWidth="1"/>
    <col min="6076" max="6079" width="9.140625" style="13"/>
    <col min="6080" max="6080" width="11.28515625" style="13" bestFit="1" customWidth="1"/>
    <col min="6081" max="6081" width="10.42578125" style="13" customWidth="1"/>
    <col min="6082" max="6083" width="9.140625" style="13"/>
    <col min="6084" max="6084" width="10.28515625" style="13" customWidth="1"/>
    <col min="6085" max="6086" width="9.140625" style="13"/>
    <col min="6087" max="6087" width="11.28515625" style="13" customWidth="1"/>
    <col min="6088" max="6088" width="9.140625" style="13"/>
    <col min="6089" max="6089" width="10.42578125" style="13" customWidth="1"/>
    <col min="6090" max="6090" width="12.28515625" style="13" customWidth="1"/>
    <col min="6091" max="6111" width="9.140625" style="13"/>
    <col min="6112" max="6112" width="11.85546875" style="13" customWidth="1"/>
    <col min="6113" max="6113" width="13" style="13" customWidth="1"/>
    <col min="6114" max="6114" width="12.85546875" style="13" customWidth="1"/>
    <col min="6115" max="6117" width="9.140625" style="13"/>
    <col min="6118" max="6123" width="0" style="13" hidden="1" customWidth="1"/>
    <col min="6124" max="6124" width="9.140625" style="13"/>
    <col min="6125" max="6145" width="0" style="13" hidden="1" customWidth="1"/>
    <col min="6146" max="6330" width="9.140625" style="13"/>
    <col min="6331" max="6331" width="14.85546875" style="13" customWidth="1"/>
    <col min="6332" max="6335" width="9.140625" style="13"/>
    <col min="6336" max="6336" width="11.28515625" style="13" bestFit="1" customWidth="1"/>
    <col min="6337" max="6337" width="10.42578125" style="13" customWidth="1"/>
    <col min="6338" max="6339" width="9.140625" style="13"/>
    <col min="6340" max="6340" width="10.28515625" style="13" customWidth="1"/>
    <col min="6341" max="6342" width="9.140625" style="13"/>
    <col min="6343" max="6343" width="11.28515625" style="13" customWidth="1"/>
    <col min="6344" max="6344" width="9.140625" style="13"/>
    <col min="6345" max="6345" width="10.42578125" style="13" customWidth="1"/>
    <col min="6346" max="6346" width="12.28515625" style="13" customWidth="1"/>
    <col min="6347" max="6367" width="9.140625" style="13"/>
    <col min="6368" max="6368" width="11.85546875" style="13" customWidth="1"/>
    <col min="6369" max="6369" width="13" style="13" customWidth="1"/>
    <col min="6370" max="6370" width="12.85546875" style="13" customWidth="1"/>
    <col min="6371" max="6373" width="9.140625" style="13"/>
    <col min="6374" max="6379" width="0" style="13" hidden="1" customWidth="1"/>
    <col min="6380" max="6380" width="9.140625" style="13"/>
    <col min="6381" max="6401" width="0" style="13" hidden="1" customWidth="1"/>
    <col min="6402" max="6586" width="9.140625" style="13"/>
    <col min="6587" max="6587" width="14.85546875" style="13" customWidth="1"/>
    <col min="6588" max="6591" width="9.140625" style="13"/>
    <col min="6592" max="6592" width="11.28515625" style="13" bestFit="1" customWidth="1"/>
    <col min="6593" max="6593" width="10.42578125" style="13" customWidth="1"/>
    <col min="6594" max="6595" width="9.140625" style="13"/>
    <col min="6596" max="6596" width="10.28515625" style="13" customWidth="1"/>
    <col min="6597" max="6598" width="9.140625" style="13"/>
    <col min="6599" max="6599" width="11.28515625" style="13" customWidth="1"/>
    <col min="6600" max="6600" width="9.140625" style="13"/>
    <col min="6601" max="6601" width="10.42578125" style="13" customWidth="1"/>
    <col min="6602" max="6602" width="12.28515625" style="13" customWidth="1"/>
    <col min="6603" max="6623" width="9.140625" style="13"/>
    <col min="6624" max="6624" width="11.85546875" style="13" customWidth="1"/>
    <col min="6625" max="6625" width="13" style="13" customWidth="1"/>
    <col min="6626" max="6626" width="12.85546875" style="13" customWidth="1"/>
    <col min="6627" max="6629" width="9.140625" style="13"/>
    <col min="6630" max="6635" width="0" style="13" hidden="1" customWidth="1"/>
    <col min="6636" max="6636" width="9.140625" style="13"/>
    <col min="6637" max="6657" width="0" style="13" hidden="1" customWidth="1"/>
    <col min="6658" max="6842" width="9.140625" style="13"/>
    <col min="6843" max="6843" width="14.85546875" style="13" customWidth="1"/>
    <col min="6844" max="6847" width="9.140625" style="13"/>
    <col min="6848" max="6848" width="11.28515625" style="13" bestFit="1" customWidth="1"/>
    <col min="6849" max="6849" width="10.42578125" style="13" customWidth="1"/>
    <col min="6850" max="6851" width="9.140625" style="13"/>
    <col min="6852" max="6852" width="10.28515625" style="13" customWidth="1"/>
    <col min="6853" max="6854" width="9.140625" style="13"/>
    <col min="6855" max="6855" width="11.28515625" style="13" customWidth="1"/>
    <col min="6856" max="6856" width="9.140625" style="13"/>
    <col min="6857" max="6857" width="10.42578125" style="13" customWidth="1"/>
    <col min="6858" max="6858" width="12.28515625" style="13" customWidth="1"/>
    <col min="6859" max="6879" width="9.140625" style="13"/>
    <col min="6880" max="6880" width="11.85546875" style="13" customWidth="1"/>
    <col min="6881" max="6881" width="13" style="13" customWidth="1"/>
    <col min="6882" max="6882" width="12.85546875" style="13" customWidth="1"/>
    <col min="6883" max="6885" width="9.140625" style="13"/>
    <col min="6886" max="6891" width="0" style="13" hidden="1" customWidth="1"/>
    <col min="6892" max="6892" width="9.140625" style="13"/>
    <col min="6893" max="6913" width="0" style="13" hidden="1" customWidth="1"/>
    <col min="6914" max="7098" width="9.140625" style="13"/>
    <col min="7099" max="7099" width="14.85546875" style="13" customWidth="1"/>
    <col min="7100" max="7103" width="9.140625" style="13"/>
    <col min="7104" max="7104" width="11.28515625" style="13" bestFit="1" customWidth="1"/>
    <col min="7105" max="7105" width="10.42578125" style="13" customWidth="1"/>
    <col min="7106" max="7107" width="9.140625" style="13"/>
    <col min="7108" max="7108" width="10.28515625" style="13" customWidth="1"/>
    <col min="7109" max="7110" width="9.140625" style="13"/>
    <col min="7111" max="7111" width="11.28515625" style="13" customWidth="1"/>
    <col min="7112" max="7112" width="9.140625" style="13"/>
    <col min="7113" max="7113" width="10.42578125" style="13" customWidth="1"/>
    <col min="7114" max="7114" width="12.28515625" style="13" customWidth="1"/>
    <col min="7115" max="7135" width="9.140625" style="13"/>
    <col min="7136" max="7136" width="11.85546875" style="13" customWidth="1"/>
    <col min="7137" max="7137" width="13" style="13" customWidth="1"/>
    <col min="7138" max="7138" width="12.85546875" style="13" customWidth="1"/>
    <col min="7139" max="7141" width="9.140625" style="13"/>
    <col min="7142" max="7147" width="0" style="13" hidden="1" customWidth="1"/>
    <col min="7148" max="7148" width="9.140625" style="13"/>
    <col min="7149" max="7169" width="0" style="13" hidden="1" customWidth="1"/>
    <col min="7170" max="7354" width="9.140625" style="13"/>
    <col min="7355" max="7355" width="14.85546875" style="13" customWidth="1"/>
    <col min="7356" max="7359" width="9.140625" style="13"/>
    <col min="7360" max="7360" width="11.28515625" style="13" bestFit="1" customWidth="1"/>
    <col min="7361" max="7361" width="10.42578125" style="13" customWidth="1"/>
    <col min="7362" max="7363" width="9.140625" style="13"/>
    <col min="7364" max="7364" width="10.28515625" style="13" customWidth="1"/>
    <col min="7365" max="7366" width="9.140625" style="13"/>
    <col min="7367" max="7367" width="11.28515625" style="13" customWidth="1"/>
    <col min="7368" max="7368" width="9.140625" style="13"/>
    <col min="7369" max="7369" width="10.42578125" style="13" customWidth="1"/>
    <col min="7370" max="7370" width="12.28515625" style="13" customWidth="1"/>
    <col min="7371" max="7391" width="9.140625" style="13"/>
    <col min="7392" max="7392" width="11.85546875" style="13" customWidth="1"/>
    <col min="7393" max="7393" width="13" style="13" customWidth="1"/>
    <col min="7394" max="7394" width="12.85546875" style="13" customWidth="1"/>
    <col min="7395" max="7397" width="9.140625" style="13"/>
    <col min="7398" max="7403" width="0" style="13" hidden="1" customWidth="1"/>
    <col min="7404" max="7404" width="9.140625" style="13"/>
    <col min="7405" max="7425" width="0" style="13" hidden="1" customWidth="1"/>
    <col min="7426" max="7610" width="9.140625" style="13"/>
    <col min="7611" max="7611" width="14.85546875" style="13" customWidth="1"/>
    <col min="7612" max="7615" width="9.140625" style="13"/>
    <col min="7616" max="7616" width="11.28515625" style="13" bestFit="1" customWidth="1"/>
    <col min="7617" max="7617" width="10.42578125" style="13" customWidth="1"/>
    <col min="7618" max="7619" width="9.140625" style="13"/>
    <col min="7620" max="7620" width="10.28515625" style="13" customWidth="1"/>
    <col min="7621" max="7622" width="9.140625" style="13"/>
    <col min="7623" max="7623" width="11.28515625" style="13" customWidth="1"/>
    <col min="7624" max="7624" width="9.140625" style="13"/>
    <col min="7625" max="7625" width="10.42578125" style="13" customWidth="1"/>
    <col min="7626" max="7626" width="12.28515625" style="13" customWidth="1"/>
    <col min="7627" max="7647" width="9.140625" style="13"/>
    <col min="7648" max="7648" width="11.85546875" style="13" customWidth="1"/>
    <col min="7649" max="7649" width="13" style="13" customWidth="1"/>
    <col min="7650" max="7650" width="12.85546875" style="13" customWidth="1"/>
    <col min="7651" max="7653" width="9.140625" style="13"/>
    <col min="7654" max="7659" width="0" style="13" hidden="1" customWidth="1"/>
    <col min="7660" max="7660" width="9.140625" style="13"/>
    <col min="7661" max="7681" width="0" style="13" hidden="1" customWidth="1"/>
    <col min="7682" max="7866" width="9.140625" style="13"/>
    <col min="7867" max="7867" width="14.85546875" style="13" customWidth="1"/>
    <col min="7868" max="7871" width="9.140625" style="13"/>
    <col min="7872" max="7872" width="11.28515625" style="13" bestFit="1" customWidth="1"/>
    <col min="7873" max="7873" width="10.42578125" style="13" customWidth="1"/>
    <col min="7874" max="7875" width="9.140625" style="13"/>
    <col min="7876" max="7876" width="10.28515625" style="13" customWidth="1"/>
    <col min="7877" max="7878" width="9.140625" style="13"/>
    <col min="7879" max="7879" width="11.28515625" style="13" customWidth="1"/>
    <col min="7880" max="7880" width="9.140625" style="13"/>
    <col min="7881" max="7881" width="10.42578125" style="13" customWidth="1"/>
    <col min="7882" max="7882" width="12.28515625" style="13" customWidth="1"/>
    <col min="7883" max="7903" width="9.140625" style="13"/>
    <col min="7904" max="7904" width="11.85546875" style="13" customWidth="1"/>
    <col min="7905" max="7905" width="13" style="13" customWidth="1"/>
    <col min="7906" max="7906" width="12.85546875" style="13" customWidth="1"/>
    <col min="7907" max="7909" width="9.140625" style="13"/>
    <col min="7910" max="7915" width="0" style="13" hidden="1" customWidth="1"/>
    <col min="7916" max="7916" width="9.140625" style="13"/>
    <col min="7917" max="7937" width="0" style="13" hidden="1" customWidth="1"/>
    <col min="7938" max="8122" width="9.140625" style="13"/>
    <col min="8123" max="8123" width="14.85546875" style="13" customWidth="1"/>
    <col min="8124" max="8127" width="9.140625" style="13"/>
    <col min="8128" max="8128" width="11.28515625" style="13" bestFit="1" customWidth="1"/>
    <col min="8129" max="8129" width="10.42578125" style="13" customWidth="1"/>
    <col min="8130" max="8131" width="9.140625" style="13"/>
    <col min="8132" max="8132" width="10.28515625" style="13" customWidth="1"/>
    <col min="8133" max="8134" width="9.140625" style="13"/>
    <col min="8135" max="8135" width="11.28515625" style="13" customWidth="1"/>
    <col min="8136" max="8136" width="9.140625" style="13"/>
    <col min="8137" max="8137" width="10.42578125" style="13" customWidth="1"/>
    <col min="8138" max="8138" width="12.28515625" style="13" customWidth="1"/>
    <col min="8139" max="8159" width="9.140625" style="13"/>
    <col min="8160" max="8160" width="11.85546875" style="13" customWidth="1"/>
    <col min="8161" max="8161" width="13" style="13" customWidth="1"/>
    <col min="8162" max="8162" width="12.85546875" style="13" customWidth="1"/>
    <col min="8163" max="8165" width="9.140625" style="13"/>
    <col min="8166" max="8171" width="0" style="13" hidden="1" customWidth="1"/>
    <col min="8172" max="8172" width="9.140625" style="13"/>
    <col min="8173" max="8193" width="0" style="13" hidden="1" customWidth="1"/>
    <col min="8194" max="8378" width="9.140625" style="13"/>
    <col min="8379" max="8379" width="14.85546875" style="13" customWidth="1"/>
    <col min="8380" max="8383" width="9.140625" style="13"/>
    <col min="8384" max="8384" width="11.28515625" style="13" bestFit="1" customWidth="1"/>
    <col min="8385" max="8385" width="10.42578125" style="13" customWidth="1"/>
    <col min="8386" max="8387" width="9.140625" style="13"/>
    <col min="8388" max="8388" width="10.28515625" style="13" customWidth="1"/>
    <col min="8389" max="8390" width="9.140625" style="13"/>
    <col min="8391" max="8391" width="11.28515625" style="13" customWidth="1"/>
    <col min="8392" max="8392" width="9.140625" style="13"/>
    <col min="8393" max="8393" width="10.42578125" style="13" customWidth="1"/>
    <col min="8394" max="8394" width="12.28515625" style="13" customWidth="1"/>
    <col min="8395" max="8415" width="9.140625" style="13"/>
    <col min="8416" max="8416" width="11.85546875" style="13" customWidth="1"/>
    <col min="8417" max="8417" width="13" style="13" customWidth="1"/>
    <col min="8418" max="8418" width="12.85546875" style="13" customWidth="1"/>
    <col min="8419" max="8421" width="9.140625" style="13"/>
    <col min="8422" max="8427" width="0" style="13" hidden="1" customWidth="1"/>
    <col min="8428" max="8428" width="9.140625" style="13"/>
    <col min="8429" max="8449" width="0" style="13" hidden="1" customWidth="1"/>
    <col min="8450" max="8634" width="9.140625" style="13"/>
    <col min="8635" max="8635" width="14.85546875" style="13" customWidth="1"/>
    <col min="8636" max="8639" width="9.140625" style="13"/>
    <col min="8640" max="8640" width="11.28515625" style="13" bestFit="1" customWidth="1"/>
    <col min="8641" max="8641" width="10.42578125" style="13" customWidth="1"/>
    <col min="8642" max="8643" width="9.140625" style="13"/>
    <col min="8644" max="8644" width="10.28515625" style="13" customWidth="1"/>
    <col min="8645" max="8646" width="9.140625" style="13"/>
    <col min="8647" max="8647" width="11.28515625" style="13" customWidth="1"/>
    <col min="8648" max="8648" width="9.140625" style="13"/>
    <col min="8649" max="8649" width="10.42578125" style="13" customWidth="1"/>
    <col min="8650" max="8650" width="12.28515625" style="13" customWidth="1"/>
    <col min="8651" max="8671" width="9.140625" style="13"/>
    <col min="8672" max="8672" width="11.85546875" style="13" customWidth="1"/>
    <col min="8673" max="8673" width="13" style="13" customWidth="1"/>
    <col min="8674" max="8674" width="12.85546875" style="13" customWidth="1"/>
    <col min="8675" max="8677" width="9.140625" style="13"/>
    <col min="8678" max="8683" width="0" style="13" hidden="1" customWidth="1"/>
    <col min="8684" max="8684" width="9.140625" style="13"/>
    <col min="8685" max="8705" width="0" style="13" hidden="1" customWidth="1"/>
    <col min="8706" max="8890" width="9.140625" style="13"/>
    <col min="8891" max="8891" width="14.85546875" style="13" customWidth="1"/>
    <col min="8892" max="8895" width="9.140625" style="13"/>
    <col min="8896" max="8896" width="11.28515625" style="13" bestFit="1" customWidth="1"/>
    <col min="8897" max="8897" width="10.42578125" style="13" customWidth="1"/>
    <col min="8898" max="8899" width="9.140625" style="13"/>
    <col min="8900" max="8900" width="10.28515625" style="13" customWidth="1"/>
    <col min="8901" max="8902" width="9.140625" style="13"/>
    <col min="8903" max="8903" width="11.28515625" style="13" customWidth="1"/>
    <col min="8904" max="8904" width="9.140625" style="13"/>
    <col min="8905" max="8905" width="10.42578125" style="13" customWidth="1"/>
    <col min="8906" max="8906" width="12.28515625" style="13" customWidth="1"/>
    <col min="8907" max="8927" width="9.140625" style="13"/>
    <col min="8928" max="8928" width="11.85546875" style="13" customWidth="1"/>
    <col min="8929" max="8929" width="13" style="13" customWidth="1"/>
    <col min="8930" max="8930" width="12.85546875" style="13" customWidth="1"/>
    <col min="8931" max="8933" width="9.140625" style="13"/>
    <col min="8934" max="8939" width="0" style="13" hidden="1" customWidth="1"/>
    <col min="8940" max="8940" width="9.140625" style="13"/>
    <col min="8941" max="8961" width="0" style="13" hidden="1" customWidth="1"/>
    <col min="8962" max="9146" width="9.140625" style="13"/>
    <col min="9147" max="9147" width="14.85546875" style="13" customWidth="1"/>
    <col min="9148" max="9151" width="9.140625" style="13"/>
    <col min="9152" max="9152" width="11.28515625" style="13" bestFit="1" customWidth="1"/>
    <col min="9153" max="9153" width="10.42578125" style="13" customWidth="1"/>
    <col min="9154" max="9155" width="9.140625" style="13"/>
    <col min="9156" max="9156" width="10.28515625" style="13" customWidth="1"/>
    <col min="9157" max="9158" width="9.140625" style="13"/>
    <col min="9159" max="9159" width="11.28515625" style="13" customWidth="1"/>
    <col min="9160" max="9160" width="9.140625" style="13"/>
    <col min="9161" max="9161" width="10.42578125" style="13" customWidth="1"/>
    <col min="9162" max="9162" width="12.28515625" style="13" customWidth="1"/>
    <col min="9163" max="9183" width="9.140625" style="13"/>
    <col min="9184" max="9184" width="11.85546875" style="13" customWidth="1"/>
    <col min="9185" max="9185" width="13" style="13" customWidth="1"/>
    <col min="9186" max="9186" width="12.85546875" style="13" customWidth="1"/>
    <col min="9187" max="9189" width="9.140625" style="13"/>
    <col min="9190" max="9195" width="0" style="13" hidden="1" customWidth="1"/>
    <col min="9196" max="9196" width="9.140625" style="13"/>
    <col min="9197" max="9217" width="0" style="13" hidden="1" customWidth="1"/>
    <col min="9218" max="9402" width="9.140625" style="13"/>
    <col min="9403" max="9403" width="14.85546875" style="13" customWidth="1"/>
    <col min="9404" max="9407" width="9.140625" style="13"/>
    <col min="9408" max="9408" width="11.28515625" style="13" bestFit="1" customWidth="1"/>
    <col min="9409" max="9409" width="10.42578125" style="13" customWidth="1"/>
    <col min="9410" max="9411" width="9.140625" style="13"/>
    <col min="9412" max="9412" width="10.28515625" style="13" customWidth="1"/>
    <col min="9413" max="9414" width="9.140625" style="13"/>
    <col min="9415" max="9415" width="11.28515625" style="13" customWidth="1"/>
    <col min="9416" max="9416" width="9.140625" style="13"/>
    <col min="9417" max="9417" width="10.42578125" style="13" customWidth="1"/>
    <col min="9418" max="9418" width="12.28515625" style="13" customWidth="1"/>
    <col min="9419" max="9439" width="9.140625" style="13"/>
    <col min="9440" max="9440" width="11.85546875" style="13" customWidth="1"/>
    <col min="9441" max="9441" width="13" style="13" customWidth="1"/>
    <col min="9442" max="9442" width="12.85546875" style="13" customWidth="1"/>
    <col min="9443" max="9445" width="9.140625" style="13"/>
    <col min="9446" max="9451" width="0" style="13" hidden="1" customWidth="1"/>
    <col min="9452" max="9452" width="9.140625" style="13"/>
    <col min="9453" max="9473" width="0" style="13" hidden="1" customWidth="1"/>
    <col min="9474" max="9658" width="9.140625" style="13"/>
    <col min="9659" max="9659" width="14.85546875" style="13" customWidth="1"/>
    <col min="9660" max="9663" width="9.140625" style="13"/>
    <col min="9664" max="9664" width="11.28515625" style="13" bestFit="1" customWidth="1"/>
    <col min="9665" max="9665" width="10.42578125" style="13" customWidth="1"/>
    <col min="9666" max="9667" width="9.140625" style="13"/>
    <col min="9668" max="9668" width="10.28515625" style="13" customWidth="1"/>
    <col min="9669" max="9670" width="9.140625" style="13"/>
    <col min="9671" max="9671" width="11.28515625" style="13" customWidth="1"/>
    <col min="9672" max="9672" width="9.140625" style="13"/>
    <col min="9673" max="9673" width="10.42578125" style="13" customWidth="1"/>
    <col min="9674" max="9674" width="12.28515625" style="13" customWidth="1"/>
    <col min="9675" max="9695" width="9.140625" style="13"/>
    <col min="9696" max="9696" width="11.85546875" style="13" customWidth="1"/>
    <col min="9697" max="9697" width="13" style="13" customWidth="1"/>
    <col min="9698" max="9698" width="12.85546875" style="13" customWidth="1"/>
    <col min="9699" max="9701" width="9.140625" style="13"/>
    <col min="9702" max="9707" width="0" style="13" hidden="1" customWidth="1"/>
    <col min="9708" max="9708" width="9.140625" style="13"/>
    <col min="9709" max="9729" width="0" style="13" hidden="1" customWidth="1"/>
    <col min="9730" max="9914" width="9.140625" style="13"/>
    <col min="9915" max="9915" width="14.85546875" style="13" customWidth="1"/>
    <col min="9916" max="9919" width="9.140625" style="13"/>
    <col min="9920" max="9920" width="11.28515625" style="13" bestFit="1" customWidth="1"/>
    <col min="9921" max="9921" width="10.42578125" style="13" customWidth="1"/>
    <col min="9922" max="9923" width="9.140625" style="13"/>
    <col min="9924" max="9924" width="10.28515625" style="13" customWidth="1"/>
    <col min="9925" max="9926" width="9.140625" style="13"/>
    <col min="9927" max="9927" width="11.28515625" style="13" customWidth="1"/>
    <col min="9928" max="9928" width="9.140625" style="13"/>
    <col min="9929" max="9929" width="10.42578125" style="13" customWidth="1"/>
    <col min="9930" max="9930" width="12.28515625" style="13" customWidth="1"/>
    <col min="9931" max="9951" width="9.140625" style="13"/>
    <col min="9952" max="9952" width="11.85546875" style="13" customWidth="1"/>
    <col min="9953" max="9953" width="13" style="13" customWidth="1"/>
    <col min="9954" max="9954" width="12.85546875" style="13" customWidth="1"/>
    <col min="9955" max="9957" width="9.140625" style="13"/>
    <col min="9958" max="9963" width="0" style="13" hidden="1" customWidth="1"/>
    <col min="9964" max="9964" width="9.140625" style="13"/>
    <col min="9965" max="9985" width="0" style="13" hidden="1" customWidth="1"/>
    <col min="9986" max="10170" width="9.140625" style="13"/>
    <col min="10171" max="10171" width="14.85546875" style="13" customWidth="1"/>
    <col min="10172" max="10175" width="9.140625" style="13"/>
    <col min="10176" max="10176" width="11.28515625" style="13" bestFit="1" customWidth="1"/>
    <col min="10177" max="10177" width="10.42578125" style="13" customWidth="1"/>
    <col min="10178" max="10179" width="9.140625" style="13"/>
    <col min="10180" max="10180" width="10.28515625" style="13" customWidth="1"/>
    <col min="10181" max="10182" width="9.140625" style="13"/>
    <col min="10183" max="10183" width="11.28515625" style="13" customWidth="1"/>
    <col min="10184" max="10184" width="9.140625" style="13"/>
    <col min="10185" max="10185" width="10.42578125" style="13" customWidth="1"/>
    <col min="10186" max="10186" width="12.28515625" style="13" customWidth="1"/>
    <col min="10187" max="10207" width="9.140625" style="13"/>
    <col min="10208" max="10208" width="11.85546875" style="13" customWidth="1"/>
    <col min="10209" max="10209" width="13" style="13" customWidth="1"/>
    <col min="10210" max="10210" width="12.85546875" style="13" customWidth="1"/>
    <col min="10211" max="10213" width="9.140625" style="13"/>
    <col min="10214" max="10219" width="0" style="13" hidden="1" customWidth="1"/>
    <col min="10220" max="10220" width="9.140625" style="13"/>
    <col min="10221" max="10241" width="0" style="13" hidden="1" customWidth="1"/>
    <col min="10242" max="10426" width="9.140625" style="13"/>
    <col min="10427" max="10427" width="14.85546875" style="13" customWidth="1"/>
    <col min="10428" max="10431" width="9.140625" style="13"/>
    <col min="10432" max="10432" width="11.28515625" style="13" bestFit="1" customWidth="1"/>
    <col min="10433" max="10433" width="10.42578125" style="13" customWidth="1"/>
    <col min="10434" max="10435" width="9.140625" style="13"/>
    <col min="10436" max="10436" width="10.28515625" style="13" customWidth="1"/>
    <col min="10437" max="10438" width="9.140625" style="13"/>
    <col min="10439" max="10439" width="11.28515625" style="13" customWidth="1"/>
    <col min="10440" max="10440" width="9.140625" style="13"/>
    <col min="10441" max="10441" width="10.42578125" style="13" customWidth="1"/>
    <col min="10442" max="10442" width="12.28515625" style="13" customWidth="1"/>
    <col min="10443" max="10463" width="9.140625" style="13"/>
    <col min="10464" max="10464" width="11.85546875" style="13" customWidth="1"/>
    <col min="10465" max="10465" width="13" style="13" customWidth="1"/>
    <col min="10466" max="10466" width="12.85546875" style="13" customWidth="1"/>
    <col min="10467" max="10469" width="9.140625" style="13"/>
    <col min="10470" max="10475" width="0" style="13" hidden="1" customWidth="1"/>
    <col min="10476" max="10476" width="9.140625" style="13"/>
    <col min="10477" max="10497" width="0" style="13" hidden="1" customWidth="1"/>
    <col min="10498" max="10682" width="9.140625" style="13"/>
    <col min="10683" max="10683" width="14.85546875" style="13" customWidth="1"/>
    <col min="10684" max="10687" width="9.140625" style="13"/>
    <col min="10688" max="10688" width="11.28515625" style="13" bestFit="1" customWidth="1"/>
    <col min="10689" max="10689" width="10.42578125" style="13" customWidth="1"/>
    <col min="10690" max="10691" width="9.140625" style="13"/>
    <col min="10692" max="10692" width="10.28515625" style="13" customWidth="1"/>
    <col min="10693" max="10694" width="9.140625" style="13"/>
    <col min="10695" max="10695" width="11.28515625" style="13" customWidth="1"/>
    <col min="10696" max="10696" width="9.140625" style="13"/>
    <col min="10697" max="10697" width="10.42578125" style="13" customWidth="1"/>
    <col min="10698" max="10698" width="12.28515625" style="13" customWidth="1"/>
    <col min="10699" max="10719" width="9.140625" style="13"/>
    <col min="10720" max="10720" width="11.85546875" style="13" customWidth="1"/>
    <col min="10721" max="10721" width="13" style="13" customWidth="1"/>
    <col min="10722" max="10722" width="12.85546875" style="13" customWidth="1"/>
    <col min="10723" max="10725" width="9.140625" style="13"/>
    <col min="10726" max="10731" width="0" style="13" hidden="1" customWidth="1"/>
    <col min="10732" max="10732" width="9.140625" style="13"/>
    <col min="10733" max="10753" width="0" style="13" hidden="1" customWidth="1"/>
    <col min="10754" max="10938" width="9.140625" style="13"/>
    <col min="10939" max="10939" width="14.85546875" style="13" customWidth="1"/>
    <col min="10940" max="10943" width="9.140625" style="13"/>
    <col min="10944" max="10944" width="11.28515625" style="13" bestFit="1" customWidth="1"/>
    <col min="10945" max="10945" width="10.42578125" style="13" customWidth="1"/>
    <col min="10946" max="10947" width="9.140625" style="13"/>
    <col min="10948" max="10948" width="10.28515625" style="13" customWidth="1"/>
    <col min="10949" max="10950" width="9.140625" style="13"/>
    <col min="10951" max="10951" width="11.28515625" style="13" customWidth="1"/>
    <col min="10952" max="10952" width="9.140625" style="13"/>
    <col min="10953" max="10953" width="10.42578125" style="13" customWidth="1"/>
    <col min="10954" max="10954" width="12.28515625" style="13" customWidth="1"/>
    <col min="10955" max="10975" width="9.140625" style="13"/>
    <col min="10976" max="10976" width="11.85546875" style="13" customWidth="1"/>
    <col min="10977" max="10977" width="13" style="13" customWidth="1"/>
    <col min="10978" max="10978" width="12.85546875" style="13" customWidth="1"/>
    <col min="10979" max="10981" width="9.140625" style="13"/>
    <col min="10982" max="10987" width="0" style="13" hidden="1" customWidth="1"/>
    <col min="10988" max="10988" width="9.140625" style="13"/>
    <col min="10989" max="11009" width="0" style="13" hidden="1" customWidth="1"/>
    <col min="11010" max="11194" width="9.140625" style="13"/>
    <col min="11195" max="11195" width="14.85546875" style="13" customWidth="1"/>
    <col min="11196" max="11199" width="9.140625" style="13"/>
    <col min="11200" max="11200" width="11.28515625" style="13" bestFit="1" customWidth="1"/>
    <col min="11201" max="11201" width="10.42578125" style="13" customWidth="1"/>
    <col min="11202" max="11203" width="9.140625" style="13"/>
    <col min="11204" max="11204" width="10.28515625" style="13" customWidth="1"/>
    <col min="11205" max="11206" width="9.140625" style="13"/>
    <col min="11207" max="11207" width="11.28515625" style="13" customWidth="1"/>
    <col min="11208" max="11208" width="9.140625" style="13"/>
    <col min="11209" max="11209" width="10.42578125" style="13" customWidth="1"/>
    <col min="11210" max="11210" width="12.28515625" style="13" customWidth="1"/>
    <col min="11211" max="11231" width="9.140625" style="13"/>
    <col min="11232" max="11232" width="11.85546875" style="13" customWidth="1"/>
    <col min="11233" max="11233" width="13" style="13" customWidth="1"/>
    <col min="11234" max="11234" width="12.85546875" style="13" customWidth="1"/>
    <col min="11235" max="11237" width="9.140625" style="13"/>
    <col min="11238" max="11243" width="0" style="13" hidden="1" customWidth="1"/>
    <col min="11244" max="11244" width="9.140625" style="13"/>
    <col min="11245" max="11265" width="0" style="13" hidden="1" customWidth="1"/>
    <col min="11266" max="11450" width="9.140625" style="13"/>
    <col min="11451" max="11451" width="14.85546875" style="13" customWidth="1"/>
    <col min="11452" max="11455" width="9.140625" style="13"/>
    <col min="11456" max="11456" width="11.28515625" style="13" bestFit="1" customWidth="1"/>
    <col min="11457" max="11457" width="10.42578125" style="13" customWidth="1"/>
    <col min="11458" max="11459" width="9.140625" style="13"/>
    <col min="11460" max="11460" width="10.28515625" style="13" customWidth="1"/>
    <col min="11461" max="11462" width="9.140625" style="13"/>
    <col min="11463" max="11463" width="11.28515625" style="13" customWidth="1"/>
    <col min="11464" max="11464" width="9.140625" style="13"/>
    <col min="11465" max="11465" width="10.42578125" style="13" customWidth="1"/>
    <col min="11466" max="11466" width="12.28515625" style="13" customWidth="1"/>
    <col min="11467" max="11487" width="9.140625" style="13"/>
    <col min="11488" max="11488" width="11.85546875" style="13" customWidth="1"/>
    <col min="11489" max="11489" width="13" style="13" customWidth="1"/>
    <col min="11490" max="11490" width="12.85546875" style="13" customWidth="1"/>
    <col min="11491" max="11493" width="9.140625" style="13"/>
    <col min="11494" max="11499" width="0" style="13" hidden="1" customWidth="1"/>
    <col min="11500" max="11500" width="9.140625" style="13"/>
    <col min="11501" max="11521" width="0" style="13" hidden="1" customWidth="1"/>
    <col min="11522" max="11706" width="9.140625" style="13"/>
    <col min="11707" max="11707" width="14.85546875" style="13" customWidth="1"/>
    <col min="11708" max="11711" width="9.140625" style="13"/>
    <col min="11712" max="11712" width="11.28515625" style="13" bestFit="1" customWidth="1"/>
    <col min="11713" max="11713" width="10.42578125" style="13" customWidth="1"/>
    <col min="11714" max="11715" width="9.140625" style="13"/>
    <col min="11716" max="11716" width="10.28515625" style="13" customWidth="1"/>
    <col min="11717" max="11718" width="9.140625" style="13"/>
    <col min="11719" max="11719" width="11.28515625" style="13" customWidth="1"/>
    <col min="11720" max="11720" width="9.140625" style="13"/>
    <col min="11721" max="11721" width="10.42578125" style="13" customWidth="1"/>
    <col min="11722" max="11722" width="12.28515625" style="13" customWidth="1"/>
    <col min="11723" max="11743" width="9.140625" style="13"/>
    <col min="11744" max="11744" width="11.85546875" style="13" customWidth="1"/>
    <col min="11745" max="11745" width="13" style="13" customWidth="1"/>
    <col min="11746" max="11746" width="12.85546875" style="13" customWidth="1"/>
    <col min="11747" max="11749" width="9.140625" style="13"/>
    <col min="11750" max="11755" width="0" style="13" hidden="1" customWidth="1"/>
    <col min="11756" max="11756" width="9.140625" style="13"/>
    <col min="11757" max="11777" width="0" style="13" hidden="1" customWidth="1"/>
    <col min="11778" max="11962" width="9.140625" style="13"/>
    <col min="11963" max="11963" width="14.85546875" style="13" customWidth="1"/>
    <col min="11964" max="11967" width="9.140625" style="13"/>
    <col min="11968" max="11968" width="11.28515625" style="13" bestFit="1" customWidth="1"/>
    <col min="11969" max="11969" width="10.42578125" style="13" customWidth="1"/>
    <col min="11970" max="11971" width="9.140625" style="13"/>
    <col min="11972" max="11972" width="10.28515625" style="13" customWidth="1"/>
    <col min="11973" max="11974" width="9.140625" style="13"/>
    <col min="11975" max="11975" width="11.28515625" style="13" customWidth="1"/>
    <col min="11976" max="11976" width="9.140625" style="13"/>
    <col min="11977" max="11977" width="10.42578125" style="13" customWidth="1"/>
    <col min="11978" max="11978" width="12.28515625" style="13" customWidth="1"/>
    <col min="11979" max="11999" width="9.140625" style="13"/>
    <col min="12000" max="12000" width="11.85546875" style="13" customWidth="1"/>
    <col min="12001" max="12001" width="13" style="13" customWidth="1"/>
    <col min="12002" max="12002" width="12.85546875" style="13" customWidth="1"/>
    <col min="12003" max="12005" width="9.140625" style="13"/>
    <col min="12006" max="12011" width="0" style="13" hidden="1" customWidth="1"/>
    <col min="12012" max="12012" width="9.140625" style="13"/>
    <col min="12013" max="12033" width="0" style="13" hidden="1" customWidth="1"/>
    <col min="12034" max="12218" width="9.140625" style="13"/>
    <col min="12219" max="12219" width="14.85546875" style="13" customWidth="1"/>
    <col min="12220" max="12223" width="9.140625" style="13"/>
    <col min="12224" max="12224" width="11.28515625" style="13" bestFit="1" customWidth="1"/>
    <col min="12225" max="12225" width="10.42578125" style="13" customWidth="1"/>
    <col min="12226" max="12227" width="9.140625" style="13"/>
    <col min="12228" max="12228" width="10.28515625" style="13" customWidth="1"/>
    <col min="12229" max="12230" width="9.140625" style="13"/>
    <col min="12231" max="12231" width="11.28515625" style="13" customWidth="1"/>
    <col min="12232" max="12232" width="9.140625" style="13"/>
    <col min="12233" max="12233" width="10.42578125" style="13" customWidth="1"/>
    <col min="12234" max="12234" width="12.28515625" style="13" customWidth="1"/>
    <col min="12235" max="12255" width="9.140625" style="13"/>
    <col min="12256" max="12256" width="11.85546875" style="13" customWidth="1"/>
    <col min="12257" max="12257" width="13" style="13" customWidth="1"/>
    <col min="12258" max="12258" width="12.85546875" style="13" customWidth="1"/>
    <col min="12259" max="12261" width="9.140625" style="13"/>
    <col min="12262" max="12267" width="0" style="13" hidden="1" customWidth="1"/>
    <col min="12268" max="12268" width="9.140625" style="13"/>
    <col min="12269" max="12289" width="0" style="13" hidden="1" customWidth="1"/>
    <col min="12290" max="12474" width="9.140625" style="13"/>
    <col min="12475" max="12475" width="14.85546875" style="13" customWidth="1"/>
    <col min="12476" max="12479" width="9.140625" style="13"/>
    <col min="12480" max="12480" width="11.28515625" style="13" bestFit="1" customWidth="1"/>
    <col min="12481" max="12481" width="10.42578125" style="13" customWidth="1"/>
    <col min="12482" max="12483" width="9.140625" style="13"/>
    <col min="12484" max="12484" width="10.28515625" style="13" customWidth="1"/>
    <col min="12485" max="12486" width="9.140625" style="13"/>
    <col min="12487" max="12487" width="11.28515625" style="13" customWidth="1"/>
    <col min="12488" max="12488" width="9.140625" style="13"/>
    <col min="12489" max="12489" width="10.42578125" style="13" customWidth="1"/>
    <col min="12490" max="12490" width="12.28515625" style="13" customWidth="1"/>
    <col min="12491" max="12511" width="9.140625" style="13"/>
    <col min="12512" max="12512" width="11.85546875" style="13" customWidth="1"/>
    <col min="12513" max="12513" width="13" style="13" customWidth="1"/>
    <col min="12514" max="12514" width="12.85546875" style="13" customWidth="1"/>
    <col min="12515" max="12517" width="9.140625" style="13"/>
    <col min="12518" max="12523" width="0" style="13" hidden="1" customWidth="1"/>
    <col min="12524" max="12524" width="9.140625" style="13"/>
    <col min="12525" max="12545" width="0" style="13" hidden="1" customWidth="1"/>
    <col min="12546" max="12730" width="9.140625" style="13"/>
    <col min="12731" max="12731" width="14.85546875" style="13" customWidth="1"/>
    <col min="12732" max="12735" width="9.140625" style="13"/>
    <col min="12736" max="12736" width="11.28515625" style="13" bestFit="1" customWidth="1"/>
    <col min="12737" max="12737" width="10.42578125" style="13" customWidth="1"/>
    <col min="12738" max="12739" width="9.140625" style="13"/>
    <col min="12740" max="12740" width="10.28515625" style="13" customWidth="1"/>
    <col min="12741" max="12742" width="9.140625" style="13"/>
    <col min="12743" max="12743" width="11.28515625" style="13" customWidth="1"/>
    <col min="12744" max="12744" width="9.140625" style="13"/>
    <col min="12745" max="12745" width="10.42578125" style="13" customWidth="1"/>
    <col min="12746" max="12746" width="12.28515625" style="13" customWidth="1"/>
    <col min="12747" max="12767" width="9.140625" style="13"/>
    <col min="12768" max="12768" width="11.85546875" style="13" customWidth="1"/>
    <col min="12769" max="12769" width="13" style="13" customWidth="1"/>
    <col min="12770" max="12770" width="12.85546875" style="13" customWidth="1"/>
    <col min="12771" max="12773" width="9.140625" style="13"/>
    <col min="12774" max="12779" width="0" style="13" hidden="1" customWidth="1"/>
    <col min="12780" max="12780" width="9.140625" style="13"/>
    <col min="12781" max="12801" width="0" style="13" hidden="1" customWidth="1"/>
    <col min="12802" max="12986" width="9.140625" style="13"/>
    <col min="12987" max="12987" width="14.85546875" style="13" customWidth="1"/>
    <col min="12988" max="12991" width="9.140625" style="13"/>
    <col min="12992" max="12992" width="11.28515625" style="13" bestFit="1" customWidth="1"/>
    <col min="12993" max="12993" width="10.42578125" style="13" customWidth="1"/>
    <col min="12994" max="12995" width="9.140625" style="13"/>
    <col min="12996" max="12996" width="10.28515625" style="13" customWidth="1"/>
    <col min="12997" max="12998" width="9.140625" style="13"/>
    <col min="12999" max="12999" width="11.28515625" style="13" customWidth="1"/>
    <col min="13000" max="13000" width="9.140625" style="13"/>
    <col min="13001" max="13001" width="10.42578125" style="13" customWidth="1"/>
    <col min="13002" max="13002" width="12.28515625" style="13" customWidth="1"/>
    <col min="13003" max="13023" width="9.140625" style="13"/>
    <col min="13024" max="13024" width="11.85546875" style="13" customWidth="1"/>
    <col min="13025" max="13025" width="13" style="13" customWidth="1"/>
    <col min="13026" max="13026" width="12.85546875" style="13" customWidth="1"/>
    <col min="13027" max="13029" width="9.140625" style="13"/>
    <col min="13030" max="13035" width="0" style="13" hidden="1" customWidth="1"/>
    <col min="13036" max="13036" width="9.140625" style="13"/>
    <col min="13037" max="13057" width="0" style="13" hidden="1" customWidth="1"/>
    <col min="13058" max="13242" width="9.140625" style="13"/>
    <col min="13243" max="13243" width="14.85546875" style="13" customWidth="1"/>
    <col min="13244" max="13247" width="9.140625" style="13"/>
    <col min="13248" max="13248" width="11.28515625" style="13" bestFit="1" customWidth="1"/>
    <col min="13249" max="13249" width="10.42578125" style="13" customWidth="1"/>
    <col min="13250" max="13251" width="9.140625" style="13"/>
    <col min="13252" max="13252" width="10.28515625" style="13" customWidth="1"/>
    <col min="13253" max="13254" width="9.140625" style="13"/>
    <col min="13255" max="13255" width="11.28515625" style="13" customWidth="1"/>
    <col min="13256" max="13256" width="9.140625" style="13"/>
    <col min="13257" max="13257" width="10.42578125" style="13" customWidth="1"/>
    <col min="13258" max="13258" width="12.28515625" style="13" customWidth="1"/>
    <col min="13259" max="13279" width="9.140625" style="13"/>
    <col min="13280" max="13280" width="11.85546875" style="13" customWidth="1"/>
    <col min="13281" max="13281" width="13" style="13" customWidth="1"/>
    <col min="13282" max="13282" width="12.85546875" style="13" customWidth="1"/>
    <col min="13283" max="13285" width="9.140625" style="13"/>
    <col min="13286" max="13291" width="0" style="13" hidden="1" customWidth="1"/>
    <col min="13292" max="13292" width="9.140625" style="13"/>
    <col min="13293" max="13313" width="0" style="13" hidden="1" customWidth="1"/>
    <col min="13314" max="13498" width="9.140625" style="13"/>
    <col min="13499" max="13499" width="14.85546875" style="13" customWidth="1"/>
    <col min="13500" max="13503" width="9.140625" style="13"/>
    <col min="13504" max="13504" width="11.28515625" style="13" bestFit="1" customWidth="1"/>
    <col min="13505" max="13505" width="10.42578125" style="13" customWidth="1"/>
    <col min="13506" max="13507" width="9.140625" style="13"/>
    <col min="13508" max="13508" width="10.28515625" style="13" customWidth="1"/>
    <col min="13509" max="13510" width="9.140625" style="13"/>
    <col min="13511" max="13511" width="11.28515625" style="13" customWidth="1"/>
    <col min="13512" max="13512" width="9.140625" style="13"/>
    <col min="13513" max="13513" width="10.42578125" style="13" customWidth="1"/>
    <col min="13514" max="13514" width="12.28515625" style="13" customWidth="1"/>
    <col min="13515" max="13535" width="9.140625" style="13"/>
    <col min="13536" max="13536" width="11.85546875" style="13" customWidth="1"/>
    <col min="13537" max="13537" width="13" style="13" customWidth="1"/>
    <col min="13538" max="13538" width="12.85546875" style="13" customWidth="1"/>
    <col min="13539" max="13541" width="9.140625" style="13"/>
    <col min="13542" max="13547" width="0" style="13" hidden="1" customWidth="1"/>
    <col min="13548" max="13548" width="9.140625" style="13"/>
    <col min="13549" max="13569" width="0" style="13" hidden="1" customWidth="1"/>
    <col min="13570" max="13754" width="9.140625" style="13"/>
    <col min="13755" max="13755" width="14.85546875" style="13" customWidth="1"/>
    <col min="13756" max="13759" width="9.140625" style="13"/>
    <col min="13760" max="13760" width="11.28515625" style="13" bestFit="1" customWidth="1"/>
    <col min="13761" max="13761" width="10.42578125" style="13" customWidth="1"/>
    <col min="13762" max="13763" width="9.140625" style="13"/>
    <col min="13764" max="13764" width="10.28515625" style="13" customWidth="1"/>
    <col min="13765" max="13766" width="9.140625" style="13"/>
    <col min="13767" max="13767" width="11.28515625" style="13" customWidth="1"/>
    <col min="13768" max="13768" width="9.140625" style="13"/>
    <col min="13769" max="13769" width="10.42578125" style="13" customWidth="1"/>
    <col min="13770" max="13770" width="12.28515625" style="13" customWidth="1"/>
    <col min="13771" max="13791" width="9.140625" style="13"/>
    <col min="13792" max="13792" width="11.85546875" style="13" customWidth="1"/>
    <col min="13793" max="13793" width="13" style="13" customWidth="1"/>
    <col min="13794" max="13794" width="12.85546875" style="13" customWidth="1"/>
    <col min="13795" max="13797" width="9.140625" style="13"/>
    <col min="13798" max="13803" width="0" style="13" hidden="1" customWidth="1"/>
    <col min="13804" max="13804" width="9.140625" style="13"/>
    <col min="13805" max="13825" width="0" style="13" hidden="1" customWidth="1"/>
    <col min="13826" max="14010" width="9.140625" style="13"/>
    <col min="14011" max="14011" width="14.85546875" style="13" customWidth="1"/>
    <col min="14012" max="14015" width="9.140625" style="13"/>
    <col min="14016" max="14016" width="11.28515625" style="13" bestFit="1" customWidth="1"/>
    <col min="14017" max="14017" width="10.42578125" style="13" customWidth="1"/>
    <col min="14018" max="14019" width="9.140625" style="13"/>
    <col min="14020" max="14020" width="10.28515625" style="13" customWidth="1"/>
    <col min="14021" max="14022" width="9.140625" style="13"/>
    <col min="14023" max="14023" width="11.28515625" style="13" customWidth="1"/>
    <col min="14024" max="14024" width="9.140625" style="13"/>
    <col min="14025" max="14025" width="10.42578125" style="13" customWidth="1"/>
    <col min="14026" max="14026" width="12.28515625" style="13" customWidth="1"/>
    <col min="14027" max="14047" width="9.140625" style="13"/>
    <col min="14048" max="14048" width="11.85546875" style="13" customWidth="1"/>
    <col min="14049" max="14049" width="13" style="13" customWidth="1"/>
    <col min="14050" max="14050" width="12.85546875" style="13" customWidth="1"/>
    <col min="14051" max="14053" width="9.140625" style="13"/>
    <col min="14054" max="14059" width="0" style="13" hidden="1" customWidth="1"/>
    <col min="14060" max="14060" width="9.140625" style="13"/>
    <col min="14061" max="14081" width="0" style="13" hidden="1" customWidth="1"/>
    <col min="14082" max="14266" width="9.140625" style="13"/>
    <col min="14267" max="14267" width="14.85546875" style="13" customWidth="1"/>
    <col min="14268" max="14271" width="9.140625" style="13"/>
    <col min="14272" max="14272" width="11.28515625" style="13" bestFit="1" customWidth="1"/>
    <col min="14273" max="14273" width="10.42578125" style="13" customWidth="1"/>
    <col min="14274" max="14275" width="9.140625" style="13"/>
    <col min="14276" max="14276" width="10.28515625" style="13" customWidth="1"/>
    <col min="14277" max="14278" width="9.140625" style="13"/>
    <col min="14279" max="14279" width="11.28515625" style="13" customWidth="1"/>
    <col min="14280" max="14280" width="9.140625" style="13"/>
    <col min="14281" max="14281" width="10.42578125" style="13" customWidth="1"/>
    <col min="14282" max="14282" width="12.28515625" style="13" customWidth="1"/>
    <col min="14283" max="14303" width="9.140625" style="13"/>
    <col min="14304" max="14304" width="11.85546875" style="13" customWidth="1"/>
    <col min="14305" max="14305" width="13" style="13" customWidth="1"/>
    <col min="14306" max="14306" width="12.85546875" style="13" customWidth="1"/>
    <col min="14307" max="14309" width="9.140625" style="13"/>
    <col min="14310" max="14315" width="0" style="13" hidden="1" customWidth="1"/>
    <col min="14316" max="14316" width="9.140625" style="13"/>
    <col min="14317" max="14337" width="0" style="13" hidden="1" customWidth="1"/>
    <col min="14338" max="14522" width="9.140625" style="13"/>
    <col min="14523" max="14523" width="14.85546875" style="13" customWidth="1"/>
    <col min="14524" max="14527" width="9.140625" style="13"/>
    <col min="14528" max="14528" width="11.28515625" style="13" bestFit="1" customWidth="1"/>
    <col min="14529" max="14529" width="10.42578125" style="13" customWidth="1"/>
    <col min="14530" max="14531" width="9.140625" style="13"/>
    <col min="14532" max="14532" width="10.28515625" style="13" customWidth="1"/>
    <col min="14533" max="14534" width="9.140625" style="13"/>
    <col min="14535" max="14535" width="11.28515625" style="13" customWidth="1"/>
    <col min="14536" max="14536" width="9.140625" style="13"/>
    <col min="14537" max="14537" width="10.42578125" style="13" customWidth="1"/>
    <col min="14538" max="14538" width="12.28515625" style="13" customWidth="1"/>
    <col min="14539" max="14559" width="9.140625" style="13"/>
    <col min="14560" max="14560" width="11.85546875" style="13" customWidth="1"/>
    <col min="14561" max="14561" width="13" style="13" customWidth="1"/>
    <col min="14562" max="14562" width="12.85546875" style="13" customWidth="1"/>
    <col min="14563" max="14565" width="9.140625" style="13"/>
    <col min="14566" max="14571" width="0" style="13" hidden="1" customWidth="1"/>
    <col min="14572" max="14572" width="9.140625" style="13"/>
    <col min="14573" max="14593" width="0" style="13" hidden="1" customWidth="1"/>
    <col min="14594" max="14778" width="9.140625" style="13"/>
    <col min="14779" max="14779" width="14.85546875" style="13" customWidth="1"/>
    <col min="14780" max="14783" width="9.140625" style="13"/>
    <col min="14784" max="14784" width="11.28515625" style="13" bestFit="1" customWidth="1"/>
    <col min="14785" max="14785" width="10.42578125" style="13" customWidth="1"/>
    <col min="14786" max="14787" width="9.140625" style="13"/>
    <col min="14788" max="14788" width="10.28515625" style="13" customWidth="1"/>
    <col min="14789" max="14790" width="9.140625" style="13"/>
    <col min="14791" max="14791" width="11.28515625" style="13" customWidth="1"/>
    <col min="14792" max="14792" width="9.140625" style="13"/>
    <col min="14793" max="14793" width="10.42578125" style="13" customWidth="1"/>
    <col min="14794" max="14794" width="12.28515625" style="13" customWidth="1"/>
    <col min="14795" max="14815" width="9.140625" style="13"/>
    <col min="14816" max="14816" width="11.85546875" style="13" customWidth="1"/>
    <col min="14817" max="14817" width="13" style="13" customWidth="1"/>
    <col min="14818" max="14818" width="12.85546875" style="13" customWidth="1"/>
    <col min="14819" max="14821" width="9.140625" style="13"/>
    <col min="14822" max="14827" width="0" style="13" hidden="1" customWidth="1"/>
    <col min="14828" max="14828" width="9.140625" style="13"/>
    <col min="14829" max="14849" width="0" style="13" hidden="1" customWidth="1"/>
    <col min="14850" max="15034" width="9.140625" style="13"/>
    <col min="15035" max="15035" width="14.85546875" style="13" customWidth="1"/>
    <col min="15036" max="15039" width="9.140625" style="13"/>
    <col min="15040" max="15040" width="11.28515625" style="13" bestFit="1" customWidth="1"/>
    <col min="15041" max="15041" width="10.42578125" style="13" customWidth="1"/>
    <col min="15042" max="15043" width="9.140625" style="13"/>
    <col min="15044" max="15044" width="10.28515625" style="13" customWidth="1"/>
    <col min="15045" max="15046" width="9.140625" style="13"/>
    <col min="15047" max="15047" width="11.28515625" style="13" customWidth="1"/>
    <col min="15048" max="15048" width="9.140625" style="13"/>
    <col min="15049" max="15049" width="10.42578125" style="13" customWidth="1"/>
    <col min="15050" max="15050" width="12.28515625" style="13" customWidth="1"/>
    <col min="15051" max="15071" width="9.140625" style="13"/>
    <col min="15072" max="15072" width="11.85546875" style="13" customWidth="1"/>
    <col min="15073" max="15073" width="13" style="13" customWidth="1"/>
    <col min="15074" max="15074" width="12.85546875" style="13" customWidth="1"/>
    <col min="15075" max="15077" width="9.140625" style="13"/>
    <col min="15078" max="15083" width="0" style="13" hidden="1" customWidth="1"/>
    <col min="15084" max="15084" width="9.140625" style="13"/>
    <col min="15085" max="15105" width="0" style="13" hidden="1" customWidth="1"/>
    <col min="15106" max="15290" width="9.140625" style="13"/>
    <col min="15291" max="15291" width="14.85546875" style="13" customWidth="1"/>
    <col min="15292" max="15295" width="9.140625" style="13"/>
    <col min="15296" max="15296" width="11.28515625" style="13" bestFit="1" customWidth="1"/>
    <col min="15297" max="15297" width="10.42578125" style="13" customWidth="1"/>
    <col min="15298" max="15299" width="9.140625" style="13"/>
    <col min="15300" max="15300" width="10.28515625" style="13" customWidth="1"/>
    <col min="15301" max="15302" width="9.140625" style="13"/>
    <col min="15303" max="15303" width="11.28515625" style="13" customWidth="1"/>
    <col min="15304" max="15304" width="9.140625" style="13"/>
    <col min="15305" max="15305" width="10.42578125" style="13" customWidth="1"/>
    <col min="15306" max="15306" width="12.28515625" style="13" customWidth="1"/>
    <col min="15307" max="15327" width="9.140625" style="13"/>
    <col min="15328" max="15328" width="11.85546875" style="13" customWidth="1"/>
    <col min="15329" max="15329" width="13" style="13" customWidth="1"/>
    <col min="15330" max="15330" width="12.85546875" style="13" customWidth="1"/>
    <col min="15331" max="15333" width="9.140625" style="13"/>
    <col min="15334" max="15339" width="0" style="13" hidden="1" customWidth="1"/>
    <col min="15340" max="15340" width="9.140625" style="13"/>
    <col min="15341" max="15361" width="0" style="13" hidden="1" customWidth="1"/>
    <col min="15362" max="15546" width="9.140625" style="13"/>
    <col min="15547" max="15547" width="14.85546875" style="13" customWidth="1"/>
    <col min="15548" max="15551" width="9.140625" style="13"/>
    <col min="15552" max="15552" width="11.28515625" style="13" bestFit="1" customWidth="1"/>
    <col min="15553" max="15553" width="10.42578125" style="13" customWidth="1"/>
    <col min="15554" max="15555" width="9.140625" style="13"/>
    <col min="15556" max="15556" width="10.28515625" style="13" customWidth="1"/>
    <col min="15557" max="15558" width="9.140625" style="13"/>
    <col min="15559" max="15559" width="11.28515625" style="13" customWidth="1"/>
    <col min="15560" max="15560" width="9.140625" style="13"/>
    <col min="15561" max="15561" width="10.42578125" style="13" customWidth="1"/>
    <col min="15562" max="15562" width="12.28515625" style="13" customWidth="1"/>
    <col min="15563" max="15583" width="9.140625" style="13"/>
    <col min="15584" max="15584" width="11.85546875" style="13" customWidth="1"/>
    <col min="15585" max="15585" width="13" style="13" customWidth="1"/>
    <col min="15586" max="15586" width="12.85546875" style="13" customWidth="1"/>
    <col min="15587" max="15589" width="9.140625" style="13"/>
    <col min="15590" max="15595" width="0" style="13" hidden="1" customWidth="1"/>
    <col min="15596" max="15596" width="9.140625" style="13"/>
    <col min="15597" max="15617" width="0" style="13" hidden="1" customWidth="1"/>
    <col min="15618" max="15802" width="9.140625" style="13"/>
    <col min="15803" max="15803" width="14.85546875" style="13" customWidth="1"/>
    <col min="15804" max="15807" width="9.140625" style="13"/>
    <col min="15808" max="15808" width="11.28515625" style="13" bestFit="1" customWidth="1"/>
    <col min="15809" max="15809" width="10.42578125" style="13" customWidth="1"/>
    <col min="15810" max="15811" width="9.140625" style="13"/>
    <col min="15812" max="15812" width="10.28515625" style="13" customWidth="1"/>
    <col min="15813" max="15814" width="9.140625" style="13"/>
    <col min="15815" max="15815" width="11.28515625" style="13" customWidth="1"/>
    <col min="15816" max="15816" width="9.140625" style="13"/>
    <col min="15817" max="15817" width="10.42578125" style="13" customWidth="1"/>
    <col min="15818" max="15818" width="12.28515625" style="13" customWidth="1"/>
    <col min="15819" max="15839" width="9.140625" style="13"/>
    <col min="15840" max="15840" width="11.85546875" style="13" customWidth="1"/>
    <col min="15841" max="15841" width="13" style="13" customWidth="1"/>
    <col min="15842" max="15842" width="12.85546875" style="13" customWidth="1"/>
    <col min="15843" max="15845" width="9.140625" style="13"/>
    <col min="15846" max="15851" width="0" style="13" hidden="1" customWidth="1"/>
    <col min="15852" max="15852" width="9.140625" style="13"/>
    <col min="15853" max="15873" width="0" style="13" hidden="1" customWidth="1"/>
    <col min="15874" max="16058" width="9.140625" style="13"/>
    <col min="16059" max="16059" width="14.85546875" style="13" customWidth="1"/>
    <col min="16060" max="16063" width="9.140625" style="13"/>
    <col min="16064" max="16064" width="11.28515625" style="13" bestFit="1" customWidth="1"/>
    <col min="16065" max="16065" width="10.42578125" style="13" customWidth="1"/>
    <col min="16066" max="16067" width="9.140625" style="13"/>
    <col min="16068" max="16068" width="10.28515625" style="13" customWidth="1"/>
    <col min="16069" max="16070" width="9.140625" style="13"/>
    <col min="16071" max="16071" width="11.28515625" style="13" customWidth="1"/>
    <col min="16072" max="16072" width="9.140625" style="13"/>
    <col min="16073" max="16073" width="10.42578125" style="13" customWidth="1"/>
    <col min="16074" max="16074" width="12.28515625" style="13" customWidth="1"/>
    <col min="16075" max="16095" width="9.140625" style="13"/>
    <col min="16096" max="16096" width="11.85546875" style="13" customWidth="1"/>
    <col min="16097" max="16097" width="13" style="13" customWidth="1"/>
    <col min="16098" max="16098" width="12.85546875" style="13" customWidth="1"/>
    <col min="16099" max="16101" width="9.140625" style="13"/>
    <col min="16102" max="16107" width="0" style="13" hidden="1" customWidth="1"/>
    <col min="16108" max="16108" width="9.140625" style="13"/>
    <col min="16109" max="16129" width="0" style="13" hidden="1" customWidth="1"/>
    <col min="16130" max="16384" width="9.140625" style="13"/>
  </cols>
  <sheetData>
    <row r="1" spans="1:46" ht="27" customHeight="1" x14ac:dyDescent="0.2">
      <c r="A1" s="601" t="s">
        <v>369</v>
      </c>
      <c r="B1" s="601"/>
      <c r="C1" s="601"/>
      <c r="D1" s="601"/>
      <c r="E1" s="601"/>
      <c r="F1" s="601"/>
      <c r="G1" s="601"/>
      <c r="H1" s="601"/>
      <c r="I1" s="601"/>
      <c r="J1" s="601"/>
      <c r="K1" s="601"/>
      <c r="L1" s="601"/>
      <c r="M1" s="601"/>
      <c r="N1" s="601"/>
      <c r="O1" s="601"/>
      <c r="P1" s="601"/>
      <c r="Q1" s="601"/>
      <c r="R1" s="601"/>
      <c r="S1" s="601"/>
      <c r="T1" s="601"/>
      <c r="U1" s="601"/>
      <c r="V1" s="601"/>
      <c r="W1" s="601"/>
      <c r="X1" s="601"/>
      <c r="Y1" s="602"/>
      <c r="Z1" s="602"/>
      <c r="AA1" s="602"/>
      <c r="AB1" s="602"/>
      <c r="AC1" s="602"/>
      <c r="AD1" s="602"/>
      <c r="AE1" s="602"/>
      <c r="AF1" s="602"/>
      <c r="AG1" s="602"/>
      <c r="AH1" s="602"/>
      <c r="AQ1" s="31"/>
      <c r="AR1" s="32"/>
      <c r="AS1" s="33"/>
      <c r="AT1" s="32"/>
    </row>
    <row r="2" spans="1:46" ht="12.75" customHeight="1" x14ac:dyDescent="0.2">
      <c r="A2" s="603" t="s">
        <v>1</v>
      </c>
      <c r="B2" s="603" t="s">
        <v>201</v>
      </c>
      <c r="C2" s="605" t="s">
        <v>202</v>
      </c>
      <c r="D2" s="606"/>
      <c r="E2" s="606"/>
      <c r="F2" s="606"/>
      <c r="G2" s="606"/>
      <c r="H2" s="606"/>
      <c r="I2" s="606"/>
      <c r="J2" s="606"/>
      <c r="K2" s="606"/>
      <c r="L2" s="606"/>
      <c r="M2" s="607"/>
      <c r="N2" s="605" t="s">
        <v>203</v>
      </c>
      <c r="O2" s="606"/>
      <c r="P2" s="606"/>
      <c r="Q2" s="606"/>
      <c r="R2" s="606"/>
      <c r="S2" s="606"/>
      <c r="T2" s="606"/>
      <c r="U2" s="606"/>
      <c r="V2" s="606"/>
      <c r="W2" s="606"/>
      <c r="X2" s="607"/>
      <c r="Y2" s="608" t="s">
        <v>199</v>
      </c>
      <c r="Z2" s="608"/>
      <c r="AA2" s="608"/>
      <c r="AB2" s="608"/>
      <c r="AC2" s="608"/>
      <c r="AD2" s="608"/>
      <c r="AE2" s="608"/>
      <c r="AF2" s="608"/>
      <c r="AG2" s="608"/>
      <c r="AH2" s="608"/>
      <c r="AI2" s="608"/>
      <c r="AJ2" s="13"/>
      <c r="AL2" s="28"/>
      <c r="AM2" s="13"/>
      <c r="AO2" s="28"/>
      <c r="AP2" s="13"/>
      <c r="AQ2" s="29"/>
      <c r="AR2" s="30"/>
      <c r="AS2" s="31"/>
      <c r="AT2" s="32"/>
    </row>
    <row r="3" spans="1:46" x14ac:dyDescent="0.2">
      <c r="A3" s="604"/>
      <c r="B3" s="604"/>
      <c r="C3" s="80" t="s">
        <v>33</v>
      </c>
      <c r="D3" s="80" t="s">
        <v>34</v>
      </c>
      <c r="E3" s="80" t="s">
        <v>35</v>
      </c>
      <c r="F3" s="80" t="s">
        <v>36</v>
      </c>
      <c r="G3" s="80" t="s">
        <v>37</v>
      </c>
      <c r="H3" s="80" t="s">
        <v>38</v>
      </c>
      <c r="I3" s="80" t="s">
        <v>39</v>
      </c>
      <c r="J3" s="80" t="s">
        <v>40</v>
      </c>
      <c r="K3" s="80" t="s">
        <v>41</v>
      </c>
      <c r="L3" s="80" t="s">
        <v>292</v>
      </c>
      <c r="M3" s="80" t="s">
        <v>399</v>
      </c>
      <c r="N3" s="80" t="s">
        <v>33</v>
      </c>
      <c r="O3" s="80" t="s">
        <v>34</v>
      </c>
      <c r="P3" s="80" t="s">
        <v>35</v>
      </c>
      <c r="Q3" s="80" t="s">
        <v>36</v>
      </c>
      <c r="R3" s="80" t="s">
        <v>37</v>
      </c>
      <c r="S3" s="80" t="s">
        <v>38</v>
      </c>
      <c r="T3" s="81" t="s">
        <v>39</v>
      </c>
      <c r="U3" s="80" t="s">
        <v>40</v>
      </c>
      <c r="V3" s="80" t="s">
        <v>41</v>
      </c>
      <c r="W3" s="80" t="s">
        <v>292</v>
      </c>
      <c r="X3" s="80" t="s">
        <v>399</v>
      </c>
      <c r="Y3" s="453" t="s">
        <v>33</v>
      </c>
      <c r="Z3" s="453" t="s">
        <v>34</v>
      </c>
      <c r="AA3" s="454" t="s">
        <v>35</v>
      </c>
      <c r="AB3" s="454" t="s">
        <v>36</v>
      </c>
      <c r="AC3" s="454" t="s">
        <v>37</v>
      </c>
      <c r="AD3" s="454" t="s">
        <v>38</v>
      </c>
      <c r="AE3" s="455" t="s">
        <v>39</v>
      </c>
      <c r="AF3" s="455" t="s">
        <v>40</v>
      </c>
      <c r="AG3" s="455" t="s">
        <v>41</v>
      </c>
      <c r="AH3" s="456" t="s">
        <v>292</v>
      </c>
      <c r="AI3" s="80" t="s">
        <v>399</v>
      </c>
      <c r="AJ3" s="13"/>
      <c r="AL3" s="28"/>
      <c r="AM3" s="13"/>
      <c r="AO3" s="28"/>
      <c r="AP3" s="13"/>
      <c r="AQ3" s="29"/>
      <c r="AR3" s="30"/>
      <c r="AS3" s="31"/>
      <c r="AT3" s="32"/>
    </row>
    <row r="4" spans="1:46" x14ac:dyDescent="0.2">
      <c r="A4" s="593">
        <v>1</v>
      </c>
      <c r="B4" s="595" t="s">
        <v>50</v>
      </c>
      <c r="C4" s="317">
        <v>6562</v>
      </c>
      <c r="D4" s="317">
        <v>4762</v>
      </c>
      <c r="E4" s="317">
        <v>4298</v>
      </c>
      <c r="F4" s="317">
        <v>4276</v>
      </c>
      <c r="G4" s="317">
        <v>3326</v>
      </c>
      <c r="H4" s="317">
        <v>2862</v>
      </c>
      <c r="I4" s="317">
        <v>2383</v>
      </c>
      <c r="J4" s="317">
        <v>4936</v>
      </c>
      <c r="K4" s="318">
        <v>4944</v>
      </c>
      <c r="L4" s="314">
        <v>5727</v>
      </c>
      <c r="M4" s="314">
        <v>5216</v>
      </c>
      <c r="N4" s="317">
        <v>6934791</v>
      </c>
      <c r="O4" s="317">
        <v>2701637</v>
      </c>
      <c r="P4" s="317">
        <v>2166475</v>
      </c>
      <c r="Q4" s="317">
        <v>1688791</v>
      </c>
      <c r="R4" s="317">
        <v>5582520</v>
      </c>
      <c r="S4" s="317">
        <v>1018113</v>
      </c>
      <c r="T4" s="319">
        <v>1156450</v>
      </c>
      <c r="U4" s="319">
        <v>1938929</v>
      </c>
      <c r="V4" s="318">
        <v>1974799</v>
      </c>
      <c r="W4" s="314">
        <v>2806484</v>
      </c>
      <c r="X4" s="314">
        <v>3573235</v>
      </c>
      <c r="Y4" s="320" t="s">
        <v>204</v>
      </c>
      <c r="Z4" s="317">
        <v>1359.32</v>
      </c>
      <c r="AA4" s="321">
        <v>1518.46898954068</v>
      </c>
      <c r="AB4" s="321">
        <v>997.4</v>
      </c>
      <c r="AC4" s="321">
        <v>2217.4289617269819</v>
      </c>
      <c r="AD4" s="321">
        <v>2314.1999999999998</v>
      </c>
      <c r="AE4" s="321">
        <v>3407.4514452164385</v>
      </c>
      <c r="AF4" s="321">
        <v>4637.6926061860277</v>
      </c>
      <c r="AG4" s="322">
        <v>6995.905178997139</v>
      </c>
      <c r="AH4" s="314">
        <v>9456.7889828000007</v>
      </c>
      <c r="AI4" s="322">
        <v>4334.5913868999996</v>
      </c>
      <c r="AJ4" s="13"/>
      <c r="AL4" s="28"/>
      <c r="AM4" s="13"/>
      <c r="AO4" s="28"/>
      <c r="AP4" s="13"/>
      <c r="AQ4" s="29"/>
      <c r="AR4" s="30"/>
      <c r="AS4" s="31"/>
      <c r="AT4" s="32"/>
    </row>
    <row r="5" spans="1:46" x14ac:dyDescent="0.2">
      <c r="A5" s="594"/>
      <c r="B5" s="596"/>
      <c r="C5" s="323">
        <v>-16.8</v>
      </c>
      <c r="D5" s="323">
        <v>-13.27</v>
      </c>
      <c r="E5" s="323">
        <v>-12.137128656952401</v>
      </c>
      <c r="F5" s="323">
        <v>-12.34</v>
      </c>
      <c r="G5" s="323">
        <v>-9.09</v>
      </c>
      <c r="H5" s="323">
        <v>-7.76</v>
      </c>
      <c r="I5" s="323">
        <v>-6.08</v>
      </c>
      <c r="J5" s="323">
        <v>-12.1212121212121</v>
      </c>
      <c r="K5" s="315">
        <v>0.11675246776555047</v>
      </c>
      <c r="L5" s="315">
        <v>0.12542706964520367</v>
      </c>
      <c r="M5" s="315">
        <v>0.11275156179070923</v>
      </c>
      <c r="N5" s="323">
        <v>-5.64</v>
      </c>
      <c r="O5" s="324">
        <v>-1.57</v>
      </c>
      <c r="P5" s="324">
        <v>-1.2046594239767601</v>
      </c>
      <c r="Q5" s="324">
        <v>-0.9</v>
      </c>
      <c r="R5" s="324">
        <v>-2.48</v>
      </c>
      <c r="S5" s="324">
        <v>-0.45</v>
      </c>
      <c r="T5" s="324">
        <v>-0.64</v>
      </c>
      <c r="U5" s="324">
        <v>-0.89875489567029698</v>
      </c>
      <c r="V5" s="315">
        <v>7.3994191348123999E-3</v>
      </c>
      <c r="W5" s="315">
        <v>9.3521094237097018E-3</v>
      </c>
      <c r="X5" s="315">
        <v>1.4116158658554251E-2</v>
      </c>
      <c r="Y5" s="320" t="s">
        <v>205</v>
      </c>
      <c r="Z5" s="324">
        <v>-1.69</v>
      </c>
      <c r="AA5" s="324">
        <v>-1.55976789283535</v>
      </c>
      <c r="AB5" s="324">
        <v>-0.98</v>
      </c>
      <c r="AC5" s="324">
        <v>-1.9</v>
      </c>
      <c r="AD5" s="324">
        <v>-1.47</v>
      </c>
      <c r="AE5" s="324">
        <v>-2.0699999999999998</v>
      </c>
      <c r="AF5" s="324">
        <v>-2.4537900584903598</v>
      </c>
      <c r="AG5" s="315">
        <v>3.0952495997230971E-2</v>
      </c>
      <c r="AH5" s="315">
        <v>4.1511309378321017E-2</v>
      </c>
      <c r="AI5" s="322">
        <v>1.8749527225033886E-2</v>
      </c>
      <c r="AJ5" s="13"/>
      <c r="AL5" s="28"/>
      <c r="AM5" s="13"/>
      <c r="AO5" s="28"/>
      <c r="AP5" s="13"/>
      <c r="AQ5" s="29"/>
      <c r="AR5" s="30"/>
      <c r="AS5" s="31"/>
      <c r="AT5" s="32"/>
    </row>
    <row r="6" spans="1:46" x14ac:dyDescent="0.2">
      <c r="A6" s="593">
        <v>2</v>
      </c>
      <c r="B6" s="595" t="s">
        <v>186</v>
      </c>
      <c r="C6" s="317">
        <v>399</v>
      </c>
      <c r="D6" s="317">
        <v>300</v>
      </c>
      <c r="E6" s="317">
        <v>331</v>
      </c>
      <c r="F6" s="317">
        <v>486</v>
      </c>
      <c r="G6" s="317">
        <v>591</v>
      </c>
      <c r="H6" s="317">
        <v>678</v>
      </c>
      <c r="I6" s="317">
        <v>676</v>
      </c>
      <c r="J6" s="317">
        <v>675</v>
      </c>
      <c r="K6" s="318">
        <v>593</v>
      </c>
      <c r="L6" s="314">
        <v>868</v>
      </c>
      <c r="M6" s="314">
        <v>1174</v>
      </c>
      <c r="N6" s="317">
        <v>4485704</v>
      </c>
      <c r="O6" s="325">
        <v>5801924</v>
      </c>
      <c r="P6" s="325">
        <v>2897265</v>
      </c>
      <c r="Q6" s="325">
        <v>16389881</v>
      </c>
      <c r="R6" s="325">
        <v>42114753</v>
      </c>
      <c r="S6" s="325">
        <v>58668475</v>
      </c>
      <c r="T6" s="326">
        <v>46706320</v>
      </c>
      <c r="U6" s="326">
        <v>58111821</v>
      </c>
      <c r="V6" s="318">
        <v>47796095</v>
      </c>
      <c r="W6" s="314">
        <v>66228273</v>
      </c>
      <c r="X6" s="314">
        <v>64760209</v>
      </c>
      <c r="Y6" s="320" t="s">
        <v>206</v>
      </c>
      <c r="Z6" s="317">
        <v>1361.9</v>
      </c>
      <c r="AA6" s="324">
        <v>1798.9411819890315</v>
      </c>
      <c r="AB6" s="324">
        <v>2394.6799999999998</v>
      </c>
      <c r="AC6" s="321">
        <v>4940.6517948252276</v>
      </c>
      <c r="AD6" s="321">
        <v>6920.84</v>
      </c>
      <c r="AE6" s="321">
        <v>8068.7915500383924</v>
      </c>
      <c r="AF6" s="321">
        <v>11196.333454486205</v>
      </c>
      <c r="AG6" s="322">
        <v>17286.790330729731</v>
      </c>
      <c r="AH6" s="314">
        <v>17123.872319994811</v>
      </c>
      <c r="AI6" s="322">
        <v>14403.148516419871</v>
      </c>
      <c r="AJ6" s="13"/>
      <c r="AL6" s="28"/>
      <c r="AM6" s="13"/>
      <c r="AO6" s="28"/>
      <c r="AP6" s="13"/>
      <c r="AQ6" s="29"/>
      <c r="AR6" s="30"/>
      <c r="AS6" s="31"/>
      <c r="AT6" s="32"/>
    </row>
    <row r="7" spans="1:46" x14ac:dyDescent="0.2">
      <c r="A7" s="594"/>
      <c r="B7" s="596"/>
      <c r="C7" s="323">
        <v>-1.02</v>
      </c>
      <c r="D7" s="327">
        <v>-0.84</v>
      </c>
      <c r="E7" s="327">
        <v>-0.93471139726646302</v>
      </c>
      <c r="F7" s="327">
        <v>-1.4</v>
      </c>
      <c r="G7" s="327">
        <v>-1.61</v>
      </c>
      <c r="H7" s="327">
        <v>-1.84</v>
      </c>
      <c r="I7" s="327">
        <v>-1.72</v>
      </c>
      <c r="J7" s="327">
        <v>-1.6575806689258901</v>
      </c>
      <c r="K7" s="315">
        <v>1.400368393708969E-2</v>
      </c>
      <c r="L7" s="315">
        <v>1.9010074463425317E-2</v>
      </c>
      <c r="M7" s="315">
        <v>2.5377747995071441E-2</v>
      </c>
      <c r="N7" s="323">
        <v>-3.65</v>
      </c>
      <c r="O7" s="324">
        <v>-3.37</v>
      </c>
      <c r="P7" s="324">
        <v>-1.6110121676954601</v>
      </c>
      <c r="Q7" s="324">
        <v>-8.6999999999999993</v>
      </c>
      <c r="R7" s="324">
        <v>-18.75</v>
      </c>
      <c r="S7" s="324">
        <v>-25.75</v>
      </c>
      <c r="T7" s="324">
        <v>-25.98</v>
      </c>
      <c r="U7" s="324">
        <v>-26.936666386477299</v>
      </c>
      <c r="V7" s="315">
        <v>0.17908827172401409</v>
      </c>
      <c r="W7" s="315">
        <v>0.22069395586766888</v>
      </c>
      <c r="X7" s="315">
        <v>0.255836905494638</v>
      </c>
      <c r="Y7" s="320" t="s">
        <v>207</v>
      </c>
      <c r="Z7" s="324">
        <v>-1.69</v>
      </c>
      <c r="AA7" s="324">
        <v>-1.8478682910834701</v>
      </c>
      <c r="AB7" s="324">
        <v>-2.35</v>
      </c>
      <c r="AC7" s="324">
        <v>-4.22</v>
      </c>
      <c r="AD7" s="324">
        <v>-4.4000000000000004</v>
      </c>
      <c r="AE7" s="324">
        <v>-4.91</v>
      </c>
      <c r="AF7" s="324">
        <v>-5.9239484060490701</v>
      </c>
      <c r="AG7" s="315">
        <v>7.6483213369336306E-2</v>
      </c>
      <c r="AH7" s="315">
        <v>7.5166566888934194E-2</v>
      </c>
      <c r="AI7" s="322">
        <v>6.230165686458302E-2</v>
      </c>
      <c r="AJ7" s="13"/>
      <c r="AL7" s="28"/>
      <c r="AM7" s="13"/>
      <c r="AO7" s="28"/>
      <c r="AP7" s="13"/>
      <c r="AQ7" s="29"/>
      <c r="AR7" s="30"/>
      <c r="AS7" s="31"/>
      <c r="AT7" s="32"/>
    </row>
    <row r="8" spans="1:46" x14ac:dyDescent="0.2">
      <c r="A8" s="593">
        <v>3</v>
      </c>
      <c r="B8" s="595" t="s">
        <v>171</v>
      </c>
      <c r="C8" s="317">
        <v>56</v>
      </c>
      <c r="D8" s="317">
        <v>109</v>
      </c>
      <c r="E8" s="317">
        <v>89</v>
      </c>
      <c r="F8" s="317">
        <v>172</v>
      </c>
      <c r="G8" s="317">
        <v>121</v>
      </c>
      <c r="H8" s="317">
        <v>168</v>
      </c>
      <c r="I8" s="317">
        <v>151</v>
      </c>
      <c r="J8" s="317">
        <v>448</v>
      </c>
      <c r="K8" s="318">
        <v>714</v>
      </c>
      <c r="L8" s="314">
        <v>1038</v>
      </c>
      <c r="M8" s="314">
        <v>1529</v>
      </c>
      <c r="N8" s="317">
        <v>34022937</v>
      </c>
      <c r="O8" s="317">
        <v>28555202</v>
      </c>
      <c r="P8" s="317">
        <v>6693771</v>
      </c>
      <c r="Q8" s="317">
        <v>10539110</v>
      </c>
      <c r="R8" s="317">
        <v>12669516</v>
      </c>
      <c r="S8" s="317">
        <v>12876293</v>
      </c>
      <c r="T8" s="326">
        <v>8881356</v>
      </c>
      <c r="U8" s="326">
        <v>13435729</v>
      </c>
      <c r="V8" s="318">
        <v>42177485</v>
      </c>
      <c r="W8" s="314">
        <v>44921328</v>
      </c>
      <c r="X8" s="314">
        <v>50755796</v>
      </c>
      <c r="Y8" s="320" t="s">
        <v>208</v>
      </c>
      <c r="Z8" s="317">
        <v>772.46</v>
      </c>
      <c r="AA8" s="324">
        <v>324.19010034232747</v>
      </c>
      <c r="AB8" s="324">
        <v>1338.57</v>
      </c>
      <c r="AC8" s="321">
        <v>2388.4328415989567</v>
      </c>
      <c r="AD8" s="321">
        <v>2337.1999999999998</v>
      </c>
      <c r="AE8" s="321">
        <v>1855.7847141661853</v>
      </c>
      <c r="AF8" s="321">
        <v>2692.8709230790046</v>
      </c>
      <c r="AG8" s="322">
        <v>6303.8851888000036</v>
      </c>
      <c r="AH8" s="314">
        <v>7422.7394922258427</v>
      </c>
      <c r="AI8" s="322">
        <v>11592.175312293881</v>
      </c>
      <c r="AJ8" s="13"/>
      <c r="AL8" s="28"/>
      <c r="AM8" s="13"/>
      <c r="AO8" s="28"/>
      <c r="AP8" s="13"/>
      <c r="AQ8" s="29"/>
      <c r="AR8" s="30"/>
      <c r="AS8" s="31"/>
      <c r="AT8" s="32"/>
    </row>
    <row r="9" spans="1:46" x14ac:dyDescent="0.2">
      <c r="A9" s="594"/>
      <c r="B9" s="596"/>
      <c r="C9" s="323">
        <v>-0.14000000000000001</v>
      </c>
      <c r="D9" s="323">
        <v>-0.3</v>
      </c>
      <c r="E9" s="323">
        <v>-0.251327233706088</v>
      </c>
      <c r="F9" s="323">
        <v>-0.5</v>
      </c>
      <c r="G9" s="323">
        <v>-0.33</v>
      </c>
      <c r="H9" s="323">
        <v>-0.46</v>
      </c>
      <c r="I9" s="323">
        <v>-0.39</v>
      </c>
      <c r="J9" s="323">
        <v>-1.10014242915377</v>
      </c>
      <c r="K9" s="315">
        <v>1.6861096679733623E-2</v>
      </c>
      <c r="L9" s="315">
        <v>2.2733245729303547E-2</v>
      </c>
      <c r="M9" s="315">
        <v>3.3051598538725926E-2</v>
      </c>
      <c r="N9" s="323">
        <v>-27.69</v>
      </c>
      <c r="O9" s="323">
        <v>-16.600000000000001</v>
      </c>
      <c r="P9" s="323">
        <v>-3.72204355789582</v>
      </c>
      <c r="Q9" s="323">
        <v>-5.59</v>
      </c>
      <c r="R9" s="323">
        <v>-5.64</v>
      </c>
      <c r="S9" s="323">
        <v>-5.65</v>
      </c>
      <c r="T9" s="324">
        <v>-4.9400000000000004</v>
      </c>
      <c r="U9" s="324">
        <v>-6.2278851962342996</v>
      </c>
      <c r="V9" s="315">
        <v>0.15803577456098722</v>
      </c>
      <c r="W9" s="315">
        <v>0.14969234633596859</v>
      </c>
      <c r="X9" s="315">
        <v>0.20051210434724087</v>
      </c>
      <c r="Y9" s="320" t="s">
        <v>153</v>
      </c>
      <c r="Z9" s="324">
        <v>-0.96</v>
      </c>
      <c r="AA9" s="324">
        <v>-0.33300733381587999</v>
      </c>
      <c r="AB9" s="324">
        <v>-1.31</v>
      </c>
      <c r="AC9" s="324">
        <v>-2.04</v>
      </c>
      <c r="AD9" s="324">
        <v>-1.49</v>
      </c>
      <c r="AE9" s="324">
        <v>-1.1299999999999999</v>
      </c>
      <c r="AF9" s="324">
        <v>-1.42479039922466</v>
      </c>
      <c r="AG9" s="315">
        <v>2.7890741238048949E-2</v>
      </c>
      <c r="AH9" s="315">
        <v>3.2582691234507889E-2</v>
      </c>
      <c r="AI9" s="322">
        <v>5.0142628731300549E-2</v>
      </c>
      <c r="AJ9" s="13"/>
      <c r="AL9" s="28"/>
      <c r="AM9" s="13"/>
      <c r="AO9" s="28"/>
      <c r="AP9" s="13"/>
      <c r="AQ9" s="29"/>
      <c r="AR9" s="30"/>
      <c r="AS9" s="31"/>
      <c r="AT9" s="32"/>
    </row>
    <row r="10" spans="1:46" x14ac:dyDescent="0.2">
      <c r="A10" s="593">
        <v>4</v>
      </c>
      <c r="B10" s="595" t="s">
        <v>49</v>
      </c>
      <c r="C10" s="317">
        <v>1943</v>
      </c>
      <c r="D10" s="317">
        <v>1976</v>
      </c>
      <c r="E10" s="317">
        <v>2462</v>
      </c>
      <c r="F10" s="317">
        <v>2314</v>
      </c>
      <c r="G10" s="317">
        <v>2573</v>
      </c>
      <c r="H10" s="317">
        <v>2455</v>
      </c>
      <c r="I10" s="317">
        <v>2953</v>
      </c>
      <c r="J10" s="317">
        <v>2274</v>
      </c>
      <c r="K10" s="318">
        <v>4411</v>
      </c>
      <c r="L10" s="314">
        <v>5061</v>
      </c>
      <c r="M10" s="314">
        <v>9634</v>
      </c>
      <c r="N10" s="317">
        <v>5537280</v>
      </c>
      <c r="O10" s="317">
        <v>8516066</v>
      </c>
      <c r="P10" s="317">
        <v>13908119</v>
      </c>
      <c r="Q10" s="317">
        <v>17265524</v>
      </c>
      <c r="R10" s="317">
        <v>21155144</v>
      </c>
      <c r="S10" s="317">
        <v>17280159</v>
      </c>
      <c r="T10" s="326">
        <v>13790601</v>
      </c>
      <c r="U10" s="326">
        <v>14662522</v>
      </c>
      <c r="V10" s="318">
        <v>21886885</v>
      </c>
      <c r="W10" s="314">
        <v>44956315</v>
      </c>
      <c r="X10" s="314">
        <v>37792508</v>
      </c>
      <c r="Y10" s="320" t="s">
        <v>209</v>
      </c>
      <c r="Z10" s="317">
        <v>507.47</v>
      </c>
      <c r="AA10" s="324">
        <v>785.82455235833595</v>
      </c>
      <c r="AB10" s="324">
        <v>948.12</v>
      </c>
      <c r="AC10" s="321">
        <v>1112.7337600304816</v>
      </c>
      <c r="AD10" s="321">
        <v>1158.58</v>
      </c>
      <c r="AE10" s="321">
        <v>1492.0942863396922</v>
      </c>
      <c r="AF10" s="321">
        <v>2227.8627800946215</v>
      </c>
      <c r="AG10" s="322">
        <v>3763.8143695555218</v>
      </c>
      <c r="AH10" s="314">
        <v>4892.6925633925812</v>
      </c>
      <c r="AI10" s="322">
        <v>5260.5310713340441</v>
      </c>
      <c r="AJ10" s="13"/>
      <c r="AL10" s="28"/>
      <c r="AM10" s="13"/>
      <c r="AO10" s="28"/>
      <c r="AP10" s="13"/>
      <c r="AQ10" s="29"/>
      <c r="AR10" s="30"/>
      <c r="AS10" s="31"/>
      <c r="AT10" s="32"/>
    </row>
    <row r="11" spans="1:46" x14ac:dyDescent="0.2">
      <c r="A11" s="594"/>
      <c r="B11" s="596"/>
      <c r="C11" s="323">
        <v>-4.97</v>
      </c>
      <c r="D11" s="323">
        <v>-5.51</v>
      </c>
      <c r="E11" s="323">
        <v>-6.9524454987010103</v>
      </c>
      <c r="F11" s="323">
        <v>-6.68</v>
      </c>
      <c r="G11" s="323">
        <v>-7.03</v>
      </c>
      <c r="H11" s="323">
        <v>-6.66</v>
      </c>
      <c r="I11" s="323">
        <v>-7.53</v>
      </c>
      <c r="J11" s="323">
        <v>-5.5842050979814397</v>
      </c>
      <c r="K11" s="315">
        <v>0.10416568270911065</v>
      </c>
      <c r="L11" s="315">
        <v>0.11084099868593955</v>
      </c>
      <c r="M11" s="315">
        <v>0.20825317221849937</v>
      </c>
      <c r="N11" s="323">
        <v>-4.51</v>
      </c>
      <c r="O11" s="323">
        <v>-4.95</v>
      </c>
      <c r="P11" s="323">
        <v>-7.7335517941080596</v>
      </c>
      <c r="Q11" s="323">
        <v>-9.16</v>
      </c>
      <c r="R11" s="323">
        <v>-9.42</v>
      </c>
      <c r="S11" s="323">
        <v>-7.58</v>
      </c>
      <c r="T11" s="324">
        <v>-7.67</v>
      </c>
      <c r="U11" s="324">
        <v>-6.7965425399142703</v>
      </c>
      <c r="V11" s="315">
        <v>8.2008465504812639E-2</v>
      </c>
      <c r="W11" s="315">
        <v>0.14980893429884576</v>
      </c>
      <c r="X11" s="315">
        <v>0.14930029484002053</v>
      </c>
      <c r="Y11" s="320" t="s">
        <v>210</v>
      </c>
      <c r="Z11" s="324">
        <v>-0.63</v>
      </c>
      <c r="AA11" s="324">
        <v>-0.80719719310238303</v>
      </c>
      <c r="AB11" s="324">
        <v>-0.93</v>
      </c>
      <c r="AC11" s="324">
        <v>-0.95</v>
      </c>
      <c r="AD11" s="324">
        <v>-0.74</v>
      </c>
      <c r="AE11" s="324">
        <v>-0.91</v>
      </c>
      <c r="AF11" s="324">
        <v>-1.1787559042151801</v>
      </c>
      <c r="AG11" s="315">
        <v>1.6652519756519608E-2</v>
      </c>
      <c r="AH11" s="315">
        <v>2.147685383076664E-2</v>
      </c>
      <c r="AI11" s="322">
        <v>2.275473320004311E-2</v>
      </c>
      <c r="AJ11" s="13"/>
      <c r="AL11" s="28"/>
      <c r="AM11" s="13"/>
      <c r="AO11" s="28"/>
      <c r="AP11" s="13"/>
      <c r="AQ11" s="29"/>
      <c r="AR11" s="30"/>
      <c r="AS11" s="31"/>
      <c r="AT11" s="32"/>
    </row>
    <row r="12" spans="1:46" x14ac:dyDescent="0.2">
      <c r="A12" s="593">
        <v>5</v>
      </c>
      <c r="B12" s="595" t="s">
        <v>147</v>
      </c>
      <c r="C12" s="317">
        <v>30075</v>
      </c>
      <c r="D12" s="317">
        <v>28727</v>
      </c>
      <c r="E12" s="317">
        <v>28226</v>
      </c>
      <c r="F12" s="317">
        <v>27359</v>
      </c>
      <c r="G12" s="317">
        <v>29904</v>
      </c>
      <c r="H12" s="317">
        <v>30611</v>
      </c>
      <c r="I12" s="317">
        <v>32980</v>
      </c>
      <c r="J12" s="317">
        <v>32366</v>
      </c>
      <c r="K12" s="318">
        <v>31661</v>
      </c>
      <c r="L12" s="314">
        <v>32933</v>
      </c>
      <c r="M12" s="314">
        <v>28671</v>
      </c>
      <c r="N12" s="317">
        <v>71855360</v>
      </c>
      <c r="O12" s="317">
        <v>126458056</v>
      </c>
      <c r="P12" s="317">
        <v>154064625</v>
      </c>
      <c r="Q12" s="317">
        <v>140825037</v>
      </c>
      <c r="R12" s="317">
        <v>138443787</v>
      </c>
      <c r="S12" s="317">
        <v>131383377</v>
      </c>
      <c r="T12" s="326">
        <v>104097299</v>
      </c>
      <c r="U12" s="326">
        <v>121510594</v>
      </c>
      <c r="V12" s="318">
        <v>144154205</v>
      </c>
      <c r="W12" s="314">
        <v>133470161</v>
      </c>
      <c r="X12" s="314">
        <v>93185000</v>
      </c>
      <c r="Y12" s="320" t="s">
        <v>211</v>
      </c>
      <c r="Z12" s="317">
        <v>76426.899999999994</v>
      </c>
      <c r="AA12" s="324">
        <v>92922.560005534964</v>
      </c>
      <c r="AB12" s="324">
        <v>96085.61</v>
      </c>
      <c r="AC12" s="321">
        <v>106205.60173495175</v>
      </c>
      <c r="AD12" s="321">
        <v>144416.95000000001</v>
      </c>
      <c r="AE12" s="321">
        <v>149429.71431184225</v>
      </c>
      <c r="AF12" s="321">
        <v>167930.45452666617</v>
      </c>
      <c r="AG12" s="322">
        <v>191109.0452799105</v>
      </c>
      <c r="AH12" s="314">
        <v>188412.13791440721</v>
      </c>
      <c r="AI12" s="322">
        <v>195394.29708625545</v>
      </c>
      <c r="AJ12" s="13"/>
      <c r="AL12" s="28"/>
      <c r="AM12" s="13"/>
      <c r="AO12" s="28"/>
      <c r="AP12" s="13"/>
      <c r="AQ12" s="29"/>
      <c r="AR12" s="30"/>
      <c r="AS12" s="31"/>
      <c r="AT12" s="32"/>
    </row>
    <row r="13" spans="1:46" x14ac:dyDescent="0.2">
      <c r="A13" s="594"/>
      <c r="B13" s="596"/>
      <c r="C13" s="323">
        <v>-76.98</v>
      </c>
      <c r="D13" s="323">
        <v>-80.08</v>
      </c>
      <c r="E13" s="323">
        <v>-79.707443804360096</v>
      </c>
      <c r="F13" s="323">
        <v>-78.98</v>
      </c>
      <c r="G13" s="323">
        <v>-81.709999999999994</v>
      </c>
      <c r="H13" s="323">
        <v>-83.05</v>
      </c>
      <c r="I13" s="323">
        <v>-84.12</v>
      </c>
      <c r="J13" s="323">
        <v>-79.4803791562301</v>
      </c>
      <c r="K13" s="315">
        <v>0.74767392433759983</v>
      </c>
      <c r="L13" s="315">
        <v>0.72126587823039856</v>
      </c>
      <c r="M13" s="315">
        <v>0.61976610968202162</v>
      </c>
      <c r="N13" s="323">
        <v>-58.48</v>
      </c>
      <c r="O13" s="323">
        <v>-73.510000000000005</v>
      </c>
      <c r="P13" s="323">
        <v>-85.666994730008795</v>
      </c>
      <c r="Q13" s="323">
        <v>-74.73</v>
      </c>
      <c r="R13" s="323">
        <v>-61.63</v>
      </c>
      <c r="S13" s="323">
        <v>-57.66</v>
      </c>
      <c r="T13" s="324">
        <v>-57.91</v>
      </c>
      <c r="U13" s="324">
        <v>-56.3240021853847</v>
      </c>
      <c r="V13" s="315">
        <v>0.54013465818074113</v>
      </c>
      <c r="W13" s="315">
        <v>0.44476560367782286</v>
      </c>
      <c r="X13" s="315">
        <v>0.36812978844027272</v>
      </c>
      <c r="Y13" s="320" t="s">
        <v>212</v>
      </c>
      <c r="Z13" s="324">
        <v>-95.03</v>
      </c>
      <c r="AA13" s="324">
        <v>-95.449842318177502</v>
      </c>
      <c r="AB13" s="324">
        <v>-94.38</v>
      </c>
      <c r="AC13" s="324">
        <v>-90.78</v>
      </c>
      <c r="AD13" s="324">
        <v>-91.76</v>
      </c>
      <c r="AE13" s="324">
        <v>-90.86</v>
      </c>
      <c r="AF13" s="324">
        <v>-88.851529160355099</v>
      </c>
      <c r="AG13" s="315">
        <v>0.84553775497412031</v>
      </c>
      <c r="AH13" s="315">
        <v>0.8270497059647941</v>
      </c>
      <c r="AI13" s="322">
        <v>0.8451893998375688</v>
      </c>
      <c r="AJ13" s="13"/>
      <c r="AL13" s="28"/>
      <c r="AM13" s="13"/>
      <c r="AO13" s="28"/>
      <c r="AP13" s="13"/>
      <c r="AQ13" s="29"/>
      <c r="AR13" s="30"/>
      <c r="AS13" s="31"/>
      <c r="AT13" s="32"/>
    </row>
    <row r="14" spans="1:46" x14ac:dyDescent="0.2">
      <c r="A14" s="593">
        <v>6</v>
      </c>
      <c r="B14" s="595" t="s">
        <v>135</v>
      </c>
      <c r="C14" s="328">
        <v>34</v>
      </c>
      <c r="D14" s="328">
        <v>1</v>
      </c>
      <c r="E14" s="328">
        <v>6</v>
      </c>
      <c r="F14" s="328">
        <v>34</v>
      </c>
      <c r="G14" s="328">
        <v>80</v>
      </c>
      <c r="H14" s="328">
        <v>78</v>
      </c>
      <c r="I14" s="328">
        <v>48</v>
      </c>
      <c r="J14" s="328">
        <v>17</v>
      </c>
      <c r="K14" s="318">
        <v>21</v>
      </c>
      <c r="L14" s="314">
        <v>28</v>
      </c>
      <c r="M14" s="314">
        <v>14</v>
      </c>
      <c r="N14" s="326">
        <v>25301</v>
      </c>
      <c r="O14" s="326">
        <v>839</v>
      </c>
      <c r="P14" s="326">
        <v>111031</v>
      </c>
      <c r="Q14" s="326">
        <v>1736894</v>
      </c>
      <c r="R14" s="326">
        <v>4687265</v>
      </c>
      <c r="S14" s="326">
        <v>6624214</v>
      </c>
      <c r="T14" s="326">
        <v>5123026</v>
      </c>
      <c r="U14" s="326">
        <v>6063842</v>
      </c>
      <c r="V14" s="318">
        <v>8892623</v>
      </c>
      <c r="W14" s="314">
        <v>7701523</v>
      </c>
      <c r="X14" s="314">
        <v>2910195</v>
      </c>
      <c r="Y14" s="320" t="s">
        <v>213</v>
      </c>
      <c r="Z14" s="317">
        <v>0.01</v>
      </c>
      <c r="AA14" s="324">
        <v>2.2556231649999998</v>
      </c>
      <c r="AB14" s="324">
        <v>34.31</v>
      </c>
      <c r="AC14" s="321">
        <v>124.37493261199808</v>
      </c>
      <c r="AD14" s="321">
        <v>236.16</v>
      </c>
      <c r="AE14" s="321">
        <v>200.58394752600009</v>
      </c>
      <c r="AF14" s="321">
        <v>313.99795044099858</v>
      </c>
      <c r="AG14" s="322">
        <v>560.74530558099843</v>
      </c>
      <c r="AH14" s="314">
        <v>503.5446750440002</v>
      </c>
      <c r="AI14" s="322">
        <v>171.9161137750088</v>
      </c>
      <c r="AJ14" s="13"/>
      <c r="AL14" s="28"/>
      <c r="AM14" s="13"/>
      <c r="AO14" s="28"/>
      <c r="AP14" s="13"/>
      <c r="AQ14" s="29"/>
      <c r="AR14" s="30"/>
      <c r="AS14" s="31"/>
      <c r="AT14" s="32"/>
    </row>
    <row r="15" spans="1:46" x14ac:dyDescent="0.2">
      <c r="A15" s="594"/>
      <c r="B15" s="596"/>
      <c r="C15" s="327">
        <v>-0.09</v>
      </c>
      <c r="D15" s="329" t="s">
        <v>74</v>
      </c>
      <c r="E15" s="327">
        <v>-1.6943409013893601E-2</v>
      </c>
      <c r="F15" s="327">
        <v>-0.1</v>
      </c>
      <c r="G15" s="327">
        <v>-0.22</v>
      </c>
      <c r="H15" s="327">
        <v>-0.21</v>
      </c>
      <c r="I15" s="327">
        <v>-0.12</v>
      </c>
      <c r="J15" s="327">
        <v>-4.1746476106281599E-2</v>
      </c>
      <c r="K15" s="315">
        <v>4.9591460822745947E-4</v>
      </c>
      <c r="L15" s="315">
        <v>6.1322820849759089E-4</v>
      </c>
      <c r="M15" s="315">
        <v>3.0263072566524721E-4</v>
      </c>
      <c r="N15" s="323">
        <v>-0.02</v>
      </c>
      <c r="O15" s="329" t="s">
        <v>74</v>
      </c>
      <c r="P15" s="327">
        <v>-6.1738326315126602E-2</v>
      </c>
      <c r="Q15" s="327">
        <v>-0.92</v>
      </c>
      <c r="R15" s="327">
        <v>-2.09</v>
      </c>
      <c r="S15" s="327">
        <v>-2.91</v>
      </c>
      <c r="T15" s="324">
        <v>-2.85</v>
      </c>
      <c r="U15" s="324">
        <v>-2.8107824907828798</v>
      </c>
      <c r="V15" s="315">
        <v>3.3319970683027916E-2</v>
      </c>
      <c r="W15" s="315">
        <v>2.5663957401936735E-2</v>
      </c>
      <c r="X15" s="315">
        <v>1.149680173493523E-2</v>
      </c>
      <c r="Y15" s="320" t="s">
        <v>74</v>
      </c>
      <c r="Z15" s="329" t="s">
        <v>74</v>
      </c>
      <c r="AA15" s="324">
        <v>-2.3169709854706298E-3</v>
      </c>
      <c r="AB15" s="324">
        <v>-0.03</v>
      </c>
      <c r="AC15" s="324">
        <v>-0.11</v>
      </c>
      <c r="AD15" s="324">
        <v>-0.15</v>
      </c>
      <c r="AE15" s="324">
        <v>-0.12</v>
      </c>
      <c r="AF15" s="324">
        <v>-0.16613542867217099</v>
      </c>
      <c r="AG15" s="315">
        <v>2.4809465512152578E-3</v>
      </c>
      <c r="AH15" s="315">
        <v>2.2103484416936452E-3</v>
      </c>
      <c r="AI15" s="322">
        <v>7.4363315199401378E-4</v>
      </c>
      <c r="AJ15" s="13"/>
      <c r="AL15" s="28"/>
      <c r="AM15" s="13"/>
      <c r="AO15" s="28"/>
      <c r="AP15" s="13"/>
      <c r="AQ15" s="29"/>
      <c r="AR15" s="30"/>
      <c r="AS15" s="31"/>
      <c r="AT15" s="32"/>
    </row>
    <row r="16" spans="1:46" ht="12.75" customHeight="1" x14ac:dyDescent="0.2">
      <c r="A16" s="593">
        <v>7</v>
      </c>
      <c r="B16" s="595" t="s">
        <v>122</v>
      </c>
      <c r="C16" s="327" t="s">
        <v>42</v>
      </c>
      <c r="D16" s="327"/>
      <c r="E16" s="327" t="s">
        <v>42</v>
      </c>
      <c r="F16" s="327" t="s">
        <v>42</v>
      </c>
      <c r="G16" s="327" t="s">
        <v>42</v>
      </c>
      <c r="H16" s="327" t="s">
        <v>42</v>
      </c>
      <c r="I16" s="327" t="s">
        <v>42</v>
      </c>
      <c r="J16" s="327" t="s">
        <v>42</v>
      </c>
      <c r="K16" s="318">
        <v>0</v>
      </c>
      <c r="L16" s="314">
        <v>0</v>
      </c>
      <c r="M16" s="314">
        <v>0</v>
      </c>
      <c r="N16" s="327" t="s">
        <v>42</v>
      </c>
      <c r="O16" s="327"/>
      <c r="P16" s="327" t="s">
        <v>42</v>
      </c>
      <c r="Q16" s="327" t="s">
        <v>42</v>
      </c>
      <c r="R16" s="327" t="s">
        <v>42</v>
      </c>
      <c r="S16" s="327" t="s">
        <v>42</v>
      </c>
      <c r="T16" s="327" t="s">
        <v>42</v>
      </c>
      <c r="U16" s="327" t="s">
        <v>42</v>
      </c>
      <c r="V16" s="318">
        <v>0</v>
      </c>
      <c r="W16" s="314">
        <v>0</v>
      </c>
      <c r="X16" s="314">
        <v>0</v>
      </c>
      <c r="Y16" s="320" t="s">
        <v>42</v>
      </c>
      <c r="Z16" s="330" t="s">
        <v>42</v>
      </c>
      <c r="AA16" s="327" t="s">
        <v>42</v>
      </c>
      <c r="AB16" s="327" t="s">
        <v>42</v>
      </c>
      <c r="AC16" s="327" t="s">
        <v>42</v>
      </c>
      <c r="AD16" s="327" t="s">
        <v>42</v>
      </c>
      <c r="AE16" s="327" t="s">
        <v>42</v>
      </c>
      <c r="AF16" s="327" t="s">
        <v>42</v>
      </c>
      <c r="AG16" s="322">
        <v>0</v>
      </c>
      <c r="AH16" s="314">
        <v>0</v>
      </c>
      <c r="AI16" s="322">
        <v>0</v>
      </c>
      <c r="AJ16" s="13"/>
      <c r="AL16" s="28"/>
      <c r="AM16" s="13"/>
      <c r="AO16" s="28"/>
      <c r="AP16" s="13"/>
      <c r="AQ16" s="29"/>
      <c r="AR16" s="30"/>
      <c r="AS16" s="31"/>
      <c r="AT16" s="32"/>
    </row>
    <row r="17" spans="1:46" x14ac:dyDescent="0.2">
      <c r="A17" s="594"/>
      <c r="B17" s="596"/>
      <c r="C17" s="327" t="s">
        <v>42</v>
      </c>
      <c r="D17" s="327" t="s">
        <v>42</v>
      </c>
      <c r="E17" s="327" t="s">
        <v>42</v>
      </c>
      <c r="F17" s="327" t="s">
        <v>42</v>
      </c>
      <c r="G17" s="327" t="s">
        <v>42</v>
      </c>
      <c r="H17" s="327" t="s">
        <v>42</v>
      </c>
      <c r="I17" s="327" t="s">
        <v>42</v>
      </c>
      <c r="J17" s="327" t="s">
        <v>42</v>
      </c>
      <c r="K17" s="315">
        <v>0</v>
      </c>
      <c r="L17" s="315">
        <v>0</v>
      </c>
      <c r="M17" s="315">
        <v>0</v>
      </c>
      <c r="N17" s="327" t="s">
        <v>42</v>
      </c>
      <c r="O17" s="327" t="s">
        <v>42</v>
      </c>
      <c r="P17" s="327" t="s">
        <v>42</v>
      </c>
      <c r="Q17" s="327" t="s">
        <v>42</v>
      </c>
      <c r="R17" s="327" t="s">
        <v>42</v>
      </c>
      <c r="S17" s="327" t="s">
        <v>42</v>
      </c>
      <c r="T17" s="327" t="s">
        <v>42</v>
      </c>
      <c r="U17" s="327" t="s">
        <v>42</v>
      </c>
      <c r="V17" s="315">
        <v>0</v>
      </c>
      <c r="W17" s="315">
        <v>0</v>
      </c>
      <c r="X17" s="315">
        <v>0</v>
      </c>
      <c r="Y17" s="327" t="s">
        <v>42</v>
      </c>
      <c r="Z17" s="327" t="s">
        <v>42</v>
      </c>
      <c r="AA17" s="327" t="s">
        <v>42</v>
      </c>
      <c r="AB17" s="327" t="s">
        <v>42</v>
      </c>
      <c r="AC17" s="327" t="s">
        <v>42</v>
      </c>
      <c r="AD17" s="327" t="s">
        <v>42</v>
      </c>
      <c r="AE17" s="327" t="s">
        <v>42</v>
      </c>
      <c r="AF17" s="327" t="s">
        <v>42</v>
      </c>
      <c r="AG17" s="315">
        <v>0</v>
      </c>
      <c r="AH17" s="315">
        <v>0</v>
      </c>
      <c r="AI17" s="322">
        <v>0</v>
      </c>
      <c r="AJ17" s="13"/>
      <c r="AL17" s="28"/>
      <c r="AM17" s="13"/>
      <c r="AO17" s="28"/>
      <c r="AP17" s="13"/>
      <c r="AQ17" s="29"/>
      <c r="AR17" s="30"/>
      <c r="AS17" s="31"/>
      <c r="AT17" s="32"/>
    </row>
    <row r="18" spans="1:46" x14ac:dyDescent="0.2">
      <c r="A18" s="593">
        <v>8</v>
      </c>
      <c r="B18" s="595" t="s">
        <v>214</v>
      </c>
      <c r="C18" s="327"/>
      <c r="D18" s="327"/>
      <c r="E18" s="327"/>
      <c r="F18" s="327"/>
      <c r="G18" s="327" t="s">
        <v>42</v>
      </c>
      <c r="H18" s="327">
        <v>6</v>
      </c>
      <c r="I18" s="327">
        <v>10</v>
      </c>
      <c r="J18" s="327">
        <v>5</v>
      </c>
      <c r="K18" s="318">
        <v>1</v>
      </c>
      <c r="L18" s="314">
        <v>0</v>
      </c>
      <c r="M18" s="314">
        <v>0</v>
      </c>
      <c r="N18" s="327"/>
      <c r="O18" s="327"/>
      <c r="P18" s="327"/>
      <c r="Q18" s="327"/>
      <c r="R18" s="327" t="s">
        <v>42</v>
      </c>
      <c r="S18" s="327">
        <v>216</v>
      </c>
      <c r="T18" s="326">
        <v>16037</v>
      </c>
      <c r="U18" s="326">
        <v>8811</v>
      </c>
      <c r="V18" s="318">
        <v>3461</v>
      </c>
      <c r="W18" s="314">
        <v>1144</v>
      </c>
      <c r="X18" s="314">
        <v>0</v>
      </c>
      <c r="Y18" s="320"/>
      <c r="Z18" s="317"/>
      <c r="AA18" s="327"/>
      <c r="AB18" s="327"/>
      <c r="AC18" s="327" t="s">
        <v>42</v>
      </c>
      <c r="AD18" s="327">
        <v>0.06</v>
      </c>
      <c r="AE18" s="321">
        <v>0.78875186600000502</v>
      </c>
      <c r="AF18" s="321">
        <v>1.8558294440000001</v>
      </c>
      <c r="AG18" s="322">
        <v>0.351458408</v>
      </c>
      <c r="AH18" s="314">
        <v>-2.434E-3</v>
      </c>
      <c r="AI18" s="322">
        <v>0</v>
      </c>
      <c r="AJ18" s="13"/>
      <c r="AL18" s="28"/>
      <c r="AM18" s="13"/>
      <c r="AO18" s="28"/>
      <c r="AP18" s="13"/>
      <c r="AQ18" s="29"/>
      <c r="AR18" s="30"/>
      <c r="AS18" s="31"/>
      <c r="AT18" s="32"/>
    </row>
    <row r="19" spans="1:46" x14ac:dyDescent="0.2">
      <c r="A19" s="594"/>
      <c r="B19" s="596"/>
      <c r="C19" s="327"/>
      <c r="D19" s="327"/>
      <c r="E19" s="327"/>
      <c r="F19" s="327"/>
      <c r="G19" s="327" t="s">
        <v>42</v>
      </c>
      <c r="H19" s="327">
        <v>-0.02</v>
      </c>
      <c r="I19" s="327">
        <v>-0.03</v>
      </c>
      <c r="J19" s="327">
        <v>-1.22783753253769E-2</v>
      </c>
      <c r="K19" s="315">
        <v>2.3614981344164738E-5</v>
      </c>
      <c r="L19" s="315">
        <v>0</v>
      </c>
      <c r="M19" s="315">
        <v>0</v>
      </c>
      <c r="N19" s="327"/>
      <c r="O19" s="327"/>
      <c r="P19" s="327"/>
      <c r="Q19" s="327"/>
      <c r="R19" s="327" t="s">
        <v>42</v>
      </c>
      <c r="S19" s="327">
        <v>0</v>
      </c>
      <c r="T19" s="324">
        <v>-0.01</v>
      </c>
      <c r="U19" s="324">
        <v>-4.0841770821680298E-3</v>
      </c>
      <c r="V19" s="315">
        <v>1.2968099348635338E-5</v>
      </c>
      <c r="W19" s="315">
        <v>3.8121767951372247E-6</v>
      </c>
      <c r="X19" s="315">
        <v>0</v>
      </c>
      <c r="Y19" s="327"/>
      <c r="Z19" s="327"/>
      <c r="AA19" s="327"/>
      <c r="AB19" s="327"/>
      <c r="AC19" s="327" t="s">
        <v>42</v>
      </c>
      <c r="AD19" s="327">
        <v>0</v>
      </c>
      <c r="AE19" s="327">
        <v>0</v>
      </c>
      <c r="AF19" s="327">
        <v>-9.8191411691813009E-4</v>
      </c>
      <c r="AG19" s="315">
        <v>1.5549831920924638E-6</v>
      </c>
      <c r="AH19" s="315">
        <v>-1.0684231953425431E-8</v>
      </c>
      <c r="AI19" s="322">
        <v>0</v>
      </c>
      <c r="AJ19" s="13"/>
      <c r="AL19" s="28"/>
      <c r="AM19" s="13"/>
      <c r="AO19" s="28"/>
      <c r="AP19" s="13"/>
      <c r="AQ19" s="29"/>
      <c r="AR19" s="30"/>
      <c r="AS19" s="31"/>
      <c r="AT19" s="32"/>
    </row>
    <row r="20" spans="1:46" x14ac:dyDescent="0.2">
      <c r="A20" s="593">
        <v>9</v>
      </c>
      <c r="B20" s="595" t="s">
        <v>106</v>
      </c>
      <c r="C20" s="327"/>
      <c r="D20" s="327"/>
      <c r="E20" s="327"/>
      <c r="F20" s="327"/>
      <c r="G20" s="327" t="s">
        <v>42</v>
      </c>
      <c r="H20" s="327" t="s">
        <v>42</v>
      </c>
      <c r="I20" s="327">
        <v>2</v>
      </c>
      <c r="J20" s="327" t="s">
        <v>42</v>
      </c>
      <c r="K20" s="318">
        <v>1</v>
      </c>
      <c r="L20" s="314">
        <v>5</v>
      </c>
      <c r="M20" s="314">
        <v>23</v>
      </c>
      <c r="N20" s="327"/>
      <c r="O20" s="327"/>
      <c r="P20" s="327"/>
      <c r="Q20" s="327"/>
      <c r="R20" s="327" t="s">
        <v>42</v>
      </c>
      <c r="S20" s="327" t="s">
        <v>42</v>
      </c>
      <c r="T20" s="326">
        <v>353</v>
      </c>
      <c r="U20" s="327" t="s">
        <v>42</v>
      </c>
      <c r="V20" s="318">
        <v>126</v>
      </c>
      <c r="W20" s="314">
        <v>5786</v>
      </c>
      <c r="X20" s="314">
        <v>153890</v>
      </c>
      <c r="Y20" s="320"/>
      <c r="Z20" s="327"/>
      <c r="AA20" s="327"/>
      <c r="AB20" s="327"/>
      <c r="AC20" s="327" t="s">
        <v>42</v>
      </c>
      <c r="AD20" s="327" t="s">
        <v>42</v>
      </c>
      <c r="AE20" s="321">
        <v>5.5340035999999995E-2</v>
      </c>
      <c r="AF20" s="321">
        <v>0</v>
      </c>
      <c r="AG20" s="322">
        <v>8.8648149999999998E-3</v>
      </c>
      <c r="AH20" s="314">
        <v>0.50300789999999995</v>
      </c>
      <c r="AI20" s="322">
        <v>27.370089545999992</v>
      </c>
      <c r="AJ20" s="13"/>
      <c r="AL20" s="28"/>
      <c r="AM20" s="13"/>
      <c r="AO20" s="28"/>
      <c r="AP20" s="13"/>
      <c r="AQ20" s="29"/>
      <c r="AR20" s="30"/>
      <c r="AS20" s="31"/>
      <c r="AT20" s="32"/>
    </row>
    <row r="21" spans="1:46" x14ac:dyDescent="0.2">
      <c r="A21" s="594"/>
      <c r="B21" s="596"/>
      <c r="C21" s="327"/>
      <c r="D21" s="327"/>
      <c r="E21" s="327"/>
      <c r="F21" s="327"/>
      <c r="G21" s="327" t="s">
        <v>42</v>
      </c>
      <c r="H21" s="327" t="s">
        <v>42</v>
      </c>
      <c r="I21" s="327">
        <v>-0.01</v>
      </c>
      <c r="J21" s="327" t="s">
        <v>42</v>
      </c>
      <c r="K21" s="315">
        <v>2.3614981344164738E-5</v>
      </c>
      <c r="L21" s="315">
        <v>1.0950503723171266E-4</v>
      </c>
      <c r="M21" s="315">
        <v>4.9717904930719184E-4</v>
      </c>
      <c r="N21" s="327"/>
      <c r="O21" s="327"/>
      <c r="P21" s="327"/>
      <c r="Q21" s="327"/>
      <c r="R21" s="327" t="s">
        <v>42</v>
      </c>
      <c r="S21" s="327" t="s">
        <v>42</v>
      </c>
      <c r="T21" s="327">
        <v>0</v>
      </c>
      <c r="U21" s="327" t="s">
        <v>42</v>
      </c>
      <c r="V21" s="315">
        <v>4.7211225597458905E-7</v>
      </c>
      <c r="W21" s="315">
        <v>1.9280817252328655E-5</v>
      </c>
      <c r="X21" s="315">
        <v>6.0794648433839746E-4</v>
      </c>
      <c r="Y21" s="327"/>
      <c r="Z21" s="327"/>
      <c r="AA21" s="327"/>
      <c r="AB21" s="327"/>
      <c r="AC21" s="327" t="s">
        <v>42</v>
      </c>
      <c r="AD21" s="327" t="s">
        <v>42</v>
      </c>
      <c r="AE21" s="327">
        <v>0</v>
      </c>
      <c r="AF21" s="327">
        <v>0</v>
      </c>
      <c r="AG21" s="315">
        <v>3.9221250686394603E-8</v>
      </c>
      <c r="AH21" s="315">
        <v>2.2079922259677173E-6</v>
      </c>
      <c r="AI21" s="322">
        <v>1.1839091468812106E-4</v>
      </c>
      <c r="AJ21" s="13"/>
      <c r="AL21" s="28"/>
      <c r="AM21" s="13"/>
      <c r="AO21" s="28"/>
      <c r="AP21" s="13"/>
      <c r="AQ21" s="29"/>
      <c r="AR21" s="30"/>
      <c r="AS21" s="31"/>
      <c r="AT21" s="32"/>
    </row>
    <row r="22" spans="1:46" x14ac:dyDescent="0.2">
      <c r="A22" s="593">
        <v>10</v>
      </c>
      <c r="B22" s="595" t="s">
        <v>100</v>
      </c>
      <c r="C22" s="327"/>
      <c r="D22" s="327"/>
      <c r="E22" s="327"/>
      <c r="F22" s="327"/>
      <c r="G22" s="327" t="s">
        <v>42</v>
      </c>
      <c r="H22" s="327" t="s">
        <v>42</v>
      </c>
      <c r="I22" s="327">
        <v>1</v>
      </c>
      <c r="J22" s="327">
        <v>1</v>
      </c>
      <c r="K22" s="318">
        <v>0</v>
      </c>
      <c r="L22" s="314">
        <v>0</v>
      </c>
      <c r="M22" s="314">
        <v>0</v>
      </c>
      <c r="N22" s="327"/>
      <c r="O22" s="327"/>
      <c r="P22" s="327"/>
      <c r="Q22" s="327"/>
      <c r="R22" s="327" t="s">
        <v>42</v>
      </c>
      <c r="S22" s="327" t="s">
        <v>42</v>
      </c>
      <c r="T22" s="326">
        <v>97</v>
      </c>
      <c r="U22" s="326">
        <v>2766</v>
      </c>
      <c r="V22" s="318">
        <v>0</v>
      </c>
      <c r="W22" s="314">
        <v>0</v>
      </c>
      <c r="X22" s="314">
        <v>0</v>
      </c>
      <c r="Y22" s="320"/>
      <c r="Z22" s="317"/>
      <c r="AA22" s="327"/>
      <c r="AB22" s="327"/>
      <c r="AC22" s="327" t="s">
        <v>42</v>
      </c>
      <c r="AD22" s="327" t="s">
        <v>42</v>
      </c>
      <c r="AE22" s="321">
        <v>3.5246212999999998E-2</v>
      </c>
      <c r="AF22" s="321">
        <v>0.1298984</v>
      </c>
      <c r="AG22" s="322">
        <v>0.16587865400000001</v>
      </c>
      <c r="AH22" s="314">
        <v>7.4483929000000004E-2</v>
      </c>
      <c r="AI22" s="322">
        <v>6.9528110000000006E-3</v>
      </c>
      <c r="AJ22" s="13"/>
      <c r="AL22" s="28"/>
      <c r="AM22" s="13"/>
      <c r="AO22" s="28"/>
      <c r="AP22" s="13"/>
      <c r="AQ22" s="29"/>
      <c r="AR22" s="30"/>
      <c r="AS22" s="31"/>
      <c r="AT22" s="32"/>
    </row>
    <row r="23" spans="1:46" x14ac:dyDescent="0.2">
      <c r="A23" s="594"/>
      <c r="B23" s="596"/>
      <c r="C23" s="327"/>
      <c r="D23" s="327"/>
      <c r="E23" s="327"/>
      <c r="F23" s="327"/>
      <c r="G23" s="327" t="s">
        <v>42</v>
      </c>
      <c r="H23" s="327" t="s">
        <v>42</v>
      </c>
      <c r="I23" s="327">
        <v>0</v>
      </c>
      <c r="J23" s="327">
        <v>-2.45567506507539E-3</v>
      </c>
      <c r="K23" s="315">
        <v>0</v>
      </c>
      <c r="L23" s="315">
        <v>0</v>
      </c>
      <c r="M23" s="315">
        <v>0</v>
      </c>
      <c r="N23" s="327"/>
      <c r="O23" s="327"/>
      <c r="P23" s="327"/>
      <c r="Q23" s="327"/>
      <c r="R23" s="327" t="s">
        <v>42</v>
      </c>
      <c r="S23" s="327"/>
      <c r="T23" s="327">
        <v>0</v>
      </c>
      <c r="U23" s="327">
        <v>-1.2821284541228899E-3</v>
      </c>
      <c r="V23" s="315">
        <v>0</v>
      </c>
      <c r="W23" s="315">
        <v>0</v>
      </c>
      <c r="X23" s="315">
        <v>0</v>
      </c>
      <c r="Y23" s="327"/>
      <c r="Z23" s="327"/>
      <c r="AA23" s="327"/>
      <c r="AB23" s="327"/>
      <c r="AC23" s="327" t="s">
        <v>42</v>
      </c>
      <c r="AD23" s="327"/>
      <c r="AE23" s="327">
        <v>0</v>
      </c>
      <c r="AF23" s="327">
        <v>-6.8728876534129401E-5</v>
      </c>
      <c r="AG23" s="315">
        <v>7.3390908575708716E-7</v>
      </c>
      <c r="AH23" s="315">
        <v>3.269529885942774E-7</v>
      </c>
      <c r="AI23" s="322">
        <v>3.007478848617538E-8</v>
      </c>
      <c r="AJ23" s="13"/>
      <c r="AL23" s="28"/>
      <c r="AM23" s="13"/>
      <c r="AO23" s="28"/>
      <c r="AP23" s="13"/>
      <c r="AQ23" s="29"/>
      <c r="AR23" s="30"/>
      <c r="AS23" s="31"/>
      <c r="AT23" s="32"/>
    </row>
    <row r="24" spans="1:46" x14ac:dyDescent="0.2">
      <c r="A24" s="593">
        <v>11</v>
      </c>
      <c r="B24" s="595" t="s">
        <v>215</v>
      </c>
      <c r="C24" s="327"/>
      <c r="D24" s="327"/>
      <c r="E24" s="327"/>
      <c r="F24" s="327"/>
      <c r="G24" s="327" t="s">
        <v>42</v>
      </c>
      <c r="H24" s="327" t="s">
        <v>42</v>
      </c>
      <c r="I24" s="327" t="s">
        <v>42</v>
      </c>
      <c r="J24" s="327" t="s">
        <v>42</v>
      </c>
      <c r="K24" s="318">
        <v>0</v>
      </c>
      <c r="L24" s="314">
        <v>0</v>
      </c>
      <c r="M24" s="314">
        <v>0</v>
      </c>
      <c r="N24" s="327"/>
      <c r="O24" s="327"/>
      <c r="P24" s="327"/>
      <c r="Q24" s="327"/>
      <c r="R24" s="327" t="s">
        <v>42</v>
      </c>
      <c r="S24" s="327" t="s">
        <v>42</v>
      </c>
      <c r="T24" s="327" t="s">
        <v>42</v>
      </c>
      <c r="U24" s="327" t="s">
        <v>42</v>
      </c>
      <c r="V24" s="318">
        <v>0</v>
      </c>
      <c r="W24" s="314">
        <v>0</v>
      </c>
      <c r="X24" s="314">
        <v>0</v>
      </c>
      <c r="Y24" s="320"/>
      <c r="Z24" s="327"/>
      <c r="AA24" s="327"/>
      <c r="AB24" s="327"/>
      <c r="AC24" s="327" t="s">
        <v>42</v>
      </c>
      <c r="AD24" s="327" t="s">
        <v>42</v>
      </c>
      <c r="AE24" s="327" t="s">
        <v>42</v>
      </c>
      <c r="AF24" s="327" t="s">
        <v>42</v>
      </c>
      <c r="AG24" s="322">
        <v>0</v>
      </c>
      <c r="AH24" s="314">
        <v>0</v>
      </c>
      <c r="AI24" s="322">
        <v>0</v>
      </c>
      <c r="AJ24" s="13"/>
      <c r="AL24" s="28"/>
      <c r="AM24" s="13"/>
      <c r="AO24" s="28"/>
      <c r="AP24" s="13"/>
      <c r="AQ24" s="29"/>
      <c r="AR24" s="30"/>
      <c r="AS24" s="31"/>
      <c r="AT24" s="32"/>
    </row>
    <row r="25" spans="1:46" x14ac:dyDescent="0.2">
      <c r="A25" s="594"/>
      <c r="B25" s="596"/>
      <c r="C25" s="327"/>
      <c r="D25" s="327"/>
      <c r="E25" s="327"/>
      <c r="F25" s="327"/>
      <c r="G25" s="327" t="s">
        <v>42</v>
      </c>
      <c r="H25" s="327" t="s">
        <v>42</v>
      </c>
      <c r="I25" s="327" t="s">
        <v>42</v>
      </c>
      <c r="J25" s="327" t="s">
        <v>42</v>
      </c>
      <c r="K25" s="315">
        <v>0</v>
      </c>
      <c r="L25" s="315">
        <v>0</v>
      </c>
      <c r="M25" s="315">
        <v>0</v>
      </c>
      <c r="N25" s="327"/>
      <c r="O25" s="327"/>
      <c r="P25" s="327"/>
      <c r="Q25" s="327"/>
      <c r="R25" s="327" t="s">
        <v>42</v>
      </c>
      <c r="S25" s="327"/>
      <c r="T25" s="327" t="s">
        <v>42</v>
      </c>
      <c r="U25" s="327" t="s">
        <v>42</v>
      </c>
      <c r="V25" s="315">
        <v>0</v>
      </c>
      <c r="W25" s="315">
        <v>0</v>
      </c>
      <c r="X25" s="315">
        <v>0</v>
      </c>
      <c r="Y25" s="327"/>
      <c r="Z25" s="327"/>
      <c r="AA25" s="327"/>
      <c r="AB25" s="327"/>
      <c r="AC25" s="327" t="s">
        <v>42</v>
      </c>
      <c r="AD25" s="327" t="s">
        <v>42</v>
      </c>
      <c r="AE25" s="327" t="s">
        <v>42</v>
      </c>
      <c r="AF25" s="327" t="s">
        <v>42</v>
      </c>
      <c r="AG25" s="315">
        <v>0</v>
      </c>
      <c r="AH25" s="315">
        <v>0</v>
      </c>
      <c r="AI25" s="322">
        <v>0</v>
      </c>
      <c r="AJ25" s="13"/>
      <c r="AL25" s="28"/>
      <c r="AM25" s="13"/>
      <c r="AO25" s="28"/>
      <c r="AP25" s="13"/>
      <c r="AQ25" s="29"/>
      <c r="AR25" s="30"/>
      <c r="AS25" s="31"/>
      <c r="AT25" s="32"/>
    </row>
    <row r="26" spans="1:46" x14ac:dyDescent="0.2">
      <c r="A26" s="593">
        <v>12</v>
      </c>
      <c r="B26" s="595" t="s">
        <v>216</v>
      </c>
      <c r="C26" s="327" t="s">
        <v>42</v>
      </c>
      <c r="D26" s="327" t="s">
        <v>42</v>
      </c>
      <c r="E26" s="327" t="s">
        <v>42</v>
      </c>
      <c r="F26" s="327" t="s">
        <v>42</v>
      </c>
      <c r="G26" s="327">
        <v>1</v>
      </c>
      <c r="H26" s="327" t="s">
        <v>42</v>
      </c>
      <c r="I26" s="327" t="s">
        <v>42</v>
      </c>
      <c r="J26" s="327" t="s">
        <v>42</v>
      </c>
      <c r="K26" s="318">
        <v>0</v>
      </c>
      <c r="L26" s="314">
        <v>0</v>
      </c>
      <c r="M26" s="314">
        <v>0</v>
      </c>
      <c r="N26" s="327" t="s">
        <v>42</v>
      </c>
      <c r="O26" s="327" t="s">
        <v>42</v>
      </c>
      <c r="P26" s="327" t="s">
        <v>42</v>
      </c>
      <c r="Q26" s="326">
        <v>12377</v>
      </c>
      <c r="R26" s="326">
        <v>27</v>
      </c>
      <c r="S26" s="326" t="s">
        <v>42</v>
      </c>
      <c r="T26" s="327" t="s">
        <v>42</v>
      </c>
      <c r="U26" s="327" t="s">
        <v>42</v>
      </c>
      <c r="V26" s="318">
        <v>0</v>
      </c>
      <c r="W26" s="314">
        <v>0</v>
      </c>
      <c r="X26" s="314">
        <v>0</v>
      </c>
      <c r="Y26" s="327" t="s">
        <v>42</v>
      </c>
      <c r="Z26" s="327" t="s">
        <v>42</v>
      </c>
      <c r="AA26" s="327" t="s">
        <v>42</v>
      </c>
      <c r="AB26" s="327">
        <v>11.21</v>
      </c>
      <c r="AC26" s="327" t="s">
        <v>42</v>
      </c>
      <c r="AD26" s="327" t="s">
        <v>42</v>
      </c>
      <c r="AE26" s="327" t="s">
        <v>42</v>
      </c>
      <c r="AF26" s="327" t="s">
        <v>42</v>
      </c>
      <c r="AG26" s="322">
        <v>0</v>
      </c>
      <c r="AH26" s="314">
        <v>0</v>
      </c>
      <c r="AI26" s="322">
        <v>0</v>
      </c>
      <c r="AJ26" s="13"/>
      <c r="AL26" s="28"/>
      <c r="AM26" s="13"/>
      <c r="AO26" s="28"/>
      <c r="AP26" s="13"/>
      <c r="AQ26" s="29"/>
      <c r="AR26" s="30"/>
      <c r="AS26" s="31"/>
      <c r="AT26" s="32"/>
    </row>
    <row r="27" spans="1:46" x14ac:dyDescent="0.2">
      <c r="A27" s="594"/>
      <c r="B27" s="596"/>
      <c r="C27" s="327" t="s">
        <v>42</v>
      </c>
      <c r="D27" s="327" t="s">
        <v>42</v>
      </c>
      <c r="E27" s="327" t="s">
        <v>42</v>
      </c>
      <c r="F27" s="327" t="s">
        <v>42</v>
      </c>
      <c r="G27" s="327">
        <v>0</v>
      </c>
      <c r="H27" s="327" t="s">
        <v>42</v>
      </c>
      <c r="I27" s="327" t="s">
        <v>42</v>
      </c>
      <c r="J27" s="327" t="s">
        <v>42</v>
      </c>
      <c r="K27" s="315">
        <v>0</v>
      </c>
      <c r="L27" s="315">
        <v>0</v>
      </c>
      <c r="M27" s="315">
        <v>0</v>
      </c>
      <c r="N27" s="327" t="s">
        <v>42</v>
      </c>
      <c r="O27" s="327" t="s">
        <v>42</v>
      </c>
      <c r="P27" s="327" t="s">
        <v>42</v>
      </c>
      <c r="Q27" s="327">
        <v>0</v>
      </c>
      <c r="R27" s="327">
        <v>0</v>
      </c>
      <c r="S27" s="327"/>
      <c r="T27" s="327" t="s">
        <v>42</v>
      </c>
      <c r="U27" s="327" t="s">
        <v>42</v>
      </c>
      <c r="V27" s="315">
        <v>0</v>
      </c>
      <c r="W27" s="315">
        <v>0</v>
      </c>
      <c r="X27" s="315">
        <v>0</v>
      </c>
      <c r="Y27" s="327" t="s">
        <v>42</v>
      </c>
      <c r="Z27" s="327" t="s">
        <v>42</v>
      </c>
      <c r="AA27" s="327" t="s">
        <v>42</v>
      </c>
      <c r="AB27" s="327">
        <v>-0.01</v>
      </c>
      <c r="AC27" s="327" t="s">
        <v>42</v>
      </c>
      <c r="AD27" s="327" t="s">
        <v>42</v>
      </c>
      <c r="AE27" s="327" t="s">
        <v>42</v>
      </c>
      <c r="AF27" s="327" t="s">
        <v>42</v>
      </c>
      <c r="AG27" s="315">
        <v>0</v>
      </c>
      <c r="AH27" s="315">
        <v>0</v>
      </c>
      <c r="AI27" s="322">
        <v>0</v>
      </c>
      <c r="AJ27" s="13"/>
      <c r="AL27" s="28"/>
      <c r="AM27" s="13"/>
      <c r="AO27" s="28"/>
      <c r="AP27" s="13"/>
      <c r="AQ27" s="29"/>
      <c r="AR27" s="30"/>
      <c r="AS27" s="31"/>
      <c r="AT27" s="32"/>
    </row>
    <row r="28" spans="1:46" x14ac:dyDescent="0.2">
      <c r="A28" s="599"/>
      <c r="B28" s="597" t="s">
        <v>52</v>
      </c>
      <c r="C28" s="331">
        <v>39069</v>
      </c>
      <c r="D28" s="331">
        <v>35875</v>
      </c>
      <c r="E28" s="331">
        <v>35412</v>
      </c>
      <c r="F28" s="331">
        <v>34641</v>
      </c>
      <c r="G28" s="331">
        <v>36596</v>
      </c>
      <c r="H28" s="331">
        <v>36858</v>
      </c>
      <c r="I28" s="331">
        <v>39204</v>
      </c>
      <c r="J28" s="331">
        <v>40722</v>
      </c>
      <c r="K28" s="313">
        <v>42346</v>
      </c>
      <c r="L28" s="316">
        <v>45660</v>
      </c>
      <c r="M28" s="316">
        <v>46261</v>
      </c>
      <c r="N28" s="331">
        <v>122861373</v>
      </c>
      <c r="O28" s="331">
        <v>172033724</v>
      </c>
      <c r="P28" s="331">
        <v>179841286</v>
      </c>
      <c r="Q28" s="331">
        <v>188457614</v>
      </c>
      <c r="R28" s="331">
        <v>224653012</v>
      </c>
      <c r="S28" s="331">
        <v>227850847</v>
      </c>
      <c r="T28" s="332">
        <v>179771539</v>
      </c>
      <c r="U28" s="332">
        <v>215735014</v>
      </c>
      <c r="V28" s="313">
        <v>266885679</v>
      </c>
      <c r="W28" s="316">
        <v>300091014</v>
      </c>
      <c r="X28" s="316">
        <v>253130833</v>
      </c>
      <c r="Y28" s="333" t="s">
        <v>217</v>
      </c>
      <c r="Z28" s="331">
        <v>80428.06</v>
      </c>
      <c r="AA28" s="334">
        <v>97352.240452930331</v>
      </c>
      <c r="AB28" s="334">
        <v>101809.88</v>
      </c>
      <c r="AC28" s="335">
        <v>116989.2262887454</v>
      </c>
      <c r="AD28" s="335">
        <v>157383.98000000001</v>
      </c>
      <c r="AE28" s="335">
        <v>164455.29959324395</v>
      </c>
      <c r="AF28" s="335">
        <v>189001.197968797</v>
      </c>
      <c r="AG28" s="336">
        <v>226020.71185545091</v>
      </c>
      <c r="AH28" s="316">
        <v>227812.35100569343</v>
      </c>
      <c r="AI28" s="336">
        <v>231184.03652933525</v>
      </c>
      <c r="AJ28" s="13"/>
      <c r="AL28" s="28"/>
      <c r="AM28" s="13"/>
      <c r="AO28" s="28"/>
      <c r="AP28" s="13"/>
      <c r="AQ28" s="29"/>
      <c r="AR28" s="30"/>
      <c r="AS28" s="31"/>
      <c r="AT28" s="32"/>
    </row>
    <row r="29" spans="1:46" x14ac:dyDescent="0.2">
      <c r="A29" s="600"/>
      <c r="B29" s="598"/>
      <c r="C29" s="337">
        <v>-100</v>
      </c>
      <c r="D29" s="337">
        <v>-100</v>
      </c>
      <c r="E29" s="337">
        <v>-100</v>
      </c>
      <c r="F29" s="337">
        <v>-100</v>
      </c>
      <c r="G29" s="337">
        <v>-100</v>
      </c>
      <c r="H29" s="337">
        <v>-100</v>
      </c>
      <c r="I29" s="337">
        <v>-100</v>
      </c>
      <c r="J29" s="337">
        <v>-100</v>
      </c>
      <c r="K29" s="315">
        <v>1</v>
      </c>
      <c r="L29" s="315">
        <v>1</v>
      </c>
      <c r="M29" s="315">
        <v>1</v>
      </c>
      <c r="N29" s="337">
        <v>-100</v>
      </c>
      <c r="O29" s="337">
        <v>-100</v>
      </c>
      <c r="P29" s="337">
        <v>-100</v>
      </c>
      <c r="Q29" s="337">
        <v>-100</v>
      </c>
      <c r="R29" s="337">
        <v>-100</v>
      </c>
      <c r="S29" s="337">
        <v>-100</v>
      </c>
      <c r="T29" s="337">
        <v>-100</v>
      </c>
      <c r="U29" s="337">
        <v>-100</v>
      </c>
      <c r="V29" s="315">
        <v>1</v>
      </c>
      <c r="W29" s="315">
        <v>1</v>
      </c>
      <c r="X29" s="315">
        <v>1</v>
      </c>
      <c r="Y29" s="333" t="s">
        <v>71</v>
      </c>
      <c r="Z29" s="334">
        <v>-100</v>
      </c>
      <c r="AA29" s="334">
        <v>-100</v>
      </c>
      <c r="AB29" s="334">
        <v>-100</v>
      </c>
      <c r="AC29" s="334">
        <v>-100</v>
      </c>
      <c r="AD29" s="334">
        <v>-100</v>
      </c>
      <c r="AE29" s="334">
        <v>-100</v>
      </c>
      <c r="AF29" s="334">
        <v>-100</v>
      </c>
      <c r="AG29" s="315">
        <v>1</v>
      </c>
      <c r="AH29" s="315">
        <v>1</v>
      </c>
      <c r="AI29" s="322">
        <v>1</v>
      </c>
      <c r="AJ29" s="13"/>
      <c r="AL29" s="28"/>
      <c r="AM29" s="13"/>
      <c r="AO29" s="28"/>
      <c r="AP29" s="13"/>
      <c r="AQ29" s="29"/>
      <c r="AR29" s="30"/>
      <c r="AS29" s="31"/>
      <c r="AT29" s="32"/>
    </row>
    <row r="30" spans="1:46" x14ac:dyDescent="0.2">
      <c r="A30" s="597"/>
      <c r="B30" s="595" t="s">
        <v>70</v>
      </c>
      <c r="C30" s="326" t="s">
        <v>42</v>
      </c>
      <c r="D30" s="326">
        <v>0</v>
      </c>
      <c r="E30" s="326">
        <v>0</v>
      </c>
      <c r="F30" s="326">
        <v>0</v>
      </c>
      <c r="G30" s="326">
        <v>0</v>
      </c>
      <c r="H30" s="326">
        <v>0</v>
      </c>
      <c r="I30" s="326">
        <v>0</v>
      </c>
      <c r="J30" s="326">
        <v>0</v>
      </c>
      <c r="K30" s="318">
        <v>0</v>
      </c>
      <c r="L30" s="314">
        <v>0</v>
      </c>
      <c r="M30" s="314">
        <v>0</v>
      </c>
      <c r="N30" s="326" t="s">
        <v>42</v>
      </c>
      <c r="O30" s="326">
        <v>0</v>
      </c>
      <c r="P30" s="326">
        <v>0</v>
      </c>
      <c r="Q30" s="326">
        <v>0</v>
      </c>
      <c r="R30" s="326">
        <v>0</v>
      </c>
      <c r="S30" s="326">
        <v>0</v>
      </c>
      <c r="T30" s="326">
        <v>0</v>
      </c>
      <c r="U30" s="326">
        <v>0</v>
      </c>
      <c r="V30" s="326">
        <v>0</v>
      </c>
      <c r="W30" s="326">
        <v>0</v>
      </c>
      <c r="X30" s="326">
        <v>0</v>
      </c>
      <c r="Y30" s="320" t="s">
        <v>42</v>
      </c>
      <c r="Z30" s="317">
        <v>0</v>
      </c>
      <c r="AA30" s="338">
        <v>0</v>
      </c>
      <c r="AB30" s="338">
        <v>0</v>
      </c>
      <c r="AC30" s="338">
        <v>0</v>
      </c>
      <c r="AD30" s="338">
        <v>0</v>
      </c>
      <c r="AE30" s="338">
        <v>0</v>
      </c>
      <c r="AF30" s="338">
        <v>0</v>
      </c>
      <c r="AG30" s="326">
        <v>0</v>
      </c>
      <c r="AH30" s="314">
        <v>0</v>
      </c>
      <c r="AI30" s="322">
        <v>0</v>
      </c>
      <c r="AJ30" s="13"/>
      <c r="AL30" s="28"/>
      <c r="AM30" s="13"/>
      <c r="AO30" s="28"/>
      <c r="AP30" s="13"/>
      <c r="AQ30" s="29"/>
      <c r="AR30" s="30"/>
      <c r="AS30" s="31"/>
      <c r="AT30" s="32"/>
    </row>
    <row r="31" spans="1:46" x14ac:dyDescent="0.2">
      <c r="A31" s="598"/>
      <c r="B31" s="596"/>
      <c r="C31" s="327" t="s">
        <v>42</v>
      </c>
      <c r="D31" s="329" t="s">
        <v>74</v>
      </c>
      <c r="E31" s="329" t="s">
        <v>74</v>
      </c>
      <c r="F31" s="329" t="s">
        <v>74</v>
      </c>
      <c r="G31" s="329" t="s">
        <v>74</v>
      </c>
      <c r="H31" s="329" t="s">
        <v>74</v>
      </c>
      <c r="I31" s="329" t="s">
        <v>74</v>
      </c>
      <c r="J31" s="329" t="s">
        <v>74</v>
      </c>
      <c r="K31" s="315">
        <v>0</v>
      </c>
      <c r="L31" s="315">
        <v>0</v>
      </c>
      <c r="M31" s="315">
        <v>0</v>
      </c>
      <c r="N31" s="327" t="s">
        <v>42</v>
      </c>
      <c r="O31" s="329" t="s">
        <v>74</v>
      </c>
      <c r="P31" s="329" t="s">
        <v>74</v>
      </c>
      <c r="Q31" s="329" t="s">
        <v>74</v>
      </c>
      <c r="R31" s="329" t="s">
        <v>74</v>
      </c>
      <c r="S31" s="329" t="s">
        <v>74</v>
      </c>
      <c r="T31" s="329" t="s">
        <v>74</v>
      </c>
      <c r="U31" s="329" t="s">
        <v>74</v>
      </c>
      <c r="V31" s="315">
        <v>0</v>
      </c>
      <c r="W31" s="315">
        <v>0</v>
      </c>
      <c r="X31" s="315">
        <v>0</v>
      </c>
      <c r="Y31" s="320" t="s">
        <v>42</v>
      </c>
      <c r="Z31" s="329" t="s">
        <v>74</v>
      </c>
      <c r="AA31" s="329" t="s">
        <v>74</v>
      </c>
      <c r="AB31" s="329" t="s">
        <v>74</v>
      </c>
      <c r="AC31" s="329" t="s">
        <v>74</v>
      </c>
      <c r="AD31" s="329" t="s">
        <v>74</v>
      </c>
      <c r="AE31" s="329" t="s">
        <v>74</v>
      </c>
      <c r="AF31" s="329" t="s">
        <v>74</v>
      </c>
      <c r="AG31" s="315">
        <v>0</v>
      </c>
      <c r="AH31" s="315">
        <v>0</v>
      </c>
      <c r="AI31" s="322">
        <v>0</v>
      </c>
      <c r="AJ31" s="13"/>
      <c r="AL31" s="28"/>
      <c r="AM31" s="13"/>
      <c r="AO31" s="28"/>
      <c r="AP31" s="13"/>
      <c r="AQ31" s="29"/>
      <c r="AR31" s="30"/>
      <c r="AS31" s="31"/>
      <c r="AT31" s="32"/>
    </row>
    <row r="32" spans="1:46" x14ac:dyDescent="0.2">
      <c r="A32" s="22" t="s">
        <v>218</v>
      </c>
      <c r="AQ32" s="31"/>
      <c r="AR32" s="32"/>
      <c r="AS32" s="33"/>
      <c r="AT32" s="32"/>
    </row>
    <row r="33" spans="1:46" s="32" customFormat="1" x14ac:dyDescent="0.2">
      <c r="A33" s="32" t="s">
        <v>57</v>
      </c>
      <c r="C33" s="33"/>
      <c r="F33" s="33"/>
      <c r="I33" s="33"/>
      <c r="N33" s="33"/>
      <c r="Q33" s="33"/>
      <c r="T33" s="33"/>
      <c r="Y33" s="33"/>
      <c r="AB33" s="33"/>
      <c r="AE33" s="33"/>
      <c r="AJ33" s="33"/>
      <c r="AM33" s="33"/>
      <c r="AO33" s="31"/>
      <c r="AP33" s="407"/>
      <c r="AQ33" s="31"/>
      <c r="AS33" s="33"/>
    </row>
    <row r="34" spans="1:46" s="32" customFormat="1" x14ac:dyDescent="0.2">
      <c r="A34" s="22" t="s">
        <v>219</v>
      </c>
      <c r="C34" s="33"/>
      <c r="F34" s="33"/>
      <c r="I34" s="33"/>
      <c r="N34" s="33"/>
      <c r="Q34" s="33"/>
      <c r="T34" s="33"/>
      <c r="Y34" s="33"/>
      <c r="AB34" s="33"/>
      <c r="AE34" s="33"/>
      <c r="AJ34" s="33"/>
      <c r="AM34" s="33"/>
      <c r="AO34" s="31"/>
      <c r="AP34" s="407"/>
      <c r="AQ34" s="31"/>
      <c r="AS34" s="33"/>
    </row>
    <row r="35" spans="1:46" s="32" customFormat="1" x14ac:dyDescent="0.2">
      <c r="A35" s="23" t="s">
        <v>56</v>
      </c>
      <c r="C35" s="33"/>
      <c r="F35" s="33"/>
      <c r="I35" s="33"/>
      <c r="N35" s="33"/>
      <c r="Q35" s="33"/>
      <c r="T35" s="33"/>
      <c r="Y35" s="33"/>
      <c r="AB35" s="33"/>
      <c r="AE35" s="33"/>
      <c r="AH35" s="408"/>
      <c r="AJ35" s="33"/>
      <c r="AM35" s="33"/>
      <c r="AO35" s="31"/>
      <c r="AP35" s="407"/>
      <c r="AQ35" s="31"/>
      <c r="AS35" s="33"/>
    </row>
    <row r="36" spans="1:46" s="32" customFormat="1" x14ac:dyDescent="0.2">
      <c r="A36" s="24" t="s">
        <v>220</v>
      </c>
      <c r="C36" s="33"/>
      <c r="F36" s="33"/>
      <c r="I36" s="33"/>
      <c r="N36" s="33"/>
      <c r="Q36" s="33"/>
      <c r="T36" s="33"/>
      <c r="Y36" s="33"/>
      <c r="AB36" s="33"/>
      <c r="AE36" s="33"/>
      <c r="AJ36" s="33"/>
      <c r="AM36" s="33"/>
      <c r="AO36" s="31"/>
      <c r="AP36" s="407"/>
      <c r="AQ36" s="31"/>
      <c r="AS36" s="33"/>
    </row>
    <row r="37" spans="1:46" s="32" customFormat="1" x14ac:dyDescent="0.2">
      <c r="A37" s="22" t="s">
        <v>221</v>
      </c>
      <c r="C37" s="33"/>
      <c r="F37" s="33"/>
      <c r="I37" s="33"/>
      <c r="N37" s="33"/>
      <c r="Q37" s="33"/>
      <c r="T37" s="33"/>
      <c r="Y37" s="33"/>
      <c r="AB37" s="33"/>
      <c r="AE37" s="33"/>
      <c r="AJ37" s="33"/>
      <c r="AM37" s="33"/>
      <c r="AO37" s="31"/>
      <c r="AP37" s="407"/>
      <c r="AQ37" s="31"/>
      <c r="AS37" s="33"/>
    </row>
    <row r="38" spans="1:46" s="32" customFormat="1" x14ac:dyDescent="0.2">
      <c r="A38" s="22" t="s">
        <v>53</v>
      </c>
      <c r="C38" s="33"/>
      <c r="F38" s="33"/>
      <c r="I38" s="33"/>
      <c r="N38" s="33"/>
      <c r="Q38" s="33"/>
      <c r="T38" s="33"/>
      <c r="Y38" s="33"/>
      <c r="AB38" s="33"/>
      <c r="AE38" s="33"/>
      <c r="AJ38" s="33"/>
      <c r="AM38" s="33"/>
      <c r="AO38" s="31"/>
      <c r="AP38" s="407"/>
      <c r="AQ38" s="31"/>
      <c r="AS38" s="33"/>
    </row>
    <row r="39" spans="1:46" s="32" customFormat="1" ht="20.25" customHeight="1" x14ac:dyDescent="0.2">
      <c r="A39" s="409" t="s">
        <v>296</v>
      </c>
      <c r="C39" s="33"/>
      <c r="G39" s="33"/>
      <c r="J39" s="33"/>
      <c r="O39" s="33"/>
      <c r="R39" s="33"/>
      <c r="V39" s="33"/>
      <c r="Z39" s="33"/>
      <c r="AB39" s="33"/>
      <c r="AE39" s="33"/>
      <c r="AJ39" s="33"/>
      <c r="AM39" s="33"/>
      <c r="AO39" s="31"/>
      <c r="AP39" s="407"/>
      <c r="AQ39" s="31"/>
      <c r="AS39" s="33"/>
    </row>
    <row r="40" spans="1:46" s="32" customFormat="1" x14ac:dyDescent="0.2">
      <c r="A40" s="521" t="s">
        <v>397</v>
      </c>
      <c r="B40" s="521"/>
      <c r="C40" s="521"/>
      <c r="D40" s="521"/>
      <c r="E40" s="521"/>
      <c r="F40" s="521"/>
      <c r="G40" s="521"/>
      <c r="H40" s="521"/>
      <c r="I40" s="521"/>
      <c r="J40" s="521"/>
      <c r="K40" s="521"/>
      <c r="L40" s="521"/>
      <c r="M40" s="432"/>
      <c r="O40" s="33"/>
      <c r="R40" s="33"/>
      <c r="V40" s="33"/>
      <c r="Z40" s="33"/>
      <c r="AB40" s="33"/>
      <c r="AE40" s="33"/>
      <c r="AJ40" s="33"/>
      <c r="AM40" s="33"/>
      <c r="AO40" s="31"/>
      <c r="AP40" s="407"/>
      <c r="AQ40" s="31"/>
      <c r="AS40" s="33"/>
    </row>
    <row r="41" spans="1:46" s="32" customFormat="1" x14ac:dyDescent="0.2">
      <c r="C41" s="33"/>
      <c r="G41" s="33"/>
      <c r="J41" s="33"/>
      <c r="O41" s="33"/>
      <c r="R41" s="33"/>
      <c r="V41" s="33"/>
      <c r="Z41" s="33"/>
      <c r="AB41" s="33"/>
      <c r="AE41" s="33"/>
      <c r="AJ41" s="33"/>
      <c r="AM41" s="33"/>
      <c r="AO41" s="31"/>
      <c r="AP41" s="407"/>
      <c r="AQ41" s="31"/>
      <c r="AS41" s="33"/>
    </row>
    <row r="42" spans="1:46" s="32" customFormat="1" x14ac:dyDescent="0.2">
      <c r="C42" s="33"/>
      <c r="G42" s="33"/>
      <c r="J42" s="33"/>
      <c r="O42" s="33"/>
      <c r="R42" s="33"/>
      <c r="V42" s="33"/>
      <c r="Z42" s="33"/>
      <c r="AB42" s="33"/>
      <c r="AE42" s="33"/>
      <c r="AJ42" s="33"/>
      <c r="AM42" s="33"/>
      <c r="AO42" s="31"/>
      <c r="AP42" s="407"/>
      <c r="AQ42" s="31"/>
      <c r="AS42" s="33"/>
    </row>
    <row r="43" spans="1:46" s="32" customFormat="1" x14ac:dyDescent="0.2">
      <c r="C43" s="33"/>
      <c r="F43" s="33"/>
      <c r="I43" s="33"/>
      <c r="N43" s="33"/>
      <c r="Q43" s="33"/>
      <c r="T43" s="33"/>
      <c r="Y43" s="33"/>
      <c r="AB43" s="33"/>
      <c r="AE43" s="33"/>
      <c r="AJ43" s="33"/>
      <c r="AM43" s="33"/>
      <c r="AO43" s="31"/>
      <c r="AP43" s="407"/>
      <c r="AQ43" s="31"/>
      <c r="AS43" s="33"/>
    </row>
    <row r="44" spans="1:46" s="32" customFormat="1" x14ac:dyDescent="0.2">
      <c r="C44" s="33"/>
      <c r="F44" s="33"/>
      <c r="I44" s="33"/>
      <c r="N44" s="33"/>
      <c r="Q44" s="33"/>
      <c r="T44" s="33"/>
      <c r="Y44" s="33"/>
      <c r="AB44" s="33"/>
      <c r="AE44" s="33"/>
      <c r="AJ44" s="33"/>
      <c r="AM44" s="33"/>
      <c r="AO44" s="31"/>
      <c r="AP44" s="407"/>
      <c r="AQ44" s="31"/>
      <c r="AS44" s="33"/>
    </row>
    <row r="45" spans="1:46" s="32" customFormat="1" x14ac:dyDescent="0.2">
      <c r="C45" s="33"/>
      <c r="F45" s="33"/>
      <c r="I45" s="33"/>
      <c r="N45" s="33"/>
      <c r="Q45" s="33"/>
      <c r="T45" s="33"/>
      <c r="Y45" s="33"/>
      <c r="AB45" s="33"/>
      <c r="AE45" s="33"/>
      <c r="AJ45" s="33"/>
      <c r="AM45" s="33"/>
      <c r="AO45" s="31"/>
      <c r="AP45" s="407"/>
      <c r="AQ45" s="31"/>
      <c r="AS45" s="33"/>
    </row>
    <row r="46" spans="1:46" x14ac:dyDescent="0.2">
      <c r="AQ46" s="31"/>
      <c r="AR46" s="32"/>
      <c r="AS46" s="33"/>
      <c r="AT46" s="32"/>
    </row>
    <row r="47" spans="1:46" x14ac:dyDescent="0.2">
      <c r="AQ47" s="31"/>
      <c r="AR47" s="32"/>
      <c r="AS47" s="33"/>
      <c r="AT47" s="32"/>
    </row>
    <row r="48" spans="1:46" x14ac:dyDescent="0.2">
      <c r="AQ48" s="31"/>
      <c r="AR48" s="32"/>
      <c r="AS48" s="33"/>
      <c r="AT48" s="32"/>
    </row>
    <row r="49" spans="43:46" x14ac:dyDescent="0.2">
      <c r="AQ49" s="31"/>
      <c r="AR49" s="32"/>
      <c r="AS49" s="33"/>
      <c r="AT49" s="32"/>
    </row>
    <row r="50" spans="43:46" x14ac:dyDescent="0.2">
      <c r="AQ50" s="31"/>
      <c r="AR50" s="32"/>
      <c r="AS50" s="33"/>
      <c r="AT50" s="32"/>
    </row>
    <row r="51" spans="43:46" x14ac:dyDescent="0.2">
      <c r="AQ51" s="31"/>
      <c r="AR51" s="32"/>
      <c r="AS51" s="33"/>
      <c r="AT51" s="32"/>
    </row>
    <row r="52" spans="43:46" x14ac:dyDescent="0.2">
      <c r="AQ52" s="31"/>
      <c r="AR52" s="32"/>
      <c r="AS52" s="33"/>
      <c r="AT52" s="32"/>
    </row>
    <row r="53" spans="43:46" x14ac:dyDescent="0.2">
      <c r="AQ53" s="31"/>
      <c r="AR53" s="32"/>
      <c r="AS53" s="33"/>
      <c r="AT53" s="32"/>
    </row>
    <row r="54" spans="43:46" x14ac:dyDescent="0.2">
      <c r="AQ54" s="31"/>
      <c r="AR54" s="32"/>
      <c r="AS54" s="33"/>
      <c r="AT54" s="32"/>
    </row>
    <row r="55" spans="43:46" x14ac:dyDescent="0.2">
      <c r="AQ55" s="31"/>
      <c r="AR55" s="32"/>
      <c r="AS55" s="33"/>
      <c r="AT55" s="32"/>
    </row>
    <row r="56" spans="43:46" x14ac:dyDescent="0.2">
      <c r="AQ56" s="31"/>
      <c r="AR56" s="32"/>
      <c r="AS56" s="33"/>
      <c r="AT56" s="32"/>
    </row>
    <row r="57" spans="43:46" x14ac:dyDescent="0.2">
      <c r="AQ57" s="31"/>
      <c r="AR57" s="32"/>
      <c r="AS57" s="33"/>
      <c r="AT57" s="32"/>
    </row>
    <row r="58" spans="43:46" x14ac:dyDescent="0.2">
      <c r="AQ58" s="31"/>
      <c r="AR58" s="32"/>
      <c r="AS58" s="33"/>
      <c r="AT58" s="32"/>
    </row>
    <row r="59" spans="43:46" x14ac:dyDescent="0.2">
      <c r="AQ59" s="31"/>
      <c r="AR59" s="32"/>
      <c r="AS59" s="33"/>
      <c r="AT59" s="32"/>
    </row>
    <row r="60" spans="43:46" x14ac:dyDescent="0.2">
      <c r="AQ60" s="31"/>
      <c r="AR60" s="32"/>
      <c r="AS60" s="33"/>
      <c r="AT60" s="32"/>
    </row>
    <row r="61" spans="43:46" x14ac:dyDescent="0.2">
      <c r="AQ61" s="31"/>
      <c r="AR61" s="32"/>
      <c r="AS61" s="33"/>
      <c r="AT61" s="32"/>
    </row>
    <row r="62" spans="43:46" x14ac:dyDescent="0.2">
      <c r="AQ62" s="31"/>
      <c r="AR62" s="32"/>
      <c r="AS62" s="33"/>
      <c r="AT62" s="32"/>
    </row>
    <row r="63" spans="43:46" x14ac:dyDescent="0.2">
      <c r="AQ63" s="31"/>
      <c r="AR63" s="32"/>
      <c r="AS63" s="33"/>
      <c r="AT63" s="32"/>
    </row>
    <row r="64" spans="43:46" x14ac:dyDescent="0.2">
      <c r="AQ64" s="31"/>
      <c r="AR64" s="32"/>
      <c r="AS64" s="33"/>
      <c r="AT64" s="32"/>
    </row>
    <row r="65" spans="43:46" x14ac:dyDescent="0.2">
      <c r="AQ65" s="31"/>
      <c r="AR65" s="32"/>
      <c r="AS65" s="33"/>
      <c r="AT65" s="32"/>
    </row>
    <row r="66" spans="43:46" x14ac:dyDescent="0.2">
      <c r="AQ66" s="31"/>
      <c r="AR66" s="32"/>
      <c r="AS66" s="33"/>
      <c r="AT66" s="32"/>
    </row>
    <row r="67" spans="43:46" x14ac:dyDescent="0.2">
      <c r="AQ67" s="31"/>
      <c r="AR67" s="32"/>
      <c r="AS67" s="33"/>
      <c r="AT67" s="32"/>
    </row>
    <row r="68" spans="43:46" x14ac:dyDescent="0.2">
      <c r="AQ68" s="31"/>
      <c r="AR68" s="32"/>
      <c r="AS68" s="33"/>
      <c r="AT68" s="32"/>
    </row>
    <row r="69" spans="43:46" x14ac:dyDescent="0.2">
      <c r="AQ69" s="31"/>
      <c r="AR69" s="32"/>
      <c r="AS69" s="33"/>
      <c r="AT69" s="32"/>
    </row>
    <row r="70" spans="43:46" x14ac:dyDescent="0.2">
      <c r="AQ70" s="31"/>
      <c r="AR70" s="32"/>
      <c r="AS70" s="33"/>
      <c r="AT70" s="32"/>
    </row>
    <row r="71" spans="43:46" x14ac:dyDescent="0.2">
      <c r="AQ71" s="31"/>
      <c r="AR71" s="32"/>
      <c r="AS71" s="33"/>
      <c r="AT71" s="32"/>
    </row>
    <row r="72" spans="43:46" x14ac:dyDescent="0.2">
      <c r="AQ72" s="31"/>
      <c r="AR72" s="32"/>
      <c r="AS72" s="33"/>
      <c r="AT72" s="32"/>
    </row>
    <row r="73" spans="43:46" x14ac:dyDescent="0.2">
      <c r="AQ73" s="31"/>
      <c r="AR73" s="32"/>
      <c r="AS73" s="33"/>
      <c r="AT73" s="32"/>
    </row>
    <row r="74" spans="43:46" x14ac:dyDescent="0.2">
      <c r="AQ74" s="31"/>
      <c r="AR74" s="32"/>
      <c r="AS74" s="33"/>
      <c r="AT74" s="32"/>
    </row>
    <row r="75" spans="43:46" x14ac:dyDescent="0.2">
      <c r="AQ75" s="31"/>
      <c r="AR75" s="32"/>
      <c r="AS75" s="33"/>
      <c r="AT75" s="32"/>
    </row>
    <row r="76" spans="43:46" x14ac:dyDescent="0.2">
      <c r="AQ76" s="31"/>
      <c r="AR76" s="32"/>
      <c r="AS76" s="33"/>
      <c r="AT76" s="32"/>
    </row>
    <row r="77" spans="43:46" x14ac:dyDescent="0.2">
      <c r="AQ77" s="31"/>
      <c r="AR77" s="32"/>
      <c r="AS77" s="33"/>
      <c r="AT77" s="32"/>
    </row>
    <row r="78" spans="43:46" x14ac:dyDescent="0.2">
      <c r="AQ78" s="31"/>
      <c r="AR78" s="32"/>
      <c r="AS78" s="33"/>
      <c r="AT78" s="32"/>
    </row>
    <row r="79" spans="43:46" x14ac:dyDescent="0.2">
      <c r="AQ79" s="31"/>
      <c r="AR79" s="32"/>
      <c r="AS79" s="33"/>
      <c r="AT79" s="32"/>
    </row>
    <row r="80" spans="43:46" x14ac:dyDescent="0.2">
      <c r="AQ80" s="31"/>
      <c r="AR80" s="32"/>
      <c r="AS80" s="33"/>
      <c r="AT80" s="32"/>
    </row>
    <row r="81" spans="43:46" x14ac:dyDescent="0.2">
      <c r="AQ81" s="31"/>
      <c r="AR81" s="32"/>
      <c r="AS81" s="33"/>
      <c r="AT81" s="32"/>
    </row>
    <row r="82" spans="43:46" x14ac:dyDescent="0.2">
      <c r="AQ82" s="31"/>
      <c r="AR82" s="32"/>
      <c r="AS82" s="33"/>
      <c r="AT82" s="32"/>
    </row>
    <row r="83" spans="43:46" x14ac:dyDescent="0.2">
      <c r="AQ83" s="31"/>
      <c r="AR83" s="32"/>
      <c r="AS83" s="33"/>
      <c r="AT83" s="32"/>
    </row>
    <row r="84" spans="43:46" x14ac:dyDescent="0.2">
      <c r="AQ84" s="31"/>
      <c r="AR84" s="32"/>
      <c r="AS84" s="33"/>
      <c r="AT84" s="32"/>
    </row>
    <row r="85" spans="43:46" x14ac:dyDescent="0.2">
      <c r="AQ85" s="31"/>
      <c r="AR85" s="32"/>
      <c r="AS85" s="33"/>
      <c r="AT85" s="32"/>
    </row>
    <row r="86" spans="43:46" x14ac:dyDescent="0.2">
      <c r="AQ86" s="31"/>
      <c r="AR86" s="32"/>
      <c r="AS86" s="33"/>
      <c r="AT86" s="32"/>
    </row>
    <row r="87" spans="43:46" x14ac:dyDescent="0.2">
      <c r="AQ87" s="31"/>
      <c r="AR87" s="32"/>
      <c r="AS87" s="33"/>
      <c r="AT87" s="32"/>
    </row>
    <row r="88" spans="43:46" x14ac:dyDescent="0.2">
      <c r="AQ88" s="31"/>
      <c r="AR88" s="32"/>
      <c r="AS88" s="33"/>
      <c r="AT88" s="32"/>
    </row>
    <row r="89" spans="43:46" x14ac:dyDescent="0.2">
      <c r="AQ89" s="31"/>
      <c r="AR89" s="32"/>
      <c r="AS89" s="33"/>
      <c r="AT89" s="32"/>
    </row>
    <row r="90" spans="43:46" x14ac:dyDescent="0.2">
      <c r="AQ90" s="31"/>
      <c r="AR90" s="32"/>
      <c r="AS90" s="33"/>
      <c r="AT90" s="32"/>
    </row>
    <row r="91" spans="43:46" x14ac:dyDescent="0.2">
      <c r="AQ91" s="31"/>
      <c r="AR91" s="32"/>
      <c r="AS91" s="33"/>
      <c r="AT91" s="32"/>
    </row>
    <row r="92" spans="43:46" x14ac:dyDescent="0.2">
      <c r="AQ92" s="31"/>
      <c r="AR92" s="32"/>
      <c r="AS92" s="33"/>
      <c r="AT92" s="32"/>
    </row>
    <row r="93" spans="43:46" x14ac:dyDescent="0.2">
      <c r="AQ93" s="31"/>
      <c r="AR93" s="32"/>
      <c r="AS93" s="33"/>
      <c r="AT93" s="32"/>
    </row>
    <row r="94" spans="43:46" x14ac:dyDescent="0.2">
      <c r="AQ94" s="31"/>
      <c r="AR94" s="32"/>
      <c r="AS94" s="33"/>
      <c r="AT94" s="32"/>
    </row>
    <row r="95" spans="43:46" x14ac:dyDescent="0.2">
      <c r="AQ95" s="31"/>
      <c r="AR95" s="32"/>
      <c r="AS95" s="33"/>
      <c r="AT95" s="32"/>
    </row>
    <row r="96" spans="43:46" x14ac:dyDescent="0.2">
      <c r="AQ96" s="31"/>
      <c r="AR96" s="32"/>
      <c r="AS96" s="33"/>
      <c r="AT96" s="32"/>
    </row>
    <row r="97" spans="43:46" x14ac:dyDescent="0.2">
      <c r="AQ97" s="31"/>
      <c r="AR97" s="32"/>
      <c r="AS97" s="33"/>
      <c r="AT97" s="32"/>
    </row>
    <row r="98" spans="43:46" x14ac:dyDescent="0.2">
      <c r="AQ98" s="31"/>
      <c r="AR98" s="32"/>
      <c r="AS98" s="33"/>
      <c r="AT98" s="32"/>
    </row>
    <row r="99" spans="43:46" x14ac:dyDescent="0.2">
      <c r="AQ99" s="31"/>
      <c r="AR99" s="32"/>
      <c r="AS99" s="33"/>
      <c r="AT99" s="32"/>
    </row>
    <row r="100" spans="43:46" x14ac:dyDescent="0.2">
      <c r="AQ100" s="31"/>
      <c r="AR100" s="32"/>
      <c r="AS100" s="33"/>
      <c r="AT100" s="32"/>
    </row>
    <row r="101" spans="43:46" x14ac:dyDescent="0.2">
      <c r="AQ101" s="31"/>
      <c r="AR101" s="32"/>
      <c r="AS101" s="33"/>
      <c r="AT101" s="32"/>
    </row>
    <row r="102" spans="43:46" x14ac:dyDescent="0.2">
      <c r="AQ102" s="31"/>
      <c r="AR102" s="32"/>
      <c r="AS102" s="33"/>
      <c r="AT102" s="32"/>
    </row>
    <row r="103" spans="43:46" x14ac:dyDescent="0.2">
      <c r="AQ103" s="31"/>
      <c r="AR103" s="32"/>
      <c r="AS103" s="33"/>
      <c r="AT103" s="32"/>
    </row>
    <row r="104" spans="43:46" x14ac:dyDescent="0.2">
      <c r="AQ104" s="31"/>
      <c r="AR104" s="32"/>
      <c r="AS104" s="33"/>
      <c r="AT104" s="32"/>
    </row>
    <row r="105" spans="43:46" x14ac:dyDescent="0.2">
      <c r="AQ105" s="31"/>
      <c r="AR105" s="32"/>
      <c r="AS105" s="33"/>
      <c r="AT105" s="32"/>
    </row>
    <row r="106" spans="43:46" x14ac:dyDescent="0.2">
      <c r="AQ106" s="31"/>
      <c r="AR106" s="32"/>
      <c r="AS106" s="33"/>
      <c r="AT106" s="32"/>
    </row>
    <row r="107" spans="43:46" x14ac:dyDescent="0.2">
      <c r="AQ107" s="31"/>
      <c r="AR107" s="32"/>
      <c r="AS107" s="33"/>
      <c r="AT107" s="32"/>
    </row>
    <row r="108" spans="43:46" x14ac:dyDescent="0.2">
      <c r="AQ108" s="31"/>
      <c r="AR108" s="32"/>
      <c r="AS108" s="33"/>
      <c r="AT108" s="32"/>
    </row>
    <row r="109" spans="43:46" x14ac:dyDescent="0.2">
      <c r="AQ109" s="31"/>
      <c r="AR109" s="32"/>
      <c r="AS109" s="33"/>
      <c r="AT109" s="32"/>
    </row>
    <row r="110" spans="43:46" x14ac:dyDescent="0.2">
      <c r="AQ110" s="31"/>
      <c r="AR110" s="32"/>
      <c r="AS110" s="33"/>
      <c r="AT110" s="32"/>
    </row>
    <row r="111" spans="43:46" x14ac:dyDescent="0.2">
      <c r="AQ111" s="31"/>
      <c r="AR111" s="32"/>
      <c r="AS111" s="33"/>
      <c r="AT111" s="32"/>
    </row>
    <row r="112" spans="43:46" x14ac:dyDescent="0.2">
      <c r="AQ112" s="31"/>
      <c r="AR112" s="32"/>
      <c r="AS112" s="33"/>
      <c r="AT112" s="32"/>
    </row>
    <row r="113" spans="43:46" x14ac:dyDescent="0.2">
      <c r="AQ113" s="31"/>
      <c r="AR113" s="32"/>
      <c r="AS113" s="33"/>
      <c r="AT113" s="32"/>
    </row>
    <row r="114" spans="43:46" x14ac:dyDescent="0.2">
      <c r="AQ114" s="31"/>
      <c r="AR114" s="32"/>
      <c r="AS114" s="33"/>
      <c r="AT114" s="32"/>
    </row>
    <row r="115" spans="43:46" x14ac:dyDescent="0.2">
      <c r="AQ115" s="31"/>
      <c r="AR115" s="32"/>
      <c r="AS115" s="33"/>
      <c r="AT115" s="32"/>
    </row>
    <row r="116" spans="43:46" x14ac:dyDescent="0.2">
      <c r="AQ116" s="31"/>
      <c r="AR116" s="32"/>
      <c r="AS116" s="33"/>
      <c r="AT116" s="32"/>
    </row>
    <row r="117" spans="43:46" x14ac:dyDescent="0.2">
      <c r="AQ117" s="31"/>
      <c r="AR117" s="32"/>
      <c r="AS117" s="33"/>
      <c r="AT117" s="32"/>
    </row>
    <row r="118" spans="43:46" x14ac:dyDescent="0.2">
      <c r="AQ118" s="31"/>
      <c r="AR118" s="32"/>
      <c r="AS118" s="33"/>
      <c r="AT118" s="32"/>
    </row>
    <row r="119" spans="43:46" ht="13.5" thickBot="1" x14ac:dyDescent="0.25">
      <c r="AQ119" s="31"/>
      <c r="AR119" s="32"/>
      <c r="AS119" s="33"/>
      <c r="AT119" s="32"/>
    </row>
    <row r="120" spans="43:46" x14ac:dyDescent="0.2">
      <c r="AQ120" s="31"/>
      <c r="AR120" s="32"/>
      <c r="AS120" s="82"/>
      <c r="AT120" s="83"/>
    </row>
    <row r="121" spans="43:46" x14ac:dyDescent="0.2">
      <c r="AQ121" s="31"/>
      <c r="AR121" s="32"/>
      <c r="AS121" s="33"/>
      <c r="AT121" s="32"/>
    </row>
    <row r="122" spans="43:46" x14ac:dyDescent="0.2">
      <c r="AQ122" s="31"/>
      <c r="AR122" s="32"/>
      <c r="AS122" s="33"/>
      <c r="AT122" s="32"/>
    </row>
    <row r="123" spans="43:46" x14ac:dyDescent="0.2">
      <c r="AQ123" s="31"/>
      <c r="AR123" s="32"/>
      <c r="AS123" s="33"/>
      <c r="AT123" s="32"/>
    </row>
    <row r="124" spans="43:46" x14ac:dyDescent="0.2">
      <c r="AQ124" s="31"/>
      <c r="AR124" s="32"/>
      <c r="AS124" s="33"/>
      <c r="AT124" s="32"/>
    </row>
    <row r="125" spans="43:46" x14ac:dyDescent="0.2">
      <c r="AQ125" s="31"/>
      <c r="AR125" s="32"/>
      <c r="AS125" s="33"/>
      <c r="AT125" s="32"/>
    </row>
    <row r="126" spans="43:46" x14ac:dyDescent="0.2">
      <c r="AQ126" s="31"/>
      <c r="AR126" s="32"/>
      <c r="AS126" s="33"/>
      <c r="AT126" s="32"/>
    </row>
    <row r="127" spans="43:46" x14ac:dyDescent="0.2">
      <c r="AQ127" s="31"/>
      <c r="AR127" s="32"/>
      <c r="AS127" s="33"/>
      <c r="AT127" s="32"/>
    </row>
    <row r="128" spans="43:46" x14ac:dyDescent="0.2">
      <c r="AQ128" s="31"/>
      <c r="AR128" s="32"/>
      <c r="AS128" s="33"/>
      <c r="AT128" s="32"/>
    </row>
    <row r="129" spans="43:46" x14ac:dyDescent="0.2">
      <c r="AQ129" s="31"/>
      <c r="AR129" s="32"/>
      <c r="AS129" s="33"/>
      <c r="AT129" s="32"/>
    </row>
    <row r="130" spans="43:46" x14ac:dyDescent="0.2">
      <c r="AQ130" s="31"/>
      <c r="AR130" s="32"/>
      <c r="AS130" s="33"/>
      <c r="AT130" s="32"/>
    </row>
    <row r="131" spans="43:46" x14ac:dyDescent="0.2">
      <c r="AQ131" s="31"/>
      <c r="AR131" s="32"/>
      <c r="AS131" s="33"/>
      <c r="AT131" s="32"/>
    </row>
    <row r="132" spans="43:46" x14ac:dyDescent="0.2">
      <c r="AQ132" s="31"/>
      <c r="AR132" s="32"/>
      <c r="AS132" s="33"/>
      <c r="AT132" s="32"/>
    </row>
    <row r="133" spans="43:46" x14ac:dyDescent="0.2">
      <c r="AQ133" s="31"/>
      <c r="AR133" s="32"/>
      <c r="AS133" s="33"/>
      <c r="AT133" s="32"/>
    </row>
    <row r="134" spans="43:46" x14ac:dyDescent="0.2">
      <c r="AQ134" s="31"/>
      <c r="AR134" s="32"/>
      <c r="AS134" s="33"/>
      <c r="AT134" s="32"/>
    </row>
    <row r="135" spans="43:46" x14ac:dyDescent="0.2">
      <c r="AQ135" s="31"/>
      <c r="AR135" s="32"/>
      <c r="AS135" s="33"/>
      <c r="AT135" s="32"/>
    </row>
    <row r="136" spans="43:46" x14ac:dyDescent="0.2">
      <c r="AQ136" s="31"/>
      <c r="AR136" s="32"/>
      <c r="AS136" s="33"/>
      <c r="AT136" s="32"/>
    </row>
    <row r="137" spans="43:46" x14ac:dyDescent="0.2">
      <c r="AQ137" s="31"/>
      <c r="AR137" s="32"/>
      <c r="AS137" s="33"/>
      <c r="AT137" s="32"/>
    </row>
    <row r="138" spans="43:46" x14ac:dyDescent="0.2">
      <c r="AQ138" s="31"/>
      <c r="AR138" s="32"/>
      <c r="AS138" s="33"/>
      <c r="AT138" s="32"/>
    </row>
    <row r="139" spans="43:46" x14ac:dyDescent="0.2">
      <c r="AQ139" s="31"/>
      <c r="AR139" s="32"/>
      <c r="AS139" s="33"/>
      <c r="AT139" s="32"/>
    </row>
    <row r="140" spans="43:46" x14ac:dyDescent="0.2">
      <c r="AQ140" s="31"/>
      <c r="AR140" s="32"/>
      <c r="AS140" s="33"/>
      <c r="AT140" s="32"/>
    </row>
    <row r="141" spans="43:46" x14ac:dyDescent="0.2">
      <c r="AQ141" s="31"/>
      <c r="AR141" s="32"/>
      <c r="AS141" s="33"/>
      <c r="AT141" s="32"/>
    </row>
    <row r="142" spans="43:46" x14ac:dyDescent="0.2">
      <c r="AQ142" s="31"/>
      <c r="AR142" s="32"/>
      <c r="AS142" s="33"/>
      <c r="AT142" s="32"/>
    </row>
    <row r="143" spans="43:46" x14ac:dyDescent="0.2">
      <c r="AQ143" s="31"/>
      <c r="AR143" s="32"/>
      <c r="AS143" s="33"/>
      <c r="AT143" s="32"/>
    </row>
    <row r="144" spans="43:46" x14ac:dyDescent="0.2">
      <c r="AQ144" s="31"/>
      <c r="AR144" s="32"/>
      <c r="AS144" s="33"/>
      <c r="AT144" s="32"/>
    </row>
    <row r="145" spans="43:46" x14ac:dyDescent="0.2">
      <c r="AQ145" s="31"/>
      <c r="AR145" s="32"/>
      <c r="AS145" s="33"/>
      <c r="AT145" s="32"/>
    </row>
    <row r="146" spans="43:46" x14ac:dyDescent="0.2">
      <c r="AQ146" s="31"/>
      <c r="AR146" s="32"/>
      <c r="AS146" s="33"/>
      <c r="AT146" s="32"/>
    </row>
    <row r="147" spans="43:46" x14ac:dyDescent="0.2">
      <c r="AQ147" s="31"/>
      <c r="AR147" s="32"/>
      <c r="AS147" s="33"/>
      <c r="AT147" s="32"/>
    </row>
    <row r="148" spans="43:46" x14ac:dyDescent="0.2">
      <c r="AQ148" s="31"/>
      <c r="AR148" s="32"/>
      <c r="AS148" s="33"/>
      <c r="AT148" s="32"/>
    </row>
    <row r="149" spans="43:46" x14ac:dyDescent="0.2">
      <c r="AQ149" s="31"/>
      <c r="AR149" s="32"/>
      <c r="AS149" s="33"/>
      <c r="AT149" s="32"/>
    </row>
    <row r="150" spans="43:46" x14ac:dyDescent="0.2">
      <c r="AQ150" s="31"/>
      <c r="AR150" s="32"/>
      <c r="AS150" s="33"/>
      <c r="AT150" s="32"/>
    </row>
    <row r="151" spans="43:46" x14ac:dyDescent="0.2">
      <c r="AQ151" s="31"/>
      <c r="AR151" s="32"/>
      <c r="AS151" s="33"/>
      <c r="AT151" s="32"/>
    </row>
    <row r="152" spans="43:46" x14ac:dyDescent="0.2">
      <c r="AQ152" s="31"/>
      <c r="AR152" s="32"/>
      <c r="AS152" s="33"/>
      <c r="AT152" s="32"/>
    </row>
    <row r="153" spans="43:46" x14ac:dyDescent="0.2">
      <c r="AQ153" s="31"/>
      <c r="AR153" s="32"/>
      <c r="AS153" s="33"/>
      <c r="AT153" s="32"/>
    </row>
    <row r="154" spans="43:46" x14ac:dyDescent="0.2">
      <c r="AQ154" s="31"/>
      <c r="AR154" s="32"/>
      <c r="AS154" s="33"/>
      <c r="AT154" s="32"/>
    </row>
    <row r="155" spans="43:46" x14ac:dyDescent="0.2">
      <c r="AQ155" s="31"/>
      <c r="AR155" s="32"/>
      <c r="AS155" s="33"/>
      <c r="AT155" s="32"/>
    </row>
    <row r="156" spans="43:46" x14ac:dyDescent="0.2">
      <c r="AQ156" s="31"/>
      <c r="AR156" s="32"/>
      <c r="AS156" s="33"/>
      <c r="AT156" s="32"/>
    </row>
    <row r="157" spans="43:46" x14ac:dyDescent="0.2">
      <c r="AQ157" s="31"/>
      <c r="AR157" s="32"/>
      <c r="AS157" s="33"/>
      <c r="AT157" s="32"/>
    </row>
    <row r="158" spans="43:46" x14ac:dyDescent="0.2">
      <c r="AQ158" s="31"/>
      <c r="AR158" s="32"/>
      <c r="AS158" s="33"/>
      <c r="AT158" s="32"/>
    </row>
    <row r="159" spans="43:46" x14ac:dyDescent="0.2">
      <c r="AQ159" s="31"/>
      <c r="AR159" s="32"/>
      <c r="AS159" s="33"/>
      <c r="AT159" s="32"/>
    </row>
    <row r="160" spans="43:46" x14ac:dyDescent="0.2">
      <c r="AQ160" s="31"/>
      <c r="AR160" s="32"/>
      <c r="AS160" s="33"/>
      <c r="AT160" s="32"/>
    </row>
    <row r="161" spans="43:46" x14ac:dyDescent="0.2">
      <c r="AQ161" s="31"/>
      <c r="AR161" s="32"/>
      <c r="AS161" s="33"/>
      <c r="AT161" s="32"/>
    </row>
    <row r="162" spans="43:46" x14ac:dyDescent="0.2">
      <c r="AQ162" s="31"/>
      <c r="AR162" s="32"/>
      <c r="AS162" s="33"/>
      <c r="AT162" s="32"/>
    </row>
    <row r="163" spans="43:46" x14ac:dyDescent="0.2">
      <c r="AQ163" s="31"/>
      <c r="AR163" s="32"/>
      <c r="AS163" s="33"/>
      <c r="AT163" s="32"/>
    </row>
    <row r="164" spans="43:46" x14ac:dyDescent="0.2">
      <c r="AQ164" s="31"/>
      <c r="AR164" s="32"/>
      <c r="AS164" s="33"/>
      <c r="AT164" s="32"/>
    </row>
    <row r="165" spans="43:46" x14ac:dyDescent="0.2">
      <c r="AQ165" s="31"/>
      <c r="AR165" s="32"/>
      <c r="AS165" s="33"/>
      <c r="AT165" s="32"/>
    </row>
    <row r="166" spans="43:46" x14ac:dyDescent="0.2">
      <c r="AQ166" s="31"/>
      <c r="AR166" s="32"/>
      <c r="AS166" s="33"/>
      <c r="AT166" s="32"/>
    </row>
    <row r="167" spans="43:46" x14ac:dyDescent="0.2">
      <c r="AQ167" s="31"/>
      <c r="AR167" s="32"/>
      <c r="AS167" s="33"/>
      <c r="AT167" s="32"/>
    </row>
    <row r="168" spans="43:46" x14ac:dyDescent="0.2">
      <c r="AQ168" s="31"/>
      <c r="AR168" s="32"/>
      <c r="AS168" s="33"/>
      <c r="AT168" s="32"/>
    </row>
    <row r="169" spans="43:46" x14ac:dyDescent="0.2">
      <c r="AQ169" s="31"/>
      <c r="AR169" s="32"/>
      <c r="AS169" s="33"/>
      <c r="AT169" s="32"/>
    </row>
    <row r="170" spans="43:46" x14ac:dyDescent="0.2">
      <c r="AQ170" s="31"/>
      <c r="AR170" s="32"/>
      <c r="AS170" s="33"/>
      <c r="AT170" s="32"/>
    </row>
    <row r="171" spans="43:46" x14ac:dyDescent="0.2">
      <c r="AQ171" s="31"/>
      <c r="AR171" s="32"/>
      <c r="AS171" s="33"/>
      <c r="AT171" s="32"/>
    </row>
    <row r="172" spans="43:46" x14ac:dyDescent="0.2">
      <c r="AQ172" s="31"/>
      <c r="AR172" s="32"/>
      <c r="AS172" s="33"/>
      <c r="AT172" s="32"/>
    </row>
    <row r="173" spans="43:46" x14ac:dyDescent="0.2">
      <c r="AQ173" s="31"/>
      <c r="AR173" s="32"/>
      <c r="AS173" s="33"/>
      <c r="AT173" s="32"/>
    </row>
    <row r="174" spans="43:46" x14ac:dyDescent="0.2">
      <c r="AQ174" s="31"/>
      <c r="AR174" s="32"/>
      <c r="AS174" s="33"/>
      <c r="AT174" s="32"/>
    </row>
    <row r="175" spans="43:46" x14ac:dyDescent="0.2">
      <c r="AQ175" s="31"/>
      <c r="AR175" s="32"/>
      <c r="AS175" s="33"/>
      <c r="AT175" s="32"/>
    </row>
    <row r="176" spans="43:46" x14ac:dyDescent="0.2">
      <c r="AQ176" s="31"/>
      <c r="AR176" s="32"/>
      <c r="AS176" s="33"/>
      <c r="AT176" s="32"/>
    </row>
    <row r="177" spans="43:46" x14ac:dyDescent="0.2">
      <c r="AQ177" s="31"/>
      <c r="AR177" s="32"/>
      <c r="AS177" s="33"/>
      <c r="AT177" s="32"/>
    </row>
    <row r="178" spans="43:46" x14ac:dyDescent="0.2">
      <c r="AQ178" s="31"/>
      <c r="AR178" s="32"/>
      <c r="AS178" s="33"/>
      <c r="AT178" s="32"/>
    </row>
    <row r="179" spans="43:46" x14ac:dyDescent="0.2">
      <c r="AQ179" s="31"/>
      <c r="AR179" s="32"/>
      <c r="AS179" s="33"/>
      <c r="AT179" s="32"/>
    </row>
    <row r="180" spans="43:46" x14ac:dyDescent="0.2">
      <c r="AQ180" s="31"/>
      <c r="AR180" s="32"/>
      <c r="AS180" s="33"/>
      <c r="AT180" s="32"/>
    </row>
    <row r="181" spans="43:46" x14ac:dyDescent="0.2">
      <c r="AQ181" s="31"/>
      <c r="AR181" s="32"/>
      <c r="AS181" s="33"/>
      <c r="AT181" s="32"/>
    </row>
    <row r="182" spans="43:46" x14ac:dyDescent="0.2">
      <c r="AQ182" s="31"/>
      <c r="AR182" s="32"/>
      <c r="AS182" s="33"/>
      <c r="AT182" s="32"/>
    </row>
    <row r="183" spans="43:46" x14ac:dyDescent="0.2">
      <c r="AQ183" s="31"/>
      <c r="AR183" s="32"/>
      <c r="AS183" s="33"/>
      <c r="AT183" s="32"/>
    </row>
    <row r="184" spans="43:46" x14ac:dyDescent="0.2">
      <c r="AQ184" s="31"/>
      <c r="AR184" s="32"/>
      <c r="AS184" s="33"/>
      <c r="AT184" s="32"/>
    </row>
    <row r="185" spans="43:46" x14ac:dyDescent="0.2">
      <c r="AQ185" s="31"/>
      <c r="AR185" s="32"/>
      <c r="AS185" s="33"/>
      <c r="AT185" s="32"/>
    </row>
    <row r="186" spans="43:46" x14ac:dyDescent="0.2">
      <c r="AQ186" s="31"/>
      <c r="AR186" s="32"/>
      <c r="AS186" s="33"/>
      <c r="AT186" s="32"/>
    </row>
    <row r="187" spans="43:46" x14ac:dyDescent="0.2">
      <c r="AQ187" s="31"/>
      <c r="AR187" s="32"/>
      <c r="AS187" s="33"/>
      <c r="AT187" s="32"/>
    </row>
    <row r="188" spans="43:46" x14ac:dyDescent="0.2">
      <c r="AQ188" s="31"/>
      <c r="AR188" s="32"/>
      <c r="AS188" s="33"/>
      <c r="AT188" s="32"/>
    </row>
    <row r="189" spans="43:46" x14ac:dyDescent="0.2">
      <c r="AQ189" s="31"/>
      <c r="AR189" s="32"/>
      <c r="AS189" s="33"/>
      <c r="AT189" s="32"/>
    </row>
    <row r="190" spans="43:46" x14ac:dyDescent="0.2">
      <c r="AQ190" s="31"/>
      <c r="AR190" s="32"/>
      <c r="AS190" s="33"/>
      <c r="AT190" s="32"/>
    </row>
    <row r="191" spans="43:46" x14ac:dyDescent="0.2">
      <c r="AQ191" s="31"/>
      <c r="AR191" s="32"/>
      <c r="AS191" s="33"/>
      <c r="AT191" s="32"/>
    </row>
    <row r="192" spans="43:46" x14ac:dyDescent="0.2">
      <c r="AQ192" s="31"/>
      <c r="AR192" s="32"/>
      <c r="AS192" s="33"/>
      <c r="AT192" s="32"/>
    </row>
    <row r="193" spans="43:46" x14ac:dyDescent="0.2">
      <c r="AQ193" s="31"/>
      <c r="AR193" s="32"/>
      <c r="AS193" s="33"/>
      <c r="AT193" s="32"/>
    </row>
    <row r="194" spans="43:46" x14ac:dyDescent="0.2">
      <c r="AQ194" s="31"/>
      <c r="AR194" s="32"/>
      <c r="AS194" s="33"/>
      <c r="AT194" s="32"/>
    </row>
    <row r="195" spans="43:46" x14ac:dyDescent="0.2">
      <c r="AQ195" s="31"/>
      <c r="AR195" s="32"/>
      <c r="AS195" s="33"/>
      <c r="AT195" s="32"/>
    </row>
    <row r="196" spans="43:46" x14ac:dyDescent="0.2">
      <c r="AQ196" s="31"/>
      <c r="AR196" s="32"/>
      <c r="AS196" s="33"/>
      <c r="AT196" s="32"/>
    </row>
    <row r="197" spans="43:46" x14ac:dyDescent="0.2">
      <c r="AQ197" s="31"/>
      <c r="AR197" s="32"/>
      <c r="AS197" s="33"/>
      <c r="AT197" s="32"/>
    </row>
    <row r="198" spans="43:46" x14ac:dyDescent="0.2">
      <c r="AQ198" s="31"/>
      <c r="AR198" s="32"/>
      <c r="AS198" s="33"/>
      <c r="AT198" s="32"/>
    </row>
    <row r="199" spans="43:46" x14ac:dyDescent="0.2">
      <c r="AQ199" s="31"/>
      <c r="AR199" s="32"/>
      <c r="AS199" s="33"/>
      <c r="AT199" s="32"/>
    </row>
    <row r="200" spans="43:46" x14ac:dyDescent="0.2">
      <c r="AQ200" s="31"/>
      <c r="AR200" s="32"/>
      <c r="AS200" s="33"/>
      <c r="AT200" s="32"/>
    </row>
    <row r="201" spans="43:46" x14ac:dyDescent="0.2">
      <c r="AQ201" s="31"/>
      <c r="AR201" s="32"/>
      <c r="AS201" s="33"/>
      <c r="AT201" s="32"/>
    </row>
    <row r="202" spans="43:46" x14ac:dyDescent="0.2">
      <c r="AQ202" s="31"/>
      <c r="AR202" s="32"/>
      <c r="AS202" s="33"/>
      <c r="AT202" s="32"/>
    </row>
    <row r="203" spans="43:46" x14ac:dyDescent="0.2">
      <c r="AQ203" s="31"/>
      <c r="AR203" s="32"/>
      <c r="AS203" s="33"/>
      <c r="AT203" s="32"/>
    </row>
    <row r="204" spans="43:46" x14ac:dyDescent="0.2">
      <c r="AQ204" s="31"/>
      <c r="AR204" s="32"/>
      <c r="AS204" s="33"/>
      <c r="AT204" s="32"/>
    </row>
    <row r="205" spans="43:46" x14ac:dyDescent="0.2">
      <c r="AQ205" s="31"/>
      <c r="AR205" s="32"/>
      <c r="AS205" s="33"/>
      <c r="AT205" s="32"/>
    </row>
    <row r="206" spans="43:46" x14ac:dyDescent="0.2">
      <c r="AQ206" s="31"/>
      <c r="AR206" s="32"/>
      <c r="AS206" s="33"/>
      <c r="AT206" s="32"/>
    </row>
    <row r="207" spans="43:46" x14ac:dyDescent="0.2">
      <c r="AQ207" s="31"/>
      <c r="AR207" s="32"/>
      <c r="AS207" s="33"/>
      <c r="AT207" s="32"/>
    </row>
    <row r="208" spans="43:46" x14ac:dyDescent="0.2">
      <c r="AQ208" s="31"/>
      <c r="AR208" s="32"/>
      <c r="AS208" s="33"/>
      <c r="AT208" s="32"/>
    </row>
    <row r="209" spans="43:46" x14ac:dyDescent="0.2">
      <c r="AQ209" s="31"/>
      <c r="AR209" s="32"/>
      <c r="AS209" s="33"/>
      <c r="AT209" s="32"/>
    </row>
    <row r="210" spans="43:46" x14ac:dyDescent="0.2">
      <c r="AQ210" s="31"/>
      <c r="AR210" s="32"/>
      <c r="AS210" s="33"/>
      <c r="AT210" s="32"/>
    </row>
    <row r="211" spans="43:46" x14ac:dyDescent="0.2">
      <c r="AQ211" s="31"/>
      <c r="AR211" s="32"/>
      <c r="AS211" s="33"/>
      <c r="AT211" s="32"/>
    </row>
    <row r="212" spans="43:46" x14ac:dyDescent="0.2">
      <c r="AQ212" s="31"/>
      <c r="AR212" s="32"/>
      <c r="AS212" s="33"/>
      <c r="AT212" s="32"/>
    </row>
    <row r="213" spans="43:46" x14ac:dyDescent="0.2">
      <c r="AQ213" s="31"/>
      <c r="AR213" s="32"/>
      <c r="AS213" s="33"/>
      <c r="AT213" s="32"/>
    </row>
    <row r="214" spans="43:46" x14ac:dyDescent="0.2">
      <c r="AQ214" s="31"/>
      <c r="AR214" s="32"/>
      <c r="AS214" s="33"/>
      <c r="AT214" s="32"/>
    </row>
    <row r="215" spans="43:46" x14ac:dyDescent="0.2">
      <c r="AQ215" s="31"/>
      <c r="AR215" s="32"/>
      <c r="AS215" s="33"/>
      <c r="AT215" s="32"/>
    </row>
    <row r="216" spans="43:46" x14ac:dyDescent="0.2">
      <c r="AQ216" s="31"/>
      <c r="AR216" s="32"/>
      <c r="AS216" s="33"/>
      <c r="AT216" s="32"/>
    </row>
    <row r="217" spans="43:46" x14ac:dyDescent="0.2">
      <c r="AQ217" s="31"/>
      <c r="AR217" s="32"/>
      <c r="AS217" s="33"/>
      <c r="AT217" s="32"/>
    </row>
    <row r="218" spans="43:46" x14ac:dyDescent="0.2">
      <c r="AQ218" s="31"/>
      <c r="AR218" s="32"/>
      <c r="AS218" s="33"/>
      <c r="AT218" s="32"/>
    </row>
    <row r="219" spans="43:46" x14ac:dyDescent="0.2">
      <c r="AQ219" s="31"/>
      <c r="AR219" s="32"/>
      <c r="AS219" s="33"/>
      <c r="AT219" s="32"/>
    </row>
    <row r="220" spans="43:46" x14ac:dyDescent="0.2">
      <c r="AQ220" s="31"/>
      <c r="AR220" s="32"/>
      <c r="AS220" s="33"/>
      <c r="AT220" s="32"/>
    </row>
    <row r="221" spans="43:46" x14ac:dyDescent="0.2">
      <c r="AQ221" s="31"/>
      <c r="AR221" s="32"/>
      <c r="AS221" s="33"/>
      <c r="AT221" s="32"/>
    </row>
    <row r="222" spans="43:46" x14ac:dyDescent="0.2">
      <c r="AQ222" s="31"/>
      <c r="AR222" s="32"/>
      <c r="AS222" s="33"/>
      <c r="AT222" s="32"/>
    </row>
    <row r="223" spans="43:46" x14ac:dyDescent="0.2">
      <c r="AQ223" s="31"/>
      <c r="AR223" s="32"/>
      <c r="AS223" s="33"/>
      <c r="AT223" s="32"/>
    </row>
    <row r="224" spans="43:46" x14ac:dyDescent="0.2">
      <c r="AQ224" s="31"/>
      <c r="AR224" s="32"/>
      <c r="AS224" s="33"/>
      <c r="AT224" s="32"/>
    </row>
    <row r="225" spans="43:46" x14ac:dyDescent="0.2">
      <c r="AQ225" s="31"/>
      <c r="AR225" s="32"/>
      <c r="AS225" s="33"/>
      <c r="AT225" s="32"/>
    </row>
    <row r="226" spans="43:46" x14ac:dyDescent="0.2">
      <c r="AQ226" s="31"/>
      <c r="AR226" s="32"/>
      <c r="AS226" s="33"/>
      <c r="AT226" s="32"/>
    </row>
    <row r="227" spans="43:46" x14ac:dyDescent="0.2">
      <c r="AQ227" s="31"/>
      <c r="AR227" s="32"/>
      <c r="AS227" s="33"/>
      <c r="AT227" s="32"/>
    </row>
    <row r="228" spans="43:46" x14ac:dyDescent="0.2">
      <c r="AQ228" s="31"/>
      <c r="AR228" s="32"/>
      <c r="AS228" s="33"/>
      <c r="AT228" s="32"/>
    </row>
    <row r="229" spans="43:46" x14ac:dyDescent="0.2">
      <c r="AQ229" s="31"/>
      <c r="AR229" s="32"/>
      <c r="AS229" s="33"/>
      <c r="AT229" s="32"/>
    </row>
    <row r="230" spans="43:46" x14ac:dyDescent="0.2">
      <c r="AQ230" s="31"/>
      <c r="AR230" s="32"/>
      <c r="AS230" s="33"/>
      <c r="AT230" s="32"/>
    </row>
    <row r="231" spans="43:46" x14ac:dyDescent="0.2">
      <c r="AQ231" s="31"/>
      <c r="AR231" s="32"/>
      <c r="AS231" s="33"/>
      <c r="AT231" s="32"/>
    </row>
    <row r="232" spans="43:46" x14ac:dyDescent="0.2">
      <c r="AQ232" s="31"/>
      <c r="AR232" s="32"/>
      <c r="AS232" s="33"/>
      <c r="AT232" s="32"/>
    </row>
    <row r="233" spans="43:46" x14ac:dyDescent="0.2">
      <c r="AQ233" s="31"/>
      <c r="AR233" s="32"/>
      <c r="AS233" s="33"/>
      <c r="AT233" s="32"/>
    </row>
    <row r="234" spans="43:46" x14ac:dyDescent="0.2">
      <c r="AQ234" s="31"/>
      <c r="AR234" s="32"/>
      <c r="AS234" s="33"/>
      <c r="AT234" s="32"/>
    </row>
    <row r="235" spans="43:46" x14ac:dyDescent="0.2">
      <c r="AQ235" s="31"/>
      <c r="AR235" s="32"/>
      <c r="AS235" s="33"/>
      <c r="AT235" s="32"/>
    </row>
    <row r="236" spans="43:46" x14ac:dyDescent="0.2">
      <c r="AQ236" s="31"/>
      <c r="AR236" s="32"/>
      <c r="AS236" s="33"/>
      <c r="AT236" s="32"/>
    </row>
    <row r="237" spans="43:46" x14ac:dyDescent="0.2">
      <c r="AQ237" s="31"/>
      <c r="AR237" s="32"/>
      <c r="AS237" s="33"/>
      <c r="AT237" s="32"/>
    </row>
    <row r="238" spans="43:46" x14ac:dyDescent="0.2">
      <c r="AQ238" s="31"/>
      <c r="AR238" s="32"/>
      <c r="AS238" s="33"/>
      <c r="AT238" s="32"/>
    </row>
    <row r="239" spans="43:46" x14ac:dyDescent="0.2">
      <c r="AQ239" s="31"/>
      <c r="AR239" s="32"/>
      <c r="AS239" s="33"/>
      <c r="AT239" s="32"/>
    </row>
    <row r="240" spans="43:46" x14ac:dyDescent="0.2">
      <c r="AQ240" s="31"/>
      <c r="AR240" s="32"/>
      <c r="AS240" s="33"/>
      <c r="AT240" s="32"/>
    </row>
    <row r="241" spans="43:46" x14ac:dyDescent="0.2">
      <c r="AQ241" s="31"/>
      <c r="AR241" s="32"/>
      <c r="AS241" s="33"/>
      <c r="AT241" s="32"/>
    </row>
    <row r="242" spans="43:46" x14ac:dyDescent="0.2">
      <c r="AQ242" s="31"/>
      <c r="AR242" s="32"/>
      <c r="AS242" s="33"/>
      <c r="AT242" s="32"/>
    </row>
    <row r="243" spans="43:46" x14ac:dyDescent="0.2">
      <c r="AQ243" s="31"/>
      <c r="AR243" s="32"/>
      <c r="AS243" s="33"/>
      <c r="AT243" s="32"/>
    </row>
    <row r="244" spans="43:46" x14ac:dyDescent="0.2">
      <c r="AQ244" s="31"/>
      <c r="AR244" s="32"/>
      <c r="AS244" s="33"/>
      <c r="AT244" s="32"/>
    </row>
    <row r="245" spans="43:46" x14ac:dyDescent="0.2">
      <c r="AQ245" s="31"/>
      <c r="AR245" s="32"/>
      <c r="AS245" s="33"/>
      <c r="AT245" s="32"/>
    </row>
    <row r="246" spans="43:46" x14ac:dyDescent="0.2">
      <c r="AQ246" s="31"/>
      <c r="AR246" s="32"/>
      <c r="AS246" s="33"/>
      <c r="AT246" s="32"/>
    </row>
    <row r="247" spans="43:46" x14ac:dyDescent="0.2">
      <c r="AQ247" s="31"/>
      <c r="AR247" s="32"/>
      <c r="AS247" s="33"/>
      <c r="AT247" s="32"/>
    </row>
    <row r="248" spans="43:46" x14ac:dyDescent="0.2">
      <c r="AQ248" s="31"/>
      <c r="AR248" s="32"/>
      <c r="AS248" s="33"/>
      <c r="AT248" s="32"/>
    </row>
    <row r="249" spans="43:46" x14ac:dyDescent="0.2">
      <c r="AQ249" s="31"/>
      <c r="AR249" s="32"/>
      <c r="AS249" s="33"/>
      <c r="AT249" s="32"/>
    </row>
    <row r="250" spans="43:46" x14ac:dyDescent="0.2">
      <c r="AQ250" s="31"/>
      <c r="AR250" s="32"/>
      <c r="AS250" s="33"/>
      <c r="AT250" s="32"/>
    </row>
    <row r="251" spans="43:46" x14ac:dyDescent="0.2">
      <c r="AQ251" s="31"/>
      <c r="AR251" s="32"/>
      <c r="AS251" s="33"/>
      <c r="AT251" s="32"/>
    </row>
    <row r="252" spans="43:46" x14ac:dyDescent="0.2">
      <c r="AQ252" s="31"/>
      <c r="AR252" s="32"/>
      <c r="AS252" s="33"/>
      <c r="AT252" s="32"/>
    </row>
    <row r="253" spans="43:46" x14ac:dyDescent="0.2">
      <c r="AQ253" s="31"/>
      <c r="AR253" s="32"/>
      <c r="AS253" s="33"/>
      <c r="AT253" s="32"/>
    </row>
    <row r="254" spans="43:46" x14ac:dyDescent="0.2">
      <c r="AQ254" s="31"/>
      <c r="AR254" s="32"/>
      <c r="AS254" s="33"/>
      <c r="AT254" s="32"/>
    </row>
    <row r="255" spans="43:46" x14ac:dyDescent="0.2">
      <c r="AQ255" s="31"/>
      <c r="AR255" s="32"/>
      <c r="AS255" s="33"/>
      <c r="AT255" s="32"/>
    </row>
    <row r="256" spans="43:46" x14ac:dyDescent="0.2">
      <c r="AQ256" s="31"/>
      <c r="AR256" s="32"/>
      <c r="AS256" s="33"/>
      <c r="AT256" s="32"/>
    </row>
    <row r="257" spans="43:46" x14ac:dyDescent="0.2">
      <c r="AQ257" s="31"/>
      <c r="AR257" s="32"/>
      <c r="AS257" s="33"/>
      <c r="AT257" s="32"/>
    </row>
    <row r="258" spans="43:46" x14ac:dyDescent="0.2">
      <c r="AQ258" s="31"/>
      <c r="AR258" s="32"/>
      <c r="AS258" s="33"/>
      <c r="AT258" s="32"/>
    </row>
    <row r="259" spans="43:46" x14ac:dyDescent="0.2">
      <c r="AQ259" s="31"/>
      <c r="AR259" s="32"/>
      <c r="AS259" s="33"/>
      <c r="AT259" s="32"/>
    </row>
    <row r="260" spans="43:46" x14ac:dyDescent="0.2">
      <c r="AQ260" s="31"/>
      <c r="AR260" s="32"/>
      <c r="AS260" s="33"/>
      <c r="AT260" s="32"/>
    </row>
    <row r="261" spans="43:46" x14ac:dyDescent="0.2">
      <c r="AQ261" s="31"/>
      <c r="AR261" s="32"/>
      <c r="AS261" s="33"/>
      <c r="AT261" s="32"/>
    </row>
    <row r="262" spans="43:46" x14ac:dyDescent="0.2">
      <c r="AQ262" s="31"/>
      <c r="AR262" s="32"/>
      <c r="AS262" s="33"/>
      <c r="AT262" s="32"/>
    </row>
    <row r="263" spans="43:46" x14ac:dyDescent="0.2">
      <c r="AQ263" s="31"/>
      <c r="AR263" s="32"/>
      <c r="AS263" s="33"/>
      <c r="AT263" s="32"/>
    </row>
    <row r="264" spans="43:46" x14ac:dyDescent="0.2">
      <c r="AQ264" s="31"/>
      <c r="AR264" s="32"/>
      <c r="AS264" s="33"/>
      <c r="AT264" s="32"/>
    </row>
    <row r="265" spans="43:46" x14ac:dyDescent="0.2">
      <c r="AQ265" s="31"/>
      <c r="AR265" s="32"/>
      <c r="AS265" s="33"/>
      <c r="AT265" s="32"/>
    </row>
    <row r="266" spans="43:46" x14ac:dyDescent="0.2">
      <c r="AQ266" s="31"/>
      <c r="AR266" s="32"/>
      <c r="AS266" s="33"/>
      <c r="AT266" s="32"/>
    </row>
    <row r="267" spans="43:46" x14ac:dyDescent="0.2">
      <c r="AQ267" s="31"/>
      <c r="AR267" s="32"/>
      <c r="AS267" s="33"/>
      <c r="AT267" s="32"/>
    </row>
    <row r="268" spans="43:46" x14ac:dyDescent="0.2">
      <c r="AQ268" s="31"/>
      <c r="AR268" s="32"/>
      <c r="AS268" s="33"/>
      <c r="AT268" s="32"/>
    </row>
    <row r="269" spans="43:46" x14ac:dyDescent="0.2">
      <c r="AQ269" s="31"/>
      <c r="AR269" s="32"/>
      <c r="AS269" s="33"/>
      <c r="AT269" s="32"/>
    </row>
    <row r="270" spans="43:46" x14ac:dyDescent="0.2">
      <c r="AQ270" s="31"/>
      <c r="AR270" s="32"/>
      <c r="AS270" s="33"/>
      <c r="AT270" s="32"/>
    </row>
    <row r="271" spans="43:46" x14ac:dyDescent="0.2">
      <c r="AQ271" s="31"/>
      <c r="AR271" s="32"/>
      <c r="AS271" s="33"/>
      <c r="AT271" s="32"/>
    </row>
    <row r="272" spans="43:46" x14ac:dyDescent="0.2">
      <c r="AQ272" s="31"/>
      <c r="AR272" s="32"/>
      <c r="AS272" s="33"/>
      <c r="AT272" s="32"/>
    </row>
    <row r="273" spans="43:46" x14ac:dyDescent="0.2">
      <c r="AQ273" s="31"/>
      <c r="AR273" s="32"/>
      <c r="AS273" s="33"/>
      <c r="AT273" s="32"/>
    </row>
    <row r="274" spans="43:46" x14ac:dyDescent="0.2">
      <c r="AQ274" s="31"/>
      <c r="AR274" s="32"/>
      <c r="AS274" s="33"/>
      <c r="AT274" s="32"/>
    </row>
    <row r="275" spans="43:46" x14ac:dyDescent="0.2">
      <c r="AQ275" s="31"/>
      <c r="AR275" s="32"/>
      <c r="AS275" s="33"/>
      <c r="AT275" s="32"/>
    </row>
    <row r="276" spans="43:46" x14ac:dyDescent="0.2">
      <c r="AQ276" s="31"/>
      <c r="AR276" s="32"/>
      <c r="AS276" s="33"/>
      <c r="AT276" s="32"/>
    </row>
    <row r="277" spans="43:46" x14ac:dyDescent="0.2">
      <c r="AQ277" s="31"/>
      <c r="AR277" s="32"/>
      <c r="AS277" s="33"/>
      <c r="AT277" s="32"/>
    </row>
    <row r="278" spans="43:46" x14ac:dyDescent="0.2">
      <c r="AQ278" s="31"/>
      <c r="AR278" s="32"/>
      <c r="AS278" s="33"/>
      <c r="AT278" s="32"/>
    </row>
    <row r="279" spans="43:46" x14ac:dyDescent="0.2">
      <c r="AQ279" s="31"/>
      <c r="AR279" s="32"/>
      <c r="AS279" s="33"/>
      <c r="AT279" s="32"/>
    </row>
    <row r="280" spans="43:46" x14ac:dyDescent="0.2">
      <c r="AQ280" s="31"/>
      <c r="AR280" s="32"/>
      <c r="AS280" s="33"/>
      <c r="AT280" s="32"/>
    </row>
    <row r="281" spans="43:46" x14ac:dyDescent="0.2">
      <c r="AQ281" s="31"/>
      <c r="AR281" s="32"/>
      <c r="AS281" s="33"/>
      <c r="AT281" s="32"/>
    </row>
    <row r="282" spans="43:46" x14ac:dyDescent="0.2">
      <c r="AQ282" s="31"/>
      <c r="AR282" s="32"/>
      <c r="AS282" s="33"/>
      <c r="AT282" s="32"/>
    </row>
    <row r="283" spans="43:46" x14ac:dyDescent="0.2">
      <c r="AQ283" s="31"/>
      <c r="AR283" s="32"/>
      <c r="AS283" s="33"/>
      <c r="AT283" s="32"/>
    </row>
    <row r="284" spans="43:46" x14ac:dyDescent="0.2">
      <c r="AQ284" s="31"/>
      <c r="AR284" s="32"/>
      <c r="AS284" s="33"/>
      <c r="AT284" s="32"/>
    </row>
    <row r="285" spans="43:46" x14ac:dyDescent="0.2">
      <c r="AQ285" s="31"/>
      <c r="AR285" s="32"/>
      <c r="AS285" s="33"/>
      <c r="AT285" s="32"/>
    </row>
    <row r="286" spans="43:46" x14ac:dyDescent="0.2">
      <c r="AQ286" s="31"/>
      <c r="AR286" s="32"/>
      <c r="AS286" s="33"/>
      <c r="AT286" s="32"/>
    </row>
    <row r="287" spans="43:46" x14ac:dyDescent="0.2">
      <c r="AQ287" s="31"/>
      <c r="AR287" s="32"/>
      <c r="AS287" s="33"/>
      <c r="AT287" s="32"/>
    </row>
    <row r="288" spans="43:46" x14ac:dyDescent="0.2">
      <c r="AQ288" s="31"/>
      <c r="AR288" s="32"/>
      <c r="AS288" s="33"/>
      <c r="AT288" s="32"/>
    </row>
    <row r="289" spans="43:46" x14ac:dyDescent="0.2">
      <c r="AQ289" s="31"/>
      <c r="AR289" s="32"/>
      <c r="AS289" s="33"/>
      <c r="AT289" s="32"/>
    </row>
    <row r="290" spans="43:46" x14ac:dyDescent="0.2">
      <c r="AQ290" s="31"/>
      <c r="AR290" s="32"/>
      <c r="AS290" s="33"/>
      <c r="AT290" s="32"/>
    </row>
    <row r="291" spans="43:46" x14ac:dyDescent="0.2">
      <c r="AQ291" s="31"/>
      <c r="AR291" s="32"/>
      <c r="AS291" s="33"/>
      <c r="AT291" s="32"/>
    </row>
    <row r="292" spans="43:46" x14ac:dyDescent="0.2">
      <c r="AQ292" s="31"/>
      <c r="AR292" s="32"/>
      <c r="AS292" s="33"/>
      <c r="AT292" s="32"/>
    </row>
    <row r="293" spans="43:46" x14ac:dyDescent="0.2">
      <c r="AQ293" s="31"/>
      <c r="AR293" s="32"/>
      <c r="AS293" s="33"/>
      <c r="AT293" s="32"/>
    </row>
    <row r="294" spans="43:46" x14ac:dyDescent="0.2">
      <c r="AQ294" s="31"/>
      <c r="AR294" s="32"/>
      <c r="AS294" s="33"/>
      <c r="AT294" s="32"/>
    </row>
    <row r="295" spans="43:46" x14ac:dyDescent="0.2">
      <c r="AQ295" s="31"/>
      <c r="AR295" s="32"/>
      <c r="AS295" s="33"/>
      <c r="AT295" s="32"/>
    </row>
    <row r="296" spans="43:46" x14ac:dyDescent="0.2">
      <c r="AQ296" s="31"/>
      <c r="AR296" s="32"/>
      <c r="AS296" s="33"/>
      <c r="AT296" s="32"/>
    </row>
    <row r="297" spans="43:46" x14ac:dyDescent="0.2">
      <c r="AQ297" s="31"/>
      <c r="AR297" s="32"/>
      <c r="AS297" s="33"/>
      <c r="AT297" s="32"/>
    </row>
    <row r="298" spans="43:46" x14ac:dyDescent="0.2">
      <c r="AQ298" s="31"/>
      <c r="AR298" s="32"/>
      <c r="AS298" s="33"/>
      <c r="AT298" s="32"/>
    </row>
    <row r="299" spans="43:46" x14ac:dyDescent="0.2">
      <c r="AQ299" s="31"/>
      <c r="AR299" s="32"/>
      <c r="AS299" s="33"/>
      <c r="AT299" s="32"/>
    </row>
    <row r="300" spans="43:46" x14ac:dyDescent="0.2">
      <c r="AQ300" s="31"/>
      <c r="AR300" s="32"/>
      <c r="AS300" s="33"/>
      <c r="AT300" s="32"/>
    </row>
    <row r="301" spans="43:46" x14ac:dyDescent="0.2">
      <c r="AQ301" s="31"/>
      <c r="AR301" s="32"/>
      <c r="AS301" s="33"/>
      <c r="AT301" s="32"/>
    </row>
    <row r="302" spans="43:46" x14ac:dyDescent="0.2">
      <c r="AQ302" s="31"/>
      <c r="AR302" s="32"/>
      <c r="AS302" s="33"/>
      <c r="AT302" s="32"/>
    </row>
    <row r="303" spans="43:46" x14ac:dyDescent="0.2">
      <c r="AQ303" s="31"/>
      <c r="AR303" s="32"/>
      <c r="AS303" s="33"/>
      <c r="AT303" s="32"/>
    </row>
    <row r="304" spans="43:46" x14ac:dyDescent="0.2">
      <c r="AQ304" s="31"/>
      <c r="AR304" s="32"/>
      <c r="AS304" s="33"/>
      <c r="AT304" s="32"/>
    </row>
    <row r="305" spans="43:46" x14ac:dyDescent="0.2">
      <c r="AQ305" s="31"/>
      <c r="AR305" s="32"/>
      <c r="AS305" s="33"/>
      <c r="AT305" s="32"/>
    </row>
    <row r="306" spans="43:46" x14ac:dyDescent="0.2">
      <c r="AQ306" s="31"/>
      <c r="AR306" s="32"/>
      <c r="AS306" s="33"/>
      <c r="AT306" s="32"/>
    </row>
    <row r="307" spans="43:46" x14ac:dyDescent="0.2">
      <c r="AQ307" s="31"/>
      <c r="AR307" s="32"/>
      <c r="AS307" s="33"/>
      <c r="AT307" s="32"/>
    </row>
    <row r="308" spans="43:46" x14ac:dyDescent="0.2">
      <c r="AQ308" s="31"/>
      <c r="AR308" s="32"/>
      <c r="AS308" s="33"/>
      <c r="AT308" s="32"/>
    </row>
    <row r="309" spans="43:46" x14ac:dyDescent="0.2">
      <c r="AQ309" s="31"/>
      <c r="AR309" s="32"/>
      <c r="AS309" s="33"/>
      <c r="AT309" s="32"/>
    </row>
    <row r="310" spans="43:46" x14ac:dyDescent="0.2">
      <c r="AQ310" s="31"/>
      <c r="AR310" s="32"/>
      <c r="AS310" s="33"/>
      <c r="AT310" s="32"/>
    </row>
    <row r="311" spans="43:46" x14ac:dyDescent="0.2">
      <c r="AQ311" s="31"/>
      <c r="AR311" s="32"/>
      <c r="AS311" s="33"/>
      <c r="AT311" s="32"/>
    </row>
    <row r="312" spans="43:46" x14ac:dyDescent="0.2">
      <c r="AQ312" s="31"/>
      <c r="AR312" s="32"/>
      <c r="AS312" s="33"/>
      <c r="AT312" s="32"/>
    </row>
    <row r="313" spans="43:46" x14ac:dyDescent="0.2">
      <c r="AQ313" s="31"/>
      <c r="AR313" s="32"/>
      <c r="AS313" s="33"/>
      <c r="AT313" s="32"/>
    </row>
    <row r="314" spans="43:46" x14ac:dyDescent="0.2">
      <c r="AQ314" s="31"/>
      <c r="AR314" s="32"/>
      <c r="AS314" s="33"/>
      <c r="AT314" s="32"/>
    </row>
    <row r="315" spans="43:46" x14ac:dyDescent="0.2">
      <c r="AQ315" s="31"/>
      <c r="AR315" s="32"/>
      <c r="AS315" s="33"/>
      <c r="AT315" s="32"/>
    </row>
    <row r="316" spans="43:46" x14ac:dyDescent="0.2">
      <c r="AQ316" s="31"/>
      <c r="AR316" s="32"/>
      <c r="AS316" s="33"/>
      <c r="AT316" s="32"/>
    </row>
    <row r="317" spans="43:46" x14ac:dyDescent="0.2">
      <c r="AQ317" s="31"/>
      <c r="AR317" s="32"/>
      <c r="AS317" s="33"/>
      <c r="AT317" s="32"/>
    </row>
    <row r="318" spans="43:46" x14ac:dyDescent="0.2">
      <c r="AQ318" s="31"/>
      <c r="AR318" s="32"/>
      <c r="AS318" s="33"/>
      <c r="AT318" s="32"/>
    </row>
    <row r="319" spans="43:46" x14ac:dyDescent="0.2">
      <c r="AQ319" s="31"/>
      <c r="AR319" s="32"/>
      <c r="AS319" s="33"/>
      <c r="AT319" s="32"/>
    </row>
    <row r="320" spans="43:46" x14ac:dyDescent="0.2">
      <c r="AQ320" s="31"/>
      <c r="AR320" s="32"/>
      <c r="AS320" s="33"/>
      <c r="AT320" s="32"/>
    </row>
    <row r="321" spans="43:46" x14ac:dyDescent="0.2">
      <c r="AQ321" s="31"/>
      <c r="AR321" s="32"/>
      <c r="AS321" s="33"/>
      <c r="AT321" s="32"/>
    </row>
    <row r="322" spans="43:46" x14ac:dyDescent="0.2">
      <c r="AQ322" s="31"/>
      <c r="AR322" s="32"/>
      <c r="AS322" s="33"/>
      <c r="AT322" s="32"/>
    </row>
    <row r="323" spans="43:46" x14ac:dyDescent="0.2">
      <c r="AQ323" s="31"/>
      <c r="AR323" s="32"/>
      <c r="AS323" s="33"/>
      <c r="AT323" s="32"/>
    </row>
    <row r="324" spans="43:46" x14ac:dyDescent="0.2">
      <c r="AQ324" s="31"/>
      <c r="AR324" s="32"/>
      <c r="AS324" s="33"/>
      <c r="AT324" s="32"/>
    </row>
    <row r="325" spans="43:46" x14ac:dyDescent="0.2">
      <c r="AQ325" s="31"/>
      <c r="AR325" s="32"/>
      <c r="AS325" s="33"/>
      <c r="AT325" s="32"/>
    </row>
    <row r="326" spans="43:46" x14ac:dyDescent="0.2">
      <c r="AQ326" s="31"/>
      <c r="AR326" s="32"/>
      <c r="AS326" s="33"/>
      <c r="AT326" s="32"/>
    </row>
    <row r="327" spans="43:46" x14ac:dyDescent="0.2">
      <c r="AQ327" s="31"/>
      <c r="AR327" s="32"/>
      <c r="AS327" s="33"/>
      <c r="AT327" s="32"/>
    </row>
    <row r="328" spans="43:46" x14ac:dyDescent="0.2">
      <c r="AQ328" s="31"/>
      <c r="AR328" s="32"/>
      <c r="AS328" s="33"/>
      <c r="AT328" s="32"/>
    </row>
    <row r="329" spans="43:46" x14ac:dyDescent="0.2">
      <c r="AQ329" s="31"/>
      <c r="AR329" s="32"/>
      <c r="AS329" s="33"/>
      <c r="AT329" s="32"/>
    </row>
    <row r="330" spans="43:46" x14ac:dyDescent="0.2">
      <c r="AQ330" s="31"/>
      <c r="AR330" s="32"/>
      <c r="AS330" s="33"/>
      <c r="AT330" s="32"/>
    </row>
    <row r="331" spans="43:46" x14ac:dyDescent="0.2">
      <c r="AQ331" s="31"/>
      <c r="AR331" s="32"/>
      <c r="AS331" s="33"/>
      <c r="AT331" s="32"/>
    </row>
    <row r="332" spans="43:46" x14ac:dyDescent="0.2">
      <c r="AQ332" s="31"/>
      <c r="AR332" s="32"/>
      <c r="AS332" s="33"/>
      <c r="AT332" s="32"/>
    </row>
    <row r="333" spans="43:46" x14ac:dyDescent="0.2">
      <c r="AQ333" s="31"/>
      <c r="AR333" s="32"/>
      <c r="AS333" s="33"/>
      <c r="AT333" s="32"/>
    </row>
    <row r="334" spans="43:46" x14ac:dyDescent="0.2">
      <c r="AQ334" s="31"/>
      <c r="AR334" s="32"/>
      <c r="AS334" s="33"/>
      <c r="AT334" s="32"/>
    </row>
    <row r="335" spans="43:46" x14ac:dyDescent="0.2">
      <c r="AQ335" s="31"/>
      <c r="AR335" s="32"/>
      <c r="AS335" s="33"/>
      <c r="AT335" s="32"/>
    </row>
    <row r="336" spans="43:46" x14ac:dyDescent="0.2">
      <c r="AQ336" s="31"/>
      <c r="AR336" s="32"/>
      <c r="AS336" s="33"/>
      <c r="AT336" s="32"/>
    </row>
    <row r="337" spans="43:46" x14ac:dyDescent="0.2">
      <c r="AQ337" s="31"/>
      <c r="AR337" s="32"/>
      <c r="AS337" s="33"/>
      <c r="AT337" s="32"/>
    </row>
    <row r="338" spans="43:46" x14ac:dyDescent="0.2">
      <c r="AQ338" s="31"/>
      <c r="AR338" s="32"/>
      <c r="AS338" s="33"/>
      <c r="AT338" s="32"/>
    </row>
    <row r="339" spans="43:46" x14ac:dyDescent="0.2">
      <c r="AQ339" s="31"/>
      <c r="AR339" s="32"/>
      <c r="AS339" s="33"/>
      <c r="AT339" s="32"/>
    </row>
    <row r="340" spans="43:46" x14ac:dyDescent="0.2">
      <c r="AQ340" s="31"/>
      <c r="AR340" s="32"/>
      <c r="AS340" s="33"/>
      <c r="AT340" s="32"/>
    </row>
    <row r="341" spans="43:46" x14ac:dyDescent="0.2">
      <c r="AQ341" s="31"/>
      <c r="AR341" s="32"/>
      <c r="AS341" s="33"/>
      <c r="AT341" s="32"/>
    </row>
    <row r="342" spans="43:46" x14ac:dyDescent="0.2">
      <c r="AQ342" s="31"/>
      <c r="AR342" s="32"/>
      <c r="AS342" s="33"/>
      <c r="AT342" s="32"/>
    </row>
    <row r="343" spans="43:46" x14ac:dyDescent="0.2">
      <c r="AQ343" s="31"/>
      <c r="AR343" s="32"/>
      <c r="AS343" s="33"/>
      <c r="AT343" s="32"/>
    </row>
    <row r="344" spans="43:46" x14ac:dyDescent="0.2">
      <c r="AQ344" s="31"/>
      <c r="AR344" s="32"/>
      <c r="AS344" s="33"/>
      <c r="AT344" s="32"/>
    </row>
    <row r="345" spans="43:46" x14ac:dyDescent="0.2">
      <c r="AQ345" s="31"/>
      <c r="AR345" s="32"/>
      <c r="AS345" s="33"/>
      <c r="AT345" s="32"/>
    </row>
    <row r="346" spans="43:46" x14ac:dyDescent="0.2">
      <c r="AQ346" s="31"/>
      <c r="AR346" s="32"/>
      <c r="AS346" s="33"/>
      <c r="AT346" s="32"/>
    </row>
    <row r="347" spans="43:46" x14ac:dyDescent="0.2">
      <c r="AQ347" s="31"/>
      <c r="AR347" s="32"/>
      <c r="AS347" s="33"/>
      <c r="AT347" s="32"/>
    </row>
    <row r="348" spans="43:46" x14ac:dyDescent="0.2">
      <c r="AQ348" s="31"/>
      <c r="AR348" s="32"/>
      <c r="AS348" s="33"/>
      <c r="AT348" s="32"/>
    </row>
    <row r="349" spans="43:46" x14ac:dyDescent="0.2">
      <c r="AQ349" s="31"/>
      <c r="AR349" s="32"/>
      <c r="AS349" s="33"/>
      <c r="AT349" s="32"/>
    </row>
    <row r="350" spans="43:46" x14ac:dyDescent="0.2">
      <c r="AQ350" s="31"/>
      <c r="AR350" s="32"/>
      <c r="AS350" s="33"/>
      <c r="AT350" s="32"/>
    </row>
    <row r="351" spans="43:46" x14ac:dyDescent="0.2">
      <c r="AQ351" s="31"/>
      <c r="AR351" s="32"/>
      <c r="AS351" s="33"/>
      <c r="AT351" s="32"/>
    </row>
    <row r="352" spans="43:46" x14ac:dyDescent="0.2">
      <c r="AQ352" s="31"/>
      <c r="AR352" s="32"/>
      <c r="AS352" s="33"/>
      <c r="AT352" s="32"/>
    </row>
    <row r="353" spans="43:46" x14ac:dyDescent="0.2">
      <c r="AQ353" s="31"/>
      <c r="AR353" s="32"/>
      <c r="AS353" s="33"/>
      <c r="AT353" s="32"/>
    </row>
    <row r="354" spans="43:46" x14ac:dyDescent="0.2">
      <c r="AQ354" s="31"/>
      <c r="AR354" s="32"/>
      <c r="AS354" s="33"/>
      <c r="AT354" s="32"/>
    </row>
    <row r="355" spans="43:46" x14ac:dyDescent="0.2">
      <c r="AQ355" s="31"/>
      <c r="AR355" s="32"/>
      <c r="AS355" s="33"/>
      <c r="AT355" s="32"/>
    </row>
    <row r="356" spans="43:46" x14ac:dyDescent="0.2">
      <c r="AQ356" s="31"/>
      <c r="AR356" s="32"/>
      <c r="AS356" s="33"/>
      <c r="AT356" s="32"/>
    </row>
    <row r="357" spans="43:46" x14ac:dyDescent="0.2">
      <c r="AQ357" s="31"/>
      <c r="AR357" s="32"/>
      <c r="AS357" s="33"/>
      <c r="AT357" s="32"/>
    </row>
    <row r="358" spans="43:46" x14ac:dyDescent="0.2">
      <c r="AQ358" s="31"/>
      <c r="AR358" s="32"/>
      <c r="AS358" s="33"/>
      <c r="AT358" s="32"/>
    </row>
    <row r="359" spans="43:46" x14ac:dyDescent="0.2">
      <c r="AQ359" s="31"/>
      <c r="AR359" s="32"/>
      <c r="AS359" s="33"/>
      <c r="AT359" s="32"/>
    </row>
    <row r="360" spans="43:46" x14ac:dyDescent="0.2">
      <c r="AQ360" s="31"/>
      <c r="AR360" s="32"/>
      <c r="AS360" s="33"/>
      <c r="AT360" s="32"/>
    </row>
    <row r="361" spans="43:46" x14ac:dyDescent="0.2">
      <c r="AQ361" s="31"/>
      <c r="AR361" s="32"/>
      <c r="AS361" s="33"/>
      <c r="AT361" s="32"/>
    </row>
    <row r="362" spans="43:46" x14ac:dyDescent="0.2">
      <c r="AQ362" s="31"/>
      <c r="AR362" s="32"/>
      <c r="AS362" s="33"/>
      <c r="AT362" s="32"/>
    </row>
    <row r="363" spans="43:46" x14ac:dyDescent="0.2">
      <c r="AQ363" s="31"/>
      <c r="AR363" s="32"/>
      <c r="AS363" s="33"/>
      <c r="AT363" s="32"/>
    </row>
    <row r="364" spans="43:46" x14ac:dyDescent="0.2">
      <c r="AQ364" s="31"/>
      <c r="AR364" s="32"/>
      <c r="AS364" s="33"/>
      <c r="AT364" s="32"/>
    </row>
    <row r="365" spans="43:46" x14ac:dyDescent="0.2">
      <c r="AQ365" s="31"/>
      <c r="AR365" s="32"/>
      <c r="AS365" s="33"/>
      <c r="AT365" s="32"/>
    </row>
    <row r="366" spans="43:46" x14ac:dyDescent="0.2">
      <c r="AQ366" s="31"/>
      <c r="AR366" s="32"/>
      <c r="AS366" s="33"/>
      <c r="AT366" s="32"/>
    </row>
    <row r="367" spans="43:46" x14ac:dyDescent="0.2">
      <c r="AQ367" s="31"/>
      <c r="AR367" s="32"/>
      <c r="AS367" s="33"/>
      <c r="AT367" s="32"/>
    </row>
    <row r="368" spans="43:46" x14ac:dyDescent="0.2">
      <c r="AQ368" s="31"/>
      <c r="AR368" s="32"/>
      <c r="AS368" s="33"/>
      <c r="AT368" s="32"/>
    </row>
    <row r="369" spans="43:46" x14ac:dyDescent="0.2">
      <c r="AQ369" s="31"/>
      <c r="AR369" s="32"/>
      <c r="AS369" s="33"/>
      <c r="AT369" s="32"/>
    </row>
    <row r="370" spans="43:46" x14ac:dyDescent="0.2">
      <c r="AQ370" s="31"/>
      <c r="AR370" s="32"/>
      <c r="AS370" s="33"/>
      <c r="AT370" s="32"/>
    </row>
    <row r="371" spans="43:46" x14ac:dyDescent="0.2">
      <c r="AQ371" s="31"/>
      <c r="AR371" s="32"/>
      <c r="AS371" s="33"/>
      <c r="AT371" s="32"/>
    </row>
    <row r="372" spans="43:46" x14ac:dyDescent="0.2">
      <c r="AQ372" s="31"/>
      <c r="AR372" s="32"/>
      <c r="AS372" s="33"/>
      <c r="AT372" s="32"/>
    </row>
    <row r="373" spans="43:46" x14ac:dyDescent="0.2">
      <c r="AQ373" s="31"/>
      <c r="AR373" s="32"/>
      <c r="AS373" s="33"/>
      <c r="AT373" s="32"/>
    </row>
    <row r="374" spans="43:46" x14ac:dyDescent="0.2">
      <c r="AQ374" s="31"/>
      <c r="AR374" s="32"/>
      <c r="AS374" s="33"/>
      <c r="AT374" s="32"/>
    </row>
    <row r="375" spans="43:46" x14ac:dyDescent="0.2">
      <c r="AQ375" s="31"/>
      <c r="AR375" s="32"/>
      <c r="AS375" s="33"/>
      <c r="AT375" s="32"/>
    </row>
    <row r="376" spans="43:46" x14ac:dyDescent="0.2">
      <c r="AQ376" s="31"/>
      <c r="AR376" s="32"/>
      <c r="AS376" s="33"/>
      <c r="AT376" s="32"/>
    </row>
    <row r="377" spans="43:46" x14ac:dyDescent="0.2">
      <c r="AQ377" s="31"/>
      <c r="AR377" s="32"/>
      <c r="AS377" s="33"/>
      <c r="AT377" s="32"/>
    </row>
    <row r="378" spans="43:46" x14ac:dyDescent="0.2">
      <c r="AQ378" s="31"/>
      <c r="AR378" s="32"/>
      <c r="AS378" s="33"/>
      <c r="AT378" s="32"/>
    </row>
    <row r="379" spans="43:46" x14ac:dyDescent="0.2">
      <c r="AQ379" s="31"/>
      <c r="AR379" s="32"/>
      <c r="AS379" s="33"/>
      <c r="AT379" s="32"/>
    </row>
    <row r="380" spans="43:46" x14ac:dyDescent="0.2">
      <c r="AQ380" s="31"/>
      <c r="AR380" s="32"/>
      <c r="AS380" s="33"/>
      <c r="AT380" s="32"/>
    </row>
    <row r="381" spans="43:46" x14ac:dyDescent="0.2">
      <c r="AQ381" s="31"/>
      <c r="AR381" s="32"/>
      <c r="AS381" s="33"/>
      <c r="AT381" s="32"/>
    </row>
    <row r="382" spans="43:46" x14ac:dyDescent="0.2">
      <c r="AQ382" s="31"/>
      <c r="AR382" s="32"/>
      <c r="AS382" s="33"/>
      <c r="AT382" s="32"/>
    </row>
    <row r="383" spans="43:46" x14ac:dyDescent="0.2">
      <c r="AQ383" s="31"/>
      <c r="AR383" s="32"/>
      <c r="AS383" s="33"/>
      <c r="AT383" s="32"/>
    </row>
    <row r="384" spans="43:46" x14ac:dyDescent="0.2">
      <c r="AQ384" s="31"/>
      <c r="AR384" s="32"/>
      <c r="AS384" s="33"/>
      <c r="AT384" s="32"/>
    </row>
    <row r="385" spans="43:46" x14ac:dyDescent="0.2">
      <c r="AQ385" s="31"/>
      <c r="AR385" s="32"/>
      <c r="AS385" s="33"/>
      <c r="AT385" s="32"/>
    </row>
    <row r="386" spans="43:46" x14ac:dyDescent="0.2">
      <c r="AQ386" s="31"/>
      <c r="AR386" s="32"/>
      <c r="AS386" s="33"/>
      <c r="AT386" s="32"/>
    </row>
    <row r="387" spans="43:46" x14ac:dyDescent="0.2">
      <c r="AQ387" s="31"/>
      <c r="AR387" s="32"/>
      <c r="AS387" s="33"/>
      <c r="AT387" s="32"/>
    </row>
    <row r="388" spans="43:46" x14ac:dyDescent="0.2">
      <c r="AQ388" s="31"/>
      <c r="AR388" s="32"/>
      <c r="AS388" s="33"/>
      <c r="AT388" s="32"/>
    </row>
    <row r="389" spans="43:46" x14ac:dyDescent="0.2">
      <c r="AQ389" s="31"/>
      <c r="AR389" s="32"/>
      <c r="AS389" s="33"/>
      <c r="AT389" s="32"/>
    </row>
    <row r="390" spans="43:46" x14ac:dyDescent="0.2">
      <c r="AQ390" s="31"/>
      <c r="AR390" s="32"/>
      <c r="AS390" s="33"/>
      <c r="AT390" s="32"/>
    </row>
    <row r="391" spans="43:46" x14ac:dyDescent="0.2">
      <c r="AQ391" s="31"/>
      <c r="AR391" s="32"/>
      <c r="AS391" s="33"/>
      <c r="AT391" s="32"/>
    </row>
    <row r="392" spans="43:46" x14ac:dyDescent="0.2">
      <c r="AQ392" s="31"/>
      <c r="AR392" s="32"/>
      <c r="AS392" s="33"/>
      <c r="AT392" s="32"/>
    </row>
    <row r="393" spans="43:46" x14ac:dyDescent="0.2">
      <c r="AQ393" s="31"/>
      <c r="AR393" s="32"/>
      <c r="AS393" s="33"/>
      <c r="AT393" s="32"/>
    </row>
    <row r="394" spans="43:46" x14ac:dyDescent="0.2">
      <c r="AQ394" s="31"/>
      <c r="AR394" s="32"/>
      <c r="AS394" s="33"/>
      <c r="AT394" s="32"/>
    </row>
    <row r="395" spans="43:46" x14ac:dyDescent="0.2">
      <c r="AQ395" s="31"/>
      <c r="AR395" s="32"/>
      <c r="AS395" s="33"/>
      <c r="AT395" s="32"/>
    </row>
    <row r="396" spans="43:46" x14ac:dyDescent="0.2">
      <c r="AQ396" s="31"/>
      <c r="AR396" s="32"/>
      <c r="AS396" s="33"/>
      <c r="AT396" s="32"/>
    </row>
    <row r="397" spans="43:46" x14ac:dyDescent="0.2">
      <c r="AQ397" s="31"/>
      <c r="AR397" s="32"/>
      <c r="AS397" s="33"/>
      <c r="AT397" s="32"/>
    </row>
    <row r="398" spans="43:46" x14ac:dyDescent="0.2">
      <c r="AQ398" s="31"/>
      <c r="AR398" s="32"/>
      <c r="AS398" s="33"/>
      <c r="AT398" s="32"/>
    </row>
    <row r="399" spans="43:46" x14ac:dyDescent="0.2">
      <c r="AQ399" s="31"/>
      <c r="AR399" s="32"/>
      <c r="AS399" s="33"/>
      <c r="AT399" s="32"/>
    </row>
    <row r="400" spans="43:46" x14ac:dyDescent="0.2">
      <c r="AQ400" s="31"/>
      <c r="AR400" s="32"/>
      <c r="AS400" s="33"/>
      <c r="AT400" s="32"/>
    </row>
    <row r="401" spans="43:46" x14ac:dyDescent="0.2">
      <c r="AQ401" s="31"/>
      <c r="AR401" s="32"/>
      <c r="AS401" s="33"/>
      <c r="AT401" s="32"/>
    </row>
    <row r="402" spans="43:46" x14ac:dyDescent="0.2">
      <c r="AQ402" s="31"/>
      <c r="AR402" s="32"/>
      <c r="AS402" s="33"/>
      <c r="AT402" s="32"/>
    </row>
    <row r="403" spans="43:46" x14ac:dyDescent="0.2">
      <c r="AQ403" s="31"/>
      <c r="AR403" s="32"/>
      <c r="AS403" s="33"/>
      <c r="AT403" s="32"/>
    </row>
    <row r="404" spans="43:46" x14ac:dyDescent="0.2">
      <c r="AQ404" s="31"/>
      <c r="AR404" s="32"/>
      <c r="AS404" s="33"/>
      <c r="AT404" s="32"/>
    </row>
    <row r="405" spans="43:46" x14ac:dyDescent="0.2">
      <c r="AQ405" s="31"/>
      <c r="AR405" s="32"/>
      <c r="AS405" s="33"/>
      <c r="AT405" s="32"/>
    </row>
    <row r="406" spans="43:46" x14ac:dyDescent="0.2">
      <c r="AQ406" s="31"/>
      <c r="AR406" s="32"/>
      <c r="AS406" s="33"/>
      <c r="AT406" s="32"/>
    </row>
    <row r="407" spans="43:46" x14ac:dyDescent="0.2">
      <c r="AQ407" s="31"/>
      <c r="AR407" s="32"/>
      <c r="AS407" s="33"/>
      <c r="AT407" s="32"/>
    </row>
    <row r="408" spans="43:46" x14ac:dyDescent="0.2">
      <c r="AQ408" s="31"/>
      <c r="AR408" s="32"/>
      <c r="AS408" s="33"/>
      <c r="AT408" s="32"/>
    </row>
    <row r="409" spans="43:46" x14ac:dyDescent="0.2">
      <c r="AQ409" s="31"/>
      <c r="AR409" s="32"/>
      <c r="AS409" s="33"/>
      <c r="AT409" s="32"/>
    </row>
    <row r="410" spans="43:46" x14ac:dyDescent="0.2">
      <c r="AQ410" s="31"/>
      <c r="AR410" s="32"/>
      <c r="AS410" s="33"/>
      <c r="AT410" s="32"/>
    </row>
    <row r="411" spans="43:46" x14ac:dyDescent="0.2">
      <c r="AQ411" s="31"/>
      <c r="AR411" s="32"/>
      <c r="AS411" s="33"/>
      <c r="AT411" s="32"/>
    </row>
    <row r="412" spans="43:46" x14ac:dyDescent="0.2">
      <c r="AQ412" s="31"/>
      <c r="AR412" s="32"/>
      <c r="AS412" s="33"/>
      <c r="AT412" s="32"/>
    </row>
    <row r="413" spans="43:46" x14ac:dyDescent="0.2">
      <c r="AQ413" s="31"/>
      <c r="AR413" s="32"/>
      <c r="AS413" s="33"/>
      <c r="AT413" s="32"/>
    </row>
    <row r="414" spans="43:46" x14ac:dyDescent="0.2">
      <c r="AQ414" s="31"/>
      <c r="AR414" s="32"/>
      <c r="AS414" s="33"/>
      <c r="AT414" s="32"/>
    </row>
    <row r="415" spans="43:46" x14ac:dyDescent="0.2">
      <c r="AQ415" s="31"/>
      <c r="AR415" s="32"/>
      <c r="AS415" s="33"/>
      <c r="AT415" s="32"/>
    </row>
    <row r="416" spans="43:46" x14ac:dyDescent="0.2">
      <c r="AQ416" s="31"/>
      <c r="AR416" s="32"/>
      <c r="AS416" s="33"/>
      <c r="AT416" s="32"/>
    </row>
    <row r="417" spans="43:46" x14ac:dyDescent="0.2">
      <c r="AQ417" s="31"/>
      <c r="AR417" s="32"/>
      <c r="AS417" s="33"/>
      <c r="AT417" s="32"/>
    </row>
    <row r="418" spans="43:46" x14ac:dyDescent="0.2">
      <c r="AQ418" s="31"/>
      <c r="AR418" s="32"/>
      <c r="AS418" s="33"/>
      <c r="AT418" s="32"/>
    </row>
    <row r="419" spans="43:46" x14ac:dyDescent="0.2">
      <c r="AQ419" s="31"/>
      <c r="AR419" s="32"/>
      <c r="AS419" s="33"/>
      <c r="AT419" s="32"/>
    </row>
    <row r="420" spans="43:46" x14ac:dyDescent="0.2">
      <c r="AQ420" s="31"/>
      <c r="AR420" s="32"/>
      <c r="AS420" s="33"/>
      <c r="AT420" s="32"/>
    </row>
    <row r="421" spans="43:46" x14ac:dyDescent="0.2">
      <c r="AQ421" s="31"/>
      <c r="AR421" s="32"/>
      <c r="AS421" s="33"/>
      <c r="AT421" s="32"/>
    </row>
    <row r="422" spans="43:46" x14ac:dyDescent="0.2">
      <c r="AQ422" s="31"/>
      <c r="AR422" s="32"/>
      <c r="AS422" s="33"/>
      <c r="AT422" s="32"/>
    </row>
    <row r="423" spans="43:46" x14ac:dyDescent="0.2">
      <c r="AQ423" s="31"/>
      <c r="AR423" s="32"/>
      <c r="AS423" s="33"/>
      <c r="AT423" s="32"/>
    </row>
    <row r="424" spans="43:46" x14ac:dyDescent="0.2">
      <c r="AQ424" s="31"/>
      <c r="AR424" s="32"/>
      <c r="AS424" s="33"/>
      <c r="AT424" s="32"/>
    </row>
    <row r="425" spans="43:46" x14ac:dyDescent="0.2">
      <c r="AQ425" s="31"/>
      <c r="AR425" s="32"/>
      <c r="AS425" s="33"/>
      <c r="AT425" s="32"/>
    </row>
    <row r="426" spans="43:46" x14ac:dyDescent="0.2">
      <c r="AQ426" s="31"/>
      <c r="AR426" s="32"/>
      <c r="AS426" s="33"/>
      <c r="AT426" s="32"/>
    </row>
    <row r="427" spans="43:46" x14ac:dyDescent="0.2">
      <c r="AQ427" s="31"/>
      <c r="AR427" s="32"/>
      <c r="AS427" s="33"/>
      <c r="AT427" s="32"/>
    </row>
    <row r="428" spans="43:46" x14ac:dyDescent="0.2">
      <c r="AQ428" s="31"/>
      <c r="AR428" s="32"/>
      <c r="AS428" s="33"/>
      <c r="AT428" s="32"/>
    </row>
    <row r="429" spans="43:46" x14ac:dyDescent="0.2">
      <c r="AQ429" s="31"/>
      <c r="AR429" s="32"/>
      <c r="AS429" s="33"/>
      <c r="AT429" s="32"/>
    </row>
    <row r="430" spans="43:46" x14ac:dyDescent="0.2">
      <c r="AQ430" s="31"/>
      <c r="AR430" s="32"/>
      <c r="AS430" s="33"/>
      <c r="AT430" s="32"/>
    </row>
    <row r="431" spans="43:46" x14ac:dyDescent="0.2">
      <c r="AQ431" s="31"/>
      <c r="AR431" s="32"/>
      <c r="AS431" s="33"/>
      <c r="AT431" s="32"/>
    </row>
    <row r="432" spans="43:46" x14ac:dyDescent="0.2">
      <c r="AQ432" s="31"/>
      <c r="AR432" s="32"/>
      <c r="AS432" s="33"/>
      <c r="AT432" s="32"/>
    </row>
    <row r="433" spans="43:46" x14ac:dyDescent="0.2">
      <c r="AQ433" s="31"/>
      <c r="AR433" s="32"/>
      <c r="AS433" s="33"/>
      <c r="AT433" s="32"/>
    </row>
    <row r="434" spans="43:46" x14ac:dyDescent="0.2">
      <c r="AQ434" s="31"/>
      <c r="AR434" s="32"/>
      <c r="AS434" s="33"/>
      <c r="AT434" s="32"/>
    </row>
    <row r="435" spans="43:46" x14ac:dyDescent="0.2">
      <c r="AQ435" s="31"/>
      <c r="AR435" s="32"/>
      <c r="AS435" s="33"/>
      <c r="AT435" s="32"/>
    </row>
    <row r="436" spans="43:46" x14ac:dyDescent="0.2">
      <c r="AQ436" s="31"/>
      <c r="AR436" s="32"/>
      <c r="AS436" s="33"/>
      <c r="AT436" s="32"/>
    </row>
    <row r="437" spans="43:46" x14ac:dyDescent="0.2">
      <c r="AQ437" s="31"/>
      <c r="AR437" s="32"/>
      <c r="AS437" s="33"/>
      <c r="AT437" s="32"/>
    </row>
    <row r="438" spans="43:46" x14ac:dyDescent="0.2">
      <c r="AQ438" s="31"/>
      <c r="AR438" s="32"/>
      <c r="AS438" s="33"/>
      <c r="AT438" s="32"/>
    </row>
    <row r="439" spans="43:46" x14ac:dyDescent="0.2">
      <c r="AQ439" s="31"/>
      <c r="AR439" s="32"/>
      <c r="AS439" s="33"/>
      <c r="AT439" s="32"/>
    </row>
    <row r="440" spans="43:46" x14ac:dyDescent="0.2">
      <c r="AQ440" s="31"/>
      <c r="AR440" s="32"/>
      <c r="AS440" s="33"/>
      <c r="AT440" s="32"/>
    </row>
    <row r="441" spans="43:46" x14ac:dyDescent="0.2">
      <c r="AQ441" s="31"/>
      <c r="AR441" s="32"/>
      <c r="AS441" s="33"/>
      <c r="AT441" s="32"/>
    </row>
    <row r="442" spans="43:46" x14ac:dyDescent="0.2">
      <c r="AQ442" s="31"/>
      <c r="AR442" s="32"/>
      <c r="AS442" s="33"/>
      <c r="AT442" s="32"/>
    </row>
    <row r="443" spans="43:46" x14ac:dyDescent="0.2">
      <c r="AQ443" s="31"/>
      <c r="AR443" s="32"/>
      <c r="AS443" s="33"/>
      <c r="AT443" s="32"/>
    </row>
    <row r="444" spans="43:46" x14ac:dyDescent="0.2">
      <c r="AQ444" s="31"/>
      <c r="AR444" s="32"/>
      <c r="AS444" s="33"/>
      <c r="AT444" s="32"/>
    </row>
    <row r="445" spans="43:46" x14ac:dyDescent="0.2">
      <c r="AQ445" s="31"/>
      <c r="AR445" s="32"/>
      <c r="AS445" s="33"/>
      <c r="AT445" s="32"/>
    </row>
    <row r="446" spans="43:46" x14ac:dyDescent="0.2">
      <c r="AQ446" s="31"/>
      <c r="AR446" s="32"/>
      <c r="AS446" s="33"/>
      <c r="AT446" s="32"/>
    </row>
    <row r="447" spans="43:46" x14ac:dyDescent="0.2">
      <c r="AQ447" s="31"/>
      <c r="AR447" s="32"/>
      <c r="AS447" s="33"/>
      <c r="AT447" s="32"/>
    </row>
    <row r="448" spans="43:46" x14ac:dyDescent="0.2">
      <c r="AQ448" s="31"/>
      <c r="AR448" s="32"/>
      <c r="AS448" s="33"/>
      <c r="AT448" s="32"/>
    </row>
    <row r="449" spans="43:46" x14ac:dyDescent="0.2">
      <c r="AQ449" s="31"/>
      <c r="AR449" s="32"/>
      <c r="AS449" s="33"/>
      <c r="AT449" s="32"/>
    </row>
    <row r="450" spans="43:46" x14ac:dyDescent="0.2">
      <c r="AQ450" s="31"/>
      <c r="AR450" s="32"/>
      <c r="AS450" s="33"/>
      <c r="AT450" s="32"/>
    </row>
    <row r="451" spans="43:46" x14ac:dyDescent="0.2">
      <c r="AQ451" s="31"/>
      <c r="AR451" s="32"/>
      <c r="AS451" s="33"/>
      <c r="AT451" s="32"/>
    </row>
    <row r="452" spans="43:46" x14ac:dyDescent="0.2">
      <c r="AQ452" s="31"/>
      <c r="AR452" s="32"/>
      <c r="AS452" s="33"/>
      <c r="AT452" s="32"/>
    </row>
    <row r="453" spans="43:46" x14ac:dyDescent="0.2">
      <c r="AQ453" s="31"/>
      <c r="AR453" s="32"/>
      <c r="AS453" s="33"/>
      <c r="AT453" s="32"/>
    </row>
    <row r="454" spans="43:46" x14ac:dyDescent="0.2">
      <c r="AQ454" s="31"/>
      <c r="AR454" s="32"/>
      <c r="AS454" s="33"/>
      <c r="AT454" s="32"/>
    </row>
    <row r="455" spans="43:46" x14ac:dyDescent="0.2">
      <c r="AQ455" s="31"/>
      <c r="AR455" s="32"/>
      <c r="AS455" s="33"/>
      <c r="AT455" s="32"/>
    </row>
    <row r="456" spans="43:46" x14ac:dyDescent="0.2">
      <c r="AQ456" s="31"/>
      <c r="AR456" s="32"/>
      <c r="AS456" s="33"/>
      <c r="AT456" s="32"/>
    </row>
    <row r="457" spans="43:46" x14ac:dyDescent="0.2">
      <c r="AQ457" s="31"/>
      <c r="AR457" s="32"/>
      <c r="AS457" s="33"/>
      <c r="AT457" s="32"/>
    </row>
    <row r="458" spans="43:46" x14ac:dyDescent="0.2">
      <c r="AQ458" s="31"/>
      <c r="AR458" s="32"/>
      <c r="AS458" s="33"/>
      <c r="AT458" s="32"/>
    </row>
    <row r="459" spans="43:46" x14ac:dyDescent="0.2">
      <c r="AQ459" s="31"/>
      <c r="AR459" s="32"/>
      <c r="AS459" s="33"/>
      <c r="AT459" s="32"/>
    </row>
    <row r="460" spans="43:46" x14ac:dyDescent="0.2">
      <c r="AQ460" s="31"/>
      <c r="AR460" s="32"/>
      <c r="AS460" s="33"/>
      <c r="AT460" s="32"/>
    </row>
    <row r="461" spans="43:46" x14ac:dyDescent="0.2">
      <c r="AQ461" s="31"/>
      <c r="AR461" s="32"/>
      <c r="AS461" s="33"/>
      <c r="AT461" s="32"/>
    </row>
    <row r="462" spans="43:46" x14ac:dyDescent="0.2">
      <c r="AQ462" s="31"/>
      <c r="AR462" s="32"/>
      <c r="AS462" s="33"/>
      <c r="AT462" s="32"/>
    </row>
    <row r="463" spans="43:46" x14ac:dyDescent="0.2">
      <c r="AQ463" s="31"/>
      <c r="AR463" s="32"/>
      <c r="AS463" s="33"/>
      <c r="AT463" s="32"/>
    </row>
    <row r="464" spans="43:46" x14ac:dyDescent="0.2">
      <c r="AQ464" s="31"/>
      <c r="AR464" s="32"/>
      <c r="AS464" s="33"/>
      <c r="AT464" s="32"/>
    </row>
    <row r="465" spans="43:46" x14ac:dyDescent="0.2">
      <c r="AQ465" s="31"/>
      <c r="AR465" s="32"/>
      <c r="AS465" s="33"/>
      <c r="AT465" s="32"/>
    </row>
    <row r="466" spans="43:46" x14ac:dyDescent="0.2">
      <c r="AQ466" s="31"/>
      <c r="AR466" s="32"/>
      <c r="AS466" s="33"/>
      <c r="AT466" s="32"/>
    </row>
    <row r="467" spans="43:46" x14ac:dyDescent="0.2">
      <c r="AQ467" s="31"/>
      <c r="AR467" s="32"/>
      <c r="AS467" s="33"/>
      <c r="AT467" s="32"/>
    </row>
    <row r="468" spans="43:46" x14ac:dyDescent="0.2">
      <c r="AQ468" s="31"/>
      <c r="AR468" s="32"/>
      <c r="AS468" s="33"/>
      <c r="AT468" s="32"/>
    </row>
    <row r="469" spans="43:46" x14ac:dyDescent="0.2">
      <c r="AQ469" s="31"/>
      <c r="AR469" s="32"/>
      <c r="AS469" s="33"/>
      <c r="AT469" s="32"/>
    </row>
    <row r="470" spans="43:46" x14ac:dyDescent="0.2">
      <c r="AQ470" s="31"/>
      <c r="AR470" s="32"/>
      <c r="AS470" s="33"/>
      <c r="AT470" s="32"/>
    </row>
    <row r="471" spans="43:46" x14ac:dyDescent="0.2">
      <c r="AQ471" s="31"/>
      <c r="AR471" s="32"/>
      <c r="AS471" s="33"/>
      <c r="AT471" s="32"/>
    </row>
    <row r="472" spans="43:46" x14ac:dyDescent="0.2">
      <c r="AQ472" s="31"/>
      <c r="AR472" s="32"/>
      <c r="AS472" s="33"/>
      <c r="AT472" s="32"/>
    </row>
    <row r="473" spans="43:46" x14ac:dyDescent="0.2">
      <c r="AQ473" s="31"/>
      <c r="AR473" s="32"/>
      <c r="AS473" s="33"/>
      <c r="AT473" s="32"/>
    </row>
    <row r="474" spans="43:46" x14ac:dyDescent="0.2">
      <c r="AQ474" s="31"/>
      <c r="AR474" s="32"/>
      <c r="AS474" s="33"/>
      <c r="AT474" s="32"/>
    </row>
    <row r="475" spans="43:46" x14ac:dyDescent="0.2">
      <c r="AQ475" s="31"/>
      <c r="AR475" s="32"/>
      <c r="AS475" s="33"/>
      <c r="AT475" s="32"/>
    </row>
    <row r="476" spans="43:46" x14ac:dyDescent="0.2">
      <c r="AQ476" s="31"/>
      <c r="AR476" s="32"/>
      <c r="AS476" s="33"/>
      <c r="AT476" s="32"/>
    </row>
    <row r="477" spans="43:46" x14ac:dyDescent="0.2">
      <c r="AQ477" s="31"/>
      <c r="AR477" s="32"/>
      <c r="AS477" s="33"/>
      <c r="AT477" s="32"/>
    </row>
    <row r="478" spans="43:46" x14ac:dyDescent="0.2">
      <c r="AQ478" s="31"/>
      <c r="AR478" s="32"/>
      <c r="AS478" s="33"/>
      <c r="AT478" s="32"/>
    </row>
    <row r="479" spans="43:46" x14ac:dyDescent="0.2">
      <c r="AQ479" s="31"/>
      <c r="AR479" s="32"/>
      <c r="AS479" s="33"/>
      <c r="AT479" s="32"/>
    </row>
    <row r="480" spans="43:46" x14ac:dyDescent="0.2">
      <c r="AQ480" s="31"/>
      <c r="AR480" s="32"/>
      <c r="AS480" s="33"/>
      <c r="AT480" s="32"/>
    </row>
    <row r="481" spans="43:46" x14ac:dyDescent="0.2">
      <c r="AQ481" s="31"/>
      <c r="AR481" s="32"/>
      <c r="AS481" s="33"/>
      <c r="AT481" s="32"/>
    </row>
    <row r="482" spans="43:46" x14ac:dyDescent="0.2">
      <c r="AQ482" s="31"/>
      <c r="AR482" s="32"/>
      <c r="AS482" s="33"/>
      <c r="AT482" s="32"/>
    </row>
    <row r="483" spans="43:46" x14ac:dyDescent="0.2">
      <c r="AQ483" s="31"/>
      <c r="AR483" s="32"/>
      <c r="AS483" s="33"/>
      <c r="AT483" s="32"/>
    </row>
    <row r="484" spans="43:46" x14ac:dyDescent="0.2">
      <c r="AQ484" s="31"/>
      <c r="AR484" s="32"/>
      <c r="AS484" s="33"/>
      <c r="AT484" s="32"/>
    </row>
    <row r="485" spans="43:46" x14ac:dyDescent="0.2">
      <c r="AQ485" s="31"/>
      <c r="AR485" s="32"/>
      <c r="AS485" s="33"/>
      <c r="AT485" s="32"/>
    </row>
    <row r="486" spans="43:46" x14ac:dyDescent="0.2">
      <c r="AQ486" s="31"/>
      <c r="AR486" s="32"/>
      <c r="AS486" s="33"/>
      <c r="AT486" s="32"/>
    </row>
    <row r="487" spans="43:46" x14ac:dyDescent="0.2">
      <c r="AQ487" s="31"/>
      <c r="AR487" s="32"/>
      <c r="AS487" s="33"/>
      <c r="AT487" s="32"/>
    </row>
    <row r="488" spans="43:46" x14ac:dyDescent="0.2">
      <c r="AQ488" s="31"/>
      <c r="AR488" s="32"/>
      <c r="AS488" s="33"/>
      <c r="AT488" s="32"/>
    </row>
    <row r="489" spans="43:46" x14ac:dyDescent="0.2">
      <c r="AQ489" s="31"/>
      <c r="AR489" s="32"/>
      <c r="AS489" s="33"/>
      <c r="AT489" s="32"/>
    </row>
    <row r="490" spans="43:46" x14ac:dyDescent="0.2">
      <c r="AQ490" s="31"/>
      <c r="AR490" s="32"/>
      <c r="AS490" s="33"/>
      <c r="AT490" s="32"/>
    </row>
    <row r="491" spans="43:46" x14ac:dyDescent="0.2">
      <c r="AQ491" s="31"/>
      <c r="AR491" s="32"/>
      <c r="AS491" s="33"/>
      <c r="AT491" s="32"/>
    </row>
    <row r="492" spans="43:46" x14ac:dyDescent="0.2">
      <c r="AQ492" s="31"/>
      <c r="AR492" s="32"/>
      <c r="AS492" s="33"/>
      <c r="AT492" s="32"/>
    </row>
    <row r="493" spans="43:46" x14ac:dyDescent="0.2">
      <c r="AQ493" s="31"/>
      <c r="AR493" s="32"/>
      <c r="AS493" s="33"/>
      <c r="AT493" s="32"/>
    </row>
    <row r="494" spans="43:46" x14ac:dyDescent="0.2">
      <c r="AQ494" s="31"/>
      <c r="AR494" s="32"/>
      <c r="AS494" s="33"/>
      <c r="AT494" s="32"/>
    </row>
    <row r="495" spans="43:46" x14ac:dyDescent="0.2">
      <c r="AQ495" s="31"/>
      <c r="AR495" s="32"/>
      <c r="AS495" s="33"/>
      <c r="AT495" s="32"/>
    </row>
    <row r="496" spans="43:46" x14ac:dyDescent="0.2">
      <c r="AQ496" s="31"/>
      <c r="AR496" s="32"/>
      <c r="AS496" s="33"/>
      <c r="AT496" s="32"/>
    </row>
    <row r="497" spans="43:46" x14ac:dyDescent="0.2">
      <c r="AQ497" s="31"/>
      <c r="AR497" s="32"/>
      <c r="AS497" s="33"/>
      <c r="AT497" s="32"/>
    </row>
    <row r="498" spans="43:46" x14ac:dyDescent="0.2">
      <c r="AQ498" s="31"/>
      <c r="AR498" s="32"/>
      <c r="AS498" s="33"/>
      <c r="AT498" s="32"/>
    </row>
    <row r="499" spans="43:46" x14ac:dyDescent="0.2">
      <c r="AQ499" s="31"/>
      <c r="AR499" s="32"/>
      <c r="AS499" s="33"/>
      <c r="AT499" s="32"/>
    </row>
    <row r="500" spans="43:46" x14ac:dyDescent="0.2">
      <c r="AQ500" s="31"/>
      <c r="AR500" s="32"/>
      <c r="AS500" s="33"/>
      <c r="AT500" s="32"/>
    </row>
    <row r="501" spans="43:46" x14ac:dyDescent="0.2">
      <c r="AQ501" s="31"/>
      <c r="AR501" s="32"/>
      <c r="AS501" s="33"/>
      <c r="AT501" s="32"/>
    </row>
    <row r="502" spans="43:46" x14ac:dyDescent="0.2">
      <c r="AQ502" s="31"/>
      <c r="AR502" s="32"/>
      <c r="AS502" s="33"/>
      <c r="AT502" s="32"/>
    </row>
    <row r="503" spans="43:46" x14ac:dyDescent="0.2">
      <c r="AQ503" s="31"/>
      <c r="AR503" s="32"/>
      <c r="AS503" s="33"/>
      <c r="AT503" s="32"/>
    </row>
    <row r="504" spans="43:46" x14ac:dyDescent="0.2">
      <c r="AQ504" s="31"/>
      <c r="AR504" s="32"/>
      <c r="AS504" s="33"/>
      <c r="AT504" s="32"/>
    </row>
    <row r="505" spans="43:46" x14ac:dyDescent="0.2">
      <c r="AQ505" s="31"/>
      <c r="AR505" s="32"/>
      <c r="AS505" s="33"/>
      <c r="AT505" s="32"/>
    </row>
    <row r="506" spans="43:46" x14ac:dyDescent="0.2">
      <c r="AQ506" s="31"/>
      <c r="AR506" s="32"/>
      <c r="AS506" s="33"/>
      <c r="AT506" s="32"/>
    </row>
    <row r="507" spans="43:46" x14ac:dyDescent="0.2">
      <c r="AQ507" s="31"/>
      <c r="AR507" s="32"/>
      <c r="AS507" s="33"/>
      <c r="AT507" s="32"/>
    </row>
    <row r="508" spans="43:46" x14ac:dyDescent="0.2">
      <c r="AQ508" s="31"/>
      <c r="AR508" s="32"/>
      <c r="AS508" s="33"/>
      <c r="AT508" s="32"/>
    </row>
    <row r="509" spans="43:46" x14ac:dyDescent="0.2">
      <c r="AQ509" s="31"/>
      <c r="AR509" s="32"/>
      <c r="AS509" s="33"/>
      <c r="AT509" s="32"/>
    </row>
    <row r="510" spans="43:46" x14ac:dyDescent="0.2">
      <c r="AQ510" s="31"/>
      <c r="AR510" s="32"/>
      <c r="AS510" s="33"/>
      <c r="AT510" s="32"/>
    </row>
    <row r="511" spans="43:46" x14ac:dyDescent="0.2">
      <c r="AQ511" s="31"/>
      <c r="AR511" s="32"/>
      <c r="AS511" s="33"/>
      <c r="AT511" s="32"/>
    </row>
    <row r="512" spans="43:46" x14ac:dyDescent="0.2">
      <c r="AQ512" s="31"/>
      <c r="AR512" s="32"/>
      <c r="AS512" s="33"/>
      <c r="AT512" s="32"/>
    </row>
    <row r="513" spans="43:46" x14ac:dyDescent="0.2">
      <c r="AQ513" s="31"/>
      <c r="AR513" s="32"/>
      <c r="AS513" s="33"/>
      <c r="AT513" s="32"/>
    </row>
    <row r="514" spans="43:46" x14ac:dyDescent="0.2">
      <c r="AQ514" s="31"/>
      <c r="AR514" s="32"/>
      <c r="AS514" s="33"/>
      <c r="AT514" s="32"/>
    </row>
    <row r="515" spans="43:46" x14ac:dyDescent="0.2">
      <c r="AQ515" s="31"/>
      <c r="AR515" s="32"/>
      <c r="AS515" s="33"/>
      <c r="AT515" s="32"/>
    </row>
    <row r="516" spans="43:46" x14ac:dyDescent="0.2">
      <c r="AQ516" s="31"/>
      <c r="AR516" s="32"/>
      <c r="AS516" s="33"/>
      <c r="AT516" s="32"/>
    </row>
    <row r="517" spans="43:46" x14ac:dyDescent="0.2">
      <c r="AQ517" s="31"/>
      <c r="AR517" s="32"/>
      <c r="AS517" s="33"/>
      <c r="AT517" s="32"/>
    </row>
    <row r="518" spans="43:46" x14ac:dyDescent="0.2">
      <c r="AQ518" s="31"/>
      <c r="AR518" s="32"/>
      <c r="AS518" s="33"/>
      <c r="AT518" s="32"/>
    </row>
    <row r="519" spans="43:46" x14ac:dyDescent="0.2">
      <c r="AQ519" s="31"/>
      <c r="AR519" s="32"/>
      <c r="AS519" s="33"/>
      <c r="AT519" s="32"/>
    </row>
    <row r="520" spans="43:46" x14ac:dyDescent="0.2">
      <c r="AQ520" s="31"/>
      <c r="AR520" s="32"/>
      <c r="AS520" s="33"/>
      <c r="AT520" s="32"/>
    </row>
    <row r="521" spans="43:46" x14ac:dyDescent="0.2">
      <c r="AQ521" s="31"/>
      <c r="AR521" s="32"/>
      <c r="AS521" s="33"/>
      <c r="AT521" s="32"/>
    </row>
    <row r="522" spans="43:46" x14ac:dyDescent="0.2">
      <c r="AQ522" s="31"/>
      <c r="AR522" s="32"/>
      <c r="AS522" s="33"/>
      <c r="AT522" s="32"/>
    </row>
    <row r="523" spans="43:46" x14ac:dyDescent="0.2">
      <c r="AQ523" s="31"/>
      <c r="AR523" s="32"/>
      <c r="AS523" s="33"/>
      <c r="AT523" s="32"/>
    </row>
    <row r="524" spans="43:46" x14ac:dyDescent="0.2">
      <c r="AQ524" s="31"/>
      <c r="AR524" s="32"/>
      <c r="AS524" s="33"/>
      <c r="AT524" s="32"/>
    </row>
    <row r="525" spans="43:46" x14ac:dyDescent="0.2">
      <c r="AQ525" s="31"/>
      <c r="AR525" s="32"/>
      <c r="AS525" s="33"/>
      <c r="AT525" s="32"/>
    </row>
    <row r="526" spans="43:46" x14ac:dyDescent="0.2">
      <c r="AQ526" s="31"/>
      <c r="AR526" s="32"/>
      <c r="AS526" s="33"/>
      <c r="AT526" s="32"/>
    </row>
    <row r="527" spans="43:46" x14ac:dyDescent="0.2">
      <c r="AQ527" s="31"/>
      <c r="AR527" s="32"/>
      <c r="AS527" s="33"/>
      <c r="AT527" s="32"/>
    </row>
    <row r="528" spans="43:46" x14ac:dyDescent="0.2">
      <c r="AQ528" s="31"/>
      <c r="AR528" s="32"/>
      <c r="AS528" s="33"/>
      <c r="AT528" s="32"/>
    </row>
    <row r="529" spans="43:46" x14ac:dyDescent="0.2">
      <c r="AQ529" s="31"/>
      <c r="AR529" s="32"/>
      <c r="AS529" s="33"/>
      <c r="AT529" s="32"/>
    </row>
    <row r="530" spans="43:46" x14ac:dyDescent="0.2">
      <c r="AQ530" s="31"/>
      <c r="AR530" s="32"/>
      <c r="AS530" s="33"/>
      <c r="AT530" s="32"/>
    </row>
    <row r="531" spans="43:46" x14ac:dyDescent="0.2">
      <c r="AQ531" s="31"/>
      <c r="AR531" s="32"/>
      <c r="AS531" s="33"/>
      <c r="AT531" s="32"/>
    </row>
    <row r="532" spans="43:46" x14ac:dyDescent="0.2">
      <c r="AQ532" s="31"/>
      <c r="AR532" s="32"/>
      <c r="AS532" s="33"/>
      <c r="AT532" s="32"/>
    </row>
    <row r="533" spans="43:46" x14ac:dyDescent="0.2">
      <c r="AQ533" s="31"/>
      <c r="AR533" s="32"/>
      <c r="AS533" s="33"/>
      <c r="AT533" s="32"/>
    </row>
    <row r="534" spans="43:46" x14ac:dyDescent="0.2">
      <c r="AQ534" s="31"/>
      <c r="AR534" s="32"/>
      <c r="AS534" s="33"/>
      <c r="AT534" s="32"/>
    </row>
    <row r="535" spans="43:46" x14ac:dyDescent="0.2">
      <c r="AQ535" s="31"/>
      <c r="AR535" s="32"/>
      <c r="AS535" s="33"/>
      <c r="AT535" s="32"/>
    </row>
    <row r="536" spans="43:46" x14ac:dyDescent="0.2">
      <c r="AQ536" s="31"/>
      <c r="AR536" s="32"/>
      <c r="AS536" s="33"/>
      <c r="AT536" s="32"/>
    </row>
    <row r="537" spans="43:46" x14ac:dyDescent="0.2">
      <c r="AQ537" s="31"/>
      <c r="AR537" s="32"/>
      <c r="AS537" s="33"/>
      <c r="AT537" s="32"/>
    </row>
    <row r="538" spans="43:46" x14ac:dyDescent="0.2">
      <c r="AQ538" s="31"/>
      <c r="AR538" s="32"/>
      <c r="AS538" s="33"/>
      <c r="AT538" s="32"/>
    </row>
    <row r="539" spans="43:46" x14ac:dyDescent="0.2">
      <c r="AQ539" s="31"/>
      <c r="AR539" s="32"/>
      <c r="AS539" s="33"/>
      <c r="AT539" s="32"/>
    </row>
    <row r="540" spans="43:46" x14ac:dyDescent="0.2">
      <c r="AQ540" s="31"/>
      <c r="AR540" s="32"/>
      <c r="AS540" s="33"/>
      <c r="AT540" s="32"/>
    </row>
    <row r="541" spans="43:46" x14ac:dyDescent="0.2">
      <c r="AQ541" s="31"/>
      <c r="AR541" s="32"/>
      <c r="AS541" s="33"/>
      <c r="AT541" s="32"/>
    </row>
    <row r="542" spans="43:46" x14ac:dyDescent="0.2">
      <c r="AQ542" s="31"/>
      <c r="AR542" s="32"/>
      <c r="AS542" s="33"/>
      <c r="AT542" s="32"/>
    </row>
    <row r="543" spans="43:46" x14ac:dyDescent="0.2">
      <c r="AQ543" s="31"/>
      <c r="AR543" s="32"/>
      <c r="AS543" s="33"/>
      <c r="AT543" s="32"/>
    </row>
    <row r="544" spans="43:46" x14ac:dyDescent="0.2">
      <c r="AQ544" s="31"/>
      <c r="AR544" s="32"/>
      <c r="AS544" s="33"/>
      <c r="AT544" s="32"/>
    </row>
    <row r="545" spans="43:46" x14ac:dyDescent="0.2">
      <c r="AQ545" s="31"/>
      <c r="AR545" s="32"/>
      <c r="AT545" s="32"/>
    </row>
    <row r="546" spans="43:46" x14ac:dyDescent="0.2">
      <c r="AQ546" s="31"/>
      <c r="AR546" s="32"/>
      <c r="AT546" s="32"/>
    </row>
    <row r="547" spans="43:46" x14ac:dyDescent="0.2">
      <c r="AQ547" s="31"/>
      <c r="AR547" s="32"/>
      <c r="AT547" s="32"/>
    </row>
    <row r="548" spans="43:46" x14ac:dyDescent="0.2">
      <c r="AQ548" s="31"/>
      <c r="AR548" s="32"/>
      <c r="AT548" s="32"/>
    </row>
    <row r="549" spans="43:46" x14ac:dyDescent="0.2">
      <c r="AQ549" s="31"/>
      <c r="AR549" s="32"/>
      <c r="AT549" s="32"/>
    </row>
    <row r="550" spans="43:46" x14ac:dyDescent="0.2">
      <c r="AQ550" s="31"/>
      <c r="AR550" s="32"/>
      <c r="AT550" s="32"/>
    </row>
    <row r="551" spans="43:46" x14ac:dyDescent="0.2">
      <c r="AQ551" s="31"/>
      <c r="AR551" s="32"/>
      <c r="AT551" s="32"/>
    </row>
    <row r="552" spans="43:46" x14ac:dyDescent="0.2">
      <c r="AQ552" s="31"/>
      <c r="AR552" s="32"/>
      <c r="AT552" s="32"/>
    </row>
    <row r="553" spans="43:46" x14ac:dyDescent="0.2">
      <c r="AQ553" s="31"/>
      <c r="AR553" s="32"/>
      <c r="AT553" s="32"/>
    </row>
    <row r="554" spans="43:46" x14ac:dyDescent="0.2">
      <c r="AQ554" s="31"/>
      <c r="AR554" s="32"/>
      <c r="AT554" s="32"/>
    </row>
    <row r="555" spans="43:46" x14ac:dyDescent="0.2">
      <c r="AQ555" s="31"/>
      <c r="AR555" s="32"/>
      <c r="AT555" s="32"/>
    </row>
    <row r="556" spans="43:46" x14ac:dyDescent="0.2">
      <c r="AQ556" s="31"/>
      <c r="AR556" s="32"/>
      <c r="AT556" s="32"/>
    </row>
    <row r="557" spans="43:46" x14ac:dyDescent="0.2">
      <c r="AQ557" s="31"/>
      <c r="AR557" s="32"/>
      <c r="AT557" s="32"/>
    </row>
    <row r="558" spans="43:46" x14ac:dyDescent="0.2">
      <c r="AQ558" s="31"/>
      <c r="AR558" s="32"/>
      <c r="AT558" s="32"/>
    </row>
    <row r="559" spans="43:46" x14ac:dyDescent="0.2">
      <c r="AQ559" s="31"/>
      <c r="AR559" s="32"/>
      <c r="AT559" s="32"/>
    </row>
    <row r="560" spans="43:46" x14ac:dyDescent="0.2">
      <c r="AQ560" s="31"/>
      <c r="AR560" s="32"/>
      <c r="AT560" s="32"/>
    </row>
    <row r="561" spans="43:46" x14ac:dyDescent="0.2">
      <c r="AQ561" s="31"/>
      <c r="AR561" s="32"/>
      <c r="AT561" s="32"/>
    </row>
    <row r="562" spans="43:46" x14ac:dyDescent="0.2">
      <c r="AQ562" s="31"/>
      <c r="AR562" s="32"/>
      <c r="AT562" s="32"/>
    </row>
    <row r="563" spans="43:46" x14ac:dyDescent="0.2">
      <c r="AQ563" s="31"/>
      <c r="AR563" s="32"/>
      <c r="AT563" s="32"/>
    </row>
    <row r="564" spans="43:46" x14ac:dyDescent="0.2">
      <c r="AQ564" s="31"/>
      <c r="AR564" s="32"/>
      <c r="AT564" s="32"/>
    </row>
    <row r="565" spans="43:46" x14ac:dyDescent="0.2">
      <c r="AQ565" s="31"/>
      <c r="AR565" s="32"/>
      <c r="AT565" s="32"/>
    </row>
    <row r="566" spans="43:46" x14ac:dyDescent="0.2">
      <c r="AQ566" s="31"/>
      <c r="AR566" s="32"/>
      <c r="AT566" s="32"/>
    </row>
    <row r="567" spans="43:46" x14ac:dyDescent="0.2">
      <c r="AQ567" s="31"/>
      <c r="AR567" s="32"/>
      <c r="AT567" s="32"/>
    </row>
    <row r="568" spans="43:46" x14ac:dyDescent="0.2">
      <c r="AQ568" s="31"/>
      <c r="AR568" s="32"/>
      <c r="AT568" s="32"/>
    </row>
    <row r="569" spans="43:46" x14ac:dyDescent="0.2">
      <c r="AQ569" s="31"/>
      <c r="AR569" s="32"/>
      <c r="AT569" s="32"/>
    </row>
    <row r="570" spans="43:46" x14ac:dyDescent="0.2">
      <c r="AQ570" s="31"/>
      <c r="AR570" s="32"/>
      <c r="AT570" s="32"/>
    </row>
    <row r="571" spans="43:46" x14ac:dyDescent="0.2">
      <c r="AQ571" s="31"/>
      <c r="AR571" s="32"/>
      <c r="AT571" s="32"/>
    </row>
    <row r="572" spans="43:46" x14ac:dyDescent="0.2">
      <c r="AQ572" s="31"/>
      <c r="AR572" s="32"/>
      <c r="AT572" s="32"/>
    </row>
    <row r="573" spans="43:46" x14ac:dyDescent="0.2">
      <c r="AQ573" s="31"/>
      <c r="AR573" s="32"/>
      <c r="AT573" s="32"/>
    </row>
    <row r="574" spans="43:46" x14ac:dyDescent="0.2">
      <c r="AQ574" s="31"/>
      <c r="AR574" s="32"/>
      <c r="AT574" s="32"/>
    </row>
    <row r="575" spans="43:46" x14ac:dyDescent="0.2">
      <c r="AQ575" s="31"/>
      <c r="AR575" s="32"/>
      <c r="AT575" s="32"/>
    </row>
    <row r="576" spans="43:46" x14ac:dyDescent="0.2">
      <c r="AQ576" s="31"/>
      <c r="AR576" s="32"/>
      <c r="AT576" s="32"/>
    </row>
    <row r="577" spans="17:46" x14ac:dyDescent="0.2">
      <c r="AQ577" s="31"/>
      <c r="AR577" s="32"/>
      <c r="AT577" s="32"/>
    </row>
    <row r="578" spans="17:46" x14ac:dyDescent="0.2">
      <c r="AQ578" s="31"/>
      <c r="AR578" s="32"/>
      <c r="AT578" s="32"/>
    </row>
    <row r="579" spans="17:46" x14ac:dyDescent="0.2">
      <c r="AQ579" s="31"/>
      <c r="AR579" s="32"/>
      <c r="AT579" s="32"/>
    </row>
    <row r="580" spans="17:46" x14ac:dyDescent="0.2">
      <c r="AQ580" s="31"/>
      <c r="AR580" s="32"/>
      <c r="AT580" s="32"/>
    </row>
    <row r="581" spans="17:46" x14ac:dyDescent="0.2">
      <c r="AQ581" s="31"/>
      <c r="AR581" s="32"/>
      <c r="AT581" s="32"/>
    </row>
    <row r="582" spans="17:46" ht="13.5" thickBot="1" x14ac:dyDescent="0.25"/>
    <row r="583" spans="17:46" x14ac:dyDescent="0.2">
      <c r="Q583" s="87"/>
      <c r="AO583" s="88"/>
      <c r="AQ583" s="89"/>
    </row>
  </sheetData>
  <mergeCells count="35">
    <mergeCell ref="A1:AH1"/>
    <mergeCell ref="B20:B21"/>
    <mergeCell ref="A22:A23"/>
    <mergeCell ref="B22:B23"/>
    <mergeCell ref="A2:A3"/>
    <mergeCell ref="B2:B3"/>
    <mergeCell ref="A6:A7"/>
    <mergeCell ref="A20:A21"/>
    <mergeCell ref="B6:B7"/>
    <mergeCell ref="A4:A5"/>
    <mergeCell ref="B4:B5"/>
    <mergeCell ref="A8:A9"/>
    <mergeCell ref="B8:B9"/>
    <mergeCell ref="C2:M2"/>
    <mergeCell ref="N2:X2"/>
    <mergeCell ref="Y2:AI2"/>
    <mergeCell ref="A40:L40"/>
    <mergeCell ref="A18:A19"/>
    <mergeCell ref="B18:B19"/>
    <mergeCell ref="A30:A31"/>
    <mergeCell ref="B30:B31"/>
    <mergeCell ref="A24:A25"/>
    <mergeCell ref="B24:B25"/>
    <mergeCell ref="A26:A27"/>
    <mergeCell ref="B26:B27"/>
    <mergeCell ref="A28:A29"/>
    <mergeCell ref="B28:B29"/>
    <mergeCell ref="A16:A17"/>
    <mergeCell ref="B16:B17"/>
    <mergeCell ref="A10:A11"/>
    <mergeCell ref="B10:B11"/>
    <mergeCell ref="A12:A13"/>
    <mergeCell ref="B12:B13"/>
    <mergeCell ref="A14:A15"/>
    <mergeCell ref="B14:B1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00B050"/>
  </sheetPr>
  <dimension ref="A1:AO597"/>
  <sheetViews>
    <sheetView zoomScaleNormal="100" workbookViewId="0">
      <pane xSplit="2" ySplit="5" topLeftCell="V6" activePane="bottomRight" state="frozen"/>
      <selection activeCell="C28" sqref="A28:XFD28"/>
      <selection pane="topRight" activeCell="C28" sqref="A28:XFD28"/>
      <selection pane="bottomLeft" activeCell="C28" sqref="A28:XFD28"/>
      <selection pane="bottomRight" activeCell="AQ10" sqref="AQ10"/>
    </sheetView>
  </sheetViews>
  <sheetFormatPr defaultRowHeight="12.75" x14ac:dyDescent="0.2"/>
  <cols>
    <col min="1" max="1" width="6.140625" style="16" customWidth="1"/>
    <col min="2" max="2" width="41.7109375" style="16" customWidth="1"/>
    <col min="3" max="4" width="9.28515625" style="16" bestFit="1" customWidth="1"/>
    <col min="5" max="5" width="12.140625" style="16" customWidth="1"/>
    <col min="6" max="7" width="9.28515625" style="16" bestFit="1" customWidth="1"/>
    <col min="8" max="8" width="15" style="16" customWidth="1"/>
    <col min="9" max="10" width="9.28515625" style="16" bestFit="1" customWidth="1"/>
    <col min="11" max="11" width="13.140625" style="16" customWidth="1"/>
    <col min="12" max="13" width="9.28515625" style="16" bestFit="1" customWidth="1"/>
    <col min="14" max="14" width="13.28515625" style="16" customWidth="1"/>
    <col min="15" max="16" width="9.28515625" style="16" bestFit="1" customWidth="1"/>
    <col min="17" max="17" width="13.85546875" style="16" customWidth="1"/>
    <col min="18" max="19" width="9.28515625" style="16" bestFit="1" customWidth="1"/>
    <col min="20" max="20" width="12.5703125" style="16" customWidth="1"/>
    <col min="21" max="22" width="9.28515625" style="16" bestFit="1" customWidth="1"/>
    <col min="23" max="23" width="8.28515625" style="16" bestFit="1" customWidth="1"/>
    <col min="24" max="25" width="9.28515625" style="16" bestFit="1" customWidth="1"/>
    <col min="26" max="26" width="8.28515625" style="16" bestFit="1" customWidth="1"/>
    <col min="27" max="28" width="9.28515625" style="16" bestFit="1" customWidth="1"/>
    <col min="29" max="29" width="8.28515625" style="16" bestFit="1" customWidth="1"/>
    <col min="30" max="31" width="9.28515625" style="16" bestFit="1" customWidth="1"/>
    <col min="32" max="32" width="8.28515625" style="16" bestFit="1" customWidth="1"/>
    <col min="33" max="34" width="9.28515625" style="16" bestFit="1" customWidth="1"/>
    <col min="35" max="35" width="8.28515625" style="16" bestFit="1" customWidth="1"/>
    <col min="36" max="37" width="9.28515625" style="16" bestFit="1" customWidth="1"/>
    <col min="38" max="38" width="8.28515625" style="16" bestFit="1" customWidth="1"/>
    <col min="39" max="39" width="9.28515625" style="18" bestFit="1" customWidth="1"/>
    <col min="40" max="40" width="9.28515625" style="19" bestFit="1" customWidth="1"/>
    <col min="41" max="41" width="14.85546875" style="25" customWidth="1"/>
    <col min="42" max="177" width="9.140625" style="16"/>
    <col min="178" max="178" width="14.85546875" style="16" customWidth="1"/>
    <col min="179" max="182" width="9.140625" style="16"/>
    <col min="183" max="183" width="11.28515625" style="16" bestFit="1" customWidth="1"/>
    <col min="184" max="184" width="10.42578125" style="16" customWidth="1"/>
    <col min="185" max="186" width="9.140625" style="16"/>
    <col min="187" max="187" width="10.28515625" style="16" customWidth="1"/>
    <col min="188" max="189" width="9.140625" style="16"/>
    <col min="190" max="190" width="11.28515625" style="16" customWidth="1"/>
    <col min="191" max="191" width="9.140625" style="16"/>
    <col min="192" max="192" width="10.42578125" style="16" customWidth="1"/>
    <col min="193" max="193" width="12.28515625" style="16" customWidth="1"/>
    <col min="194" max="214" width="9.140625" style="16"/>
    <col min="215" max="215" width="11.85546875" style="16" customWidth="1"/>
    <col min="216" max="216" width="13" style="16" customWidth="1"/>
    <col min="217" max="217" width="12.85546875" style="16" customWidth="1"/>
    <col min="218" max="220" width="9.140625" style="16"/>
    <col min="221" max="226" width="0" style="16" hidden="1" customWidth="1"/>
    <col min="227" max="227" width="9.140625" style="16"/>
    <col min="228" max="248" width="0" style="16" hidden="1" customWidth="1"/>
    <col min="249" max="433" width="9.140625" style="16"/>
    <col min="434" max="434" width="14.85546875" style="16" customWidth="1"/>
    <col min="435" max="438" width="9.140625" style="16"/>
    <col min="439" max="439" width="11.28515625" style="16" bestFit="1" customWidth="1"/>
    <col min="440" max="440" width="10.42578125" style="16" customWidth="1"/>
    <col min="441" max="442" width="9.140625" style="16"/>
    <col min="443" max="443" width="10.28515625" style="16" customWidth="1"/>
    <col min="444" max="445" width="9.140625" style="16"/>
    <col min="446" max="446" width="11.28515625" style="16" customWidth="1"/>
    <col min="447" max="447" width="9.140625" style="16"/>
    <col min="448" max="448" width="10.42578125" style="16" customWidth="1"/>
    <col min="449" max="449" width="12.28515625" style="16" customWidth="1"/>
    <col min="450" max="470" width="9.140625" style="16"/>
    <col min="471" max="471" width="11.85546875" style="16" customWidth="1"/>
    <col min="472" max="472" width="13" style="16" customWidth="1"/>
    <col min="473" max="473" width="12.85546875" style="16" customWidth="1"/>
    <col min="474" max="476" width="9.140625" style="16"/>
    <col min="477" max="482" width="0" style="16" hidden="1" customWidth="1"/>
    <col min="483" max="483" width="9.140625" style="16"/>
    <col min="484" max="504" width="0" style="16" hidden="1" customWidth="1"/>
    <col min="505" max="689" width="9.140625" style="16"/>
    <col min="690" max="690" width="14.85546875" style="16" customWidth="1"/>
    <col min="691" max="694" width="9.140625" style="16"/>
    <col min="695" max="695" width="11.28515625" style="16" bestFit="1" customWidth="1"/>
    <col min="696" max="696" width="10.42578125" style="16" customWidth="1"/>
    <col min="697" max="698" width="9.140625" style="16"/>
    <col min="699" max="699" width="10.28515625" style="16" customWidth="1"/>
    <col min="700" max="701" width="9.140625" style="16"/>
    <col min="702" max="702" width="11.28515625" style="16" customWidth="1"/>
    <col min="703" max="703" width="9.140625" style="16"/>
    <col min="704" max="704" width="10.42578125" style="16" customWidth="1"/>
    <col min="705" max="705" width="12.28515625" style="16" customWidth="1"/>
    <col min="706" max="726" width="9.140625" style="16"/>
    <col min="727" max="727" width="11.85546875" style="16" customWidth="1"/>
    <col min="728" max="728" width="13" style="16" customWidth="1"/>
    <col min="729" max="729" width="12.85546875" style="16" customWidth="1"/>
    <col min="730" max="732" width="9.140625" style="16"/>
    <col min="733" max="738" width="0" style="16" hidden="1" customWidth="1"/>
    <col min="739" max="739" width="9.140625" style="16"/>
    <col min="740" max="760" width="0" style="16" hidden="1" customWidth="1"/>
    <col min="761" max="945" width="9.140625" style="16"/>
    <col min="946" max="946" width="14.85546875" style="16" customWidth="1"/>
    <col min="947" max="950" width="9.140625" style="16"/>
    <col min="951" max="951" width="11.28515625" style="16" bestFit="1" customWidth="1"/>
    <col min="952" max="952" width="10.42578125" style="16" customWidth="1"/>
    <col min="953" max="954" width="9.140625" style="16"/>
    <col min="955" max="955" width="10.28515625" style="16" customWidth="1"/>
    <col min="956" max="957" width="9.140625" style="16"/>
    <col min="958" max="958" width="11.28515625" style="16" customWidth="1"/>
    <col min="959" max="959" width="9.140625" style="16"/>
    <col min="960" max="960" width="10.42578125" style="16" customWidth="1"/>
    <col min="961" max="961" width="12.28515625" style="16" customWidth="1"/>
    <col min="962" max="982" width="9.140625" style="16"/>
    <col min="983" max="983" width="11.85546875" style="16" customWidth="1"/>
    <col min="984" max="984" width="13" style="16" customWidth="1"/>
    <col min="985" max="985" width="12.85546875" style="16" customWidth="1"/>
    <col min="986" max="988" width="9.140625" style="16"/>
    <col min="989" max="994" width="0" style="16" hidden="1" customWidth="1"/>
    <col min="995" max="995" width="9.140625" style="16"/>
    <col min="996" max="1016" width="0" style="16" hidden="1" customWidth="1"/>
    <col min="1017" max="1201" width="9.140625" style="16"/>
    <col min="1202" max="1202" width="14.85546875" style="16" customWidth="1"/>
    <col min="1203" max="1206" width="9.140625" style="16"/>
    <col min="1207" max="1207" width="11.28515625" style="16" bestFit="1" customWidth="1"/>
    <col min="1208" max="1208" width="10.42578125" style="16" customWidth="1"/>
    <col min="1209" max="1210" width="9.140625" style="16"/>
    <col min="1211" max="1211" width="10.28515625" style="16" customWidth="1"/>
    <col min="1212" max="1213" width="9.140625" style="16"/>
    <col min="1214" max="1214" width="11.28515625" style="16" customWidth="1"/>
    <col min="1215" max="1215" width="9.140625" style="16"/>
    <col min="1216" max="1216" width="10.42578125" style="16" customWidth="1"/>
    <col min="1217" max="1217" width="12.28515625" style="16" customWidth="1"/>
    <col min="1218" max="1238" width="9.140625" style="16"/>
    <col min="1239" max="1239" width="11.85546875" style="16" customWidth="1"/>
    <col min="1240" max="1240" width="13" style="16" customWidth="1"/>
    <col min="1241" max="1241" width="12.85546875" style="16" customWidth="1"/>
    <col min="1242" max="1244" width="9.140625" style="16"/>
    <col min="1245" max="1250" width="0" style="16" hidden="1" customWidth="1"/>
    <col min="1251" max="1251" width="9.140625" style="16"/>
    <col min="1252" max="1272" width="0" style="16" hidden="1" customWidth="1"/>
    <col min="1273" max="1457" width="9.140625" style="16"/>
    <col min="1458" max="1458" width="14.85546875" style="16" customWidth="1"/>
    <col min="1459" max="1462" width="9.140625" style="16"/>
    <col min="1463" max="1463" width="11.28515625" style="16" bestFit="1" customWidth="1"/>
    <col min="1464" max="1464" width="10.42578125" style="16" customWidth="1"/>
    <col min="1465" max="1466" width="9.140625" style="16"/>
    <col min="1467" max="1467" width="10.28515625" style="16" customWidth="1"/>
    <col min="1468" max="1469" width="9.140625" style="16"/>
    <col min="1470" max="1470" width="11.28515625" style="16" customWidth="1"/>
    <col min="1471" max="1471" width="9.140625" style="16"/>
    <col min="1472" max="1472" width="10.42578125" style="16" customWidth="1"/>
    <col min="1473" max="1473" width="12.28515625" style="16" customWidth="1"/>
    <col min="1474" max="1494" width="9.140625" style="16"/>
    <col min="1495" max="1495" width="11.85546875" style="16" customWidth="1"/>
    <col min="1496" max="1496" width="13" style="16" customWidth="1"/>
    <col min="1497" max="1497" width="12.85546875" style="16" customWidth="1"/>
    <col min="1498" max="1500" width="9.140625" style="16"/>
    <col min="1501" max="1506" width="0" style="16" hidden="1" customWidth="1"/>
    <col min="1507" max="1507" width="9.140625" style="16"/>
    <col min="1508" max="1528" width="0" style="16" hidden="1" customWidth="1"/>
    <col min="1529" max="1713" width="9.140625" style="16"/>
    <col min="1714" max="1714" width="14.85546875" style="16" customWidth="1"/>
    <col min="1715" max="1718" width="9.140625" style="16"/>
    <col min="1719" max="1719" width="11.28515625" style="16" bestFit="1" customWidth="1"/>
    <col min="1720" max="1720" width="10.42578125" style="16" customWidth="1"/>
    <col min="1721" max="1722" width="9.140625" style="16"/>
    <col min="1723" max="1723" width="10.28515625" style="16" customWidth="1"/>
    <col min="1724" max="1725" width="9.140625" style="16"/>
    <col min="1726" max="1726" width="11.28515625" style="16" customWidth="1"/>
    <col min="1727" max="1727" width="9.140625" style="16"/>
    <col min="1728" max="1728" width="10.42578125" style="16" customWidth="1"/>
    <col min="1729" max="1729" width="12.28515625" style="16" customWidth="1"/>
    <col min="1730" max="1750" width="9.140625" style="16"/>
    <col min="1751" max="1751" width="11.85546875" style="16" customWidth="1"/>
    <col min="1752" max="1752" width="13" style="16" customWidth="1"/>
    <col min="1753" max="1753" width="12.85546875" style="16" customWidth="1"/>
    <col min="1754" max="1756" width="9.140625" style="16"/>
    <col min="1757" max="1762" width="0" style="16" hidden="1" customWidth="1"/>
    <col min="1763" max="1763" width="9.140625" style="16"/>
    <col min="1764" max="1784" width="0" style="16" hidden="1" customWidth="1"/>
    <col min="1785" max="1969" width="9.140625" style="16"/>
    <col min="1970" max="1970" width="14.85546875" style="16" customWidth="1"/>
    <col min="1971" max="1974" width="9.140625" style="16"/>
    <col min="1975" max="1975" width="11.28515625" style="16" bestFit="1" customWidth="1"/>
    <col min="1976" max="1976" width="10.42578125" style="16" customWidth="1"/>
    <col min="1977" max="1978" width="9.140625" style="16"/>
    <col min="1979" max="1979" width="10.28515625" style="16" customWidth="1"/>
    <col min="1980" max="1981" width="9.140625" style="16"/>
    <col min="1982" max="1982" width="11.28515625" style="16" customWidth="1"/>
    <col min="1983" max="1983" width="9.140625" style="16"/>
    <col min="1984" max="1984" width="10.42578125" style="16" customWidth="1"/>
    <col min="1985" max="1985" width="12.28515625" style="16" customWidth="1"/>
    <col min="1986" max="2006" width="9.140625" style="16"/>
    <col min="2007" max="2007" width="11.85546875" style="16" customWidth="1"/>
    <col min="2008" max="2008" width="13" style="16" customWidth="1"/>
    <col min="2009" max="2009" width="12.85546875" style="16" customWidth="1"/>
    <col min="2010" max="2012" width="9.140625" style="16"/>
    <col min="2013" max="2018" width="0" style="16" hidden="1" customWidth="1"/>
    <col min="2019" max="2019" width="9.140625" style="16"/>
    <col min="2020" max="2040" width="0" style="16" hidden="1" customWidth="1"/>
    <col min="2041" max="2225" width="9.140625" style="16"/>
    <col min="2226" max="2226" width="14.85546875" style="16" customWidth="1"/>
    <col min="2227" max="2230" width="9.140625" style="16"/>
    <col min="2231" max="2231" width="11.28515625" style="16" bestFit="1" customWidth="1"/>
    <col min="2232" max="2232" width="10.42578125" style="16" customWidth="1"/>
    <col min="2233" max="2234" width="9.140625" style="16"/>
    <col min="2235" max="2235" width="10.28515625" style="16" customWidth="1"/>
    <col min="2236" max="2237" width="9.140625" style="16"/>
    <col min="2238" max="2238" width="11.28515625" style="16" customWidth="1"/>
    <col min="2239" max="2239" width="9.140625" style="16"/>
    <col min="2240" max="2240" width="10.42578125" style="16" customWidth="1"/>
    <col min="2241" max="2241" width="12.28515625" style="16" customWidth="1"/>
    <col min="2242" max="2262" width="9.140625" style="16"/>
    <col min="2263" max="2263" width="11.85546875" style="16" customWidth="1"/>
    <col min="2264" max="2264" width="13" style="16" customWidth="1"/>
    <col min="2265" max="2265" width="12.85546875" style="16" customWidth="1"/>
    <col min="2266" max="2268" width="9.140625" style="16"/>
    <col min="2269" max="2274" width="0" style="16" hidden="1" customWidth="1"/>
    <col min="2275" max="2275" width="9.140625" style="16"/>
    <col min="2276" max="2296" width="0" style="16" hidden="1" customWidth="1"/>
    <col min="2297" max="2481" width="9.140625" style="16"/>
    <col min="2482" max="2482" width="14.85546875" style="16" customWidth="1"/>
    <col min="2483" max="2486" width="9.140625" style="16"/>
    <col min="2487" max="2487" width="11.28515625" style="16" bestFit="1" customWidth="1"/>
    <col min="2488" max="2488" width="10.42578125" style="16" customWidth="1"/>
    <col min="2489" max="2490" width="9.140625" style="16"/>
    <col min="2491" max="2491" width="10.28515625" style="16" customWidth="1"/>
    <col min="2492" max="2493" width="9.140625" style="16"/>
    <col min="2494" max="2494" width="11.28515625" style="16" customWidth="1"/>
    <col min="2495" max="2495" width="9.140625" style="16"/>
    <col min="2496" max="2496" width="10.42578125" style="16" customWidth="1"/>
    <col min="2497" max="2497" width="12.28515625" style="16" customWidth="1"/>
    <col min="2498" max="2518" width="9.140625" style="16"/>
    <col min="2519" max="2519" width="11.85546875" style="16" customWidth="1"/>
    <col min="2520" max="2520" width="13" style="16" customWidth="1"/>
    <col min="2521" max="2521" width="12.85546875" style="16" customWidth="1"/>
    <col min="2522" max="2524" width="9.140625" style="16"/>
    <col min="2525" max="2530" width="0" style="16" hidden="1" customWidth="1"/>
    <col min="2531" max="2531" width="9.140625" style="16"/>
    <col min="2532" max="2552" width="0" style="16" hidden="1" customWidth="1"/>
    <col min="2553" max="2737" width="9.140625" style="16"/>
    <col min="2738" max="2738" width="14.85546875" style="16" customWidth="1"/>
    <col min="2739" max="2742" width="9.140625" style="16"/>
    <col min="2743" max="2743" width="11.28515625" style="16" bestFit="1" customWidth="1"/>
    <col min="2744" max="2744" width="10.42578125" style="16" customWidth="1"/>
    <col min="2745" max="2746" width="9.140625" style="16"/>
    <col min="2747" max="2747" width="10.28515625" style="16" customWidth="1"/>
    <col min="2748" max="2749" width="9.140625" style="16"/>
    <col min="2750" max="2750" width="11.28515625" style="16" customWidth="1"/>
    <col min="2751" max="2751" width="9.140625" style="16"/>
    <col min="2752" max="2752" width="10.42578125" style="16" customWidth="1"/>
    <col min="2753" max="2753" width="12.28515625" style="16" customWidth="1"/>
    <col min="2754" max="2774" width="9.140625" style="16"/>
    <col min="2775" max="2775" width="11.85546875" style="16" customWidth="1"/>
    <col min="2776" max="2776" width="13" style="16" customWidth="1"/>
    <col min="2777" max="2777" width="12.85546875" style="16" customWidth="1"/>
    <col min="2778" max="2780" width="9.140625" style="16"/>
    <col min="2781" max="2786" width="0" style="16" hidden="1" customWidth="1"/>
    <col min="2787" max="2787" width="9.140625" style="16"/>
    <col min="2788" max="2808" width="0" style="16" hidden="1" customWidth="1"/>
    <col min="2809" max="2993" width="9.140625" style="16"/>
    <col min="2994" max="2994" width="14.85546875" style="16" customWidth="1"/>
    <col min="2995" max="2998" width="9.140625" style="16"/>
    <col min="2999" max="2999" width="11.28515625" style="16" bestFit="1" customWidth="1"/>
    <col min="3000" max="3000" width="10.42578125" style="16" customWidth="1"/>
    <col min="3001" max="3002" width="9.140625" style="16"/>
    <col min="3003" max="3003" width="10.28515625" style="16" customWidth="1"/>
    <col min="3004" max="3005" width="9.140625" style="16"/>
    <col min="3006" max="3006" width="11.28515625" style="16" customWidth="1"/>
    <col min="3007" max="3007" width="9.140625" style="16"/>
    <col min="3008" max="3008" width="10.42578125" style="16" customWidth="1"/>
    <col min="3009" max="3009" width="12.28515625" style="16" customWidth="1"/>
    <col min="3010" max="3030" width="9.140625" style="16"/>
    <col min="3031" max="3031" width="11.85546875" style="16" customWidth="1"/>
    <col min="3032" max="3032" width="13" style="16" customWidth="1"/>
    <col min="3033" max="3033" width="12.85546875" style="16" customWidth="1"/>
    <col min="3034" max="3036" width="9.140625" style="16"/>
    <col min="3037" max="3042" width="0" style="16" hidden="1" customWidth="1"/>
    <col min="3043" max="3043" width="9.140625" style="16"/>
    <col min="3044" max="3064" width="0" style="16" hidden="1" customWidth="1"/>
    <col min="3065" max="3249" width="9.140625" style="16"/>
    <col min="3250" max="3250" width="14.85546875" style="16" customWidth="1"/>
    <col min="3251" max="3254" width="9.140625" style="16"/>
    <col min="3255" max="3255" width="11.28515625" style="16" bestFit="1" customWidth="1"/>
    <col min="3256" max="3256" width="10.42578125" style="16" customWidth="1"/>
    <col min="3257" max="3258" width="9.140625" style="16"/>
    <col min="3259" max="3259" width="10.28515625" style="16" customWidth="1"/>
    <col min="3260" max="3261" width="9.140625" style="16"/>
    <col min="3262" max="3262" width="11.28515625" style="16" customWidth="1"/>
    <col min="3263" max="3263" width="9.140625" style="16"/>
    <col min="3264" max="3264" width="10.42578125" style="16" customWidth="1"/>
    <col min="3265" max="3265" width="12.28515625" style="16" customWidth="1"/>
    <col min="3266" max="3286" width="9.140625" style="16"/>
    <col min="3287" max="3287" width="11.85546875" style="16" customWidth="1"/>
    <col min="3288" max="3288" width="13" style="16" customWidth="1"/>
    <col min="3289" max="3289" width="12.85546875" style="16" customWidth="1"/>
    <col min="3290" max="3292" width="9.140625" style="16"/>
    <col min="3293" max="3298" width="0" style="16" hidden="1" customWidth="1"/>
    <col min="3299" max="3299" width="9.140625" style="16"/>
    <col min="3300" max="3320" width="0" style="16" hidden="1" customWidth="1"/>
    <col min="3321" max="3505" width="9.140625" style="16"/>
    <col min="3506" max="3506" width="14.85546875" style="16" customWidth="1"/>
    <col min="3507" max="3510" width="9.140625" style="16"/>
    <col min="3511" max="3511" width="11.28515625" style="16" bestFit="1" customWidth="1"/>
    <col min="3512" max="3512" width="10.42578125" style="16" customWidth="1"/>
    <col min="3513" max="3514" width="9.140625" style="16"/>
    <col min="3515" max="3515" width="10.28515625" style="16" customWidth="1"/>
    <col min="3516" max="3517" width="9.140625" style="16"/>
    <col min="3518" max="3518" width="11.28515625" style="16" customWidth="1"/>
    <col min="3519" max="3519" width="9.140625" style="16"/>
    <col min="3520" max="3520" width="10.42578125" style="16" customWidth="1"/>
    <col min="3521" max="3521" width="12.28515625" style="16" customWidth="1"/>
    <col min="3522" max="3542" width="9.140625" style="16"/>
    <col min="3543" max="3543" width="11.85546875" style="16" customWidth="1"/>
    <col min="3544" max="3544" width="13" style="16" customWidth="1"/>
    <col min="3545" max="3545" width="12.85546875" style="16" customWidth="1"/>
    <col min="3546" max="3548" width="9.140625" style="16"/>
    <col min="3549" max="3554" width="0" style="16" hidden="1" customWidth="1"/>
    <col min="3555" max="3555" width="9.140625" style="16"/>
    <col min="3556" max="3576" width="0" style="16" hidden="1" customWidth="1"/>
    <col min="3577" max="3761" width="9.140625" style="16"/>
    <col min="3762" max="3762" width="14.85546875" style="16" customWidth="1"/>
    <col min="3763" max="3766" width="9.140625" style="16"/>
    <col min="3767" max="3767" width="11.28515625" style="16" bestFit="1" customWidth="1"/>
    <col min="3768" max="3768" width="10.42578125" style="16" customWidth="1"/>
    <col min="3769" max="3770" width="9.140625" style="16"/>
    <col min="3771" max="3771" width="10.28515625" style="16" customWidth="1"/>
    <col min="3772" max="3773" width="9.140625" style="16"/>
    <col min="3774" max="3774" width="11.28515625" style="16" customWidth="1"/>
    <col min="3775" max="3775" width="9.140625" style="16"/>
    <col min="3776" max="3776" width="10.42578125" style="16" customWidth="1"/>
    <col min="3777" max="3777" width="12.28515625" style="16" customWidth="1"/>
    <col min="3778" max="3798" width="9.140625" style="16"/>
    <col min="3799" max="3799" width="11.85546875" style="16" customWidth="1"/>
    <col min="3800" max="3800" width="13" style="16" customWidth="1"/>
    <col min="3801" max="3801" width="12.85546875" style="16" customWidth="1"/>
    <col min="3802" max="3804" width="9.140625" style="16"/>
    <col min="3805" max="3810" width="0" style="16" hidden="1" customWidth="1"/>
    <col min="3811" max="3811" width="9.140625" style="16"/>
    <col min="3812" max="3832" width="0" style="16" hidden="1" customWidth="1"/>
    <col min="3833" max="4017" width="9.140625" style="16"/>
    <col min="4018" max="4018" width="14.85546875" style="16" customWidth="1"/>
    <col min="4019" max="4022" width="9.140625" style="16"/>
    <col min="4023" max="4023" width="11.28515625" style="16" bestFit="1" customWidth="1"/>
    <col min="4024" max="4024" width="10.42578125" style="16" customWidth="1"/>
    <col min="4025" max="4026" width="9.140625" style="16"/>
    <col min="4027" max="4027" width="10.28515625" style="16" customWidth="1"/>
    <col min="4028" max="4029" width="9.140625" style="16"/>
    <col min="4030" max="4030" width="11.28515625" style="16" customWidth="1"/>
    <col min="4031" max="4031" width="9.140625" style="16"/>
    <col min="4032" max="4032" width="10.42578125" style="16" customWidth="1"/>
    <col min="4033" max="4033" width="12.28515625" style="16" customWidth="1"/>
    <col min="4034" max="4054" width="9.140625" style="16"/>
    <col min="4055" max="4055" width="11.85546875" style="16" customWidth="1"/>
    <col min="4056" max="4056" width="13" style="16" customWidth="1"/>
    <col min="4057" max="4057" width="12.85546875" style="16" customWidth="1"/>
    <col min="4058" max="4060" width="9.140625" style="16"/>
    <col min="4061" max="4066" width="0" style="16" hidden="1" customWidth="1"/>
    <col min="4067" max="4067" width="9.140625" style="16"/>
    <col min="4068" max="4088" width="0" style="16" hidden="1" customWidth="1"/>
    <col min="4089" max="4273" width="9.140625" style="16"/>
    <col min="4274" max="4274" width="14.85546875" style="16" customWidth="1"/>
    <col min="4275" max="4278" width="9.140625" style="16"/>
    <col min="4279" max="4279" width="11.28515625" style="16" bestFit="1" customWidth="1"/>
    <col min="4280" max="4280" width="10.42578125" style="16" customWidth="1"/>
    <col min="4281" max="4282" width="9.140625" style="16"/>
    <col min="4283" max="4283" width="10.28515625" style="16" customWidth="1"/>
    <col min="4284" max="4285" width="9.140625" style="16"/>
    <col min="4286" max="4286" width="11.28515625" style="16" customWidth="1"/>
    <col min="4287" max="4287" width="9.140625" style="16"/>
    <col min="4288" max="4288" width="10.42578125" style="16" customWidth="1"/>
    <col min="4289" max="4289" width="12.28515625" style="16" customWidth="1"/>
    <col min="4290" max="4310" width="9.140625" style="16"/>
    <col min="4311" max="4311" width="11.85546875" style="16" customWidth="1"/>
    <col min="4312" max="4312" width="13" style="16" customWidth="1"/>
    <col min="4313" max="4313" width="12.85546875" style="16" customWidth="1"/>
    <col min="4314" max="4316" width="9.140625" style="16"/>
    <col min="4317" max="4322" width="0" style="16" hidden="1" customWidth="1"/>
    <col min="4323" max="4323" width="9.140625" style="16"/>
    <col min="4324" max="4344" width="0" style="16" hidden="1" customWidth="1"/>
    <col min="4345" max="4529" width="9.140625" style="16"/>
    <col min="4530" max="4530" width="14.85546875" style="16" customWidth="1"/>
    <col min="4531" max="4534" width="9.140625" style="16"/>
    <col min="4535" max="4535" width="11.28515625" style="16" bestFit="1" customWidth="1"/>
    <col min="4536" max="4536" width="10.42578125" style="16" customWidth="1"/>
    <col min="4537" max="4538" width="9.140625" style="16"/>
    <col min="4539" max="4539" width="10.28515625" style="16" customWidth="1"/>
    <col min="4540" max="4541" width="9.140625" style="16"/>
    <col min="4542" max="4542" width="11.28515625" style="16" customWidth="1"/>
    <col min="4543" max="4543" width="9.140625" style="16"/>
    <col min="4544" max="4544" width="10.42578125" style="16" customWidth="1"/>
    <col min="4545" max="4545" width="12.28515625" style="16" customWidth="1"/>
    <col min="4546" max="4566" width="9.140625" style="16"/>
    <col min="4567" max="4567" width="11.85546875" style="16" customWidth="1"/>
    <col min="4568" max="4568" width="13" style="16" customWidth="1"/>
    <col min="4569" max="4569" width="12.85546875" style="16" customWidth="1"/>
    <col min="4570" max="4572" width="9.140625" style="16"/>
    <col min="4573" max="4578" width="0" style="16" hidden="1" customWidth="1"/>
    <col min="4579" max="4579" width="9.140625" style="16"/>
    <col min="4580" max="4600" width="0" style="16" hidden="1" customWidth="1"/>
    <col min="4601" max="4785" width="9.140625" style="16"/>
    <col min="4786" max="4786" width="14.85546875" style="16" customWidth="1"/>
    <col min="4787" max="4790" width="9.140625" style="16"/>
    <col min="4791" max="4791" width="11.28515625" style="16" bestFit="1" customWidth="1"/>
    <col min="4792" max="4792" width="10.42578125" style="16" customWidth="1"/>
    <col min="4793" max="4794" width="9.140625" style="16"/>
    <col min="4795" max="4795" width="10.28515625" style="16" customWidth="1"/>
    <col min="4796" max="4797" width="9.140625" style="16"/>
    <col min="4798" max="4798" width="11.28515625" style="16" customWidth="1"/>
    <col min="4799" max="4799" width="9.140625" style="16"/>
    <col min="4800" max="4800" width="10.42578125" style="16" customWidth="1"/>
    <col min="4801" max="4801" width="12.28515625" style="16" customWidth="1"/>
    <col min="4802" max="4822" width="9.140625" style="16"/>
    <col min="4823" max="4823" width="11.85546875" style="16" customWidth="1"/>
    <col min="4824" max="4824" width="13" style="16" customWidth="1"/>
    <col min="4825" max="4825" width="12.85546875" style="16" customWidth="1"/>
    <col min="4826" max="4828" width="9.140625" style="16"/>
    <col min="4829" max="4834" width="0" style="16" hidden="1" customWidth="1"/>
    <col min="4835" max="4835" width="9.140625" style="16"/>
    <col min="4836" max="4856" width="0" style="16" hidden="1" customWidth="1"/>
    <col min="4857" max="5041" width="9.140625" style="16"/>
    <col min="5042" max="5042" width="14.85546875" style="16" customWidth="1"/>
    <col min="5043" max="5046" width="9.140625" style="16"/>
    <col min="5047" max="5047" width="11.28515625" style="16" bestFit="1" customWidth="1"/>
    <col min="5048" max="5048" width="10.42578125" style="16" customWidth="1"/>
    <col min="5049" max="5050" width="9.140625" style="16"/>
    <col min="5051" max="5051" width="10.28515625" style="16" customWidth="1"/>
    <col min="5052" max="5053" width="9.140625" style="16"/>
    <col min="5054" max="5054" width="11.28515625" style="16" customWidth="1"/>
    <col min="5055" max="5055" width="9.140625" style="16"/>
    <col min="5056" max="5056" width="10.42578125" style="16" customWidth="1"/>
    <col min="5057" max="5057" width="12.28515625" style="16" customWidth="1"/>
    <col min="5058" max="5078" width="9.140625" style="16"/>
    <col min="5079" max="5079" width="11.85546875" style="16" customWidth="1"/>
    <col min="5080" max="5080" width="13" style="16" customWidth="1"/>
    <col min="5081" max="5081" width="12.85546875" style="16" customWidth="1"/>
    <col min="5082" max="5084" width="9.140625" style="16"/>
    <col min="5085" max="5090" width="0" style="16" hidden="1" customWidth="1"/>
    <col min="5091" max="5091" width="9.140625" style="16"/>
    <col min="5092" max="5112" width="0" style="16" hidden="1" customWidth="1"/>
    <col min="5113" max="5297" width="9.140625" style="16"/>
    <col min="5298" max="5298" width="14.85546875" style="16" customWidth="1"/>
    <col min="5299" max="5302" width="9.140625" style="16"/>
    <col min="5303" max="5303" width="11.28515625" style="16" bestFit="1" customWidth="1"/>
    <col min="5304" max="5304" width="10.42578125" style="16" customWidth="1"/>
    <col min="5305" max="5306" width="9.140625" style="16"/>
    <col min="5307" max="5307" width="10.28515625" style="16" customWidth="1"/>
    <col min="5308" max="5309" width="9.140625" style="16"/>
    <col min="5310" max="5310" width="11.28515625" style="16" customWidth="1"/>
    <col min="5311" max="5311" width="9.140625" style="16"/>
    <col min="5312" max="5312" width="10.42578125" style="16" customWidth="1"/>
    <col min="5313" max="5313" width="12.28515625" style="16" customWidth="1"/>
    <col min="5314" max="5334" width="9.140625" style="16"/>
    <col min="5335" max="5335" width="11.85546875" style="16" customWidth="1"/>
    <col min="5336" max="5336" width="13" style="16" customWidth="1"/>
    <col min="5337" max="5337" width="12.85546875" style="16" customWidth="1"/>
    <col min="5338" max="5340" width="9.140625" style="16"/>
    <col min="5341" max="5346" width="0" style="16" hidden="1" customWidth="1"/>
    <col min="5347" max="5347" width="9.140625" style="16"/>
    <col min="5348" max="5368" width="0" style="16" hidden="1" customWidth="1"/>
    <col min="5369" max="5553" width="9.140625" style="16"/>
    <col min="5554" max="5554" width="14.85546875" style="16" customWidth="1"/>
    <col min="5555" max="5558" width="9.140625" style="16"/>
    <col min="5559" max="5559" width="11.28515625" style="16" bestFit="1" customWidth="1"/>
    <col min="5560" max="5560" width="10.42578125" style="16" customWidth="1"/>
    <col min="5561" max="5562" width="9.140625" style="16"/>
    <col min="5563" max="5563" width="10.28515625" style="16" customWidth="1"/>
    <col min="5564" max="5565" width="9.140625" style="16"/>
    <col min="5566" max="5566" width="11.28515625" style="16" customWidth="1"/>
    <col min="5567" max="5567" width="9.140625" style="16"/>
    <col min="5568" max="5568" width="10.42578125" style="16" customWidth="1"/>
    <col min="5569" max="5569" width="12.28515625" style="16" customWidth="1"/>
    <col min="5570" max="5590" width="9.140625" style="16"/>
    <col min="5591" max="5591" width="11.85546875" style="16" customWidth="1"/>
    <col min="5592" max="5592" width="13" style="16" customWidth="1"/>
    <col min="5593" max="5593" width="12.85546875" style="16" customWidth="1"/>
    <col min="5594" max="5596" width="9.140625" style="16"/>
    <col min="5597" max="5602" width="0" style="16" hidden="1" customWidth="1"/>
    <col min="5603" max="5603" width="9.140625" style="16"/>
    <col min="5604" max="5624" width="0" style="16" hidden="1" customWidth="1"/>
    <col min="5625" max="5809" width="9.140625" style="16"/>
    <col min="5810" max="5810" width="14.85546875" style="16" customWidth="1"/>
    <col min="5811" max="5814" width="9.140625" style="16"/>
    <col min="5815" max="5815" width="11.28515625" style="16" bestFit="1" customWidth="1"/>
    <col min="5816" max="5816" width="10.42578125" style="16" customWidth="1"/>
    <col min="5817" max="5818" width="9.140625" style="16"/>
    <col min="5819" max="5819" width="10.28515625" style="16" customWidth="1"/>
    <col min="5820" max="5821" width="9.140625" style="16"/>
    <col min="5822" max="5822" width="11.28515625" style="16" customWidth="1"/>
    <col min="5823" max="5823" width="9.140625" style="16"/>
    <col min="5824" max="5824" width="10.42578125" style="16" customWidth="1"/>
    <col min="5825" max="5825" width="12.28515625" style="16" customWidth="1"/>
    <col min="5826" max="5846" width="9.140625" style="16"/>
    <col min="5847" max="5847" width="11.85546875" style="16" customWidth="1"/>
    <col min="5848" max="5848" width="13" style="16" customWidth="1"/>
    <col min="5849" max="5849" width="12.85546875" style="16" customWidth="1"/>
    <col min="5850" max="5852" width="9.140625" style="16"/>
    <col min="5853" max="5858" width="0" style="16" hidden="1" customWidth="1"/>
    <col min="5859" max="5859" width="9.140625" style="16"/>
    <col min="5860" max="5880" width="0" style="16" hidden="1" customWidth="1"/>
    <col min="5881" max="6065" width="9.140625" style="16"/>
    <col min="6066" max="6066" width="14.85546875" style="16" customWidth="1"/>
    <col min="6067" max="6070" width="9.140625" style="16"/>
    <col min="6071" max="6071" width="11.28515625" style="16" bestFit="1" customWidth="1"/>
    <col min="6072" max="6072" width="10.42578125" style="16" customWidth="1"/>
    <col min="6073" max="6074" width="9.140625" style="16"/>
    <col min="6075" max="6075" width="10.28515625" style="16" customWidth="1"/>
    <col min="6076" max="6077" width="9.140625" style="16"/>
    <col min="6078" max="6078" width="11.28515625" style="16" customWidth="1"/>
    <col min="6079" max="6079" width="9.140625" style="16"/>
    <col min="6080" max="6080" width="10.42578125" style="16" customWidth="1"/>
    <col min="6081" max="6081" width="12.28515625" style="16" customWidth="1"/>
    <col min="6082" max="6102" width="9.140625" style="16"/>
    <col min="6103" max="6103" width="11.85546875" style="16" customWidth="1"/>
    <col min="6104" max="6104" width="13" style="16" customWidth="1"/>
    <col min="6105" max="6105" width="12.85546875" style="16" customWidth="1"/>
    <col min="6106" max="6108" width="9.140625" style="16"/>
    <col min="6109" max="6114" width="0" style="16" hidden="1" customWidth="1"/>
    <col min="6115" max="6115" width="9.140625" style="16"/>
    <col min="6116" max="6136" width="0" style="16" hidden="1" customWidth="1"/>
    <col min="6137" max="6321" width="9.140625" style="16"/>
    <col min="6322" max="6322" width="14.85546875" style="16" customWidth="1"/>
    <col min="6323" max="6326" width="9.140625" style="16"/>
    <col min="6327" max="6327" width="11.28515625" style="16" bestFit="1" customWidth="1"/>
    <col min="6328" max="6328" width="10.42578125" style="16" customWidth="1"/>
    <col min="6329" max="6330" width="9.140625" style="16"/>
    <col min="6331" max="6331" width="10.28515625" style="16" customWidth="1"/>
    <col min="6332" max="6333" width="9.140625" style="16"/>
    <col min="6334" max="6334" width="11.28515625" style="16" customWidth="1"/>
    <col min="6335" max="6335" width="9.140625" style="16"/>
    <col min="6336" max="6336" width="10.42578125" style="16" customWidth="1"/>
    <col min="6337" max="6337" width="12.28515625" style="16" customWidth="1"/>
    <col min="6338" max="6358" width="9.140625" style="16"/>
    <col min="6359" max="6359" width="11.85546875" style="16" customWidth="1"/>
    <col min="6360" max="6360" width="13" style="16" customWidth="1"/>
    <col min="6361" max="6361" width="12.85546875" style="16" customWidth="1"/>
    <col min="6362" max="6364" width="9.140625" style="16"/>
    <col min="6365" max="6370" width="0" style="16" hidden="1" customWidth="1"/>
    <col min="6371" max="6371" width="9.140625" style="16"/>
    <col min="6372" max="6392" width="0" style="16" hidden="1" customWidth="1"/>
    <col min="6393" max="6577" width="9.140625" style="16"/>
    <col min="6578" max="6578" width="14.85546875" style="16" customWidth="1"/>
    <col min="6579" max="6582" width="9.140625" style="16"/>
    <col min="6583" max="6583" width="11.28515625" style="16" bestFit="1" customWidth="1"/>
    <col min="6584" max="6584" width="10.42578125" style="16" customWidth="1"/>
    <col min="6585" max="6586" width="9.140625" style="16"/>
    <col min="6587" max="6587" width="10.28515625" style="16" customWidth="1"/>
    <col min="6588" max="6589" width="9.140625" style="16"/>
    <col min="6590" max="6590" width="11.28515625" style="16" customWidth="1"/>
    <col min="6591" max="6591" width="9.140625" style="16"/>
    <col min="6592" max="6592" width="10.42578125" style="16" customWidth="1"/>
    <col min="6593" max="6593" width="12.28515625" style="16" customWidth="1"/>
    <col min="6594" max="6614" width="9.140625" style="16"/>
    <col min="6615" max="6615" width="11.85546875" style="16" customWidth="1"/>
    <col min="6616" max="6616" width="13" style="16" customWidth="1"/>
    <col min="6617" max="6617" width="12.85546875" style="16" customWidth="1"/>
    <col min="6618" max="6620" width="9.140625" style="16"/>
    <col min="6621" max="6626" width="0" style="16" hidden="1" customWidth="1"/>
    <col min="6627" max="6627" width="9.140625" style="16"/>
    <col min="6628" max="6648" width="0" style="16" hidden="1" customWidth="1"/>
    <col min="6649" max="6833" width="9.140625" style="16"/>
    <col min="6834" max="6834" width="14.85546875" style="16" customWidth="1"/>
    <col min="6835" max="6838" width="9.140625" style="16"/>
    <col min="6839" max="6839" width="11.28515625" style="16" bestFit="1" customWidth="1"/>
    <col min="6840" max="6840" width="10.42578125" style="16" customWidth="1"/>
    <col min="6841" max="6842" width="9.140625" style="16"/>
    <col min="6843" max="6843" width="10.28515625" style="16" customWidth="1"/>
    <col min="6844" max="6845" width="9.140625" style="16"/>
    <col min="6846" max="6846" width="11.28515625" style="16" customWidth="1"/>
    <col min="6847" max="6847" width="9.140625" style="16"/>
    <col min="6848" max="6848" width="10.42578125" style="16" customWidth="1"/>
    <col min="6849" max="6849" width="12.28515625" style="16" customWidth="1"/>
    <col min="6850" max="6870" width="9.140625" style="16"/>
    <col min="6871" max="6871" width="11.85546875" style="16" customWidth="1"/>
    <col min="6872" max="6872" width="13" style="16" customWidth="1"/>
    <col min="6873" max="6873" width="12.85546875" style="16" customWidth="1"/>
    <col min="6874" max="6876" width="9.140625" style="16"/>
    <col min="6877" max="6882" width="0" style="16" hidden="1" customWidth="1"/>
    <col min="6883" max="6883" width="9.140625" style="16"/>
    <col min="6884" max="6904" width="0" style="16" hidden="1" customWidth="1"/>
    <col min="6905" max="7089" width="9.140625" style="16"/>
    <col min="7090" max="7090" width="14.85546875" style="16" customWidth="1"/>
    <col min="7091" max="7094" width="9.140625" style="16"/>
    <col min="7095" max="7095" width="11.28515625" style="16" bestFit="1" customWidth="1"/>
    <col min="7096" max="7096" width="10.42578125" style="16" customWidth="1"/>
    <col min="7097" max="7098" width="9.140625" style="16"/>
    <col min="7099" max="7099" width="10.28515625" style="16" customWidth="1"/>
    <col min="7100" max="7101" width="9.140625" style="16"/>
    <col min="7102" max="7102" width="11.28515625" style="16" customWidth="1"/>
    <col min="7103" max="7103" width="9.140625" style="16"/>
    <col min="7104" max="7104" width="10.42578125" style="16" customWidth="1"/>
    <col min="7105" max="7105" width="12.28515625" style="16" customWidth="1"/>
    <col min="7106" max="7126" width="9.140625" style="16"/>
    <col min="7127" max="7127" width="11.85546875" style="16" customWidth="1"/>
    <col min="7128" max="7128" width="13" style="16" customWidth="1"/>
    <col min="7129" max="7129" width="12.85546875" style="16" customWidth="1"/>
    <col min="7130" max="7132" width="9.140625" style="16"/>
    <col min="7133" max="7138" width="0" style="16" hidden="1" customWidth="1"/>
    <col min="7139" max="7139" width="9.140625" style="16"/>
    <col min="7140" max="7160" width="0" style="16" hidden="1" customWidth="1"/>
    <col min="7161" max="7345" width="9.140625" style="16"/>
    <col min="7346" max="7346" width="14.85546875" style="16" customWidth="1"/>
    <col min="7347" max="7350" width="9.140625" style="16"/>
    <col min="7351" max="7351" width="11.28515625" style="16" bestFit="1" customWidth="1"/>
    <col min="7352" max="7352" width="10.42578125" style="16" customWidth="1"/>
    <col min="7353" max="7354" width="9.140625" style="16"/>
    <col min="7355" max="7355" width="10.28515625" style="16" customWidth="1"/>
    <col min="7356" max="7357" width="9.140625" style="16"/>
    <col min="7358" max="7358" width="11.28515625" style="16" customWidth="1"/>
    <col min="7359" max="7359" width="9.140625" style="16"/>
    <col min="7360" max="7360" width="10.42578125" style="16" customWidth="1"/>
    <col min="7361" max="7361" width="12.28515625" style="16" customWidth="1"/>
    <col min="7362" max="7382" width="9.140625" style="16"/>
    <col min="7383" max="7383" width="11.85546875" style="16" customWidth="1"/>
    <col min="7384" max="7384" width="13" style="16" customWidth="1"/>
    <col min="7385" max="7385" width="12.85546875" style="16" customWidth="1"/>
    <col min="7386" max="7388" width="9.140625" style="16"/>
    <col min="7389" max="7394" width="0" style="16" hidden="1" customWidth="1"/>
    <col min="7395" max="7395" width="9.140625" style="16"/>
    <col min="7396" max="7416" width="0" style="16" hidden="1" customWidth="1"/>
    <col min="7417" max="7601" width="9.140625" style="16"/>
    <col min="7602" max="7602" width="14.85546875" style="16" customWidth="1"/>
    <col min="7603" max="7606" width="9.140625" style="16"/>
    <col min="7607" max="7607" width="11.28515625" style="16" bestFit="1" customWidth="1"/>
    <col min="7608" max="7608" width="10.42578125" style="16" customWidth="1"/>
    <col min="7609" max="7610" width="9.140625" style="16"/>
    <col min="7611" max="7611" width="10.28515625" style="16" customWidth="1"/>
    <col min="7612" max="7613" width="9.140625" style="16"/>
    <col min="7614" max="7614" width="11.28515625" style="16" customWidth="1"/>
    <col min="7615" max="7615" width="9.140625" style="16"/>
    <col min="7616" max="7616" width="10.42578125" style="16" customWidth="1"/>
    <col min="7617" max="7617" width="12.28515625" style="16" customWidth="1"/>
    <col min="7618" max="7638" width="9.140625" style="16"/>
    <col min="7639" max="7639" width="11.85546875" style="16" customWidth="1"/>
    <col min="7640" max="7640" width="13" style="16" customWidth="1"/>
    <col min="7641" max="7641" width="12.85546875" style="16" customWidth="1"/>
    <col min="7642" max="7644" width="9.140625" style="16"/>
    <col min="7645" max="7650" width="0" style="16" hidden="1" customWidth="1"/>
    <col min="7651" max="7651" width="9.140625" style="16"/>
    <col min="7652" max="7672" width="0" style="16" hidden="1" customWidth="1"/>
    <col min="7673" max="7857" width="9.140625" style="16"/>
    <col min="7858" max="7858" width="14.85546875" style="16" customWidth="1"/>
    <col min="7859" max="7862" width="9.140625" style="16"/>
    <col min="7863" max="7863" width="11.28515625" style="16" bestFit="1" customWidth="1"/>
    <col min="7864" max="7864" width="10.42578125" style="16" customWidth="1"/>
    <col min="7865" max="7866" width="9.140625" style="16"/>
    <col min="7867" max="7867" width="10.28515625" style="16" customWidth="1"/>
    <col min="7868" max="7869" width="9.140625" style="16"/>
    <col min="7870" max="7870" width="11.28515625" style="16" customWidth="1"/>
    <col min="7871" max="7871" width="9.140625" style="16"/>
    <col min="7872" max="7872" width="10.42578125" style="16" customWidth="1"/>
    <col min="7873" max="7873" width="12.28515625" style="16" customWidth="1"/>
    <col min="7874" max="7894" width="9.140625" style="16"/>
    <col min="7895" max="7895" width="11.85546875" style="16" customWidth="1"/>
    <col min="7896" max="7896" width="13" style="16" customWidth="1"/>
    <col min="7897" max="7897" width="12.85546875" style="16" customWidth="1"/>
    <col min="7898" max="7900" width="9.140625" style="16"/>
    <col min="7901" max="7906" width="0" style="16" hidden="1" customWidth="1"/>
    <col min="7907" max="7907" width="9.140625" style="16"/>
    <col min="7908" max="7928" width="0" style="16" hidden="1" customWidth="1"/>
    <col min="7929" max="8113" width="9.140625" style="16"/>
    <col min="8114" max="8114" width="14.85546875" style="16" customWidth="1"/>
    <col min="8115" max="8118" width="9.140625" style="16"/>
    <col min="8119" max="8119" width="11.28515625" style="16" bestFit="1" customWidth="1"/>
    <col min="8120" max="8120" width="10.42578125" style="16" customWidth="1"/>
    <col min="8121" max="8122" width="9.140625" style="16"/>
    <col min="8123" max="8123" width="10.28515625" style="16" customWidth="1"/>
    <col min="8124" max="8125" width="9.140625" style="16"/>
    <col min="8126" max="8126" width="11.28515625" style="16" customWidth="1"/>
    <col min="8127" max="8127" width="9.140625" style="16"/>
    <col min="8128" max="8128" width="10.42578125" style="16" customWidth="1"/>
    <col min="8129" max="8129" width="12.28515625" style="16" customWidth="1"/>
    <col min="8130" max="8150" width="9.140625" style="16"/>
    <col min="8151" max="8151" width="11.85546875" style="16" customWidth="1"/>
    <col min="8152" max="8152" width="13" style="16" customWidth="1"/>
    <col min="8153" max="8153" width="12.85546875" style="16" customWidth="1"/>
    <col min="8154" max="8156" width="9.140625" style="16"/>
    <col min="8157" max="8162" width="0" style="16" hidden="1" customWidth="1"/>
    <col min="8163" max="8163" width="9.140625" style="16"/>
    <col min="8164" max="8184" width="0" style="16" hidden="1" customWidth="1"/>
    <col min="8185" max="8369" width="9.140625" style="16"/>
    <col min="8370" max="8370" width="14.85546875" style="16" customWidth="1"/>
    <col min="8371" max="8374" width="9.140625" style="16"/>
    <col min="8375" max="8375" width="11.28515625" style="16" bestFit="1" customWidth="1"/>
    <col min="8376" max="8376" width="10.42578125" style="16" customWidth="1"/>
    <col min="8377" max="8378" width="9.140625" style="16"/>
    <col min="8379" max="8379" width="10.28515625" style="16" customWidth="1"/>
    <col min="8380" max="8381" width="9.140625" style="16"/>
    <col min="8382" max="8382" width="11.28515625" style="16" customWidth="1"/>
    <col min="8383" max="8383" width="9.140625" style="16"/>
    <col min="8384" max="8384" width="10.42578125" style="16" customWidth="1"/>
    <col min="8385" max="8385" width="12.28515625" style="16" customWidth="1"/>
    <col min="8386" max="8406" width="9.140625" style="16"/>
    <col min="8407" max="8407" width="11.85546875" style="16" customWidth="1"/>
    <col min="8408" max="8408" width="13" style="16" customWidth="1"/>
    <col min="8409" max="8409" width="12.85546875" style="16" customWidth="1"/>
    <col min="8410" max="8412" width="9.140625" style="16"/>
    <col min="8413" max="8418" width="0" style="16" hidden="1" customWidth="1"/>
    <col min="8419" max="8419" width="9.140625" style="16"/>
    <col min="8420" max="8440" width="0" style="16" hidden="1" customWidth="1"/>
    <col min="8441" max="8625" width="9.140625" style="16"/>
    <col min="8626" max="8626" width="14.85546875" style="16" customWidth="1"/>
    <col min="8627" max="8630" width="9.140625" style="16"/>
    <col min="8631" max="8631" width="11.28515625" style="16" bestFit="1" customWidth="1"/>
    <col min="8632" max="8632" width="10.42578125" style="16" customWidth="1"/>
    <col min="8633" max="8634" width="9.140625" style="16"/>
    <col min="8635" max="8635" width="10.28515625" style="16" customWidth="1"/>
    <col min="8636" max="8637" width="9.140625" style="16"/>
    <col min="8638" max="8638" width="11.28515625" style="16" customWidth="1"/>
    <col min="8639" max="8639" width="9.140625" style="16"/>
    <col min="8640" max="8640" width="10.42578125" style="16" customWidth="1"/>
    <col min="8641" max="8641" width="12.28515625" style="16" customWidth="1"/>
    <col min="8642" max="8662" width="9.140625" style="16"/>
    <col min="8663" max="8663" width="11.85546875" style="16" customWidth="1"/>
    <col min="8664" max="8664" width="13" style="16" customWidth="1"/>
    <col min="8665" max="8665" width="12.85546875" style="16" customWidth="1"/>
    <col min="8666" max="8668" width="9.140625" style="16"/>
    <col min="8669" max="8674" width="0" style="16" hidden="1" customWidth="1"/>
    <col min="8675" max="8675" width="9.140625" style="16"/>
    <col min="8676" max="8696" width="0" style="16" hidden="1" customWidth="1"/>
    <col min="8697" max="8881" width="9.140625" style="16"/>
    <col min="8882" max="8882" width="14.85546875" style="16" customWidth="1"/>
    <col min="8883" max="8886" width="9.140625" style="16"/>
    <col min="8887" max="8887" width="11.28515625" style="16" bestFit="1" customWidth="1"/>
    <col min="8888" max="8888" width="10.42578125" style="16" customWidth="1"/>
    <col min="8889" max="8890" width="9.140625" style="16"/>
    <col min="8891" max="8891" width="10.28515625" style="16" customWidth="1"/>
    <col min="8892" max="8893" width="9.140625" style="16"/>
    <col min="8894" max="8894" width="11.28515625" style="16" customWidth="1"/>
    <col min="8895" max="8895" width="9.140625" style="16"/>
    <col min="8896" max="8896" width="10.42578125" style="16" customWidth="1"/>
    <col min="8897" max="8897" width="12.28515625" style="16" customWidth="1"/>
    <col min="8898" max="8918" width="9.140625" style="16"/>
    <col min="8919" max="8919" width="11.85546875" style="16" customWidth="1"/>
    <col min="8920" max="8920" width="13" style="16" customWidth="1"/>
    <col min="8921" max="8921" width="12.85546875" style="16" customWidth="1"/>
    <col min="8922" max="8924" width="9.140625" style="16"/>
    <col min="8925" max="8930" width="0" style="16" hidden="1" customWidth="1"/>
    <col min="8931" max="8931" width="9.140625" style="16"/>
    <col min="8932" max="8952" width="0" style="16" hidden="1" customWidth="1"/>
    <col min="8953" max="9137" width="9.140625" style="16"/>
    <col min="9138" max="9138" width="14.85546875" style="16" customWidth="1"/>
    <col min="9139" max="9142" width="9.140625" style="16"/>
    <col min="9143" max="9143" width="11.28515625" style="16" bestFit="1" customWidth="1"/>
    <col min="9144" max="9144" width="10.42578125" style="16" customWidth="1"/>
    <col min="9145" max="9146" width="9.140625" style="16"/>
    <col min="9147" max="9147" width="10.28515625" style="16" customWidth="1"/>
    <col min="9148" max="9149" width="9.140625" style="16"/>
    <col min="9150" max="9150" width="11.28515625" style="16" customWidth="1"/>
    <col min="9151" max="9151" width="9.140625" style="16"/>
    <col min="9152" max="9152" width="10.42578125" style="16" customWidth="1"/>
    <col min="9153" max="9153" width="12.28515625" style="16" customWidth="1"/>
    <col min="9154" max="9174" width="9.140625" style="16"/>
    <col min="9175" max="9175" width="11.85546875" style="16" customWidth="1"/>
    <col min="9176" max="9176" width="13" style="16" customWidth="1"/>
    <col min="9177" max="9177" width="12.85546875" style="16" customWidth="1"/>
    <col min="9178" max="9180" width="9.140625" style="16"/>
    <col min="9181" max="9186" width="0" style="16" hidden="1" customWidth="1"/>
    <col min="9187" max="9187" width="9.140625" style="16"/>
    <col min="9188" max="9208" width="0" style="16" hidden="1" customWidth="1"/>
    <col min="9209" max="9393" width="9.140625" style="16"/>
    <col min="9394" max="9394" width="14.85546875" style="16" customWidth="1"/>
    <col min="9395" max="9398" width="9.140625" style="16"/>
    <col min="9399" max="9399" width="11.28515625" style="16" bestFit="1" customWidth="1"/>
    <col min="9400" max="9400" width="10.42578125" style="16" customWidth="1"/>
    <col min="9401" max="9402" width="9.140625" style="16"/>
    <col min="9403" max="9403" width="10.28515625" style="16" customWidth="1"/>
    <col min="9404" max="9405" width="9.140625" style="16"/>
    <col min="9406" max="9406" width="11.28515625" style="16" customWidth="1"/>
    <col min="9407" max="9407" width="9.140625" style="16"/>
    <col min="9408" max="9408" width="10.42578125" style="16" customWidth="1"/>
    <col min="9409" max="9409" width="12.28515625" style="16" customWidth="1"/>
    <col min="9410" max="9430" width="9.140625" style="16"/>
    <col min="9431" max="9431" width="11.85546875" style="16" customWidth="1"/>
    <col min="9432" max="9432" width="13" style="16" customWidth="1"/>
    <col min="9433" max="9433" width="12.85546875" style="16" customWidth="1"/>
    <col min="9434" max="9436" width="9.140625" style="16"/>
    <col min="9437" max="9442" width="0" style="16" hidden="1" customWidth="1"/>
    <col min="9443" max="9443" width="9.140625" style="16"/>
    <col min="9444" max="9464" width="0" style="16" hidden="1" customWidth="1"/>
    <col min="9465" max="9649" width="9.140625" style="16"/>
    <col min="9650" max="9650" width="14.85546875" style="16" customWidth="1"/>
    <col min="9651" max="9654" width="9.140625" style="16"/>
    <col min="9655" max="9655" width="11.28515625" style="16" bestFit="1" customWidth="1"/>
    <col min="9656" max="9656" width="10.42578125" style="16" customWidth="1"/>
    <col min="9657" max="9658" width="9.140625" style="16"/>
    <col min="9659" max="9659" width="10.28515625" style="16" customWidth="1"/>
    <col min="9660" max="9661" width="9.140625" style="16"/>
    <col min="9662" max="9662" width="11.28515625" style="16" customWidth="1"/>
    <col min="9663" max="9663" width="9.140625" style="16"/>
    <col min="9664" max="9664" width="10.42578125" style="16" customWidth="1"/>
    <col min="9665" max="9665" width="12.28515625" style="16" customWidth="1"/>
    <col min="9666" max="9686" width="9.140625" style="16"/>
    <col min="9687" max="9687" width="11.85546875" style="16" customWidth="1"/>
    <col min="9688" max="9688" width="13" style="16" customWidth="1"/>
    <col min="9689" max="9689" width="12.85546875" style="16" customWidth="1"/>
    <col min="9690" max="9692" width="9.140625" style="16"/>
    <col min="9693" max="9698" width="0" style="16" hidden="1" customWidth="1"/>
    <col min="9699" max="9699" width="9.140625" style="16"/>
    <col min="9700" max="9720" width="0" style="16" hidden="1" customWidth="1"/>
    <col min="9721" max="9905" width="9.140625" style="16"/>
    <col min="9906" max="9906" width="14.85546875" style="16" customWidth="1"/>
    <col min="9907" max="9910" width="9.140625" style="16"/>
    <col min="9911" max="9911" width="11.28515625" style="16" bestFit="1" customWidth="1"/>
    <col min="9912" max="9912" width="10.42578125" style="16" customWidth="1"/>
    <col min="9913" max="9914" width="9.140625" style="16"/>
    <col min="9915" max="9915" width="10.28515625" style="16" customWidth="1"/>
    <col min="9916" max="9917" width="9.140625" style="16"/>
    <col min="9918" max="9918" width="11.28515625" style="16" customWidth="1"/>
    <col min="9919" max="9919" width="9.140625" style="16"/>
    <col min="9920" max="9920" width="10.42578125" style="16" customWidth="1"/>
    <col min="9921" max="9921" width="12.28515625" style="16" customWidth="1"/>
    <col min="9922" max="9942" width="9.140625" style="16"/>
    <col min="9943" max="9943" width="11.85546875" style="16" customWidth="1"/>
    <col min="9944" max="9944" width="13" style="16" customWidth="1"/>
    <col min="9945" max="9945" width="12.85546875" style="16" customWidth="1"/>
    <col min="9946" max="9948" width="9.140625" style="16"/>
    <col min="9949" max="9954" width="0" style="16" hidden="1" customWidth="1"/>
    <col min="9955" max="9955" width="9.140625" style="16"/>
    <col min="9956" max="9976" width="0" style="16" hidden="1" customWidth="1"/>
    <col min="9977" max="10161" width="9.140625" style="16"/>
    <col min="10162" max="10162" width="14.85546875" style="16" customWidth="1"/>
    <col min="10163" max="10166" width="9.140625" style="16"/>
    <col min="10167" max="10167" width="11.28515625" style="16" bestFit="1" customWidth="1"/>
    <col min="10168" max="10168" width="10.42578125" style="16" customWidth="1"/>
    <col min="10169" max="10170" width="9.140625" style="16"/>
    <col min="10171" max="10171" width="10.28515625" style="16" customWidth="1"/>
    <col min="10172" max="10173" width="9.140625" style="16"/>
    <col min="10174" max="10174" width="11.28515625" style="16" customWidth="1"/>
    <col min="10175" max="10175" width="9.140625" style="16"/>
    <col min="10176" max="10176" width="10.42578125" style="16" customWidth="1"/>
    <col min="10177" max="10177" width="12.28515625" style="16" customWidth="1"/>
    <col min="10178" max="10198" width="9.140625" style="16"/>
    <col min="10199" max="10199" width="11.85546875" style="16" customWidth="1"/>
    <col min="10200" max="10200" width="13" style="16" customWidth="1"/>
    <col min="10201" max="10201" width="12.85546875" style="16" customWidth="1"/>
    <col min="10202" max="10204" width="9.140625" style="16"/>
    <col min="10205" max="10210" width="0" style="16" hidden="1" customWidth="1"/>
    <col min="10211" max="10211" width="9.140625" style="16"/>
    <col min="10212" max="10232" width="0" style="16" hidden="1" customWidth="1"/>
    <col min="10233" max="10417" width="9.140625" style="16"/>
    <col min="10418" max="10418" width="14.85546875" style="16" customWidth="1"/>
    <col min="10419" max="10422" width="9.140625" style="16"/>
    <col min="10423" max="10423" width="11.28515625" style="16" bestFit="1" customWidth="1"/>
    <col min="10424" max="10424" width="10.42578125" style="16" customWidth="1"/>
    <col min="10425" max="10426" width="9.140625" style="16"/>
    <col min="10427" max="10427" width="10.28515625" style="16" customWidth="1"/>
    <col min="10428" max="10429" width="9.140625" style="16"/>
    <col min="10430" max="10430" width="11.28515625" style="16" customWidth="1"/>
    <col min="10431" max="10431" width="9.140625" style="16"/>
    <col min="10432" max="10432" width="10.42578125" style="16" customWidth="1"/>
    <col min="10433" max="10433" width="12.28515625" style="16" customWidth="1"/>
    <col min="10434" max="10454" width="9.140625" style="16"/>
    <col min="10455" max="10455" width="11.85546875" style="16" customWidth="1"/>
    <col min="10456" max="10456" width="13" style="16" customWidth="1"/>
    <col min="10457" max="10457" width="12.85546875" style="16" customWidth="1"/>
    <col min="10458" max="10460" width="9.140625" style="16"/>
    <col min="10461" max="10466" width="0" style="16" hidden="1" customWidth="1"/>
    <col min="10467" max="10467" width="9.140625" style="16"/>
    <col min="10468" max="10488" width="0" style="16" hidden="1" customWidth="1"/>
    <col min="10489" max="10673" width="9.140625" style="16"/>
    <col min="10674" max="10674" width="14.85546875" style="16" customWidth="1"/>
    <col min="10675" max="10678" width="9.140625" style="16"/>
    <col min="10679" max="10679" width="11.28515625" style="16" bestFit="1" customWidth="1"/>
    <col min="10680" max="10680" width="10.42578125" style="16" customWidth="1"/>
    <col min="10681" max="10682" width="9.140625" style="16"/>
    <col min="10683" max="10683" width="10.28515625" style="16" customWidth="1"/>
    <col min="10684" max="10685" width="9.140625" style="16"/>
    <col min="10686" max="10686" width="11.28515625" style="16" customWidth="1"/>
    <col min="10687" max="10687" width="9.140625" style="16"/>
    <col min="10688" max="10688" width="10.42578125" style="16" customWidth="1"/>
    <col min="10689" max="10689" width="12.28515625" style="16" customWidth="1"/>
    <col min="10690" max="10710" width="9.140625" style="16"/>
    <col min="10711" max="10711" width="11.85546875" style="16" customWidth="1"/>
    <col min="10712" max="10712" width="13" style="16" customWidth="1"/>
    <col min="10713" max="10713" width="12.85546875" style="16" customWidth="1"/>
    <col min="10714" max="10716" width="9.140625" style="16"/>
    <col min="10717" max="10722" width="0" style="16" hidden="1" customWidth="1"/>
    <col min="10723" max="10723" width="9.140625" style="16"/>
    <col min="10724" max="10744" width="0" style="16" hidden="1" customWidth="1"/>
    <col min="10745" max="10929" width="9.140625" style="16"/>
    <col min="10930" max="10930" width="14.85546875" style="16" customWidth="1"/>
    <col min="10931" max="10934" width="9.140625" style="16"/>
    <col min="10935" max="10935" width="11.28515625" style="16" bestFit="1" customWidth="1"/>
    <col min="10936" max="10936" width="10.42578125" style="16" customWidth="1"/>
    <col min="10937" max="10938" width="9.140625" style="16"/>
    <col min="10939" max="10939" width="10.28515625" style="16" customWidth="1"/>
    <col min="10940" max="10941" width="9.140625" style="16"/>
    <col min="10942" max="10942" width="11.28515625" style="16" customWidth="1"/>
    <col min="10943" max="10943" width="9.140625" style="16"/>
    <col min="10944" max="10944" width="10.42578125" style="16" customWidth="1"/>
    <col min="10945" max="10945" width="12.28515625" style="16" customWidth="1"/>
    <col min="10946" max="10966" width="9.140625" style="16"/>
    <col min="10967" max="10967" width="11.85546875" style="16" customWidth="1"/>
    <col min="10968" max="10968" width="13" style="16" customWidth="1"/>
    <col min="10969" max="10969" width="12.85546875" style="16" customWidth="1"/>
    <col min="10970" max="10972" width="9.140625" style="16"/>
    <col min="10973" max="10978" width="0" style="16" hidden="1" customWidth="1"/>
    <col min="10979" max="10979" width="9.140625" style="16"/>
    <col min="10980" max="11000" width="0" style="16" hidden="1" customWidth="1"/>
    <col min="11001" max="11185" width="9.140625" style="16"/>
    <col min="11186" max="11186" width="14.85546875" style="16" customWidth="1"/>
    <col min="11187" max="11190" width="9.140625" style="16"/>
    <col min="11191" max="11191" width="11.28515625" style="16" bestFit="1" customWidth="1"/>
    <col min="11192" max="11192" width="10.42578125" style="16" customWidth="1"/>
    <col min="11193" max="11194" width="9.140625" style="16"/>
    <col min="11195" max="11195" width="10.28515625" style="16" customWidth="1"/>
    <col min="11196" max="11197" width="9.140625" style="16"/>
    <col min="11198" max="11198" width="11.28515625" style="16" customWidth="1"/>
    <col min="11199" max="11199" width="9.140625" style="16"/>
    <col min="11200" max="11200" width="10.42578125" style="16" customWidth="1"/>
    <col min="11201" max="11201" width="12.28515625" style="16" customWidth="1"/>
    <col min="11202" max="11222" width="9.140625" style="16"/>
    <col min="11223" max="11223" width="11.85546875" style="16" customWidth="1"/>
    <col min="11224" max="11224" width="13" style="16" customWidth="1"/>
    <col min="11225" max="11225" width="12.85546875" style="16" customWidth="1"/>
    <col min="11226" max="11228" width="9.140625" style="16"/>
    <col min="11229" max="11234" width="0" style="16" hidden="1" customWidth="1"/>
    <col min="11235" max="11235" width="9.140625" style="16"/>
    <col min="11236" max="11256" width="0" style="16" hidden="1" customWidth="1"/>
    <col min="11257" max="11441" width="9.140625" style="16"/>
    <col min="11442" max="11442" width="14.85546875" style="16" customWidth="1"/>
    <col min="11443" max="11446" width="9.140625" style="16"/>
    <col min="11447" max="11447" width="11.28515625" style="16" bestFit="1" customWidth="1"/>
    <col min="11448" max="11448" width="10.42578125" style="16" customWidth="1"/>
    <col min="11449" max="11450" width="9.140625" style="16"/>
    <col min="11451" max="11451" width="10.28515625" style="16" customWidth="1"/>
    <col min="11452" max="11453" width="9.140625" style="16"/>
    <col min="11454" max="11454" width="11.28515625" style="16" customWidth="1"/>
    <col min="11455" max="11455" width="9.140625" style="16"/>
    <col min="11456" max="11456" width="10.42578125" style="16" customWidth="1"/>
    <col min="11457" max="11457" width="12.28515625" style="16" customWidth="1"/>
    <col min="11458" max="11478" width="9.140625" style="16"/>
    <col min="11479" max="11479" width="11.85546875" style="16" customWidth="1"/>
    <col min="11480" max="11480" width="13" style="16" customWidth="1"/>
    <col min="11481" max="11481" width="12.85546875" style="16" customWidth="1"/>
    <col min="11482" max="11484" width="9.140625" style="16"/>
    <col min="11485" max="11490" width="0" style="16" hidden="1" customWidth="1"/>
    <col min="11491" max="11491" width="9.140625" style="16"/>
    <col min="11492" max="11512" width="0" style="16" hidden="1" customWidth="1"/>
    <col min="11513" max="11697" width="9.140625" style="16"/>
    <col min="11698" max="11698" width="14.85546875" style="16" customWidth="1"/>
    <col min="11699" max="11702" width="9.140625" style="16"/>
    <col min="11703" max="11703" width="11.28515625" style="16" bestFit="1" customWidth="1"/>
    <col min="11704" max="11704" width="10.42578125" style="16" customWidth="1"/>
    <col min="11705" max="11706" width="9.140625" style="16"/>
    <col min="11707" max="11707" width="10.28515625" style="16" customWidth="1"/>
    <col min="11708" max="11709" width="9.140625" style="16"/>
    <col min="11710" max="11710" width="11.28515625" style="16" customWidth="1"/>
    <col min="11711" max="11711" width="9.140625" style="16"/>
    <col min="11712" max="11712" width="10.42578125" style="16" customWidth="1"/>
    <col min="11713" max="11713" width="12.28515625" style="16" customWidth="1"/>
    <col min="11714" max="11734" width="9.140625" style="16"/>
    <col min="11735" max="11735" width="11.85546875" style="16" customWidth="1"/>
    <col min="11736" max="11736" width="13" style="16" customWidth="1"/>
    <col min="11737" max="11737" width="12.85546875" style="16" customWidth="1"/>
    <col min="11738" max="11740" width="9.140625" style="16"/>
    <col min="11741" max="11746" width="0" style="16" hidden="1" customWidth="1"/>
    <col min="11747" max="11747" width="9.140625" style="16"/>
    <col min="11748" max="11768" width="0" style="16" hidden="1" customWidth="1"/>
    <col min="11769" max="11953" width="9.140625" style="16"/>
    <col min="11954" max="11954" width="14.85546875" style="16" customWidth="1"/>
    <col min="11955" max="11958" width="9.140625" style="16"/>
    <col min="11959" max="11959" width="11.28515625" style="16" bestFit="1" customWidth="1"/>
    <col min="11960" max="11960" width="10.42578125" style="16" customWidth="1"/>
    <col min="11961" max="11962" width="9.140625" style="16"/>
    <col min="11963" max="11963" width="10.28515625" style="16" customWidth="1"/>
    <col min="11964" max="11965" width="9.140625" style="16"/>
    <col min="11966" max="11966" width="11.28515625" style="16" customWidth="1"/>
    <col min="11967" max="11967" width="9.140625" style="16"/>
    <col min="11968" max="11968" width="10.42578125" style="16" customWidth="1"/>
    <col min="11969" max="11969" width="12.28515625" style="16" customWidth="1"/>
    <col min="11970" max="11990" width="9.140625" style="16"/>
    <col min="11991" max="11991" width="11.85546875" style="16" customWidth="1"/>
    <col min="11992" max="11992" width="13" style="16" customWidth="1"/>
    <col min="11993" max="11993" width="12.85546875" style="16" customWidth="1"/>
    <col min="11994" max="11996" width="9.140625" style="16"/>
    <col min="11997" max="12002" width="0" style="16" hidden="1" customWidth="1"/>
    <col min="12003" max="12003" width="9.140625" style="16"/>
    <col min="12004" max="12024" width="0" style="16" hidden="1" customWidth="1"/>
    <col min="12025" max="12209" width="9.140625" style="16"/>
    <col min="12210" max="12210" width="14.85546875" style="16" customWidth="1"/>
    <col min="12211" max="12214" width="9.140625" style="16"/>
    <col min="12215" max="12215" width="11.28515625" style="16" bestFit="1" customWidth="1"/>
    <col min="12216" max="12216" width="10.42578125" style="16" customWidth="1"/>
    <col min="12217" max="12218" width="9.140625" style="16"/>
    <col min="12219" max="12219" width="10.28515625" style="16" customWidth="1"/>
    <col min="12220" max="12221" width="9.140625" style="16"/>
    <col min="12222" max="12222" width="11.28515625" style="16" customWidth="1"/>
    <col min="12223" max="12223" width="9.140625" style="16"/>
    <col min="12224" max="12224" width="10.42578125" style="16" customWidth="1"/>
    <col min="12225" max="12225" width="12.28515625" style="16" customWidth="1"/>
    <col min="12226" max="12246" width="9.140625" style="16"/>
    <col min="12247" max="12247" width="11.85546875" style="16" customWidth="1"/>
    <col min="12248" max="12248" width="13" style="16" customWidth="1"/>
    <col min="12249" max="12249" width="12.85546875" style="16" customWidth="1"/>
    <col min="12250" max="12252" width="9.140625" style="16"/>
    <col min="12253" max="12258" width="0" style="16" hidden="1" customWidth="1"/>
    <col min="12259" max="12259" width="9.140625" style="16"/>
    <col min="12260" max="12280" width="0" style="16" hidden="1" customWidth="1"/>
    <col min="12281" max="12465" width="9.140625" style="16"/>
    <col min="12466" max="12466" width="14.85546875" style="16" customWidth="1"/>
    <col min="12467" max="12470" width="9.140625" style="16"/>
    <col min="12471" max="12471" width="11.28515625" style="16" bestFit="1" customWidth="1"/>
    <col min="12472" max="12472" width="10.42578125" style="16" customWidth="1"/>
    <col min="12473" max="12474" width="9.140625" style="16"/>
    <col min="12475" max="12475" width="10.28515625" style="16" customWidth="1"/>
    <col min="12476" max="12477" width="9.140625" style="16"/>
    <col min="12478" max="12478" width="11.28515625" style="16" customWidth="1"/>
    <col min="12479" max="12479" width="9.140625" style="16"/>
    <col min="12480" max="12480" width="10.42578125" style="16" customWidth="1"/>
    <col min="12481" max="12481" width="12.28515625" style="16" customWidth="1"/>
    <col min="12482" max="12502" width="9.140625" style="16"/>
    <col min="12503" max="12503" width="11.85546875" style="16" customWidth="1"/>
    <col min="12504" max="12504" width="13" style="16" customWidth="1"/>
    <col min="12505" max="12505" width="12.85546875" style="16" customWidth="1"/>
    <col min="12506" max="12508" width="9.140625" style="16"/>
    <col min="12509" max="12514" width="0" style="16" hidden="1" customWidth="1"/>
    <col min="12515" max="12515" width="9.140625" style="16"/>
    <col min="12516" max="12536" width="0" style="16" hidden="1" customWidth="1"/>
    <col min="12537" max="12721" width="9.140625" style="16"/>
    <col min="12722" max="12722" width="14.85546875" style="16" customWidth="1"/>
    <col min="12723" max="12726" width="9.140625" style="16"/>
    <col min="12727" max="12727" width="11.28515625" style="16" bestFit="1" customWidth="1"/>
    <col min="12728" max="12728" width="10.42578125" style="16" customWidth="1"/>
    <col min="12729" max="12730" width="9.140625" style="16"/>
    <col min="12731" max="12731" width="10.28515625" style="16" customWidth="1"/>
    <col min="12732" max="12733" width="9.140625" style="16"/>
    <col min="12734" max="12734" width="11.28515625" style="16" customWidth="1"/>
    <col min="12735" max="12735" width="9.140625" style="16"/>
    <col min="12736" max="12736" width="10.42578125" style="16" customWidth="1"/>
    <col min="12737" max="12737" width="12.28515625" style="16" customWidth="1"/>
    <col min="12738" max="12758" width="9.140625" style="16"/>
    <col min="12759" max="12759" width="11.85546875" style="16" customWidth="1"/>
    <col min="12760" max="12760" width="13" style="16" customWidth="1"/>
    <col min="12761" max="12761" width="12.85546875" style="16" customWidth="1"/>
    <col min="12762" max="12764" width="9.140625" style="16"/>
    <col min="12765" max="12770" width="0" style="16" hidden="1" customWidth="1"/>
    <col min="12771" max="12771" width="9.140625" style="16"/>
    <col min="12772" max="12792" width="0" style="16" hidden="1" customWidth="1"/>
    <col min="12793" max="12977" width="9.140625" style="16"/>
    <col min="12978" max="12978" width="14.85546875" style="16" customWidth="1"/>
    <col min="12979" max="12982" width="9.140625" style="16"/>
    <col min="12983" max="12983" width="11.28515625" style="16" bestFit="1" customWidth="1"/>
    <col min="12984" max="12984" width="10.42578125" style="16" customWidth="1"/>
    <col min="12985" max="12986" width="9.140625" style="16"/>
    <col min="12987" max="12987" width="10.28515625" style="16" customWidth="1"/>
    <col min="12988" max="12989" width="9.140625" style="16"/>
    <col min="12990" max="12990" width="11.28515625" style="16" customWidth="1"/>
    <col min="12991" max="12991" width="9.140625" style="16"/>
    <col min="12992" max="12992" width="10.42578125" style="16" customWidth="1"/>
    <col min="12993" max="12993" width="12.28515625" style="16" customWidth="1"/>
    <col min="12994" max="13014" width="9.140625" style="16"/>
    <col min="13015" max="13015" width="11.85546875" style="16" customWidth="1"/>
    <col min="13016" max="13016" width="13" style="16" customWidth="1"/>
    <col min="13017" max="13017" width="12.85546875" style="16" customWidth="1"/>
    <col min="13018" max="13020" width="9.140625" style="16"/>
    <col min="13021" max="13026" width="0" style="16" hidden="1" customWidth="1"/>
    <col min="13027" max="13027" width="9.140625" style="16"/>
    <col min="13028" max="13048" width="0" style="16" hidden="1" customWidth="1"/>
    <col min="13049" max="13233" width="9.140625" style="16"/>
    <col min="13234" max="13234" width="14.85546875" style="16" customWidth="1"/>
    <col min="13235" max="13238" width="9.140625" style="16"/>
    <col min="13239" max="13239" width="11.28515625" style="16" bestFit="1" customWidth="1"/>
    <col min="13240" max="13240" width="10.42578125" style="16" customWidth="1"/>
    <col min="13241" max="13242" width="9.140625" style="16"/>
    <col min="13243" max="13243" width="10.28515625" style="16" customWidth="1"/>
    <col min="13244" max="13245" width="9.140625" style="16"/>
    <col min="13246" max="13246" width="11.28515625" style="16" customWidth="1"/>
    <col min="13247" max="13247" width="9.140625" style="16"/>
    <col min="13248" max="13248" width="10.42578125" style="16" customWidth="1"/>
    <col min="13249" max="13249" width="12.28515625" style="16" customWidth="1"/>
    <col min="13250" max="13270" width="9.140625" style="16"/>
    <col min="13271" max="13271" width="11.85546875" style="16" customWidth="1"/>
    <col min="13272" max="13272" width="13" style="16" customWidth="1"/>
    <col min="13273" max="13273" width="12.85546875" style="16" customWidth="1"/>
    <col min="13274" max="13276" width="9.140625" style="16"/>
    <col min="13277" max="13282" width="0" style="16" hidden="1" customWidth="1"/>
    <col min="13283" max="13283" width="9.140625" style="16"/>
    <col min="13284" max="13304" width="0" style="16" hidden="1" customWidth="1"/>
    <col min="13305" max="13489" width="9.140625" style="16"/>
    <col min="13490" max="13490" width="14.85546875" style="16" customWidth="1"/>
    <col min="13491" max="13494" width="9.140625" style="16"/>
    <col min="13495" max="13495" width="11.28515625" style="16" bestFit="1" customWidth="1"/>
    <col min="13496" max="13496" width="10.42578125" style="16" customWidth="1"/>
    <col min="13497" max="13498" width="9.140625" style="16"/>
    <col min="13499" max="13499" width="10.28515625" style="16" customWidth="1"/>
    <col min="13500" max="13501" width="9.140625" style="16"/>
    <col min="13502" max="13502" width="11.28515625" style="16" customWidth="1"/>
    <col min="13503" max="13503" width="9.140625" style="16"/>
    <col min="13504" max="13504" width="10.42578125" style="16" customWidth="1"/>
    <col min="13505" max="13505" width="12.28515625" style="16" customWidth="1"/>
    <col min="13506" max="13526" width="9.140625" style="16"/>
    <col min="13527" max="13527" width="11.85546875" style="16" customWidth="1"/>
    <col min="13528" max="13528" width="13" style="16" customWidth="1"/>
    <col min="13529" max="13529" width="12.85546875" style="16" customWidth="1"/>
    <col min="13530" max="13532" width="9.140625" style="16"/>
    <col min="13533" max="13538" width="0" style="16" hidden="1" customWidth="1"/>
    <col min="13539" max="13539" width="9.140625" style="16"/>
    <col min="13540" max="13560" width="0" style="16" hidden="1" customWidth="1"/>
    <col min="13561" max="13745" width="9.140625" style="16"/>
    <col min="13746" max="13746" width="14.85546875" style="16" customWidth="1"/>
    <col min="13747" max="13750" width="9.140625" style="16"/>
    <col min="13751" max="13751" width="11.28515625" style="16" bestFit="1" customWidth="1"/>
    <col min="13752" max="13752" width="10.42578125" style="16" customWidth="1"/>
    <col min="13753" max="13754" width="9.140625" style="16"/>
    <col min="13755" max="13755" width="10.28515625" style="16" customWidth="1"/>
    <col min="13756" max="13757" width="9.140625" style="16"/>
    <col min="13758" max="13758" width="11.28515625" style="16" customWidth="1"/>
    <col min="13759" max="13759" width="9.140625" style="16"/>
    <col min="13760" max="13760" width="10.42578125" style="16" customWidth="1"/>
    <col min="13761" max="13761" width="12.28515625" style="16" customWidth="1"/>
    <col min="13762" max="13782" width="9.140625" style="16"/>
    <col min="13783" max="13783" width="11.85546875" style="16" customWidth="1"/>
    <col min="13784" max="13784" width="13" style="16" customWidth="1"/>
    <col min="13785" max="13785" width="12.85546875" style="16" customWidth="1"/>
    <col min="13786" max="13788" width="9.140625" style="16"/>
    <col min="13789" max="13794" width="0" style="16" hidden="1" customWidth="1"/>
    <col min="13795" max="13795" width="9.140625" style="16"/>
    <col min="13796" max="13816" width="0" style="16" hidden="1" customWidth="1"/>
    <col min="13817" max="14001" width="9.140625" style="16"/>
    <col min="14002" max="14002" width="14.85546875" style="16" customWidth="1"/>
    <col min="14003" max="14006" width="9.140625" style="16"/>
    <col min="14007" max="14007" width="11.28515625" style="16" bestFit="1" customWidth="1"/>
    <col min="14008" max="14008" width="10.42578125" style="16" customWidth="1"/>
    <col min="14009" max="14010" width="9.140625" style="16"/>
    <col min="14011" max="14011" width="10.28515625" style="16" customWidth="1"/>
    <col min="14012" max="14013" width="9.140625" style="16"/>
    <col min="14014" max="14014" width="11.28515625" style="16" customWidth="1"/>
    <col min="14015" max="14015" width="9.140625" style="16"/>
    <col min="14016" max="14016" width="10.42578125" style="16" customWidth="1"/>
    <col min="14017" max="14017" width="12.28515625" style="16" customWidth="1"/>
    <col min="14018" max="14038" width="9.140625" style="16"/>
    <col min="14039" max="14039" width="11.85546875" style="16" customWidth="1"/>
    <col min="14040" max="14040" width="13" style="16" customWidth="1"/>
    <col min="14041" max="14041" width="12.85546875" style="16" customWidth="1"/>
    <col min="14042" max="14044" width="9.140625" style="16"/>
    <col min="14045" max="14050" width="0" style="16" hidden="1" customWidth="1"/>
    <col min="14051" max="14051" width="9.140625" style="16"/>
    <col min="14052" max="14072" width="0" style="16" hidden="1" customWidth="1"/>
    <col min="14073" max="14257" width="9.140625" style="16"/>
    <col min="14258" max="14258" width="14.85546875" style="16" customWidth="1"/>
    <col min="14259" max="14262" width="9.140625" style="16"/>
    <col min="14263" max="14263" width="11.28515625" style="16" bestFit="1" customWidth="1"/>
    <col min="14264" max="14264" width="10.42578125" style="16" customWidth="1"/>
    <col min="14265" max="14266" width="9.140625" style="16"/>
    <col min="14267" max="14267" width="10.28515625" style="16" customWidth="1"/>
    <col min="14268" max="14269" width="9.140625" style="16"/>
    <col min="14270" max="14270" width="11.28515625" style="16" customWidth="1"/>
    <col min="14271" max="14271" width="9.140625" style="16"/>
    <col min="14272" max="14272" width="10.42578125" style="16" customWidth="1"/>
    <col min="14273" max="14273" width="12.28515625" style="16" customWidth="1"/>
    <col min="14274" max="14294" width="9.140625" style="16"/>
    <col min="14295" max="14295" width="11.85546875" style="16" customWidth="1"/>
    <col min="14296" max="14296" width="13" style="16" customWidth="1"/>
    <col min="14297" max="14297" width="12.85546875" style="16" customWidth="1"/>
    <col min="14298" max="14300" width="9.140625" style="16"/>
    <col min="14301" max="14306" width="0" style="16" hidden="1" customWidth="1"/>
    <col min="14307" max="14307" width="9.140625" style="16"/>
    <col min="14308" max="14328" width="0" style="16" hidden="1" customWidth="1"/>
    <col min="14329" max="14513" width="9.140625" style="16"/>
    <col min="14514" max="14514" width="14.85546875" style="16" customWidth="1"/>
    <col min="14515" max="14518" width="9.140625" style="16"/>
    <col min="14519" max="14519" width="11.28515625" style="16" bestFit="1" customWidth="1"/>
    <col min="14520" max="14520" width="10.42578125" style="16" customWidth="1"/>
    <col min="14521" max="14522" width="9.140625" style="16"/>
    <col min="14523" max="14523" width="10.28515625" style="16" customWidth="1"/>
    <col min="14524" max="14525" width="9.140625" style="16"/>
    <col min="14526" max="14526" width="11.28515625" style="16" customWidth="1"/>
    <col min="14527" max="14527" width="9.140625" style="16"/>
    <col min="14528" max="14528" width="10.42578125" style="16" customWidth="1"/>
    <col min="14529" max="14529" width="12.28515625" style="16" customWidth="1"/>
    <col min="14530" max="14550" width="9.140625" style="16"/>
    <col min="14551" max="14551" width="11.85546875" style="16" customWidth="1"/>
    <col min="14552" max="14552" width="13" style="16" customWidth="1"/>
    <col min="14553" max="14553" width="12.85546875" style="16" customWidth="1"/>
    <col min="14554" max="14556" width="9.140625" style="16"/>
    <col min="14557" max="14562" width="0" style="16" hidden="1" customWidth="1"/>
    <col min="14563" max="14563" width="9.140625" style="16"/>
    <col min="14564" max="14584" width="0" style="16" hidden="1" customWidth="1"/>
    <col min="14585" max="14769" width="9.140625" style="16"/>
    <col min="14770" max="14770" width="14.85546875" style="16" customWidth="1"/>
    <col min="14771" max="14774" width="9.140625" style="16"/>
    <col min="14775" max="14775" width="11.28515625" style="16" bestFit="1" customWidth="1"/>
    <col min="14776" max="14776" width="10.42578125" style="16" customWidth="1"/>
    <col min="14777" max="14778" width="9.140625" style="16"/>
    <col min="14779" max="14779" width="10.28515625" style="16" customWidth="1"/>
    <col min="14780" max="14781" width="9.140625" style="16"/>
    <col min="14782" max="14782" width="11.28515625" style="16" customWidth="1"/>
    <col min="14783" max="14783" width="9.140625" style="16"/>
    <col min="14784" max="14784" width="10.42578125" style="16" customWidth="1"/>
    <col min="14785" max="14785" width="12.28515625" style="16" customWidth="1"/>
    <col min="14786" max="14806" width="9.140625" style="16"/>
    <col min="14807" max="14807" width="11.85546875" style="16" customWidth="1"/>
    <col min="14808" max="14808" width="13" style="16" customWidth="1"/>
    <col min="14809" max="14809" width="12.85546875" style="16" customWidth="1"/>
    <col min="14810" max="14812" width="9.140625" style="16"/>
    <col min="14813" max="14818" width="0" style="16" hidden="1" customWidth="1"/>
    <col min="14819" max="14819" width="9.140625" style="16"/>
    <col min="14820" max="14840" width="0" style="16" hidden="1" customWidth="1"/>
    <col min="14841" max="15025" width="9.140625" style="16"/>
    <col min="15026" max="15026" width="14.85546875" style="16" customWidth="1"/>
    <col min="15027" max="15030" width="9.140625" style="16"/>
    <col min="15031" max="15031" width="11.28515625" style="16" bestFit="1" customWidth="1"/>
    <col min="15032" max="15032" width="10.42578125" style="16" customWidth="1"/>
    <col min="15033" max="15034" width="9.140625" style="16"/>
    <col min="15035" max="15035" width="10.28515625" style="16" customWidth="1"/>
    <col min="15036" max="15037" width="9.140625" style="16"/>
    <col min="15038" max="15038" width="11.28515625" style="16" customWidth="1"/>
    <col min="15039" max="15039" width="9.140625" style="16"/>
    <col min="15040" max="15040" width="10.42578125" style="16" customWidth="1"/>
    <col min="15041" max="15041" width="12.28515625" style="16" customWidth="1"/>
    <col min="15042" max="15062" width="9.140625" style="16"/>
    <col min="15063" max="15063" width="11.85546875" style="16" customWidth="1"/>
    <col min="15064" max="15064" width="13" style="16" customWidth="1"/>
    <col min="15065" max="15065" width="12.85546875" style="16" customWidth="1"/>
    <col min="15066" max="15068" width="9.140625" style="16"/>
    <col min="15069" max="15074" width="0" style="16" hidden="1" customWidth="1"/>
    <col min="15075" max="15075" width="9.140625" style="16"/>
    <col min="15076" max="15096" width="0" style="16" hidden="1" customWidth="1"/>
    <col min="15097" max="15281" width="9.140625" style="16"/>
    <col min="15282" max="15282" width="14.85546875" style="16" customWidth="1"/>
    <col min="15283" max="15286" width="9.140625" style="16"/>
    <col min="15287" max="15287" width="11.28515625" style="16" bestFit="1" customWidth="1"/>
    <col min="15288" max="15288" width="10.42578125" style="16" customWidth="1"/>
    <col min="15289" max="15290" width="9.140625" style="16"/>
    <col min="15291" max="15291" width="10.28515625" style="16" customWidth="1"/>
    <col min="15292" max="15293" width="9.140625" style="16"/>
    <col min="15294" max="15294" width="11.28515625" style="16" customWidth="1"/>
    <col min="15295" max="15295" width="9.140625" style="16"/>
    <col min="15296" max="15296" width="10.42578125" style="16" customWidth="1"/>
    <col min="15297" max="15297" width="12.28515625" style="16" customWidth="1"/>
    <col min="15298" max="15318" width="9.140625" style="16"/>
    <col min="15319" max="15319" width="11.85546875" style="16" customWidth="1"/>
    <col min="15320" max="15320" width="13" style="16" customWidth="1"/>
    <col min="15321" max="15321" width="12.85546875" style="16" customWidth="1"/>
    <col min="15322" max="15324" width="9.140625" style="16"/>
    <col min="15325" max="15330" width="0" style="16" hidden="1" customWidth="1"/>
    <col min="15331" max="15331" width="9.140625" style="16"/>
    <col min="15332" max="15352" width="0" style="16" hidden="1" customWidth="1"/>
    <col min="15353" max="15537" width="9.140625" style="16"/>
    <col min="15538" max="15538" width="14.85546875" style="16" customWidth="1"/>
    <col min="15539" max="15542" width="9.140625" style="16"/>
    <col min="15543" max="15543" width="11.28515625" style="16" bestFit="1" customWidth="1"/>
    <col min="15544" max="15544" width="10.42578125" style="16" customWidth="1"/>
    <col min="15545" max="15546" width="9.140625" style="16"/>
    <col min="15547" max="15547" width="10.28515625" style="16" customWidth="1"/>
    <col min="15548" max="15549" width="9.140625" style="16"/>
    <col min="15550" max="15550" width="11.28515625" style="16" customWidth="1"/>
    <col min="15551" max="15551" width="9.140625" style="16"/>
    <col min="15552" max="15552" width="10.42578125" style="16" customWidth="1"/>
    <col min="15553" max="15553" width="12.28515625" style="16" customWidth="1"/>
    <col min="15554" max="15574" width="9.140625" style="16"/>
    <col min="15575" max="15575" width="11.85546875" style="16" customWidth="1"/>
    <col min="15576" max="15576" width="13" style="16" customWidth="1"/>
    <col min="15577" max="15577" width="12.85546875" style="16" customWidth="1"/>
    <col min="15578" max="15580" width="9.140625" style="16"/>
    <col min="15581" max="15586" width="0" style="16" hidden="1" customWidth="1"/>
    <col min="15587" max="15587" width="9.140625" style="16"/>
    <col min="15588" max="15608" width="0" style="16" hidden="1" customWidth="1"/>
    <col min="15609" max="15793" width="9.140625" style="16"/>
    <col min="15794" max="15794" width="14.85546875" style="16" customWidth="1"/>
    <col min="15795" max="15798" width="9.140625" style="16"/>
    <col min="15799" max="15799" width="11.28515625" style="16" bestFit="1" customWidth="1"/>
    <col min="15800" max="15800" width="10.42578125" style="16" customWidth="1"/>
    <col min="15801" max="15802" width="9.140625" style="16"/>
    <col min="15803" max="15803" width="10.28515625" style="16" customWidth="1"/>
    <col min="15804" max="15805" width="9.140625" style="16"/>
    <col min="15806" max="15806" width="11.28515625" style="16" customWidth="1"/>
    <col min="15807" max="15807" width="9.140625" style="16"/>
    <col min="15808" max="15808" width="10.42578125" style="16" customWidth="1"/>
    <col min="15809" max="15809" width="12.28515625" style="16" customWidth="1"/>
    <col min="15810" max="15830" width="9.140625" style="16"/>
    <col min="15831" max="15831" width="11.85546875" style="16" customWidth="1"/>
    <col min="15832" max="15832" width="13" style="16" customWidth="1"/>
    <col min="15833" max="15833" width="12.85546875" style="16" customWidth="1"/>
    <col min="15834" max="15836" width="9.140625" style="16"/>
    <col min="15837" max="15842" width="0" style="16" hidden="1" customWidth="1"/>
    <col min="15843" max="15843" width="9.140625" style="16"/>
    <col min="15844" max="15864" width="0" style="16" hidden="1" customWidth="1"/>
    <col min="15865" max="16049" width="9.140625" style="16"/>
    <col min="16050" max="16050" width="14.85546875" style="16" customWidth="1"/>
    <col min="16051" max="16054" width="9.140625" style="16"/>
    <col min="16055" max="16055" width="11.28515625" style="16" bestFit="1" customWidth="1"/>
    <col min="16056" max="16056" width="10.42578125" style="16" customWidth="1"/>
    <col min="16057" max="16058" width="9.140625" style="16"/>
    <col min="16059" max="16059" width="10.28515625" style="16" customWidth="1"/>
    <col min="16060" max="16061" width="9.140625" style="16"/>
    <col min="16062" max="16062" width="11.28515625" style="16" customWidth="1"/>
    <col min="16063" max="16063" width="9.140625" style="16"/>
    <col min="16064" max="16064" width="10.42578125" style="16" customWidth="1"/>
    <col min="16065" max="16065" width="12.28515625" style="16" customWidth="1"/>
    <col min="16066" max="16086" width="9.140625" style="16"/>
    <col min="16087" max="16087" width="11.85546875" style="16" customWidth="1"/>
    <col min="16088" max="16088" width="13" style="16" customWidth="1"/>
    <col min="16089" max="16089" width="12.85546875" style="16" customWidth="1"/>
    <col min="16090" max="16092" width="9.140625" style="16"/>
    <col min="16093" max="16098" width="0" style="16" hidden="1" customWidth="1"/>
    <col min="16099" max="16099" width="9.140625" style="16"/>
    <col min="16100" max="16120" width="0" style="16" hidden="1" customWidth="1"/>
    <col min="16121" max="16384" width="9.140625" style="16"/>
  </cols>
  <sheetData>
    <row r="1" spans="1:41" ht="36.75" customHeight="1" x14ac:dyDescent="0.2">
      <c r="A1" s="622" t="s">
        <v>401</v>
      </c>
      <c r="B1" s="622"/>
      <c r="C1" s="365"/>
      <c r="D1" s="365"/>
      <c r="E1" s="365"/>
      <c r="F1" s="365"/>
      <c r="G1" s="365"/>
      <c r="H1" s="365"/>
      <c r="I1" s="365"/>
      <c r="J1" s="365"/>
      <c r="K1" s="365"/>
      <c r="L1" s="365"/>
      <c r="M1" s="365"/>
      <c r="N1" s="365"/>
      <c r="O1" s="365"/>
      <c r="P1" s="365"/>
      <c r="Q1" s="365"/>
      <c r="R1" s="365"/>
      <c r="S1" s="365"/>
      <c r="T1" s="365"/>
      <c r="U1" s="365"/>
      <c r="V1" s="365"/>
      <c r="W1" s="365"/>
      <c r="X1" s="365"/>
      <c r="Y1" s="365"/>
      <c r="Z1" s="365"/>
      <c r="AA1" s="365"/>
      <c r="AB1" s="365"/>
      <c r="AC1" s="365"/>
      <c r="AD1" s="365"/>
      <c r="AE1" s="365"/>
      <c r="AF1" s="365"/>
      <c r="AG1" s="365"/>
      <c r="AH1" s="365"/>
      <c r="AI1" s="365"/>
      <c r="AJ1" s="365"/>
      <c r="AK1" s="365"/>
      <c r="AL1" s="365"/>
      <c r="AM1" s="365"/>
      <c r="AN1" s="365"/>
      <c r="AO1" s="365"/>
    </row>
    <row r="2" spans="1:41" ht="17.25" customHeight="1" x14ac:dyDescent="0.2">
      <c r="A2" s="615" t="s">
        <v>1</v>
      </c>
      <c r="B2" s="615" t="s">
        <v>48</v>
      </c>
      <c r="C2" s="611" t="s">
        <v>50</v>
      </c>
      <c r="D2" s="611"/>
      <c r="E2" s="611"/>
      <c r="F2" s="612" t="s">
        <v>222</v>
      </c>
      <c r="G2" s="612"/>
      <c r="H2" s="612"/>
      <c r="I2" s="612"/>
      <c r="J2" s="612"/>
      <c r="K2" s="612"/>
      <c r="L2" s="612" t="s">
        <v>49</v>
      </c>
      <c r="M2" s="612"/>
      <c r="N2" s="612"/>
      <c r="O2" s="612" t="s">
        <v>147</v>
      </c>
      <c r="P2" s="612"/>
      <c r="Q2" s="612"/>
      <c r="R2" s="612" t="s">
        <v>135</v>
      </c>
      <c r="S2" s="612"/>
      <c r="T2" s="612"/>
      <c r="U2" s="611" t="s">
        <v>122</v>
      </c>
      <c r="V2" s="611"/>
      <c r="W2" s="611"/>
      <c r="X2" s="611" t="s">
        <v>214</v>
      </c>
      <c r="Y2" s="611"/>
      <c r="Z2" s="611"/>
      <c r="AA2" s="611" t="s">
        <v>106</v>
      </c>
      <c r="AB2" s="611"/>
      <c r="AC2" s="611"/>
      <c r="AD2" s="611" t="s">
        <v>100</v>
      </c>
      <c r="AE2" s="611"/>
      <c r="AF2" s="611"/>
      <c r="AG2" s="611" t="s">
        <v>215</v>
      </c>
      <c r="AH2" s="611"/>
      <c r="AI2" s="611"/>
      <c r="AJ2" s="611" t="s">
        <v>81</v>
      </c>
      <c r="AK2" s="611"/>
      <c r="AL2" s="611"/>
      <c r="AM2" s="612" t="s">
        <v>223</v>
      </c>
      <c r="AN2" s="612"/>
      <c r="AO2" s="612"/>
    </row>
    <row r="3" spans="1:41" x14ac:dyDescent="0.2">
      <c r="A3" s="616"/>
      <c r="B3" s="616"/>
      <c r="C3" s="611"/>
      <c r="D3" s="611"/>
      <c r="E3" s="611"/>
      <c r="F3" s="352" t="s">
        <v>224</v>
      </c>
      <c r="G3" s="352"/>
      <c r="H3" s="352"/>
      <c r="I3" s="99" t="s">
        <v>225</v>
      </c>
      <c r="J3" s="99"/>
      <c r="K3" s="99"/>
      <c r="L3" s="612"/>
      <c r="M3" s="612"/>
      <c r="N3" s="612"/>
      <c r="O3" s="612"/>
      <c r="P3" s="612"/>
      <c r="Q3" s="612"/>
      <c r="R3" s="612"/>
      <c r="S3" s="612"/>
      <c r="T3" s="612"/>
      <c r="U3" s="611"/>
      <c r="V3" s="611"/>
      <c r="W3" s="611"/>
      <c r="X3" s="611"/>
      <c r="Y3" s="611"/>
      <c r="Z3" s="611"/>
      <c r="AA3" s="611"/>
      <c r="AB3" s="611"/>
      <c r="AC3" s="611"/>
      <c r="AD3" s="611"/>
      <c r="AE3" s="611"/>
      <c r="AF3" s="611"/>
      <c r="AG3" s="611"/>
      <c r="AH3" s="611"/>
      <c r="AI3" s="611"/>
      <c r="AJ3" s="611"/>
      <c r="AK3" s="611"/>
      <c r="AL3" s="611"/>
      <c r="AM3" s="612"/>
      <c r="AN3" s="612"/>
      <c r="AO3" s="612"/>
    </row>
    <row r="4" spans="1:41" ht="30" customHeight="1" x14ac:dyDescent="0.2">
      <c r="A4" s="617"/>
      <c r="B4" s="617"/>
      <c r="C4" s="34" t="s">
        <v>226</v>
      </c>
      <c r="D4" s="35" t="s">
        <v>199</v>
      </c>
      <c r="E4" s="351" t="s">
        <v>227</v>
      </c>
      <c r="F4" s="34" t="s">
        <v>226</v>
      </c>
      <c r="G4" s="35" t="s">
        <v>199</v>
      </c>
      <c r="H4" s="351" t="s">
        <v>227</v>
      </c>
      <c r="I4" s="34" t="s">
        <v>226</v>
      </c>
      <c r="J4" s="35" t="s">
        <v>199</v>
      </c>
      <c r="K4" s="351" t="s">
        <v>227</v>
      </c>
      <c r="L4" s="34" t="s">
        <v>226</v>
      </c>
      <c r="M4" s="35" t="s">
        <v>199</v>
      </c>
      <c r="N4" s="351" t="s">
        <v>227</v>
      </c>
      <c r="O4" s="34" t="s">
        <v>226</v>
      </c>
      <c r="P4" s="35" t="s">
        <v>199</v>
      </c>
      <c r="Q4" s="351" t="s">
        <v>227</v>
      </c>
      <c r="R4" s="34" t="s">
        <v>226</v>
      </c>
      <c r="S4" s="35" t="s">
        <v>199</v>
      </c>
      <c r="T4" s="351" t="s">
        <v>227</v>
      </c>
      <c r="U4" s="34" t="s">
        <v>226</v>
      </c>
      <c r="V4" s="35" t="s">
        <v>199</v>
      </c>
      <c r="W4" s="351" t="s">
        <v>227</v>
      </c>
      <c r="X4" s="34" t="s">
        <v>226</v>
      </c>
      <c r="Y4" s="35" t="s">
        <v>199</v>
      </c>
      <c r="Z4" s="351" t="s">
        <v>227</v>
      </c>
      <c r="AA4" s="34" t="s">
        <v>226</v>
      </c>
      <c r="AB4" s="35" t="s">
        <v>199</v>
      </c>
      <c r="AC4" s="351" t="s">
        <v>227</v>
      </c>
      <c r="AD4" s="34" t="s">
        <v>226</v>
      </c>
      <c r="AE4" s="35" t="s">
        <v>199</v>
      </c>
      <c r="AF4" s="351" t="s">
        <v>227</v>
      </c>
      <c r="AG4" s="34" t="s">
        <v>226</v>
      </c>
      <c r="AH4" s="35" t="s">
        <v>199</v>
      </c>
      <c r="AI4" s="351" t="s">
        <v>227</v>
      </c>
      <c r="AJ4" s="34" t="s">
        <v>226</v>
      </c>
      <c r="AK4" s="35" t="s">
        <v>199</v>
      </c>
      <c r="AL4" s="351" t="s">
        <v>227</v>
      </c>
      <c r="AM4" s="34" t="s">
        <v>226</v>
      </c>
      <c r="AN4" s="35" t="s">
        <v>199</v>
      </c>
      <c r="AO4" s="351" t="s">
        <v>227</v>
      </c>
    </row>
    <row r="5" spans="1:41" ht="18" customHeight="1" x14ac:dyDescent="0.2">
      <c r="A5" s="36"/>
      <c r="B5" s="426" t="s">
        <v>3</v>
      </c>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8"/>
      <c r="AO5" s="39"/>
    </row>
    <row r="6" spans="1:41" x14ac:dyDescent="0.2">
      <c r="A6" s="613">
        <v>1</v>
      </c>
      <c r="B6" s="614" t="s">
        <v>4</v>
      </c>
      <c r="C6" s="401">
        <v>4692</v>
      </c>
      <c r="D6" s="401">
        <v>3395.9566904789999</v>
      </c>
      <c r="E6" s="401">
        <v>3351741</v>
      </c>
      <c r="F6" s="401">
        <v>267</v>
      </c>
      <c r="G6" s="401">
        <v>159.96533226699998</v>
      </c>
      <c r="H6" s="401">
        <v>268569</v>
      </c>
      <c r="I6" s="401">
        <v>1135</v>
      </c>
      <c r="J6" s="401">
        <v>24.564963963</v>
      </c>
      <c r="K6" s="401">
        <v>936670</v>
      </c>
      <c r="L6" s="401">
        <v>964</v>
      </c>
      <c r="M6" s="401">
        <v>390.574952596</v>
      </c>
      <c r="N6" s="401">
        <v>4778580</v>
      </c>
      <c r="O6" s="401">
        <v>25210</v>
      </c>
      <c r="P6" s="401">
        <v>160294.216406413</v>
      </c>
      <c r="Q6" s="401">
        <v>36827993</v>
      </c>
      <c r="R6" s="401">
        <v>0</v>
      </c>
      <c r="S6" s="401">
        <v>0</v>
      </c>
      <c r="T6" s="401">
        <v>0</v>
      </c>
      <c r="U6" s="401">
        <v>0</v>
      </c>
      <c r="V6" s="401">
        <v>0</v>
      </c>
      <c r="W6" s="401">
        <v>0</v>
      </c>
      <c r="X6" s="401">
        <v>0</v>
      </c>
      <c r="Y6" s="401">
        <v>0</v>
      </c>
      <c r="Z6" s="401">
        <v>0</v>
      </c>
      <c r="AA6" s="401">
        <v>0</v>
      </c>
      <c r="AB6" s="401">
        <v>0</v>
      </c>
      <c r="AC6" s="401">
        <v>0</v>
      </c>
      <c r="AD6" s="401">
        <v>0</v>
      </c>
      <c r="AE6" s="401">
        <v>0</v>
      </c>
      <c r="AF6" s="401">
        <v>0</v>
      </c>
      <c r="AG6" s="401">
        <v>0</v>
      </c>
      <c r="AH6" s="401">
        <v>0</v>
      </c>
      <c r="AI6" s="401">
        <v>0</v>
      </c>
      <c r="AJ6" s="401">
        <v>0</v>
      </c>
      <c r="AK6" s="401">
        <v>0</v>
      </c>
      <c r="AL6" s="401">
        <v>0</v>
      </c>
      <c r="AM6" s="401">
        <v>32268</v>
      </c>
      <c r="AN6" s="401">
        <v>164265.27834571799</v>
      </c>
      <c r="AO6" s="401">
        <v>46163553</v>
      </c>
    </row>
    <row r="7" spans="1:41" ht="15.75" customHeight="1" x14ac:dyDescent="0.2">
      <c r="A7" s="613"/>
      <c r="B7" s="614"/>
      <c r="C7" s="403">
        <v>0.14540721457791</v>
      </c>
      <c r="D7" s="403">
        <v>2.0673612370666429E-2</v>
      </c>
      <c r="E7" s="403">
        <v>7.2605784914345745E-2</v>
      </c>
      <c r="F7" s="403">
        <v>8.2744514689475634E-3</v>
      </c>
      <c r="G7" s="403">
        <v>9.7382315896565668E-4</v>
      </c>
      <c r="H7" s="403">
        <v>5.8177714354005639E-3</v>
      </c>
      <c r="I7" s="403">
        <v>3.517416635676212E-2</v>
      </c>
      <c r="J7" s="403">
        <v>1.4954446983798844E-4</v>
      </c>
      <c r="K7" s="403">
        <v>2.0290249322880326E-2</v>
      </c>
      <c r="L7" s="403">
        <v>2.9874798562042892E-2</v>
      </c>
      <c r="M7" s="403">
        <v>2.377708524463602E-3</v>
      </c>
      <c r="N7" s="403">
        <v>0.10351412942586979</v>
      </c>
      <c r="O7" s="403">
        <v>0.78126936903433741</v>
      </c>
      <c r="P7" s="403">
        <v>0.97582531147606644</v>
      </c>
      <c r="Q7" s="403">
        <v>0.79777206490150354</v>
      </c>
      <c r="R7" s="403">
        <v>0</v>
      </c>
      <c r="S7" s="403">
        <v>0</v>
      </c>
      <c r="T7" s="403">
        <v>0</v>
      </c>
      <c r="U7" s="403">
        <v>0</v>
      </c>
      <c r="V7" s="403">
        <v>0</v>
      </c>
      <c r="W7" s="403">
        <v>0</v>
      </c>
      <c r="X7" s="403">
        <v>0</v>
      </c>
      <c r="Y7" s="403">
        <v>0</v>
      </c>
      <c r="Z7" s="403">
        <v>0</v>
      </c>
      <c r="AA7" s="403">
        <v>0</v>
      </c>
      <c r="AB7" s="403">
        <v>0</v>
      </c>
      <c r="AC7" s="403">
        <v>0</v>
      </c>
      <c r="AD7" s="403">
        <v>0</v>
      </c>
      <c r="AE7" s="403">
        <v>0</v>
      </c>
      <c r="AF7" s="403">
        <v>0</v>
      </c>
      <c r="AG7" s="403">
        <v>0</v>
      </c>
      <c r="AH7" s="403">
        <v>0</v>
      </c>
      <c r="AI7" s="403">
        <v>0</v>
      </c>
      <c r="AJ7" s="403">
        <v>0</v>
      </c>
      <c r="AK7" s="403">
        <v>0</v>
      </c>
      <c r="AL7" s="403">
        <v>0</v>
      </c>
      <c r="AM7" s="403">
        <v>1</v>
      </c>
      <c r="AN7" s="403">
        <v>1</v>
      </c>
      <c r="AO7" s="403">
        <v>1</v>
      </c>
    </row>
    <row r="8" spans="1:41" ht="20.25" customHeight="1" x14ac:dyDescent="0.2">
      <c r="A8" s="342"/>
      <c r="B8" s="426" t="s">
        <v>5</v>
      </c>
      <c r="C8" s="403"/>
      <c r="D8" s="403"/>
      <c r="E8" s="403"/>
      <c r="F8" s="403"/>
      <c r="G8" s="403"/>
      <c r="H8" s="403"/>
      <c r="I8" s="403"/>
      <c r="J8" s="403"/>
      <c r="K8" s="403"/>
      <c r="L8" s="403"/>
      <c r="M8" s="403"/>
      <c r="N8" s="403"/>
      <c r="O8" s="403"/>
      <c r="P8" s="403"/>
      <c r="Q8" s="403"/>
      <c r="R8" s="403"/>
      <c r="S8" s="403"/>
      <c r="T8" s="403"/>
      <c r="U8" s="403"/>
      <c r="V8" s="403"/>
      <c r="W8" s="403"/>
      <c r="X8" s="403"/>
      <c r="Y8" s="403"/>
      <c r="Z8" s="403"/>
      <c r="AA8" s="403"/>
      <c r="AB8" s="403"/>
      <c r="AC8" s="403"/>
      <c r="AD8" s="403"/>
      <c r="AE8" s="403"/>
      <c r="AF8" s="403"/>
      <c r="AG8" s="403"/>
      <c r="AH8" s="403"/>
      <c r="AI8" s="403"/>
      <c r="AJ8" s="403"/>
      <c r="AK8" s="403"/>
      <c r="AL8" s="403"/>
      <c r="AM8" s="405"/>
      <c r="AN8" s="405"/>
      <c r="AO8" s="405"/>
    </row>
    <row r="9" spans="1:41" ht="15.75" customHeight="1" x14ac:dyDescent="0.2">
      <c r="A9" s="618">
        <v>2</v>
      </c>
      <c r="B9" s="619" t="s">
        <v>359</v>
      </c>
      <c r="C9" s="401">
        <v>0</v>
      </c>
      <c r="D9" s="401">
        <v>0</v>
      </c>
      <c r="E9" s="401">
        <v>0</v>
      </c>
      <c r="F9" s="401">
        <v>0</v>
      </c>
      <c r="G9" s="401">
        <v>0</v>
      </c>
      <c r="H9" s="401">
        <v>0</v>
      </c>
      <c r="I9" s="401">
        <v>2</v>
      </c>
      <c r="J9" s="401">
        <v>8.7601548990257747</v>
      </c>
      <c r="K9" s="401">
        <v>5419</v>
      </c>
      <c r="L9" s="401">
        <v>7</v>
      </c>
      <c r="M9" s="401">
        <v>50.663789533046199</v>
      </c>
      <c r="N9" s="401">
        <v>673300</v>
      </c>
      <c r="O9" s="401">
        <v>2</v>
      </c>
      <c r="P9" s="401">
        <v>0.86047965454359965</v>
      </c>
      <c r="Q9" s="401">
        <v>217</v>
      </c>
      <c r="R9" s="401">
        <v>0</v>
      </c>
      <c r="S9" s="401">
        <v>0</v>
      </c>
      <c r="T9" s="401">
        <v>0</v>
      </c>
      <c r="U9" s="401">
        <v>0</v>
      </c>
      <c r="V9" s="401">
        <v>0</v>
      </c>
      <c r="W9" s="401">
        <v>0</v>
      </c>
      <c r="X9" s="401">
        <v>0</v>
      </c>
      <c r="Y9" s="401">
        <v>0</v>
      </c>
      <c r="Z9" s="401">
        <v>0</v>
      </c>
      <c r="AA9" s="401">
        <v>0</v>
      </c>
      <c r="AB9" s="401">
        <v>0</v>
      </c>
      <c r="AC9" s="401">
        <v>0</v>
      </c>
      <c r="AD9" s="401">
        <v>0</v>
      </c>
      <c r="AE9" s="401">
        <v>0</v>
      </c>
      <c r="AF9" s="401">
        <v>0</v>
      </c>
      <c r="AG9" s="401">
        <v>0</v>
      </c>
      <c r="AH9" s="401">
        <v>0</v>
      </c>
      <c r="AI9" s="401">
        <v>0</v>
      </c>
      <c r="AJ9" s="401">
        <v>0</v>
      </c>
      <c r="AK9" s="401">
        <v>0</v>
      </c>
      <c r="AL9" s="401">
        <v>0</v>
      </c>
      <c r="AM9" s="401">
        <v>11</v>
      </c>
      <c r="AN9" s="401">
        <v>60.28442408661558</v>
      </c>
      <c r="AO9" s="401">
        <v>678936</v>
      </c>
    </row>
    <row r="10" spans="1:41" ht="15.75" customHeight="1" x14ac:dyDescent="0.2">
      <c r="A10" s="618"/>
      <c r="B10" s="619"/>
      <c r="C10" s="403">
        <v>0</v>
      </c>
      <c r="D10" s="403">
        <v>0</v>
      </c>
      <c r="E10" s="403">
        <v>0</v>
      </c>
      <c r="F10" s="403">
        <v>0</v>
      </c>
      <c r="G10" s="403">
        <v>0</v>
      </c>
      <c r="H10" s="403">
        <v>0</v>
      </c>
      <c r="I10" s="403">
        <v>0.18181818181818182</v>
      </c>
      <c r="J10" s="403">
        <v>0.14531373620554691</v>
      </c>
      <c r="K10" s="403">
        <v>7.9816065137214703E-3</v>
      </c>
      <c r="L10" s="403">
        <v>0.63636363636363635</v>
      </c>
      <c r="M10" s="403">
        <v>0.84041259911935751</v>
      </c>
      <c r="N10" s="403">
        <v>0.99169877573143861</v>
      </c>
      <c r="O10" s="403">
        <v>0.18181818181818182</v>
      </c>
      <c r="P10" s="403">
        <v>1.4273664675095476E-2</v>
      </c>
      <c r="Q10" s="403">
        <v>3.1961775483992598E-4</v>
      </c>
      <c r="R10" s="403">
        <v>0</v>
      </c>
      <c r="S10" s="403">
        <v>0</v>
      </c>
      <c r="T10" s="403">
        <v>0</v>
      </c>
      <c r="U10" s="403">
        <v>0</v>
      </c>
      <c r="V10" s="403">
        <v>0</v>
      </c>
      <c r="W10" s="403">
        <v>0</v>
      </c>
      <c r="X10" s="403">
        <v>0</v>
      </c>
      <c r="Y10" s="403">
        <v>0</v>
      </c>
      <c r="Z10" s="403">
        <v>0</v>
      </c>
      <c r="AA10" s="403">
        <v>0</v>
      </c>
      <c r="AB10" s="403">
        <v>0</v>
      </c>
      <c r="AC10" s="403">
        <v>0</v>
      </c>
      <c r="AD10" s="403">
        <v>0</v>
      </c>
      <c r="AE10" s="403">
        <v>0</v>
      </c>
      <c r="AF10" s="403">
        <v>0</v>
      </c>
      <c r="AG10" s="403">
        <v>0</v>
      </c>
      <c r="AH10" s="403">
        <v>0</v>
      </c>
      <c r="AI10" s="403">
        <v>0</v>
      </c>
      <c r="AJ10" s="403">
        <v>0</v>
      </c>
      <c r="AK10" s="403">
        <v>0</v>
      </c>
      <c r="AL10" s="403">
        <v>0</v>
      </c>
      <c r="AM10" s="403">
        <v>1</v>
      </c>
      <c r="AN10" s="403">
        <v>1</v>
      </c>
      <c r="AO10" s="403">
        <v>1</v>
      </c>
    </row>
    <row r="11" spans="1:41" ht="12.75" customHeight="1" x14ac:dyDescent="0.2">
      <c r="A11" s="618">
        <v>3</v>
      </c>
      <c r="B11" s="614" t="s">
        <v>6</v>
      </c>
      <c r="C11" s="401">
        <v>31</v>
      </c>
      <c r="D11" s="401">
        <v>81.166108107000085</v>
      </c>
      <c r="E11" s="401">
        <v>44905</v>
      </c>
      <c r="F11" s="401">
        <v>31</v>
      </c>
      <c r="G11" s="401">
        <v>207.16251681500037</v>
      </c>
      <c r="H11" s="401">
        <v>1315850</v>
      </c>
      <c r="I11" s="401">
        <v>21</v>
      </c>
      <c r="J11" s="401">
        <v>499.85501156400045</v>
      </c>
      <c r="K11" s="401">
        <v>888795</v>
      </c>
      <c r="L11" s="401">
        <v>289</v>
      </c>
      <c r="M11" s="401">
        <v>275.38078531100018</v>
      </c>
      <c r="N11" s="401">
        <v>922021</v>
      </c>
      <c r="O11" s="401">
        <v>137</v>
      </c>
      <c r="P11" s="401">
        <v>4522.9113782810064</v>
      </c>
      <c r="Q11" s="401">
        <v>1731942</v>
      </c>
      <c r="R11" s="401">
        <v>0</v>
      </c>
      <c r="S11" s="401">
        <v>0</v>
      </c>
      <c r="T11" s="401">
        <v>0</v>
      </c>
      <c r="U11" s="401">
        <v>0</v>
      </c>
      <c r="V11" s="401">
        <v>0</v>
      </c>
      <c r="W11" s="401">
        <v>0</v>
      </c>
      <c r="X11" s="401">
        <v>0</v>
      </c>
      <c r="Y11" s="401">
        <v>0</v>
      </c>
      <c r="Z11" s="401">
        <v>0</v>
      </c>
      <c r="AA11" s="401">
        <v>0</v>
      </c>
      <c r="AB11" s="401">
        <v>0</v>
      </c>
      <c r="AC11" s="401">
        <v>0</v>
      </c>
      <c r="AD11" s="401">
        <v>0</v>
      </c>
      <c r="AE11" s="401">
        <v>0</v>
      </c>
      <c r="AF11" s="401">
        <v>0</v>
      </c>
      <c r="AG11" s="401">
        <v>0</v>
      </c>
      <c r="AH11" s="401">
        <v>0</v>
      </c>
      <c r="AI11" s="401">
        <v>0</v>
      </c>
      <c r="AJ11" s="401">
        <v>0</v>
      </c>
      <c r="AK11" s="401">
        <v>0</v>
      </c>
      <c r="AL11" s="401">
        <v>0</v>
      </c>
      <c r="AM11" s="401">
        <v>509</v>
      </c>
      <c r="AN11" s="401">
        <v>5586.4758000780075</v>
      </c>
      <c r="AO11" s="401">
        <v>4903513</v>
      </c>
    </row>
    <row r="12" spans="1:41" ht="15.75" customHeight="1" x14ac:dyDescent="0.2">
      <c r="A12" s="618"/>
      <c r="B12" s="614"/>
      <c r="C12" s="403">
        <v>6.0903732809430254E-2</v>
      </c>
      <c r="D12" s="403">
        <v>1.4529036016922639E-2</v>
      </c>
      <c r="E12" s="403">
        <v>9.1577201895865264E-3</v>
      </c>
      <c r="F12" s="403">
        <v>6.0903732809430254E-2</v>
      </c>
      <c r="G12" s="403">
        <v>3.708286301215296E-2</v>
      </c>
      <c r="H12" s="403">
        <v>0.26834842693391453</v>
      </c>
      <c r="I12" s="403">
        <v>4.1257367387033402E-2</v>
      </c>
      <c r="J12" s="403">
        <v>8.9475911012989739E-2</v>
      </c>
      <c r="K12" s="403">
        <v>0.18125678467661857</v>
      </c>
      <c r="L12" s="403">
        <v>0.5677799607072691</v>
      </c>
      <c r="M12" s="403">
        <v>4.9294187456634983E-2</v>
      </c>
      <c r="N12" s="403">
        <v>0.18803274305584589</v>
      </c>
      <c r="O12" s="403">
        <v>0.26915520628683692</v>
      </c>
      <c r="P12" s="403">
        <v>0.80961800250129967</v>
      </c>
      <c r="Q12" s="403">
        <v>0.35320432514403449</v>
      </c>
      <c r="R12" s="403">
        <v>0</v>
      </c>
      <c r="S12" s="403">
        <v>0</v>
      </c>
      <c r="T12" s="403">
        <v>0</v>
      </c>
      <c r="U12" s="403">
        <v>0</v>
      </c>
      <c r="V12" s="403">
        <v>0</v>
      </c>
      <c r="W12" s="403">
        <v>0</v>
      </c>
      <c r="X12" s="403">
        <v>0</v>
      </c>
      <c r="Y12" s="403">
        <v>0</v>
      </c>
      <c r="Z12" s="403">
        <v>0</v>
      </c>
      <c r="AA12" s="403">
        <v>0</v>
      </c>
      <c r="AB12" s="403">
        <v>0</v>
      </c>
      <c r="AC12" s="403">
        <v>0</v>
      </c>
      <c r="AD12" s="403">
        <v>0</v>
      </c>
      <c r="AE12" s="403">
        <v>0</v>
      </c>
      <c r="AF12" s="403">
        <v>0</v>
      </c>
      <c r="AG12" s="403">
        <v>0</v>
      </c>
      <c r="AH12" s="403">
        <v>0</v>
      </c>
      <c r="AI12" s="403">
        <v>0</v>
      </c>
      <c r="AJ12" s="403">
        <v>0</v>
      </c>
      <c r="AK12" s="403">
        <v>0</v>
      </c>
      <c r="AL12" s="403">
        <v>0</v>
      </c>
      <c r="AM12" s="403">
        <v>1</v>
      </c>
      <c r="AN12" s="403">
        <v>1</v>
      </c>
      <c r="AO12" s="403">
        <v>1</v>
      </c>
    </row>
    <row r="13" spans="1:41" ht="12.75" customHeight="1" x14ac:dyDescent="0.2">
      <c r="A13" s="618">
        <v>4</v>
      </c>
      <c r="B13" s="614" t="s">
        <v>360</v>
      </c>
      <c r="C13" s="401">
        <v>0</v>
      </c>
      <c r="D13" s="401">
        <v>0</v>
      </c>
      <c r="E13" s="401">
        <v>0</v>
      </c>
      <c r="F13" s="401">
        <v>0</v>
      </c>
      <c r="G13" s="401">
        <v>0</v>
      </c>
      <c r="H13" s="401">
        <v>0</v>
      </c>
      <c r="I13" s="401">
        <v>2</v>
      </c>
      <c r="J13" s="401">
        <v>21.11</v>
      </c>
      <c r="K13" s="401">
        <v>6854</v>
      </c>
      <c r="L13" s="401">
        <v>10</v>
      </c>
      <c r="M13" s="401">
        <v>42.18</v>
      </c>
      <c r="N13" s="401">
        <v>78306</v>
      </c>
      <c r="O13" s="401">
        <v>6</v>
      </c>
      <c r="P13" s="401">
        <v>5.53</v>
      </c>
      <c r="Q13" s="401">
        <v>96309</v>
      </c>
      <c r="R13" s="401">
        <v>0</v>
      </c>
      <c r="S13" s="401">
        <v>0</v>
      </c>
      <c r="T13" s="401">
        <v>0</v>
      </c>
      <c r="U13" s="401">
        <v>0</v>
      </c>
      <c r="V13" s="401">
        <v>0</v>
      </c>
      <c r="W13" s="401">
        <v>0</v>
      </c>
      <c r="X13" s="401">
        <v>0</v>
      </c>
      <c r="Y13" s="401">
        <v>0</v>
      </c>
      <c r="Z13" s="401">
        <v>0</v>
      </c>
      <c r="AA13" s="401">
        <v>0</v>
      </c>
      <c r="AB13" s="401">
        <v>0</v>
      </c>
      <c r="AC13" s="401">
        <v>0</v>
      </c>
      <c r="AD13" s="401">
        <v>0</v>
      </c>
      <c r="AE13" s="401">
        <v>0</v>
      </c>
      <c r="AF13" s="401">
        <v>0</v>
      </c>
      <c r="AG13" s="401">
        <v>0</v>
      </c>
      <c r="AH13" s="401">
        <v>0</v>
      </c>
      <c r="AI13" s="401">
        <v>0</v>
      </c>
      <c r="AJ13" s="401">
        <v>0</v>
      </c>
      <c r="AK13" s="401">
        <v>0</v>
      </c>
      <c r="AL13" s="401">
        <v>0</v>
      </c>
      <c r="AM13" s="401">
        <v>18</v>
      </c>
      <c r="AN13" s="401">
        <v>68.819999999999993</v>
      </c>
      <c r="AO13" s="401">
        <v>181469</v>
      </c>
    </row>
    <row r="14" spans="1:41" ht="15.75" customHeight="1" x14ac:dyDescent="0.2">
      <c r="A14" s="618"/>
      <c r="B14" s="614"/>
      <c r="C14" s="403">
        <v>0</v>
      </c>
      <c r="D14" s="403">
        <v>0</v>
      </c>
      <c r="E14" s="403">
        <v>0</v>
      </c>
      <c r="F14" s="403">
        <v>0</v>
      </c>
      <c r="G14" s="403">
        <v>0</v>
      </c>
      <c r="H14" s="403">
        <v>0</v>
      </c>
      <c r="I14" s="403">
        <v>0.1111111111111111</v>
      </c>
      <c r="J14" s="403">
        <v>0.30674222609706481</v>
      </c>
      <c r="K14" s="403">
        <v>3.7769536394645919E-2</v>
      </c>
      <c r="L14" s="403">
        <v>0.55555555555555558</v>
      </c>
      <c r="M14" s="403">
        <v>0.61290322580645162</v>
      </c>
      <c r="N14" s="403">
        <v>0.43151171825490853</v>
      </c>
      <c r="O14" s="403">
        <v>0.33333333333333331</v>
      </c>
      <c r="P14" s="403">
        <v>8.0354548096483597E-2</v>
      </c>
      <c r="Q14" s="403">
        <v>0.5307187453504455</v>
      </c>
      <c r="R14" s="403">
        <v>0</v>
      </c>
      <c r="S14" s="403">
        <v>0</v>
      </c>
      <c r="T14" s="403">
        <v>0</v>
      </c>
      <c r="U14" s="403">
        <v>0</v>
      </c>
      <c r="V14" s="403">
        <v>0</v>
      </c>
      <c r="W14" s="403">
        <v>0</v>
      </c>
      <c r="X14" s="403">
        <v>0</v>
      </c>
      <c r="Y14" s="403">
        <v>0</v>
      </c>
      <c r="Z14" s="403">
        <v>0</v>
      </c>
      <c r="AA14" s="403">
        <v>0</v>
      </c>
      <c r="AB14" s="403">
        <v>0</v>
      </c>
      <c r="AC14" s="403">
        <v>0</v>
      </c>
      <c r="AD14" s="403">
        <v>0</v>
      </c>
      <c r="AE14" s="403">
        <v>0</v>
      </c>
      <c r="AF14" s="403">
        <v>0</v>
      </c>
      <c r="AG14" s="403">
        <v>0</v>
      </c>
      <c r="AH14" s="403">
        <v>0</v>
      </c>
      <c r="AI14" s="403">
        <v>0</v>
      </c>
      <c r="AJ14" s="403">
        <v>0</v>
      </c>
      <c r="AK14" s="403">
        <v>0</v>
      </c>
      <c r="AL14" s="403">
        <v>0</v>
      </c>
      <c r="AM14" s="403">
        <v>1</v>
      </c>
      <c r="AN14" s="403">
        <v>1</v>
      </c>
      <c r="AO14" s="403">
        <v>1</v>
      </c>
    </row>
    <row r="15" spans="1:41" ht="12.75" customHeight="1" x14ac:dyDescent="0.2">
      <c r="A15" s="618">
        <v>5</v>
      </c>
      <c r="B15" s="614" t="s">
        <v>7</v>
      </c>
      <c r="C15" s="401">
        <v>0</v>
      </c>
      <c r="D15" s="401">
        <v>0</v>
      </c>
      <c r="E15" s="401">
        <v>-2</v>
      </c>
      <c r="F15" s="401">
        <v>4</v>
      </c>
      <c r="G15" s="401">
        <v>299.30433965799898</v>
      </c>
      <c r="H15" s="401">
        <v>1416709</v>
      </c>
      <c r="I15" s="401">
        <v>10</v>
      </c>
      <c r="J15" s="401">
        <v>5.22187762199954</v>
      </c>
      <c r="K15" s="401">
        <v>218988</v>
      </c>
      <c r="L15" s="401">
        <v>23</v>
      </c>
      <c r="M15" s="401">
        <v>2.8078734110000116</v>
      </c>
      <c r="N15" s="401">
        <v>69023</v>
      </c>
      <c r="O15" s="401">
        <v>2</v>
      </c>
      <c r="P15" s="401">
        <v>18.592198671999967</v>
      </c>
      <c r="Q15" s="401">
        <v>201828</v>
      </c>
      <c r="R15" s="401">
        <v>0</v>
      </c>
      <c r="S15" s="401">
        <v>0</v>
      </c>
      <c r="T15" s="401">
        <v>0</v>
      </c>
      <c r="U15" s="401">
        <v>0</v>
      </c>
      <c r="V15" s="401">
        <v>0</v>
      </c>
      <c r="W15" s="401">
        <v>0</v>
      </c>
      <c r="X15" s="401">
        <v>0</v>
      </c>
      <c r="Y15" s="401">
        <v>0</v>
      </c>
      <c r="Z15" s="401">
        <v>0</v>
      </c>
      <c r="AA15" s="401">
        <v>0</v>
      </c>
      <c r="AB15" s="401">
        <v>0</v>
      </c>
      <c r="AC15" s="401">
        <v>0</v>
      </c>
      <c r="AD15" s="401">
        <v>0</v>
      </c>
      <c r="AE15" s="401">
        <v>0</v>
      </c>
      <c r="AF15" s="401">
        <v>0</v>
      </c>
      <c r="AG15" s="401">
        <v>0</v>
      </c>
      <c r="AH15" s="401">
        <v>0</v>
      </c>
      <c r="AI15" s="401">
        <v>0</v>
      </c>
      <c r="AJ15" s="401">
        <v>0</v>
      </c>
      <c r="AK15" s="401">
        <v>0</v>
      </c>
      <c r="AL15" s="401">
        <v>0</v>
      </c>
      <c r="AM15" s="401">
        <v>39</v>
      </c>
      <c r="AN15" s="401">
        <v>325.92628936299855</v>
      </c>
      <c r="AO15" s="401">
        <v>1906546</v>
      </c>
    </row>
    <row r="16" spans="1:41" ht="15.75" customHeight="1" x14ac:dyDescent="0.2">
      <c r="A16" s="618"/>
      <c r="B16" s="614"/>
      <c r="C16" s="403">
        <v>0</v>
      </c>
      <c r="D16" s="403">
        <v>0</v>
      </c>
      <c r="E16" s="403">
        <v>-1.0490174378168689E-6</v>
      </c>
      <c r="F16" s="403">
        <v>0.10256410256410256</v>
      </c>
      <c r="G16" s="403">
        <v>0.91831910903219738</v>
      </c>
      <c r="H16" s="403">
        <v>0.74307622265604922</v>
      </c>
      <c r="I16" s="403">
        <v>0.25641025641025639</v>
      </c>
      <c r="J16" s="403">
        <v>1.6021652110989132E-2</v>
      </c>
      <c r="K16" s="403">
        <v>0.11486111533632024</v>
      </c>
      <c r="L16" s="403">
        <v>0.58974358974358976</v>
      </c>
      <c r="M16" s="403">
        <v>8.6150565408142296E-3</v>
      </c>
      <c r="N16" s="403">
        <v>3.6203165305216868E-2</v>
      </c>
      <c r="O16" s="403">
        <v>5.128205128205128E-2</v>
      </c>
      <c r="P16" s="403">
        <v>5.7044182315999101E-2</v>
      </c>
      <c r="Q16" s="403">
        <v>0.1058605457198515</v>
      </c>
      <c r="R16" s="403">
        <v>0</v>
      </c>
      <c r="S16" s="403">
        <v>0</v>
      </c>
      <c r="T16" s="403">
        <v>0</v>
      </c>
      <c r="U16" s="403">
        <v>0</v>
      </c>
      <c r="V16" s="403">
        <v>0</v>
      </c>
      <c r="W16" s="403">
        <v>0</v>
      </c>
      <c r="X16" s="403">
        <v>0</v>
      </c>
      <c r="Y16" s="403">
        <v>0</v>
      </c>
      <c r="Z16" s="403">
        <v>0</v>
      </c>
      <c r="AA16" s="403">
        <v>0</v>
      </c>
      <c r="AB16" s="403">
        <v>0</v>
      </c>
      <c r="AC16" s="403">
        <v>0</v>
      </c>
      <c r="AD16" s="403">
        <v>0</v>
      </c>
      <c r="AE16" s="403">
        <v>0</v>
      </c>
      <c r="AF16" s="403">
        <v>0</v>
      </c>
      <c r="AG16" s="403">
        <v>0</v>
      </c>
      <c r="AH16" s="403">
        <v>0</v>
      </c>
      <c r="AI16" s="403">
        <v>0</v>
      </c>
      <c r="AJ16" s="403">
        <v>0</v>
      </c>
      <c r="AK16" s="403">
        <v>0</v>
      </c>
      <c r="AL16" s="403">
        <v>0</v>
      </c>
      <c r="AM16" s="403">
        <v>1</v>
      </c>
      <c r="AN16" s="403">
        <v>1</v>
      </c>
      <c r="AO16" s="403">
        <v>1</v>
      </c>
    </row>
    <row r="17" spans="1:41" ht="12.75" customHeight="1" x14ac:dyDescent="0.2">
      <c r="A17" s="618">
        <v>6</v>
      </c>
      <c r="B17" s="614" t="s">
        <v>8</v>
      </c>
      <c r="C17" s="401">
        <v>0</v>
      </c>
      <c r="D17" s="401">
        <v>0</v>
      </c>
      <c r="E17" s="401">
        <v>0</v>
      </c>
      <c r="F17" s="401">
        <v>0</v>
      </c>
      <c r="G17" s="401">
        <v>6.8359137357918991</v>
      </c>
      <c r="H17" s="401">
        <v>2711</v>
      </c>
      <c r="I17" s="401">
        <v>0</v>
      </c>
      <c r="J17" s="401">
        <v>0</v>
      </c>
      <c r="K17" s="401">
        <v>0</v>
      </c>
      <c r="L17" s="401">
        <v>273</v>
      </c>
      <c r="M17" s="401">
        <v>81.553474450130494</v>
      </c>
      <c r="N17" s="401">
        <v>678760</v>
      </c>
      <c r="O17" s="401">
        <v>21</v>
      </c>
      <c r="P17" s="401">
        <v>53.714231893825222</v>
      </c>
      <c r="Q17" s="401">
        <v>92536</v>
      </c>
      <c r="R17" s="401">
        <v>0</v>
      </c>
      <c r="S17" s="401">
        <v>0</v>
      </c>
      <c r="T17" s="401">
        <v>0</v>
      </c>
      <c r="U17" s="401">
        <v>0</v>
      </c>
      <c r="V17" s="401">
        <v>0</v>
      </c>
      <c r="W17" s="401">
        <v>0</v>
      </c>
      <c r="X17" s="401">
        <v>0</v>
      </c>
      <c r="Y17" s="401">
        <v>0</v>
      </c>
      <c r="Z17" s="401">
        <v>0</v>
      </c>
      <c r="AA17" s="401">
        <v>3</v>
      </c>
      <c r="AB17" s="401">
        <v>0.12560965899999993</v>
      </c>
      <c r="AC17" s="401">
        <v>843</v>
      </c>
      <c r="AD17" s="401">
        <v>0</v>
      </c>
      <c r="AE17" s="401">
        <v>0</v>
      </c>
      <c r="AF17" s="401">
        <v>0</v>
      </c>
      <c r="AG17" s="401">
        <v>0</v>
      </c>
      <c r="AH17" s="401">
        <v>0</v>
      </c>
      <c r="AI17" s="401">
        <v>0</v>
      </c>
      <c r="AJ17" s="401">
        <v>0</v>
      </c>
      <c r="AK17" s="401">
        <v>0</v>
      </c>
      <c r="AL17" s="401">
        <v>0</v>
      </c>
      <c r="AM17" s="401">
        <v>297</v>
      </c>
      <c r="AN17" s="401">
        <v>142.22922973874762</v>
      </c>
      <c r="AO17" s="401">
        <v>774850</v>
      </c>
    </row>
    <row r="18" spans="1:41" ht="15.75" customHeight="1" x14ac:dyDescent="0.2">
      <c r="A18" s="618"/>
      <c r="B18" s="614"/>
      <c r="C18" s="403">
        <v>0</v>
      </c>
      <c r="D18" s="403">
        <v>0</v>
      </c>
      <c r="E18" s="403">
        <v>0</v>
      </c>
      <c r="F18" s="403">
        <v>0</v>
      </c>
      <c r="G18" s="403">
        <v>4.8062650331077379E-2</v>
      </c>
      <c r="H18" s="403">
        <v>3.4987416919403757E-3</v>
      </c>
      <c r="I18" s="403">
        <v>0</v>
      </c>
      <c r="J18" s="403">
        <v>0</v>
      </c>
      <c r="K18" s="403">
        <v>0</v>
      </c>
      <c r="L18" s="403">
        <v>0.91919191919191923</v>
      </c>
      <c r="M18" s="403">
        <v>0.57339461515703349</v>
      </c>
      <c r="N18" s="403">
        <v>0.87598890107762795</v>
      </c>
      <c r="O18" s="403">
        <v>7.0707070707070704E-2</v>
      </c>
      <c r="P18" s="403">
        <v>0.37765958511122988</v>
      </c>
      <c r="Q18" s="403">
        <v>0.11942440472349487</v>
      </c>
      <c r="R18" s="403">
        <v>0</v>
      </c>
      <c r="S18" s="403">
        <v>0</v>
      </c>
      <c r="T18" s="403">
        <v>0</v>
      </c>
      <c r="U18" s="403">
        <v>0</v>
      </c>
      <c r="V18" s="403">
        <v>0</v>
      </c>
      <c r="W18" s="403">
        <v>0</v>
      </c>
      <c r="X18" s="403">
        <v>0</v>
      </c>
      <c r="Y18" s="403">
        <v>0</v>
      </c>
      <c r="Z18" s="403">
        <v>0</v>
      </c>
      <c r="AA18" s="403">
        <v>1.0101010101010102E-2</v>
      </c>
      <c r="AB18" s="403">
        <v>8.831494006592373E-4</v>
      </c>
      <c r="AC18" s="403">
        <v>1.0879525069368264E-3</v>
      </c>
      <c r="AD18" s="403">
        <v>0</v>
      </c>
      <c r="AE18" s="403">
        <v>0</v>
      </c>
      <c r="AF18" s="403">
        <v>0</v>
      </c>
      <c r="AG18" s="403">
        <v>0</v>
      </c>
      <c r="AH18" s="403">
        <v>0</v>
      </c>
      <c r="AI18" s="403">
        <v>0</v>
      </c>
      <c r="AJ18" s="403">
        <v>0</v>
      </c>
      <c r="AK18" s="403">
        <v>0</v>
      </c>
      <c r="AL18" s="403">
        <v>0</v>
      </c>
      <c r="AM18" s="403">
        <v>1</v>
      </c>
      <c r="AN18" s="403">
        <v>1</v>
      </c>
      <c r="AO18" s="403">
        <v>1</v>
      </c>
    </row>
    <row r="19" spans="1:41" ht="12.75" customHeight="1" x14ac:dyDescent="0.2">
      <c r="A19" s="618">
        <v>7</v>
      </c>
      <c r="B19" s="614" t="s">
        <v>9</v>
      </c>
      <c r="C19" s="401">
        <v>11</v>
      </c>
      <c r="D19" s="401">
        <v>2.3026245940000005</v>
      </c>
      <c r="E19" s="401">
        <v>1517</v>
      </c>
      <c r="F19" s="401">
        <v>27</v>
      </c>
      <c r="G19" s="401">
        <v>919.27177093899934</v>
      </c>
      <c r="H19" s="401">
        <v>7271178</v>
      </c>
      <c r="I19" s="401">
        <v>27</v>
      </c>
      <c r="J19" s="401">
        <v>934.77934044700032</v>
      </c>
      <c r="K19" s="401">
        <v>4194070</v>
      </c>
      <c r="L19" s="401">
        <v>290</v>
      </c>
      <c r="M19" s="401">
        <v>435.21361851300037</v>
      </c>
      <c r="N19" s="401">
        <v>2245429</v>
      </c>
      <c r="O19" s="401">
        <v>148</v>
      </c>
      <c r="P19" s="401">
        <v>2334.1998402110016</v>
      </c>
      <c r="Q19" s="401">
        <v>2452735</v>
      </c>
      <c r="R19" s="401">
        <v>0</v>
      </c>
      <c r="S19" s="401">
        <v>20.386692233000002</v>
      </c>
      <c r="T19" s="401">
        <v>304326</v>
      </c>
      <c r="U19" s="401">
        <v>0</v>
      </c>
      <c r="V19" s="401">
        <v>0</v>
      </c>
      <c r="W19" s="401">
        <v>0</v>
      </c>
      <c r="X19" s="401">
        <v>0</v>
      </c>
      <c r="Y19" s="401">
        <v>0</v>
      </c>
      <c r="Z19" s="401">
        <v>0</v>
      </c>
      <c r="AA19" s="401">
        <v>1</v>
      </c>
      <c r="AB19" s="401">
        <v>8.5772525999999988E-2</v>
      </c>
      <c r="AC19" s="401">
        <v>144</v>
      </c>
      <c r="AD19" s="401">
        <v>0</v>
      </c>
      <c r="AE19" s="401">
        <v>0</v>
      </c>
      <c r="AF19" s="401">
        <v>0</v>
      </c>
      <c r="AG19" s="401">
        <v>0</v>
      </c>
      <c r="AH19" s="401">
        <v>0</v>
      </c>
      <c r="AI19" s="401">
        <v>0</v>
      </c>
      <c r="AJ19" s="401">
        <v>0</v>
      </c>
      <c r="AK19" s="401">
        <v>0</v>
      </c>
      <c r="AL19" s="401">
        <v>0</v>
      </c>
      <c r="AM19" s="401">
        <v>504</v>
      </c>
      <c r="AN19" s="401">
        <v>4646.2396594630018</v>
      </c>
      <c r="AO19" s="401">
        <v>16469399</v>
      </c>
    </row>
    <row r="20" spans="1:41" ht="15.75" customHeight="1" x14ac:dyDescent="0.2">
      <c r="A20" s="618"/>
      <c r="B20" s="614"/>
      <c r="C20" s="403">
        <v>2.1825396825396824E-2</v>
      </c>
      <c r="D20" s="403">
        <v>4.9558885523914853E-4</v>
      </c>
      <c r="E20" s="403">
        <v>9.2110222115573246E-5</v>
      </c>
      <c r="F20" s="403">
        <v>5.3571428571428568E-2</v>
      </c>
      <c r="G20" s="403">
        <v>0.19785285269706598</v>
      </c>
      <c r="H20" s="403">
        <v>0.44149625617789695</v>
      </c>
      <c r="I20" s="403">
        <v>5.3571428571428568E-2</v>
      </c>
      <c r="J20" s="403">
        <v>0.2011905129652824</v>
      </c>
      <c r="K20" s="403">
        <v>0.25465835152818872</v>
      </c>
      <c r="L20" s="403">
        <v>0.57539682539682535</v>
      </c>
      <c r="M20" s="403">
        <v>9.367007524603263E-2</v>
      </c>
      <c r="N20" s="403">
        <v>0.13633946205322975</v>
      </c>
      <c r="O20" s="403">
        <v>0.29365079365079366</v>
      </c>
      <c r="P20" s="403">
        <v>0.50238472642213672</v>
      </c>
      <c r="Q20" s="403">
        <v>0.14892680661874791</v>
      </c>
      <c r="R20" s="403">
        <v>0</v>
      </c>
      <c r="S20" s="403">
        <v>4.3877831810673826E-3</v>
      </c>
      <c r="T20" s="403">
        <v>1.8478269911367137E-2</v>
      </c>
      <c r="U20" s="403">
        <v>0</v>
      </c>
      <c r="V20" s="403">
        <v>0</v>
      </c>
      <c r="W20" s="403">
        <v>0</v>
      </c>
      <c r="X20" s="403">
        <v>0</v>
      </c>
      <c r="Y20" s="403">
        <v>0</v>
      </c>
      <c r="Z20" s="403">
        <v>0</v>
      </c>
      <c r="AA20" s="403">
        <v>1.984126984126984E-3</v>
      </c>
      <c r="AB20" s="403">
        <v>1.8460633175756868E-5</v>
      </c>
      <c r="AC20" s="403">
        <v>8.7434884539502631E-6</v>
      </c>
      <c r="AD20" s="403">
        <v>0</v>
      </c>
      <c r="AE20" s="403">
        <v>0</v>
      </c>
      <c r="AF20" s="403">
        <v>0</v>
      </c>
      <c r="AG20" s="403">
        <v>0</v>
      </c>
      <c r="AH20" s="403">
        <v>0</v>
      </c>
      <c r="AI20" s="403">
        <v>0</v>
      </c>
      <c r="AJ20" s="403">
        <v>0</v>
      </c>
      <c r="AK20" s="403">
        <v>0</v>
      </c>
      <c r="AL20" s="403">
        <v>0</v>
      </c>
      <c r="AM20" s="403">
        <v>1</v>
      </c>
      <c r="AN20" s="403">
        <v>1</v>
      </c>
      <c r="AO20" s="403">
        <v>1</v>
      </c>
    </row>
    <row r="21" spans="1:41" ht="12.75" customHeight="1" x14ac:dyDescent="0.2">
      <c r="A21" s="618">
        <v>8</v>
      </c>
      <c r="B21" s="614" t="s">
        <v>10</v>
      </c>
      <c r="C21" s="401">
        <v>0</v>
      </c>
      <c r="D21" s="401">
        <v>0</v>
      </c>
      <c r="E21" s="401">
        <v>0</v>
      </c>
      <c r="F21" s="401">
        <v>5</v>
      </c>
      <c r="G21" s="401">
        <v>31.265590694978876</v>
      </c>
      <c r="H21" s="401">
        <v>301030</v>
      </c>
      <c r="I21" s="401">
        <v>0</v>
      </c>
      <c r="J21" s="401">
        <v>0</v>
      </c>
      <c r="K21" s="401">
        <v>0</v>
      </c>
      <c r="L21" s="401">
        <v>0</v>
      </c>
      <c r="M21" s="401">
        <v>0</v>
      </c>
      <c r="N21" s="401">
        <v>0</v>
      </c>
      <c r="O21" s="401">
        <v>1</v>
      </c>
      <c r="P21" s="401">
        <v>58.347050304095696</v>
      </c>
      <c r="Q21" s="401">
        <v>52372</v>
      </c>
      <c r="R21" s="401">
        <v>0</v>
      </c>
      <c r="S21" s="401">
        <v>0</v>
      </c>
      <c r="T21" s="401">
        <v>0</v>
      </c>
      <c r="U21" s="401">
        <v>0</v>
      </c>
      <c r="V21" s="401">
        <v>0</v>
      </c>
      <c r="W21" s="401">
        <v>0</v>
      </c>
      <c r="X21" s="401">
        <v>0</v>
      </c>
      <c r="Y21" s="401">
        <v>0</v>
      </c>
      <c r="Z21" s="401">
        <v>0</v>
      </c>
      <c r="AA21" s="401">
        <v>0</v>
      </c>
      <c r="AB21" s="401">
        <v>0</v>
      </c>
      <c r="AC21" s="401">
        <v>0</v>
      </c>
      <c r="AD21" s="401">
        <v>0</v>
      </c>
      <c r="AE21" s="401">
        <v>0</v>
      </c>
      <c r="AF21" s="401">
        <v>0</v>
      </c>
      <c r="AG21" s="401">
        <v>0</v>
      </c>
      <c r="AH21" s="401">
        <v>0</v>
      </c>
      <c r="AI21" s="401">
        <v>0</v>
      </c>
      <c r="AJ21" s="401">
        <v>0</v>
      </c>
      <c r="AK21" s="401">
        <v>0</v>
      </c>
      <c r="AL21" s="401">
        <v>0</v>
      </c>
      <c r="AM21" s="401">
        <v>6</v>
      </c>
      <c r="AN21" s="401">
        <v>89.612640999074571</v>
      </c>
      <c r="AO21" s="401">
        <v>353402</v>
      </c>
    </row>
    <row r="22" spans="1:41" ht="15.75" customHeight="1" x14ac:dyDescent="0.2">
      <c r="A22" s="618"/>
      <c r="B22" s="614"/>
      <c r="C22" s="403">
        <v>0</v>
      </c>
      <c r="D22" s="403">
        <v>0</v>
      </c>
      <c r="E22" s="403">
        <v>0</v>
      </c>
      <c r="F22" s="403">
        <v>0.83333333333333337</v>
      </c>
      <c r="G22" s="403">
        <v>0.34889710141788766</v>
      </c>
      <c r="H22" s="403">
        <v>0.85180615842581531</v>
      </c>
      <c r="I22" s="403">
        <v>0</v>
      </c>
      <c r="J22" s="403">
        <v>0</v>
      </c>
      <c r="K22" s="403">
        <v>0</v>
      </c>
      <c r="L22" s="403">
        <v>0</v>
      </c>
      <c r="M22" s="403">
        <v>0</v>
      </c>
      <c r="N22" s="403">
        <v>0</v>
      </c>
      <c r="O22" s="403">
        <v>0.16666666666666666</v>
      </c>
      <c r="P22" s="403">
        <v>0.65110289858211234</v>
      </c>
      <c r="Q22" s="403">
        <v>0.14819384157418464</v>
      </c>
      <c r="R22" s="403">
        <v>0</v>
      </c>
      <c r="S22" s="403">
        <v>0</v>
      </c>
      <c r="T22" s="403">
        <v>0</v>
      </c>
      <c r="U22" s="403">
        <v>0</v>
      </c>
      <c r="V22" s="403">
        <v>0</v>
      </c>
      <c r="W22" s="403">
        <v>0</v>
      </c>
      <c r="X22" s="403">
        <v>0</v>
      </c>
      <c r="Y22" s="403">
        <v>0</v>
      </c>
      <c r="Z22" s="403">
        <v>0</v>
      </c>
      <c r="AA22" s="403">
        <v>0</v>
      </c>
      <c r="AB22" s="403">
        <v>0</v>
      </c>
      <c r="AC22" s="403">
        <v>0</v>
      </c>
      <c r="AD22" s="403">
        <v>0</v>
      </c>
      <c r="AE22" s="403">
        <v>0</v>
      </c>
      <c r="AF22" s="403">
        <v>0</v>
      </c>
      <c r="AG22" s="403">
        <v>0</v>
      </c>
      <c r="AH22" s="403">
        <v>0</v>
      </c>
      <c r="AI22" s="403">
        <v>0</v>
      </c>
      <c r="AJ22" s="403">
        <v>0</v>
      </c>
      <c r="AK22" s="403">
        <v>0</v>
      </c>
      <c r="AL22" s="403">
        <v>0</v>
      </c>
      <c r="AM22" s="403">
        <v>1</v>
      </c>
      <c r="AN22" s="403">
        <v>1</v>
      </c>
      <c r="AO22" s="403">
        <v>1</v>
      </c>
    </row>
    <row r="23" spans="1:41" ht="16.5" customHeight="1" x14ac:dyDescent="0.2">
      <c r="A23" s="618">
        <v>9</v>
      </c>
      <c r="B23" s="614" t="s">
        <v>30</v>
      </c>
      <c r="C23" s="401">
        <v>0</v>
      </c>
      <c r="D23" s="401">
        <v>0</v>
      </c>
      <c r="E23" s="401">
        <v>0</v>
      </c>
      <c r="F23" s="401">
        <v>20</v>
      </c>
      <c r="G23" s="401">
        <v>664.1747727601055</v>
      </c>
      <c r="H23" s="401">
        <v>8550724</v>
      </c>
      <c r="I23" s="401">
        <v>0</v>
      </c>
      <c r="J23" s="401">
        <v>59.776022448000113</v>
      </c>
      <c r="K23" s="401">
        <v>12800</v>
      </c>
      <c r="L23" s="401">
        <v>1</v>
      </c>
      <c r="M23" s="401">
        <v>16.553331643852189</v>
      </c>
      <c r="N23" s="401">
        <v>-549862</v>
      </c>
      <c r="O23" s="401">
        <v>1</v>
      </c>
      <c r="P23" s="401">
        <v>153.08310073400003</v>
      </c>
      <c r="Q23" s="401">
        <v>12499</v>
      </c>
      <c r="R23" s="401">
        <v>0</v>
      </c>
      <c r="S23" s="401">
        <v>0</v>
      </c>
      <c r="T23" s="401">
        <v>0</v>
      </c>
      <c r="U23" s="401">
        <v>0</v>
      </c>
      <c r="V23" s="401">
        <v>0</v>
      </c>
      <c r="W23" s="401">
        <v>0</v>
      </c>
      <c r="X23" s="401">
        <v>0</v>
      </c>
      <c r="Y23" s="401">
        <v>0</v>
      </c>
      <c r="Z23" s="401">
        <v>0</v>
      </c>
      <c r="AA23" s="401">
        <v>0</v>
      </c>
      <c r="AB23" s="401">
        <v>0</v>
      </c>
      <c r="AC23" s="401">
        <v>0</v>
      </c>
      <c r="AD23" s="401">
        <v>0</v>
      </c>
      <c r="AE23" s="401">
        <v>0</v>
      </c>
      <c r="AF23" s="401">
        <v>0</v>
      </c>
      <c r="AG23" s="401">
        <v>0</v>
      </c>
      <c r="AH23" s="401">
        <v>0</v>
      </c>
      <c r="AI23" s="401">
        <v>0</v>
      </c>
      <c r="AJ23" s="401">
        <v>0</v>
      </c>
      <c r="AK23" s="401">
        <v>0</v>
      </c>
      <c r="AL23" s="401">
        <v>0</v>
      </c>
      <c r="AM23" s="401">
        <v>22</v>
      </c>
      <c r="AN23" s="401">
        <v>893.58722758595786</v>
      </c>
      <c r="AO23" s="401">
        <v>8026161</v>
      </c>
    </row>
    <row r="24" spans="1:41" ht="15.75" customHeight="1" x14ac:dyDescent="0.2">
      <c r="A24" s="618"/>
      <c r="B24" s="614"/>
      <c r="C24" s="403">
        <v>0</v>
      </c>
      <c r="D24" s="403">
        <v>0</v>
      </c>
      <c r="E24" s="403">
        <v>0</v>
      </c>
      <c r="F24" s="403">
        <v>0.90909090909090906</v>
      </c>
      <c r="G24" s="403">
        <v>0.74326797905827924</v>
      </c>
      <c r="H24" s="403">
        <v>1.0653566505830123</v>
      </c>
      <c r="I24" s="403">
        <v>0</v>
      </c>
      <c r="J24" s="403">
        <v>6.6894445894762983E-2</v>
      </c>
      <c r="K24" s="403">
        <v>1.5947848541787287E-3</v>
      </c>
      <c r="L24" s="403">
        <v>4.5454545454545456E-2</v>
      </c>
      <c r="M24" s="403">
        <v>1.8524583983335702E-2</v>
      </c>
      <c r="N24" s="403">
        <v>-6.8508717928783144E-2</v>
      </c>
      <c r="O24" s="403">
        <v>4.5454545454545456E-2</v>
      </c>
      <c r="P24" s="403">
        <v>0.17131299106362208</v>
      </c>
      <c r="Q24" s="403">
        <v>1.5572824915921822E-3</v>
      </c>
      <c r="R24" s="403">
        <v>0</v>
      </c>
      <c r="S24" s="403">
        <v>0</v>
      </c>
      <c r="T24" s="403">
        <v>0</v>
      </c>
      <c r="U24" s="403">
        <v>0</v>
      </c>
      <c r="V24" s="403">
        <v>0</v>
      </c>
      <c r="W24" s="403">
        <v>0</v>
      </c>
      <c r="X24" s="403">
        <v>0</v>
      </c>
      <c r="Y24" s="403">
        <v>0</v>
      </c>
      <c r="Z24" s="403">
        <v>0</v>
      </c>
      <c r="AA24" s="403">
        <v>0</v>
      </c>
      <c r="AB24" s="403">
        <v>0</v>
      </c>
      <c r="AC24" s="403">
        <v>0</v>
      </c>
      <c r="AD24" s="403">
        <v>0</v>
      </c>
      <c r="AE24" s="403">
        <v>0</v>
      </c>
      <c r="AF24" s="403">
        <v>0</v>
      </c>
      <c r="AG24" s="403">
        <v>0</v>
      </c>
      <c r="AH24" s="403">
        <v>0</v>
      </c>
      <c r="AI24" s="403">
        <v>0</v>
      </c>
      <c r="AJ24" s="403">
        <v>0</v>
      </c>
      <c r="AK24" s="403">
        <v>0</v>
      </c>
      <c r="AL24" s="403">
        <v>0</v>
      </c>
      <c r="AM24" s="403">
        <v>1</v>
      </c>
      <c r="AN24" s="403">
        <v>1</v>
      </c>
      <c r="AO24" s="403">
        <v>1</v>
      </c>
    </row>
    <row r="25" spans="1:41" ht="15.75" customHeight="1" x14ac:dyDescent="0.2">
      <c r="A25" s="618">
        <v>10</v>
      </c>
      <c r="B25" s="614" t="s">
        <v>358</v>
      </c>
      <c r="C25" s="401">
        <v>0</v>
      </c>
      <c r="D25" s="401">
        <v>0</v>
      </c>
      <c r="E25" s="401">
        <v>0</v>
      </c>
      <c r="F25" s="401">
        <v>0</v>
      </c>
      <c r="G25" s="401">
        <v>0</v>
      </c>
      <c r="H25" s="401">
        <v>0</v>
      </c>
      <c r="I25" s="401">
        <v>10</v>
      </c>
      <c r="J25" s="401">
        <v>169.660298454545</v>
      </c>
      <c r="K25" s="401">
        <v>1267308</v>
      </c>
      <c r="L25" s="401">
        <v>373</v>
      </c>
      <c r="M25" s="401">
        <v>11.983116056998799</v>
      </c>
      <c r="N25" s="401">
        <v>392804</v>
      </c>
      <c r="O25" s="401">
        <v>42</v>
      </c>
      <c r="P25" s="401">
        <v>11.329457806989799</v>
      </c>
      <c r="Q25" s="401">
        <v>108942</v>
      </c>
      <c r="R25" s="401">
        <v>0</v>
      </c>
      <c r="S25" s="401">
        <v>0</v>
      </c>
      <c r="T25" s="401">
        <v>0</v>
      </c>
      <c r="U25" s="401">
        <v>0</v>
      </c>
      <c r="V25" s="401">
        <v>0</v>
      </c>
      <c r="W25" s="401">
        <v>0</v>
      </c>
      <c r="X25" s="401">
        <v>0</v>
      </c>
      <c r="Y25" s="401">
        <v>0</v>
      </c>
      <c r="Z25" s="401">
        <v>0</v>
      </c>
      <c r="AA25" s="401">
        <v>2</v>
      </c>
      <c r="AB25" s="401">
        <v>1.2488499999999999E-3</v>
      </c>
      <c r="AC25" s="401">
        <v>6</v>
      </c>
      <c r="AD25" s="401">
        <v>0</v>
      </c>
      <c r="AE25" s="401">
        <v>0</v>
      </c>
      <c r="AF25" s="401">
        <v>0</v>
      </c>
      <c r="AG25" s="401">
        <v>0</v>
      </c>
      <c r="AH25" s="401">
        <v>0</v>
      </c>
      <c r="AI25" s="401">
        <v>0</v>
      </c>
      <c r="AJ25" s="401">
        <v>0</v>
      </c>
      <c r="AK25" s="401">
        <v>0</v>
      </c>
      <c r="AL25" s="401">
        <v>0</v>
      </c>
      <c r="AM25" s="401">
        <v>427</v>
      </c>
      <c r="AN25" s="401">
        <v>192.9741211685336</v>
      </c>
      <c r="AO25" s="401">
        <v>1769060</v>
      </c>
    </row>
    <row r="26" spans="1:41" ht="15.75" customHeight="1" x14ac:dyDescent="0.2">
      <c r="A26" s="618"/>
      <c r="B26" s="614"/>
      <c r="C26" s="403">
        <v>0</v>
      </c>
      <c r="D26" s="403">
        <v>0</v>
      </c>
      <c r="E26" s="403">
        <v>0</v>
      </c>
      <c r="F26" s="403">
        <v>0</v>
      </c>
      <c r="G26" s="403">
        <v>0</v>
      </c>
      <c r="H26" s="403">
        <v>0</v>
      </c>
      <c r="I26" s="403">
        <v>2.3419203747072601E-2</v>
      </c>
      <c r="J26" s="403">
        <v>0.8791867916132261</v>
      </c>
      <c r="K26" s="403">
        <v>0.71637366737137231</v>
      </c>
      <c r="L26" s="403">
        <v>0.87353629976580793</v>
      </c>
      <c r="M26" s="403">
        <v>6.2097010648041073E-2</v>
      </c>
      <c r="N26" s="403">
        <v>0.22204108396549579</v>
      </c>
      <c r="O26" s="403">
        <v>9.8360655737704916E-2</v>
      </c>
      <c r="P26" s="403">
        <v>5.8709726145586318E-2</v>
      </c>
      <c r="Q26" s="403">
        <v>6.1581857031417817E-2</v>
      </c>
      <c r="R26" s="403">
        <v>0</v>
      </c>
      <c r="S26" s="403">
        <v>0</v>
      </c>
      <c r="T26" s="403">
        <v>0</v>
      </c>
      <c r="U26" s="403">
        <v>0</v>
      </c>
      <c r="V26" s="403">
        <v>0</v>
      </c>
      <c r="W26" s="403">
        <v>0</v>
      </c>
      <c r="X26" s="403">
        <v>0</v>
      </c>
      <c r="Y26" s="403">
        <v>0</v>
      </c>
      <c r="Z26" s="403">
        <v>0</v>
      </c>
      <c r="AA26" s="403">
        <v>4.6838407494145199E-3</v>
      </c>
      <c r="AB26" s="403">
        <v>6.4715931464681682E-6</v>
      </c>
      <c r="AC26" s="403">
        <v>3.391631714017614E-6</v>
      </c>
      <c r="AD26" s="403">
        <v>0</v>
      </c>
      <c r="AE26" s="403">
        <v>0</v>
      </c>
      <c r="AF26" s="403">
        <v>0</v>
      </c>
      <c r="AG26" s="403">
        <v>0</v>
      </c>
      <c r="AH26" s="403">
        <v>0</v>
      </c>
      <c r="AI26" s="403">
        <v>0</v>
      </c>
      <c r="AJ26" s="403">
        <v>0</v>
      </c>
      <c r="AK26" s="403">
        <v>0</v>
      </c>
      <c r="AL26" s="403">
        <v>0</v>
      </c>
      <c r="AM26" s="403">
        <v>1</v>
      </c>
      <c r="AN26" s="403">
        <v>1</v>
      </c>
      <c r="AO26" s="403">
        <v>1</v>
      </c>
    </row>
    <row r="27" spans="1:41" ht="12.75" customHeight="1" x14ac:dyDescent="0.2">
      <c r="A27" s="618">
        <v>11</v>
      </c>
      <c r="B27" s="614" t="s">
        <v>11</v>
      </c>
      <c r="C27" s="401">
        <v>0</v>
      </c>
      <c r="D27" s="401">
        <v>0</v>
      </c>
      <c r="E27" s="401">
        <v>0</v>
      </c>
      <c r="F27" s="401">
        <v>1</v>
      </c>
      <c r="G27" s="401">
        <v>1.5100632139999968</v>
      </c>
      <c r="H27" s="401">
        <v>36414</v>
      </c>
      <c r="I27" s="401">
        <v>0</v>
      </c>
      <c r="J27" s="401">
        <v>4.9440455999999994E-2</v>
      </c>
      <c r="K27" s="401">
        <v>94</v>
      </c>
      <c r="L27" s="401">
        <v>0</v>
      </c>
      <c r="M27" s="401">
        <v>6.4084150000000006E-3</v>
      </c>
      <c r="N27" s="401">
        <v>128</v>
      </c>
      <c r="O27" s="401">
        <v>4</v>
      </c>
      <c r="P27" s="401">
        <v>12.490144482998632</v>
      </c>
      <c r="Q27" s="401">
        <v>23794</v>
      </c>
      <c r="R27" s="401">
        <v>0</v>
      </c>
      <c r="S27" s="401">
        <v>0</v>
      </c>
      <c r="T27" s="401">
        <v>0</v>
      </c>
      <c r="U27" s="401">
        <v>0</v>
      </c>
      <c r="V27" s="401">
        <v>0</v>
      </c>
      <c r="W27" s="401">
        <v>0</v>
      </c>
      <c r="X27" s="401">
        <v>0</v>
      </c>
      <c r="Y27" s="401">
        <v>0</v>
      </c>
      <c r="Z27" s="401">
        <v>0</v>
      </c>
      <c r="AA27" s="401">
        <v>0</v>
      </c>
      <c r="AB27" s="401">
        <v>0</v>
      </c>
      <c r="AC27" s="401">
        <v>0</v>
      </c>
      <c r="AD27" s="401">
        <v>0</v>
      </c>
      <c r="AE27" s="401">
        <v>0</v>
      </c>
      <c r="AF27" s="401">
        <v>0</v>
      </c>
      <c r="AG27" s="401">
        <v>0</v>
      </c>
      <c r="AH27" s="401">
        <v>0</v>
      </c>
      <c r="AI27" s="401">
        <v>0</v>
      </c>
      <c r="AJ27" s="401">
        <v>0</v>
      </c>
      <c r="AK27" s="401">
        <v>0</v>
      </c>
      <c r="AL27" s="401">
        <v>0</v>
      </c>
      <c r="AM27" s="401">
        <v>5</v>
      </c>
      <c r="AN27" s="401">
        <v>14.056056567998629</v>
      </c>
      <c r="AO27" s="401">
        <v>60430</v>
      </c>
    </row>
    <row r="28" spans="1:41" ht="15.75" customHeight="1" x14ac:dyDescent="0.2">
      <c r="A28" s="618"/>
      <c r="B28" s="614"/>
      <c r="C28" s="403">
        <v>0</v>
      </c>
      <c r="D28" s="403">
        <v>0</v>
      </c>
      <c r="E28" s="403">
        <v>0</v>
      </c>
      <c r="F28" s="403">
        <v>0.2</v>
      </c>
      <c r="G28" s="403">
        <v>0.10743149806596197</v>
      </c>
      <c r="H28" s="403">
        <v>0.60258149925533677</v>
      </c>
      <c r="I28" s="403">
        <v>0</v>
      </c>
      <c r="J28" s="403">
        <v>3.5173774209589404E-3</v>
      </c>
      <c r="K28" s="403">
        <v>1.5555187820618897E-3</v>
      </c>
      <c r="L28" s="403">
        <v>0</v>
      </c>
      <c r="M28" s="403">
        <v>4.559184127495627E-4</v>
      </c>
      <c r="N28" s="403">
        <v>2.1181532351481052E-3</v>
      </c>
      <c r="O28" s="403">
        <v>0.8</v>
      </c>
      <c r="P28" s="403">
        <v>0.88859520610032949</v>
      </c>
      <c r="Q28" s="403">
        <v>0.39374482872745326</v>
      </c>
      <c r="R28" s="403">
        <v>0</v>
      </c>
      <c r="S28" s="403">
        <v>0</v>
      </c>
      <c r="T28" s="403">
        <v>0</v>
      </c>
      <c r="U28" s="403">
        <v>0</v>
      </c>
      <c r="V28" s="403">
        <v>0</v>
      </c>
      <c r="W28" s="403">
        <v>0</v>
      </c>
      <c r="X28" s="403">
        <v>0</v>
      </c>
      <c r="Y28" s="403">
        <v>0</v>
      </c>
      <c r="Z28" s="403">
        <v>0</v>
      </c>
      <c r="AA28" s="403">
        <v>0</v>
      </c>
      <c r="AB28" s="403">
        <v>0</v>
      </c>
      <c r="AC28" s="403">
        <v>0</v>
      </c>
      <c r="AD28" s="403">
        <v>0</v>
      </c>
      <c r="AE28" s="403">
        <v>0</v>
      </c>
      <c r="AF28" s="403">
        <v>0</v>
      </c>
      <c r="AG28" s="403">
        <v>0</v>
      </c>
      <c r="AH28" s="403">
        <v>0</v>
      </c>
      <c r="AI28" s="403">
        <v>0</v>
      </c>
      <c r="AJ28" s="403">
        <v>0</v>
      </c>
      <c r="AK28" s="403">
        <v>0</v>
      </c>
      <c r="AL28" s="403">
        <v>0</v>
      </c>
      <c r="AM28" s="403">
        <v>1</v>
      </c>
      <c r="AN28" s="403">
        <v>1</v>
      </c>
      <c r="AO28" s="403">
        <v>1</v>
      </c>
    </row>
    <row r="29" spans="1:41" ht="12.75" customHeight="1" x14ac:dyDescent="0.2">
      <c r="A29" s="618">
        <v>12</v>
      </c>
      <c r="B29" s="614" t="s">
        <v>12</v>
      </c>
      <c r="C29" s="401"/>
      <c r="D29" s="401"/>
      <c r="E29" s="402"/>
      <c r="F29" s="401"/>
      <c r="G29" s="401"/>
      <c r="H29" s="402"/>
      <c r="I29" s="401"/>
      <c r="J29" s="401"/>
      <c r="K29" s="402"/>
      <c r="L29" s="401"/>
      <c r="M29" s="401"/>
      <c r="N29" s="402"/>
      <c r="O29" s="401"/>
      <c r="P29" s="401"/>
      <c r="Q29" s="402"/>
      <c r="R29" s="401"/>
      <c r="S29" s="401"/>
      <c r="T29" s="402"/>
      <c r="U29" s="401"/>
      <c r="V29" s="401"/>
      <c r="W29" s="402"/>
      <c r="X29" s="401"/>
      <c r="Y29" s="401"/>
      <c r="Z29" s="402"/>
      <c r="AA29" s="401"/>
      <c r="AB29" s="401"/>
      <c r="AC29" s="402"/>
      <c r="AD29" s="401"/>
      <c r="AE29" s="401"/>
      <c r="AF29" s="402"/>
      <c r="AG29" s="401"/>
      <c r="AH29" s="401"/>
      <c r="AI29" s="402"/>
      <c r="AJ29" s="401"/>
      <c r="AK29" s="401"/>
      <c r="AL29" s="402"/>
      <c r="AM29" s="401"/>
      <c r="AN29" s="401"/>
      <c r="AO29" s="402"/>
    </row>
    <row r="30" spans="1:41" ht="15.75" customHeight="1" x14ac:dyDescent="0.2">
      <c r="A30" s="618"/>
      <c r="B30" s="614"/>
      <c r="C30" s="403"/>
      <c r="D30" s="403"/>
      <c r="E30" s="403"/>
      <c r="F30" s="403"/>
      <c r="G30" s="403"/>
      <c r="H30" s="403"/>
      <c r="I30" s="403"/>
      <c r="J30" s="403"/>
      <c r="K30" s="403"/>
      <c r="L30" s="403"/>
      <c r="M30" s="403"/>
      <c r="N30" s="403"/>
      <c r="O30" s="403"/>
      <c r="P30" s="403"/>
      <c r="Q30" s="403"/>
      <c r="R30" s="403"/>
      <c r="S30" s="403"/>
      <c r="T30" s="403"/>
      <c r="U30" s="403"/>
      <c r="V30" s="403"/>
      <c r="W30" s="403"/>
      <c r="X30" s="403"/>
      <c r="Y30" s="403"/>
      <c r="Z30" s="403"/>
      <c r="AA30" s="403"/>
      <c r="AB30" s="403"/>
      <c r="AC30" s="403"/>
      <c r="AD30" s="403"/>
      <c r="AE30" s="403"/>
      <c r="AF30" s="403"/>
      <c r="AG30" s="403"/>
      <c r="AH30" s="403"/>
      <c r="AI30" s="403"/>
      <c r="AJ30" s="403"/>
      <c r="AK30" s="403"/>
      <c r="AL30" s="403"/>
      <c r="AM30" s="403"/>
      <c r="AN30" s="403"/>
      <c r="AO30" s="403"/>
    </row>
    <row r="31" spans="1:41" ht="12.75" customHeight="1" x14ac:dyDescent="0.2">
      <c r="A31" s="618">
        <v>13</v>
      </c>
      <c r="B31" s="614" t="s">
        <v>13</v>
      </c>
      <c r="C31" s="401">
        <v>0</v>
      </c>
      <c r="D31" s="401">
        <v>0.5</v>
      </c>
      <c r="E31" s="401">
        <v>16</v>
      </c>
      <c r="F31" s="401">
        <v>0</v>
      </c>
      <c r="G31" s="401">
        <v>0</v>
      </c>
      <c r="H31" s="401">
        <v>0</v>
      </c>
      <c r="I31" s="401">
        <v>12</v>
      </c>
      <c r="J31" s="401">
        <v>9.6336181900000035</v>
      </c>
      <c r="K31" s="401">
        <v>3212</v>
      </c>
      <c r="L31" s="401">
        <v>18</v>
      </c>
      <c r="M31" s="401">
        <v>13.141815197000003</v>
      </c>
      <c r="N31" s="401">
        <v>36732</v>
      </c>
      <c r="O31" s="401">
        <v>29</v>
      </c>
      <c r="P31" s="401">
        <v>692.880118573</v>
      </c>
      <c r="Q31" s="401">
        <v>88005</v>
      </c>
      <c r="R31" s="401">
        <v>0</v>
      </c>
      <c r="S31" s="401">
        <v>0</v>
      </c>
      <c r="T31" s="401">
        <v>0</v>
      </c>
      <c r="U31" s="401">
        <v>0</v>
      </c>
      <c r="V31" s="401">
        <v>0</v>
      </c>
      <c r="W31" s="401">
        <v>0</v>
      </c>
      <c r="X31" s="401">
        <v>0</v>
      </c>
      <c r="Y31" s="401">
        <v>0</v>
      </c>
      <c r="Z31" s="401">
        <v>0</v>
      </c>
      <c r="AA31" s="401">
        <v>0</v>
      </c>
      <c r="AB31" s="401">
        <v>0</v>
      </c>
      <c r="AC31" s="401">
        <v>0</v>
      </c>
      <c r="AD31" s="401">
        <v>0</v>
      </c>
      <c r="AE31" s="401">
        <v>0</v>
      </c>
      <c r="AF31" s="401">
        <v>0</v>
      </c>
      <c r="AG31" s="401">
        <v>0</v>
      </c>
      <c r="AH31" s="401">
        <v>0</v>
      </c>
      <c r="AI31" s="401">
        <v>0</v>
      </c>
      <c r="AJ31" s="401">
        <v>0</v>
      </c>
      <c r="AK31" s="401">
        <v>0</v>
      </c>
      <c r="AL31" s="401">
        <v>0</v>
      </c>
      <c r="AM31" s="401">
        <v>59</v>
      </c>
      <c r="AN31" s="401">
        <v>716.15555196000003</v>
      </c>
      <c r="AO31" s="401">
        <v>127965</v>
      </c>
    </row>
    <row r="32" spans="1:41" ht="15.75" customHeight="1" x14ac:dyDescent="0.2">
      <c r="A32" s="618"/>
      <c r="B32" s="614"/>
      <c r="C32" s="403">
        <v>0</v>
      </c>
      <c r="D32" s="403">
        <v>6.9817234346865309E-4</v>
      </c>
      <c r="E32" s="403">
        <v>1.2503418903606455E-4</v>
      </c>
      <c r="F32" s="403">
        <v>0</v>
      </c>
      <c r="G32" s="403">
        <v>0</v>
      </c>
      <c r="H32" s="403">
        <v>0</v>
      </c>
      <c r="I32" s="403">
        <v>0.20338983050847459</v>
      </c>
      <c r="J32" s="403">
        <v>1.3451851575589095E-2</v>
      </c>
      <c r="K32" s="403">
        <v>2.5100613448989957E-2</v>
      </c>
      <c r="L32" s="403">
        <v>0.30508474576271188</v>
      </c>
      <c r="M32" s="403">
        <v>1.8350503827042904E-2</v>
      </c>
      <c r="N32" s="403">
        <v>0.28704723947954519</v>
      </c>
      <c r="O32" s="403">
        <v>0.49152542372881358</v>
      </c>
      <c r="P32" s="403">
        <v>0.96749947225389932</v>
      </c>
      <c r="Q32" s="403">
        <v>0.68772711288242883</v>
      </c>
      <c r="R32" s="403">
        <v>0</v>
      </c>
      <c r="S32" s="403">
        <v>0</v>
      </c>
      <c r="T32" s="403">
        <v>0</v>
      </c>
      <c r="U32" s="403">
        <v>0</v>
      </c>
      <c r="V32" s="403">
        <v>0</v>
      </c>
      <c r="W32" s="403">
        <v>0</v>
      </c>
      <c r="X32" s="403">
        <v>0</v>
      </c>
      <c r="Y32" s="403">
        <v>0</v>
      </c>
      <c r="Z32" s="403">
        <v>0</v>
      </c>
      <c r="AA32" s="403">
        <v>0</v>
      </c>
      <c r="AB32" s="403">
        <v>0</v>
      </c>
      <c r="AC32" s="403">
        <v>0</v>
      </c>
      <c r="AD32" s="403">
        <v>0</v>
      </c>
      <c r="AE32" s="403">
        <v>0</v>
      </c>
      <c r="AF32" s="403">
        <v>0</v>
      </c>
      <c r="AG32" s="403">
        <v>0</v>
      </c>
      <c r="AH32" s="403">
        <v>0</v>
      </c>
      <c r="AI32" s="403">
        <v>0</v>
      </c>
      <c r="AJ32" s="403">
        <v>0</v>
      </c>
      <c r="AK32" s="403">
        <v>0</v>
      </c>
      <c r="AL32" s="403">
        <v>0</v>
      </c>
      <c r="AM32" s="403">
        <v>1</v>
      </c>
      <c r="AN32" s="403">
        <v>1</v>
      </c>
      <c r="AO32" s="403">
        <v>1</v>
      </c>
    </row>
    <row r="33" spans="1:41" ht="15.75" customHeight="1" x14ac:dyDescent="0.2">
      <c r="A33" s="618">
        <v>14</v>
      </c>
      <c r="B33" s="614" t="s">
        <v>357</v>
      </c>
      <c r="C33" s="401">
        <v>9</v>
      </c>
      <c r="D33" s="401">
        <v>5.932935147000002</v>
      </c>
      <c r="E33" s="401">
        <v>25848</v>
      </c>
      <c r="F33" s="401">
        <v>2</v>
      </c>
      <c r="G33" s="401">
        <v>3.6877664179999998</v>
      </c>
      <c r="H33" s="401">
        <v>1280</v>
      </c>
      <c r="I33" s="401">
        <v>16</v>
      </c>
      <c r="J33" s="401">
        <v>181.95054749400097</v>
      </c>
      <c r="K33" s="401">
        <v>1148493</v>
      </c>
      <c r="L33" s="401">
        <v>653</v>
      </c>
      <c r="M33" s="401">
        <v>721.53580542901727</v>
      </c>
      <c r="N33" s="401">
        <v>4661384</v>
      </c>
      <c r="O33" s="401">
        <v>44</v>
      </c>
      <c r="P33" s="401">
        <v>90.399948350000273</v>
      </c>
      <c r="Q33" s="401">
        <v>820265</v>
      </c>
      <c r="R33" s="401">
        <v>1</v>
      </c>
      <c r="S33" s="401">
        <v>0.70227914999999996</v>
      </c>
      <c r="T33" s="401">
        <v>9764</v>
      </c>
      <c r="U33" s="401">
        <v>0</v>
      </c>
      <c r="V33" s="401">
        <v>0</v>
      </c>
      <c r="W33" s="401">
        <v>0</v>
      </c>
      <c r="X33" s="401">
        <v>0</v>
      </c>
      <c r="Y33" s="401">
        <v>0</v>
      </c>
      <c r="Z33" s="401">
        <v>0</v>
      </c>
      <c r="AA33" s="401">
        <v>2</v>
      </c>
      <c r="AB33" s="401">
        <v>13.398769900999993</v>
      </c>
      <c r="AC33" s="401">
        <v>33625</v>
      </c>
      <c r="AD33" s="401">
        <v>0</v>
      </c>
      <c r="AE33" s="401">
        <v>0</v>
      </c>
      <c r="AF33" s="401">
        <v>0</v>
      </c>
      <c r="AG33" s="401">
        <v>0</v>
      </c>
      <c r="AH33" s="401">
        <v>0</v>
      </c>
      <c r="AI33" s="401">
        <v>0</v>
      </c>
      <c r="AJ33" s="401">
        <v>0</v>
      </c>
      <c r="AK33" s="401">
        <v>0</v>
      </c>
      <c r="AL33" s="401">
        <v>0</v>
      </c>
      <c r="AM33" s="401">
        <v>727</v>
      </c>
      <c r="AN33" s="401">
        <v>1017.6080518890185</v>
      </c>
      <c r="AO33" s="401">
        <v>6700659</v>
      </c>
    </row>
    <row r="34" spans="1:41" ht="15.75" customHeight="1" x14ac:dyDescent="0.2">
      <c r="A34" s="618"/>
      <c r="B34" s="614"/>
      <c r="C34" s="403">
        <v>1.2379642365887207E-2</v>
      </c>
      <c r="D34" s="403">
        <v>5.8302753560042142E-3</v>
      </c>
      <c r="E34" s="403">
        <v>3.8575310279182987E-3</v>
      </c>
      <c r="F34" s="403">
        <v>2.751031636863824E-3</v>
      </c>
      <c r="G34" s="403">
        <v>3.6239556194099295E-3</v>
      </c>
      <c r="H34" s="403">
        <v>1.9102598714544345E-4</v>
      </c>
      <c r="I34" s="403">
        <v>2.2008253094910592E-2</v>
      </c>
      <c r="J34" s="403">
        <v>0.17880218926750857</v>
      </c>
      <c r="K34" s="403">
        <v>0.17140000707393108</v>
      </c>
      <c r="L34" s="403">
        <v>0.8982118294360385</v>
      </c>
      <c r="M34" s="403">
        <v>0.70905080211345339</v>
      </c>
      <c r="N34" s="403">
        <v>0.69566053129998107</v>
      </c>
      <c r="O34" s="403">
        <v>6.0522696011004129E-2</v>
      </c>
      <c r="P34" s="403">
        <v>8.8835724306807459E-2</v>
      </c>
      <c r="Q34" s="403">
        <v>0.12241557136395093</v>
      </c>
      <c r="R34" s="403">
        <v>1.375515818431912E-3</v>
      </c>
      <c r="S34" s="403">
        <v>6.9012735177982978E-4</v>
      </c>
      <c r="T34" s="403">
        <v>1.4571701081938359E-3</v>
      </c>
      <c r="U34" s="403">
        <v>0</v>
      </c>
      <c r="V34" s="403">
        <v>0</v>
      </c>
      <c r="W34" s="403">
        <v>0</v>
      </c>
      <c r="X34" s="403">
        <v>0</v>
      </c>
      <c r="Y34" s="403">
        <v>0</v>
      </c>
      <c r="Z34" s="403">
        <v>0</v>
      </c>
      <c r="AA34" s="403">
        <v>2.751031636863824E-3</v>
      </c>
      <c r="AB34" s="403">
        <v>1.3166925985036602E-2</v>
      </c>
      <c r="AC34" s="403">
        <v>5.0181631388793255E-3</v>
      </c>
      <c r="AD34" s="403">
        <v>0</v>
      </c>
      <c r="AE34" s="403">
        <v>0</v>
      </c>
      <c r="AF34" s="403">
        <v>0</v>
      </c>
      <c r="AG34" s="403">
        <v>0</v>
      </c>
      <c r="AH34" s="403">
        <v>0</v>
      </c>
      <c r="AI34" s="403">
        <v>0</v>
      </c>
      <c r="AJ34" s="403">
        <v>0</v>
      </c>
      <c r="AK34" s="403">
        <v>0</v>
      </c>
      <c r="AL34" s="403">
        <v>0</v>
      </c>
      <c r="AM34" s="403">
        <v>1</v>
      </c>
      <c r="AN34" s="403">
        <v>1</v>
      </c>
      <c r="AO34" s="403">
        <v>1</v>
      </c>
    </row>
    <row r="35" spans="1:41" ht="12.75" customHeight="1" x14ac:dyDescent="0.2">
      <c r="A35" s="618">
        <v>15</v>
      </c>
      <c r="B35" s="614" t="s">
        <v>14</v>
      </c>
      <c r="C35" s="401">
        <v>3</v>
      </c>
      <c r="D35" s="401">
        <v>6.6256412800000026</v>
      </c>
      <c r="E35" s="401">
        <v>1241</v>
      </c>
      <c r="F35" s="401">
        <v>66</v>
      </c>
      <c r="G35" s="401">
        <v>3200.7369650709929</v>
      </c>
      <c r="H35" s="401">
        <v>21297873</v>
      </c>
      <c r="I35" s="401">
        <v>25</v>
      </c>
      <c r="J35" s="401">
        <v>4126.5323139302491</v>
      </c>
      <c r="K35" s="401">
        <v>15971007</v>
      </c>
      <c r="L35" s="401">
        <v>217</v>
      </c>
      <c r="M35" s="401">
        <v>673.56423151599915</v>
      </c>
      <c r="N35" s="401">
        <v>6059167</v>
      </c>
      <c r="O35" s="401">
        <v>351</v>
      </c>
      <c r="P35" s="401">
        <v>8707.3487770870015</v>
      </c>
      <c r="Q35" s="401">
        <v>5006581</v>
      </c>
      <c r="R35" s="401">
        <v>0</v>
      </c>
      <c r="S35" s="401">
        <v>5.9279596329999995</v>
      </c>
      <c r="T35" s="401">
        <v>72037</v>
      </c>
      <c r="U35" s="401">
        <v>0</v>
      </c>
      <c r="V35" s="401">
        <v>0</v>
      </c>
      <c r="W35" s="401">
        <v>0</v>
      </c>
      <c r="X35" s="401">
        <v>0</v>
      </c>
      <c r="Y35" s="401">
        <v>0</v>
      </c>
      <c r="Z35" s="401">
        <v>0</v>
      </c>
      <c r="AA35" s="401">
        <v>0</v>
      </c>
      <c r="AB35" s="401">
        <v>0</v>
      </c>
      <c r="AC35" s="401">
        <v>0</v>
      </c>
      <c r="AD35" s="401">
        <v>0</v>
      </c>
      <c r="AE35" s="401">
        <v>0</v>
      </c>
      <c r="AF35" s="401">
        <v>0</v>
      </c>
      <c r="AG35" s="401">
        <v>0</v>
      </c>
      <c r="AH35" s="401">
        <v>0</v>
      </c>
      <c r="AI35" s="401">
        <v>0</v>
      </c>
      <c r="AJ35" s="401">
        <v>0</v>
      </c>
      <c r="AK35" s="401">
        <v>0</v>
      </c>
      <c r="AL35" s="401">
        <v>0</v>
      </c>
      <c r="AM35" s="401">
        <v>662</v>
      </c>
      <c r="AN35" s="401">
        <v>16720.735888517243</v>
      </c>
      <c r="AO35" s="401">
        <v>48407906</v>
      </c>
    </row>
    <row r="36" spans="1:41" ht="15.75" customHeight="1" x14ac:dyDescent="0.2">
      <c r="A36" s="618"/>
      <c r="B36" s="614"/>
      <c r="C36" s="403">
        <v>4.5317220543806651E-3</v>
      </c>
      <c r="D36" s="403">
        <v>3.9625297141079055E-4</v>
      </c>
      <c r="E36" s="403">
        <v>2.563630825097041E-5</v>
      </c>
      <c r="F36" s="403">
        <v>9.9697885196374625E-2</v>
      </c>
      <c r="G36" s="403">
        <v>0.19142321165834927</v>
      </c>
      <c r="H36" s="403">
        <v>0.43996683103788875</v>
      </c>
      <c r="I36" s="403">
        <v>3.7764350453172203E-2</v>
      </c>
      <c r="J36" s="403">
        <v>0.2467913099903751</v>
      </c>
      <c r="K36" s="403">
        <v>0.32992559108010167</v>
      </c>
      <c r="L36" s="403">
        <v>0.32779456193353473</v>
      </c>
      <c r="M36" s="403">
        <v>4.0283169114498182E-2</v>
      </c>
      <c r="N36" s="403">
        <v>0.12516895483973217</v>
      </c>
      <c r="O36" s="403">
        <v>0.53021148036253773</v>
      </c>
      <c r="P36" s="403">
        <v>0.52075152882874398</v>
      </c>
      <c r="Q36" s="403">
        <v>0.10342486204629467</v>
      </c>
      <c r="R36" s="403">
        <v>0</v>
      </c>
      <c r="S36" s="403">
        <v>3.5452743662262807E-4</v>
      </c>
      <c r="T36" s="403">
        <v>1.4881246877317931E-3</v>
      </c>
      <c r="U36" s="403">
        <v>0</v>
      </c>
      <c r="V36" s="403">
        <v>0</v>
      </c>
      <c r="W36" s="403">
        <v>0</v>
      </c>
      <c r="X36" s="403">
        <v>0</v>
      </c>
      <c r="Y36" s="403">
        <v>0</v>
      </c>
      <c r="Z36" s="403">
        <v>0</v>
      </c>
      <c r="AA36" s="403">
        <v>0</v>
      </c>
      <c r="AB36" s="403">
        <v>0</v>
      </c>
      <c r="AC36" s="403">
        <v>0</v>
      </c>
      <c r="AD36" s="403">
        <v>0</v>
      </c>
      <c r="AE36" s="403">
        <v>0</v>
      </c>
      <c r="AF36" s="403">
        <v>0</v>
      </c>
      <c r="AG36" s="403">
        <v>0</v>
      </c>
      <c r="AH36" s="403">
        <v>0</v>
      </c>
      <c r="AI36" s="403">
        <v>0</v>
      </c>
      <c r="AJ36" s="403">
        <v>0</v>
      </c>
      <c r="AK36" s="403">
        <v>0</v>
      </c>
      <c r="AL36" s="403">
        <v>0</v>
      </c>
      <c r="AM36" s="403">
        <v>1</v>
      </c>
      <c r="AN36" s="403">
        <v>1</v>
      </c>
      <c r="AO36" s="403">
        <v>1</v>
      </c>
    </row>
    <row r="37" spans="1:41" ht="12.75" customHeight="1" x14ac:dyDescent="0.2">
      <c r="A37" s="618">
        <v>16</v>
      </c>
      <c r="B37" s="614" t="s">
        <v>15</v>
      </c>
      <c r="C37" s="401">
        <v>321</v>
      </c>
      <c r="D37" s="401">
        <v>264.25658042999999</v>
      </c>
      <c r="E37" s="401">
        <v>91572</v>
      </c>
      <c r="F37" s="401">
        <v>547</v>
      </c>
      <c r="G37" s="401">
        <v>2295.1914846499999</v>
      </c>
      <c r="H37" s="401">
        <v>11535099</v>
      </c>
      <c r="I37" s="401">
        <v>188</v>
      </c>
      <c r="J37" s="401">
        <v>2607.6708338799999</v>
      </c>
      <c r="K37" s="401">
        <v>14083342</v>
      </c>
      <c r="L37" s="401">
        <v>5209</v>
      </c>
      <c r="M37" s="401">
        <v>1336.40212249</v>
      </c>
      <c r="N37" s="401">
        <v>5584619</v>
      </c>
      <c r="O37" s="401">
        <v>1000</v>
      </c>
      <c r="P37" s="401">
        <v>6673.2575499300001</v>
      </c>
      <c r="Q37" s="401">
        <v>9094222</v>
      </c>
      <c r="R37" s="401">
        <v>0</v>
      </c>
      <c r="S37" s="401">
        <v>3.8133710000000001</v>
      </c>
      <c r="T37" s="401">
        <v>92293</v>
      </c>
      <c r="U37" s="401">
        <v>0</v>
      </c>
      <c r="V37" s="401">
        <v>0</v>
      </c>
      <c r="W37" s="401">
        <v>0</v>
      </c>
      <c r="X37" s="401">
        <v>0</v>
      </c>
      <c r="Y37" s="401">
        <v>0</v>
      </c>
      <c r="Z37" s="401">
        <v>0</v>
      </c>
      <c r="AA37" s="401">
        <v>15</v>
      </c>
      <c r="AB37" s="401">
        <v>13.637806810000001</v>
      </c>
      <c r="AC37" s="401">
        <v>119125</v>
      </c>
      <c r="AD37" s="401">
        <v>0</v>
      </c>
      <c r="AE37" s="401">
        <v>0</v>
      </c>
      <c r="AF37" s="401">
        <v>0</v>
      </c>
      <c r="AG37" s="401">
        <v>0</v>
      </c>
      <c r="AH37" s="401">
        <v>0</v>
      </c>
      <c r="AI37" s="401">
        <v>0</v>
      </c>
      <c r="AJ37" s="401">
        <v>0</v>
      </c>
      <c r="AK37" s="401">
        <v>0</v>
      </c>
      <c r="AL37" s="401">
        <v>0</v>
      </c>
      <c r="AM37" s="401">
        <v>7280</v>
      </c>
      <c r="AN37" s="401">
        <v>13194.229749190001</v>
      </c>
      <c r="AO37" s="401">
        <v>40600272</v>
      </c>
    </row>
    <row r="38" spans="1:41" ht="15.75" customHeight="1" x14ac:dyDescent="0.2">
      <c r="A38" s="618"/>
      <c r="B38" s="614"/>
      <c r="C38" s="403">
        <v>4.4093406593406596E-2</v>
      </c>
      <c r="D38" s="403">
        <v>2.0028193039932689E-2</v>
      </c>
      <c r="E38" s="403">
        <v>2.2554528698723987E-3</v>
      </c>
      <c r="F38" s="403">
        <v>7.5137362637362634E-2</v>
      </c>
      <c r="G38" s="403">
        <v>0.17395418514604102</v>
      </c>
      <c r="H38" s="403">
        <v>0.28411383549351593</v>
      </c>
      <c r="I38" s="403">
        <v>2.5824175824175823E-2</v>
      </c>
      <c r="J38" s="403">
        <v>0.19763721592312625</v>
      </c>
      <c r="K38" s="403">
        <v>0.34687802091572195</v>
      </c>
      <c r="L38" s="403">
        <v>0.71552197802197803</v>
      </c>
      <c r="M38" s="403">
        <v>0.10128686159736171</v>
      </c>
      <c r="N38" s="403">
        <v>0.13755127059247288</v>
      </c>
      <c r="O38" s="403">
        <v>0.13736263736263737</v>
      </c>
      <c r="P38" s="403">
        <v>0.50577090719067352</v>
      </c>
      <c r="Q38" s="403">
        <v>0.22399411511331746</v>
      </c>
      <c r="R38" s="403">
        <v>0</v>
      </c>
      <c r="S38" s="403">
        <v>2.8901808385094283E-4</v>
      </c>
      <c r="T38" s="403">
        <v>2.2732113715888407E-3</v>
      </c>
      <c r="U38" s="403">
        <v>0</v>
      </c>
      <c r="V38" s="403">
        <v>0</v>
      </c>
      <c r="W38" s="403">
        <v>0</v>
      </c>
      <c r="X38" s="403">
        <v>0</v>
      </c>
      <c r="Y38" s="403">
        <v>0</v>
      </c>
      <c r="Z38" s="403">
        <v>0</v>
      </c>
      <c r="AA38" s="403">
        <v>2.0604395604395605E-3</v>
      </c>
      <c r="AB38" s="403">
        <v>1.0336190190137649E-3</v>
      </c>
      <c r="AC38" s="403">
        <v>2.9340936435105656E-3</v>
      </c>
      <c r="AD38" s="403">
        <v>0</v>
      </c>
      <c r="AE38" s="403">
        <v>0</v>
      </c>
      <c r="AF38" s="403">
        <v>0</v>
      </c>
      <c r="AG38" s="403">
        <v>0</v>
      </c>
      <c r="AH38" s="403">
        <v>0</v>
      </c>
      <c r="AI38" s="403">
        <v>0</v>
      </c>
      <c r="AJ38" s="403">
        <v>0</v>
      </c>
      <c r="AK38" s="403">
        <v>0</v>
      </c>
      <c r="AL38" s="403">
        <v>0</v>
      </c>
      <c r="AM38" s="403">
        <v>1</v>
      </c>
      <c r="AN38" s="403">
        <v>1</v>
      </c>
      <c r="AO38" s="403">
        <v>1</v>
      </c>
    </row>
    <row r="39" spans="1:41" ht="12.75" customHeight="1" x14ac:dyDescent="0.2">
      <c r="A39" s="618">
        <v>17</v>
      </c>
      <c r="B39" s="614" t="s">
        <v>16</v>
      </c>
      <c r="C39" s="401">
        <v>0</v>
      </c>
      <c r="D39" s="401">
        <v>0</v>
      </c>
      <c r="E39" s="401">
        <v>0</v>
      </c>
      <c r="F39" s="401">
        <v>17</v>
      </c>
      <c r="G39" s="401">
        <v>455.09478641300012</v>
      </c>
      <c r="H39" s="401">
        <v>175057</v>
      </c>
      <c r="I39" s="401">
        <v>0</v>
      </c>
      <c r="J39" s="401">
        <v>0</v>
      </c>
      <c r="K39" s="401">
        <v>0</v>
      </c>
      <c r="L39" s="401">
        <v>88</v>
      </c>
      <c r="M39" s="401">
        <v>41.141650913999477</v>
      </c>
      <c r="N39" s="401">
        <v>657631</v>
      </c>
      <c r="O39" s="401">
        <v>68</v>
      </c>
      <c r="P39" s="401">
        <v>597.5631851290002</v>
      </c>
      <c r="Q39" s="401">
        <v>5634258</v>
      </c>
      <c r="R39" s="401">
        <v>1</v>
      </c>
      <c r="S39" s="401">
        <v>81.875019678008783</v>
      </c>
      <c r="T39" s="401">
        <v>1185721</v>
      </c>
      <c r="U39" s="401">
        <v>0</v>
      </c>
      <c r="V39" s="401">
        <v>0</v>
      </c>
      <c r="W39" s="401">
        <v>0</v>
      </c>
      <c r="X39" s="401">
        <v>0</v>
      </c>
      <c r="Y39" s="401">
        <v>0</v>
      </c>
      <c r="Z39" s="401">
        <v>0</v>
      </c>
      <c r="AA39" s="401">
        <v>0</v>
      </c>
      <c r="AB39" s="401">
        <v>0</v>
      </c>
      <c r="AC39" s="401">
        <v>0</v>
      </c>
      <c r="AD39" s="401">
        <v>0</v>
      </c>
      <c r="AE39" s="401">
        <v>0</v>
      </c>
      <c r="AF39" s="401">
        <v>0</v>
      </c>
      <c r="AG39" s="401">
        <v>0</v>
      </c>
      <c r="AH39" s="401">
        <v>0</v>
      </c>
      <c r="AI39" s="401">
        <v>0</v>
      </c>
      <c r="AJ39" s="401">
        <v>0</v>
      </c>
      <c r="AK39" s="401">
        <v>0</v>
      </c>
      <c r="AL39" s="401">
        <v>0</v>
      </c>
      <c r="AM39" s="401">
        <v>174</v>
      </c>
      <c r="AN39" s="401">
        <v>1175.6746421340085</v>
      </c>
      <c r="AO39" s="401">
        <v>7652667</v>
      </c>
    </row>
    <row r="40" spans="1:41" ht="15.75" customHeight="1" x14ac:dyDescent="0.2">
      <c r="A40" s="618"/>
      <c r="B40" s="614"/>
      <c r="C40" s="403">
        <v>0</v>
      </c>
      <c r="D40" s="403">
        <v>0</v>
      </c>
      <c r="E40" s="403">
        <v>0</v>
      </c>
      <c r="F40" s="403">
        <v>9.7701149425287362E-2</v>
      </c>
      <c r="G40" s="403">
        <v>0.38709245747355875</v>
      </c>
      <c r="H40" s="403">
        <v>2.2875293018760651E-2</v>
      </c>
      <c r="I40" s="403">
        <v>0</v>
      </c>
      <c r="J40" s="403">
        <v>0</v>
      </c>
      <c r="K40" s="403">
        <v>0</v>
      </c>
      <c r="L40" s="403">
        <v>0.50574712643678166</v>
      </c>
      <c r="M40" s="403">
        <v>3.4994078667310385E-2</v>
      </c>
      <c r="N40" s="403">
        <v>8.5934877344068419E-2</v>
      </c>
      <c r="O40" s="403">
        <v>0.39080459770114945</v>
      </c>
      <c r="P40" s="403">
        <v>0.50827258130220632</v>
      </c>
      <c r="Q40" s="403">
        <v>0.73624763758830747</v>
      </c>
      <c r="R40" s="403">
        <v>5.7471264367816091E-3</v>
      </c>
      <c r="S40" s="403">
        <v>6.9640882556924549E-2</v>
      </c>
      <c r="T40" s="403">
        <v>0.15494219204886348</v>
      </c>
      <c r="U40" s="403">
        <v>0</v>
      </c>
      <c r="V40" s="403">
        <v>0</v>
      </c>
      <c r="W40" s="403">
        <v>0</v>
      </c>
      <c r="X40" s="403">
        <v>0</v>
      </c>
      <c r="Y40" s="403">
        <v>0</v>
      </c>
      <c r="Z40" s="403">
        <v>0</v>
      </c>
      <c r="AA40" s="403">
        <v>0</v>
      </c>
      <c r="AB40" s="403">
        <v>0</v>
      </c>
      <c r="AC40" s="403">
        <v>0</v>
      </c>
      <c r="AD40" s="403">
        <v>0</v>
      </c>
      <c r="AE40" s="403">
        <v>0</v>
      </c>
      <c r="AF40" s="403">
        <v>0</v>
      </c>
      <c r="AG40" s="403">
        <v>0</v>
      </c>
      <c r="AH40" s="403">
        <v>0</v>
      </c>
      <c r="AI40" s="403">
        <v>0</v>
      </c>
      <c r="AJ40" s="403">
        <v>0</v>
      </c>
      <c r="AK40" s="403">
        <v>0</v>
      </c>
      <c r="AL40" s="403">
        <v>0</v>
      </c>
      <c r="AM40" s="403">
        <v>1</v>
      </c>
      <c r="AN40" s="403">
        <v>1</v>
      </c>
      <c r="AO40" s="403">
        <v>1</v>
      </c>
    </row>
    <row r="41" spans="1:41" ht="12.75" customHeight="1" x14ac:dyDescent="0.2">
      <c r="A41" s="618">
        <v>18</v>
      </c>
      <c r="B41" s="614" t="s">
        <v>17</v>
      </c>
      <c r="C41" s="401">
        <v>1</v>
      </c>
      <c r="D41" s="401">
        <v>-2.292161E-3</v>
      </c>
      <c r="E41" s="401">
        <v>462</v>
      </c>
      <c r="F41" s="401">
        <v>36</v>
      </c>
      <c r="G41" s="401">
        <v>927.03121267900065</v>
      </c>
      <c r="H41" s="401">
        <v>4529509</v>
      </c>
      <c r="I41" s="401">
        <v>19</v>
      </c>
      <c r="J41" s="401">
        <v>929.62048121900159</v>
      </c>
      <c r="K41" s="401">
        <v>5910283</v>
      </c>
      <c r="L41" s="401">
        <v>142</v>
      </c>
      <c r="M41" s="401">
        <v>216.69875413499952</v>
      </c>
      <c r="N41" s="401">
        <v>2182026</v>
      </c>
      <c r="O41" s="401">
        <v>808</v>
      </c>
      <c r="P41" s="401">
        <v>1997.1484501640032</v>
      </c>
      <c r="Q41" s="401">
        <v>3408240</v>
      </c>
      <c r="R41" s="401">
        <v>3</v>
      </c>
      <c r="S41" s="401">
        <v>50.448208868000002</v>
      </c>
      <c r="T41" s="401">
        <v>978762</v>
      </c>
      <c r="U41" s="401">
        <v>0</v>
      </c>
      <c r="V41" s="401">
        <v>0</v>
      </c>
      <c r="W41" s="401">
        <v>0</v>
      </c>
      <c r="X41" s="401">
        <v>0</v>
      </c>
      <c r="Y41" s="401">
        <v>0</v>
      </c>
      <c r="Z41" s="401">
        <v>0</v>
      </c>
      <c r="AA41" s="401">
        <v>0</v>
      </c>
      <c r="AB41" s="401">
        <v>0</v>
      </c>
      <c r="AC41" s="401">
        <v>0</v>
      </c>
      <c r="AD41" s="401">
        <v>0</v>
      </c>
      <c r="AE41" s="401">
        <v>0</v>
      </c>
      <c r="AF41" s="401">
        <v>0</v>
      </c>
      <c r="AG41" s="401">
        <v>0</v>
      </c>
      <c r="AH41" s="401">
        <v>0</v>
      </c>
      <c r="AI41" s="401">
        <v>0</v>
      </c>
      <c r="AJ41" s="401">
        <v>0</v>
      </c>
      <c r="AK41" s="401">
        <v>0</v>
      </c>
      <c r="AL41" s="401">
        <v>0</v>
      </c>
      <c r="AM41" s="401">
        <v>1009</v>
      </c>
      <c r="AN41" s="401">
        <v>4120.9448149040045</v>
      </c>
      <c r="AO41" s="401">
        <v>17009282</v>
      </c>
    </row>
    <row r="42" spans="1:41" ht="15.75" customHeight="1" x14ac:dyDescent="0.2">
      <c r="A42" s="618"/>
      <c r="B42" s="614"/>
      <c r="C42" s="403">
        <v>9.9108027750247768E-4</v>
      </c>
      <c r="D42" s="403">
        <v>-5.5622220217802042E-7</v>
      </c>
      <c r="E42" s="403">
        <v>2.7161640332613688E-5</v>
      </c>
      <c r="F42" s="403">
        <v>3.5678889990089196E-2</v>
      </c>
      <c r="G42" s="403">
        <v>0.22495598808463912</v>
      </c>
      <c r="H42" s="403">
        <v>0.26629630809813137</v>
      </c>
      <c r="I42" s="403">
        <v>1.8830525272547076E-2</v>
      </c>
      <c r="J42" s="403">
        <v>0.22558430723383921</v>
      </c>
      <c r="K42" s="403">
        <v>0.34747398508649574</v>
      </c>
      <c r="L42" s="403">
        <v>0.14073339940535184</v>
      </c>
      <c r="M42" s="403">
        <v>5.2584726044201446E-2</v>
      </c>
      <c r="N42" s="403">
        <v>0.12828442729093445</v>
      </c>
      <c r="O42" s="403">
        <v>0.80079286422200202</v>
      </c>
      <c r="P42" s="403">
        <v>0.48463363133158721</v>
      </c>
      <c r="Q42" s="403">
        <v>0.20037530096802439</v>
      </c>
      <c r="R42" s="403">
        <v>2.973240832507433E-3</v>
      </c>
      <c r="S42" s="403">
        <v>1.2241903527935296E-2</v>
      </c>
      <c r="T42" s="403">
        <v>5.7542816916081464E-2</v>
      </c>
      <c r="U42" s="403">
        <v>0</v>
      </c>
      <c r="V42" s="403">
        <v>0</v>
      </c>
      <c r="W42" s="403">
        <v>0</v>
      </c>
      <c r="X42" s="403">
        <v>0</v>
      </c>
      <c r="Y42" s="403">
        <v>0</v>
      </c>
      <c r="Z42" s="403">
        <v>0</v>
      </c>
      <c r="AA42" s="403">
        <v>0</v>
      </c>
      <c r="AB42" s="403">
        <v>0</v>
      </c>
      <c r="AC42" s="403">
        <v>0</v>
      </c>
      <c r="AD42" s="403">
        <v>0</v>
      </c>
      <c r="AE42" s="403">
        <v>0</v>
      </c>
      <c r="AF42" s="403">
        <v>0</v>
      </c>
      <c r="AG42" s="403">
        <v>0</v>
      </c>
      <c r="AH42" s="403">
        <v>0</v>
      </c>
      <c r="AI42" s="403">
        <v>0</v>
      </c>
      <c r="AJ42" s="403">
        <v>0</v>
      </c>
      <c r="AK42" s="403">
        <v>0</v>
      </c>
      <c r="AL42" s="403">
        <v>0</v>
      </c>
      <c r="AM42" s="403">
        <v>1</v>
      </c>
      <c r="AN42" s="403">
        <v>1</v>
      </c>
      <c r="AO42" s="403">
        <v>1</v>
      </c>
    </row>
    <row r="43" spans="1:41" ht="16.5" customHeight="1" x14ac:dyDescent="0.2">
      <c r="A43" s="618">
        <v>19</v>
      </c>
      <c r="B43" s="614" t="s">
        <v>18</v>
      </c>
      <c r="C43" s="401">
        <v>21</v>
      </c>
      <c r="D43" s="401">
        <v>1.9021748500000002</v>
      </c>
      <c r="E43" s="401">
        <v>3483</v>
      </c>
      <c r="F43" s="401">
        <v>20</v>
      </c>
      <c r="G43" s="401">
        <v>681.56602207299977</v>
      </c>
      <c r="H43" s="401">
        <v>3037217</v>
      </c>
      <c r="I43" s="401">
        <v>24</v>
      </c>
      <c r="J43" s="401">
        <v>371.64934391699995</v>
      </c>
      <c r="K43" s="401">
        <v>358649</v>
      </c>
      <c r="L43" s="401">
        <v>298</v>
      </c>
      <c r="M43" s="401">
        <v>168.98698300399991</v>
      </c>
      <c r="N43" s="401">
        <v>659374</v>
      </c>
      <c r="O43" s="401">
        <v>75</v>
      </c>
      <c r="P43" s="401">
        <v>339.83813739400017</v>
      </c>
      <c r="Q43" s="401">
        <v>1180722</v>
      </c>
      <c r="R43" s="401">
        <v>0</v>
      </c>
      <c r="S43" s="401">
        <v>0</v>
      </c>
      <c r="T43" s="401">
        <v>0</v>
      </c>
      <c r="U43" s="401">
        <v>0</v>
      </c>
      <c r="V43" s="401">
        <v>0</v>
      </c>
      <c r="W43" s="401">
        <v>0</v>
      </c>
      <c r="X43" s="401">
        <v>0</v>
      </c>
      <c r="Y43" s="401">
        <v>0</v>
      </c>
      <c r="Z43" s="401">
        <v>0</v>
      </c>
      <c r="AA43" s="401">
        <v>0</v>
      </c>
      <c r="AB43" s="401">
        <v>0</v>
      </c>
      <c r="AC43" s="401">
        <v>0</v>
      </c>
      <c r="AD43" s="401">
        <v>0</v>
      </c>
      <c r="AE43" s="401">
        <v>0</v>
      </c>
      <c r="AF43" s="401">
        <v>0</v>
      </c>
      <c r="AG43" s="401">
        <v>0</v>
      </c>
      <c r="AH43" s="401">
        <v>0</v>
      </c>
      <c r="AI43" s="401">
        <v>0</v>
      </c>
      <c r="AJ43" s="401">
        <v>0</v>
      </c>
      <c r="AK43" s="401">
        <v>0</v>
      </c>
      <c r="AL43" s="401">
        <v>0</v>
      </c>
      <c r="AM43" s="401">
        <v>438</v>
      </c>
      <c r="AN43" s="401">
        <v>1563.9426612379998</v>
      </c>
      <c r="AO43" s="401">
        <v>5239445</v>
      </c>
    </row>
    <row r="44" spans="1:41" ht="15.75" customHeight="1" x14ac:dyDescent="0.2">
      <c r="A44" s="618"/>
      <c r="B44" s="614"/>
      <c r="C44" s="403">
        <v>4.7945205479452052E-2</v>
      </c>
      <c r="D44" s="403">
        <v>1.2162689190243455E-3</v>
      </c>
      <c r="E44" s="403">
        <v>6.6476506576555337E-4</v>
      </c>
      <c r="F44" s="403">
        <v>4.5662100456621002E-2</v>
      </c>
      <c r="G44" s="403">
        <v>0.43579987870749659</v>
      </c>
      <c r="H44" s="403">
        <v>0.57968296260386354</v>
      </c>
      <c r="I44" s="403">
        <v>5.4794520547945202E-2</v>
      </c>
      <c r="J44" s="403">
        <v>0.2376361698726259</v>
      </c>
      <c r="K44" s="403">
        <v>6.8451715782873943E-2</v>
      </c>
      <c r="L44" s="403">
        <v>0.68036529680365299</v>
      </c>
      <c r="M44" s="403">
        <v>0.10805190445424109</v>
      </c>
      <c r="N44" s="403">
        <v>0.12584806215162103</v>
      </c>
      <c r="O44" s="403">
        <v>0.17123287671232876</v>
      </c>
      <c r="P44" s="403">
        <v>0.21729577804661204</v>
      </c>
      <c r="Q44" s="403">
        <v>0.2253524943958759</v>
      </c>
      <c r="R44" s="403">
        <v>0</v>
      </c>
      <c r="S44" s="403">
        <v>0</v>
      </c>
      <c r="T44" s="403">
        <v>0</v>
      </c>
      <c r="U44" s="403">
        <v>0</v>
      </c>
      <c r="V44" s="403">
        <v>0</v>
      </c>
      <c r="W44" s="403">
        <v>0</v>
      </c>
      <c r="X44" s="403">
        <v>0</v>
      </c>
      <c r="Y44" s="403">
        <v>0</v>
      </c>
      <c r="Z44" s="403">
        <v>0</v>
      </c>
      <c r="AA44" s="403">
        <v>0</v>
      </c>
      <c r="AB44" s="403">
        <v>0</v>
      </c>
      <c r="AC44" s="403">
        <v>0</v>
      </c>
      <c r="AD44" s="403">
        <v>0</v>
      </c>
      <c r="AE44" s="403">
        <v>0</v>
      </c>
      <c r="AF44" s="403">
        <v>0</v>
      </c>
      <c r="AG44" s="403">
        <v>0</v>
      </c>
      <c r="AH44" s="403">
        <v>0</v>
      </c>
      <c r="AI44" s="403">
        <v>0</v>
      </c>
      <c r="AJ44" s="403">
        <v>0</v>
      </c>
      <c r="AK44" s="403">
        <v>0</v>
      </c>
      <c r="AL44" s="403">
        <v>0</v>
      </c>
      <c r="AM44" s="403">
        <v>1</v>
      </c>
      <c r="AN44" s="403">
        <v>1</v>
      </c>
      <c r="AO44" s="403">
        <v>1</v>
      </c>
    </row>
    <row r="45" spans="1:41" ht="12.75" customHeight="1" x14ac:dyDescent="0.2">
      <c r="A45" s="618">
        <v>20</v>
      </c>
      <c r="B45" s="614" t="s">
        <v>19</v>
      </c>
      <c r="C45" s="401">
        <v>30</v>
      </c>
      <c r="D45" s="401">
        <v>27.789394405999996</v>
      </c>
      <c r="E45" s="401">
        <v>6580</v>
      </c>
      <c r="F45" s="401">
        <v>1</v>
      </c>
      <c r="G45" s="401">
        <v>416.39291223999999</v>
      </c>
      <c r="H45" s="401">
        <v>436046</v>
      </c>
      <c r="I45" s="401">
        <v>0</v>
      </c>
      <c r="J45" s="401">
        <v>128.38032980000003</v>
      </c>
      <c r="K45" s="401">
        <v>44313</v>
      </c>
      <c r="L45" s="401">
        <v>39</v>
      </c>
      <c r="M45" s="401">
        <v>122.61964148600006</v>
      </c>
      <c r="N45" s="401">
        <v>406978</v>
      </c>
      <c r="O45" s="401">
        <v>31</v>
      </c>
      <c r="P45" s="401">
        <v>783.98999898999978</v>
      </c>
      <c r="Q45" s="401">
        <v>363427</v>
      </c>
      <c r="R45" s="401">
        <v>0</v>
      </c>
      <c r="S45" s="401">
        <v>0</v>
      </c>
      <c r="T45" s="401">
        <v>0</v>
      </c>
      <c r="U45" s="401">
        <v>0</v>
      </c>
      <c r="V45" s="401">
        <v>0</v>
      </c>
      <c r="W45" s="401">
        <v>0</v>
      </c>
      <c r="X45" s="401">
        <v>0</v>
      </c>
      <c r="Y45" s="401">
        <v>0</v>
      </c>
      <c r="Z45" s="401">
        <v>0</v>
      </c>
      <c r="AA45" s="401">
        <v>0</v>
      </c>
      <c r="AB45" s="401">
        <v>0</v>
      </c>
      <c r="AC45" s="401">
        <v>0</v>
      </c>
      <c r="AD45" s="401">
        <v>0</v>
      </c>
      <c r="AE45" s="401">
        <v>6.9528110000000006E-3</v>
      </c>
      <c r="AF45" s="401">
        <v>0</v>
      </c>
      <c r="AG45" s="401">
        <v>0</v>
      </c>
      <c r="AH45" s="401">
        <v>0</v>
      </c>
      <c r="AI45" s="401">
        <v>0</v>
      </c>
      <c r="AJ45" s="401">
        <v>0</v>
      </c>
      <c r="AK45" s="401">
        <v>0</v>
      </c>
      <c r="AL45" s="401">
        <v>0</v>
      </c>
      <c r="AM45" s="401">
        <v>101</v>
      </c>
      <c r="AN45" s="401">
        <v>1479.1792297329998</v>
      </c>
      <c r="AO45" s="401">
        <v>1257344</v>
      </c>
    </row>
    <row r="46" spans="1:41" ht="15.75" customHeight="1" x14ac:dyDescent="0.2">
      <c r="A46" s="618"/>
      <c r="B46" s="614"/>
      <c r="C46" s="403">
        <v>0.29702970297029702</v>
      </c>
      <c r="D46" s="403">
        <v>1.8787036653439313E-2</v>
      </c>
      <c r="E46" s="403">
        <v>5.2332535885167468E-3</v>
      </c>
      <c r="F46" s="403">
        <v>9.9009900990099011E-3</v>
      </c>
      <c r="G46" s="403">
        <v>0.28150267653174205</v>
      </c>
      <c r="H46" s="403">
        <v>0.34679928484169803</v>
      </c>
      <c r="I46" s="403">
        <v>0</v>
      </c>
      <c r="J46" s="403">
        <v>8.6791598488827754E-2</v>
      </c>
      <c r="K46" s="403">
        <v>3.5243338338593097E-2</v>
      </c>
      <c r="L46" s="403">
        <v>0.38613861386138615</v>
      </c>
      <c r="M46" s="403">
        <v>8.289708172020073E-2</v>
      </c>
      <c r="N46" s="403">
        <v>0.3236807110862262</v>
      </c>
      <c r="O46" s="403">
        <v>0.30693069306930693</v>
      </c>
      <c r="P46" s="403">
        <v>0.53001690615376906</v>
      </c>
      <c r="Q46" s="403">
        <v>0.28904341214496587</v>
      </c>
      <c r="R46" s="403">
        <v>0</v>
      </c>
      <c r="S46" s="403">
        <v>0</v>
      </c>
      <c r="T46" s="403">
        <v>0</v>
      </c>
      <c r="U46" s="403">
        <v>0</v>
      </c>
      <c r="V46" s="403">
        <v>0</v>
      </c>
      <c r="W46" s="403">
        <v>0</v>
      </c>
      <c r="X46" s="403">
        <v>0</v>
      </c>
      <c r="Y46" s="403">
        <v>0</v>
      </c>
      <c r="Z46" s="403">
        <v>0</v>
      </c>
      <c r="AA46" s="403">
        <v>0</v>
      </c>
      <c r="AB46" s="403">
        <v>0</v>
      </c>
      <c r="AC46" s="403">
        <v>0</v>
      </c>
      <c r="AD46" s="403">
        <v>0</v>
      </c>
      <c r="AE46" s="403">
        <v>4.7004520211218911E-6</v>
      </c>
      <c r="AF46" s="403">
        <v>0</v>
      </c>
      <c r="AG46" s="403">
        <v>0</v>
      </c>
      <c r="AH46" s="403">
        <v>0</v>
      </c>
      <c r="AI46" s="403">
        <v>0</v>
      </c>
      <c r="AJ46" s="403">
        <v>0</v>
      </c>
      <c r="AK46" s="403">
        <v>0</v>
      </c>
      <c r="AL46" s="403">
        <v>0</v>
      </c>
      <c r="AM46" s="403">
        <v>1</v>
      </c>
      <c r="AN46" s="403">
        <v>1</v>
      </c>
      <c r="AO46" s="403">
        <v>1</v>
      </c>
    </row>
    <row r="47" spans="1:41" s="13" customFormat="1" ht="12.75" customHeight="1" x14ac:dyDescent="0.2">
      <c r="A47" s="618">
        <v>21</v>
      </c>
      <c r="B47" s="614" t="s">
        <v>20</v>
      </c>
      <c r="C47" s="401">
        <v>2</v>
      </c>
      <c r="D47" s="401">
        <v>1.3516105890000001</v>
      </c>
      <c r="E47" s="401">
        <v>2036</v>
      </c>
      <c r="F47" s="401">
        <v>0</v>
      </c>
      <c r="G47" s="401">
        <v>5.3690430000000004E-3</v>
      </c>
      <c r="H47" s="401">
        <v>7</v>
      </c>
      <c r="I47" s="401">
        <v>14</v>
      </c>
      <c r="J47" s="401">
        <v>662.02353938700026</v>
      </c>
      <c r="K47" s="401">
        <v>747532</v>
      </c>
      <c r="L47" s="401">
        <v>207</v>
      </c>
      <c r="M47" s="401">
        <v>174.82690045200016</v>
      </c>
      <c r="N47" s="401">
        <v>1581835</v>
      </c>
      <c r="O47" s="401">
        <v>30</v>
      </c>
      <c r="P47" s="401">
        <v>137.24813743100006</v>
      </c>
      <c r="Q47" s="401">
        <v>1713295</v>
      </c>
      <c r="R47" s="401">
        <v>7</v>
      </c>
      <c r="S47" s="401">
        <v>2.5371235200000002</v>
      </c>
      <c r="T47" s="401">
        <v>43080</v>
      </c>
      <c r="U47" s="401">
        <v>0</v>
      </c>
      <c r="V47" s="401">
        <v>0</v>
      </c>
      <c r="W47" s="401">
        <v>0</v>
      </c>
      <c r="X47" s="401">
        <v>0</v>
      </c>
      <c r="Y47" s="401">
        <v>0</v>
      </c>
      <c r="Z47" s="401">
        <v>0</v>
      </c>
      <c r="AA47" s="401">
        <v>0</v>
      </c>
      <c r="AB47" s="401">
        <v>0</v>
      </c>
      <c r="AC47" s="401">
        <v>0</v>
      </c>
      <c r="AD47" s="401">
        <v>0</v>
      </c>
      <c r="AE47" s="401">
        <v>0</v>
      </c>
      <c r="AF47" s="401">
        <v>0</v>
      </c>
      <c r="AG47" s="401">
        <v>0</v>
      </c>
      <c r="AH47" s="401">
        <v>0</v>
      </c>
      <c r="AI47" s="401">
        <v>0</v>
      </c>
      <c r="AJ47" s="401">
        <v>0</v>
      </c>
      <c r="AK47" s="401">
        <v>0</v>
      </c>
      <c r="AL47" s="401">
        <v>0</v>
      </c>
      <c r="AM47" s="401">
        <v>260</v>
      </c>
      <c r="AN47" s="401">
        <v>977.99268042200049</v>
      </c>
      <c r="AO47" s="401">
        <v>4087785</v>
      </c>
    </row>
    <row r="48" spans="1:41" ht="15.75" customHeight="1" x14ac:dyDescent="0.2">
      <c r="A48" s="618"/>
      <c r="B48" s="614"/>
      <c r="C48" s="403">
        <v>7.6923076923076927E-3</v>
      </c>
      <c r="D48" s="403">
        <v>1.3820252605743274E-3</v>
      </c>
      <c r="E48" s="403">
        <v>4.980692477711034E-4</v>
      </c>
      <c r="F48" s="403">
        <v>0</v>
      </c>
      <c r="G48" s="403">
        <v>5.489860105786555E-6</v>
      </c>
      <c r="H48" s="403">
        <v>1.7124188282896482E-6</v>
      </c>
      <c r="I48" s="403">
        <v>5.3846153846153849E-2</v>
      </c>
      <c r="J48" s="403">
        <v>0.67692075067610868</v>
      </c>
      <c r="K48" s="403">
        <v>0.18286969593557392</v>
      </c>
      <c r="L48" s="403">
        <v>0.7961538461538461</v>
      </c>
      <c r="M48" s="403">
        <v>0.17876094980236759</v>
      </c>
      <c r="N48" s="403">
        <v>0.38696629103536512</v>
      </c>
      <c r="O48" s="403">
        <v>0.11538461538461539</v>
      </c>
      <c r="P48" s="403">
        <v>0.14033656915691634</v>
      </c>
      <c r="Q48" s="403">
        <v>0.41912551663064473</v>
      </c>
      <c r="R48" s="403">
        <v>2.6923076923076925E-2</v>
      </c>
      <c r="S48" s="403">
        <v>2.5942152439272247E-3</v>
      </c>
      <c r="T48" s="403">
        <v>1.0538714731816863E-2</v>
      </c>
      <c r="U48" s="403">
        <v>0</v>
      </c>
      <c r="V48" s="403">
        <v>0</v>
      </c>
      <c r="W48" s="403">
        <v>0</v>
      </c>
      <c r="X48" s="403">
        <v>0</v>
      </c>
      <c r="Y48" s="403">
        <v>0</v>
      </c>
      <c r="Z48" s="403">
        <v>0</v>
      </c>
      <c r="AA48" s="403">
        <v>0</v>
      </c>
      <c r="AB48" s="403">
        <v>0</v>
      </c>
      <c r="AC48" s="403">
        <v>0</v>
      </c>
      <c r="AD48" s="403">
        <v>0</v>
      </c>
      <c r="AE48" s="403">
        <v>0</v>
      </c>
      <c r="AF48" s="403">
        <v>0</v>
      </c>
      <c r="AG48" s="403">
        <v>0</v>
      </c>
      <c r="AH48" s="403">
        <v>0</v>
      </c>
      <c r="AI48" s="403">
        <v>0</v>
      </c>
      <c r="AJ48" s="403">
        <v>0</v>
      </c>
      <c r="AK48" s="403">
        <v>0</v>
      </c>
      <c r="AL48" s="403">
        <v>0</v>
      </c>
      <c r="AM48" s="403">
        <v>1</v>
      </c>
      <c r="AN48" s="403">
        <v>1</v>
      </c>
      <c r="AO48" s="403">
        <v>1</v>
      </c>
    </row>
    <row r="49" spans="1:41" ht="12.75" customHeight="1" x14ac:dyDescent="0.2">
      <c r="A49" s="618">
        <v>22</v>
      </c>
      <c r="B49" s="614" t="s">
        <v>21</v>
      </c>
      <c r="C49" s="401">
        <v>0</v>
      </c>
      <c r="D49" s="401">
        <v>0</v>
      </c>
      <c r="E49" s="401">
        <v>0</v>
      </c>
      <c r="F49" s="401">
        <v>0</v>
      </c>
      <c r="G49" s="401">
        <v>0</v>
      </c>
      <c r="H49" s="401">
        <v>0</v>
      </c>
      <c r="I49" s="401">
        <v>0</v>
      </c>
      <c r="J49" s="401">
        <v>0</v>
      </c>
      <c r="K49" s="401">
        <v>0</v>
      </c>
      <c r="L49" s="401">
        <v>10</v>
      </c>
      <c r="M49" s="401">
        <v>2.0806910550000004</v>
      </c>
      <c r="N49" s="401">
        <v>40334</v>
      </c>
      <c r="O49" s="401">
        <v>160</v>
      </c>
      <c r="P49" s="401">
        <v>163.75007240399992</v>
      </c>
      <c r="Q49" s="401">
        <v>362593</v>
      </c>
      <c r="R49" s="401">
        <v>0</v>
      </c>
      <c r="S49" s="401">
        <v>0</v>
      </c>
      <c r="T49" s="401">
        <v>0</v>
      </c>
      <c r="U49" s="401">
        <v>0</v>
      </c>
      <c r="V49" s="401">
        <v>0</v>
      </c>
      <c r="W49" s="401">
        <v>0</v>
      </c>
      <c r="X49" s="401">
        <v>0</v>
      </c>
      <c r="Y49" s="401">
        <v>0</v>
      </c>
      <c r="Z49" s="401">
        <v>0</v>
      </c>
      <c r="AA49" s="401">
        <v>0</v>
      </c>
      <c r="AB49" s="401">
        <v>0</v>
      </c>
      <c r="AC49" s="401">
        <v>0</v>
      </c>
      <c r="AD49" s="401">
        <v>0</v>
      </c>
      <c r="AE49" s="401">
        <v>0</v>
      </c>
      <c r="AF49" s="401">
        <v>0</v>
      </c>
      <c r="AG49" s="401">
        <v>0</v>
      </c>
      <c r="AH49" s="401">
        <v>0</v>
      </c>
      <c r="AI49" s="401">
        <v>0</v>
      </c>
      <c r="AJ49" s="401">
        <v>0</v>
      </c>
      <c r="AK49" s="401">
        <v>0</v>
      </c>
      <c r="AL49" s="401">
        <v>0</v>
      </c>
      <c r="AM49" s="401">
        <v>170</v>
      </c>
      <c r="AN49" s="401">
        <v>165.83076345899991</v>
      </c>
      <c r="AO49" s="401">
        <v>402927</v>
      </c>
    </row>
    <row r="50" spans="1:41" ht="15.75" customHeight="1" x14ac:dyDescent="0.2">
      <c r="A50" s="618"/>
      <c r="B50" s="614"/>
      <c r="C50" s="403">
        <v>0</v>
      </c>
      <c r="D50" s="403">
        <v>0</v>
      </c>
      <c r="E50" s="403">
        <v>0</v>
      </c>
      <c r="F50" s="403">
        <v>0</v>
      </c>
      <c r="G50" s="403">
        <v>0</v>
      </c>
      <c r="H50" s="403">
        <v>0</v>
      </c>
      <c r="I50" s="403">
        <v>0</v>
      </c>
      <c r="J50" s="403">
        <v>0</v>
      </c>
      <c r="K50" s="403">
        <v>0</v>
      </c>
      <c r="L50" s="403">
        <v>5.8823529411764705E-2</v>
      </c>
      <c r="M50" s="403">
        <v>1.2547075172300172E-2</v>
      </c>
      <c r="N50" s="403">
        <v>0.10010249995656781</v>
      </c>
      <c r="O50" s="403">
        <v>0.94117647058823528</v>
      </c>
      <c r="P50" s="403">
        <v>0.98745292482769986</v>
      </c>
      <c r="Q50" s="403">
        <v>0.89989750004343216</v>
      </c>
      <c r="R50" s="403">
        <v>0</v>
      </c>
      <c r="S50" s="403">
        <v>0</v>
      </c>
      <c r="T50" s="403">
        <v>0</v>
      </c>
      <c r="U50" s="403">
        <v>0</v>
      </c>
      <c r="V50" s="403">
        <v>0</v>
      </c>
      <c r="W50" s="403">
        <v>0</v>
      </c>
      <c r="X50" s="403">
        <v>0</v>
      </c>
      <c r="Y50" s="403">
        <v>0</v>
      </c>
      <c r="Z50" s="403">
        <v>0</v>
      </c>
      <c r="AA50" s="403">
        <v>0</v>
      </c>
      <c r="AB50" s="403">
        <v>0</v>
      </c>
      <c r="AC50" s="403">
        <v>0</v>
      </c>
      <c r="AD50" s="403">
        <v>0</v>
      </c>
      <c r="AE50" s="403">
        <v>0</v>
      </c>
      <c r="AF50" s="403">
        <v>0</v>
      </c>
      <c r="AG50" s="403">
        <v>0</v>
      </c>
      <c r="AH50" s="403">
        <v>0</v>
      </c>
      <c r="AI50" s="403">
        <v>0</v>
      </c>
      <c r="AJ50" s="403">
        <v>0</v>
      </c>
      <c r="AK50" s="403">
        <v>0</v>
      </c>
      <c r="AL50" s="403">
        <v>0</v>
      </c>
      <c r="AM50" s="403">
        <v>1</v>
      </c>
      <c r="AN50" s="403">
        <v>1</v>
      </c>
      <c r="AO50" s="403">
        <v>1</v>
      </c>
    </row>
    <row r="51" spans="1:41" ht="12.75" customHeight="1" x14ac:dyDescent="0.2">
      <c r="A51" s="618">
        <v>23</v>
      </c>
      <c r="B51" s="614" t="s">
        <v>22</v>
      </c>
      <c r="C51" s="401">
        <v>0</v>
      </c>
      <c r="D51" s="401">
        <v>0</v>
      </c>
      <c r="E51" s="401">
        <v>0</v>
      </c>
      <c r="F51" s="401">
        <v>0</v>
      </c>
      <c r="G51" s="401">
        <v>0</v>
      </c>
      <c r="H51" s="401">
        <v>0</v>
      </c>
      <c r="I51" s="401">
        <v>0</v>
      </c>
      <c r="J51" s="401">
        <v>0</v>
      </c>
      <c r="K51" s="401">
        <v>0</v>
      </c>
      <c r="L51" s="401">
        <v>0</v>
      </c>
      <c r="M51" s="401">
        <v>0</v>
      </c>
      <c r="N51" s="401">
        <v>0</v>
      </c>
      <c r="O51" s="401">
        <v>0</v>
      </c>
      <c r="P51" s="401">
        <v>0</v>
      </c>
      <c r="Q51" s="401">
        <v>0</v>
      </c>
      <c r="R51" s="401">
        <v>0</v>
      </c>
      <c r="S51" s="401">
        <v>0</v>
      </c>
      <c r="T51" s="401">
        <v>0</v>
      </c>
      <c r="U51" s="401">
        <v>0</v>
      </c>
      <c r="V51" s="401">
        <v>0</v>
      </c>
      <c r="W51" s="401">
        <v>0</v>
      </c>
      <c r="X51" s="401">
        <v>0</v>
      </c>
      <c r="Y51" s="401">
        <v>0</v>
      </c>
      <c r="Z51" s="401">
        <v>0</v>
      </c>
      <c r="AA51" s="401">
        <v>0</v>
      </c>
      <c r="AB51" s="401">
        <v>0</v>
      </c>
      <c r="AC51" s="401">
        <v>0</v>
      </c>
      <c r="AD51" s="401">
        <v>0</v>
      </c>
      <c r="AE51" s="401">
        <v>0</v>
      </c>
      <c r="AF51" s="401">
        <v>0</v>
      </c>
      <c r="AG51" s="401">
        <v>0</v>
      </c>
      <c r="AH51" s="401">
        <v>0</v>
      </c>
      <c r="AI51" s="401">
        <v>0</v>
      </c>
      <c r="AJ51" s="401">
        <v>0</v>
      </c>
      <c r="AK51" s="401">
        <v>0</v>
      </c>
      <c r="AL51" s="401">
        <v>0</v>
      </c>
      <c r="AM51" s="401">
        <v>0</v>
      </c>
      <c r="AN51" s="401">
        <v>0</v>
      </c>
      <c r="AO51" s="401">
        <v>0</v>
      </c>
    </row>
    <row r="52" spans="1:41" ht="15.75" customHeight="1" x14ac:dyDescent="0.2">
      <c r="A52" s="618"/>
      <c r="B52" s="614"/>
      <c r="C52" s="403"/>
      <c r="D52" s="403"/>
      <c r="E52" s="403"/>
      <c r="F52" s="403"/>
      <c r="G52" s="403"/>
      <c r="H52" s="403"/>
      <c r="I52" s="403"/>
      <c r="J52" s="403"/>
      <c r="K52" s="403"/>
      <c r="L52" s="403"/>
      <c r="M52" s="403"/>
      <c r="N52" s="403"/>
      <c r="O52" s="403"/>
      <c r="P52" s="403"/>
      <c r="Q52" s="403"/>
      <c r="R52" s="403"/>
      <c r="S52" s="403"/>
      <c r="T52" s="403"/>
      <c r="U52" s="403"/>
      <c r="V52" s="403"/>
      <c r="W52" s="403"/>
      <c r="X52" s="403"/>
      <c r="Y52" s="403"/>
      <c r="Z52" s="403"/>
      <c r="AA52" s="403"/>
      <c r="AB52" s="403"/>
      <c r="AC52" s="403"/>
      <c r="AD52" s="403"/>
      <c r="AE52" s="403"/>
      <c r="AF52" s="403"/>
      <c r="AG52" s="403"/>
      <c r="AH52" s="403"/>
      <c r="AI52" s="403"/>
      <c r="AJ52" s="403"/>
      <c r="AK52" s="403"/>
      <c r="AL52" s="403"/>
      <c r="AM52" s="403"/>
      <c r="AN52" s="403"/>
      <c r="AO52" s="403"/>
    </row>
    <row r="53" spans="1:41" ht="12.75" customHeight="1" x14ac:dyDescent="0.2">
      <c r="A53" s="618">
        <v>24</v>
      </c>
      <c r="B53" s="614" t="s">
        <v>23</v>
      </c>
      <c r="C53" s="401">
        <v>50</v>
      </c>
      <c r="D53" s="401">
        <v>486.63241336300001</v>
      </c>
      <c r="E53" s="401">
        <v>31594</v>
      </c>
      <c r="F53" s="401">
        <v>103</v>
      </c>
      <c r="G53" s="401">
        <v>3729.3456401610033</v>
      </c>
      <c r="H53" s="401">
        <v>792336</v>
      </c>
      <c r="I53" s="401">
        <v>4</v>
      </c>
      <c r="J53" s="401">
        <v>3.0529690789999999</v>
      </c>
      <c r="K53" s="401">
        <v>26995</v>
      </c>
      <c r="L53" s="401">
        <v>105</v>
      </c>
      <c r="M53" s="401">
        <v>224.21639143899998</v>
      </c>
      <c r="N53" s="401">
        <v>4840983</v>
      </c>
      <c r="O53" s="401">
        <v>321</v>
      </c>
      <c r="P53" s="401">
        <v>4767.1417991430008</v>
      </c>
      <c r="Q53" s="401">
        <v>17402941</v>
      </c>
      <c r="R53" s="401">
        <v>2</v>
      </c>
      <c r="S53" s="401">
        <v>6.2254596930000003</v>
      </c>
      <c r="T53" s="401">
        <v>224212</v>
      </c>
      <c r="U53" s="401">
        <v>0</v>
      </c>
      <c r="V53" s="401">
        <v>0</v>
      </c>
      <c r="W53" s="401">
        <v>0</v>
      </c>
      <c r="X53" s="401">
        <v>0</v>
      </c>
      <c r="Y53" s="401">
        <v>0</v>
      </c>
      <c r="Z53" s="401">
        <v>0</v>
      </c>
      <c r="AA53" s="401">
        <v>0</v>
      </c>
      <c r="AB53" s="401">
        <v>0.1208818</v>
      </c>
      <c r="AC53" s="401">
        <v>147</v>
      </c>
      <c r="AD53" s="401">
        <v>0</v>
      </c>
      <c r="AE53" s="401">
        <v>0</v>
      </c>
      <c r="AF53" s="401">
        <v>0</v>
      </c>
      <c r="AG53" s="401">
        <v>0</v>
      </c>
      <c r="AH53" s="401">
        <v>0</v>
      </c>
      <c r="AI53" s="401">
        <v>0</v>
      </c>
      <c r="AJ53" s="401">
        <v>0</v>
      </c>
      <c r="AK53" s="401">
        <v>0</v>
      </c>
      <c r="AL53" s="401">
        <v>0</v>
      </c>
      <c r="AM53" s="401">
        <v>585</v>
      </c>
      <c r="AN53" s="401">
        <v>9216.7355546780036</v>
      </c>
      <c r="AO53" s="401">
        <v>23319208</v>
      </c>
    </row>
    <row r="54" spans="1:41" ht="15.75" customHeight="1" x14ac:dyDescent="0.2">
      <c r="A54" s="618"/>
      <c r="B54" s="614"/>
      <c r="C54" s="403">
        <v>8.5470085470085472E-2</v>
      </c>
      <c r="D54" s="403">
        <v>5.2798782223496377E-2</v>
      </c>
      <c r="E54" s="403">
        <v>1.354848758156795E-3</v>
      </c>
      <c r="F54" s="403">
        <v>0.17606837606837608</v>
      </c>
      <c r="G54" s="403">
        <v>0.40462760573272105</v>
      </c>
      <c r="H54" s="403">
        <v>3.3977826348133261E-2</v>
      </c>
      <c r="I54" s="403">
        <v>6.8376068376068376E-3</v>
      </c>
      <c r="J54" s="403">
        <v>3.3124190890455234E-4</v>
      </c>
      <c r="K54" s="403">
        <v>1.1576293671723328E-3</v>
      </c>
      <c r="L54" s="403">
        <v>0.17948717948717949</v>
      </c>
      <c r="M54" s="403">
        <v>2.4327093916153182E-2</v>
      </c>
      <c r="N54" s="403">
        <v>0.2075963729128365</v>
      </c>
      <c r="O54" s="403">
        <v>0.54871794871794877</v>
      </c>
      <c r="P54" s="403">
        <v>0.51722670905138557</v>
      </c>
      <c r="Q54" s="403">
        <v>0.74629211249370042</v>
      </c>
      <c r="R54" s="403">
        <v>3.4188034188034188E-3</v>
      </c>
      <c r="S54" s="403">
        <v>6.7545169936444958E-4</v>
      </c>
      <c r="T54" s="403">
        <v>9.6149063038504564E-3</v>
      </c>
      <c r="U54" s="403">
        <v>0</v>
      </c>
      <c r="V54" s="403">
        <v>0</v>
      </c>
      <c r="W54" s="403">
        <v>0</v>
      </c>
      <c r="X54" s="403">
        <v>0</v>
      </c>
      <c r="Y54" s="403">
        <v>0</v>
      </c>
      <c r="Z54" s="403">
        <v>0</v>
      </c>
      <c r="AA54" s="403">
        <v>0</v>
      </c>
      <c r="AB54" s="403">
        <v>1.3115467974845584E-5</v>
      </c>
      <c r="AC54" s="403">
        <v>6.3038161501882912E-6</v>
      </c>
      <c r="AD54" s="403">
        <v>0</v>
      </c>
      <c r="AE54" s="403">
        <v>0</v>
      </c>
      <c r="AF54" s="403">
        <v>0</v>
      </c>
      <c r="AG54" s="403">
        <v>0</v>
      </c>
      <c r="AH54" s="403">
        <v>0</v>
      </c>
      <c r="AI54" s="403">
        <v>0</v>
      </c>
      <c r="AJ54" s="403">
        <v>0</v>
      </c>
      <c r="AK54" s="403">
        <v>0</v>
      </c>
      <c r="AL54" s="403">
        <v>0</v>
      </c>
      <c r="AM54" s="403">
        <v>1</v>
      </c>
      <c r="AN54" s="403">
        <v>1</v>
      </c>
      <c r="AO54" s="403">
        <v>1</v>
      </c>
    </row>
    <row r="55" spans="1:41" ht="12.75" customHeight="1" x14ac:dyDescent="0.2">
      <c r="A55" s="618">
        <v>25</v>
      </c>
      <c r="B55" s="614" t="s">
        <v>24</v>
      </c>
      <c r="C55" s="401">
        <v>0</v>
      </c>
      <c r="D55" s="401">
        <v>0</v>
      </c>
      <c r="E55" s="401">
        <v>0</v>
      </c>
      <c r="F55" s="401">
        <v>6</v>
      </c>
      <c r="G55" s="401">
        <v>0.57381420100000002</v>
      </c>
      <c r="H55" s="401">
        <v>765</v>
      </c>
      <c r="I55" s="401">
        <v>6</v>
      </c>
      <c r="J55" s="401">
        <v>529.16437031800069</v>
      </c>
      <c r="K55" s="401">
        <v>4499389</v>
      </c>
      <c r="L55" s="401">
        <v>58</v>
      </c>
      <c r="M55" s="401">
        <v>105.75093554300001</v>
      </c>
      <c r="N55" s="401">
        <v>478721</v>
      </c>
      <c r="O55" s="401">
        <v>43</v>
      </c>
      <c r="P55" s="401">
        <v>270.17135375199956</v>
      </c>
      <c r="Q55" s="401">
        <v>5085957</v>
      </c>
      <c r="R55" s="401">
        <v>0</v>
      </c>
      <c r="S55" s="401">
        <v>0</v>
      </c>
      <c r="T55" s="401">
        <v>0</v>
      </c>
      <c r="U55" s="401">
        <v>0</v>
      </c>
      <c r="V55" s="401">
        <v>0</v>
      </c>
      <c r="W55" s="401">
        <v>0</v>
      </c>
      <c r="X55" s="401">
        <v>0</v>
      </c>
      <c r="Y55" s="401">
        <v>0</v>
      </c>
      <c r="Z55" s="401">
        <v>0</v>
      </c>
      <c r="AA55" s="401">
        <v>0</v>
      </c>
      <c r="AB55" s="401">
        <v>0</v>
      </c>
      <c r="AC55" s="401">
        <v>0</v>
      </c>
      <c r="AD55" s="401">
        <v>0</v>
      </c>
      <c r="AE55" s="401">
        <v>0</v>
      </c>
      <c r="AF55" s="401">
        <v>0</v>
      </c>
      <c r="AG55" s="401">
        <v>0</v>
      </c>
      <c r="AH55" s="401">
        <v>0</v>
      </c>
      <c r="AI55" s="401">
        <v>0</v>
      </c>
      <c r="AJ55" s="401">
        <v>0</v>
      </c>
      <c r="AK55" s="401">
        <v>0</v>
      </c>
      <c r="AL55" s="401">
        <v>0</v>
      </c>
      <c r="AM55" s="401">
        <v>113</v>
      </c>
      <c r="AN55" s="401">
        <v>905.66047381400017</v>
      </c>
      <c r="AO55" s="401">
        <v>10064832</v>
      </c>
    </row>
    <row r="56" spans="1:41" ht="15.75" customHeight="1" x14ac:dyDescent="0.2">
      <c r="A56" s="618"/>
      <c r="B56" s="614"/>
      <c r="C56" s="403">
        <v>0</v>
      </c>
      <c r="D56" s="403">
        <v>0</v>
      </c>
      <c r="E56" s="403">
        <v>0</v>
      </c>
      <c r="F56" s="403">
        <v>5.3097345132743362E-2</v>
      </c>
      <c r="G56" s="403">
        <v>6.3358644612533568E-4</v>
      </c>
      <c r="H56" s="403">
        <v>7.6007229926937684E-5</v>
      </c>
      <c r="I56" s="403">
        <v>5.3097345132743362E-2</v>
      </c>
      <c r="J56" s="403">
        <v>0.58428559666464774</v>
      </c>
      <c r="K56" s="403">
        <v>0.44704064608331268</v>
      </c>
      <c r="L56" s="403">
        <v>0.51327433628318586</v>
      </c>
      <c r="M56" s="403">
        <v>0.11676664555940264</v>
      </c>
      <c r="N56" s="403">
        <v>4.756373479457978E-2</v>
      </c>
      <c r="O56" s="403">
        <v>0.38053097345132741</v>
      </c>
      <c r="P56" s="403">
        <v>0.29831417132982435</v>
      </c>
      <c r="Q56" s="403">
        <v>0.50531961189218066</v>
      </c>
      <c r="R56" s="403">
        <v>0</v>
      </c>
      <c r="S56" s="403">
        <v>0</v>
      </c>
      <c r="T56" s="403">
        <v>0</v>
      </c>
      <c r="U56" s="403">
        <v>0</v>
      </c>
      <c r="V56" s="403">
        <v>0</v>
      </c>
      <c r="W56" s="403">
        <v>0</v>
      </c>
      <c r="X56" s="403">
        <v>0</v>
      </c>
      <c r="Y56" s="403">
        <v>0</v>
      </c>
      <c r="Z56" s="403">
        <v>0</v>
      </c>
      <c r="AA56" s="403">
        <v>0</v>
      </c>
      <c r="AB56" s="403">
        <v>0</v>
      </c>
      <c r="AC56" s="403">
        <v>0</v>
      </c>
      <c r="AD56" s="403">
        <v>0</v>
      </c>
      <c r="AE56" s="403">
        <v>0</v>
      </c>
      <c r="AF56" s="403">
        <v>0</v>
      </c>
      <c r="AG56" s="403">
        <v>0</v>
      </c>
      <c r="AH56" s="403">
        <v>0</v>
      </c>
      <c r="AI56" s="403">
        <v>0</v>
      </c>
      <c r="AJ56" s="403">
        <v>0</v>
      </c>
      <c r="AK56" s="403">
        <v>0</v>
      </c>
      <c r="AL56" s="403">
        <v>0</v>
      </c>
      <c r="AM56" s="403">
        <v>1</v>
      </c>
      <c r="AN56" s="403">
        <v>1</v>
      </c>
      <c r="AO56" s="403">
        <v>1</v>
      </c>
    </row>
    <row r="57" spans="1:41" x14ac:dyDescent="0.2">
      <c r="A57" s="618">
        <v>26</v>
      </c>
      <c r="B57" s="614" t="s">
        <v>25</v>
      </c>
      <c r="C57" s="401">
        <v>0</v>
      </c>
      <c r="D57" s="401">
        <v>1.1088E-5</v>
      </c>
      <c r="E57" s="401">
        <v>0</v>
      </c>
      <c r="F57" s="401">
        <v>17</v>
      </c>
      <c r="G57" s="401">
        <v>365.0720627</v>
      </c>
      <c r="H57" s="401">
        <v>3754231</v>
      </c>
      <c r="I57" s="401">
        <v>2</v>
      </c>
      <c r="J57" s="401">
        <v>5.1225677999999997</v>
      </c>
      <c r="K57" s="401">
        <v>4200</v>
      </c>
      <c r="L57" s="401">
        <v>14</v>
      </c>
      <c r="M57" s="401">
        <v>21.725543630000001</v>
      </c>
      <c r="N57" s="401">
        <v>474008</v>
      </c>
      <c r="O57" s="401">
        <v>62</v>
      </c>
      <c r="P57" s="401">
        <v>2210.3530823999999</v>
      </c>
      <c r="Q57" s="401">
        <v>87817</v>
      </c>
      <c r="R57" s="401">
        <v>0</v>
      </c>
      <c r="S57" s="401">
        <v>0</v>
      </c>
      <c r="T57" s="401">
        <v>0</v>
      </c>
      <c r="U57" s="401">
        <v>0</v>
      </c>
      <c r="V57" s="401">
        <v>0</v>
      </c>
      <c r="W57" s="401">
        <v>0</v>
      </c>
      <c r="X57" s="401">
        <v>0</v>
      </c>
      <c r="Y57" s="401">
        <v>0</v>
      </c>
      <c r="Z57" s="401">
        <v>0</v>
      </c>
      <c r="AA57" s="401">
        <v>0</v>
      </c>
      <c r="AB57" s="401">
        <v>0</v>
      </c>
      <c r="AC57" s="401">
        <v>0</v>
      </c>
      <c r="AD57" s="401">
        <v>0</v>
      </c>
      <c r="AE57" s="401">
        <v>0</v>
      </c>
      <c r="AF57" s="401">
        <v>0</v>
      </c>
      <c r="AG57" s="401">
        <v>0</v>
      </c>
      <c r="AH57" s="401">
        <v>0</v>
      </c>
      <c r="AI57" s="401">
        <v>0</v>
      </c>
      <c r="AJ57" s="401">
        <v>0</v>
      </c>
      <c r="AK57" s="401">
        <v>0</v>
      </c>
      <c r="AL57" s="401">
        <v>0</v>
      </c>
      <c r="AM57" s="401">
        <v>95</v>
      </c>
      <c r="AN57" s="401">
        <v>2602.2732676179999</v>
      </c>
      <c r="AO57" s="401">
        <v>4320256</v>
      </c>
    </row>
    <row r="58" spans="1:41" ht="15.75" customHeight="1" x14ac:dyDescent="0.2">
      <c r="A58" s="618"/>
      <c r="B58" s="614"/>
      <c r="C58" s="403">
        <v>0</v>
      </c>
      <c r="D58" s="403">
        <v>4.2608899449478031E-9</v>
      </c>
      <c r="E58" s="403">
        <v>0</v>
      </c>
      <c r="F58" s="403">
        <v>0.17894736842105263</v>
      </c>
      <c r="G58" s="403">
        <v>0.1402896718199661</v>
      </c>
      <c r="H58" s="403">
        <v>0.86898345838765112</v>
      </c>
      <c r="I58" s="403">
        <v>2.1052631578947368E-2</v>
      </c>
      <c r="J58" s="403">
        <v>1.9684972611231409E-3</v>
      </c>
      <c r="K58" s="403">
        <v>9.7216461246740933E-4</v>
      </c>
      <c r="L58" s="403">
        <v>0.14736842105263157</v>
      </c>
      <c r="M58" s="403">
        <v>8.3486787880223488E-3</v>
      </c>
      <c r="N58" s="403">
        <v>0.10971757229201233</v>
      </c>
      <c r="O58" s="403">
        <v>0.65263157894736845</v>
      </c>
      <c r="P58" s="403">
        <v>0.84939314786999853</v>
      </c>
      <c r="Q58" s="403">
        <v>2.0326804707869163E-2</v>
      </c>
      <c r="R58" s="403">
        <v>0</v>
      </c>
      <c r="S58" s="403">
        <v>0</v>
      </c>
      <c r="T58" s="403">
        <v>0</v>
      </c>
      <c r="U58" s="403">
        <v>0</v>
      </c>
      <c r="V58" s="403">
        <v>0</v>
      </c>
      <c r="W58" s="403">
        <v>0</v>
      </c>
      <c r="X58" s="403">
        <v>0</v>
      </c>
      <c r="Y58" s="403">
        <v>0</v>
      </c>
      <c r="Z58" s="403">
        <v>0</v>
      </c>
      <c r="AA58" s="403">
        <v>0</v>
      </c>
      <c r="AB58" s="403">
        <v>0</v>
      </c>
      <c r="AC58" s="403">
        <v>0</v>
      </c>
      <c r="AD58" s="403">
        <v>0</v>
      </c>
      <c r="AE58" s="403">
        <v>0</v>
      </c>
      <c r="AF58" s="403">
        <v>0</v>
      </c>
      <c r="AG58" s="403">
        <v>0</v>
      </c>
      <c r="AH58" s="403">
        <v>0</v>
      </c>
      <c r="AI58" s="403">
        <v>0</v>
      </c>
      <c r="AJ58" s="403">
        <v>0</v>
      </c>
      <c r="AK58" s="403">
        <v>0</v>
      </c>
      <c r="AL58" s="403">
        <v>0</v>
      </c>
      <c r="AM58" s="403">
        <v>1</v>
      </c>
      <c r="AN58" s="403">
        <v>1</v>
      </c>
      <c r="AO58" s="403">
        <v>1</v>
      </c>
    </row>
    <row r="59" spans="1:41" ht="12.75" customHeight="1" x14ac:dyDescent="0.2">
      <c r="A59" s="618">
        <v>27</v>
      </c>
      <c r="B59" s="614" t="s">
        <v>26</v>
      </c>
      <c r="C59" s="401">
        <v>45</v>
      </c>
      <c r="D59" s="401">
        <v>60.177494727999999</v>
      </c>
      <c r="E59" s="401">
        <v>12242</v>
      </c>
      <c r="F59" s="401">
        <v>4</v>
      </c>
      <c r="G59" s="401">
        <v>38.960180687000019</v>
      </c>
      <c r="H59" s="401">
        <v>37604</v>
      </c>
      <c r="I59" s="401">
        <v>12</v>
      </c>
      <c r="J59" s="401">
        <v>313.59728742605915</v>
      </c>
      <c r="K59" s="401">
        <v>427383</v>
      </c>
      <c r="L59" s="401">
        <v>346</v>
      </c>
      <c r="M59" s="401">
        <v>130.92225511400062</v>
      </c>
      <c r="N59" s="401">
        <v>840227</v>
      </c>
      <c r="O59" s="401">
        <v>75</v>
      </c>
      <c r="P59" s="401">
        <v>497.93218705499208</v>
      </c>
      <c r="Q59" s="401">
        <v>1335510</v>
      </c>
      <c r="R59" s="401">
        <v>0</v>
      </c>
      <c r="S59" s="401">
        <v>0</v>
      </c>
      <c r="T59" s="401">
        <v>0</v>
      </c>
      <c r="U59" s="401">
        <v>0</v>
      </c>
      <c r="V59" s="401">
        <v>0</v>
      </c>
      <c r="W59" s="401">
        <v>0</v>
      </c>
      <c r="X59" s="401">
        <v>0</v>
      </c>
      <c r="Y59" s="401">
        <v>0</v>
      </c>
      <c r="Z59" s="401">
        <v>0</v>
      </c>
      <c r="AA59" s="401">
        <v>0</v>
      </c>
      <c r="AB59" s="401">
        <v>0</v>
      </c>
      <c r="AC59" s="401">
        <v>0</v>
      </c>
      <c r="AD59" s="401">
        <v>0</v>
      </c>
      <c r="AE59" s="401">
        <v>0</v>
      </c>
      <c r="AF59" s="401">
        <v>0</v>
      </c>
      <c r="AG59" s="401">
        <v>0</v>
      </c>
      <c r="AH59" s="401">
        <v>0</v>
      </c>
      <c r="AI59" s="401">
        <v>0</v>
      </c>
      <c r="AJ59" s="401">
        <v>0</v>
      </c>
      <c r="AK59" s="401">
        <v>0</v>
      </c>
      <c r="AL59" s="401">
        <v>0</v>
      </c>
      <c r="AM59" s="401">
        <v>482</v>
      </c>
      <c r="AN59" s="401">
        <v>1041.5894050100519</v>
      </c>
      <c r="AO59" s="401">
        <v>2652966</v>
      </c>
    </row>
    <row r="60" spans="1:41" ht="15.75" customHeight="1" x14ac:dyDescent="0.2">
      <c r="A60" s="618"/>
      <c r="B60" s="614"/>
      <c r="C60" s="403">
        <v>9.3360995850622408E-2</v>
      </c>
      <c r="D60" s="403">
        <v>5.7774680155679249E-2</v>
      </c>
      <c r="E60" s="403">
        <v>4.6144579312362086E-3</v>
      </c>
      <c r="F60" s="403">
        <v>8.2987551867219917E-3</v>
      </c>
      <c r="G60" s="403">
        <v>3.7404547799354808E-2</v>
      </c>
      <c r="H60" s="403">
        <v>1.4174324133818526E-2</v>
      </c>
      <c r="I60" s="403">
        <v>2.4896265560165973E-2</v>
      </c>
      <c r="J60" s="403">
        <v>0.30107572707407942</v>
      </c>
      <c r="K60" s="403">
        <v>0.16109629750249344</v>
      </c>
      <c r="L60" s="403">
        <v>0.71784232365145229</v>
      </c>
      <c r="M60" s="403">
        <v>0.12569468783405793</v>
      </c>
      <c r="N60" s="403">
        <v>0.31671231368965902</v>
      </c>
      <c r="O60" s="403">
        <v>0.15560165975103735</v>
      </c>
      <c r="P60" s="403">
        <v>0.47805035713682859</v>
      </c>
      <c r="Q60" s="403">
        <v>0.5034026067427928</v>
      </c>
      <c r="R60" s="403">
        <v>0</v>
      </c>
      <c r="S60" s="403">
        <v>0</v>
      </c>
      <c r="T60" s="403">
        <v>0</v>
      </c>
      <c r="U60" s="403">
        <v>0</v>
      </c>
      <c r="V60" s="403">
        <v>0</v>
      </c>
      <c r="W60" s="403">
        <v>0</v>
      </c>
      <c r="X60" s="403">
        <v>0</v>
      </c>
      <c r="Y60" s="403">
        <v>0</v>
      </c>
      <c r="Z60" s="403">
        <v>0</v>
      </c>
      <c r="AA60" s="403">
        <v>0</v>
      </c>
      <c r="AB60" s="403">
        <v>0</v>
      </c>
      <c r="AC60" s="403">
        <v>0</v>
      </c>
      <c r="AD60" s="403">
        <v>0</v>
      </c>
      <c r="AE60" s="403">
        <v>0</v>
      </c>
      <c r="AF60" s="403">
        <v>0</v>
      </c>
      <c r="AG60" s="403">
        <v>0</v>
      </c>
      <c r="AH60" s="403">
        <v>0</v>
      </c>
      <c r="AI60" s="403">
        <v>0</v>
      </c>
      <c r="AJ60" s="403">
        <v>0</v>
      </c>
      <c r="AK60" s="403">
        <v>0</v>
      </c>
      <c r="AL60" s="403">
        <v>0</v>
      </c>
      <c r="AM60" s="403">
        <v>1</v>
      </c>
      <c r="AN60" s="403">
        <v>1</v>
      </c>
      <c r="AO60" s="403">
        <v>1</v>
      </c>
    </row>
    <row r="61" spans="1:41" x14ac:dyDescent="0.2">
      <c r="A61" s="620"/>
      <c r="B61" s="621" t="s">
        <v>27</v>
      </c>
      <c r="C61" s="401">
        <v>524</v>
      </c>
      <c r="D61" s="401">
        <v>938.63469642099994</v>
      </c>
      <c r="E61" s="401">
        <v>221494</v>
      </c>
      <c r="F61" s="401">
        <v>907</v>
      </c>
      <c r="G61" s="401">
        <v>14243.183184152871</v>
      </c>
      <c r="H61" s="401">
        <v>64491640</v>
      </c>
      <c r="I61" s="401">
        <v>394</v>
      </c>
      <c r="J61" s="401">
        <v>11567.610348330882</v>
      </c>
      <c r="K61" s="401">
        <v>49819126</v>
      </c>
      <c r="L61" s="401">
        <v>8670</v>
      </c>
      <c r="M61" s="401">
        <v>4869.9561187380441</v>
      </c>
      <c r="N61" s="401">
        <v>33013928</v>
      </c>
      <c r="O61" s="401">
        <v>3461</v>
      </c>
      <c r="P61" s="401">
        <v>35100.08067984246</v>
      </c>
      <c r="Q61" s="401">
        <v>56357007</v>
      </c>
      <c r="R61" s="401">
        <v>14</v>
      </c>
      <c r="S61" s="401">
        <v>171.9161137750088</v>
      </c>
      <c r="T61" s="401">
        <v>2910195</v>
      </c>
      <c r="U61" s="401">
        <v>0</v>
      </c>
      <c r="V61" s="401">
        <v>0</v>
      </c>
      <c r="W61" s="401">
        <v>0</v>
      </c>
      <c r="X61" s="401">
        <v>0</v>
      </c>
      <c r="Y61" s="401">
        <v>0</v>
      </c>
      <c r="Z61" s="401">
        <v>0</v>
      </c>
      <c r="AA61" s="401">
        <v>23</v>
      </c>
      <c r="AB61" s="401">
        <v>27.370089545999992</v>
      </c>
      <c r="AC61" s="401">
        <v>153890</v>
      </c>
      <c r="AD61" s="401">
        <v>0</v>
      </c>
      <c r="AE61" s="401">
        <v>6.9528110000000006E-3</v>
      </c>
      <c r="AF61" s="401">
        <v>0</v>
      </c>
      <c r="AG61" s="401">
        <v>0</v>
      </c>
      <c r="AH61" s="401">
        <v>0</v>
      </c>
      <c r="AI61" s="401">
        <v>0</v>
      </c>
      <c r="AJ61" s="401">
        <v>0</v>
      </c>
      <c r="AK61" s="401">
        <v>0</v>
      </c>
      <c r="AL61" s="401">
        <v>0</v>
      </c>
      <c r="AM61" s="401">
        <v>13993</v>
      </c>
      <c r="AN61" s="401">
        <v>66918.758183617261</v>
      </c>
      <c r="AO61" s="401">
        <v>206967280</v>
      </c>
    </row>
    <row r="62" spans="1:41" ht="15.75" customHeight="1" x14ac:dyDescent="0.2">
      <c r="A62" s="620"/>
      <c r="B62" s="621"/>
      <c r="C62" s="403">
        <v>3.7447295076109485E-2</v>
      </c>
      <c r="D62" s="403">
        <v>1.4026481092872285E-2</v>
      </c>
      <c r="E62" s="403">
        <v>1.0701884858321568E-3</v>
      </c>
      <c r="F62" s="403">
        <v>6.4818123347387985E-2</v>
      </c>
      <c r="G62" s="403">
        <v>0.21284290938381192</v>
      </c>
      <c r="H62" s="403">
        <v>0.31160307078490862</v>
      </c>
      <c r="I62" s="403">
        <v>2.8156935610662473E-2</v>
      </c>
      <c r="J62" s="403">
        <v>0.17286050522023599</v>
      </c>
      <c r="K62" s="403">
        <v>0.2407101547645599</v>
      </c>
      <c r="L62" s="403">
        <v>0.61959551204173513</v>
      </c>
      <c r="M62" s="403">
        <v>7.2774155571976584E-2</v>
      </c>
      <c r="N62" s="403">
        <v>0.15951278868814434</v>
      </c>
      <c r="O62" s="403">
        <v>0.24733795469163153</v>
      </c>
      <c r="P62" s="403">
        <v>0.52451781283107402</v>
      </c>
      <c r="Q62" s="403">
        <v>0.2722991141401675</v>
      </c>
      <c r="R62" s="403">
        <v>1.0005002501250625E-3</v>
      </c>
      <c r="S62" s="403">
        <v>2.5690272569507499E-3</v>
      </c>
      <c r="T62" s="403">
        <v>1.406113565390626E-2</v>
      </c>
      <c r="U62" s="403">
        <v>0</v>
      </c>
      <c r="V62" s="403">
        <v>0</v>
      </c>
      <c r="W62" s="403">
        <v>0</v>
      </c>
      <c r="X62" s="403">
        <v>0</v>
      </c>
      <c r="Y62" s="403">
        <v>0</v>
      </c>
      <c r="Z62" s="403">
        <v>0</v>
      </c>
      <c r="AA62" s="403">
        <v>1.643678982348317E-3</v>
      </c>
      <c r="AB62" s="403">
        <v>4.0900474379544914E-4</v>
      </c>
      <c r="AC62" s="403">
        <v>7.4354748248128886E-4</v>
      </c>
      <c r="AD62" s="403">
        <v>0</v>
      </c>
      <c r="AE62" s="403">
        <v>1.0389928308176757E-7</v>
      </c>
      <c r="AF62" s="403">
        <v>0</v>
      </c>
      <c r="AG62" s="403">
        <v>0</v>
      </c>
      <c r="AH62" s="403">
        <v>0</v>
      </c>
      <c r="AI62" s="403">
        <v>0</v>
      </c>
      <c r="AJ62" s="403">
        <v>0</v>
      </c>
      <c r="AK62" s="403">
        <v>0</v>
      </c>
      <c r="AL62" s="403">
        <v>0</v>
      </c>
      <c r="AM62" s="403">
        <v>1</v>
      </c>
      <c r="AN62" s="403">
        <v>1</v>
      </c>
      <c r="AO62" s="403">
        <v>1</v>
      </c>
    </row>
    <row r="63" spans="1:41" x14ac:dyDescent="0.2">
      <c r="A63" s="620"/>
      <c r="B63" s="621" t="s">
        <v>28</v>
      </c>
      <c r="C63" s="401">
        <v>5216</v>
      </c>
      <c r="D63" s="401">
        <v>4334.5913868999996</v>
      </c>
      <c r="E63" s="401">
        <v>3573235</v>
      </c>
      <c r="F63" s="401">
        <v>1174</v>
      </c>
      <c r="G63" s="401">
        <v>14403.148516419871</v>
      </c>
      <c r="H63" s="401">
        <v>64760209</v>
      </c>
      <c r="I63" s="401">
        <v>1529</v>
      </c>
      <c r="J63" s="401">
        <v>11592.175312293881</v>
      </c>
      <c r="K63" s="401">
        <v>50755796</v>
      </c>
      <c r="L63" s="401">
        <v>9634</v>
      </c>
      <c r="M63" s="401">
        <v>5260.5310713340441</v>
      </c>
      <c r="N63" s="401">
        <v>37792508</v>
      </c>
      <c r="O63" s="401">
        <v>28671</v>
      </c>
      <c r="P63" s="401">
        <v>195394.29708625545</v>
      </c>
      <c r="Q63" s="401">
        <v>93185000</v>
      </c>
      <c r="R63" s="401">
        <v>14</v>
      </c>
      <c r="S63" s="401">
        <v>171.9161137750088</v>
      </c>
      <c r="T63" s="401">
        <v>2910195</v>
      </c>
      <c r="U63" s="401">
        <v>0</v>
      </c>
      <c r="V63" s="401">
        <v>0</v>
      </c>
      <c r="W63" s="401">
        <v>0</v>
      </c>
      <c r="X63" s="401">
        <v>0</v>
      </c>
      <c r="Y63" s="401">
        <v>0</v>
      </c>
      <c r="Z63" s="401">
        <v>0</v>
      </c>
      <c r="AA63" s="401">
        <v>23</v>
      </c>
      <c r="AB63" s="401">
        <v>27.370089545999992</v>
      </c>
      <c r="AC63" s="401">
        <v>153890</v>
      </c>
      <c r="AD63" s="401">
        <v>0</v>
      </c>
      <c r="AE63" s="401">
        <v>6.9528110000000006E-3</v>
      </c>
      <c r="AF63" s="401">
        <v>0</v>
      </c>
      <c r="AG63" s="401">
        <v>0</v>
      </c>
      <c r="AH63" s="401">
        <v>0</v>
      </c>
      <c r="AI63" s="401">
        <v>0</v>
      </c>
      <c r="AJ63" s="401">
        <v>0</v>
      </c>
      <c r="AK63" s="401">
        <v>0</v>
      </c>
      <c r="AL63" s="401">
        <v>0</v>
      </c>
      <c r="AM63" s="401">
        <v>46261</v>
      </c>
      <c r="AN63" s="401">
        <v>231184.03652933525</v>
      </c>
      <c r="AO63" s="401">
        <v>253130833</v>
      </c>
    </row>
    <row r="64" spans="1:41" ht="15.75" customHeight="1" x14ac:dyDescent="0.2">
      <c r="A64" s="620"/>
      <c r="B64" s="621"/>
      <c r="C64" s="403">
        <v>0.11275156179070923</v>
      </c>
      <c r="D64" s="403">
        <v>1.8749527225033886E-2</v>
      </c>
      <c r="E64" s="403">
        <v>1.4116158658554251E-2</v>
      </c>
      <c r="F64" s="403">
        <v>2.5377747995071441E-2</v>
      </c>
      <c r="G64" s="403">
        <v>6.230165686458302E-2</v>
      </c>
      <c r="H64" s="403">
        <v>0.255836905494638</v>
      </c>
      <c r="I64" s="403">
        <v>3.3051598538725926E-2</v>
      </c>
      <c r="J64" s="403">
        <v>5.0142628731300549E-2</v>
      </c>
      <c r="K64" s="403">
        <v>0.20051210434724087</v>
      </c>
      <c r="L64" s="403">
        <v>0.20825317221849937</v>
      </c>
      <c r="M64" s="403">
        <v>2.275473320004311E-2</v>
      </c>
      <c r="N64" s="403">
        <v>0.14930029484002053</v>
      </c>
      <c r="O64" s="403">
        <v>0.61976610968202162</v>
      </c>
      <c r="P64" s="403">
        <v>0.8451893998375688</v>
      </c>
      <c r="Q64" s="403">
        <v>0.36812978844027272</v>
      </c>
      <c r="R64" s="403">
        <v>3.0263072566524721E-4</v>
      </c>
      <c r="S64" s="403">
        <v>7.4363315199401378E-4</v>
      </c>
      <c r="T64" s="403">
        <v>1.149680173493523E-2</v>
      </c>
      <c r="U64" s="403">
        <v>0</v>
      </c>
      <c r="V64" s="403">
        <v>0</v>
      </c>
      <c r="W64" s="403">
        <v>0</v>
      </c>
      <c r="X64" s="403">
        <v>0</v>
      </c>
      <c r="Y64" s="403">
        <v>0</v>
      </c>
      <c r="Z64" s="403">
        <v>0</v>
      </c>
      <c r="AA64" s="403">
        <v>4.9717904930719184E-4</v>
      </c>
      <c r="AB64" s="403">
        <v>1.1839091468812106E-4</v>
      </c>
      <c r="AC64" s="403">
        <v>6.0794648433839746E-4</v>
      </c>
      <c r="AD64" s="403">
        <v>0</v>
      </c>
      <c r="AE64" s="403">
        <v>3.007478848617538E-8</v>
      </c>
      <c r="AF64" s="403">
        <v>0</v>
      </c>
      <c r="AG64" s="403">
        <v>0</v>
      </c>
      <c r="AH64" s="403">
        <v>0</v>
      </c>
      <c r="AI64" s="403">
        <v>0</v>
      </c>
      <c r="AJ64" s="403">
        <v>0</v>
      </c>
      <c r="AK64" s="403">
        <v>0</v>
      </c>
      <c r="AL64" s="403">
        <v>0</v>
      </c>
      <c r="AM64" s="403">
        <v>1</v>
      </c>
      <c r="AN64" s="403">
        <v>1</v>
      </c>
      <c r="AO64" s="403">
        <v>1</v>
      </c>
    </row>
    <row r="65" spans="1:41" ht="29.25" customHeight="1" x14ac:dyDescent="0.2">
      <c r="A65" s="623" t="s">
        <v>228</v>
      </c>
      <c r="B65" s="623"/>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1"/>
      <c r="AN65" s="41"/>
      <c r="AO65" s="41"/>
    </row>
    <row r="66" spans="1:41" ht="32.25" customHeight="1" x14ac:dyDescent="0.2">
      <c r="A66" s="623" t="s">
        <v>57</v>
      </c>
      <c r="B66" s="623"/>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row>
    <row r="67" spans="1:41" ht="16.5" customHeight="1" x14ac:dyDescent="0.2">
      <c r="A67" s="20" t="s">
        <v>56</v>
      </c>
      <c r="B67" s="21"/>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c r="AA67" s="100"/>
      <c r="AB67" s="100"/>
      <c r="AC67" s="100"/>
      <c r="AD67" s="100"/>
      <c r="AE67" s="100"/>
      <c r="AF67" s="100"/>
      <c r="AG67" s="100"/>
      <c r="AH67" s="100"/>
      <c r="AI67" s="100"/>
      <c r="AJ67" s="100"/>
      <c r="AK67" s="100"/>
      <c r="AL67" s="100"/>
      <c r="AM67" s="100"/>
      <c r="AN67" s="100"/>
      <c r="AO67" s="100"/>
    </row>
    <row r="68" spans="1:41" ht="57.75" customHeight="1" x14ac:dyDescent="0.2">
      <c r="A68" s="609" t="s">
        <v>220</v>
      </c>
      <c r="B68" s="609"/>
      <c r="C68" s="32"/>
      <c r="D68" s="32"/>
      <c r="E68" s="32"/>
      <c r="F68" s="32"/>
      <c r="G68" s="32"/>
      <c r="H68" s="32"/>
      <c r="I68" s="32"/>
      <c r="J68" s="32"/>
      <c r="K68" s="32"/>
      <c r="L68" s="32"/>
      <c r="M68" s="32"/>
      <c r="N68" s="32"/>
      <c r="O68" s="32"/>
      <c r="P68" s="32"/>
      <c r="Q68" s="32"/>
      <c r="R68" s="32"/>
      <c r="S68" s="32"/>
      <c r="T68" s="32"/>
      <c r="U68" s="32"/>
      <c r="V68" s="32"/>
      <c r="W68" s="32"/>
      <c r="X68" s="32"/>
      <c r="Y68" s="32"/>
      <c r="Z68" s="13"/>
      <c r="AA68" s="13"/>
      <c r="AB68" s="13"/>
      <c r="AC68" s="13"/>
      <c r="AD68" s="13"/>
      <c r="AE68" s="13"/>
      <c r="AF68" s="13"/>
      <c r="AG68" s="13"/>
      <c r="AH68" s="13"/>
      <c r="AI68" s="13"/>
      <c r="AJ68" s="13"/>
      <c r="AK68" s="13"/>
      <c r="AL68" s="13"/>
      <c r="AM68" s="29"/>
      <c r="AN68" s="30"/>
      <c r="AO68" s="31"/>
    </row>
    <row r="69" spans="1:41" ht="24" customHeight="1" x14ac:dyDescent="0.2">
      <c r="A69" s="609" t="s">
        <v>221</v>
      </c>
      <c r="B69" s="609"/>
      <c r="C69" s="21"/>
      <c r="D69" s="21"/>
      <c r="E69" s="21"/>
      <c r="F69" s="21"/>
      <c r="G69" s="21"/>
      <c r="H69" s="21"/>
      <c r="I69" s="21"/>
      <c r="J69" s="21"/>
      <c r="K69" s="21"/>
      <c r="L69" s="21"/>
      <c r="M69" s="21"/>
      <c r="N69" s="21"/>
      <c r="O69" s="21"/>
      <c r="P69" s="21"/>
      <c r="Q69" s="21"/>
      <c r="R69" s="21"/>
      <c r="S69" s="21"/>
      <c r="T69" s="21"/>
      <c r="U69" s="21"/>
      <c r="V69" s="21"/>
      <c r="W69" s="21"/>
      <c r="X69" s="21"/>
      <c r="Y69" s="21"/>
      <c r="AM69" s="42"/>
      <c r="AO69" s="20"/>
    </row>
    <row r="70" spans="1:41" ht="29.25" customHeight="1" x14ac:dyDescent="0.2">
      <c r="A70" s="609" t="s">
        <v>53</v>
      </c>
      <c r="B70" s="609"/>
      <c r="C70" s="623"/>
      <c r="D70" s="623"/>
      <c r="E70" s="623"/>
      <c r="F70" s="623"/>
      <c r="G70" s="623"/>
      <c r="H70" s="623"/>
      <c r="I70" s="623"/>
      <c r="J70" s="623"/>
      <c r="K70" s="623"/>
      <c r="L70" s="623"/>
      <c r="M70" s="623"/>
      <c r="N70" s="623"/>
      <c r="O70" s="425"/>
      <c r="P70" s="425"/>
      <c r="Q70" s="425"/>
      <c r="R70" s="425"/>
      <c r="S70" s="425"/>
      <c r="T70" s="425"/>
      <c r="U70" s="425"/>
      <c r="V70" s="425"/>
      <c r="W70" s="425"/>
      <c r="X70" s="425"/>
      <c r="Y70" s="425"/>
      <c r="Z70" s="17"/>
      <c r="AA70" s="17"/>
      <c r="AB70" s="17"/>
      <c r="AC70" s="17"/>
      <c r="AD70" s="17"/>
      <c r="AE70" s="17"/>
      <c r="AF70" s="17"/>
      <c r="AG70" s="17"/>
      <c r="AH70" s="17"/>
      <c r="AI70" s="17"/>
      <c r="AJ70" s="17"/>
      <c r="AK70" s="17"/>
      <c r="AL70" s="17"/>
      <c r="AM70" s="19"/>
      <c r="AO70" s="43"/>
    </row>
    <row r="71" spans="1:41" ht="78.75" customHeight="1" x14ac:dyDescent="0.2">
      <c r="A71" s="609" t="s">
        <v>296</v>
      </c>
      <c r="B71" s="609"/>
      <c r="AO71" s="20"/>
    </row>
    <row r="72" spans="1:41" ht="12.95" customHeight="1" x14ac:dyDescent="0.2">
      <c r="A72" s="609" t="s">
        <v>397</v>
      </c>
      <c r="B72" s="609"/>
      <c r="C72" s="609"/>
      <c r="D72" s="609"/>
      <c r="E72" s="609"/>
      <c r="F72" s="609"/>
      <c r="G72" s="609"/>
      <c r="H72" s="609"/>
      <c r="I72" s="609"/>
      <c r="J72" s="609"/>
      <c r="K72" s="609"/>
      <c r="L72" s="609"/>
      <c r="AO72" s="20"/>
    </row>
    <row r="73" spans="1:41" x14ac:dyDescent="0.2">
      <c r="A73" s="610"/>
      <c r="B73" s="610"/>
      <c r="AM73" s="16"/>
      <c r="AN73" s="16"/>
      <c r="AO73" s="16"/>
    </row>
    <row r="74" spans="1:41" x14ac:dyDescent="0.2">
      <c r="A74" s="610"/>
      <c r="B74" s="610"/>
      <c r="AO74" s="20"/>
    </row>
    <row r="75" spans="1:41" x14ac:dyDescent="0.2">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6"/>
      <c r="AN75" s="16"/>
      <c r="AO75" s="16"/>
    </row>
    <row r="76" spans="1:41" x14ac:dyDescent="0.2">
      <c r="AO76" s="20"/>
    </row>
    <row r="77" spans="1:41" x14ac:dyDescent="0.2">
      <c r="AO77" s="20"/>
    </row>
    <row r="78" spans="1:41" x14ac:dyDescent="0.2">
      <c r="AO78" s="20"/>
    </row>
    <row r="79" spans="1:41" x14ac:dyDescent="0.2">
      <c r="AO79" s="20"/>
    </row>
    <row r="80" spans="1:41" x14ac:dyDescent="0.2">
      <c r="AM80" s="16"/>
      <c r="AN80" s="16"/>
      <c r="AO80" s="16"/>
    </row>
    <row r="81" spans="39:41" x14ac:dyDescent="0.2">
      <c r="AO81" s="20"/>
    </row>
    <row r="82" spans="39:41" x14ac:dyDescent="0.2">
      <c r="AM82" s="19"/>
      <c r="AN82" s="20"/>
      <c r="AO82" s="21"/>
    </row>
    <row r="83" spans="39:41" x14ac:dyDescent="0.2">
      <c r="AO83" s="20"/>
    </row>
    <row r="84" spans="39:41" x14ac:dyDescent="0.2">
      <c r="AO84" s="20"/>
    </row>
    <row r="85" spans="39:41" x14ac:dyDescent="0.2">
      <c r="AO85" s="20"/>
    </row>
    <row r="86" spans="39:41" x14ac:dyDescent="0.2">
      <c r="AO86" s="20"/>
    </row>
    <row r="87" spans="39:41" x14ac:dyDescent="0.2">
      <c r="AO87" s="20"/>
    </row>
    <row r="88" spans="39:41" x14ac:dyDescent="0.2">
      <c r="AO88" s="20"/>
    </row>
    <row r="89" spans="39:41" x14ac:dyDescent="0.2">
      <c r="AO89" s="20"/>
    </row>
    <row r="90" spans="39:41" x14ac:dyDescent="0.2">
      <c r="AO90" s="20"/>
    </row>
    <row r="91" spans="39:41" x14ac:dyDescent="0.2">
      <c r="AO91" s="20"/>
    </row>
    <row r="92" spans="39:41" x14ac:dyDescent="0.2">
      <c r="AO92" s="20"/>
    </row>
    <row r="93" spans="39:41" x14ac:dyDescent="0.2">
      <c r="AO93" s="20"/>
    </row>
    <row r="94" spans="39:41" x14ac:dyDescent="0.2">
      <c r="AO94" s="20"/>
    </row>
    <row r="95" spans="39:41" x14ac:dyDescent="0.2">
      <c r="AO95" s="20"/>
    </row>
    <row r="96" spans="39:41" x14ac:dyDescent="0.2">
      <c r="AO96" s="20"/>
    </row>
    <row r="97" spans="41:41" x14ac:dyDescent="0.2">
      <c r="AO97" s="20"/>
    </row>
    <row r="98" spans="41:41" x14ac:dyDescent="0.2">
      <c r="AO98" s="20"/>
    </row>
    <row r="99" spans="41:41" x14ac:dyDescent="0.2">
      <c r="AO99" s="20"/>
    </row>
    <row r="100" spans="41:41" x14ac:dyDescent="0.2">
      <c r="AO100" s="20"/>
    </row>
    <row r="101" spans="41:41" x14ac:dyDescent="0.2">
      <c r="AO101" s="20"/>
    </row>
    <row r="102" spans="41:41" x14ac:dyDescent="0.2">
      <c r="AO102" s="20"/>
    </row>
    <row r="103" spans="41:41" x14ac:dyDescent="0.2">
      <c r="AO103" s="20"/>
    </row>
    <row r="104" spans="41:41" x14ac:dyDescent="0.2">
      <c r="AO104" s="20"/>
    </row>
    <row r="105" spans="41:41" x14ac:dyDescent="0.2">
      <c r="AO105" s="20"/>
    </row>
    <row r="106" spans="41:41" x14ac:dyDescent="0.2">
      <c r="AO106" s="20"/>
    </row>
    <row r="107" spans="41:41" x14ac:dyDescent="0.2">
      <c r="AO107" s="20"/>
    </row>
    <row r="108" spans="41:41" x14ac:dyDescent="0.2">
      <c r="AO108" s="20"/>
    </row>
    <row r="109" spans="41:41" x14ac:dyDescent="0.2">
      <c r="AO109" s="20"/>
    </row>
    <row r="110" spans="41:41" x14ac:dyDescent="0.2">
      <c r="AO110" s="20"/>
    </row>
    <row r="111" spans="41:41" x14ac:dyDescent="0.2">
      <c r="AO111" s="20"/>
    </row>
    <row r="112" spans="41:41" x14ac:dyDescent="0.2">
      <c r="AO112" s="20"/>
    </row>
    <row r="113" spans="41:41" x14ac:dyDescent="0.2">
      <c r="AO113" s="20"/>
    </row>
    <row r="114" spans="41:41" x14ac:dyDescent="0.2">
      <c r="AO114" s="20"/>
    </row>
    <row r="115" spans="41:41" x14ac:dyDescent="0.2">
      <c r="AO115" s="20"/>
    </row>
    <row r="116" spans="41:41" x14ac:dyDescent="0.2">
      <c r="AO116" s="20"/>
    </row>
    <row r="117" spans="41:41" x14ac:dyDescent="0.2">
      <c r="AO117" s="20"/>
    </row>
    <row r="118" spans="41:41" x14ac:dyDescent="0.2">
      <c r="AO118" s="20"/>
    </row>
    <row r="119" spans="41:41" x14ac:dyDescent="0.2">
      <c r="AO119" s="20"/>
    </row>
    <row r="120" spans="41:41" x14ac:dyDescent="0.2">
      <c r="AO120" s="20"/>
    </row>
    <row r="121" spans="41:41" x14ac:dyDescent="0.2">
      <c r="AO121" s="20"/>
    </row>
    <row r="122" spans="41:41" x14ac:dyDescent="0.2">
      <c r="AO122" s="20"/>
    </row>
    <row r="123" spans="41:41" x14ac:dyDescent="0.2">
      <c r="AO123" s="20"/>
    </row>
    <row r="124" spans="41:41" x14ac:dyDescent="0.2">
      <c r="AO124" s="20"/>
    </row>
    <row r="125" spans="41:41" x14ac:dyDescent="0.2">
      <c r="AO125" s="20"/>
    </row>
    <row r="126" spans="41:41" x14ac:dyDescent="0.2">
      <c r="AO126" s="20"/>
    </row>
    <row r="127" spans="41:41" x14ac:dyDescent="0.2">
      <c r="AO127" s="20"/>
    </row>
    <row r="128" spans="41:41" x14ac:dyDescent="0.2">
      <c r="AO128" s="20"/>
    </row>
    <row r="129" spans="41:41" x14ac:dyDescent="0.2">
      <c r="AO129" s="20"/>
    </row>
    <row r="130" spans="41:41" x14ac:dyDescent="0.2">
      <c r="AO130" s="20"/>
    </row>
    <row r="131" spans="41:41" x14ac:dyDescent="0.2">
      <c r="AO131" s="20"/>
    </row>
    <row r="132" spans="41:41" x14ac:dyDescent="0.2">
      <c r="AO132" s="20"/>
    </row>
    <row r="133" spans="41:41" x14ac:dyDescent="0.2">
      <c r="AO133" s="20"/>
    </row>
    <row r="134" spans="41:41" x14ac:dyDescent="0.2">
      <c r="AO134" s="20"/>
    </row>
    <row r="135" spans="41:41" x14ac:dyDescent="0.2">
      <c r="AO135" s="20"/>
    </row>
    <row r="136" spans="41:41" x14ac:dyDescent="0.2">
      <c r="AO136" s="20"/>
    </row>
    <row r="137" spans="41:41" x14ac:dyDescent="0.2">
      <c r="AO137" s="20"/>
    </row>
    <row r="138" spans="41:41" x14ac:dyDescent="0.2">
      <c r="AO138" s="20"/>
    </row>
    <row r="139" spans="41:41" x14ac:dyDescent="0.2">
      <c r="AO139" s="20"/>
    </row>
    <row r="140" spans="41:41" x14ac:dyDescent="0.2">
      <c r="AO140" s="20"/>
    </row>
    <row r="141" spans="41:41" x14ac:dyDescent="0.2">
      <c r="AO141" s="20"/>
    </row>
    <row r="142" spans="41:41" x14ac:dyDescent="0.2">
      <c r="AO142" s="20"/>
    </row>
    <row r="143" spans="41:41" x14ac:dyDescent="0.2">
      <c r="AO143" s="20"/>
    </row>
    <row r="144" spans="41:41" x14ac:dyDescent="0.2">
      <c r="AO144" s="20"/>
    </row>
    <row r="145" spans="41:41" x14ac:dyDescent="0.2">
      <c r="AO145" s="20"/>
    </row>
    <row r="146" spans="41:41" x14ac:dyDescent="0.2">
      <c r="AO146" s="20"/>
    </row>
    <row r="147" spans="41:41" x14ac:dyDescent="0.2">
      <c r="AO147" s="20"/>
    </row>
    <row r="148" spans="41:41" x14ac:dyDescent="0.2">
      <c r="AO148" s="20"/>
    </row>
    <row r="149" spans="41:41" x14ac:dyDescent="0.2">
      <c r="AO149" s="20"/>
    </row>
    <row r="150" spans="41:41" x14ac:dyDescent="0.2">
      <c r="AO150" s="20"/>
    </row>
    <row r="151" spans="41:41" x14ac:dyDescent="0.2">
      <c r="AO151" s="20"/>
    </row>
    <row r="152" spans="41:41" x14ac:dyDescent="0.2">
      <c r="AO152" s="20"/>
    </row>
    <row r="153" spans="41:41" x14ac:dyDescent="0.2">
      <c r="AO153" s="20"/>
    </row>
    <row r="154" spans="41:41" x14ac:dyDescent="0.2">
      <c r="AO154" s="20"/>
    </row>
    <row r="155" spans="41:41" x14ac:dyDescent="0.2">
      <c r="AO155" s="20"/>
    </row>
    <row r="156" spans="41:41" x14ac:dyDescent="0.2">
      <c r="AO156" s="20"/>
    </row>
    <row r="157" spans="41:41" x14ac:dyDescent="0.2">
      <c r="AO157" s="20"/>
    </row>
    <row r="158" spans="41:41" x14ac:dyDescent="0.2">
      <c r="AO158" s="20"/>
    </row>
    <row r="159" spans="41:41" x14ac:dyDescent="0.2">
      <c r="AO159" s="20"/>
    </row>
    <row r="160" spans="41:41" x14ac:dyDescent="0.2">
      <c r="AO160" s="20"/>
    </row>
    <row r="161" spans="41:41" x14ac:dyDescent="0.2">
      <c r="AO161" s="20"/>
    </row>
    <row r="162" spans="41:41" x14ac:dyDescent="0.2">
      <c r="AO162" s="20"/>
    </row>
    <row r="163" spans="41:41" x14ac:dyDescent="0.2">
      <c r="AO163" s="20"/>
    </row>
    <row r="164" spans="41:41" x14ac:dyDescent="0.2">
      <c r="AO164" s="20"/>
    </row>
    <row r="165" spans="41:41" x14ac:dyDescent="0.2">
      <c r="AO165" s="20"/>
    </row>
    <row r="166" spans="41:41" x14ac:dyDescent="0.2">
      <c r="AO166" s="20"/>
    </row>
    <row r="167" spans="41:41" x14ac:dyDescent="0.2">
      <c r="AO167" s="20"/>
    </row>
    <row r="168" spans="41:41" x14ac:dyDescent="0.2">
      <c r="AO168" s="20"/>
    </row>
    <row r="169" spans="41:41" x14ac:dyDescent="0.2">
      <c r="AO169" s="20"/>
    </row>
    <row r="170" spans="41:41" x14ac:dyDescent="0.2">
      <c r="AO170" s="20"/>
    </row>
    <row r="171" spans="41:41" x14ac:dyDescent="0.2">
      <c r="AO171" s="20"/>
    </row>
    <row r="172" spans="41:41" x14ac:dyDescent="0.2">
      <c r="AO172" s="20"/>
    </row>
    <row r="173" spans="41:41" x14ac:dyDescent="0.2">
      <c r="AO173" s="20"/>
    </row>
    <row r="174" spans="41:41" x14ac:dyDescent="0.2">
      <c r="AO174" s="20"/>
    </row>
    <row r="175" spans="41:41" x14ac:dyDescent="0.2">
      <c r="AO175" s="20"/>
    </row>
    <row r="176" spans="41:41" x14ac:dyDescent="0.2">
      <c r="AO176" s="20"/>
    </row>
    <row r="177" spans="41:41" x14ac:dyDescent="0.2">
      <c r="AO177" s="20"/>
    </row>
    <row r="178" spans="41:41" x14ac:dyDescent="0.2">
      <c r="AO178" s="20"/>
    </row>
    <row r="179" spans="41:41" x14ac:dyDescent="0.2">
      <c r="AO179" s="20"/>
    </row>
    <row r="180" spans="41:41" x14ac:dyDescent="0.2">
      <c r="AO180" s="20"/>
    </row>
    <row r="181" spans="41:41" x14ac:dyDescent="0.2">
      <c r="AO181" s="20"/>
    </row>
    <row r="182" spans="41:41" x14ac:dyDescent="0.2">
      <c r="AO182" s="20"/>
    </row>
    <row r="183" spans="41:41" x14ac:dyDescent="0.2">
      <c r="AO183" s="20"/>
    </row>
    <row r="184" spans="41:41" x14ac:dyDescent="0.2">
      <c r="AO184" s="20"/>
    </row>
    <row r="185" spans="41:41" x14ac:dyDescent="0.2">
      <c r="AO185" s="20"/>
    </row>
    <row r="186" spans="41:41" x14ac:dyDescent="0.2">
      <c r="AO186" s="20"/>
    </row>
    <row r="187" spans="41:41" x14ac:dyDescent="0.2">
      <c r="AO187" s="20"/>
    </row>
    <row r="188" spans="41:41" x14ac:dyDescent="0.2">
      <c r="AO188" s="20"/>
    </row>
    <row r="189" spans="41:41" x14ac:dyDescent="0.2">
      <c r="AO189" s="20"/>
    </row>
    <row r="190" spans="41:41" x14ac:dyDescent="0.2">
      <c r="AO190" s="20"/>
    </row>
    <row r="191" spans="41:41" x14ac:dyDescent="0.2">
      <c r="AO191" s="20"/>
    </row>
    <row r="192" spans="41:41" x14ac:dyDescent="0.2">
      <c r="AO192" s="20"/>
    </row>
    <row r="193" spans="41:41" x14ac:dyDescent="0.2">
      <c r="AO193" s="20"/>
    </row>
    <row r="194" spans="41:41" x14ac:dyDescent="0.2">
      <c r="AO194" s="20"/>
    </row>
    <row r="195" spans="41:41" x14ac:dyDescent="0.2">
      <c r="AO195" s="20"/>
    </row>
    <row r="196" spans="41:41" x14ac:dyDescent="0.2">
      <c r="AO196" s="20"/>
    </row>
    <row r="197" spans="41:41" x14ac:dyDescent="0.2">
      <c r="AO197" s="20"/>
    </row>
    <row r="198" spans="41:41" x14ac:dyDescent="0.2">
      <c r="AO198" s="20"/>
    </row>
    <row r="199" spans="41:41" x14ac:dyDescent="0.2">
      <c r="AO199" s="20"/>
    </row>
    <row r="200" spans="41:41" x14ac:dyDescent="0.2">
      <c r="AO200" s="20"/>
    </row>
    <row r="201" spans="41:41" x14ac:dyDescent="0.2">
      <c r="AO201" s="20"/>
    </row>
    <row r="202" spans="41:41" x14ac:dyDescent="0.2">
      <c r="AO202" s="20"/>
    </row>
    <row r="203" spans="41:41" x14ac:dyDescent="0.2">
      <c r="AO203" s="20"/>
    </row>
    <row r="204" spans="41:41" x14ac:dyDescent="0.2">
      <c r="AO204" s="20"/>
    </row>
    <row r="205" spans="41:41" x14ac:dyDescent="0.2">
      <c r="AO205" s="20"/>
    </row>
    <row r="206" spans="41:41" x14ac:dyDescent="0.2">
      <c r="AO206" s="20"/>
    </row>
    <row r="207" spans="41:41" x14ac:dyDescent="0.2">
      <c r="AO207" s="20"/>
    </row>
    <row r="208" spans="41:41" x14ac:dyDescent="0.2">
      <c r="AO208" s="20"/>
    </row>
    <row r="209" spans="41:41" x14ac:dyDescent="0.2">
      <c r="AO209" s="20"/>
    </row>
    <row r="210" spans="41:41" x14ac:dyDescent="0.2">
      <c r="AO210" s="20"/>
    </row>
    <row r="211" spans="41:41" x14ac:dyDescent="0.2">
      <c r="AO211" s="20"/>
    </row>
    <row r="212" spans="41:41" x14ac:dyDescent="0.2">
      <c r="AO212" s="20"/>
    </row>
    <row r="213" spans="41:41" x14ac:dyDescent="0.2">
      <c r="AO213" s="20"/>
    </row>
    <row r="214" spans="41:41" x14ac:dyDescent="0.2">
      <c r="AO214" s="20"/>
    </row>
    <row r="215" spans="41:41" x14ac:dyDescent="0.2">
      <c r="AO215" s="20"/>
    </row>
    <row r="216" spans="41:41" x14ac:dyDescent="0.2">
      <c r="AO216" s="20"/>
    </row>
    <row r="217" spans="41:41" x14ac:dyDescent="0.2">
      <c r="AO217" s="20"/>
    </row>
    <row r="218" spans="41:41" x14ac:dyDescent="0.2">
      <c r="AO218" s="20"/>
    </row>
    <row r="219" spans="41:41" x14ac:dyDescent="0.2">
      <c r="AO219" s="20"/>
    </row>
    <row r="220" spans="41:41" x14ac:dyDescent="0.2">
      <c r="AO220" s="20"/>
    </row>
    <row r="221" spans="41:41" x14ac:dyDescent="0.2">
      <c r="AO221" s="20"/>
    </row>
    <row r="222" spans="41:41" x14ac:dyDescent="0.2">
      <c r="AO222" s="20"/>
    </row>
    <row r="223" spans="41:41" x14ac:dyDescent="0.2">
      <c r="AO223" s="20"/>
    </row>
    <row r="224" spans="41:41" x14ac:dyDescent="0.2">
      <c r="AO224" s="20"/>
    </row>
    <row r="225" spans="41:41" x14ac:dyDescent="0.2">
      <c r="AO225" s="20"/>
    </row>
    <row r="226" spans="41:41" x14ac:dyDescent="0.2">
      <c r="AO226" s="20"/>
    </row>
    <row r="227" spans="41:41" x14ac:dyDescent="0.2">
      <c r="AO227" s="20"/>
    </row>
    <row r="228" spans="41:41" x14ac:dyDescent="0.2">
      <c r="AO228" s="20"/>
    </row>
    <row r="229" spans="41:41" x14ac:dyDescent="0.2">
      <c r="AO229" s="20"/>
    </row>
    <row r="230" spans="41:41" x14ac:dyDescent="0.2">
      <c r="AO230" s="20"/>
    </row>
    <row r="231" spans="41:41" x14ac:dyDescent="0.2">
      <c r="AO231" s="20"/>
    </row>
    <row r="232" spans="41:41" x14ac:dyDescent="0.2">
      <c r="AO232" s="20"/>
    </row>
    <row r="233" spans="41:41" x14ac:dyDescent="0.2">
      <c r="AO233" s="20"/>
    </row>
    <row r="234" spans="41:41" x14ac:dyDescent="0.2">
      <c r="AO234" s="20"/>
    </row>
    <row r="235" spans="41:41" x14ac:dyDescent="0.2">
      <c r="AO235" s="20"/>
    </row>
    <row r="236" spans="41:41" x14ac:dyDescent="0.2">
      <c r="AO236" s="20"/>
    </row>
    <row r="237" spans="41:41" x14ac:dyDescent="0.2">
      <c r="AO237" s="20"/>
    </row>
    <row r="238" spans="41:41" x14ac:dyDescent="0.2">
      <c r="AO238" s="20"/>
    </row>
    <row r="239" spans="41:41" x14ac:dyDescent="0.2">
      <c r="AO239" s="20"/>
    </row>
    <row r="240" spans="41:41" x14ac:dyDescent="0.2">
      <c r="AO240" s="20"/>
    </row>
    <row r="241" spans="41:41" x14ac:dyDescent="0.2">
      <c r="AO241" s="20"/>
    </row>
    <row r="242" spans="41:41" x14ac:dyDescent="0.2">
      <c r="AO242" s="20"/>
    </row>
    <row r="243" spans="41:41" x14ac:dyDescent="0.2">
      <c r="AO243" s="20"/>
    </row>
    <row r="244" spans="41:41" x14ac:dyDescent="0.2">
      <c r="AO244" s="20"/>
    </row>
    <row r="245" spans="41:41" x14ac:dyDescent="0.2">
      <c r="AO245" s="20"/>
    </row>
    <row r="246" spans="41:41" x14ac:dyDescent="0.2">
      <c r="AO246" s="20"/>
    </row>
    <row r="247" spans="41:41" x14ac:dyDescent="0.2">
      <c r="AO247" s="20"/>
    </row>
    <row r="248" spans="41:41" x14ac:dyDescent="0.2">
      <c r="AO248" s="20"/>
    </row>
    <row r="249" spans="41:41" x14ac:dyDescent="0.2">
      <c r="AO249" s="20"/>
    </row>
    <row r="250" spans="41:41" x14ac:dyDescent="0.2">
      <c r="AO250" s="20"/>
    </row>
    <row r="251" spans="41:41" x14ac:dyDescent="0.2">
      <c r="AO251" s="20"/>
    </row>
    <row r="252" spans="41:41" x14ac:dyDescent="0.2">
      <c r="AO252" s="20"/>
    </row>
    <row r="253" spans="41:41" x14ac:dyDescent="0.2">
      <c r="AO253" s="20"/>
    </row>
    <row r="254" spans="41:41" x14ac:dyDescent="0.2">
      <c r="AO254" s="20"/>
    </row>
    <row r="255" spans="41:41" x14ac:dyDescent="0.2">
      <c r="AO255" s="20"/>
    </row>
    <row r="256" spans="41:41" x14ac:dyDescent="0.2">
      <c r="AO256" s="20"/>
    </row>
    <row r="257" spans="41:41" x14ac:dyDescent="0.2">
      <c r="AO257" s="20"/>
    </row>
    <row r="258" spans="41:41" x14ac:dyDescent="0.2">
      <c r="AO258" s="20"/>
    </row>
    <row r="259" spans="41:41" x14ac:dyDescent="0.2">
      <c r="AO259" s="20"/>
    </row>
    <row r="260" spans="41:41" x14ac:dyDescent="0.2">
      <c r="AO260" s="20"/>
    </row>
    <row r="261" spans="41:41" x14ac:dyDescent="0.2">
      <c r="AO261" s="20"/>
    </row>
    <row r="262" spans="41:41" x14ac:dyDescent="0.2">
      <c r="AO262" s="20"/>
    </row>
    <row r="263" spans="41:41" x14ac:dyDescent="0.2">
      <c r="AO263" s="20"/>
    </row>
    <row r="264" spans="41:41" x14ac:dyDescent="0.2">
      <c r="AO264" s="20"/>
    </row>
    <row r="265" spans="41:41" x14ac:dyDescent="0.2">
      <c r="AO265" s="20"/>
    </row>
    <row r="266" spans="41:41" x14ac:dyDescent="0.2">
      <c r="AO266" s="20"/>
    </row>
    <row r="267" spans="41:41" x14ac:dyDescent="0.2">
      <c r="AO267" s="20"/>
    </row>
    <row r="268" spans="41:41" x14ac:dyDescent="0.2">
      <c r="AO268" s="20"/>
    </row>
    <row r="269" spans="41:41" x14ac:dyDescent="0.2">
      <c r="AO269" s="20"/>
    </row>
    <row r="270" spans="41:41" x14ac:dyDescent="0.2">
      <c r="AO270" s="20"/>
    </row>
    <row r="271" spans="41:41" x14ac:dyDescent="0.2">
      <c r="AO271" s="20"/>
    </row>
    <row r="272" spans="41:41" x14ac:dyDescent="0.2">
      <c r="AO272" s="20"/>
    </row>
    <row r="273" spans="41:41" x14ac:dyDescent="0.2">
      <c r="AO273" s="20"/>
    </row>
    <row r="274" spans="41:41" x14ac:dyDescent="0.2">
      <c r="AO274" s="20"/>
    </row>
    <row r="275" spans="41:41" x14ac:dyDescent="0.2">
      <c r="AO275" s="20"/>
    </row>
    <row r="276" spans="41:41" x14ac:dyDescent="0.2">
      <c r="AO276" s="20"/>
    </row>
    <row r="277" spans="41:41" x14ac:dyDescent="0.2">
      <c r="AO277" s="20"/>
    </row>
    <row r="278" spans="41:41" x14ac:dyDescent="0.2">
      <c r="AO278" s="20"/>
    </row>
    <row r="279" spans="41:41" x14ac:dyDescent="0.2">
      <c r="AO279" s="20"/>
    </row>
    <row r="280" spans="41:41" x14ac:dyDescent="0.2">
      <c r="AO280" s="20"/>
    </row>
    <row r="281" spans="41:41" x14ac:dyDescent="0.2">
      <c r="AO281" s="20"/>
    </row>
    <row r="282" spans="41:41" x14ac:dyDescent="0.2">
      <c r="AO282" s="20"/>
    </row>
    <row r="283" spans="41:41" x14ac:dyDescent="0.2">
      <c r="AO283" s="20"/>
    </row>
    <row r="284" spans="41:41" x14ac:dyDescent="0.2">
      <c r="AO284" s="20"/>
    </row>
    <row r="285" spans="41:41" x14ac:dyDescent="0.2">
      <c r="AO285" s="20"/>
    </row>
    <row r="286" spans="41:41" x14ac:dyDescent="0.2">
      <c r="AO286" s="20"/>
    </row>
    <row r="287" spans="41:41" x14ac:dyDescent="0.2">
      <c r="AO287" s="20"/>
    </row>
    <row r="288" spans="41:41" x14ac:dyDescent="0.2">
      <c r="AO288" s="20"/>
    </row>
    <row r="289" spans="41:41" x14ac:dyDescent="0.2">
      <c r="AO289" s="20"/>
    </row>
    <row r="290" spans="41:41" x14ac:dyDescent="0.2">
      <c r="AO290" s="20"/>
    </row>
    <row r="291" spans="41:41" x14ac:dyDescent="0.2">
      <c r="AO291" s="20"/>
    </row>
    <row r="292" spans="41:41" x14ac:dyDescent="0.2">
      <c r="AO292" s="20"/>
    </row>
    <row r="293" spans="41:41" x14ac:dyDescent="0.2">
      <c r="AO293" s="20"/>
    </row>
    <row r="294" spans="41:41" x14ac:dyDescent="0.2">
      <c r="AO294" s="20"/>
    </row>
    <row r="295" spans="41:41" x14ac:dyDescent="0.2">
      <c r="AO295" s="20"/>
    </row>
    <row r="296" spans="41:41" x14ac:dyDescent="0.2">
      <c r="AO296" s="20"/>
    </row>
    <row r="297" spans="41:41" x14ac:dyDescent="0.2">
      <c r="AO297" s="20"/>
    </row>
    <row r="298" spans="41:41" x14ac:dyDescent="0.2">
      <c r="AO298" s="20"/>
    </row>
    <row r="299" spans="41:41" x14ac:dyDescent="0.2">
      <c r="AO299" s="20"/>
    </row>
    <row r="300" spans="41:41" x14ac:dyDescent="0.2">
      <c r="AO300" s="20"/>
    </row>
    <row r="301" spans="41:41" x14ac:dyDescent="0.2">
      <c r="AO301" s="20"/>
    </row>
    <row r="302" spans="41:41" x14ac:dyDescent="0.2">
      <c r="AO302" s="20"/>
    </row>
    <row r="303" spans="41:41" x14ac:dyDescent="0.2">
      <c r="AO303" s="20"/>
    </row>
    <row r="304" spans="41:41" x14ac:dyDescent="0.2">
      <c r="AO304" s="20"/>
    </row>
    <row r="305" spans="41:41" x14ac:dyDescent="0.2">
      <c r="AO305" s="20"/>
    </row>
    <row r="306" spans="41:41" x14ac:dyDescent="0.2">
      <c r="AO306" s="20"/>
    </row>
    <row r="307" spans="41:41" x14ac:dyDescent="0.2">
      <c r="AO307" s="20"/>
    </row>
    <row r="308" spans="41:41" x14ac:dyDescent="0.2">
      <c r="AO308" s="20"/>
    </row>
    <row r="309" spans="41:41" x14ac:dyDescent="0.2">
      <c r="AO309" s="20"/>
    </row>
    <row r="310" spans="41:41" x14ac:dyDescent="0.2">
      <c r="AO310" s="20"/>
    </row>
    <row r="311" spans="41:41" x14ac:dyDescent="0.2">
      <c r="AO311" s="20"/>
    </row>
    <row r="312" spans="41:41" x14ac:dyDescent="0.2">
      <c r="AO312" s="20"/>
    </row>
    <row r="313" spans="41:41" x14ac:dyDescent="0.2">
      <c r="AO313" s="20"/>
    </row>
    <row r="314" spans="41:41" x14ac:dyDescent="0.2">
      <c r="AO314" s="20"/>
    </row>
    <row r="315" spans="41:41" x14ac:dyDescent="0.2">
      <c r="AO315" s="20"/>
    </row>
    <row r="316" spans="41:41" x14ac:dyDescent="0.2">
      <c r="AO316" s="20"/>
    </row>
    <row r="317" spans="41:41" x14ac:dyDescent="0.2">
      <c r="AO317" s="20"/>
    </row>
    <row r="318" spans="41:41" x14ac:dyDescent="0.2">
      <c r="AO318" s="20"/>
    </row>
    <row r="319" spans="41:41" x14ac:dyDescent="0.2">
      <c r="AO319" s="20"/>
    </row>
    <row r="320" spans="41:41" x14ac:dyDescent="0.2">
      <c r="AO320" s="20"/>
    </row>
    <row r="321" spans="41:41" x14ac:dyDescent="0.2">
      <c r="AO321" s="20"/>
    </row>
    <row r="322" spans="41:41" x14ac:dyDescent="0.2">
      <c r="AO322" s="20"/>
    </row>
    <row r="323" spans="41:41" x14ac:dyDescent="0.2">
      <c r="AO323" s="20"/>
    </row>
    <row r="324" spans="41:41" x14ac:dyDescent="0.2">
      <c r="AO324" s="20"/>
    </row>
    <row r="325" spans="41:41" x14ac:dyDescent="0.2">
      <c r="AO325" s="20"/>
    </row>
    <row r="326" spans="41:41" x14ac:dyDescent="0.2">
      <c r="AO326" s="20"/>
    </row>
    <row r="327" spans="41:41" x14ac:dyDescent="0.2">
      <c r="AO327" s="20"/>
    </row>
    <row r="328" spans="41:41" x14ac:dyDescent="0.2">
      <c r="AO328" s="20"/>
    </row>
    <row r="329" spans="41:41" x14ac:dyDescent="0.2">
      <c r="AO329" s="20"/>
    </row>
    <row r="330" spans="41:41" x14ac:dyDescent="0.2">
      <c r="AO330" s="20"/>
    </row>
    <row r="331" spans="41:41" x14ac:dyDescent="0.2">
      <c r="AO331" s="20"/>
    </row>
    <row r="332" spans="41:41" x14ac:dyDescent="0.2">
      <c r="AO332" s="20"/>
    </row>
    <row r="333" spans="41:41" x14ac:dyDescent="0.2">
      <c r="AO333" s="20"/>
    </row>
    <row r="334" spans="41:41" x14ac:dyDescent="0.2">
      <c r="AO334" s="20"/>
    </row>
    <row r="335" spans="41:41" x14ac:dyDescent="0.2">
      <c r="AO335" s="20"/>
    </row>
    <row r="336" spans="41:41" x14ac:dyDescent="0.2">
      <c r="AO336" s="20"/>
    </row>
    <row r="337" spans="41:41" x14ac:dyDescent="0.2">
      <c r="AO337" s="20"/>
    </row>
    <row r="338" spans="41:41" x14ac:dyDescent="0.2">
      <c r="AO338" s="20"/>
    </row>
    <row r="339" spans="41:41" x14ac:dyDescent="0.2">
      <c r="AO339" s="20"/>
    </row>
    <row r="340" spans="41:41" x14ac:dyDescent="0.2">
      <c r="AO340" s="20"/>
    </row>
    <row r="341" spans="41:41" x14ac:dyDescent="0.2">
      <c r="AO341" s="20"/>
    </row>
    <row r="342" spans="41:41" x14ac:dyDescent="0.2">
      <c r="AO342" s="20"/>
    </row>
    <row r="343" spans="41:41" x14ac:dyDescent="0.2">
      <c r="AO343" s="20"/>
    </row>
    <row r="344" spans="41:41" x14ac:dyDescent="0.2">
      <c r="AO344" s="20"/>
    </row>
    <row r="345" spans="41:41" x14ac:dyDescent="0.2">
      <c r="AO345" s="20"/>
    </row>
    <row r="346" spans="41:41" x14ac:dyDescent="0.2">
      <c r="AO346" s="20"/>
    </row>
    <row r="347" spans="41:41" x14ac:dyDescent="0.2">
      <c r="AO347" s="20"/>
    </row>
    <row r="348" spans="41:41" x14ac:dyDescent="0.2">
      <c r="AO348" s="20"/>
    </row>
    <row r="349" spans="41:41" x14ac:dyDescent="0.2">
      <c r="AO349" s="20"/>
    </row>
    <row r="350" spans="41:41" x14ac:dyDescent="0.2">
      <c r="AO350" s="20"/>
    </row>
    <row r="351" spans="41:41" x14ac:dyDescent="0.2">
      <c r="AO351" s="20"/>
    </row>
    <row r="352" spans="41:41" x14ac:dyDescent="0.2">
      <c r="AO352" s="20"/>
    </row>
    <row r="353" spans="41:41" x14ac:dyDescent="0.2">
      <c r="AO353" s="20"/>
    </row>
    <row r="354" spans="41:41" x14ac:dyDescent="0.2">
      <c r="AO354" s="20"/>
    </row>
    <row r="355" spans="41:41" x14ac:dyDescent="0.2">
      <c r="AO355" s="20"/>
    </row>
    <row r="356" spans="41:41" x14ac:dyDescent="0.2">
      <c r="AO356" s="20"/>
    </row>
    <row r="357" spans="41:41" x14ac:dyDescent="0.2">
      <c r="AO357" s="20"/>
    </row>
    <row r="358" spans="41:41" x14ac:dyDescent="0.2">
      <c r="AO358" s="20"/>
    </row>
    <row r="359" spans="41:41" x14ac:dyDescent="0.2">
      <c r="AO359" s="20"/>
    </row>
    <row r="360" spans="41:41" x14ac:dyDescent="0.2">
      <c r="AO360" s="20"/>
    </row>
    <row r="361" spans="41:41" x14ac:dyDescent="0.2">
      <c r="AO361" s="20"/>
    </row>
    <row r="362" spans="41:41" x14ac:dyDescent="0.2">
      <c r="AO362" s="20"/>
    </row>
    <row r="363" spans="41:41" x14ac:dyDescent="0.2">
      <c r="AO363" s="20"/>
    </row>
    <row r="364" spans="41:41" x14ac:dyDescent="0.2">
      <c r="AO364" s="20"/>
    </row>
    <row r="365" spans="41:41" x14ac:dyDescent="0.2">
      <c r="AO365" s="20"/>
    </row>
    <row r="366" spans="41:41" x14ac:dyDescent="0.2">
      <c r="AO366" s="20"/>
    </row>
    <row r="367" spans="41:41" x14ac:dyDescent="0.2">
      <c r="AO367" s="20"/>
    </row>
    <row r="368" spans="41:41" x14ac:dyDescent="0.2">
      <c r="AO368" s="20"/>
    </row>
    <row r="369" spans="41:41" x14ac:dyDescent="0.2">
      <c r="AO369" s="20"/>
    </row>
    <row r="370" spans="41:41" x14ac:dyDescent="0.2">
      <c r="AO370" s="20"/>
    </row>
    <row r="371" spans="41:41" x14ac:dyDescent="0.2">
      <c r="AO371" s="20"/>
    </row>
    <row r="372" spans="41:41" x14ac:dyDescent="0.2">
      <c r="AO372" s="20"/>
    </row>
    <row r="373" spans="41:41" x14ac:dyDescent="0.2">
      <c r="AO373" s="20"/>
    </row>
    <row r="374" spans="41:41" x14ac:dyDescent="0.2">
      <c r="AO374" s="20"/>
    </row>
    <row r="375" spans="41:41" x14ac:dyDescent="0.2">
      <c r="AO375" s="20"/>
    </row>
    <row r="376" spans="41:41" x14ac:dyDescent="0.2">
      <c r="AO376" s="20"/>
    </row>
    <row r="377" spans="41:41" x14ac:dyDescent="0.2">
      <c r="AO377" s="20"/>
    </row>
    <row r="378" spans="41:41" x14ac:dyDescent="0.2">
      <c r="AO378" s="20"/>
    </row>
    <row r="379" spans="41:41" x14ac:dyDescent="0.2">
      <c r="AO379" s="20"/>
    </row>
    <row r="380" spans="41:41" x14ac:dyDescent="0.2">
      <c r="AO380" s="20"/>
    </row>
    <row r="381" spans="41:41" x14ac:dyDescent="0.2">
      <c r="AO381" s="20"/>
    </row>
    <row r="382" spans="41:41" x14ac:dyDescent="0.2">
      <c r="AO382" s="20"/>
    </row>
    <row r="383" spans="41:41" x14ac:dyDescent="0.2">
      <c r="AO383" s="20"/>
    </row>
    <row r="384" spans="41:41" x14ac:dyDescent="0.2">
      <c r="AO384" s="20"/>
    </row>
    <row r="385" spans="41:41" x14ac:dyDescent="0.2">
      <c r="AO385" s="20"/>
    </row>
    <row r="386" spans="41:41" x14ac:dyDescent="0.2">
      <c r="AO386" s="20"/>
    </row>
    <row r="387" spans="41:41" x14ac:dyDescent="0.2">
      <c r="AO387" s="20"/>
    </row>
    <row r="388" spans="41:41" x14ac:dyDescent="0.2">
      <c r="AO388" s="20"/>
    </row>
    <row r="389" spans="41:41" x14ac:dyDescent="0.2">
      <c r="AO389" s="20"/>
    </row>
    <row r="390" spans="41:41" x14ac:dyDescent="0.2">
      <c r="AO390" s="20"/>
    </row>
    <row r="391" spans="41:41" x14ac:dyDescent="0.2">
      <c r="AO391" s="20"/>
    </row>
    <row r="392" spans="41:41" x14ac:dyDescent="0.2">
      <c r="AO392" s="20"/>
    </row>
    <row r="393" spans="41:41" x14ac:dyDescent="0.2">
      <c r="AO393" s="20"/>
    </row>
    <row r="394" spans="41:41" x14ac:dyDescent="0.2">
      <c r="AO394" s="20"/>
    </row>
    <row r="395" spans="41:41" x14ac:dyDescent="0.2">
      <c r="AO395" s="20"/>
    </row>
    <row r="396" spans="41:41" x14ac:dyDescent="0.2">
      <c r="AO396" s="20"/>
    </row>
    <row r="397" spans="41:41" x14ac:dyDescent="0.2">
      <c r="AO397" s="20"/>
    </row>
    <row r="398" spans="41:41" x14ac:dyDescent="0.2">
      <c r="AO398" s="20"/>
    </row>
    <row r="399" spans="41:41" x14ac:dyDescent="0.2">
      <c r="AO399" s="20"/>
    </row>
    <row r="400" spans="41:41" x14ac:dyDescent="0.2">
      <c r="AO400" s="20"/>
    </row>
    <row r="401" spans="41:41" x14ac:dyDescent="0.2">
      <c r="AO401" s="20"/>
    </row>
    <row r="402" spans="41:41" x14ac:dyDescent="0.2">
      <c r="AO402" s="20"/>
    </row>
    <row r="403" spans="41:41" x14ac:dyDescent="0.2">
      <c r="AO403" s="20"/>
    </row>
    <row r="404" spans="41:41" x14ac:dyDescent="0.2">
      <c r="AO404" s="20"/>
    </row>
    <row r="405" spans="41:41" x14ac:dyDescent="0.2">
      <c r="AO405" s="20"/>
    </row>
    <row r="406" spans="41:41" x14ac:dyDescent="0.2">
      <c r="AO406" s="20"/>
    </row>
    <row r="407" spans="41:41" x14ac:dyDescent="0.2">
      <c r="AO407" s="20"/>
    </row>
    <row r="408" spans="41:41" x14ac:dyDescent="0.2">
      <c r="AO408" s="20"/>
    </row>
    <row r="409" spans="41:41" x14ac:dyDescent="0.2">
      <c r="AO409" s="20"/>
    </row>
    <row r="410" spans="41:41" x14ac:dyDescent="0.2">
      <c r="AO410" s="20"/>
    </row>
    <row r="411" spans="41:41" x14ac:dyDescent="0.2">
      <c r="AO411" s="20"/>
    </row>
    <row r="412" spans="41:41" x14ac:dyDescent="0.2">
      <c r="AO412" s="20"/>
    </row>
    <row r="413" spans="41:41" x14ac:dyDescent="0.2">
      <c r="AO413" s="20"/>
    </row>
    <row r="414" spans="41:41" x14ac:dyDescent="0.2">
      <c r="AO414" s="20"/>
    </row>
    <row r="415" spans="41:41" x14ac:dyDescent="0.2">
      <c r="AO415" s="20"/>
    </row>
    <row r="416" spans="41:41" x14ac:dyDescent="0.2">
      <c r="AO416" s="20"/>
    </row>
    <row r="417" spans="41:41" x14ac:dyDescent="0.2">
      <c r="AO417" s="20"/>
    </row>
    <row r="418" spans="41:41" x14ac:dyDescent="0.2">
      <c r="AO418" s="20"/>
    </row>
    <row r="419" spans="41:41" x14ac:dyDescent="0.2">
      <c r="AO419" s="20"/>
    </row>
    <row r="420" spans="41:41" x14ac:dyDescent="0.2">
      <c r="AO420" s="20"/>
    </row>
    <row r="421" spans="41:41" x14ac:dyDescent="0.2">
      <c r="AO421" s="20"/>
    </row>
    <row r="422" spans="41:41" x14ac:dyDescent="0.2">
      <c r="AO422" s="20"/>
    </row>
    <row r="423" spans="41:41" x14ac:dyDescent="0.2">
      <c r="AO423" s="20"/>
    </row>
    <row r="424" spans="41:41" x14ac:dyDescent="0.2">
      <c r="AO424" s="20"/>
    </row>
    <row r="425" spans="41:41" x14ac:dyDescent="0.2">
      <c r="AO425" s="20"/>
    </row>
    <row r="426" spans="41:41" x14ac:dyDescent="0.2">
      <c r="AO426" s="20"/>
    </row>
    <row r="427" spans="41:41" x14ac:dyDescent="0.2">
      <c r="AO427" s="20"/>
    </row>
    <row r="428" spans="41:41" x14ac:dyDescent="0.2">
      <c r="AO428" s="20"/>
    </row>
    <row r="429" spans="41:41" x14ac:dyDescent="0.2">
      <c r="AO429" s="20"/>
    </row>
    <row r="430" spans="41:41" x14ac:dyDescent="0.2">
      <c r="AO430" s="20"/>
    </row>
    <row r="431" spans="41:41" x14ac:dyDescent="0.2">
      <c r="AO431" s="20"/>
    </row>
    <row r="432" spans="41:41" x14ac:dyDescent="0.2">
      <c r="AO432" s="20"/>
    </row>
    <row r="433" spans="41:41" x14ac:dyDescent="0.2">
      <c r="AO433" s="20"/>
    </row>
    <row r="434" spans="41:41" x14ac:dyDescent="0.2">
      <c r="AO434" s="20"/>
    </row>
    <row r="435" spans="41:41" x14ac:dyDescent="0.2">
      <c r="AO435" s="20"/>
    </row>
    <row r="436" spans="41:41" x14ac:dyDescent="0.2">
      <c r="AO436" s="20"/>
    </row>
    <row r="437" spans="41:41" x14ac:dyDescent="0.2">
      <c r="AO437" s="20"/>
    </row>
    <row r="438" spans="41:41" x14ac:dyDescent="0.2">
      <c r="AO438" s="20"/>
    </row>
    <row r="439" spans="41:41" x14ac:dyDescent="0.2">
      <c r="AO439" s="20"/>
    </row>
    <row r="440" spans="41:41" x14ac:dyDescent="0.2">
      <c r="AO440" s="20"/>
    </row>
    <row r="441" spans="41:41" x14ac:dyDescent="0.2">
      <c r="AO441" s="20"/>
    </row>
    <row r="442" spans="41:41" x14ac:dyDescent="0.2">
      <c r="AO442" s="20"/>
    </row>
    <row r="443" spans="41:41" x14ac:dyDescent="0.2">
      <c r="AO443" s="20"/>
    </row>
    <row r="444" spans="41:41" x14ac:dyDescent="0.2">
      <c r="AO444" s="20"/>
    </row>
    <row r="445" spans="41:41" x14ac:dyDescent="0.2">
      <c r="AO445" s="20"/>
    </row>
    <row r="446" spans="41:41" x14ac:dyDescent="0.2">
      <c r="AO446" s="20"/>
    </row>
    <row r="447" spans="41:41" x14ac:dyDescent="0.2">
      <c r="AO447" s="20"/>
    </row>
    <row r="448" spans="41:41" x14ac:dyDescent="0.2">
      <c r="AO448" s="20"/>
    </row>
    <row r="449" spans="41:41" x14ac:dyDescent="0.2">
      <c r="AO449" s="20"/>
    </row>
    <row r="450" spans="41:41" x14ac:dyDescent="0.2">
      <c r="AO450" s="20"/>
    </row>
    <row r="451" spans="41:41" x14ac:dyDescent="0.2">
      <c r="AO451" s="20"/>
    </row>
    <row r="452" spans="41:41" x14ac:dyDescent="0.2">
      <c r="AO452" s="20"/>
    </row>
    <row r="453" spans="41:41" x14ac:dyDescent="0.2">
      <c r="AO453" s="20"/>
    </row>
    <row r="454" spans="41:41" x14ac:dyDescent="0.2">
      <c r="AO454" s="20"/>
    </row>
    <row r="455" spans="41:41" x14ac:dyDescent="0.2">
      <c r="AO455" s="20"/>
    </row>
    <row r="456" spans="41:41" x14ac:dyDescent="0.2">
      <c r="AO456" s="20"/>
    </row>
    <row r="457" spans="41:41" x14ac:dyDescent="0.2">
      <c r="AO457" s="20"/>
    </row>
    <row r="458" spans="41:41" x14ac:dyDescent="0.2">
      <c r="AO458" s="20"/>
    </row>
    <row r="459" spans="41:41" x14ac:dyDescent="0.2">
      <c r="AO459" s="20"/>
    </row>
    <row r="460" spans="41:41" x14ac:dyDescent="0.2">
      <c r="AO460" s="20"/>
    </row>
    <row r="461" spans="41:41" x14ac:dyDescent="0.2">
      <c r="AO461" s="20"/>
    </row>
    <row r="462" spans="41:41" x14ac:dyDescent="0.2">
      <c r="AO462" s="20"/>
    </row>
    <row r="463" spans="41:41" x14ac:dyDescent="0.2">
      <c r="AO463" s="20"/>
    </row>
    <row r="464" spans="41:41" x14ac:dyDescent="0.2">
      <c r="AO464" s="20"/>
    </row>
    <row r="465" spans="41:41" x14ac:dyDescent="0.2">
      <c r="AO465" s="20"/>
    </row>
    <row r="466" spans="41:41" x14ac:dyDescent="0.2">
      <c r="AO466" s="20"/>
    </row>
    <row r="467" spans="41:41" x14ac:dyDescent="0.2">
      <c r="AO467" s="20"/>
    </row>
    <row r="468" spans="41:41" x14ac:dyDescent="0.2">
      <c r="AO468" s="20"/>
    </row>
    <row r="469" spans="41:41" x14ac:dyDescent="0.2">
      <c r="AO469" s="20"/>
    </row>
    <row r="470" spans="41:41" x14ac:dyDescent="0.2">
      <c r="AO470" s="20"/>
    </row>
    <row r="471" spans="41:41" x14ac:dyDescent="0.2">
      <c r="AO471" s="20"/>
    </row>
    <row r="472" spans="41:41" x14ac:dyDescent="0.2">
      <c r="AO472" s="20"/>
    </row>
    <row r="473" spans="41:41" x14ac:dyDescent="0.2">
      <c r="AO473" s="20"/>
    </row>
    <row r="474" spans="41:41" x14ac:dyDescent="0.2">
      <c r="AO474" s="20"/>
    </row>
    <row r="475" spans="41:41" x14ac:dyDescent="0.2">
      <c r="AO475" s="20"/>
    </row>
    <row r="476" spans="41:41" x14ac:dyDescent="0.2">
      <c r="AO476" s="20"/>
    </row>
    <row r="477" spans="41:41" x14ac:dyDescent="0.2">
      <c r="AO477" s="20"/>
    </row>
    <row r="478" spans="41:41" x14ac:dyDescent="0.2">
      <c r="AO478" s="20"/>
    </row>
    <row r="479" spans="41:41" x14ac:dyDescent="0.2">
      <c r="AO479" s="20"/>
    </row>
    <row r="480" spans="41:41" x14ac:dyDescent="0.2">
      <c r="AO480" s="20"/>
    </row>
    <row r="481" spans="41:41" x14ac:dyDescent="0.2">
      <c r="AO481" s="20"/>
    </row>
    <row r="482" spans="41:41" x14ac:dyDescent="0.2">
      <c r="AO482" s="20"/>
    </row>
    <row r="483" spans="41:41" x14ac:dyDescent="0.2">
      <c r="AO483" s="20"/>
    </row>
    <row r="484" spans="41:41" x14ac:dyDescent="0.2">
      <c r="AO484" s="20"/>
    </row>
    <row r="485" spans="41:41" x14ac:dyDescent="0.2">
      <c r="AO485" s="20"/>
    </row>
    <row r="486" spans="41:41" x14ac:dyDescent="0.2">
      <c r="AO486" s="20"/>
    </row>
    <row r="487" spans="41:41" x14ac:dyDescent="0.2">
      <c r="AO487" s="20"/>
    </row>
    <row r="488" spans="41:41" x14ac:dyDescent="0.2">
      <c r="AO488" s="20"/>
    </row>
    <row r="489" spans="41:41" x14ac:dyDescent="0.2">
      <c r="AO489" s="20"/>
    </row>
    <row r="490" spans="41:41" x14ac:dyDescent="0.2">
      <c r="AO490" s="20"/>
    </row>
    <row r="491" spans="41:41" x14ac:dyDescent="0.2">
      <c r="AO491" s="20"/>
    </row>
    <row r="492" spans="41:41" x14ac:dyDescent="0.2">
      <c r="AO492" s="20"/>
    </row>
    <row r="493" spans="41:41" x14ac:dyDescent="0.2">
      <c r="AO493" s="20"/>
    </row>
    <row r="494" spans="41:41" x14ac:dyDescent="0.2">
      <c r="AO494" s="20"/>
    </row>
    <row r="495" spans="41:41" x14ac:dyDescent="0.2">
      <c r="AO495" s="20"/>
    </row>
    <row r="496" spans="41:41" x14ac:dyDescent="0.2">
      <c r="AO496" s="20"/>
    </row>
    <row r="497" spans="41:41" x14ac:dyDescent="0.2">
      <c r="AO497" s="20"/>
    </row>
    <row r="498" spans="41:41" x14ac:dyDescent="0.2">
      <c r="AO498" s="20"/>
    </row>
    <row r="499" spans="41:41" x14ac:dyDescent="0.2">
      <c r="AO499" s="20"/>
    </row>
    <row r="500" spans="41:41" x14ac:dyDescent="0.2">
      <c r="AO500" s="20"/>
    </row>
    <row r="501" spans="41:41" x14ac:dyDescent="0.2">
      <c r="AO501" s="20"/>
    </row>
    <row r="502" spans="41:41" x14ac:dyDescent="0.2">
      <c r="AO502" s="20"/>
    </row>
    <row r="503" spans="41:41" x14ac:dyDescent="0.2">
      <c r="AO503" s="20"/>
    </row>
    <row r="504" spans="41:41" x14ac:dyDescent="0.2">
      <c r="AO504" s="20"/>
    </row>
    <row r="505" spans="41:41" x14ac:dyDescent="0.2">
      <c r="AO505" s="20"/>
    </row>
    <row r="506" spans="41:41" x14ac:dyDescent="0.2">
      <c r="AO506" s="20"/>
    </row>
    <row r="507" spans="41:41" x14ac:dyDescent="0.2">
      <c r="AO507" s="20"/>
    </row>
    <row r="508" spans="41:41" x14ac:dyDescent="0.2">
      <c r="AO508" s="20"/>
    </row>
    <row r="509" spans="41:41" x14ac:dyDescent="0.2">
      <c r="AO509" s="20"/>
    </row>
    <row r="510" spans="41:41" x14ac:dyDescent="0.2">
      <c r="AO510" s="20"/>
    </row>
    <row r="511" spans="41:41" x14ac:dyDescent="0.2">
      <c r="AO511" s="20"/>
    </row>
    <row r="512" spans="41:41" x14ac:dyDescent="0.2">
      <c r="AO512" s="20"/>
    </row>
    <row r="513" spans="41:41" x14ac:dyDescent="0.2">
      <c r="AO513" s="20"/>
    </row>
    <row r="514" spans="41:41" x14ac:dyDescent="0.2">
      <c r="AO514" s="20"/>
    </row>
    <row r="515" spans="41:41" x14ac:dyDescent="0.2">
      <c r="AO515" s="20"/>
    </row>
    <row r="516" spans="41:41" x14ac:dyDescent="0.2">
      <c r="AO516" s="20"/>
    </row>
    <row r="517" spans="41:41" x14ac:dyDescent="0.2">
      <c r="AO517" s="20"/>
    </row>
    <row r="518" spans="41:41" x14ac:dyDescent="0.2">
      <c r="AO518" s="20"/>
    </row>
    <row r="519" spans="41:41" x14ac:dyDescent="0.2">
      <c r="AO519" s="20"/>
    </row>
    <row r="520" spans="41:41" x14ac:dyDescent="0.2">
      <c r="AO520" s="20"/>
    </row>
    <row r="521" spans="41:41" x14ac:dyDescent="0.2">
      <c r="AO521" s="20"/>
    </row>
    <row r="522" spans="41:41" x14ac:dyDescent="0.2">
      <c r="AO522" s="20"/>
    </row>
    <row r="523" spans="41:41" x14ac:dyDescent="0.2">
      <c r="AO523" s="20"/>
    </row>
    <row r="524" spans="41:41" x14ac:dyDescent="0.2">
      <c r="AO524" s="20"/>
    </row>
    <row r="525" spans="41:41" x14ac:dyDescent="0.2">
      <c r="AO525" s="20"/>
    </row>
    <row r="526" spans="41:41" x14ac:dyDescent="0.2">
      <c r="AO526" s="20"/>
    </row>
    <row r="527" spans="41:41" x14ac:dyDescent="0.2">
      <c r="AO527" s="20"/>
    </row>
    <row r="528" spans="41:41" x14ac:dyDescent="0.2">
      <c r="AO528" s="20"/>
    </row>
    <row r="529" spans="41:41" x14ac:dyDescent="0.2">
      <c r="AO529" s="20"/>
    </row>
    <row r="530" spans="41:41" x14ac:dyDescent="0.2">
      <c r="AO530" s="20"/>
    </row>
    <row r="531" spans="41:41" x14ac:dyDescent="0.2">
      <c r="AO531" s="20"/>
    </row>
    <row r="532" spans="41:41" x14ac:dyDescent="0.2">
      <c r="AO532" s="20"/>
    </row>
    <row r="533" spans="41:41" x14ac:dyDescent="0.2">
      <c r="AO533" s="20"/>
    </row>
    <row r="534" spans="41:41" x14ac:dyDescent="0.2">
      <c r="AO534" s="20"/>
    </row>
    <row r="535" spans="41:41" x14ac:dyDescent="0.2">
      <c r="AO535" s="20"/>
    </row>
    <row r="536" spans="41:41" x14ac:dyDescent="0.2">
      <c r="AO536" s="20"/>
    </row>
    <row r="537" spans="41:41" x14ac:dyDescent="0.2">
      <c r="AO537" s="20"/>
    </row>
    <row r="538" spans="41:41" x14ac:dyDescent="0.2">
      <c r="AO538" s="20"/>
    </row>
    <row r="539" spans="41:41" x14ac:dyDescent="0.2">
      <c r="AO539" s="20"/>
    </row>
    <row r="540" spans="41:41" x14ac:dyDescent="0.2">
      <c r="AO540" s="20"/>
    </row>
    <row r="541" spans="41:41" x14ac:dyDescent="0.2">
      <c r="AO541" s="20"/>
    </row>
    <row r="542" spans="41:41" x14ac:dyDescent="0.2">
      <c r="AO542" s="20"/>
    </row>
    <row r="543" spans="41:41" x14ac:dyDescent="0.2">
      <c r="AO543" s="20"/>
    </row>
    <row r="544" spans="41:41" x14ac:dyDescent="0.2">
      <c r="AO544" s="20"/>
    </row>
    <row r="545" spans="41:41" x14ac:dyDescent="0.2">
      <c r="AO545" s="20"/>
    </row>
    <row r="546" spans="41:41" x14ac:dyDescent="0.2">
      <c r="AO546" s="20"/>
    </row>
    <row r="547" spans="41:41" x14ac:dyDescent="0.2">
      <c r="AO547" s="20"/>
    </row>
    <row r="548" spans="41:41" x14ac:dyDescent="0.2">
      <c r="AO548" s="20"/>
    </row>
    <row r="549" spans="41:41" x14ac:dyDescent="0.2">
      <c r="AO549" s="20"/>
    </row>
    <row r="550" spans="41:41" x14ac:dyDescent="0.2">
      <c r="AO550" s="20"/>
    </row>
    <row r="551" spans="41:41" x14ac:dyDescent="0.2">
      <c r="AO551" s="20"/>
    </row>
    <row r="552" spans="41:41" x14ac:dyDescent="0.2">
      <c r="AO552" s="20"/>
    </row>
    <row r="553" spans="41:41" x14ac:dyDescent="0.2">
      <c r="AO553" s="20"/>
    </row>
    <row r="554" spans="41:41" x14ac:dyDescent="0.2">
      <c r="AO554" s="20"/>
    </row>
    <row r="555" spans="41:41" x14ac:dyDescent="0.2">
      <c r="AO555" s="20"/>
    </row>
    <row r="556" spans="41:41" x14ac:dyDescent="0.2">
      <c r="AO556" s="20"/>
    </row>
    <row r="557" spans="41:41" x14ac:dyDescent="0.2">
      <c r="AO557" s="20"/>
    </row>
    <row r="558" spans="41:41" x14ac:dyDescent="0.2">
      <c r="AO558" s="20"/>
    </row>
    <row r="559" spans="41:41" x14ac:dyDescent="0.2">
      <c r="AO559" s="20"/>
    </row>
    <row r="560" spans="41:41" x14ac:dyDescent="0.2">
      <c r="AO560" s="20"/>
    </row>
    <row r="561" spans="41:41" x14ac:dyDescent="0.2">
      <c r="AO561" s="20"/>
    </row>
    <row r="562" spans="41:41" x14ac:dyDescent="0.2">
      <c r="AO562" s="20"/>
    </row>
    <row r="563" spans="41:41" x14ac:dyDescent="0.2">
      <c r="AO563" s="20"/>
    </row>
    <row r="564" spans="41:41" x14ac:dyDescent="0.2">
      <c r="AO564" s="20"/>
    </row>
    <row r="565" spans="41:41" x14ac:dyDescent="0.2">
      <c r="AO565" s="20"/>
    </row>
    <row r="566" spans="41:41" x14ac:dyDescent="0.2">
      <c r="AO566" s="20"/>
    </row>
    <row r="567" spans="41:41" x14ac:dyDescent="0.2">
      <c r="AO567" s="20"/>
    </row>
    <row r="568" spans="41:41" x14ac:dyDescent="0.2">
      <c r="AO568" s="20"/>
    </row>
    <row r="569" spans="41:41" x14ac:dyDescent="0.2">
      <c r="AO569" s="20"/>
    </row>
    <row r="570" spans="41:41" x14ac:dyDescent="0.2">
      <c r="AO570" s="20"/>
    </row>
    <row r="571" spans="41:41" x14ac:dyDescent="0.2">
      <c r="AO571" s="20"/>
    </row>
    <row r="572" spans="41:41" x14ac:dyDescent="0.2">
      <c r="AO572" s="20"/>
    </row>
    <row r="573" spans="41:41" x14ac:dyDescent="0.2">
      <c r="AO573" s="20"/>
    </row>
    <row r="574" spans="41:41" x14ac:dyDescent="0.2">
      <c r="AO574" s="20"/>
    </row>
    <row r="575" spans="41:41" x14ac:dyDescent="0.2">
      <c r="AO575" s="20"/>
    </row>
    <row r="576" spans="41:41" x14ac:dyDescent="0.2">
      <c r="AO576" s="20"/>
    </row>
    <row r="577" spans="41:41" x14ac:dyDescent="0.2">
      <c r="AO577" s="20"/>
    </row>
    <row r="578" spans="41:41" x14ac:dyDescent="0.2">
      <c r="AO578" s="20"/>
    </row>
    <row r="579" spans="41:41" x14ac:dyDescent="0.2">
      <c r="AO579" s="20"/>
    </row>
    <row r="580" spans="41:41" x14ac:dyDescent="0.2">
      <c r="AO580" s="20"/>
    </row>
    <row r="581" spans="41:41" x14ac:dyDescent="0.2">
      <c r="AO581" s="20"/>
    </row>
    <row r="582" spans="41:41" x14ac:dyDescent="0.2">
      <c r="AO582" s="20"/>
    </row>
    <row r="583" spans="41:41" x14ac:dyDescent="0.2">
      <c r="AO583" s="20"/>
    </row>
    <row r="584" spans="41:41" x14ac:dyDescent="0.2">
      <c r="AO584" s="20"/>
    </row>
    <row r="585" spans="41:41" x14ac:dyDescent="0.2">
      <c r="AO585" s="20"/>
    </row>
    <row r="586" spans="41:41" x14ac:dyDescent="0.2">
      <c r="AO586" s="20"/>
    </row>
    <row r="587" spans="41:41" x14ac:dyDescent="0.2">
      <c r="AO587" s="20"/>
    </row>
    <row r="588" spans="41:41" x14ac:dyDescent="0.2">
      <c r="AO588" s="20"/>
    </row>
    <row r="589" spans="41:41" x14ac:dyDescent="0.2">
      <c r="AO589" s="20"/>
    </row>
    <row r="590" spans="41:41" x14ac:dyDescent="0.2">
      <c r="AO590" s="20"/>
    </row>
    <row r="591" spans="41:41" x14ac:dyDescent="0.2">
      <c r="AO591" s="20"/>
    </row>
    <row r="592" spans="41:41" x14ac:dyDescent="0.2">
      <c r="AO592" s="20"/>
    </row>
    <row r="593" spans="39:41" x14ac:dyDescent="0.2">
      <c r="AO593" s="20"/>
    </row>
    <row r="594" spans="39:41" x14ac:dyDescent="0.2">
      <c r="AO594" s="20"/>
    </row>
    <row r="595" spans="39:41" x14ac:dyDescent="0.2">
      <c r="AO595" s="20"/>
    </row>
    <row r="596" spans="39:41" ht="13.5" thickBot="1" x14ac:dyDescent="0.25"/>
    <row r="597" spans="39:41" x14ac:dyDescent="0.2">
      <c r="AM597" s="26"/>
      <c r="AO597" s="27"/>
    </row>
  </sheetData>
  <mergeCells count="91">
    <mergeCell ref="I70:J70"/>
    <mergeCell ref="K70:L70"/>
    <mergeCell ref="M70:N70"/>
    <mergeCell ref="A71:B71"/>
    <mergeCell ref="A65:B65"/>
    <mergeCell ref="A66:B66"/>
    <mergeCell ref="A68:B68"/>
    <mergeCell ref="A1:B1"/>
    <mergeCell ref="A70:B70"/>
    <mergeCell ref="C70:D70"/>
    <mergeCell ref="E70:F70"/>
    <mergeCell ref="G70:H70"/>
    <mergeCell ref="A69:B69"/>
    <mergeCell ref="B25:B26"/>
    <mergeCell ref="A25:A26"/>
    <mergeCell ref="B33:B34"/>
    <mergeCell ref="A33:A34"/>
    <mergeCell ref="A59:A60"/>
    <mergeCell ref="B59:B60"/>
    <mergeCell ref="A47:A48"/>
    <mergeCell ref="B47:B48"/>
    <mergeCell ref="A49:A50"/>
    <mergeCell ref="B49:B50"/>
    <mergeCell ref="B41:B42"/>
    <mergeCell ref="A43:A44"/>
    <mergeCell ref="B43:B44"/>
    <mergeCell ref="A61:A62"/>
    <mergeCell ref="A51:A52"/>
    <mergeCell ref="B51:B52"/>
    <mergeCell ref="A41:A42"/>
    <mergeCell ref="B61:B62"/>
    <mergeCell ref="A45:A46"/>
    <mergeCell ref="B45:B46"/>
    <mergeCell ref="A63:A64"/>
    <mergeCell ref="B63:B64"/>
    <mergeCell ref="A53:A54"/>
    <mergeCell ref="B53:B54"/>
    <mergeCell ref="A55:A56"/>
    <mergeCell ref="B55:B56"/>
    <mergeCell ref="A57:A58"/>
    <mergeCell ref="B57:B58"/>
    <mergeCell ref="A35:A36"/>
    <mergeCell ref="B35:B36"/>
    <mergeCell ref="A37:A38"/>
    <mergeCell ref="B37:B38"/>
    <mergeCell ref="A39:A40"/>
    <mergeCell ref="B39:B40"/>
    <mergeCell ref="A27:A28"/>
    <mergeCell ref="B27:B28"/>
    <mergeCell ref="A29:A30"/>
    <mergeCell ref="B29:B30"/>
    <mergeCell ref="A31:A32"/>
    <mergeCell ref="B31:B32"/>
    <mergeCell ref="A19:A20"/>
    <mergeCell ref="B19:B20"/>
    <mergeCell ref="A21:A22"/>
    <mergeCell ref="B21:B22"/>
    <mergeCell ref="A23:A24"/>
    <mergeCell ref="B23:B24"/>
    <mergeCell ref="A13:A14"/>
    <mergeCell ref="B13:B14"/>
    <mergeCell ref="A15:A16"/>
    <mergeCell ref="B15:B16"/>
    <mergeCell ref="A17:A18"/>
    <mergeCell ref="B17:B18"/>
    <mergeCell ref="L2:N3"/>
    <mergeCell ref="A11:A12"/>
    <mergeCell ref="B11:B12"/>
    <mergeCell ref="B9:B10"/>
    <mergeCell ref="A9:A10"/>
    <mergeCell ref="A72:B74"/>
    <mergeCell ref="AD2:AF3"/>
    <mergeCell ref="AG2:AI3"/>
    <mergeCell ref="AJ2:AL3"/>
    <mergeCell ref="AM2:AO3"/>
    <mergeCell ref="A6:A7"/>
    <mergeCell ref="B6:B7"/>
    <mergeCell ref="O2:Q3"/>
    <mergeCell ref="R2:T3"/>
    <mergeCell ref="U2:W3"/>
    <mergeCell ref="X2:Z3"/>
    <mergeCell ref="AA2:AC3"/>
    <mergeCell ref="A2:A4"/>
    <mergeCell ref="B2:B4"/>
    <mergeCell ref="C2:E3"/>
    <mergeCell ref="F2:K2"/>
    <mergeCell ref="C72:D72"/>
    <mergeCell ref="E72:F72"/>
    <mergeCell ref="G72:H72"/>
    <mergeCell ref="I72:J72"/>
    <mergeCell ref="K72:L72"/>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A28"/>
  <sheetViews>
    <sheetView workbookViewId="0">
      <pane xSplit="1" ySplit="4" topLeftCell="B5" activePane="bottomRight" state="frozen"/>
      <selection pane="topRight" activeCell="B1" sqref="B1"/>
      <selection pane="bottomLeft" activeCell="A5" sqref="A5"/>
      <selection pane="bottomRight" activeCell="L4" sqref="L4"/>
    </sheetView>
  </sheetViews>
  <sheetFormatPr defaultColWidth="6.5703125" defaultRowHeight="12.75" x14ac:dyDescent="0.25"/>
  <cols>
    <col min="1" max="1" width="30.140625" style="421" customWidth="1"/>
    <col min="2" max="5" width="10.42578125" style="421" bestFit="1" customWidth="1"/>
    <col min="6" max="11" width="10.42578125" style="416" bestFit="1" customWidth="1"/>
    <col min="12" max="12" width="10.42578125" style="416" customWidth="1"/>
    <col min="13" max="16" width="9.42578125" style="421" bestFit="1" customWidth="1"/>
    <col min="17" max="22" width="9.42578125" style="416" bestFit="1" customWidth="1"/>
    <col min="23" max="23" width="9.42578125" style="416" customWidth="1"/>
    <col min="24" max="27" width="9.42578125" style="421" bestFit="1" customWidth="1"/>
    <col min="28" max="33" width="9.42578125" style="416" bestFit="1" customWidth="1"/>
    <col min="34" max="34" width="9.42578125" style="416" customWidth="1"/>
    <col min="35" max="38" width="10.42578125" style="421" bestFit="1" customWidth="1"/>
    <col min="39" max="41" width="10.42578125" style="416" bestFit="1" customWidth="1"/>
    <col min="42" max="45" width="10.85546875" style="416" customWidth="1"/>
    <col min="46" max="49" width="8.28515625" style="421" bestFit="1" customWidth="1"/>
    <col min="50" max="50" width="7.5703125" style="416" customWidth="1"/>
    <col min="51" max="55" width="7.7109375" style="416" bestFit="1" customWidth="1"/>
    <col min="56" max="56" width="7.7109375" style="416" customWidth="1"/>
    <col min="57" max="60" width="11" style="421" bestFit="1" customWidth="1"/>
    <col min="61" max="63" width="11" style="416" bestFit="1" customWidth="1"/>
    <col min="64" max="67" width="10.85546875" style="416" customWidth="1"/>
    <col min="68" max="71" width="9.5703125" style="421" customWidth="1"/>
    <col min="72" max="72" width="7.5703125" style="416" customWidth="1"/>
    <col min="73" max="78" width="8.140625" style="416" customWidth="1"/>
    <col min="79" max="81" width="9.5703125" style="421" customWidth="1"/>
    <col min="82" max="82" width="11" style="421" bestFit="1" customWidth="1"/>
    <col min="83" max="85" width="11" style="416" bestFit="1" customWidth="1"/>
    <col min="86" max="89" width="10.85546875" style="416" customWidth="1"/>
    <col min="90" max="92" width="10.42578125" style="421" bestFit="1" customWidth="1"/>
    <col min="93" max="93" width="12" style="421" bestFit="1" customWidth="1"/>
    <col min="94" max="97" width="12" style="416" bestFit="1" customWidth="1"/>
    <col min="98" max="99" width="13.140625" style="416" bestFit="1" customWidth="1"/>
    <col min="100" max="100" width="12.5703125" style="416" customWidth="1"/>
    <col min="101" max="101" width="14.28515625" style="416" customWidth="1"/>
    <col min="102" max="16384" width="6.5703125" style="416"/>
  </cols>
  <sheetData>
    <row r="1" spans="1:105" s="414" customFormat="1" ht="44.25" customHeight="1" x14ac:dyDescent="0.25">
      <c r="A1" s="364" t="s">
        <v>368</v>
      </c>
      <c r="B1" s="412"/>
      <c r="C1" s="412"/>
      <c r="D1" s="412"/>
      <c r="E1" s="412"/>
      <c r="F1" s="412"/>
      <c r="G1" s="412"/>
      <c r="H1" s="412"/>
      <c r="I1" s="412"/>
      <c r="J1" s="412"/>
      <c r="K1" s="412"/>
      <c r="L1" s="412"/>
      <c r="M1" s="412"/>
      <c r="N1" s="412"/>
      <c r="O1" s="412"/>
      <c r="P1" s="412"/>
      <c r="Q1" s="412"/>
      <c r="R1" s="412"/>
      <c r="S1" s="412"/>
      <c r="T1" s="412"/>
      <c r="U1" s="412"/>
      <c r="V1" s="412"/>
      <c r="W1" s="412"/>
      <c r="X1" s="412"/>
      <c r="Y1" s="412"/>
      <c r="Z1" s="412"/>
      <c r="AA1" s="412"/>
      <c r="AB1" s="412"/>
      <c r="AC1" s="412"/>
      <c r="AD1" s="412"/>
      <c r="AE1" s="412"/>
      <c r="AF1" s="412"/>
      <c r="AG1" s="412"/>
      <c r="AH1" s="412"/>
      <c r="AI1" s="412"/>
      <c r="AJ1" s="412"/>
      <c r="AK1" s="412"/>
      <c r="AL1" s="412"/>
      <c r="AM1" s="412"/>
      <c r="AN1" s="412"/>
      <c r="AO1" s="412"/>
      <c r="AP1" s="412"/>
      <c r="AQ1" s="412"/>
      <c r="AR1" s="412"/>
      <c r="AS1" s="412"/>
      <c r="AT1" s="412"/>
      <c r="AU1" s="412"/>
      <c r="AV1" s="412"/>
      <c r="AW1" s="412"/>
      <c r="AX1" s="412"/>
      <c r="AY1" s="412"/>
      <c r="AZ1" s="412"/>
      <c r="BA1" s="412"/>
      <c r="BB1" s="412"/>
      <c r="BC1" s="412"/>
      <c r="BD1" s="412"/>
      <c r="BE1" s="412"/>
      <c r="BF1" s="412"/>
      <c r="BG1" s="412"/>
      <c r="BH1" s="412"/>
      <c r="BI1" s="412"/>
      <c r="BJ1" s="412"/>
      <c r="BK1" s="412"/>
      <c r="BL1" s="412"/>
      <c r="BM1" s="412"/>
      <c r="BN1" s="412"/>
      <c r="BO1" s="412"/>
      <c r="BP1" s="412"/>
      <c r="BQ1" s="412"/>
      <c r="BR1" s="412"/>
      <c r="BS1" s="412"/>
      <c r="BT1" s="412"/>
      <c r="BU1" s="412"/>
      <c r="BV1" s="412"/>
      <c r="BW1" s="412"/>
      <c r="BX1" s="412"/>
      <c r="BY1" s="412"/>
      <c r="BZ1" s="412"/>
      <c r="CA1" s="412"/>
      <c r="CB1" s="412"/>
      <c r="CC1" s="412"/>
      <c r="CD1" s="412"/>
      <c r="CE1" s="412"/>
      <c r="CF1" s="412"/>
      <c r="CG1" s="412"/>
      <c r="CH1" s="412"/>
      <c r="CI1" s="412"/>
      <c r="CJ1" s="412"/>
      <c r="CK1" s="412"/>
      <c r="CL1" s="412"/>
      <c r="CM1" s="412"/>
      <c r="CN1" s="412"/>
      <c r="CO1" s="412"/>
      <c r="CP1" s="412"/>
      <c r="CQ1" s="412"/>
      <c r="CR1" s="413"/>
      <c r="CS1" s="413"/>
      <c r="CT1" s="413"/>
      <c r="CU1" s="413"/>
    </row>
    <row r="2" spans="1:105" ht="18" customHeight="1" x14ac:dyDescent="0.25">
      <c r="A2" s="628" t="s">
        <v>380</v>
      </c>
      <c r="B2" s="628"/>
      <c r="C2" s="628"/>
      <c r="D2" s="628"/>
      <c r="E2" s="628"/>
      <c r="F2" s="628"/>
      <c r="G2" s="628"/>
      <c r="H2" s="628"/>
      <c r="I2" s="628"/>
      <c r="J2" s="628"/>
      <c r="K2" s="628"/>
      <c r="L2" s="628"/>
      <c r="M2" s="628"/>
      <c r="N2" s="628"/>
      <c r="O2" s="628"/>
      <c r="P2" s="628"/>
      <c r="Q2" s="628"/>
      <c r="R2" s="628"/>
      <c r="S2" s="628"/>
      <c r="T2" s="628"/>
      <c r="U2" s="628"/>
      <c r="V2" s="628"/>
      <c r="W2" s="628"/>
      <c r="X2" s="628"/>
      <c r="Y2" s="628"/>
      <c r="Z2" s="628"/>
      <c r="AA2" s="628"/>
      <c r="AB2" s="628"/>
      <c r="AC2" s="628"/>
      <c r="AD2" s="628"/>
      <c r="AE2" s="628"/>
      <c r="AF2" s="628"/>
      <c r="AG2" s="628"/>
      <c r="AH2" s="628"/>
      <c r="AI2" s="628"/>
      <c r="AJ2" s="628"/>
      <c r="AK2" s="628"/>
      <c r="AL2" s="628"/>
      <c r="AM2" s="628"/>
      <c r="AN2" s="628"/>
      <c r="AO2" s="628"/>
      <c r="AP2" s="628"/>
      <c r="AQ2" s="628"/>
      <c r="AR2" s="628"/>
      <c r="AS2" s="628"/>
      <c r="AT2" s="628"/>
      <c r="AU2" s="628"/>
      <c r="AV2" s="628"/>
      <c r="AW2" s="628"/>
      <c r="AX2" s="628"/>
      <c r="AY2" s="628"/>
      <c r="AZ2" s="628"/>
      <c r="BA2" s="628"/>
      <c r="BB2" s="628"/>
      <c r="BC2" s="628"/>
      <c r="BD2" s="628"/>
      <c r="BE2" s="628"/>
      <c r="BF2" s="628"/>
      <c r="BG2" s="628"/>
      <c r="BH2" s="628"/>
      <c r="BI2" s="628"/>
      <c r="BJ2" s="628"/>
      <c r="BK2" s="628"/>
      <c r="BL2" s="628"/>
      <c r="BM2" s="628"/>
      <c r="BN2" s="628"/>
      <c r="BO2" s="628"/>
      <c r="BP2" s="628"/>
      <c r="BQ2" s="628"/>
      <c r="BR2" s="628"/>
      <c r="BS2" s="628"/>
      <c r="BT2" s="628"/>
      <c r="BU2" s="628"/>
      <c r="BV2" s="628"/>
      <c r="BW2" s="628"/>
      <c r="BX2" s="628"/>
      <c r="BY2" s="628"/>
      <c r="BZ2" s="628"/>
      <c r="CA2" s="628"/>
      <c r="CB2" s="628"/>
      <c r="CC2" s="628"/>
      <c r="CD2" s="628"/>
      <c r="CE2" s="628"/>
      <c r="CF2" s="628"/>
      <c r="CG2" s="628"/>
      <c r="CH2" s="628"/>
      <c r="CI2" s="628"/>
      <c r="CJ2" s="628"/>
      <c r="CK2" s="628"/>
      <c r="CL2" s="628"/>
      <c r="CM2" s="628"/>
      <c r="CN2" s="628"/>
      <c r="CO2" s="628"/>
      <c r="CP2" s="628"/>
      <c r="CQ2" s="628"/>
      <c r="CR2" s="628"/>
      <c r="CS2" s="628"/>
      <c r="CT2" s="415"/>
      <c r="CU2" s="415"/>
    </row>
    <row r="3" spans="1:105" s="417" customFormat="1" ht="15" customHeight="1" x14ac:dyDescent="0.25">
      <c r="A3" s="629" t="s">
        <v>307</v>
      </c>
      <c r="B3" s="624" t="s">
        <v>50</v>
      </c>
      <c r="C3" s="625"/>
      <c r="D3" s="625"/>
      <c r="E3" s="625"/>
      <c r="F3" s="625"/>
      <c r="G3" s="625"/>
      <c r="H3" s="625"/>
      <c r="I3" s="625"/>
      <c r="J3" s="625"/>
      <c r="K3" s="625"/>
      <c r="L3" s="626"/>
      <c r="M3" s="624" t="s">
        <v>308</v>
      </c>
      <c r="N3" s="625"/>
      <c r="O3" s="625"/>
      <c r="P3" s="625"/>
      <c r="Q3" s="625"/>
      <c r="R3" s="625"/>
      <c r="S3" s="625"/>
      <c r="T3" s="625"/>
      <c r="U3" s="625"/>
      <c r="V3" s="625"/>
      <c r="W3" s="626"/>
      <c r="X3" s="624" t="s">
        <v>309</v>
      </c>
      <c r="Y3" s="625"/>
      <c r="Z3" s="625"/>
      <c r="AA3" s="625"/>
      <c r="AB3" s="625"/>
      <c r="AC3" s="625"/>
      <c r="AD3" s="625"/>
      <c r="AE3" s="625"/>
      <c r="AF3" s="625"/>
      <c r="AG3" s="625"/>
      <c r="AH3" s="626"/>
      <c r="AI3" s="624" t="s">
        <v>49</v>
      </c>
      <c r="AJ3" s="625"/>
      <c r="AK3" s="625"/>
      <c r="AL3" s="625"/>
      <c r="AM3" s="625"/>
      <c r="AN3" s="625"/>
      <c r="AO3" s="625"/>
      <c r="AP3" s="625"/>
      <c r="AQ3" s="625"/>
      <c r="AR3" s="625"/>
      <c r="AS3" s="626"/>
      <c r="AT3" s="624" t="s">
        <v>310</v>
      </c>
      <c r="AU3" s="625"/>
      <c r="AV3" s="625"/>
      <c r="AW3" s="625"/>
      <c r="AX3" s="625"/>
      <c r="AY3" s="625"/>
      <c r="AZ3" s="625"/>
      <c r="BA3" s="625"/>
      <c r="BB3" s="625"/>
      <c r="BC3" s="625"/>
      <c r="BD3" s="626"/>
      <c r="BE3" s="624" t="s">
        <v>311</v>
      </c>
      <c r="BF3" s="625"/>
      <c r="BG3" s="625"/>
      <c r="BH3" s="625"/>
      <c r="BI3" s="625"/>
      <c r="BJ3" s="625"/>
      <c r="BK3" s="625"/>
      <c r="BL3" s="625"/>
      <c r="BM3" s="625"/>
      <c r="BN3" s="625"/>
      <c r="BO3" s="626"/>
      <c r="BP3" s="624" t="s">
        <v>312</v>
      </c>
      <c r="BQ3" s="625"/>
      <c r="BR3" s="625"/>
      <c r="BS3" s="625"/>
      <c r="BT3" s="625"/>
      <c r="BU3" s="625"/>
      <c r="BV3" s="625"/>
      <c r="BW3" s="625"/>
      <c r="BX3" s="625"/>
      <c r="BY3" s="625"/>
      <c r="BZ3" s="626"/>
      <c r="CA3" s="624" t="s">
        <v>313</v>
      </c>
      <c r="CB3" s="625"/>
      <c r="CC3" s="625"/>
      <c r="CD3" s="625"/>
      <c r="CE3" s="625"/>
      <c r="CF3" s="625"/>
      <c r="CG3" s="625"/>
      <c r="CH3" s="625"/>
      <c r="CI3" s="625"/>
      <c r="CJ3" s="625"/>
      <c r="CK3" s="626"/>
      <c r="CL3" s="627" t="s">
        <v>52</v>
      </c>
      <c r="CM3" s="627"/>
      <c r="CN3" s="627"/>
      <c r="CO3" s="627"/>
      <c r="CP3" s="627"/>
      <c r="CQ3" s="627"/>
      <c r="CR3" s="627"/>
      <c r="CS3" s="627"/>
      <c r="CT3" s="627"/>
      <c r="CU3" s="627"/>
      <c r="CV3" s="627"/>
    </row>
    <row r="4" spans="1:105" s="410" customFormat="1" x14ac:dyDescent="0.25">
      <c r="A4" s="629"/>
      <c r="B4" s="353" t="s">
        <v>33</v>
      </c>
      <c r="C4" s="353" t="s">
        <v>34</v>
      </c>
      <c r="D4" s="353" t="s">
        <v>35</v>
      </c>
      <c r="E4" s="353" t="s">
        <v>36</v>
      </c>
      <c r="F4" s="185" t="s">
        <v>37</v>
      </c>
      <c r="G4" s="185" t="s">
        <v>38</v>
      </c>
      <c r="H4" s="185" t="s">
        <v>39</v>
      </c>
      <c r="I4" s="186" t="s">
        <v>40</v>
      </c>
      <c r="J4" s="186" t="s">
        <v>41</v>
      </c>
      <c r="K4" s="186" t="s">
        <v>292</v>
      </c>
      <c r="L4" s="186" t="s">
        <v>399</v>
      </c>
      <c r="M4" s="353" t="s">
        <v>33</v>
      </c>
      <c r="N4" s="353" t="s">
        <v>34</v>
      </c>
      <c r="O4" s="353" t="s">
        <v>35</v>
      </c>
      <c r="P4" s="353" t="s">
        <v>36</v>
      </c>
      <c r="Q4" s="185" t="s">
        <v>37</v>
      </c>
      <c r="R4" s="185" t="s">
        <v>38</v>
      </c>
      <c r="S4" s="185" t="s">
        <v>39</v>
      </c>
      <c r="T4" s="186" t="s">
        <v>40</v>
      </c>
      <c r="U4" s="186" t="s">
        <v>41</v>
      </c>
      <c r="V4" s="186" t="s">
        <v>292</v>
      </c>
      <c r="W4" s="186" t="s">
        <v>399</v>
      </c>
      <c r="X4" s="353" t="s">
        <v>33</v>
      </c>
      <c r="Y4" s="353" t="s">
        <v>34</v>
      </c>
      <c r="Z4" s="353" t="s">
        <v>35</v>
      </c>
      <c r="AA4" s="353" t="s">
        <v>36</v>
      </c>
      <c r="AB4" s="185" t="s">
        <v>37</v>
      </c>
      <c r="AC4" s="185" t="s">
        <v>38</v>
      </c>
      <c r="AD4" s="185" t="s">
        <v>39</v>
      </c>
      <c r="AE4" s="186" t="s">
        <v>40</v>
      </c>
      <c r="AF4" s="186" t="s">
        <v>41</v>
      </c>
      <c r="AG4" s="186" t="s">
        <v>292</v>
      </c>
      <c r="AH4" s="186" t="s">
        <v>399</v>
      </c>
      <c r="AI4" s="353" t="s">
        <v>33</v>
      </c>
      <c r="AJ4" s="353" t="s">
        <v>34</v>
      </c>
      <c r="AK4" s="353" t="s">
        <v>35</v>
      </c>
      <c r="AL4" s="353" t="s">
        <v>36</v>
      </c>
      <c r="AM4" s="185" t="s">
        <v>37</v>
      </c>
      <c r="AN4" s="185" t="s">
        <v>38</v>
      </c>
      <c r="AO4" s="185" t="s">
        <v>39</v>
      </c>
      <c r="AP4" s="186" t="s">
        <v>40</v>
      </c>
      <c r="AQ4" s="186" t="s">
        <v>41</v>
      </c>
      <c r="AR4" s="186" t="s">
        <v>292</v>
      </c>
      <c r="AS4" s="186" t="s">
        <v>399</v>
      </c>
      <c r="AT4" s="353" t="s">
        <v>33</v>
      </c>
      <c r="AU4" s="353" t="s">
        <v>34</v>
      </c>
      <c r="AV4" s="353" t="s">
        <v>35</v>
      </c>
      <c r="AW4" s="353" t="s">
        <v>36</v>
      </c>
      <c r="AX4" s="185" t="s">
        <v>37</v>
      </c>
      <c r="AY4" s="185" t="s">
        <v>38</v>
      </c>
      <c r="AZ4" s="185" t="s">
        <v>39</v>
      </c>
      <c r="BA4" s="186" t="s">
        <v>40</v>
      </c>
      <c r="BB4" s="186" t="s">
        <v>41</v>
      </c>
      <c r="BC4" s="186" t="s">
        <v>292</v>
      </c>
      <c r="BD4" s="186" t="s">
        <v>399</v>
      </c>
      <c r="BE4" s="353" t="s">
        <v>33</v>
      </c>
      <c r="BF4" s="353" t="s">
        <v>34</v>
      </c>
      <c r="BG4" s="353" t="s">
        <v>35</v>
      </c>
      <c r="BH4" s="353" t="s">
        <v>36</v>
      </c>
      <c r="BI4" s="185" t="s">
        <v>37</v>
      </c>
      <c r="BJ4" s="185" t="s">
        <v>38</v>
      </c>
      <c r="BK4" s="185" t="s">
        <v>39</v>
      </c>
      <c r="BL4" s="186" t="s">
        <v>40</v>
      </c>
      <c r="BM4" s="186" t="s">
        <v>41</v>
      </c>
      <c r="BN4" s="186" t="s">
        <v>292</v>
      </c>
      <c r="BO4" s="186" t="s">
        <v>399</v>
      </c>
      <c r="BP4" s="353" t="s">
        <v>33</v>
      </c>
      <c r="BQ4" s="353" t="s">
        <v>34</v>
      </c>
      <c r="BR4" s="353" t="s">
        <v>35</v>
      </c>
      <c r="BS4" s="353" t="s">
        <v>36</v>
      </c>
      <c r="BT4" s="185" t="s">
        <v>37</v>
      </c>
      <c r="BU4" s="185" t="s">
        <v>38</v>
      </c>
      <c r="BV4" s="185" t="s">
        <v>39</v>
      </c>
      <c r="BW4" s="186" t="s">
        <v>40</v>
      </c>
      <c r="BX4" s="186" t="s">
        <v>41</v>
      </c>
      <c r="BY4" s="186" t="s">
        <v>292</v>
      </c>
      <c r="BZ4" s="186" t="s">
        <v>399</v>
      </c>
      <c r="CA4" s="353" t="s">
        <v>33</v>
      </c>
      <c r="CB4" s="353" t="s">
        <v>34</v>
      </c>
      <c r="CC4" s="353" t="s">
        <v>35</v>
      </c>
      <c r="CD4" s="353" t="s">
        <v>36</v>
      </c>
      <c r="CE4" s="185" t="s">
        <v>37</v>
      </c>
      <c r="CF4" s="185" t="s">
        <v>38</v>
      </c>
      <c r="CG4" s="185" t="s">
        <v>39</v>
      </c>
      <c r="CH4" s="186" t="s">
        <v>40</v>
      </c>
      <c r="CI4" s="186" t="s">
        <v>41</v>
      </c>
      <c r="CJ4" s="186" t="s">
        <v>292</v>
      </c>
      <c r="CK4" s="186" t="s">
        <v>399</v>
      </c>
      <c r="CL4" s="459" t="s">
        <v>33</v>
      </c>
      <c r="CM4" s="459" t="s">
        <v>34</v>
      </c>
      <c r="CN4" s="459" t="s">
        <v>35</v>
      </c>
      <c r="CO4" s="459" t="s">
        <v>36</v>
      </c>
      <c r="CP4" s="460" t="s">
        <v>37</v>
      </c>
      <c r="CQ4" s="460" t="s">
        <v>38</v>
      </c>
      <c r="CR4" s="460" t="s">
        <v>39</v>
      </c>
      <c r="CS4" s="461" t="s">
        <v>40</v>
      </c>
      <c r="CT4" s="461" t="s">
        <v>41</v>
      </c>
      <c r="CU4" s="461" t="s">
        <v>292</v>
      </c>
      <c r="CV4" s="462" t="s">
        <v>399</v>
      </c>
    </row>
    <row r="5" spans="1:105" ht="18" customHeight="1" x14ac:dyDescent="0.2">
      <c r="A5" s="187" t="s">
        <v>314</v>
      </c>
      <c r="B5" s="188">
        <v>1618.7098313644919</v>
      </c>
      <c r="C5" s="188">
        <v>1751</v>
      </c>
      <c r="D5" s="188">
        <v>1869.3715769309645</v>
      </c>
      <c r="E5" s="188">
        <v>1900.903143981777</v>
      </c>
      <c r="F5" s="189">
        <v>2053.2650057748833</v>
      </c>
      <c r="G5" s="189">
        <v>2575.1783082176403</v>
      </c>
      <c r="H5" s="189">
        <v>3286.7240296120617</v>
      </c>
      <c r="I5" s="190">
        <v>3314.8169626244844</v>
      </c>
      <c r="J5" s="190">
        <v>3258.1778973669198</v>
      </c>
      <c r="K5" s="190">
        <v>3440.6281186031883</v>
      </c>
      <c r="L5" s="190">
        <v>3562.0165421728157</v>
      </c>
      <c r="M5" s="188">
        <v>1328.7539489279018</v>
      </c>
      <c r="N5" s="188">
        <v>1478</v>
      </c>
      <c r="O5" s="188">
        <v>1441.0456273322079</v>
      </c>
      <c r="P5" s="188">
        <v>1725.372634499201</v>
      </c>
      <c r="Q5" s="189">
        <v>1993.6885692773792</v>
      </c>
      <c r="R5" s="189">
        <v>2126.7252241038095</v>
      </c>
      <c r="S5" s="189">
        <v>2146.8825646264477</v>
      </c>
      <c r="T5" s="190">
        <v>2003.5107701918002</v>
      </c>
      <c r="U5" s="190">
        <v>2304.2193126208167</v>
      </c>
      <c r="V5" s="190">
        <v>2628.3132618660347</v>
      </c>
      <c r="W5" s="190">
        <v>2388.4122011934073</v>
      </c>
      <c r="X5" s="188">
        <v>100.70326119105374</v>
      </c>
      <c r="Y5" s="188">
        <v>174</v>
      </c>
      <c r="Z5" s="188">
        <v>189.24539629643328</v>
      </c>
      <c r="AA5" s="188">
        <v>298.85638735340223</v>
      </c>
      <c r="AB5" s="189">
        <v>262.77894327799999</v>
      </c>
      <c r="AC5" s="189">
        <v>238.86273468800016</v>
      </c>
      <c r="AD5" s="189">
        <v>244.23460369366526</v>
      </c>
      <c r="AE5" s="190">
        <v>271.3425483500003</v>
      </c>
      <c r="AF5" s="190">
        <v>419.36030164672303</v>
      </c>
      <c r="AG5" s="190">
        <v>460.66611795761031</v>
      </c>
      <c r="AH5" s="190">
        <v>376.15522232931414</v>
      </c>
      <c r="AI5" s="188">
        <v>2107.9921136061566</v>
      </c>
      <c r="AJ5" s="188">
        <v>2393</v>
      </c>
      <c r="AK5" s="188">
        <v>2844.9330303957522</v>
      </c>
      <c r="AL5" s="188">
        <v>3199.3018273711259</v>
      </c>
      <c r="AM5" s="189">
        <v>4245.3918211636037</v>
      </c>
      <c r="AN5" s="189">
        <v>6126.1071052731022</v>
      </c>
      <c r="AO5" s="189">
        <v>8903.2436780882726</v>
      </c>
      <c r="AP5" s="190">
        <v>10236.900373699227</v>
      </c>
      <c r="AQ5" s="190">
        <v>11663.586050377309</v>
      </c>
      <c r="AR5" s="190">
        <v>12740.079854475953</v>
      </c>
      <c r="AS5" s="190">
        <v>12418.208183475981</v>
      </c>
      <c r="AT5" s="188">
        <v>2.0271959939999999</v>
      </c>
      <c r="AU5" s="188">
        <v>0.1</v>
      </c>
      <c r="AV5" s="188">
        <v>0.11270252699999997</v>
      </c>
      <c r="AW5" s="188">
        <v>7.9262473999999986E-2</v>
      </c>
      <c r="AX5" s="189">
        <v>6.2049523020000006</v>
      </c>
      <c r="AY5" s="189">
        <v>5.3355380500000003</v>
      </c>
      <c r="AZ5" s="189">
        <v>0</v>
      </c>
      <c r="BA5" s="190">
        <v>8.2287000000000007E-5</v>
      </c>
      <c r="BB5" s="190">
        <v>2.5845000000000001E-5</v>
      </c>
      <c r="BC5" s="190">
        <v>0</v>
      </c>
      <c r="BD5" s="190">
        <v>0</v>
      </c>
      <c r="BE5" s="188">
        <v>2889.8630494694953</v>
      </c>
      <c r="BF5" s="188">
        <v>2896</v>
      </c>
      <c r="BG5" s="188">
        <v>3170.2991374554804</v>
      </c>
      <c r="BH5" s="188">
        <v>3561.9138949831849</v>
      </c>
      <c r="BI5" s="189">
        <v>2951.2915769427827</v>
      </c>
      <c r="BJ5" s="189">
        <v>4552.7302980351587</v>
      </c>
      <c r="BK5" s="189">
        <v>5476.2032375564449</v>
      </c>
      <c r="BL5" s="190">
        <v>5698.4810488429748</v>
      </c>
      <c r="BM5" s="190">
        <v>6268.5584564329702</v>
      </c>
      <c r="BN5" s="190">
        <v>6368.7077582962283</v>
      </c>
      <c r="BO5" s="190">
        <v>5493.5525356609305</v>
      </c>
      <c r="BP5" s="188">
        <v>2.7552667485388604E-2</v>
      </c>
      <c r="BQ5" s="188">
        <v>0</v>
      </c>
      <c r="BR5" s="188">
        <v>7.9080999999999995E-3</v>
      </c>
      <c r="BS5" s="188">
        <v>0.04</v>
      </c>
      <c r="BT5" s="189">
        <v>6.988670000000001E-2</v>
      </c>
      <c r="BU5" s="189">
        <v>1.32637E-2</v>
      </c>
      <c r="BV5" s="189">
        <v>7.9791600000000004E-2</v>
      </c>
      <c r="BW5" s="190">
        <v>1.6152899999999998E-2</v>
      </c>
      <c r="BX5" s="190">
        <v>1.7163E-3</v>
      </c>
      <c r="BY5" s="190">
        <v>1.9874000000000001</v>
      </c>
      <c r="BZ5" s="190">
        <v>1.9778838000000001</v>
      </c>
      <c r="CA5" s="188">
        <v>6.6146724999999993</v>
      </c>
      <c r="CB5" s="188">
        <v>8</v>
      </c>
      <c r="CC5" s="188">
        <v>22.413371493999993</v>
      </c>
      <c r="CD5" s="188">
        <v>93.237609164133943</v>
      </c>
      <c r="CE5" s="189">
        <v>153.913783645</v>
      </c>
      <c r="CF5" s="189">
        <v>103.1224640187998</v>
      </c>
      <c r="CG5" s="189">
        <v>55.333221714099984</v>
      </c>
      <c r="CH5" s="190">
        <v>22.832190149999995</v>
      </c>
      <c r="CI5" s="190">
        <v>17.818845185406779</v>
      </c>
      <c r="CJ5" s="190">
        <v>15.949286958534579</v>
      </c>
      <c r="CK5" s="190">
        <v>22.78295697599</v>
      </c>
      <c r="CL5" s="188">
        <v>8054.6916257205839</v>
      </c>
      <c r="CM5" s="188">
        <v>8701</v>
      </c>
      <c r="CN5" s="188">
        <v>9537.4287505318371</v>
      </c>
      <c r="CO5" s="188">
        <v>10779.704759826825</v>
      </c>
      <c r="CP5" s="189">
        <v>11666.604539083646</v>
      </c>
      <c r="CQ5" s="189">
        <v>15728.074936086512</v>
      </c>
      <c r="CR5" s="189">
        <v>20112.701126890992</v>
      </c>
      <c r="CS5" s="190">
        <v>21547.900129045487</v>
      </c>
      <c r="CT5" s="418">
        <v>23931.7226057751</v>
      </c>
      <c r="CU5" s="457">
        <v>25656.3317981576</v>
      </c>
      <c r="CV5" s="463">
        <v>24263.105525608436</v>
      </c>
      <c r="CW5" s="419"/>
      <c r="CX5" s="419"/>
      <c r="CY5" s="419"/>
      <c r="CZ5" s="419"/>
      <c r="DA5" s="419"/>
    </row>
    <row r="6" spans="1:105" x14ac:dyDescent="0.2">
      <c r="A6" s="187" t="s">
        <v>315</v>
      </c>
      <c r="B6" s="188">
        <v>640.2481591783428</v>
      </c>
      <c r="C6" s="188">
        <v>648</v>
      </c>
      <c r="D6" s="188">
        <v>653.15130832052057</v>
      </c>
      <c r="E6" s="188">
        <v>689.55796060702835</v>
      </c>
      <c r="F6" s="189">
        <v>736.10725573919979</v>
      </c>
      <c r="G6" s="189">
        <v>701.23805834799964</v>
      </c>
      <c r="H6" s="189">
        <v>696.31291861038142</v>
      </c>
      <c r="I6" s="190">
        <v>827.86328191879977</v>
      </c>
      <c r="J6" s="190">
        <v>908.24345067126967</v>
      </c>
      <c r="K6" s="190">
        <v>958.9483203386302</v>
      </c>
      <c r="L6" s="190">
        <v>1029.196267254885</v>
      </c>
      <c r="M6" s="188">
        <v>20.310256538159695</v>
      </c>
      <c r="N6" s="188">
        <v>23</v>
      </c>
      <c r="O6" s="188">
        <v>11.593666888669997</v>
      </c>
      <c r="P6" s="188">
        <v>12.773017664265632</v>
      </c>
      <c r="Q6" s="189">
        <v>11.780141169990001</v>
      </c>
      <c r="R6" s="189">
        <v>45.950212776000008</v>
      </c>
      <c r="S6" s="189">
        <v>11.058349438682603</v>
      </c>
      <c r="T6" s="190">
        <v>11.835592529000003</v>
      </c>
      <c r="U6" s="190">
        <v>11.586624582399999</v>
      </c>
      <c r="V6" s="190">
        <v>12.1497822367</v>
      </c>
      <c r="W6" s="190">
        <v>13.095470039241702</v>
      </c>
      <c r="X6" s="188">
        <v>6.6149254818150736</v>
      </c>
      <c r="Y6" s="188">
        <v>13</v>
      </c>
      <c r="Z6" s="188">
        <v>8.7593324479030645</v>
      </c>
      <c r="AA6" s="188">
        <v>8.970186840561917</v>
      </c>
      <c r="AB6" s="189">
        <v>11.911062605000001</v>
      </c>
      <c r="AC6" s="189">
        <v>17.916454604000009</v>
      </c>
      <c r="AD6" s="189">
        <v>12.369546257661318</v>
      </c>
      <c r="AE6" s="190">
        <v>18.065109663000005</v>
      </c>
      <c r="AF6" s="190">
        <v>8.3090445721000012</v>
      </c>
      <c r="AG6" s="190">
        <v>4.1754741809999993</v>
      </c>
      <c r="AH6" s="190">
        <v>7.2887777078385989</v>
      </c>
      <c r="AI6" s="188">
        <v>794.578029697337</v>
      </c>
      <c r="AJ6" s="188">
        <v>868</v>
      </c>
      <c r="AK6" s="188">
        <v>929.70693203166854</v>
      </c>
      <c r="AL6" s="188">
        <v>951.56642602927127</v>
      </c>
      <c r="AM6" s="189">
        <v>1072.21035319928</v>
      </c>
      <c r="AN6" s="189">
        <v>1143.1475595855602</v>
      </c>
      <c r="AO6" s="189">
        <v>1157.215436060183</v>
      </c>
      <c r="AP6" s="190">
        <v>1577.753108164329</v>
      </c>
      <c r="AQ6" s="190">
        <v>1981.2681887431536</v>
      </c>
      <c r="AR6" s="190">
        <v>1968.0707004324813</v>
      </c>
      <c r="AS6" s="190">
        <v>2156.8772217092646</v>
      </c>
      <c r="AT6" s="188">
        <v>1.1623E-3</v>
      </c>
      <c r="AU6" s="188">
        <v>0</v>
      </c>
      <c r="AV6" s="188">
        <v>6.6000649999999996E-3</v>
      </c>
      <c r="AW6" s="188">
        <v>7.0700270000000022E-3</v>
      </c>
      <c r="AX6" s="189">
        <v>3.5500000000000002E-3</v>
      </c>
      <c r="AY6" s="189">
        <v>7.8229999999999999E-4</v>
      </c>
      <c r="AZ6" s="189">
        <v>0</v>
      </c>
      <c r="BA6" s="190">
        <v>0</v>
      </c>
      <c r="BB6" s="190">
        <v>0</v>
      </c>
      <c r="BC6" s="190">
        <v>0</v>
      </c>
      <c r="BD6" s="190">
        <v>0</v>
      </c>
      <c r="BE6" s="188">
        <v>599.97995841058639</v>
      </c>
      <c r="BF6" s="188">
        <v>574</v>
      </c>
      <c r="BG6" s="188">
        <v>519.80691069676186</v>
      </c>
      <c r="BH6" s="188">
        <v>547.80612162238413</v>
      </c>
      <c r="BI6" s="189">
        <v>573.97223535049955</v>
      </c>
      <c r="BJ6" s="189">
        <v>739.65532898269998</v>
      </c>
      <c r="BK6" s="189">
        <v>548.74600167236622</v>
      </c>
      <c r="BL6" s="190">
        <v>701.59511224341952</v>
      </c>
      <c r="BM6" s="190">
        <v>847.32420263054644</v>
      </c>
      <c r="BN6" s="190">
        <v>739.23304845299958</v>
      </c>
      <c r="BO6" s="190">
        <v>727.92212816850406</v>
      </c>
      <c r="BP6" s="188">
        <v>2.9500999999999998E-3</v>
      </c>
      <c r="BQ6" s="188">
        <v>0</v>
      </c>
      <c r="BR6" s="188">
        <v>0</v>
      </c>
      <c r="BS6" s="188">
        <v>0</v>
      </c>
      <c r="BT6" s="189">
        <v>0</v>
      </c>
      <c r="BU6" s="189">
        <v>0</v>
      </c>
      <c r="BV6" s="189">
        <v>0</v>
      </c>
      <c r="BW6" s="190">
        <v>0</v>
      </c>
      <c r="BX6" s="190">
        <v>0</v>
      </c>
      <c r="BY6" s="190">
        <v>0.31859999999999999</v>
      </c>
      <c r="BZ6" s="190">
        <v>0.19293219999999997</v>
      </c>
      <c r="CA6" s="188">
        <v>1.6773735999999999</v>
      </c>
      <c r="CB6" s="188">
        <v>1</v>
      </c>
      <c r="CC6" s="188">
        <v>2.2158950049500006</v>
      </c>
      <c r="CD6" s="188">
        <v>8.9078603999826154</v>
      </c>
      <c r="CE6" s="189">
        <v>16.285806965999999</v>
      </c>
      <c r="CF6" s="189">
        <v>9.4339923610000032</v>
      </c>
      <c r="CG6" s="189">
        <v>11.984030985999999</v>
      </c>
      <c r="CH6" s="190">
        <v>4.2880231029999996</v>
      </c>
      <c r="CI6" s="190">
        <v>3.101679345</v>
      </c>
      <c r="CJ6" s="190">
        <v>3.3482369600999999</v>
      </c>
      <c r="CK6" s="190">
        <v>5.6726042299999992</v>
      </c>
      <c r="CL6" s="188">
        <v>2063.4128153062411</v>
      </c>
      <c r="CM6" s="188">
        <v>2127</v>
      </c>
      <c r="CN6" s="188">
        <v>2125.2406454554744</v>
      </c>
      <c r="CO6" s="188">
        <v>2219.5886431904937</v>
      </c>
      <c r="CP6" s="189">
        <v>2422.2704050299694</v>
      </c>
      <c r="CQ6" s="189">
        <v>2657.34238895726</v>
      </c>
      <c r="CR6" s="189">
        <v>2437.6862830252749</v>
      </c>
      <c r="CS6" s="190">
        <v>3141.4002276215479</v>
      </c>
      <c r="CT6" s="418">
        <v>3759.8331905444697</v>
      </c>
      <c r="CU6" s="457">
        <v>3686.2441626019108</v>
      </c>
      <c r="CV6" s="463">
        <v>3940.245401309734</v>
      </c>
      <c r="CW6" s="419"/>
      <c r="CX6" s="419"/>
      <c r="CY6" s="419"/>
      <c r="CZ6" s="419"/>
      <c r="DA6" s="419"/>
    </row>
    <row r="7" spans="1:105" x14ac:dyDescent="0.2">
      <c r="A7" s="187" t="s">
        <v>316</v>
      </c>
      <c r="B7" s="188">
        <v>36.635316413000034</v>
      </c>
      <c r="C7" s="188">
        <v>49</v>
      </c>
      <c r="D7" s="188">
        <v>38.94828569900001</v>
      </c>
      <c r="E7" s="188">
        <v>36.224557533980985</v>
      </c>
      <c r="F7" s="189">
        <v>87.438617813000008</v>
      </c>
      <c r="G7" s="189">
        <v>37.591760301000001</v>
      </c>
      <c r="H7" s="189">
        <v>37.900369298000001</v>
      </c>
      <c r="I7" s="190">
        <v>38.032249561</v>
      </c>
      <c r="J7" s="190">
        <v>40.699198648799999</v>
      </c>
      <c r="K7" s="190">
        <v>41.886350663999998</v>
      </c>
      <c r="L7" s="190">
        <v>44.621518400000006</v>
      </c>
      <c r="M7" s="188">
        <v>2.3224391999999998</v>
      </c>
      <c r="N7" s="188">
        <v>2</v>
      </c>
      <c r="O7" s="188">
        <v>1.788696458</v>
      </c>
      <c r="P7" s="188">
        <v>2.8963350211921615</v>
      </c>
      <c r="Q7" s="189">
        <v>2.117364002</v>
      </c>
      <c r="R7" s="189">
        <v>0.54102953899999984</v>
      </c>
      <c r="S7" s="189">
        <v>1.6001169600000003</v>
      </c>
      <c r="T7" s="190">
        <v>0.19804524000000001</v>
      </c>
      <c r="U7" s="190">
        <v>0.11479826859999999</v>
      </c>
      <c r="V7" s="190">
        <v>0.12931868730000001</v>
      </c>
      <c r="W7" s="190">
        <v>8.9857300000000001E-2</v>
      </c>
      <c r="X7" s="188">
        <v>2.3359648000000006</v>
      </c>
      <c r="Y7" s="188">
        <v>0</v>
      </c>
      <c r="Z7" s="188">
        <v>0.46428305799999997</v>
      </c>
      <c r="AA7" s="188">
        <v>0.89829663399999982</v>
      </c>
      <c r="AB7" s="189">
        <v>1.4536358549999999</v>
      </c>
      <c r="AC7" s="189">
        <v>1.7241761020000002</v>
      </c>
      <c r="AD7" s="189">
        <v>0.72425450399999991</v>
      </c>
      <c r="AE7" s="190">
        <v>1.8671288600000002</v>
      </c>
      <c r="AF7" s="190">
        <v>3.4496835775000001</v>
      </c>
      <c r="AG7" s="190">
        <v>2.508797333</v>
      </c>
      <c r="AH7" s="190">
        <v>0.48566589999999998</v>
      </c>
      <c r="AI7" s="188">
        <v>132.33062504329999</v>
      </c>
      <c r="AJ7" s="188">
        <v>153</v>
      </c>
      <c r="AK7" s="188">
        <v>134.39203550900001</v>
      </c>
      <c r="AL7" s="188">
        <v>156.27898887708858</v>
      </c>
      <c r="AM7" s="189">
        <v>256.92624325399998</v>
      </c>
      <c r="AN7" s="189">
        <v>226.84655449200002</v>
      </c>
      <c r="AO7" s="189">
        <v>242.31204408570002</v>
      </c>
      <c r="AP7" s="190">
        <v>268.3458218646</v>
      </c>
      <c r="AQ7" s="190">
        <v>336.36815604980001</v>
      </c>
      <c r="AR7" s="190">
        <v>355.21957584460006</v>
      </c>
      <c r="AS7" s="190">
        <v>580.52009692718491</v>
      </c>
      <c r="AT7" s="188">
        <v>0</v>
      </c>
      <c r="AU7" s="188">
        <v>0</v>
      </c>
      <c r="AV7" s="188">
        <v>0</v>
      </c>
      <c r="AW7" s="188">
        <v>0</v>
      </c>
      <c r="AX7" s="189">
        <v>2.6556999999999996E-3</v>
      </c>
      <c r="AY7" s="189">
        <v>0</v>
      </c>
      <c r="AZ7" s="189">
        <v>0</v>
      </c>
      <c r="BA7" s="190">
        <v>0</v>
      </c>
      <c r="BB7" s="190">
        <v>0</v>
      </c>
      <c r="BC7" s="190">
        <v>0</v>
      </c>
      <c r="BD7" s="190">
        <v>0</v>
      </c>
      <c r="BE7" s="188">
        <v>782.66496767804983</v>
      </c>
      <c r="BF7" s="188">
        <v>658</v>
      </c>
      <c r="BG7" s="188">
        <v>616.6046381243001</v>
      </c>
      <c r="BH7" s="188">
        <v>462.50450380488473</v>
      </c>
      <c r="BI7" s="189">
        <v>448.74996940075005</v>
      </c>
      <c r="BJ7" s="189">
        <v>572.10001552400001</v>
      </c>
      <c r="BK7" s="189">
        <v>736.73650465950004</v>
      </c>
      <c r="BL7" s="190">
        <v>704.94034443774979</v>
      </c>
      <c r="BM7" s="190">
        <v>917.5595985461249</v>
      </c>
      <c r="BN7" s="190">
        <v>1004.3654759689</v>
      </c>
      <c r="BO7" s="190">
        <v>897.18105982430006</v>
      </c>
      <c r="BP7" s="188">
        <v>0</v>
      </c>
      <c r="BQ7" s="188">
        <v>0</v>
      </c>
      <c r="BR7" s="188">
        <v>0</v>
      </c>
      <c r="BS7" s="188">
        <v>0</v>
      </c>
      <c r="BT7" s="189">
        <v>0</v>
      </c>
      <c r="BU7" s="189">
        <v>0</v>
      </c>
      <c r="BV7" s="189">
        <v>0</v>
      </c>
      <c r="BW7" s="190">
        <v>0</v>
      </c>
      <c r="BX7" s="190">
        <v>0</v>
      </c>
      <c r="BY7" s="190">
        <v>0</v>
      </c>
      <c r="BZ7" s="190">
        <v>1.16968E-2</v>
      </c>
      <c r="CA7" s="188">
        <v>6.2746999999999994E-3</v>
      </c>
      <c r="CB7" s="188">
        <v>0</v>
      </c>
      <c r="CC7" s="188">
        <v>3.3616500000000001E-2</v>
      </c>
      <c r="CD7" s="188">
        <v>16.251873281646986</v>
      </c>
      <c r="CE7" s="189">
        <v>19.181936099999998</v>
      </c>
      <c r="CF7" s="189">
        <v>36.273429857000004</v>
      </c>
      <c r="CG7" s="189">
        <v>31.131886601999998</v>
      </c>
      <c r="CH7" s="190">
        <v>12.827457300000001</v>
      </c>
      <c r="CI7" s="190">
        <v>0.62932889999999997</v>
      </c>
      <c r="CJ7" s="190">
        <v>1.1401952</v>
      </c>
      <c r="CK7" s="190">
        <v>40.801859700000001</v>
      </c>
      <c r="CL7" s="188">
        <v>956.29558783435004</v>
      </c>
      <c r="CM7" s="188">
        <v>863</v>
      </c>
      <c r="CN7" s="188">
        <v>792.23155534830016</v>
      </c>
      <c r="CO7" s="188">
        <v>675.05455515279345</v>
      </c>
      <c r="CP7" s="189">
        <v>815.87042212475012</v>
      </c>
      <c r="CQ7" s="189">
        <v>875.07696581500011</v>
      </c>
      <c r="CR7" s="189">
        <v>1050.4051761092001</v>
      </c>
      <c r="CS7" s="190">
        <v>1026.2110472633499</v>
      </c>
      <c r="CT7" s="418">
        <v>1298.8207639908251</v>
      </c>
      <c r="CU7" s="457">
        <v>1405.2497136978002</v>
      </c>
      <c r="CV7" s="463">
        <v>1563.711754851485</v>
      </c>
      <c r="CW7" s="419"/>
      <c r="CX7" s="419"/>
      <c r="CY7" s="419"/>
      <c r="CZ7" s="419"/>
      <c r="DA7" s="419"/>
    </row>
    <row r="8" spans="1:105" ht="18" customHeight="1" x14ac:dyDescent="0.2">
      <c r="A8" s="187" t="s">
        <v>317</v>
      </c>
      <c r="B8" s="188">
        <v>0.69408440000002203</v>
      </c>
      <c r="C8" s="188">
        <v>13</v>
      </c>
      <c r="D8" s="188">
        <v>9.4186000760000042</v>
      </c>
      <c r="E8" s="188">
        <v>12.491956787107725</v>
      </c>
      <c r="F8" s="189">
        <v>3.2487633500000004</v>
      </c>
      <c r="G8" s="189">
        <v>2.8932814349999996</v>
      </c>
      <c r="H8" s="189">
        <v>2.8498686000000002</v>
      </c>
      <c r="I8" s="190">
        <v>3.40123825</v>
      </c>
      <c r="J8" s="190">
        <v>4.5758323559999994</v>
      </c>
      <c r="K8" s="190">
        <v>7.8220032451999995</v>
      </c>
      <c r="L8" s="190">
        <v>6.2018211000000001</v>
      </c>
      <c r="M8" s="188">
        <v>2.4182244569999995</v>
      </c>
      <c r="N8" s="188">
        <v>3</v>
      </c>
      <c r="O8" s="188">
        <v>1.2955990389999998</v>
      </c>
      <c r="P8" s="188">
        <v>0.16415197500000001</v>
      </c>
      <c r="Q8" s="189">
        <v>0.14742224700000001</v>
      </c>
      <c r="R8" s="189">
        <v>7.2099999999999997E-2</v>
      </c>
      <c r="S8" s="189">
        <v>1.15383E-2</v>
      </c>
      <c r="T8" s="190">
        <v>1.3458700000000001E-2</v>
      </c>
      <c r="U8" s="190">
        <v>-5.7770000000000009E-3</v>
      </c>
      <c r="V8" s="190">
        <v>3.0685000000000005E-3</v>
      </c>
      <c r="W8" s="190">
        <v>0.10227750000000001</v>
      </c>
      <c r="X8" s="188">
        <v>0.22613549999999999</v>
      </c>
      <c r="Y8" s="188">
        <v>0</v>
      </c>
      <c r="Z8" s="188">
        <v>9.650800000000001E-3</v>
      </c>
      <c r="AA8" s="188">
        <v>0</v>
      </c>
      <c r="AB8" s="189">
        <v>0</v>
      </c>
      <c r="AC8" s="189">
        <v>0</v>
      </c>
      <c r="AD8" s="189">
        <v>0</v>
      </c>
      <c r="AE8" s="190">
        <v>16.531915013500001</v>
      </c>
      <c r="AF8" s="190">
        <v>0.43116856219999994</v>
      </c>
      <c r="AG8" s="190">
        <v>1.6673507997000001</v>
      </c>
      <c r="AH8" s="190">
        <v>1.3851283000000001</v>
      </c>
      <c r="AI8" s="188">
        <v>104.74554664510001</v>
      </c>
      <c r="AJ8" s="188">
        <v>84</v>
      </c>
      <c r="AK8" s="188">
        <v>94.848201217291262</v>
      </c>
      <c r="AL8" s="188">
        <v>96.030010781025197</v>
      </c>
      <c r="AM8" s="189">
        <v>132.98861125399998</v>
      </c>
      <c r="AN8" s="189">
        <v>206.16555621299997</v>
      </c>
      <c r="AO8" s="189">
        <v>206.62420801125998</v>
      </c>
      <c r="AP8" s="190">
        <v>281.3091409013</v>
      </c>
      <c r="AQ8" s="190">
        <v>268.561349498033</v>
      </c>
      <c r="AR8" s="190">
        <v>344.94106035298995</v>
      </c>
      <c r="AS8" s="190">
        <v>470.41985398219003</v>
      </c>
      <c r="AT8" s="188">
        <v>0</v>
      </c>
      <c r="AU8" s="188">
        <v>0</v>
      </c>
      <c r="AV8" s="188">
        <v>0</v>
      </c>
      <c r="AW8" s="188">
        <v>0</v>
      </c>
      <c r="AX8" s="189">
        <v>0</v>
      </c>
      <c r="AY8" s="189">
        <v>0</v>
      </c>
      <c r="AZ8" s="189">
        <v>0</v>
      </c>
      <c r="BA8" s="190">
        <v>0</v>
      </c>
      <c r="BB8" s="190">
        <v>0</v>
      </c>
      <c r="BC8" s="190">
        <v>0</v>
      </c>
      <c r="BD8" s="190">
        <v>0</v>
      </c>
      <c r="BE8" s="188">
        <v>310.9244058587401</v>
      </c>
      <c r="BF8" s="188">
        <v>347</v>
      </c>
      <c r="BG8" s="188">
        <v>322.95354103250003</v>
      </c>
      <c r="BH8" s="188">
        <v>289.1664749555199</v>
      </c>
      <c r="BI8" s="189">
        <v>398.04886116799997</v>
      </c>
      <c r="BJ8" s="189">
        <v>468.85086923599425</v>
      </c>
      <c r="BK8" s="189">
        <v>529.34116233060001</v>
      </c>
      <c r="BL8" s="190">
        <v>514.72659927300003</v>
      </c>
      <c r="BM8" s="190">
        <v>618.95184249151998</v>
      </c>
      <c r="BN8" s="190">
        <v>701.65973665590002</v>
      </c>
      <c r="BO8" s="190">
        <v>619.71495904724998</v>
      </c>
      <c r="BP8" s="188">
        <v>0</v>
      </c>
      <c r="BQ8" s="188">
        <v>0</v>
      </c>
      <c r="BR8" s="188">
        <v>0</v>
      </c>
      <c r="BS8" s="188">
        <v>0</v>
      </c>
      <c r="BT8" s="189">
        <v>0</v>
      </c>
      <c r="BU8" s="189">
        <v>0</v>
      </c>
      <c r="BV8" s="189">
        <v>0</v>
      </c>
      <c r="BW8" s="190">
        <v>0</v>
      </c>
      <c r="BX8" s="190">
        <v>0</v>
      </c>
      <c r="BY8" s="190">
        <v>0</v>
      </c>
      <c r="BZ8" s="190">
        <v>0</v>
      </c>
      <c r="CA8" s="188">
        <v>0</v>
      </c>
      <c r="CB8" s="188">
        <v>0</v>
      </c>
      <c r="CC8" s="188">
        <v>0</v>
      </c>
      <c r="CD8" s="188">
        <v>9.534380391306847</v>
      </c>
      <c r="CE8" s="189">
        <v>21.657588000000001</v>
      </c>
      <c r="CF8" s="189">
        <v>13.677892251999987</v>
      </c>
      <c r="CG8" s="189">
        <v>14.354900000000001</v>
      </c>
      <c r="CH8" s="190">
        <v>36.177900000000001</v>
      </c>
      <c r="CI8" s="190">
        <v>3.1730000000000001E-4</v>
      </c>
      <c r="CJ8" s="190">
        <v>2E-3</v>
      </c>
      <c r="CK8" s="190">
        <v>0</v>
      </c>
      <c r="CL8" s="188">
        <v>419.00839686084015</v>
      </c>
      <c r="CM8" s="188">
        <v>447</v>
      </c>
      <c r="CN8" s="188">
        <v>428.52559216479131</v>
      </c>
      <c r="CO8" s="188">
        <v>407.38697488995967</v>
      </c>
      <c r="CP8" s="189">
        <v>556.09124601899998</v>
      </c>
      <c r="CQ8" s="189">
        <v>691.65969913599429</v>
      </c>
      <c r="CR8" s="189">
        <v>753.18167724186003</v>
      </c>
      <c r="CS8" s="190">
        <v>852.16025213780006</v>
      </c>
      <c r="CT8" s="418">
        <v>892.51473320775301</v>
      </c>
      <c r="CU8" s="457">
        <v>1056.09521955379</v>
      </c>
      <c r="CV8" s="463">
        <v>1097.82403992944</v>
      </c>
      <c r="CW8" s="419"/>
      <c r="CX8" s="419"/>
      <c r="CY8" s="419"/>
      <c r="CZ8" s="419"/>
      <c r="DA8" s="419"/>
    </row>
    <row r="9" spans="1:105" x14ac:dyDescent="0.2">
      <c r="A9" s="187" t="s">
        <v>318</v>
      </c>
      <c r="B9" s="188">
        <v>486.20384207181968</v>
      </c>
      <c r="C9" s="188">
        <v>516</v>
      </c>
      <c r="D9" s="188">
        <v>517.48313059908662</v>
      </c>
      <c r="E9" s="188">
        <v>588.02523958737027</v>
      </c>
      <c r="F9" s="189">
        <v>620.57825687008994</v>
      </c>
      <c r="G9" s="189">
        <v>606.42890867841004</v>
      </c>
      <c r="H9" s="189">
        <v>667.9382183836999</v>
      </c>
      <c r="I9" s="190">
        <v>722.3405960235599</v>
      </c>
      <c r="J9" s="190">
        <v>812.71970381295307</v>
      </c>
      <c r="K9" s="190">
        <v>995.77104627901019</v>
      </c>
      <c r="L9" s="190">
        <v>1113.6345415708797</v>
      </c>
      <c r="M9" s="188">
        <v>48.078116580412278</v>
      </c>
      <c r="N9" s="188">
        <v>45</v>
      </c>
      <c r="O9" s="188">
        <v>34.982573380999135</v>
      </c>
      <c r="P9" s="188">
        <v>28.836459696152893</v>
      </c>
      <c r="Q9" s="189">
        <v>27.04172505</v>
      </c>
      <c r="R9" s="189">
        <v>31.507581604999999</v>
      </c>
      <c r="S9" s="189">
        <v>27.345023622699998</v>
      </c>
      <c r="T9" s="190">
        <v>29.299539442</v>
      </c>
      <c r="U9" s="190">
        <v>28.233445938900008</v>
      </c>
      <c r="V9" s="190">
        <v>26.281101656199993</v>
      </c>
      <c r="W9" s="190">
        <v>34.311732241999991</v>
      </c>
      <c r="X9" s="188">
        <v>20.77355343118008</v>
      </c>
      <c r="Y9" s="188">
        <v>23</v>
      </c>
      <c r="Z9" s="188">
        <v>20.116925868048099</v>
      </c>
      <c r="AA9" s="188">
        <v>19.142175041088475</v>
      </c>
      <c r="AB9" s="189">
        <v>13.130930444000001</v>
      </c>
      <c r="AC9" s="189">
        <v>13.430701307</v>
      </c>
      <c r="AD9" s="189">
        <v>14.576253634</v>
      </c>
      <c r="AE9" s="190">
        <v>13.923561943084744</v>
      </c>
      <c r="AF9" s="190">
        <v>14.147599605999996</v>
      </c>
      <c r="AG9" s="190">
        <v>13.762365726600001</v>
      </c>
      <c r="AH9" s="190">
        <v>15.963231671260171</v>
      </c>
      <c r="AI9" s="188">
        <v>919.39471738058069</v>
      </c>
      <c r="AJ9" s="188">
        <v>855</v>
      </c>
      <c r="AK9" s="188">
        <v>838.83722299434214</v>
      </c>
      <c r="AL9" s="188">
        <v>870.48268358721532</v>
      </c>
      <c r="AM9" s="189">
        <v>1025.8343558262502</v>
      </c>
      <c r="AN9" s="189">
        <v>1104.5562340923068</v>
      </c>
      <c r="AO9" s="189">
        <v>1377.373450346417</v>
      </c>
      <c r="AP9" s="190">
        <v>1678.5902332493329</v>
      </c>
      <c r="AQ9" s="190">
        <v>2084.5502201741042</v>
      </c>
      <c r="AR9" s="190">
        <v>2747.8746371973143</v>
      </c>
      <c r="AS9" s="190">
        <v>3263.9346940914825</v>
      </c>
      <c r="AT9" s="188">
        <v>0.1683008</v>
      </c>
      <c r="AU9" s="188">
        <v>0</v>
      </c>
      <c r="AV9" s="188">
        <v>0</v>
      </c>
      <c r="AW9" s="188">
        <v>7.5534599999999995E-4</v>
      </c>
      <c r="AX9" s="189">
        <v>2.4309192999999996E-2</v>
      </c>
      <c r="AY9" s="189">
        <v>1.18482E-2</v>
      </c>
      <c r="AZ9" s="189">
        <v>0</v>
      </c>
      <c r="BA9" s="190">
        <v>0</v>
      </c>
      <c r="BB9" s="190">
        <v>0</v>
      </c>
      <c r="BC9" s="190">
        <v>0</v>
      </c>
      <c r="BD9" s="190">
        <v>0</v>
      </c>
      <c r="BE9" s="188">
        <v>863.59234735799646</v>
      </c>
      <c r="BF9" s="188">
        <v>933</v>
      </c>
      <c r="BG9" s="188">
        <v>881.38001974168549</v>
      </c>
      <c r="BH9" s="188">
        <v>687.41041218952694</v>
      </c>
      <c r="BI9" s="189">
        <v>709.23704166981997</v>
      </c>
      <c r="BJ9" s="189">
        <v>797.41394313659976</v>
      </c>
      <c r="BK9" s="189">
        <v>839.20127829999012</v>
      </c>
      <c r="BL9" s="190">
        <v>1110.16856317667</v>
      </c>
      <c r="BM9" s="190">
        <v>1342.0237516830098</v>
      </c>
      <c r="BN9" s="190">
        <v>1603.5055582635305</v>
      </c>
      <c r="BO9" s="190">
        <v>1583.1311117158405</v>
      </c>
      <c r="BP9" s="188">
        <v>7.5756999999999994E-3</v>
      </c>
      <c r="BQ9" s="188">
        <v>0</v>
      </c>
      <c r="BR9" s="188">
        <v>0</v>
      </c>
      <c r="BS9" s="188">
        <v>1E-4</v>
      </c>
      <c r="BT9" s="189">
        <v>1E-4</v>
      </c>
      <c r="BU9" s="189">
        <v>0</v>
      </c>
      <c r="BV9" s="189">
        <v>0</v>
      </c>
      <c r="BW9" s="190">
        <v>0</v>
      </c>
      <c r="BX9" s="190">
        <v>0</v>
      </c>
      <c r="BY9" s="190">
        <v>0.40710000000000002</v>
      </c>
      <c r="BZ9" s="190">
        <v>0.42818219999999996</v>
      </c>
      <c r="CA9" s="188">
        <v>1.0573144999999999</v>
      </c>
      <c r="CB9" s="188">
        <v>1</v>
      </c>
      <c r="CC9" s="188">
        <v>1.5746993999999999</v>
      </c>
      <c r="CD9" s="188">
        <v>39.708043317896887</v>
      </c>
      <c r="CE9" s="189">
        <v>72.222046272</v>
      </c>
      <c r="CF9" s="189">
        <v>75.353198570999893</v>
      </c>
      <c r="CG9" s="189">
        <v>43.263122638000006</v>
      </c>
      <c r="CH9" s="190">
        <v>8.9846592640000011</v>
      </c>
      <c r="CI9" s="190">
        <v>3.8106507079999994</v>
      </c>
      <c r="CJ9" s="190">
        <v>4.2662306724000008</v>
      </c>
      <c r="CK9" s="190">
        <v>6.1350610069999982</v>
      </c>
      <c r="CL9" s="188">
        <v>2339.2757678219891</v>
      </c>
      <c r="CM9" s="188">
        <v>2372</v>
      </c>
      <c r="CN9" s="188">
        <v>2294.3745719841618</v>
      </c>
      <c r="CO9" s="188">
        <v>2233.6058687652512</v>
      </c>
      <c r="CP9" s="189">
        <v>2468.0687653251603</v>
      </c>
      <c r="CQ9" s="189">
        <v>2628.7024155903164</v>
      </c>
      <c r="CR9" s="189">
        <v>2969.6973469248069</v>
      </c>
      <c r="CS9" s="190">
        <v>3563.3071530986476</v>
      </c>
      <c r="CT9" s="418">
        <v>4285.4853719229677</v>
      </c>
      <c r="CU9" s="457">
        <v>5391.8680397950548</v>
      </c>
      <c r="CV9" s="463">
        <v>6017.5385544984638</v>
      </c>
      <c r="CW9" s="419"/>
      <c r="CX9" s="419"/>
      <c r="CY9" s="419"/>
      <c r="CZ9" s="419"/>
      <c r="DA9" s="419"/>
    </row>
    <row r="10" spans="1:105" x14ac:dyDescent="0.2">
      <c r="A10" s="187" t="s">
        <v>319</v>
      </c>
      <c r="B10" s="188">
        <v>8357.4008908212327</v>
      </c>
      <c r="C10" s="188">
        <v>8533</v>
      </c>
      <c r="D10" s="188">
        <v>8113.2710418613906</v>
      </c>
      <c r="E10" s="188">
        <v>8678.2914332451965</v>
      </c>
      <c r="F10" s="189">
        <v>7853.7911529250605</v>
      </c>
      <c r="G10" s="189">
        <v>7353.9773832541432</v>
      </c>
      <c r="H10" s="189">
        <v>6896.6875520688136</v>
      </c>
      <c r="I10" s="190">
        <v>6423.8732163644418</v>
      </c>
      <c r="J10" s="190">
        <v>6893.8261291147801</v>
      </c>
      <c r="K10" s="190">
        <v>8200.6864586328047</v>
      </c>
      <c r="L10" s="190">
        <v>8619.7744445729622</v>
      </c>
      <c r="M10" s="188">
        <v>704.72391172585355</v>
      </c>
      <c r="N10" s="188">
        <v>695</v>
      </c>
      <c r="O10" s="188">
        <v>831.69715365963475</v>
      </c>
      <c r="P10" s="188">
        <v>856.64234637787854</v>
      </c>
      <c r="Q10" s="189">
        <v>946.65799971464435</v>
      </c>
      <c r="R10" s="189">
        <v>900.87053194209</v>
      </c>
      <c r="S10" s="189">
        <v>872.06266295868784</v>
      </c>
      <c r="T10" s="190">
        <v>812.8020137536223</v>
      </c>
      <c r="U10" s="190">
        <v>754.42835704879064</v>
      </c>
      <c r="V10" s="190">
        <v>812.91103715606664</v>
      </c>
      <c r="W10" s="190">
        <v>784.33326793293634</v>
      </c>
      <c r="X10" s="188">
        <v>1242.9725542875026</v>
      </c>
      <c r="Y10" s="188">
        <v>1478</v>
      </c>
      <c r="Z10" s="188">
        <v>2662.6056887417494</v>
      </c>
      <c r="AA10" s="188">
        <v>2978.0558687313319</v>
      </c>
      <c r="AB10" s="189">
        <v>2084.1647073660033</v>
      </c>
      <c r="AC10" s="189">
        <v>1887.382047136449</v>
      </c>
      <c r="AD10" s="189">
        <v>1746.1625815906491</v>
      </c>
      <c r="AE10" s="190">
        <v>1616.765263066671</v>
      </c>
      <c r="AF10" s="190">
        <v>1718.8913577703506</v>
      </c>
      <c r="AG10" s="190">
        <v>2165.7189668520327</v>
      </c>
      <c r="AH10" s="190">
        <v>2423.9614958032757</v>
      </c>
      <c r="AI10" s="188">
        <v>5451.1749021862306</v>
      </c>
      <c r="AJ10" s="188">
        <v>6231</v>
      </c>
      <c r="AK10" s="188">
        <v>9031.2911228505873</v>
      </c>
      <c r="AL10" s="188">
        <v>9672.6835478906178</v>
      </c>
      <c r="AM10" s="189">
        <v>11684.511513165922</v>
      </c>
      <c r="AN10" s="189">
        <v>11434.485249652142</v>
      </c>
      <c r="AO10" s="189">
        <v>12723.262978611639</v>
      </c>
      <c r="AP10" s="190">
        <v>15501.65828727476</v>
      </c>
      <c r="AQ10" s="190">
        <v>17927.311546850218</v>
      </c>
      <c r="AR10" s="190">
        <v>21294.157818587766</v>
      </c>
      <c r="AS10" s="190">
        <v>23202.097338473188</v>
      </c>
      <c r="AT10" s="188">
        <v>1.3030060300000001</v>
      </c>
      <c r="AU10" s="188">
        <v>0.02</v>
      </c>
      <c r="AV10" s="188">
        <v>0.11544779800000005</v>
      </c>
      <c r="AW10" s="188">
        <v>9.847623099999997E-2</v>
      </c>
      <c r="AX10" s="189">
        <v>0.68124855200000001</v>
      </c>
      <c r="AY10" s="189">
        <v>0.39633854000000002</v>
      </c>
      <c r="AZ10" s="189">
        <v>0</v>
      </c>
      <c r="BA10" s="190">
        <v>0</v>
      </c>
      <c r="BB10" s="190">
        <v>0</v>
      </c>
      <c r="BC10" s="190">
        <v>0</v>
      </c>
      <c r="BD10" s="190">
        <v>0</v>
      </c>
      <c r="BE10" s="188">
        <v>2185.7799332708778</v>
      </c>
      <c r="BF10" s="188">
        <v>4289</v>
      </c>
      <c r="BG10" s="188">
        <v>3025.9243252269639</v>
      </c>
      <c r="BH10" s="188">
        <v>2093.1491397199302</v>
      </c>
      <c r="BI10" s="189">
        <v>1382.9790775351682</v>
      </c>
      <c r="BJ10" s="189">
        <v>1494.8087053239449</v>
      </c>
      <c r="BK10" s="189">
        <v>1169.2103708643961</v>
      </c>
      <c r="BL10" s="190">
        <v>1302.9323900181964</v>
      </c>
      <c r="BM10" s="190">
        <v>1397.215849149512</v>
      </c>
      <c r="BN10" s="190">
        <v>1235.2713449104456</v>
      </c>
      <c r="BO10" s="190">
        <v>1194.6700717172914</v>
      </c>
      <c r="BP10" s="188">
        <v>4.2358999999999999E-3</v>
      </c>
      <c r="BQ10" s="188">
        <v>0</v>
      </c>
      <c r="BR10" s="188">
        <v>6.2384500000000002E-2</v>
      </c>
      <c r="BS10" s="188">
        <v>4.963144904303185E-2</v>
      </c>
      <c r="BT10" s="189">
        <v>2.4910700000000001E-2</v>
      </c>
      <c r="BU10" s="189">
        <v>7.4843000000000002E-3</v>
      </c>
      <c r="BV10" s="189">
        <v>4.2326000000000004E-3</v>
      </c>
      <c r="BW10" s="190">
        <v>3.5475000000000003E-3</v>
      </c>
      <c r="BX10" s="190">
        <v>6.9E-6</v>
      </c>
      <c r="BY10" s="190">
        <v>0.94900609999999996</v>
      </c>
      <c r="BZ10" s="190">
        <v>1.1613764</v>
      </c>
      <c r="CA10" s="188">
        <v>75.777799811993802</v>
      </c>
      <c r="CB10" s="188">
        <v>99</v>
      </c>
      <c r="CC10" s="188">
        <v>63.122790654000006</v>
      </c>
      <c r="CD10" s="188">
        <v>2048.3635485649825</v>
      </c>
      <c r="CE10" s="189">
        <v>2534.6926901943375</v>
      </c>
      <c r="CF10" s="189">
        <v>3452.018517497318</v>
      </c>
      <c r="CG10" s="189">
        <v>2652.5935488253294</v>
      </c>
      <c r="CH10" s="190">
        <v>1514.6572868172923</v>
      </c>
      <c r="CI10" s="190">
        <v>3091.3281300352687</v>
      </c>
      <c r="CJ10" s="190">
        <v>3615.1181283367982</v>
      </c>
      <c r="CK10" s="190">
        <v>3909.2112306545646</v>
      </c>
      <c r="CL10" s="188">
        <v>18019.137234033689</v>
      </c>
      <c r="CM10" s="188">
        <v>21325</v>
      </c>
      <c r="CN10" s="188">
        <v>23728.089955292326</v>
      </c>
      <c r="CO10" s="188">
        <v>26327.33399220998</v>
      </c>
      <c r="CP10" s="189">
        <v>26487.503300153137</v>
      </c>
      <c r="CQ10" s="189">
        <v>26523.946257646086</v>
      </c>
      <c r="CR10" s="189">
        <v>26059.983927519519</v>
      </c>
      <c r="CS10" s="190">
        <v>27172.692004794982</v>
      </c>
      <c r="CT10" s="418">
        <v>31783.001376868924</v>
      </c>
      <c r="CU10" s="457">
        <v>37324.812760575922</v>
      </c>
      <c r="CV10" s="463">
        <v>40135.209225554216</v>
      </c>
      <c r="CW10" s="419"/>
      <c r="CX10" s="419"/>
      <c r="CY10" s="419"/>
      <c r="CZ10" s="419"/>
      <c r="DA10" s="419"/>
    </row>
    <row r="11" spans="1:105" x14ac:dyDescent="0.2">
      <c r="A11" s="187" t="s">
        <v>320</v>
      </c>
      <c r="B11" s="188">
        <v>9352.8641468049918</v>
      </c>
      <c r="C11" s="188">
        <v>12127</v>
      </c>
      <c r="D11" s="188">
        <v>14544.325057792903</v>
      </c>
      <c r="E11" s="188">
        <v>18463.907790840371</v>
      </c>
      <c r="F11" s="189">
        <v>19442.081324977018</v>
      </c>
      <c r="G11" s="189">
        <v>20433.639461854062</v>
      </c>
      <c r="H11" s="189">
        <v>19352.124752949407</v>
      </c>
      <c r="I11" s="190">
        <v>17997.648704030853</v>
      </c>
      <c r="J11" s="190">
        <v>18645.659717022438</v>
      </c>
      <c r="K11" s="190">
        <v>19940.268123271155</v>
      </c>
      <c r="L11" s="190">
        <v>20185.884544393804</v>
      </c>
      <c r="M11" s="188">
        <v>681.99261702539195</v>
      </c>
      <c r="N11" s="188">
        <v>722</v>
      </c>
      <c r="O11" s="188">
        <v>985.53935942235</v>
      </c>
      <c r="P11" s="188">
        <v>1084.741455070556</v>
      </c>
      <c r="Q11" s="189">
        <v>1456.2273774000009</v>
      </c>
      <c r="R11" s="189">
        <v>1473.6537280268487</v>
      </c>
      <c r="S11" s="189">
        <v>1258.2419910067449</v>
      </c>
      <c r="T11" s="190">
        <v>1063.0654959209826</v>
      </c>
      <c r="U11" s="190">
        <v>1015.9388883314689</v>
      </c>
      <c r="V11" s="190">
        <v>927.14017257789124</v>
      </c>
      <c r="W11" s="190">
        <v>820.23742399045182</v>
      </c>
      <c r="X11" s="188">
        <v>1168.0206990109648</v>
      </c>
      <c r="Y11" s="188">
        <v>1688</v>
      </c>
      <c r="Z11" s="188">
        <v>2666.9621691598268</v>
      </c>
      <c r="AA11" s="188">
        <v>3580.3299221860129</v>
      </c>
      <c r="AB11" s="189">
        <v>3464.7065371430867</v>
      </c>
      <c r="AC11" s="189">
        <v>3247.3572656486426</v>
      </c>
      <c r="AD11" s="189">
        <v>3019.1666963226321</v>
      </c>
      <c r="AE11" s="190">
        <v>2454.0713739084463</v>
      </c>
      <c r="AF11" s="190">
        <v>2687.9469269424199</v>
      </c>
      <c r="AG11" s="190">
        <v>3159.6797994207759</v>
      </c>
      <c r="AH11" s="190">
        <v>3455.8944657982383</v>
      </c>
      <c r="AI11" s="188">
        <v>3052.7711225345934</v>
      </c>
      <c r="AJ11" s="188">
        <v>3945</v>
      </c>
      <c r="AK11" s="188">
        <v>4632.3740175043677</v>
      </c>
      <c r="AL11" s="188">
        <v>5713.1845068760313</v>
      </c>
      <c r="AM11" s="189">
        <v>8393.3946063396652</v>
      </c>
      <c r="AN11" s="189">
        <v>10231.287045354307</v>
      </c>
      <c r="AO11" s="189">
        <v>11271.317426041605</v>
      </c>
      <c r="AP11" s="190">
        <v>15481.913003321655</v>
      </c>
      <c r="AQ11" s="190">
        <v>18964.000849801694</v>
      </c>
      <c r="AR11" s="190">
        <v>21811.171957174371</v>
      </c>
      <c r="AS11" s="190">
        <v>25849.680507232679</v>
      </c>
      <c r="AT11" s="188">
        <v>1.6542900220000001</v>
      </c>
      <c r="AU11" s="188">
        <v>0.01</v>
      </c>
      <c r="AV11" s="188">
        <v>0.12454161999999983</v>
      </c>
      <c r="AW11" s="188">
        <v>3.9711887639999999</v>
      </c>
      <c r="AX11" s="189">
        <v>3.0991446480000002</v>
      </c>
      <c r="AY11" s="189">
        <v>2.9462529599999998</v>
      </c>
      <c r="AZ11" s="189">
        <v>0</v>
      </c>
      <c r="BA11" s="190">
        <v>0</v>
      </c>
      <c r="BB11" s="190">
        <v>0</v>
      </c>
      <c r="BC11" s="190">
        <v>0</v>
      </c>
      <c r="BD11" s="190">
        <v>0</v>
      </c>
      <c r="BE11" s="188">
        <v>5248.2148131176573</v>
      </c>
      <c r="BF11" s="188">
        <v>2441</v>
      </c>
      <c r="BG11" s="188">
        <v>3593.700813839399</v>
      </c>
      <c r="BH11" s="188">
        <v>2594.5510048893179</v>
      </c>
      <c r="BI11" s="189">
        <v>2276.0173104344699</v>
      </c>
      <c r="BJ11" s="189">
        <v>3082.9894770307801</v>
      </c>
      <c r="BK11" s="189">
        <v>2642.0738132280599</v>
      </c>
      <c r="BL11" s="190">
        <v>2771.1762954976675</v>
      </c>
      <c r="BM11" s="190">
        <v>2799.528102730791</v>
      </c>
      <c r="BN11" s="190">
        <v>2302.8895705463569</v>
      </c>
      <c r="BO11" s="190">
        <v>2035.3635438610486</v>
      </c>
      <c r="BP11" s="188">
        <v>8.6578000000000002E-3</v>
      </c>
      <c r="BQ11" s="188">
        <v>0</v>
      </c>
      <c r="BR11" s="188">
        <v>5.3314300000000002E-2</v>
      </c>
      <c r="BS11" s="188">
        <v>0.16903351312316695</v>
      </c>
      <c r="BT11" s="189">
        <v>7.0064700000000008E-2</v>
      </c>
      <c r="BU11" s="189">
        <v>5.1675999999999996E-3</v>
      </c>
      <c r="BV11" s="189">
        <v>3.3779999999999999E-3</v>
      </c>
      <c r="BW11" s="190">
        <v>2.1759000000000001E-3</v>
      </c>
      <c r="BX11" s="190">
        <v>7.8399999999999995E-5</v>
      </c>
      <c r="BY11" s="190">
        <v>1.8795784</v>
      </c>
      <c r="BZ11" s="190">
        <v>1.5696458000000002</v>
      </c>
      <c r="CA11" s="188">
        <v>41.688350592324902</v>
      </c>
      <c r="CB11" s="188">
        <v>66</v>
      </c>
      <c r="CC11" s="188">
        <v>99.440372412999992</v>
      </c>
      <c r="CD11" s="188">
        <v>1477.9019483471538</v>
      </c>
      <c r="CE11" s="189">
        <v>2999.220804336006</v>
      </c>
      <c r="CF11" s="189">
        <v>3955.2501874161653</v>
      </c>
      <c r="CG11" s="189">
        <v>4189.2646745375932</v>
      </c>
      <c r="CH11" s="190">
        <v>3492.8860356366986</v>
      </c>
      <c r="CI11" s="190">
        <v>5383.9617323626035</v>
      </c>
      <c r="CJ11" s="190">
        <v>6312.7045149608375</v>
      </c>
      <c r="CK11" s="190">
        <v>6609.6117714257589</v>
      </c>
      <c r="CL11" s="188">
        <v>19547.214696907926</v>
      </c>
      <c r="CM11" s="188">
        <v>20989</v>
      </c>
      <c r="CN11" s="188">
        <v>26522.519646051849</v>
      </c>
      <c r="CO11" s="188">
        <v>32918.756850486563</v>
      </c>
      <c r="CP11" s="189">
        <v>38034.817169978247</v>
      </c>
      <c r="CQ11" s="189">
        <v>42427.128585890809</v>
      </c>
      <c r="CR11" s="189">
        <v>41732.192732086049</v>
      </c>
      <c r="CS11" s="190">
        <v>43260.763084216305</v>
      </c>
      <c r="CT11" s="418">
        <v>49497.036295591417</v>
      </c>
      <c r="CU11" s="457">
        <v>54455.733716351395</v>
      </c>
      <c r="CV11" s="464">
        <v>58958.241902501977</v>
      </c>
      <c r="CW11" s="419"/>
      <c r="CX11" s="419"/>
      <c r="CY11" s="419"/>
      <c r="CZ11" s="419"/>
      <c r="DA11" s="419"/>
    </row>
    <row r="12" spans="1:105" x14ac:dyDescent="0.2">
      <c r="A12" s="187" t="s">
        <v>321</v>
      </c>
      <c r="B12" s="188">
        <v>353.16910713728169</v>
      </c>
      <c r="C12" s="188">
        <v>447</v>
      </c>
      <c r="D12" s="188">
        <v>550.19275945096672</v>
      </c>
      <c r="E12" s="188">
        <v>549.95818118202465</v>
      </c>
      <c r="F12" s="189">
        <v>608.82768530131989</v>
      </c>
      <c r="G12" s="189">
        <v>570.56261691229975</v>
      </c>
      <c r="H12" s="189">
        <v>595.18759893274228</v>
      </c>
      <c r="I12" s="190">
        <v>653.48446697442023</v>
      </c>
      <c r="J12" s="190">
        <v>716.66531932554005</v>
      </c>
      <c r="K12" s="190">
        <v>803.33862054160124</v>
      </c>
      <c r="L12" s="190">
        <v>908.40784884030757</v>
      </c>
      <c r="M12" s="188">
        <v>18.735159144108287</v>
      </c>
      <c r="N12" s="188">
        <v>28</v>
      </c>
      <c r="O12" s="188">
        <v>10.11220566506122</v>
      </c>
      <c r="P12" s="188">
        <v>12.642603413928658</v>
      </c>
      <c r="Q12" s="189">
        <v>14.193589698004256</v>
      </c>
      <c r="R12" s="189">
        <v>13.383477182000002</v>
      </c>
      <c r="S12" s="189">
        <v>18.446094018641869</v>
      </c>
      <c r="T12" s="190">
        <v>17.995998820000004</v>
      </c>
      <c r="U12" s="190">
        <v>19.323908781200011</v>
      </c>
      <c r="V12" s="190">
        <v>22.836325428200002</v>
      </c>
      <c r="W12" s="190">
        <v>29.937166644999998</v>
      </c>
      <c r="X12" s="188">
        <v>6.7365719849725068</v>
      </c>
      <c r="Y12" s="188">
        <v>6</v>
      </c>
      <c r="Z12" s="188">
        <v>5.4417036171214344</v>
      </c>
      <c r="AA12" s="188">
        <v>6.9468220037372994</v>
      </c>
      <c r="AB12" s="189">
        <v>8.3425331719999978</v>
      </c>
      <c r="AC12" s="189">
        <v>8.0100575129999996</v>
      </c>
      <c r="AD12" s="189">
        <v>11.891789314833789</v>
      </c>
      <c r="AE12" s="190">
        <v>20.628539744999998</v>
      </c>
      <c r="AF12" s="190">
        <v>30.624874093300004</v>
      </c>
      <c r="AG12" s="190">
        <v>28.495710729099994</v>
      </c>
      <c r="AH12" s="190">
        <v>25.151762265435245</v>
      </c>
      <c r="AI12" s="188">
        <v>673.24560414034067</v>
      </c>
      <c r="AJ12" s="188">
        <v>776</v>
      </c>
      <c r="AK12" s="188">
        <v>945.33325020680752</v>
      </c>
      <c r="AL12" s="188">
        <v>985.55297298162486</v>
      </c>
      <c r="AM12" s="189">
        <v>1232.9795790901098</v>
      </c>
      <c r="AN12" s="189">
        <v>1370.3262958888799</v>
      </c>
      <c r="AO12" s="189">
        <v>1791.660406254525</v>
      </c>
      <c r="AP12" s="190">
        <v>2616.7833150852057</v>
      </c>
      <c r="AQ12" s="190">
        <v>3097.8134758620495</v>
      </c>
      <c r="AR12" s="190">
        <v>2912.8114951249586</v>
      </c>
      <c r="AS12" s="190">
        <v>3528.1864469305806</v>
      </c>
      <c r="AT12" s="188">
        <v>1.95E-4</v>
      </c>
      <c r="AU12" s="188">
        <v>0</v>
      </c>
      <c r="AV12" s="188">
        <v>0</v>
      </c>
      <c r="AW12" s="188">
        <v>0</v>
      </c>
      <c r="AX12" s="189">
        <v>7.6644999999999994E-3</v>
      </c>
      <c r="AY12" s="189">
        <v>0</v>
      </c>
      <c r="AZ12" s="189">
        <v>0</v>
      </c>
      <c r="BA12" s="190">
        <v>0</v>
      </c>
      <c r="BB12" s="190">
        <v>0</v>
      </c>
      <c r="BC12" s="190">
        <v>0</v>
      </c>
      <c r="BD12" s="190">
        <v>0</v>
      </c>
      <c r="BE12" s="188">
        <v>300.04534748267702</v>
      </c>
      <c r="BF12" s="188">
        <v>303</v>
      </c>
      <c r="BG12" s="188">
        <v>379.40489925187188</v>
      </c>
      <c r="BH12" s="188">
        <v>415.95081077616885</v>
      </c>
      <c r="BI12" s="189">
        <v>509.40626007089872</v>
      </c>
      <c r="BJ12" s="189">
        <v>614.26170904980017</v>
      </c>
      <c r="BK12" s="189">
        <v>603.14677015254131</v>
      </c>
      <c r="BL12" s="190">
        <v>736.61695402544547</v>
      </c>
      <c r="BM12" s="190">
        <v>882.39601493562009</v>
      </c>
      <c r="BN12" s="190">
        <v>925.73402571361919</v>
      </c>
      <c r="BO12" s="190">
        <v>842.11651014071037</v>
      </c>
      <c r="BP12" s="188">
        <v>6.0775000000000004E-3</v>
      </c>
      <c r="BQ12" s="188">
        <v>0</v>
      </c>
      <c r="BR12" s="188">
        <v>0</v>
      </c>
      <c r="BS12" s="188">
        <v>0</v>
      </c>
      <c r="BT12" s="189">
        <v>1.805E-4</v>
      </c>
      <c r="BU12" s="189">
        <v>0</v>
      </c>
      <c r="BV12" s="189">
        <v>0</v>
      </c>
      <c r="BW12" s="190">
        <v>0</v>
      </c>
      <c r="BX12" s="190">
        <v>0</v>
      </c>
      <c r="BY12" s="190">
        <v>0.94730000000000003</v>
      </c>
      <c r="BZ12" s="190">
        <v>0.17693690000000001</v>
      </c>
      <c r="CA12" s="188">
        <v>1.7802266</v>
      </c>
      <c r="CB12" s="188">
        <v>2</v>
      </c>
      <c r="CC12" s="188">
        <v>2.1269287069999998</v>
      </c>
      <c r="CD12" s="188">
        <v>1.2842201216152374</v>
      </c>
      <c r="CE12" s="189">
        <v>8.4651677299999992</v>
      </c>
      <c r="CF12" s="189">
        <v>7.6786218939999999</v>
      </c>
      <c r="CG12" s="189">
        <v>9.6697053670000006</v>
      </c>
      <c r="CH12" s="190">
        <v>4.6678186960000003</v>
      </c>
      <c r="CI12" s="190">
        <v>3.4162856040000009</v>
      </c>
      <c r="CJ12" s="190">
        <v>4.4762638648000008</v>
      </c>
      <c r="CK12" s="190">
        <v>7.0822189830000006</v>
      </c>
      <c r="CL12" s="188">
        <v>1353.71828898938</v>
      </c>
      <c r="CM12" s="188">
        <v>1562</v>
      </c>
      <c r="CN12" s="188">
        <v>1892.6117468988291</v>
      </c>
      <c r="CO12" s="188">
        <v>1972.3356104790996</v>
      </c>
      <c r="CP12" s="189">
        <v>2382.2226600623326</v>
      </c>
      <c r="CQ12" s="189">
        <v>2584.2227784399797</v>
      </c>
      <c r="CR12" s="189">
        <v>3030.0023640402842</v>
      </c>
      <c r="CS12" s="190">
        <v>4050.1770933460712</v>
      </c>
      <c r="CT12" s="418">
        <v>4750.2398786017102</v>
      </c>
      <c r="CU12" s="457">
        <v>4698.6397414022786</v>
      </c>
      <c r="CV12" s="464">
        <v>5341.0588907050342</v>
      </c>
      <c r="CW12" s="419"/>
      <c r="CX12" s="419"/>
      <c r="CY12" s="419"/>
      <c r="CZ12" s="419"/>
      <c r="DA12" s="419"/>
    </row>
    <row r="13" spans="1:105" x14ac:dyDescent="0.2">
      <c r="A13" s="187" t="s">
        <v>322</v>
      </c>
      <c r="B13" s="188">
        <v>1818.0808875999999</v>
      </c>
      <c r="C13" s="188">
        <v>62</v>
      </c>
      <c r="D13" s="188">
        <v>315.36279769999999</v>
      </c>
      <c r="E13" s="188">
        <v>1.493291298290373E-2</v>
      </c>
      <c r="F13" s="189">
        <v>19.453099999999999</v>
      </c>
      <c r="G13" s="189">
        <v>4.3316600000000004E-2</v>
      </c>
      <c r="H13" s="189">
        <v>2.2204500000000002E-2</v>
      </c>
      <c r="I13" s="190">
        <v>2.7458000000000001E-3</v>
      </c>
      <c r="J13" s="190">
        <v>2.8839999999999998E-2</v>
      </c>
      <c r="K13" s="190">
        <v>1E-4</v>
      </c>
      <c r="L13" s="190">
        <v>5.8144000000000001E-2</v>
      </c>
      <c r="M13" s="188">
        <v>11.462036061089998</v>
      </c>
      <c r="N13" s="188">
        <v>10</v>
      </c>
      <c r="O13" s="188">
        <v>31.087502110999999</v>
      </c>
      <c r="P13" s="188">
        <v>26.867847958961679</v>
      </c>
      <c r="Q13" s="189">
        <v>77.391499098378119</v>
      </c>
      <c r="R13" s="189">
        <v>-1.4865769480000004</v>
      </c>
      <c r="S13" s="189">
        <v>3.4770936000000051E-2</v>
      </c>
      <c r="T13" s="190">
        <v>0.149787328</v>
      </c>
      <c r="U13" s="190">
        <v>5.2628943999999969</v>
      </c>
      <c r="V13" s="190">
        <v>527.38491977569993</v>
      </c>
      <c r="W13" s="190">
        <v>663.40964117696853</v>
      </c>
      <c r="X13" s="188">
        <v>0.35414389999999996</v>
      </c>
      <c r="Y13" s="188">
        <v>0</v>
      </c>
      <c r="Z13" s="188">
        <v>0.20496320000000001</v>
      </c>
      <c r="AA13" s="188">
        <v>1.6060716609604253</v>
      </c>
      <c r="AB13" s="189">
        <v>2.0537276000000002</v>
      </c>
      <c r="AC13" s="189">
        <v>68.433100800000005</v>
      </c>
      <c r="AD13" s="189">
        <v>1.2680182</v>
      </c>
      <c r="AE13" s="190">
        <v>8.0310000000000006E-4</v>
      </c>
      <c r="AF13" s="190">
        <v>1.1105391269999998</v>
      </c>
      <c r="AG13" s="190">
        <v>162.7596450934</v>
      </c>
      <c r="AH13" s="190">
        <v>109.70090663798527</v>
      </c>
      <c r="AI13" s="188">
        <v>201.3489181460001</v>
      </c>
      <c r="AJ13" s="188">
        <v>59</v>
      </c>
      <c r="AK13" s="188">
        <v>319.5810070619234</v>
      </c>
      <c r="AL13" s="188">
        <v>264.38326934466926</v>
      </c>
      <c r="AM13" s="189">
        <v>613.57439480057621</v>
      </c>
      <c r="AN13" s="189">
        <v>1206.3711373193701</v>
      </c>
      <c r="AO13" s="189">
        <v>2769.6273214461849</v>
      </c>
      <c r="AP13" s="190">
        <v>2349.4062037045096</v>
      </c>
      <c r="AQ13" s="190">
        <v>3101.334457054053</v>
      </c>
      <c r="AR13" s="190">
        <v>1193.0882638388516</v>
      </c>
      <c r="AS13" s="190">
        <v>1829.1575364569906</v>
      </c>
      <c r="AT13" s="188">
        <v>0</v>
      </c>
      <c r="AU13" s="188">
        <v>0</v>
      </c>
      <c r="AV13" s="188">
        <v>0</v>
      </c>
      <c r="AW13" s="188">
        <v>0</v>
      </c>
      <c r="AX13" s="189">
        <v>3.8146903000000003E-2</v>
      </c>
      <c r="AY13" s="189">
        <v>0</v>
      </c>
      <c r="AZ13" s="189">
        <v>0</v>
      </c>
      <c r="BA13" s="190">
        <v>0</v>
      </c>
      <c r="BB13" s="190">
        <v>0</v>
      </c>
      <c r="BC13" s="190">
        <v>0</v>
      </c>
      <c r="BD13" s="190">
        <v>0</v>
      </c>
      <c r="BE13" s="188">
        <v>1597.6420145262141</v>
      </c>
      <c r="BF13" s="188">
        <v>1928</v>
      </c>
      <c r="BG13" s="188">
        <v>13902.929482869069</v>
      </c>
      <c r="BH13" s="188">
        <v>17437.196100352437</v>
      </c>
      <c r="BI13" s="189">
        <v>19410.741033513139</v>
      </c>
      <c r="BJ13" s="189">
        <v>20456.21385451555</v>
      </c>
      <c r="BK13" s="189">
        <v>18002.965732355031</v>
      </c>
      <c r="BL13" s="190">
        <v>14588.2406663291</v>
      </c>
      <c r="BM13" s="190">
        <v>15870.158929108942</v>
      </c>
      <c r="BN13" s="190">
        <v>19135.075519302958</v>
      </c>
      <c r="BO13" s="190">
        <v>17915.296016543878</v>
      </c>
      <c r="BP13" s="188">
        <v>3.0031472000000003</v>
      </c>
      <c r="BQ13" s="188">
        <v>3</v>
      </c>
      <c r="BR13" s="188">
        <v>36.756313268</v>
      </c>
      <c r="BS13" s="188">
        <v>49.982311834997581</v>
      </c>
      <c r="BT13" s="189">
        <v>4.2887068089999998</v>
      </c>
      <c r="BU13" s="189">
        <v>96.756318415001147</v>
      </c>
      <c r="BV13" s="189">
        <v>14.070976552039987</v>
      </c>
      <c r="BW13" s="190">
        <v>20.043586726999997</v>
      </c>
      <c r="BX13" s="190">
        <v>15.452645251000002</v>
      </c>
      <c r="BY13" s="190">
        <v>11.865702788000005</v>
      </c>
      <c r="BZ13" s="190">
        <v>10.944165244750002</v>
      </c>
      <c r="CA13" s="188">
        <v>2615.8519590759997</v>
      </c>
      <c r="CB13" s="188">
        <v>3489</v>
      </c>
      <c r="CC13" s="188">
        <v>5491.3640057860393</v>
      </c>
      <c r="CD13" s="188">
        <v>7542.3607072276882</v>
      </c>
      <c r="CE13" s="189">
        <v>7486.3906423785293</v>
      </c>
      <c r="CF13" s="189">
        <v>10446.319075769989</v>
      </c>
      <c r="CG13" s="189">
        <v>10331.872567763205</v>
      </c>
      <c r="CH13" s="190">
        <v>12507.444912580755</v>
      </c>
      <c r="CI13" s="190">
        <v>13021.402975557428</v>
      </c>
      <c r="CJ13" s="190">
        <v>9697.9172056431489</v>
      </c>
      <c r="CK13" s="190">
        <v>9562.4025617040897</v>
      </c>
      <c r="CL13" s="188">
        <v>6247.7431065093042</v>
      </c>
      <c r="CM13" s="188">
        <v>5551</v>
      </c>
      <c r="CN13" s="188">
        <v>20097.286071996034</v>
      </c>
      <c r="CO13" s="188">
        <v>25322.411241292702</v>
      </c>
      <c r="CP13" s="189">
        <v>27613.931251102622</v>
      </c>
      <c r="CQ13" s="189">
        <v>32272.650226471909</v>
      </c>
      <c r="CR13" s="189">
        <v>31119.861591752462</v>
      </c>
      <c r="CS13" s="190">
        <v>29465.288705569365</v>
      </c>
      <c r="CT13" s="418">
        <v>32014.751280498425</v>
      </c>
      <c r="CU13" s="457">
        <v>30728.091356442059</v>
      </c>
      <c r="CV13" s="464">
        <v>30090.968971764662</v>
      </c>
      <c r="CW13" s="419"/>
      <c r="CX13" s="419"/>
      <c r="CY13" s="419"/>
      <c r="CZ13" s="419"/>
      <c r="DA13" s="419"/>
    </row>
    <row r="14" spans="1:105" x14ac:dyDescent="0.2">
      <c r="A14" s="187" t="s">
        <v>323</v>
      </c>
      <c r="B14" s="188">
        <v>-25.08627030000001</v>
      </c>
      <c r="C14" s="188">
        <v>3</v>
      </c>
      <c r="D14" s="188">
        <v>5.3276034999999986</v>
      </c>
      <c r="E14" s="188">
        <v>8.9160982000000004</v>
      </c>
      <c r="F14" s="189">
        <v>10.582972631000001</v>
      </c>
      <c r="G14" s="189">
        <v>10.709817096000002</v>
      </c>
      <c r="H14" s="189">
        <v>8.6638819619999996</v>
      </c>
      <c r="I14" s="190">
        <v>9.1149384000000016</v>
      </c>
      <c r="J14" s="190">
        <v>9.1816947000000013</v>
      </c>
      <c r="K14" s="190">
        <v>20.836123489999999</v>
      </c>
      <c r="L14" s="190">
        <v>35.205147648000001</v>
      </c>
      <c r="M14" s="188">
        <v>3.0516750000000004</v>
      </c>
      <c r="N14" s="188">
        <v>5</v>
      </c>
      <c r="O14" s="188">
        <v>5.1201045999999995</v>
      </c>
      <c r="P14" s="188">
        <v>0.95675583399999997</v>
      </c>
      <c r="Q14" s="189">
        <v>0.9597</v>
      </c>
      <c r="R14" s="189">
        <v>0.43268799999999996</v>
      </c>
      <c r="S14" s="189">
        <v>0.70040000000000002</v>
      </c>
      <c r="T14" s="190">
        <v>0</v>
      </c>
      <c r="U14" s="190">
        <v>0.21</v>
      </c>
      <c r="V14" s="190">
        <v>0.20993049999999999</v>
      </c>
      <c r="W14" s="190">
        <v>3.20294E-2</v>
      </c>
      <c r="X14" s="188">
        <v>0.10199999999999999</v>
      </c>
      <c r="Y14" s="188">
        <v>0</v>
      </c>
      <c r="Z14" s="188">
        <v>0.10559499999999999</v>
      </c>
      <c r="AA14" s="188">
        <v>0.32690290000000005</v>
      </c>
      <c r="AB14" s="189">
        <v>0.3824709</v>
      </c>
      <c r="AC14" s="189">
        <v>0</v>
      </c>
      <c r="AD14" s="189">
        <v>0.1286765</v>
      </c>
      <c r="AE14" s="190">
        <v>-0.1044964</v>
      </c>
      <c r="AF14" s="190">
        <v>0</v>
      </c>
      <c r="AG14" s="190">
        <v>0</v>
      </c>
      <c r="AH14" s="190">
        <v>5.0389999999999994E-4</v>
      </c>
      <c r="AI14" s="188">
        <v>116.11381672099998</v>
      </c>
      <c r="AJ14" s="188">
        <v>148</v>
      </c>
      <c r="AK14" s="188">
        <v>142.20911925301249</v>
      </c>
      <c r="AL14" s="188">
        <v>195.63059469999999</v>
      </c>
      <c r="AM14" s="189">
        <v>251.06896892000003</v>
      </c>
      <c r="AN14" s="189">
        <v>194.14340423100003</v>
      </c>
      <c r="AO14" s="189">
        <v>356.69570336800001</v>
      </c>
      <c r="AP14" s="190">
        <v>441.62490331799995</v>
      </c>
      <c r="AQ14" s="190">
        <v>574.65792132299987</v>
      </c>
      <c r="AR14" s="190">
        <v>641.87015122299988</v>
      </c>
      <c r="AS14" s="190">
        <v>880.97325393000006</v>
      </c>
      <c r="AT14" s="188">
        <v>0</v>
      </c>
      <c r="AU14" s="188">
        <v>0</v>
      </c>
      <c r="AV14" s="188">
        <v>0</v>
      </c>
      <c r="AW14" s="188">
        <v>0</v>
      </c>
      <c r="AX14" s="189">
        <v>0</v>
      </c>
      <c r="AY14" s="189">
        <v>0</v>
      </c>
      <c r="AZ14" s="189">
        <v>0</v>
      </c>
      <c r="BA14" s="190">
        <v>0</v>
      </c>
      <c r="BB14" s="190">
        <v>0</v>
      </c>
      <c r="BC14" s="190">
        <v>0</v>
      </c>
      <c r="BD14" s="190">
        <v>0</v>
      </c>
      <c r="BE14" s="188">
        <v>1399.9123000000002</v>
      </c>
      <c r="BF14" s="188">
        <v>1356</v>
      </c>
      <c r="BG14" s="188">
        <v>1289.9733732</v>
      </c>
      <c r="BH14" s="188">
        <v>1271.1567465000001</v>
      </c>
      <c r="BI14" s="189">
        <v>1262.2150681620001</v>
      </c>
      <c r="BJ14" s="189">
        <v>107.02897071400001</v>
      </c>
      <c r="BK14" s="189">
        <v>1029.0763331210001</v>
      </c>
      <c r="BL14" s="190">
        <v>1041.6783902249999</v>
      </c>
      <c r="BM14" s="190">
        <v>1103.3695025049999</v>
      </c>
      <c r="BN14" s="190">
        <v>1132.6083619179999</v>
      </c>
      <c r="BO14" s="190">
        <v>1217.6468570500001</v>
      </c>
      <c r="BP14" s="188">
        <v>0</v>
      </c>
      <c r="BQ14" s="188">
        <v>0</v>
      </c>
      <c r="BR14" s="188">
        <v>0</v>
      </c>
      <c r="BS14" s="188">
        <v>0</v>
      </c>
      <c r="BT14" s="189">
        <v>0</v>
      </c>
      <c r="BU14" s="189">
        <v>0</v>
      </c>
      <c r="BV14" s="189">
        <v>0</v>
      </c>
      <c r="BW14" s="190">
        <v>0</v>
      </c>
      <c r="BX14" s="190">
        <v>0</v>
      </c>
      <c r="BY14" s="190">
        <v>0</v>
      </c>
      <c r="BZ14" s="190">
        <v>0</v>
      </c>
      <c r="CA14" s="188">
        <v>0</v>
      </c>
      <c r="CB14" s="188">
        <v>0</v>
      </c>
      <c r="CC14" s="188">
        <v>0</v>
      </c>
      <c r="CD14" s="188">
        <v>0</v>
      </c>
      <c r="CE14" s="189">
        <v>0</v>
      </c>
      <c r="CF14" s="189">
        <v>0</v>
      </c>
      <c r="CG14" s="189">
        <v>0</v>
      </c>
      <c r="CH14" s="190">
        <v>0</v>
      </c>
      <c r="CI14" s="190">
        <v>0</v>
      </c>
      <c r="CJ14" s="190">
        <v>0</v>
      </c>
      <c r="CK14" s="190">
        <v>0</v>
      </c>
      <c r="CL14" s="188">
        <v>1494.0935214210001</v>
      </c>
      <c r="CM14" s="188">
        <v>1512</v>
      </c>
      <c r="CN14" s="188">
        <v>1442.7357955530124</v>
      </c>
      <c r="CO14" s="188">
        <v>1476.9870981340002</v>
      </c>
      <c r="CP14" s="189">
        <v>1525.2091806130002</v>
      </c>
      <c r="CQ14" s="189">
        <v>312.31488004100004</v>
      </c>
      <c r="CR14" s="189">
        <v>1395.2649949510001</v>
      </c>
      <c r="CS14" s="190">
        <v>1492.3137355429999</v>
      </c>
      <c r="CT14" s="418">
        <v>1687.4191185279997</v>
      </c>
      <c r="CU14" s="457">
        <v>1795.5245671309999</v>
      </c>
      <c r="CV14" s="464">
        <v>2133.8577919280001</v>
      </c>
      <c r="CW14" s="419"/>
      <c r="CX14" s="419"/>
      <c r="CY14" s="419"/>
      <c r="CZ14" s="419"/>
      <c r="DA14" s="419"/>
    </row>
    <row r="15" spans="1:105" x14ac:dyDescent="0.2">
      <c r="A15" s="187" t="s">
        <v>324</v>
      </c>
      <c r="B15" s="188">
        <v>1287.2462235122005</v>
      </c>
      <c r="C15" s="188">
        <v>1170</v>
      </c>
      <c r="D15" s="188">
        <v>727.0310238620774</v>
      </c>
      <c r="E15" s="188">
        <v>1003.0285685814711</v>
      </c>
      <c r="F15" s="189">
        <v>1125.3904368268818</v>
      </c>
      <c r="G15" s="189">
        <v>1181.0292519015036</v>
      </c>
      <c r="H15" s="189">
        <v>1167.8833197101703</v>
      </c>
      <c r="I15" s="190">
        <v>1304.2059300918197</v>
      </c>
      <c r="J15" s="190">
        <v>1342.3055066488835</v>
      </c>
      <c r="K15" s="190">
        <v>1547.5657282799389</v>
      </c>
      <c r="L15" s="190">
        <v>1568.8758225794165</v>
      </c>
      <c r="M15" s="188">
        <v>562.46782503259669</v>
      </c>
      <c r="N15" s="188">
        <v>625</v>
      </c>
      <c r="O15" s="188">
        <v>601.92560647937387</v>
      </c>
      <c r="P15" s="188">
        <v>738.73538954498053</v>
      </c>
      <c r="Q15" s="189">
        <v>851.1271382880193</v>
      </c>
      <c r="R15" s="189">
        <v>883.16490503807961</v>
      </c>
      <c r="S15" s="189">
        <v>690.14526432898356</v>
      </c>
      <c r="T15" s="190">
        <v>668.22155357657834</v>
      </c>
      <c r="U15" s="190">
        <v>783.73864814938827</v>
      </c>
      <c r="V15" s="190">
        <v>1351.5342690802831</v>
      </c>
      <c r="W15" s="190">
        <v>989.1049559703215</v>
      </c>
      <c r="X15" s="188">
        <v>122.63787079959576</v>
      </c>
      <c r="Y15" s="188">
        <v>200</v>
      </c>
      <c r="Z15" s="188">
        <v>291.39231157004048</v>
      </c>
      <c r="AA15" s="188">
        <v>247.10143896041947</v>
      </c>
      <c r="AB15" s="189">
        <v>103.369741961</v>
      </c>
      <c r="AC15" s="189">
        <v>95.420818956370056</v>
      </c>
      <c r="AD15" s="189">
        <v>116.410969840251</v>
      </c>
      <c r="AE15" s="190">
        <v>158.75192483973998</v>
      </c>
      <c r="AF15" s="190">
        <v>265.14974662440005</v>
      </c>
      <c r="AG15" s="190">
        <v>380.07432683800027</v>
      </c>
      <c r="AH15" s="190">
        <v>388.66785990120093</v>
      </c>
      <c r="AI15" s="188">
        <v>608.41986131456997</v>
      </c>
      <c r="AJ15" s="188">
        <v>720</v>
      </c>
      <c r="AK15" s="188">
        <v>1220.9601972992914</v>
      </c>
      <c r="AL15" s="188">
        <v>1006.2920551844938</v>
      </c>
      <c r="AM15" s="189">
        <v>1451.3849608041012</v>
      </c>
      <c r="AN15" s="189">
        <v>1271.9376432301863</v>
      </c>
      <c r="AO15" s="189">
        <v>1536.3351906438527</v>
      </c>
      <c r="AP15" s="190">
        <v>1642.9673418188772</v>
      </c>
      <c r="AQ15" s="190">
        <v>1983.6984605231521</v>
      </c>
      <c r="AR15" s="190">
        <v>2265.9634485736269</v>
      </c>
      <c r="AS15" s="190">
        <v>2627.0030242196635</v>
      </c>
      <c r="AT15" s="188">
        <v>5.0906742369999991</v>
      </c>
      <c r="AU15" s="188">
        <v>0.2</v>
      </c>
      <c r="AV15" s="188">
        <v>0.46887747200000041</v>
      </c>
      <c r="AW15" s="188">
        <v>0.79772662199999966</v>
      </c>
      <c r="AX15" s="189">
        <v>4.823777387999999</v>
      </c>
      <c r="AY15" s="189">
        <v>3.8248282999999996</v>
      </c>
      <c r="AZ15" s="189">
        <v>1.5650000000000001E-4</v>
      </c>
      <c r="BA15" s="190">
        <v>-1.6455999999999999E-3</v>
      </c>
      <c r="BB15" s="190">
        <v>-2.3893E-3</v>
      </c>
      <c r="BC15" s="190">
        <v>0</v>
      </c>
      <c r="BD15" s="190">
        <v>0</v>
      </c>
      <c r="BE15" s="188">
        <v>-854.23946603295769</v>
      </c>
      <c r="BF15" s="188">
        <v>692</v>
      </c>
      <c r="BG15" s="188">
        <v>1839.1127921685888</v>
      </c>
      <c r="BH15" s="188">
        <v>1165.3121803692288</v>
      </c>
      <c r="BI15" s="189">
        <v>946.63412855573267</v>
      </c>
      <c r="BJ15" s="189">
        <v>1890.7751517461593</v>
      </c>
      <c r="BK15" s="189">
        <v>770.280038401929</v>
      </c>
      <c r="BL15" s="190">
        <v>835.49120256210188</v>
      </c>
      <c r="BM15" s="190">
        <v>922.44554269735772</v>
      </c>
      <c r="BN15" s="190">
        <v>1220.246615984441</v>
      </c>
      <c r="BO15" s="190">
        <v>1063.1092158991346</v>
      </c>
      <c r="BP15" s="188">
        <v>0.89065578521226196</v>
      </c>
      <c r="BQ15" s="188">
        <v>2</v>
      </c>
      <c r="BR15" s="188">
        <v>1.0945453499999998</v>
      </c>
      <c r="BS15" s="188">
        <v>1.228113754</v>
      </c>
      <c r="BT15" s="189">
        <v>8.5030292999999993E-2</v>
      </c>
      <c r="BU15" s="189">
        <v>0.19508009999999998</v>
      </c>
      <c r="BV15" s="189">
        <v>1.1719899999999998E-2</v>
      </c>
      <c r="BW15" s="190">
        <v>3.3720715999999998E-2</v>
      </c>
      <c r="BX15" s="190">
        <v>5.8658871999999994E-2</v>
      </c>
      <c r="BY15" s="190">
        <v>0.319509616</v>
      </c>
      <c r="BZ15" s="190">
        <v>0.34411158900000005</v>
      </c>
      <c r="CA15" s="188">
        <v>4.4076229949999997</v>
      </c>
      <c r="CB15" s="188">
        <v>5</v>
      </c>
      <c r="CC15" s="188">
        <v>23.010125594850003</v>
      </c>
      <c r="CD15" s="188">
        <v>97.656109699222213</v>
      </c>
      <c r="CE15" s="189">
        <v>65.502666198145505</v>
      </c>
      <c r="CF15" s="189">
        <v>22.22203999339925</v>
      </c>
      <c r="CG15" s="189">
        <v>19.619404700699999</v>
      </c>
      <c r="CH15" s="190">
        <v>15.993453125</v>
      </c>
      <c r="CI15" s="190">
        <v>10.314626639999998</v>
      </c>
      <c r="CJ15" s="190">
        <v>15.024353397900018</v>
      </c>
      <c r="CK15" s="190">
        <v>39.018475709500002</v>
      </c>
      <c r="CL15" s="188">
        <v>1736.9212676432176</v>
      </c>
      <c r="CM15" s="188">
        <v>3414</v>
      </c>
      <c r="CN15" s="188">
        <v>4704.9954797962218</v>
      </c>
      <c r="CO15" s="188">
        <v>4260.1515827158155</v>
      </c>
      <c r="CP15" s="189">
        <v>4548.3178803148812</v>
      </c>
      <c r="CQ15" s="189">
        <v>5348.569719265699</v>
      </c>
      <c r="CR15" s="189">
        <v>4300.6860640258865</v>
      </c>
      <c r="CS15" s="190">
        <v>4625.6634811301174</v>
      </c>
      <c r="CT15" s="418">
        <v>5307.7088008551818</v>
      </c>
      <c r="CU15" s="457">
        <v>6780.7282517701897</v>
      </c>
      <c r="CV15" s="464">
        <v>6676.123465868237</v>
      </c>
      <c r="CW15" s="419"/>
      <c r="CX15" s="419"/>
      <c r="CY15" s="419"/>
      <c r="CZ15" s="419"/>
      <c r="DA15" s="419"/>
    </row>
    <row r="16" spans="1:105" s="411" customFormat="1" x14ac:dyDescent="0.2">
      <c r="A16" s="353" t="s">
        <v>28</v>
      </c>
      <c r="B16" s="191">
        <v>23926.16621900336</v>
      </c>
      <c r="C16" s="191">
        <v>25319</v>
      </c>
      <c r="D16" s="191">
        <v>27343.883185792911</v>
      </c>
      <c r="E16" s="191">
        <v>31931.31986345931</v>
      </c>
      <c r="F16" s="192">
        <v>32560.764572208453</v>
      </c>
      <c r="G16" s="192">
        <v>33473.29216459806</v>
      </c>
      <c r="H16" s="192">
        <v>32712.294714627275</v>
      </c>
      <c r="I16" s="193">
        <v>31294.784330039376</v>
      </c>
      <c r="J16" s="193">
        <v>32632.083289667586</v>
      </c>
      <c r="K16" s="193">
        <f>SUM(K5:K15)</f>
        <v>35957.750993345529</v>
      </c>
      <c r="L16" s="193">
        <v>37073.876642533069</v>
      </c>
      <c r="M16" s="191">
        <v>3384.3162096925143</v>
      </c>
      <c r="N16" s="191">
        <v>3636</v>
      </c>
      <c r="O16" s="191">
        <v>3956.1880950362975</v>
      </c>
      <c r="P16" s="191">
        <v>4490.6289970561174</v>
      </c>
      <c r="Q16" s="192">
        <v>5381.3325259454159</v>
      </c>
      <c r="R16" s="192">
        <v>5474.8149012648273</v>
      </c>
      <c r="S16" s="192">
        <v>5026.5287761968884</v>
      </c>
      <c r="T16" s="193">
        <v>4607.0922555019833</v>
      </c>
      <c r="U16" s="193">
        <v>4923.0511011215649</v>
      </c>
      <c r="V16" s="193">
        <f t="shared" ref="V16" si="0">SUM(V5:V15)</f>
        <v>6308.8931874643768</v>
      </c>
      <c r="W16" s="193">
        <v>5723.0660233903272</v>
      </c>
      <c r="X16" s="191">
        <v>2671.4776803870845</v>
      </c>
      <c r="Y16" s="191">
        <v>3582</v>
      </c>
      <c r="Z16" s="191">
        <v>5845.3080197591225</v>
      </c>
      <c r="AA16" s="191">
        <v>7142.2340723115158</v>
      </c>
      <c r="AB16" s="192">
        <v>5952.2942903240901</v>
      </c>
      <c r="AC16" s="192">
        <v>5578.5373567554616</v>
      </c>
      <c r="AD16" s="192">
        <v>5166.9333898576933</v>
      </c>
      <c r="AE16" s="193">
        <v>4571.8436720894424</v>
      </c>
      <c r="AF16" s="193">
        <v>5149.4212425219939</v>
      </c>
      <c r="AG16" s="193">
        <v>6379.5085549312189</v>
      </c>
      <c r="AH16" s="193">
        <v>6804.655020214549</v>
      </c>
      <c r="AI16" s="191">
        <v>14162.115257415211</v>
      </c>
      <c r="AJ16" s="191">
        <v>16232</v>
      </c>
      <c r="AK16" s="191">
        <v>21134.466136324045</v>
      </c>
      <c r="AL16" s="191">
        <v>23111.386883623163</v>
      </c>
      <c r="AM16" s="192">
        <v>30360.265407817507</v>
      </c>
      <c r="AN16" s="192">
        <v>34515.37378533186</v>
      </c>
      <c r="AO16" s="192">
        <v>42335.667842957642</v>
      </c>
      <c r="AP16" s="193">
        <v>52077.25173240179</v>
      </c>
      <c r="AQ16" s="193">
        <v>61983.150676256577</v>
      </c>
      <c r="AR16" s="193">
        <v>68275.248962825921</v>
      </c>
      <c r="AS16" s="193">
        <v>76807.058157429215</v>
      </c>
      <c r="AT16" s="191">
        <v>10.244824382999997</v>
      </c>
      <c r="AU16" s="191">
        <v>0.33</v>
      </c>
      <c r="AV16" s="191">
        <v>0.82816948200000029</v>
      </c>
      <c r="AW16" s="191">
        <v>4.9544794639999994</v>
      </c>
      <c r="AX16" s="192">
        <v>14.885449185999999</v>
      </c>
      <c r="AY16" s="192">
        <v>12.515588350000002</v>
      </c>
      <c r="AZ16" s="192">
        <v>1.5650000000000001E-4</v>
      </c>
      <c r="BA16" s="193">
        <v>-1.5633129999999998E-3</v>
      </c>
      <c r="BB16" s="193">
        <v>-2.363455E-3</v>
      </c>
      <c r="BC16" s="193">
        <v>0</v>
      </c>
      <c r="BD16" s="193">
        <v>0</v>
      </c>
      <c r="BE16" s="191">
        <v>15324.379671139339</v>
      </c>
      <c r="BF16" s="191">
        <v>16417</v>
      </c>
      <c r="BG16" s="191">
        <v>29542.089933606618</v>
      </c>
      <c r="BH16" s="191">
        <v>30526.117390162588</v>
      </c>
      <c r="BI16" s="192">
        <v>30869.292562803261</v>
      </c>
      <c r="BJ16" s="192">
        <v>34776.828323294685</v>
      </c>
      <c r="BK16" s="192">
        <v>32346.981242641858</v>
      </c>
      <c r="BL16" s="193">
        <v>30006.047566631325</v>
      </c>
      <c r="BM16" s="193">
        <v>32969.531792911395</v>
      </c>
      <c r="BN16" s="193">
        <v>36369.297016013377</v>
      </c>
      <c r="BO16" s="193">
        <v>33589.704009628891</v>
      </c>
      <c r="BP16" s="191">
        <v>3.9508526526976508</v>
      </c>
      <c r="BQ16" s="191">
        <v>5</v>
      </c>
      <c r="BR16" s="191">
        <v>37.974465517999995</v>
      </c>
      <c r="BS16" s="191">
        <v>51.469190551163777</v>
      </c>
      <c r="BT16" s="192">
        <v>4.538879702</v>
      </c>
      <c r="BU16" s="192">
        <v>96.97731411500115</v>
      </c>
      <c r="BV16" s="192">
        <v>14.170098652039986</v>
      </c>
      <c r="BW16" s="193">
        <v>20.099183742999998</v>
      </c>
      <c r="BX16" s="193">
        <v>15.513105723000002</v>
      </c>
      <c r="BY16" s="193">
        <v>18.674196904000006</v>
      </c>
      <c r="BZ16" s="193">
        <v>16.806930933750003</v>
      </c>
      <c r="CA16" s="191">
        <v>2748.8615943753184</v>
      </c>
      <c r="CB16" s="191">
        <v>3671</v>
      </c>
      <c r="CC16" s="191">
        <v>5705.3018055538396</v>
      </c>
      <c r="CD16" s="191">
        <v>11335.206300515631</v>
      </c>
      <c r="CE16" s="192">
        <v>13377.533131820017</v>
      </c>
      <c r="CF16" s="192">
        <v>18121.349419630667</v>
      </c>
      <c r="CG16" s="192">
        <v>17359.087063133928</v>
      </c>
      <c r="CH16" s="193">
        <v>17620.759736672746</v>
      </c>
      <c r="CI16" s="193">
        <v>21535.784571637705</v>
      </c>
      <c r="CJ16" s="193">
        <v>19669.94641599452</v>
      </c>
      <c r="CK16" s="193">
        <v>20202.718740389904</v>
      </c>
      <c r="CL16" s="191">
        <v>62231.512309048514</v>
      </c>
      <c r="CM16" s="191">
        <v>68863</v>
      </c>
      <c r="CN16" s="191">
        <v>93566.039811072842</v>
      </c>
      <c r="CO16" s="191">
        <v>108593.3171771435</v>
      </c>
      <c r="CP16" s="192">
        <v>118520.90681980675</v>
      </c>
      <c r="CQ16" s="192">
        <v>132049.68885334057</v>
      </c>
      <c r="CR16" s="192">
        <v>134961.66328456733</v>
      </c>
      <c r="CS16" s="193">
        <v>140197.87691376667</v>
      </c>
      <c r="CT16" s="420">
        <v>159208.5334163848</v>
      </c>
      <c r="CU16" s="458">
        <f>SUM(CU5:CU15)</f>
        <v>172979.319327479</v>
      </c>
      <c r="CV16" s="476">
        <v>180217.88552451969</v>
      </c>
      <c r="CW16" s="419"/>
      <c r="CX16" s="419"/>
      <c r="CY16" s="419"/>
      <c r="CZ16" s="419"/>
      <c r="DA16" s="419"/>
    </row>
    <row r="17" spans="6:97" ht="25.35" customHeight="1" x14ac:dyDescent="0.25">
      <c r="F17" s="422"/>
      <c r="G17" s="422"/>
      <c r="H17" s="422"/>
      <c r="I17" s="422"/>
      <c r="J17" s="422"/>
      <c r="K17" s="422"/>
      <c r="L17" s="422"/>
      <c r="Q17" s="422"/>
      <c r="R17" s="422"/>
      <c r="S17" s="422"/>
      <c r="T17" s="422"/>
      <c r="U17" s="422"/>
      <c r="V17" s="422"/>
      <c r="W17" s="422"/>
      <c r="AB17" s="422"/>
      <c r="AC17" s="422"/>
      <c r="AD17" s="422"/>
      <c r="AE17" s="422"/>
      <c r="AF17" s="422"/>
      <c r="AG17" s="422"/>
      <c r="AH17" s="422"/>
      <c r="AM17" s="422"/>
      <c r="AN17" s="422"/>
      <c r="AO17" s="422"/>
      <c r="AP17" s="422"/>
      <c r="AQ17" s="422"/>
      <c r="AR17" s="422"/>
      <c r="AS17" s="422"/>
      <c r="AX17" s="422"/>
      <c r="AY17" s="422"/>
      <c r="AZ17" s="422"/>
      <c r="BA17" s="422"/>
      <c r="BB17" s="422"/>
      <c r="BC17" s="422"/>
      <c r="BD17" s="422"/>
      <c r="BI17" s="422"/>
      <c r="BJ17" s="422"/>
      <c r="BK17" s="422"/>
      <c r="BL17" s="422"/>
      <c r="BM17" s="422"/>
      <c r="BN17" s="422"/>
      <c r="BO17" s="422"/>
      <c r="BT17" s="422"/>
      <c r="BU17" s="422"/>
      <c r="BV17" s="422"/>
      <c r="BW17" s="422"/>
      <c r="BX17" s="422"/>
      <c r="BY17" s="422"/>
      <c r="BZ17" s="422"/>
      <c r="CE17" s="422"/>
      <c r="CF17" s="422"/>
      <c r="CG17" s="422"/>
      <c r="CH17" s="422"/>
      <c r="CI17" s="422"/>
      <c r="CJ17" s="422"/>
      <c r="CK17" s="422"/>
      <c r="CQ17" s="422"/>
      <c r="CS17" s="422"/>
    </row>
    <row r="18" spans="6:97" ht="25.35" customHeight="1" x14ac:dyDescent="0.25">
      <c r="F18" s="422"/>
      <c r="G18" s="422"/>
      <c r="H18" s="422"/>
      <c r="I18" s="422"/>
      <c r="J18" s="422"/>
      <c r="K18" s="422"/>
      <c r="L18" s="422"/>
      <c r="Q18" s="422"/>
      <c r="R18" s="422"/>
      <c r="S18" s="422"/>
      <c r="T18" s="422"/>
      <c r="U18" s="422"/>
      <c r="V18" s="422"/>
      <c r="W18" s="422"/>
      <c r="AB18" s="422"/>
      <c r="AC18" s="422"/>
      <c r="AD18" s="422"/>
      <c r="AE18" s="422"/>
      <c r="AF18" s="422"/>
      <c r="AG18" s="422"/>
      <c r="AH18" s="422"/>
      <c r="AM18" s="422"/>
      <c r="AN18" s="422"/>
      <c r="AO18" s="422"/>
      <c r="AP18" s="422"/>
      <c r="AQ18" s="422"/>
      <c r="AR18" s="422"/>
      <c r="AS18" s="422"/>
      <c r="AX18" s="422"/>
      <c r="AY18" s="422"/>
      <c r="AZ18" s="422"/>
      <c r="BA18" s="422"/>
      <c r="BB18" s="422"/>
      <c r="BC18" s="422"/>
      <c r="BD18" s="422"/>
      <c r="BI18" s="423"/>
      <c r="BJ18" s="422"/>
      <c r="BK18" s="422"/>
      <c r="BL18" s="422"/>
      <c r="BM18" s="422"/>
      <c r="BN18" s="422"/>
      <c r="BO18" s="422"/>
      <c r="BT18" s="423"/>
      <c r="BU18" s="422"/>
      <c r="BV18" s="422"/>
      <c r="BW18" s="422"/>
      <c r="BX18" s="422"/>
      <c r="BY18" s="422"/>
      <c r="BZ18" s="422"/>
      <c r="CE18" s="422"/>
      <c r="CF18" s="422"/>
      <c r="CG18" s="422"/>
      <c r="CH18" s="422"/>
      <c r="CI18" s="422"/>
      <c r="CJ18" s="422"/>
      <c r="CK18" s="422"/>
      <c r="CQ18" s="422"/>
      <c r="CS18" s="422"/>
    </row>
    <row r="19" spans="6:97" ht="25.35" customHeight="1" x14ac:dyDescent="0.25">
      <c r="F19" s="422"/>
      <c r="G19" s="422"/>
      <c r="H19" s="422"/>
      <c r="I19" s="422"/>
      <c r="J19" s="422"/>
      <c r="K19" s="422"/>
      <c r="L19" s="422"/>
      <c r="Q19" s="422"/>
      <c r="R19" s="422"/>
      <c r="S19" s="422"/>
      <c r="T19" s="422"/>
      <c r="U19" s="422"/>
      <c r="V19" s="422"/>
      <c r="W19" s="422"/>
      <c r="AB19" s="422"/>
      <c r="AC19" s="422"/>
      <c r="AD19" s="422"/>
      <c r="AE19" s="422"/>
      <c r="AF19" s="422"/>
      <c r="AG19" s="422"/>
      <c r="AH19" s="422"/>
      <c r="AM19" s="422"/>
      <c r="AN19" s="422"/>
      <c r="AO19" s="422"/>
      <c r="AP19" s="422"/>
      <c r="AQ19" s="422"/>
      <c r="AR19" s="422"/>
      <c r="AS19" s="422"/>
      <c r="AX19" s="422"/>
      <c r="AY19" s="422"/>
      <c r="AZ19" s="422"/>
      <c r="BA19" s="422"/>
      <c r="BB19" s="422"/>
      <c r="BC19" s="422"/>
      <c r="BD19" s="422"/>
      <c r="BI19" s="422"/>
      <c r="BJ19" s="422"/>
      <c r="BK19" s="422"/>
      <c r="BL19" s="422"/>
      <c r="BM19" s="422"/>
      <c r="BN19" s="422"/>
      <c r="BO19" s="422"/>
      <c r="BT19" s="422"/>
      <c r="BU19" s="422"/>
      <c r="BV19" s="422"/>
      <c r="BW19" s="422"/>
      <c r="BX19" s="422"/>
      <c r="BY19" s="422"/>
      <c r="BZ19" s="422"/>
      <c r="CE19" s="422"/>
      <c r="CF19" s="422"/>
      <c r="CG19" s="422"/>
      <c r="CH19" s="422"/>
      <c r="CI19" s="422"/>
      <c r="CJ19" s="422"/>
      <c r="CK19" s="422"/>
      <c r="CQ19" s="422"/>
      <c r="CS19" s="422"/>
    </row>
    <row r="20" spans="6:97" ht="25.35" customHeight="1" x14ac:dyDescent="0.25">
      <c r="F20" s="422"/>
      <c r="G20" s="422"/>
      <c r="H20" s="422"/>
      <c r="I20" s="422"/>
      <c r="J20" s="422"/>
      <c r="K20" s="422"/>
      <c r="L20" s="422"/>
      <c r="Q20" s="422"/>
      <c r="R20" s="422"/>
      <c r="S20" s="422"/>
      <c r="T20" s="422"/>
      <c r="U20" s="422"/>
      <c r="V20" s="422"/>
      <c r="W20" s="422"/>
      <c r="AB20" s="422"/>
      <c r="AC20" s="422"/>
      <c r="AD20" s="422"/>
      <c r="AE20" s="422"/>
      <c r="AF20" s="422"/>
      <c r="AG20" s="422"/>
      <c r="AH20" s="422"/>
      <c r="AM20" s="422"/>
      <c r="AN20" s="422"/>
      <c r="AO20" s="422"/>
      <c r="AP20" s="422"/>
      <c r="AQ20" s="422"/>
      <c r="AR20" s="422"/>
      <c r="AS20" s="422"/>
      <c r="AX20" s="422"/>
      <c r="AY20" s="422"/>
      <c r="AZ20" s="422"/>
      <c r="BA20" s="422"/>
      <c r="BB20" s="422"/>
      <c r="BC20" s="422"/>
      <c r="BD20" s="422"/>
      <c r="BI20" s="422"/>
      <c r="BJ20" s="422"/>
      <c r="BK20" s="422"/>
      <c r="BL20" s="422"/>
      <c r="BM20" s="422"/>
      <c r="BN20" s="422"/>
      <c r="BO20" s="422"/>
      <c r="BT20" s="422"/>
      <c r="BU20" s="422"/>
      <c r="BV20" s="422"/>
      <c r="BW20" s="422"/>
      <c r="BX20" s="422"/>
      <c r="BY20" s="422"/>
      <c r="BZ20" s="422"/>
      <c r="CE20" s="422"/>
      <c r="CF20" s="422"/>
      <c r="CG20" s="422"/>
      <c r="CH20" s="422"/>
      <c r="CI20" s="422"/>
      <c r="CJ20" s="422"/>
      <c r="CK20" s="422"/>
      <c r="CQ20" s="422"/>
      <c r="CS20" s="422"/>
    </row>
    <row r="21" spans="6:97" ht="25.35" customHeight="1" x14ac:dyDescent="0.25">
      <c r="F21" s="422"/>
      <c r="G21" s="422"/>
      <c r="H21" s="422"/>
      <c r="I21" s="422"/>
      <c r="J21" s="422"/>
      <c r="K21" s="422"/>
      <c r="L21" s="422"/>
      <c r="Q21" s="422"/>
      <c r="R21" s="422"/>
      <c r="S21" s="422"/>
      <c r="T21" s="422"/>
      <c r="U21" s="422"/>
      <c r="V21" s="422"/>
      <c r="W21" s="422"/>
      <c r="AB21" s="422"/>
      <c r="AC21" s="422"/>
      <c r="AD21" s="422"/>
      <c r="AE21" s="422"/>
      <c r="AF21" s="422"/>
      <c r="AG21" s="422"/>
      <c r="AH21" s="422"/>
      <c r="AM21" s="422"/>
      <c r="AN21" s="422"/>
      <c r="AO21" s="422"/>
      <c r="AP21" s="422"/>
      <c r="AQ21" s="422"/>
      <c r="AR21" s="422"/>
      <c r="AS21" s="422"/>
      <c r="AX21" s="422"/>
      <c r="AY21" s="422"/>
      <c r="AZ21" s="422"/>
      <c r="BA21" s="422"/>
      <c r="BB21" s="422"/>
      <c r="BC21" s="422"/>
      <c r="BD21" s="422"/>
      <c r="BI21" s="422"/>
      <c r="BJ21" s="422"/>
      <c r="BK21" s="422"/>
      <c r="BL21" s="422"/>
      <c r="BM21" s="422"/>
      <c r="BN21" s="422"/>
      <c r="BO21" s="422"/>
      <c r="BT21" s="422"/>
      <c r="BU21" s="422"/>
      <c r="BV21" s="422"/>
      <c r="BW21" s="422"/>
      <c r="BX21" s="422"/>
      <c r="BY21" s="422"/>
      <c r="BZ21" s="422"/>
      <c r="CE21" s="422"/>
      <c r="CF21" s="422"/>
      <c r="CG21" s="422"/>
      <c r="CH21" s="422"/>
      <c r="CI21" s="422"/>
      <c r="CJ21" s="422"/>
      <c r="CK21" s="422"/>
      <c r="CQ21" s="422"/>
      <c r="CS21" s="422"/>
    </row>
    <row r="22" spans="6:97" ht="25.35" customHeight="1" x14ac:dyDescent="0.25">
      <c r="F22" s="422"/>
      <c r="G22" s="422"/>
      <c r="H22" s="422"/>
      <c r="I22" s="422"/>
      <c r="J22" s="422"/>
      <c r="K22" s="422"/>
      <c r="L22" s="422"/>
      <c r="Q22" s="422"/>
      <c r="R22" s="422"/>
      <c r="S22" s="422"/>
      <c r="T22" s="422"/>
      <c r="U22" s="422"/>
      <c r="V22" s="422"/>
      <c r="W22" s="422"/>
      <c r="AB22" s="422"/>
      <c r="AC22" s="422"/>
      <c r="AD22" s="422"/>
      <c r="AE22" s="422"/>
      <c r="AF22" s="422"/>
      <c r="AG22" s="422"/>
      <c r="AH22" s="422"/>
      <c r="AM22" s="422"/>
      <c r="AN22" s="422"/>
      <c r="AO22" s="422"/>
      <c r="AP22" s="422"/>
      <c r="AQ22" s="422"/>
      <c r="AR22" s="422"/>
      <c r="AS22" s="422"/>
      <c r="AX22" s="422"/>
      <c r="AY22" s="422"/>
      <c r="AZ22" s="422"/>
      <c r="BA22" s="422"/>
      <c r="BB22" s="422"/>
      <c r="BC22" s="422"/>
      <c r="BD22" s="422"/>
      <c r="BI22" s="422"/>
      <c r="BJ22" s="422"/>
      <c r="BK22" s="422"/>
      <c r="BL22" s="422"/>
      <c r="BM22" s="422"/>
      <c r="BN22" s="422"/>
      <c r="BO22" s="422"/>
      <c r="BT22" s="422"/>
      <c r="BU22" s="422"/>
      <c r="BV22" s="422"/>
      <c r="BW22" s="422"/>
      <c r="BX22" s="422"/>
      <c r="BY22" s="422"/>
      <c r="BZ22" s="422"/>
      <c r="CE22" s="422"/>
      <c r="CF22" s="422"/>
      <c r="CG22" s="422"/>
      <c r="CH22" s="422"/>
      <c r="CI22" s="422"/>
      <c r="CJ22" s="422"/>
      <c r="CK22" s="422"/>
      <c r="CQ22" s="422"/>
      <c r="CS22" s="422"/>
    </row>
    <row r="23" spans="6:97" ht="25.35" customHeight="1" x14ac:dyDescent="0.25">
      <c r="F23" s="422"/>
      <c r="G23" s="422"/>
      <c r="H23" s="422"/>
      <c r="I23" s="422"/>
      <c r="J23" s="422"/>
      <c r="K23" s="422"/>
      <c r="L23" s="422"/>
      <c r="Q23" s="422"/>
      <c r="R23" s="422"/>
      <c r="S23" s="422"/>
      <c r="T23" s="422"/>
      <c r="U23" s="422"/>
      <c r="V23" s="422"/>
      <c r="W23" s="422"/>
      <c r="AB23" s="422"/>
      <c r="AC23" s="422"/>
      <c r="AD23" s="422"/>
      <c r="AE23" s="422"/>
      <c r="AF23" s="422"/>
      <c r="AG23" s="422"/>
      <c r="AH23" s="422"/>
      <c r="AM23" s="422"/>
      <c r="AN23" s="422"/>
      <c r="AO23" s="422"/>
      <c r="AP23" s="422"/>
      <c r="AQ23" s="422"/>
      <c r="AR23" s="422"/>
      <c r="AS23" s="422"/>
      <c r="AX23" s="422"/>
      <c r="AY23" s="422"/>
      <c r="AZ23" s="422"/>
      <c r="BA23" s="422"/>
      <c r="BB23" s="422"/>
      <c r="BC23" s="422"/>
      <c r="BD23" s="422"/>
      <c r="BI23" s="422"/>
      <c r="BJ23" s="422"/>
      <c r="BK23" s="422"/>
      <c r="BL23" s="422"/>
      <c r="BM23" s="422"/>
      <c r="BN23" s="422"/>
      <c r="BO23" s="422"/>
      <c r="BT23" s="422"/>
      <c r="BU23" s="422"/>
      <c r="BV23" s="422"/>
      <c r="BW23" s="422"/>
      <c r="BX23" s="422"/>
      <c r="BY23" s="422"/>
      <c r="BZ23" s="422"/>
      <c r="CE23" s="422"/>
      <c r="CF23" s="422"/>
      <c r="CG23" s="422"/>
      <c r="CH23" s="422"/>
      <c r="CI23" s="422"/>
      <c r="CJ23" s="422"/>
      <c r="CK23" s="422"/>
      <c r="CQ23" s="422"/>
      <c r="CS23" s="422"/>
    </row>
    <row r="24" spans="6:97" ht="25.35" customHeight="1" x14ac:dyDescent="0.25">
      <c r="F24" s="422"/>
      <c r="G24" s="422"/>
      <c r="H24" s="422"/>
      <c r="I24" s="422"/>
      <c r="J24" s="422"/>
      <c r="K24" s="422"/>
      <c r="L24" s="422"/>
      <c r="Q24" s="422"/>
      <c r="R24" s="422"/>
      <c r="S24" s="422"/>
      <c r="T24" s="422"/>
      <c r="U24" s="422"/>
      <c r="V24" s="422"/>
      <c r="W24" s="422"/>
      <c r="AB24" s="422"/>
      <c r="AC24" s="422"/>
      <c r="AD24" s="422"/>
      <c r="AE24" s="422"/>
      <c r="AF24" s="422"/>
      <c r="AG24" s="422"/>
      <c r="AH24" s="422"/>
      <c r="AM24" s="422"/>
      <c r="AN24" s="422"/>
      <c r="AO24" s="422"/>
      <c r="AP24" s="422"/>
      <c r="AQ24" s="422"/>
      <c r="AR24" s="422"/>
      <c r="AS24" s="422"/>
      <c r="AX24" s="422"/>
      <c r="AY24" s="422"/>
      <c r="AZ24" s="422"/>
      <c r="BA24" s="422"/>
      <c r="BB24" s="422"/>
      <c r="BC24" s="422"/>
      <c r="BD24" s="422"/>
      <c r="BI24" s="422"/>
      <c r="BJ24" s="422"/>
      <c r="BK24" s="422"/>
      <c r="BL24" s="422"/>
      <c r="BM24" s="422"/>
      <c r="BN24" s="422"/>
      <c r="BO24" s="422"/>
      <c r="BT24" s="422"/>
      <c r="BU24" s="422"/>
      <c r="BV24" s="422"/>
      <c r="BW24" s="422"/>
      <c r="BX24" s="422"/>
      <c r="BY24" s="422"/>
      <c r="BZ24" s="422"/>
      <c r="CE24" s="422"/>
      <c r="CF24" s="422"/>
      <c r="CG24" s="422"/>
      <c r="CH24" s="422"/>
      <c r="CI24" s="422"/>
      <c r="CJ24" s="422"/>
      <c r="CK24" s="422"/>
      <c r="CQ24" s="422"/>
      <c r="CS24" s="422"/>
    </row>
    <row r="25" spans="6:97" ht="25.35" customHeight="1" x14ac:dyDescent="0.25">
      <c r="F25" s="422"/>
      <c r="G25" s="422"/>
      <c r="H25" s="422"/>
      <c r="I25" s="422"/>
      <c r="J25" s="422"/>
      <c r="K25" s="422"/>
      <c r="L25" s="422"/>
      <c r="Q25" s="422"/>
      <c r="R25" s="422"/>
      <c r="S25" s="422"/>
      <c r="T25" s="422"/>
      <c r="U25" s="422"/>
      <c r="V25" s="422"/>
      <c r="W25" s="422"/>
      <c r="AB25" s="422"/>
      <c r="AC25" s="422"/>
      <c r="AD25" s="422"/>
      <c r="AE25" s="422"/>
      <c r="AF25" s="422"/>
      <c r="AG25" s="422"/>
      <c r="AH25" s="422"/>
      <c r="AM25" s="422"/>
      <c r="AN25" s="422"/>
      <c r="AO25" s="422"/>
      <c r="AP25" s="422"/>
      <c r="AQ25" s="422"/>
      <c r="AR25" s="422"/>
      <c r="AS25" s="422"/>
      <c r="AX25" s="422"/>
      <c r="AY25" s="422"/>
      <c r="AZ25" s="422"/>
      <c r="BA25" s="422"/>
      <c r="BB25" s="422"/>
      <c r="BC25" s="422"/>
      <c r="BD25" s="422"/>
      <c r="BI25" s="422"/>
      <c r="BJ25" s="422"/>
      <c r="BK25" s="422"/>
      <c r="BL25" s="422"/>
      <c r="BM25" s="422"/>
      <c r="BN25" s="422"/>
      <c r="BO25" s="422"/>
      <c r="BT25" s="422"/>
      <c r="BU25" s="422"/>
      <c r="BV25" s="422"/>
      <c r="BW25" s="422"/>
      <c r="BX25" s="422"/>
      <c r="BY25" s="422"/>
      <c r="BZ25" s="422"/>
      <c r="CE25" s="422"/>
      <c r="CF25" s="422"/>
      <c r="CG25" s="422"/>
      <c r="CH25" s="422"/>
      <c r="CI25" s="422"/>
      <c r="CJ25" s="422"/>
      <c r="CK25" s="422"/>
      <c r="CQ25" s="422"/>
      <c r="CS25" s="422"/>
    </row>
    <row r="26" spans="6:97" ht="25.35" customHeight="1" x14ac:dyDescent="0.25">
      <c r="F26" s="422"/>
      <c r="G26" s="422"/>
      <c r="H26" s="422"/>
      <c r="I26" s="422"/>
      <c r="J26" s="422"/>
      <c r="K26" s="422"/>
      <c r="L26" s="422"/>
      <c r="Q26" s="422"/>
      <c r="R26" s="422"/>
      <c r="S26" s="422"/>
      <c r="T26" s="422"/>
      <c r="U26" s="422"/>
      <c r="V26" s="422"/>
      <c r="W26" s="422"/>
      <c r="AB26" s="422"/>
      <c r="AC26" s="422"/>
      <c r="AD26" s="422"/>
      <c r="AE26" s="422"/>
      <c r="AF26" s="422"/>
      <c r="AG26" s="422"/>
      <c r="AH26" s="422"/>
      <c r="AM26" s="422"/>
      <c r="AN26" s="422"/>
      <c r="AO26" s="422"/>
      <c r="AP26" s="422"/>
      <c r="AQ26" s="422"/>
      <c r="AR26" s="422"/>
      <c r="AS26" s="422"/>
      <c r="AX26" s="422"/>
      <c r="AY26" s="422"/>
      <c r="AZ26" s="422"/>
      <c r="BA26" s="422"/>
      <c r="BB26" s="422"/>
      <c r="BC26" s="422"/>
      <c r="BD26" s="422"/>
      <c r="BI26" s="422"/>
      <c r="BJ26" s="422"/>
      <c r="BK26" s="422"/>
      <c r="BL26" s="422"/>
      <c r="BM26" s="422"/>
      <c r="BN26" s="422"/>
      <c r="BO26" s="422"/>
      <c r="BT26" s="422"/>
      <c r="BU26" s="422"/>
      <c r="BV26" s="422"/>
      <c r="BW26" s="422"/>
      <c r="BX26" s="422"/>
      <c r="BY26" s="422"/>
      <c r="BZ26" s="422"/>
      <c r="CE26" s="422"/>
      <c r="CF26" s="422"/>
      <c r="CG26" s="422"/>
      <c r="CH26" s="422"/>
      <c r="CI26" s="422"/>
      <c r="CJ26" s="422"/>
      <c r="CK26" s="422"/>
      <c r="CQ26" s="422"/>
      <c r="CS26" s="422"/>
    </row>
    <row r="27" spans="6:97" ht="25.35" customHeight="1" x14ac:dyDescent="0.25">
      <c r="F27" s="424"/>
      <c r="G27" s="424"/>
      <c r="H27" s="424"/>
      <c r="I27" s="422"/>
      <c r="J27" s="422"/>
      <c r="K27" s="422"/>
      <c r="L27" s="422"/>
      <c r="Q27" s="424"/>
      <c r="R27" s="424"/>
      <c r="S27" s="424"/>
      <c r="T27" s="422"/>
      <c r="U27" s="422"/>
      <c r="V27" s="422"/>
      <c r="W27" s="422"/>
      <c r="AB27" s="424"/>
      <c r="AC27" s="424"/>
      <c r="AD27" s="424"/>
      <c r="AE27" s="422"/>
      <c r="AF27" s="422"/>
      <c r="AG27" s="422"/>
      <c r="AH27" s="422"/>
      <c r="AM27" s="424"/>
      <c r="AN27" s="424"/>
      <c r="AO27" s="424"/>
      <c r="AP27" s="422"/>
      <c r="AQ27" s="422"/>
      <c r="AR27" s="422"/>
      <c r="AS27" s="422"/>
      <c r="AX27" s="424"/>
      <c r="AY27" s="424"/>
      <c r="AZ27" s="424"/>
      <c r="BA27" s="422"/>
      <c r="BB27" s="422"/>
      <c r="BC27" s="422"/>
      <c r="BD27" s="422"/>
      <c r="BI27" s="424"/>
      <c r="BJ27" s="424"/>
      <c r="BK27" s="424"/>
      <c r="BL27" s="422"/>
      <c r="BM27" s="422"/>
      <c r="BN27" s="422"/>
      <c r="BO27" s="422"/>
      <c r="BT27" s="424"/>
      <c r="BU27" s="424"/>
      <c r="BV27" s="424"/>
      <c r="BW27" s="422"/>
      <c r="BX27" s="422"/>
      <c r="BY27" s="422"/>
      <c r="BZ27" s="422"/>
      <c r="CE27" s="424"/>
      <c r="CF27" s="424"/>
      <c r="CG27" s="424"/>
      <c r="CH27" s="422"/>
      <c r="CI27" s="422"/>
      <c r="CJ27" s="422"/>
      <c r="CK27" s="422"/>
      <c r="CQ27" s="424"/>
      <c r="CS27" s="422"/>
    </row>
    <row r="28" spans="6:97" ht="25.35" customHeight="1" x14ac:dyDescent="0.25">
      <c r="I28" s="422"/>
      <c r="J28" s="422"/>
      <c r="K28" s="422"/>
      <c r="L28" s="422"/>
      <c r="T28" s="422"/>
      <c r="U28" s="422"/>
      <c r="V28" s="422"/>
      <c r="W28" s="422"/>
      <c r="AE28" s="422"/>
      <c r="AF28" s="422"/>
      <c r="AG28" s="422"/>
      <c r="AH28" s="422"/>
      <c r="AP28" s="422"/>
      <c r="AQ28" s="422"/>
      <c r="AR28" s="422"/>
      <c r="AS28" s="422"/>
      <c r="BA28" s="422"/>
      <c r="BB28" s="422"/>
      <c r="BC28" s="422"/>
      <c r="BD28" s="422"/>
      <c r="BL28" s="422"/>
      <c r="BM28" s="422"/>
      <c r="BN28" s="422"/>
      <c r="BO28" s="422"/>
      <c r="BW28" s="422"/>
      <c r="BX28" s="422"/>
      <c r="BY28" s="422"/>
      <c r="BZ28" s="422"/>
      <c r="CH28" s="422"/>
      <c r="CI28" s="422"/>
      <c r="CJ28" s="422"/>
      <c r="CK28" s="422"/>
      <c r="CS28" s="422"/>
    </row>
  </sheetData>
  <mergeCells count="11">
    <mergeCell ref="BE3:BO3"/>
    <mergeCell ref="BP3:BZ3"/>
    <mergeCell ref="CA3:CK3"/>
    <mergeCell ref="CL3:CV3"/>
    <mergeCell ref="A2:CS2"/>
    <mergeCell ref="A3:A4"/>
    <mergeCell ref="B3:L3"/>
    <mergeCell ref="M3:W3"/>
    <mergeCell ref="X3:AH3"/>
    <mergeCell ref="AI3:AS3"/>
    <mergeCell ref="AT3:BD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L34"/>
  <sheetViews>
    <sheetView zoomScale="85" zoomScaleNormal="85" workbookViewId="0">
      <pane xSplit="1" ySplit="4" topLeftCell="FM5" activePane="bottomRight" state="frozen"/>
      <selection pane="topRight" activeCell="B1" sqref="B1"/>
      <selection pane="bottomLeft" activeCell="A5" sqref="A5"/>
      <selection pane="bottomRight" activeCell="FZ41" sqref="FZ41"/>
    </sheetView>
  </sheetViews>
  <sheetFormatPr defaultColWidth="9.140625" defaultRowHeight="12.75" x14ac:dyDescent="0.2"/>
  <cols>
    <col min="1" max="1" width="43" style="198" customWidth="1"/>
    <col min="2" max="2" width="12.5703125" style="271" customWidth="1"/>
    <col min="3" max="3" width="11.7109375" style="271" customWidth="1"/>
    <col min="4" max="4" width="10.7109375" style="271" customWidth="1"/>
    <col min="5" max="5" width="9.140625" style="271"/>
    <col min="6" max="6" width="11.42578125" style="271" customWidth="1"/>
    <col min="7" max="7" width="10.5703125" style="271" customWidth="1"/>
    <col min="8" max="8" width="9.85546875" style="271" bestFit="1" customWidth="1"/>
    <col min="9" max="9" width="10.7109375" style="271" customWidth="1"/>
    <col min="10" max="10" width="11.7109375" style="271" customWidth="1"/>
    <col min="11" max="19" width="11" style="271" customWidth="1"/>
    <col min="20" max="20" width="9.85546875" style="271" bestFit="1" customWidth="1"/>
    <col min="21" max="34" width="9.140625" style="271"/>
    <col min="35" max="35" width="7.5703125" style="271" customWidth="1"/>
    <col min="36" max="36" width="8.5703125" style="271" customWidth="1"/>
    <col min="37" max="37" width="7.140625" style="271" customWidth="1"/>
    <col min="38" max="38" width="9.140625" style="271" customWidth="1"/>
    <col min="39" max="39" width="10.28515625" style="271" customWidth="1"/>
    <col min="40" max="40" width="7.85546875" style="271" customWidth="1"/>
    <col min="41" max="41" width="8.42578125" style="271" customWidth="1"/>
    <col min="42" max="42" width="8.28515625" style="271" customWidth="1"/>
    <col min="43" max="43" width="7.85546875" style="271" customWidth="1"/>
    <col min="44" max="44" width="8.28515625" style="271" customWidth="1"/>
    <col min="45" max="45" width="10.7109375" style="271" customWidth="1"/>
    <col min="46" max="46" width="9.140625" style="271" customWidth="1"/>
    <col min="47" max="47" width="9.5703125" style="271" customWidth="1"/>
    <col min="48" max="48" width="8.42578125" style="271" customWidth="1"/>
    <col min="49" max="49" width="8.140625" style="271" customWidth="1"/>
    <col min="50" max="51" width="11.28515625" style="271" customWidth="1"/>
    <col min="52" max="52" width="11.7109375" style="271" customWidth="1"/>
    <col min="53" max="53" width="10.5703125" style="271" customWidth="1"/>
    <col min="54" max="54" width="11.140625" style="271" customWidth="1"/>
    <col min="55" max="64" width="9.28515625" style="271" bestFit="1" customWidth="1"/>
    <col min="65" max="65" width="10.140625" style="271" bestFit="1" customWidth="1"/>
    <col min="66" max="69" width="9.28515625" style="271" bestFit="1" customWidth="1"/>
    <col min="70" max="70" width="10.140625" style="271" bestFit="1" customWidth="1"/>
    <col min="71" max="72" width="9.28515625" style="271" bestFit="1" customWidth="1"/>
    <col min="73" max="73" width="10.140625" style="271" bestFit="1" customWidth="1"/>
    <col min="74" max="74" width="9.28515625" style="271" bestFit="1" customWidth="1"/>
    <col min="75" max="75" width="10.42578125" style="198" customWidth="1"/>
    <col min="76" max="76" width="10" style="198" customWidth="1"/>
    <col min="77" max="77" width="10.5703125" style="198" customWidth="1"/>
    <col min="78" max="78" width="11.7109375" style="198" customWidth="1"/>
    <col min="79" max="79" width="12" style="198" customWidth="1"/>
    <col min="80" max="80" width="10.5703125" style="198" customWidth="1"/>
    <col min="81" max="81" width="9.85546875" style="198" customWidth="1"/>
    <col min="82" max="82" width="10.7109375" style="198" customWidth="1"/>
    <col min="83" max="84" width="11.5703125" style="198" customWidth="1"/>
    <col min="85" max="85" width="12" style="198" customWidth="1"/>
    <col min="86" max="86" width="11.28515625" style="198" customWidth="1"/>
    <col min="87" max="87" width="10.42578125" style="198" customWidth="1"/>
    <col min="88" max="88" width="10.5703125" style="198" customWidth="1"/>
    <col min="89" max="89" width="11.42578125" style="198" customWidth="1"/>
    <col min="90" max="90" width="12.5703125" style="198" customWidth="1"/>
    <col min="91" max="91" width="11" style="198" customWidth="1"/>
    <col min="92" max="92" width="11.7109375" style="198" customWidth="1"/>
    <col min="93" max="94" width="11.5703125" style="198" customWidth="1"/>
    <col min="95" max="95" width="10.42578125" style="198" customWidth="1"/>
    <col min="96" max="96" width="10" style="198" customWidth="1"/>
    <col min="97" max="97" width="10.5703125" style="198" customWidth="1"/>
    <col min="98" max="98" width="11.7109375" style="198" customWidth="1"/>
    <col min="99" max="99" width="12" style="198" customWidth="1"/>
    <col min="100" max="100" width="10.5703125" style="198" customWidth="1"/>
    <col min="101" max="101" width="9.85546875" style="198" customWidth="1"/>
    <col min="102" max="102" width="10.7109375" style="198" customWidth="1"/>
    <col min="103" max="104" width="11.5703125" style="198" customWidth="1"/>
    <col min="105" max="105" width="12" style="198" customWidth="1"/>
    <col min="106" max="106" width="11.28515625" style="198" customWidth="1"/>
    <col min="107" max="107" width="10.42578125" style="198" customWidth="1"/>
    <col min="108" max="108" width="10.5703125" style="198" customWidth="1"/>
    <col min="109" max="109" width="11.42578125" style="198" customWidth="1"/>
    <col min="110" max="110" width="12.5703125" style="198" customWidth="1"/>
    <col min="111" max="111" width="11" style="198" customWidth="1"/>
    <col min="112" max="112" width="11.7109375" style="198" customWidth="1"/>
    <col min="113" max="114" width="11.5703125" style="198" customWidth="1"/>
    <col min="115" max="115" width="10.42578125" style="198" customWidth="1"/>
    <col min="116" max="116" width="10" style="198" customWidth="1"/>
    <col min="117" max="117" width="10.5703125" style="198" customWidth="1"/>
    <col min="118" max="118" width="11.7109375" style="198" customWidth="1"/>
    <col min="119" max="119" width="12" style="198" customWidth="1"/>
    <col min="120" max="120" width="10.5703125" style="198" customWidth="1"/>
    <col min="121" max="121" width="9.85546875" style="198" customWidth="1"/>
    <col min="122" max="122" width="10.7109375" style="198" customWidth="1"/>
    <col min="123" max="124" width="11.5703125" style="198" customWidth="1"/>
    <col min="125" max="125" width="12" style="198" customWidth="1"/>
    <col min="126" max="126" width="11.28515625" style="198" customWidth="1"/>
    <col min="127" max="127" width="10.42578125" style="198" customWidth="1"/>
    <col min="128" max="128" width="10.5703125" style="198" customWidth="1"/>
    <col min="129" max="129" width="11.42578125" style="198" customWidth="1"/>
    <col min="130" max="130" width="12.5703125" style="198" customWidth="1"/>
    <col min="131" max="131" width="11" style="198" customWidth="1"/>
    <col min="132" max="132" width="11.7109375" style="198" customWidth="1"/>
    <col min="133" max="154" width="11.5703125" style="198" customWidth="1"/>
    <col min="155" max="157" width="9.28515625" style="198" bestFit="1" customWidth="1"/>
    <col min="158" max="159" width="9.7109375" style="198" bestFit="1" customWidth="1"/>
    <col min="160" max="161" width="9.28515625" style="198" bestFit="1" customWidth="1"/>
    <col min="162" max="162" width="9.7109375" style="198" bestFit="1" customWidth="1"/>
    <col min="163" max="163" width="10.7109375" style="198" bestFit="1" customWidth="1"/>
    <col min="164" max="164" width="9.7109375" style="198" bestFit="1" customWidth="1"/>
    <col min="165" max="165" width="10.7109375" style="198" bestFit="1" customWidth="1"/>
    <col min="166" max="166" width="9.28515625" style="198" bestFit="1" customWidth="1"/>
    <col min="167" max="169" width="9.7109375" style="198" bestFit="1" customWidth="1"/>
    <col min="170" max="174" width="9.7109375" style="198" customWidth="1"/>
    <col min="175" max="16384" width="9.140625" style="198"/>
  </cols>
  <sheetData>
    <row r="1" spans="1:194" ht="50.25" customHeight="1" x14ac:dyDescent="0.2">
      <c r="A1" s="363" t="s">
        <v>364</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4"/>
      <c r="AH1" s="194"/>
      <c r="AI1" s="195"/>
      <c r="AJ1" s="195"/>
      <c r="AK1" s="195"/>
      <c r="AL1" s="195"/>
      <c r="AM1" s="195"/>
      <c r="AN1" s="195"/>
      <c r="AO1" s="195"/>
      <c r="AP1" s="195"/>
      <c r="AQ1" s="195"/>
      <c r="AR1" s="195"/>
      <c r="AS1" s="195"/>
      <c r="AT1" s="195"/>
      <c r="AU1" s="195"/>
      <c r="AV1" s="195"/>
      <c r="AW1" s="195"/>
      <c r="AX1" s="195"/>
      <c r="AY1" s="195"/>
      <c r="AZ1" s="195"/>
      <c r="BA1" s="195"/>
      <c r="BB1" s="195"/>
      <c r="BC1" s="196"/>
      <c r="BD1" s="196"/>
      <c r="BE1" s="196"/>
      <c r="BF1" s="196"/>
      <c r="BG1" s="196"/>
      <c r="BH1" s="196"/>
      <c r="BI1" s="196"/>
      <c r="BJ1" s="196"/>
      <c r="BK1" s="196"/>
      <c r="BL1" s="196"/>
      <c r="BM1" s="196"/>
      <c r="BN1" s="196"/>
      <c r="BO1" s="196"/>
      <c r="BP1" s="196"/>
      <c r="BQ1" s="196"/>
      <c r="BR1" s="196"/>
      <c r="BS1" s="196"/>
      <c r="BT1" s="196"/>
      <c r="BU1" s="196"/>
      <c r="BV1" s="196"/>
      <c r="BW1" s="197"/>
      <c r="BX1" s="197"/>
      <c r="BY1" s="197"/>
      <c r="BZ1" s="197"/>
      <c r="CA1" s="197"/>
      <c r="CB1" s="197"/>
      <c r="CC1" s="197"/>
      <c r="CD1" s="197"/>
      <c r="CE1" s="197"/>
      <c r="CF1" s="197"/>
      <c r="CG1" s="197"/>
      <c r="CH1" s="197"/>
      <c r="CI1" s="197"/>
      <c r="CJ1" s="197"/>
      <c r="CK1" s="197"/>
      <c r="CL1" s="197"/>
      <c r="CM1" s="197"/>
      <c r="CN1" s="197"/>
      <c r="CO1" s="197"/>
      <c r="CP1" s="197"/>
      <c r="CQ1" s="197"/>
      <c r="CR1" s="197"/>
      <c r="CS1" s="197"/>
      <c r="CT1" s="197"/>
      <c r="CU1" s="197"/>
      <c r="CV1" s="197"/>
      <c r="CW1" s="197"/>
      <c r="CX1" s="197"/>
      <c r="CY1" s="197"/>
      <c r="CZ1" s="197"/>
      <c r="DA1" s="197"/>
      <c r="DB1" s="197"/>
      <c r="DC1" s="197"/>
      <c r="DD1" s="197"/>
      <c r="DE1" s="197"/>
      <c r="DF1" s="197"/>
      <c r="DG1" s="197"/>
      <c r="DH1" s="197"/>
      <c r="DI1" s="197"/>
      <c r="DJ1" s="197"/>
      <c r="DK1" s="197"/>
      <c r="DL1" s="197"/>
      <c r="DM1" s="197"/>
      <c r="DN1" s="197"/>
      <c r="DO1" s="197"/>
      <c r="DP1" s="197"/>
      <c r="DQ1" s="197"/>
      <c r="DR1" s="197"/>
      <c r="DS1" s="197"/>
      <c r="DT1" s="197"/>
      <c r="DU1" s="197"/>
      <c r="DV1" s="197"/>
      <c r="DW1" s="197"/>
      <c r="DX1" s="197"/>
      <c r="DY1" s="197"/>
      <c r="DZ1" s="197"/>
      <c r="EA1" s="197"/>
      <c r="EB1" s="197"/>
      <c r="EC1" s="197"/>
      <c r="ED1" s="197"/>
      <c r="EE1" s="197"/>
      <c r="EF1" s="197"/>
      <c r="EG1" s="197"/>
      <c r="EH1" s="197"/>
      <c r="EI1" s="197"/>
      <c r="EJ1" s="197"/>
      <c r="EK1" s="197"/>
      <c r="EL1" s="197"/>
      <c r="EM1" s="197"/>
      <c r="EN1" s="197"/>
      <c r="EO1" s="197"/>
      <c r="EP1" s="197"/>
      <c r="EQ1" s="197"/>
      <c r="ER1" s="197"/>
      <c r="ES1" s="197"/>
      <c r="ET1" s="197"/>
      <c r="EU1" s="197"/>
      <c r="EV1" s="197"/>
      <c r="EW1" s="197"/>
      <c r="EX1" s="197"/>
    </row>
    <row r="2" spans="1:194" s="199" customFormat="1" x14ac:dyDescent="0.2">
      <c r="A2" s="630" t="s">
        <v>325</v>
      </c>
      <c r="B2" s="638" t="s">
        <v>33</v>
      </c>
      <c r="C2" s="639"/>
      <c r="D2" s="639"/>
      <c r="E2" s="639"/>
      <c r="F2" s="639"/>
      <c r="G2" s="639"/>
      <c r="H2" s="639"/>
      <c r="I2" s="639"/>
      <c r="J2" s="639"/>
      <c r="K2" s="638" t="s">
        <v>34</v>
      </c>
      <c r="L2" s="639"/>
      <c r="M2" s="639"/>
      <c r="N2" s="639"/>
      <c r="O2" s="639"/>
      <c r="P2" s="639"/>
      <c r="Q2" s="639"/>
      <c r="R2" s="639"/>
      <c r="S2" s="639"/>
      <c r="T2" s="638" t="s">
        <v>35</v>
      </c>
      <c r="U2" s="639"/>
      <c r="V2" s="639"/>
      <c r="W2" s="639"/>
      <c r="X2" s="639"/>
      <c r="Y2" s="639"/>
      <c r="Z2" s="639"/>
      <c r="AA2" s="639"/>
      <c r="AB2" s="639"/>
      <c r="AC2" s="639"/>
      <c r="AD2" s="639"/>
      <c r="AE2" s="639"/>
      <c r="AF2" s="639"/>
      <c r="AG2" s="639"/>
      <c r="AH2" s="640"/>
      <c r="AI2" s="631" t="s">
        <v>36</v>
      </c>
      <c r="AJ2" s="631"/>
      <c r="AK2" s="631"/>
      <c r="AL2" s="631"/>
      <c r="AM2" s="631"/>
      <c r="AN2" s="631"/>
      <c r="AO2" s="631"/>
      <c r="AP2" s="631"/>
      <c r="AQ2" s="631"/>
      <c r="AR2" s="631"/>
      <c r="AS2" s="631"/>
      <c r="AT2" s="631"/>
      <c r="AU2" s="631"/>
      <c r="AV2" s="631"/>
      <c r="AW2" s="631"/>
      <c r="AX2" s="631"/>
      <c r="AY2" s="631"/>
      <c r="AZ2" s="631"/>
      <c r="BA2" s="631"/>
      <c r="BB2" s="631"/>
      <c r="BC2" s="631" t="s">
        <v>37</v>
      </c>
      <c r="BD2" s="631"/>
      <c r="BE2" s="631"/>
      <c r="BF2" s="631"/>
      <c r="BG2" s="631"/>
      <c r="BH2" s="631"/>
      <c r="BI2" s="631"/>
      <c r="BJ2" s="631"/>
      <c r="BK2" s="631"/>
      <c r="BL2" s="631"/>
      <c r="BM2" s="631"/>
      <c r="BN2" s="631"/>
      <c r="BO2" s="631"/>
      <c r="BP2" s="631"/>
      <c r="BQ2" s="631"/>
      <c r="BR2" s="631"/>
      <c r="BS2" s="631"/>
      <c r="BT2" s="631"/>
      <c r="BU2" s="631"/>
      <c r="BV2" s="631"/>
      <c r="BW2" s="631" t="s">
        <v>38</v>
      </c>
      <c r="BX2" s="631"/>
      <c r="BY2" s="631"/>
      <c r="BZ2" s="631"/>
      <c r="CA2" s="631"/>
      <c r="CB2" s="631"/>
      <c r="CC2" s="631"/>
      <c r="CD2" s="631"/>
      <c r="CE2" s="631"/>
      <c r="CF2" s="631"/>
      <c r="CG2" s="631"/>
      <c r="CH2" s="631"/>
      <c r="CI2" s="631"/>
      <c r="CJ2" s="631"/>
      <c r="CK2" s="631"/>
      <c r="CL2" s="631"/>
      <c r="CM2" s="631"/>
      <c r="CN2" s="631"/>
      <c r="CO2" s="631"/>
      <c r="CP2" s="631"/>
      <c r="CQ2" s="631" t="s">
        <v>39</v>
      </c>
      <c r="CR2" s="631"/>
      <c r="CS2" s="631"/>
      <c r="CT2" s="631"/>
      <c r="CU2" s="631"/>
      <c r="CV2" s="631"/>
      <c r="CW2" s="631"/>
      <c r="CX2" s="631"/>
      <c r="CY2" s="631"/>
      <c r="CZ2" s="631"/>
      <c r="DA2" s="631"/>
      <c r="DB2" s="631"/>
      <c r="DC2" s="631"/>
      <c r="DD2" s="631"/>
      <c r="DE2" s="631"/>
      <c r="DF2" s="631"/>
      <c r="DG2" s="631"/>
      <c r="DH2" s="631"/>
      <c r="DI2" s="631"/>
      <c r="DJ2" s="631"/>
      <c r="DK2" s="631" t="s">
        <v>40</v>
      </c>
      <c r="DL2" s="631"/>
      <c r="DM2" s="631"/>
      <c r="DN2" s="631"/>
      <c r="DO2" s="631"/>
      <c r="DP2" s="631"/>
      <c r="DQ2" s="631"/>
      <c r="DR2" s="631"/>
      <c r="DS2" s="631"/>
      <c r="DT2" s="631"/>
      <c r="DU2" s="631"/>
      <c r="DV2" s="631"/>
      <c r="DW2" s="631"/>
      <c r="DX2" s="631"/>
      <c r="DY2" s="631"/>
      <c r="DZ2" s="631"/>
      <c r="EA2" s="631"/>
      <c r="EB2" s="631"/>
      <c r="EC2" s="631"/>
      <c r="ED2" s="631"/>
      <c r="EE2" s="631" t="s">
        <v>41</v>
      </c>
      <c r="EF2" s="631"/>
      <c r="EG2" s="631"/>
      <c r="EH2" s="631"/>
      <c r="EI2" s="631"/>
      <c r="EJ2" s="631"/>
      <c r="EK2" s="631"/>
      <c r="EL2" s="631"/>
      <c r="EM2" s="631"/>
      <c r="EN2" s="631"/>
      <c r="EO2" s="631"/>
      <c r="EP2" s="631"/>
      <c r="EQ2" s="631"/>
      <c r="ER2" s="631"/>
      <c r="ES2" s="631"/>
      <c r="ET2" s="631"/>
      <c r="EU2" s="631"/>
      <c r="EV2" s="631"/>
      <c r="EW2" s="631"/>
      <c r="EX2" s="631"/>
      <c r="EY2" s="631" t="s">
        <v>292</v>
      </c>
      <c r="EZ2" s="631"/>
      <c r="FA2" s="631"/>
      <c r="FB2" s="631"/>
      <c r="FC2" s="631"/>
      <c r="FD2" s="631"/>
      <c r="FE2" s="631"/>
      <c r="FF2" s="631"/>
      <c r="FG2" s="631"/>
      <c r="FH2" s="631"/>
      <c r="FI2" s="631"/>
      <c r="FJ2" s="631"/>
      <c r="FK2" s="631"/>
      <c r="FL2" s="631"/>
      <c r="FM2" s="631"/>
      <c r="FN2" s="631"/>
      <c r="FO2" s="631"/>
      <c r="FP2" s="631"/>
      <c r="FQ2" s="631"/>
      <c r="FR2" s="631"/>
      <c r="FS2" s="631" t="s">
        <v>399</v>
      </c>
      <c r="FT2" s="631"/>
      <c r="FU2" s="631"/>
      <c r="FV2" s="631"/>
      <c r="FW2" s="631"/>
      <c r="FX2" s="631"/>
      <c r="FY2" s="631"/>
      <c r="FZ2" s="631"/>
      <c r="GA2" s="631"/>
      <c r="GB2" s="631"/>
      <c r="GC2" s="631"/>
      <c r="GD2" s="631"/>
      <c r="GE2" s="631"/>
      <c r="GF2" s="631"/>
      <c r="GG2" s="631"/>
      <c r="GH2" s="631"/>
      <c r="GI2" s="631"/>
      <c r="GJ2" s="631"/>
      <c r="GK2" s="631"/>
      <c r="GL2" s="631"/>
    </row>
    <row r="3" spans="1:194" s="200" customFormat="1" ht="12.75" customHeight="1" x14ac:dyDescent="0.25">
      <c r="A3" s="630"/>
      <c r="B3" s="645" t="s">
        <v>326</v>
      </c>
      <c r="C3" s="646"/>
      <c r="D3" s="647"/>
      <c r="E3" s="645" t="s">
        <v>327</v>
      </c>
      <c r="F3" s="646"/>
      <c r="G3" s="647"/>
      <c r="H3" s="641" t="s">
        <v>28</v>
      </c>
      <c r="I3" s="642"/>
      <c r="J3" s="643"/>
      <c r="K3" s="645" t="s">
        <v>326</v>
      </c>
      <c r="L3" s="646"/>
      <c r="M3" s="647"/>
      <c r="N3" s="645" t="s">
        <v>327</v>
      </c>
      <c r="O3" s="646"/>
      <c r="P3" s="647"/>
      <c r="Q3" s="641" t="s">
        <v>28</v>
      </c>
      <c r="R3" s="642"/>
      <c r="S3" s="643"/>
      <c r="T3" s="644" t="s">
        <v>328</v>
      </c>
      <c r="U3" s="644"/>
      <c r="V3" s="644"/>
      <c r="W3" s="644"/>
      <c r="X3" s="644"/>
      <c r="Y3" s="644" t="s">
        <v>329</v>
      </c>
      <c r="Z3" s="644"/>
      <c r="AA3" s="644"/>
      <c r="AB3" s="644"/>
      <c r="AC3" s="644"/>
      <c r="AD3" s="635" t="s">
        <v>28</v>
      </c>
      <c r="AE3" s="636"/>
      <c r="AF3" s="636"/>
      <c r="AG3" s="636"/>
      <c r="AH3" s="637"/>
      <c r="AI3" s="635" t="s">
        <v>330</v>
      </c>
      <c r="AJ3" s="636"/>
      <c r="AK3" s="636"/>
      <c r="AL3" s="636"/>
      <c r="AM3" s="637"/>
      <c r="AN3" s="635" t="s">
        <v>331</v>
      </c>
      <c r="AO3" s="636"/>
      <c r="AP3" s="636"/>
      <c r="AQ3" s="636"/>
      <c r="AR3" s="637"/>
      <c r="AS3" s="635" t="s">
        <v>332</v>
      </c>
      <c r="AT3" s="636"/>
      <c r="AU3" s="636"/>
      <c r="AV3" s="636"/>
      <c r="AW3" s="637"/>
      <c r="AX3" s="635" t="s">
        <v>28</v>
      </c>
      <c r="AY3" s="636"/>
      <c r="AZ3" s="636"/>
      <c r="BA3" s="636"/>
      <c r="BB3" s="637"/>
      <c r="BC3" s="635" t="s">
        <v>330</v>
      </c>
      <c r="BD3" s="636"/>
      <c r="BE3" s="636"/>
      <c r="BF3" s="636"/>
      <c r="BG3" s="637"/>
      <c r="BH3" s="635" t="s">
        <v>331</v>
      </c>
      <c r="BI3" s="636"/>
      <c r="BJ3" s="636"/>
      <c r="BK3" s="636"/>
      <c r="BL3" s="637"/>
      <c r="BM3" s="635" t="s">
        <v>332</v>
      </c>
      <c r="BN3" s="636"/>
      <c r="BO3" s="636"/>
      <c r="BP3" s="636"/>
      <c r="BQ3" s="637"/>
      <c r="BR3" s="635" t="s">
        <v>28</v>
      </c>
      <c r="BS3" s="636"/>
      <c r="BT3" s="636"/>
      <c r="BU3" s="636"/>
      <c r="BV3" s="637"/>
      <c r="BW3" s="636" t="s">
        <v>330</v>
      </c>
      <c r="BX3" s="636"/>
      <c r="BY3" s="636"/>
      <c r="BZ3" s="636"/>
      <c r="CA3" s="637"/>
      <c r="CB3" s="635" t="s">
        <v>331</v>
      </c>
      <c r="CC3" s="636"/>
      <c r="CD3" s="636"/>
      <c r="CE3" s="636"/>
      <c r="CF3" s="637"/>
      <c r="CG3" s="635" t="s">
        <v>332</v>
      </c>
      <c r="CH3" s="636"/>
      <c r="CI3" s="636"/>
      <c r="CJ3" s="636"/>
      <c r="CK3" s="637"/>
      <c r="CL3" s="635" t="s">
        <v>28</v>
      </c>
      <c r="CM3" s="636"/>
      <c r="CN3" s="636"/>
      <c r="CO3" s="636"/>
      <c r="CP3" s="637"/>
      <c r="CQ3" s="636" t="s">
        <v>330</v>
      </c>
      <c r="CR3" s="636"/>
      <c r="CS3" s="636"/>
      <c r="CT3" s="636"/>
      <c r="CU3" s="637"/>
      <c r="CV3" s="635" t="s">
        <v>331</v>
      </c>
      <c r="CW3" s="636"/>
      <c r="CX3" s="636"/>
      <c r="CY3" s="636"/>
      <c r="CZ3" s="637"/>
      <c r="DA3" s="635" t="s">
        <v>332</v>
      </c>
      <c r="DB3" s="636"/>
      <c r="DC3" s="636"/>
      <c r="DD3" s="636"/>
      <c r="DE3" s="637"/>
      <c r="DF3" s="635" t="s">
        <v>28</v>
      </c>
      <c r="DG3" s="636"/>
      <c r="DH3" s="636"/>
      <c r="DI3" s="636"/>
      <c r="DJ3" s="637"/>
      <c r="DK3" s="636" t="s">
        <v>330</v>
      </c>
      <c r="DL3" s="636"/>
      <c r="DM3" s="636"/>
      <c r="DN3" s="636"/>
      <c r="DO3" s="637"/>
      <c r="DP3" s="635" t="s">
        <v>331</v>
      </c>
      <c r="DQ3" s="636"/>
      <c r="DR3" s="636"/>
      <c r="DS3" s="636"/>
      <c r="DT3" s="637"/>
      <c r="DU3" s="635" t="s">
        <v>332</v>
      </c>
      <c r="DV3" s="636"/>
      <c r="DW3" s="636"/>
      <c r="DX3" s="636"/>
      <c r="DY3" s="637"/>
      <c r="DZ3" s="635" t="s">
        <v>28</v>
      </c>
      <c r="EA3" s="636"/>
      <c r="EB3" s="636"/>
      <c r="EC3" s="636"/>
      <c r="ED3" s="637"/>
      <c r="EE3" s="636" t="s">
        <v>330</v>
      </c>
      <c r="EF3" s="636"/>
      <c r="EG3" s="636"/>
      <c r="EH3" s="636"/>
      <c r="EI3" s="637"/>
      <c r="EJ3" s="635" t="s">
        <v>331</v>
      </c>
      <c r="EK3" s="636"/>
      <c r="EL3" s="636"/>
      <c r="EM3" s="636"/>
      <c r="EN3" s="637"/>
      <c r="EO3" s="635" t="s">
        <v>332</v>
      </c>
      <c r="EP3" s="636"/>
      <c r="EQ3" s="636"/>
      <c r="ER3" s="636"/>
      <c r="ES3" s="637"/>
      <c r="ET3" s="635" t="s">
        <v>28</v>
      </c>
      <c r="EU3" s="636"/>
      <c r="EV3" s="636"/>
      <c r="EW3" s="636"/>
      <c r="EX3" s="637"/>
      <c r="EY3" s="632" t="s">
        <v>330</v>
      </c>
      <c r="EZ3" s="633"/>
      <c r="FA3" s="633"/>
      <c r="FB3" s="633"/>
      <c r="FC3" s="634"/>
      <c r="FD3" s="632" t="s">
        <v>331</v>
      </c>
      <c r="FE3" s="633"/>
      <c r="FF3" s="633"/>
      <c r="FG3" s="633"/>
      <c r="FH3" s="634"/>
      <c r="FI3" s="632" t="s">
        <v>332</v>
      </c>
      <c r="FJ3" s="633"/>
      <c r="FK3" s="633"/>
      <c r="FL3" s="633"/>
      <c r="FM3" s="634"/>
      <c r="FN3" s="632" t="s">
        <v>28</v>
      </c>
      <c r="FO3" s="633"/>
      <c r="FP3" s="633"/>
      <c r="FQ3" s="633"/>
      <c r="FR3" s="634"/>
      <c r="FS3" s="632" t="s">
        <v>330</v>
      </c>
      <c r="FT3" s="633"/>
      <c r="FU3" s="633"/>
      <c r="FV3" s="633"/>
      <c r="FW3" s="634"/>
      <c r="FX3" s="632" t="s">
        <v>331</v>
      </c>
      <c r="FY3" s="633"/>
      <c r="FZ3" s="633"/>
      <c r="GA3" s="633"/>
      <c r="GB3" s="634"/>
      <c r="GC3" s="632" t="s">
        <v>332</v>
      </c>
      <c r="GD3" s="633"/>
      <c r="GE3" s="633"/>
      <c r="GF3" s="633"/>
      <c r="GG3" s="634"/>
      <c r="GH3" s="632" t="s">
        <v>28</v>
      </c>
      <c r="GI3" s="633"/>
      <c r="GJ3" s="633"/>
      <c r="GK3" s="633"/>
      <c r="GL3" s="634"/>
    </row>
    <row r="4" spans="1:194" s="200" customFormat="1" ht="63.75" x14ac:dyDescent="0.25">
      <c r="A4" s="630"/>
      <c r="B4" s="236" t="s">
        <v>333</v>
      </c>
      <c r="C4" s="240" t="s">
        <v>334</v>
      </c>
      <c r="D4" s="240" t="s">
        <v>335</v>
      </c>
      <c r="E4" s="236" t="s">
        <v>333</v>
      </c>
      <c r="F4" s="240" t="s">
        <v>334</v>
      </c>
      <c r="G4" s="240" t="s">
        <v>335</v>
      </c>
      <c r="H4" s="236" t="s">
        <v>333</v>
      </c>
      <c r="I4" s="240" t="s">
        <v>334</v>
      </c>
      <c r="J4" s="240" t="s">
        <v>335</v>
      </c>
      <c r="K4" s="236" t="s">
        <v>333</v>
      </c>
      <c r="L4" s="240" t="s">
        <v>334</v>
      </c>
      <c r="M4" s="240" t="s">
        <v>335</v>
      </c>
      <c r="N4" s="236" t="s">
        <v>333</v>
      </c>
      <c r="O4" s="240" t="s">
        <v>334</v>
      </c>
      <c r="P4" s="240" t="s">
        <v>335</v>
      </c>
      <c r="Q4" s="236" t="s">
        <v>333</v>
      </c>
      <c r="R4" s="240" t="s">
        <v>334</v>
      </c>
      <c r="S4" s="240" t="s">
        <v>335</v>
      </c>
      <c r="T4" s="240" t="s">
        <v>333</v>
      </c>
      <c r="U4" s="240" t="s">
        <v>334</v>
      </c>
      <c r="V4" s="240" t="s">
        <v>335</v>
      </c>
      <c r="W4" s="354" t="s">
        <v>336</v>
      </c>
      <c r="X4" s="354" t="s">
        <v>337</v>
      </c>
      <c r="Y4" s="240" t="s">
        <v>333</v>
      </c>
      <c r="Z4" s="240" t="s">
        <v>334</v>
      </c>
      <c r="AA4" s="240" t="s">
        <v>335</v>
      </c>
      <c r="AB4" s="354" t="s">
        <v>336</v>
      </c>
      <c r="AC4" s="354" t="s">
        <v>337</v>
      </c>
      <c r="AD4" s="240" t="s">
        <v>333</v>
      </c>
      <c r="AE4" s="240" t="s">
        <v>334</v>
      </c>
      <c r="AF4" s="240" t="s">
        <v>335</v>
      </c>
      <c r="AG4" s="354" t="s">
        <v>336</v>
      </c>
      <c r="AH4" s="354" t="s">
        <v>337</v>
      </c>
      <c r="AI4" s="240" t="s">
        <v>333</v>
      </c>
      <c r="AJ4" s="240" t="s">
        <v>334</v>
      </c>
      <c r="AK4" s="240" t="s">
        <v>335</v>
      </c>
      <c r="AL4" s="354" t="s">
        <v>336</v>
      </c>
      <c r="AM4" s="354" t="s">
        <v>337</v>
      </c>
      <c r="AN4" s="240" t="s">
        <v>333</v>
      </c>
      <c r="AO4" s="240" t="s">
        <v>334</v>
      </c>
      <c r="AP4" s="240" t="s">
        <v>335</v>
      </c>
      <c r="AQ4" s="354" t="s">
        <v>336</v>
      </c>
      <c r="AR4" s="354" t="s">
        <v>337</v>
      </c>
      <c r="AS4" s="240" t="s">
        <v>333</v>
      </c>
      <c r="AT4" s="240" t="s">
        <v>334</v>
      </c>
      <c r="AU4" s="240" t="s">
        <v>335</v>
      </c>
      <c r="AV4" s="354" t="s">
        <v>336</v>
      </c>
      <c r="AW4" s="354" t="s">
        <v>337</v>
      </c>
      <c r="AX4" s="240" t="s">
        <v>333</v>
      </c>
      <c r="AY4" s="240" t="s">
        <v>334</v>
      </c>
      <c r="AZ4" s="240" t="s">
        <v>335</v>
      </c>
      <c r="BA4" s="354" t="s">
        <v>336</v>
      </c>
      <c r="BB4" s="354" t="s">
        <v>337</v>
      </c>
      <c r="BC4" s="240" t="s">
        <v>333</v>
      </c>
      <c r="BD4" s="240" t="s">
        <v>334</v>
      </c>
      <c r="BE4" s="240" t="s">
        <v>335</v>
      </c>
      <c r="BF4" s="354" t="s">
        <v>336</v>
      </c>
      <c r="BG4" s="354" t="s">
        <v>337</v>
      </c>
      <c r="BH4" s="240" t="s">
        <v>333</v>
      </c>
      <c r="BI4" s="240" t="s">
        <v>334</v>
      </c>
      <c r="BJ4" s="240" t="s">
        <v>335</v>
      </c>
      <c r="BK4" s="354" t="s">
        <v>336</v>
      </c>
      <c r="BL4" s="354" t="s">
        <v>337</v>
      </c>
      <c r="BM4" s="240" t="s">
        <v>333</v>
      </c>
      <c r="BN4" s="240" t="s">
        <v>334</v>
      </c>
      <c r="BO4" s="240" t="s">
        <v>335</v>
      </c>
      <c r="BP4" s="354" t="s">
        <v>336</v>
      </c>
      <c r="BQ4" s="354" t="s">
        <v>337</v>
      </c>
      <c r="BR4" s="240" t="s">
        <v>333</v>
      </c>
      <c r="BS4" s="240" t="s">
        <v>334</v>
      </c>
      <c r="BT4" s="240" t="s">
        <v>335</v>
      </c>
      <c r="BU4" s="354" t="s">
        <v>336</v>
      </c>
      <c r="BV4" s="354" t="s">
        <v>337</v>
      </c>
      <c r="BW4" s="240" t="s">
        <v>333</v>
      </c>
      <c r="BX4" s="240" t="s">
        <v>334</v>
      </c>
      <c r="BY4" s="240" t="s">
        <v>335</v>
      </c>
      <c r="BZ4" s="354" t="s">
        <v>336</v>
      </c>
      <c r="CA4" s="354" t="s">
        <v>337</v>
      </c>
      <c r="CB4" s="240" t="s">
        <v>333</v>
      </c>
      <c r="CC4" s="240" t="s">
        <v>334</v>
      </c>
      <c r="CD4" s="240" t="s">
        <v>335</v>
      </c>
      <c r="CE4" s="354" t="s">
        <v>336</v>
      </c>
      <c r="CF4" s="354" t="s">
        <v>337</v>
      </c>
      <c r="CG4" s="240" t="s">
        <v>333</v>
      </c>
      <c r="CH4" s="240" t="s">
        <v>334</v>
      </c>
      <c r="CI4" s="240" t="s">
        <v>335</v>
      </c>
      <c r="CJ4" s="354" t="s">
        <v>336</v>
      </c>
      <c r="CK4" s="354" t="s">
        <v>337</v>
      </c>
      <c r="CL4" s="240" t="s">
        <v>333</v>
      </c>
      <c r="CM4" s="240" t="s">
        <v>334</v>
      </c>
      <c r="CN4" s="240" t="s">
        <v>335</v>
      </c>
      <c r="CO4" s="354" t="s">
        <v>336</v>
      </c>
      <c r="CP4" s="354" t="s">
        <v>337</v>
      </c>
      <c r="CQ4" s="240" t="s">
        <v>333</v>
      </c>
      <c r="CR4" s="240" t="s">
        <v>334</v>
      </c>
      <c r="CS4" s="240" t="s">
        <v>335</v>
      </c>
      <c r="CT4" s="354" t="s">
        <v>336</v>
      </c>
      <c r="CU4" s="354" t="s">
        <v>337</v>
      </c>
      <c r="CV4" s="240" t="s">
        <v>333</v>
      </c>
      <c r="CW4" s="240" t="s">
        <v>334</v>
      </c>
      <c r="CX4" s="240" t="s">
        <v>335</v>
      </c>
      <c r="CY4" s="354" t="s">
        <v>336</v>
      </c>
      <c r="CZ4" s="354" t="s">
        <v>337</v>
      </c>
      <c r="DA4" s="240" t="s">
        <v>333</v>
      </c>
      <c r="DB4" s="240" t="s">
        <v>334</v>
      </c>
      <c r="DC4" s="240" t="s">
        <v>335</v>
      </c>
      <c r="DD4" s="354" t="s">
        <v>336</v>
      </c>
      <c r="DE4" s="354" t="s">
        <v>337</v>
      </c>
      <c r="DF4" s="240" t="s">
        <v>333</v>
      </c>
      <c r="DG4" s="240" t="s">
        <v>334</v>
      </c>
      <c r="DH4" s="240" t="s">
        <v>335</v>
      </c>
      <c r="DI4" s="354" t="s">
        <v>336</v>
      </c>
      <c r="DJ4" s="354" t="s">
        <v>337</v>
      </c>
      <c r="DK4" s="240" t="s">
        <v>333</v>
      </c>
      <c r="DL4" s="240" t="s">
        <v>334</v>
      </c>
      <c r="DM4" s="240" t="s">
        <v>335</v>
      </c>
      <c r="DN4" s="354" t="s">
        <v>336</v>
      </c>
      <c r="DO4" s="354" t="s">
        <v>337</v>
      </c>
      <c r="DP4" s="240" t="s">
        <v>333</v>
      </c>
      <c r="DQ4" s="240" t="s">
        <v>334</v>
      </c>
      <c r="DR4" s="240" t="s">
        <v>335</v>
      </c>
      <c r="DS4" s="354" t="s">
        <v>336</v>
      </c>
      <c r="DT4" s="354" t="s">
        <v>337</v>
      </c>
      <c r="DU4" s="240" t="s">
        <v>333</v>
      </c>
      <c r="DV4" s="240" t="s">
        <v>334</v>
      </c>
      <c r="DW4" s="240" t="s">
        <v>335</v>
      </c>
      <c r="DX4" s="354" t="s">
        <v>336</v>
      </c>
      <c r="DY4" s="354" t="s">
        <v>337</v>
      </c>
      <c r="DZ4" s="240" t="s">
        <v>333</v>
      </c>
      <c r="EA4" s="240" t="s">
        <v>334</v>
      </c>
      <c r="EB4" s="240" t="s">
        <v>335</v>
      </c>
      <c r="EC4" s="354" t="s">
        <v>336</v>
      </c>
      <c r="ED4" s="354" t="s">
        <v>337</v>
      </c>
      <c r="EE4" s="240" t="s">
        <v>333</v>
      </c>
      <c r="EF4" s="240" t="s">
        <v>334</v>
      </c>
      <c r="EG4" s="240" t="s">
        <v>335</v>
      </c>
      <c r="EH4" s="354" t="s">
        <v>336</v>
      </c>
      <c r="EI4" s="354" t="s">
        <v>337</v>
      </c>
      <c r="EJ4" s="240" t="s">
        <v>333</v>
      </c>
      <c r="EK4" s="240" t="s">
        <v>334</v>
      </c>
      <c r="EL4" s="240" t="s">
        <v>335</v>
      </c>
      <c r="EM4" s="354" t="s">
        <v>336</v>
      </c>
      <c r="EN4" s="354" t="s">
        <v>337</v>
      </c>
      <c r="EO4" s="240" t="s">
        <v>333</v>
      </c>
      <c r="EP4" s="240" t="s">
        <v>334</v>
      </c>
      <c r="EQ4" s="240" t="s">
        <v>335</v>
      </c>
      <c r="ER4" s="354" t="s">
        <v>336</v>
      </c>
      <c r="ES4" s="354" t="s">
        <v>337</v>
      </c>
      <c r="ET4" s="240" t="s">
        <v>333</v>
      </c>
      <c r="EU4" s="240" t="s">
        <v>334</v>
      </c>
      <c r="EV4" s="240" t="s">
        <v>335</v>
      </c>
      <c r="EW4" s="354" t="s">
        <v>336</v>
      </c>
      <c r="EX4" s="354" t="s">
        <v>337</v>
      </c>
      <c r="EY4" s="240" t="s">
        <v>333</v>
      </c>
      <c r="EZ4" s="240" t="s">
        <v>334</v>
      </c>
      <c r="FA4" s="240" t="s">
        <v>335</v>
      </c>
      <c r="FB4" s="354" t="s">
        <v>336</v>
      </c>
      <c r="FC4" s="354" t="s">
        <v>337</v>
      </c>
      <c r="FD4" s="240" t="s">
        <v>333</v>
      </c>
      <c r="FE4" s="240" t="s">
        <v>334</v>
      </c>
      <c r="FF4" s="240" t="s">
        <v>335</v>
      </c>
      <c r="FG4" s="354" t="s">
        <v>336</v>
      </c>
      <c r="FH4" s="354" t="s">
        <v>337</v>
      </c>
      <c r="FI4" s="240" t="s">
        <v>333</v>
      </c>
      <c r="FJ4" s="240" t="s">
        <v>334</v>
      </c>
      <c r="FK4" s="240" t="s">
        <v>335</v>
      </c>
      <c r="FL4" s="354" t="s">
        <v>336</v>
      </c>
      <c r="FM4" s="354" t="s">
        <v>337</v>
      </c>
      <c r="FN4" s="240" t="s">
        <v>333</v>
      </c>
      <c r="FO4" s="240" t="s">
        <v>334</v>
      </c>
      <c r="FP4" s="240" t="s">
        <v>335</v>
      </c>
      <c r="FQ4" s="354" t="s">
        <v>336</v>
      </c>
      <c r="FR4" s="354" t="s">
        <v>337</v>
      </c>
      <c r="FS4" s="240" t="s">
        <v>333</v>
      </c>
      <c r="FT4" s="240" t="s">
        <v>334</v>
      </c>
      <c r="FU4" s="240" t="s">
        <v>335</v>
      </c>
      <c r="FV4" s="435" t="s">
        <v>336</v>
      </c>
      <c r="FW4" s="435" t="s">
        <v>337</v>
      </c>
      <c r="FX4" s="240" t="s">
        <v>333</v>
      </c>
      <c r="FY4" s="240" t="s">
        <v>334</v>
      </c>
      <c r="FZ4" s="240" t="s">
        <v>335</v>
      </c>
      <c r="GA4" s="435" t="s">
        <v>336</v>
      </c>
      <c r="GB4" s="435" t="s">
        <v>337</v>
      </c>
      <c r="GC4" s="240" t="s">
        <v>333</v>
      </c>
      <c r="GD4" s="240" t="s">
        <v>334</v>
      </c>
      <c r="GE4" s="240" t="s">
        <v>335</v>
      </c>
      <c r="GF4" s="435" t="s">
        <v>336</v>
      </c>
      <c r="GG4" s="435" t="s">
        <v>337</v>
      </c>
      <c r="GH4" s="240" t="s">
        <v>333</v>
      </c>
      <c r="GI4" s="240" t="s">
        <v>334</v>
      </c>
      <c r="GJ4" s="240" t="s">
        <v>335</v>
      </c>
      <c r="GK4" s="435" t="s">
        <v>336</v>
      </c>
      <c r="GL4" s="435" t="s">
        <v>337</v>
      </c>
    </row>
    <row r="5" spans="1:194" x14ac:dyDescent="0.2">
      <c r="A5" s="201" t="s">
        <v>49</v>
      </c>
      <c r="B5" s="202">
        <v>288151</v>
      </c>
      <c r="C5" s="202">
        <v>729.05299999999988</v>
      </c>
      <c r="D5" s="202">
        <v>27203.299427071226</v>
      </c>
      <c r="E5" s="202">
        <v>24836</v>
      </c>
      <c r="F5" s="202">
        <v>23145.019428549032</v>
      </c>
      <c r="G5" s="202">
        <v>490072.57743726257</v>
      </c>
      <c r="H5" s="202">
        <v>312987</v>
      </c>
      <c r="I5" s="202">
        <v>23873.072428549</v>
      </c>
      <c r="J5" s="202">
        <v>517275.87686433381</v>
      </c>
      <c r="K5" s="202">
        <v>408341</v>
      </c>
      <c r="L5" s="202">
        <v>1411</v>
      </c>
      <c r="M5" s="202">
        <v>46015</v>
      </c>
      <c r="N5" s="202">
        <v>32222</v>
      </c>
      <c r="O5" s="202">
        <v>24571</v>
      </c>
      <c r="P5" s="202">
        <v>551503</v>
      </c>
      <c r="Q5" s="202">
        <v>440563</v>
      </c>
      <c r="R5" s="202">
        <v>25982</v>
      </c>
      <c r="S5" s="202">
        <v>597518</v>
      </c>
      <c r="T5" s="203">
        <v>471399</v>
      </c>
      <c r="U5" s="203">
        <v>1148.1489999999999</v>
      </c>
      <c r="V5" s="203">
        <v>50385.039282367317</v>
      </c>
      <c r="W5" s="203">
        <v>73014</v>
      </c>
      <c r="X5" s="203">
        <v>28547.746913904852</v>
      </c>
      <c r="Y5" s="203">
        <v>38398</v>
      </c>
      <c r="Z5" s="203">
        <v>44663.642999999996</v>
      </c>
      <c r="AA5" s="203">
        <v>793617.57061408716</v>
      </c>
      <c r="AB5" s="203">
        <v>2521773</v>
      </c>
      <c r="AC5" s="203">
        <v>928341.30200019607</v>
      </c>
      <c r="AD5" s="203">
        <v>509797</v>
      </c>
      <c r="AE5" s="203">
        <v>45811.791999999994</v>
      </c>
      <c r="AF5" s="203">
        <v>844002.60989645449</v>
      </c>
      <c r="AG5" s="203">
        <v>2594787</v>
      </c>
      <c r="AH5" s="203">
        <v>956889.04891410097</v>
      </c>
      <c r="AI5" s="204"/>
      <c r="AJ5" s="205">
        <v>-0.255</v>
      </c>
      <c r="AK5" s="204">
        <v>-3.0797099999999999</v>
      </c>
      <c r="AL5" s="204"/>
      <c r="AM5" s="204"/>
      <c r="AN5" s="204">
        <v>44581</v>
      </c>
      <c r="AO5" s="204">
        <v>39317.410999463413</v>
      </c>
      <c r="AP5" s="204">
        <v>873669.92358695169</v>
      </c>
      <c r="AQ5" s="204">
        <v>3421281</v>
      </c>
      <c r="AR5" s="204">
        <v>888244.08128960466</v>
      </c>
      <c r="AS5" s="204">
        <v>472799</v>
      </c>
      <c r="AT5" s="204">
        <v>1125.2639999999999</v>
      </c>
      <c r="AU5" s="204">
        <v>58518.571518026889</v>
      </c>
      <c r="AV5" s="204">
        <v>92053</v>
      </c>
      <c r="AW5" s="204">
        <v>35402.218776751426</v>
      </c>
      <c r="AX5" s="206">
        <v>517380</v>
      </c>
      <c r="AY5" s="206">
        <v>40442.419999463418</v>
      </c>
      <c r="AZ5" s="206">
        <v>932185.4153949786</v>
      </c>
      <c r="BA5" s="206">
        <v>3513334</v>
      </c>
      <c r="BB5" s="206">
        <v>923646.30006635608</v>
      </c>
      <c r="BC5" s="206">
        <v>0</v>
      </c>
      <c r="BD5" s="206">
        <v>0</v>
      </c>
      <c r="BE5" s="206">
        <v>0</v>
      </c>
      <c r="BF5" s="206">
        <v>0</v>
      </c>
      <c r="BG5" s="206">
        <v>0</v>
      </c>
      <c r="BH5" s="206">
        <v>58349</v>
      </c>
      <c r="BI5" s="206">
        <v>31307.538000000004</v>
      </c>
      <c r="BJ5" s="206">
        <v>928426.26178821875</v>
      </c>
      <c r="BK5" s="206">
        <v>3472272</v>
      </c>
      <c r="BL5" s="206">
        <v>1042241.3880221013</v>
      </c>
      <c r="BM5" s="206">
        <v>592111</v>
      </c>
      <c r="BN5" s="206">
        <v>1638.3369999999998</v>
      </c>
      <c r="BO5" s="206">
        <v>73827.504374434997</v>
      </c>
      <c r="BP5" s="206">
        <v>116021</v>
      </c>
      <c r="BQ5" s="206">
        <v>44930.343114174284</v>
      </c>
      <c r="BR5" s="206">
        <v>650460</v>
      </c>
      <c r="BS5" s="206">
        <v>32945.875</v>
      </c>
      <c r="BT5" s="206">
        <v>1002253.7661626536</v>
      </c>
      <c r="BU5" s="206">
        <v>3588293</v>
      </c>
      <c r="BV5" s="206">
        <v>1087171.7311362757</v>
      </c>
      <c r="BW5" s="204">
        <v>0</v>
      </c>
      <c r="BX5" s="204">
        <v>0</v>
      </c>
      <c r="BY5" s="204">
        <v>0</v>
      </c>
      <c r="BZ5" s="204">
        <v>0</v>
      </c>
      <c r="CA5" s="204">
        <v>0</v>
      </c>
      <c r="CB5" s="204">
        <v>37229</v>
      </c>
      <c r="CC5" s="204">
        <v>37189.410000000003</v>
      </c>
      <c r="CD5" s="204">
        <v>1094898.782514971</v>
      </c>
      <c r="CE5" s="204">
        <v>3185093</v>
      </c>
      <c r="CF5" s="204">
        <v>1053698.0154163965</v>
      </c>
      <c r="CG5" s="204">
        <v>711710</v>
      </c>
      <c r="CH5" s="204">
        <v>1611.5720000000224</v>
      </c>
      <c r="CI5" s="204">
        <v>85822.092814600066</v>
      </c>
      <c r="CJ5" s="204">
        <v>146210</v>
      </c>
      <c r="CK5" s="204">
        <v>52008.441231325924</v>
      </c>
      <c r="CL5" s="207">
        <v>748939</v>
      </c>
      <c r="CM5" s="207">
        <v>38800.982000000025</v>
      </c>
      <c r="CN5" s="207">
        <v>1180720.8753295711</v>
      </c>
      <c r="CO5" s="207">
        <v>3331303</v>
      </c>
      <c r="CP5" s="207">
        <v>1105706.4566477225</v>
      </c>
      <c r="CQ5" s="204">
        <v>0</v>
      </c>
      <c r="CR5" s="204">
        <v>0</v>
      </c>
      <c r="CS5" s="204">
        <v>0</v>
      </c>
      <c r="CT5" s="204">
        <v>0</v>
      </c>
      <c r="CU5" s="204">
        <v>0</v>
      </c>
      <c r="CV5" s="204">
        <v>61273</v>
      </c>
      <c r="CW5" s="204">
        <v>49565.287000000004</v>
      </c>
      <c r="CX5" s="204">
        <v>1258134.2392422156</v>
      </c>
      <c r="CY5" s="204">
        <v>2739987</v>
      </c>
      <c r="CZ5" s="204">
        <v>1106375.3728410078</v>
      </c>
      <c r="DA5" s="204">
        <v>1700763</v>
      </c>
      <c r="DB5" s="204">
        <v>3228.7750000000001</v>
      </c>
      <c r="DC5" s="204">
        <v>127421.43862333731</v>
      </c>
      <c r="DD5" s="204">
        <v>159019.52000000002</v>
      </c>
      <c r="DE5" s="204">
        <v>75285.303542679147</v>
      </c>
      <c r="DF5" s="207">
        <v>1762036</v>
      </c>
      <c r="DG5" s="207">
        <v>52794.062000000005</v>
      </c>
      <c r="DH5" s="207">
        <v>1385555.6778655529</v>
      </c>
      <c r="DI5" s="207">
        <v>2899006.52</v>
      </c>
      <c r="DJ5" s="207">
        <v>1181660.676383687</v>
      </c>
      <c r="DK5" s="204">
        <v>0</v>
      </c>
      <c r="DL5" s="204">
        <v>0</v>
      </c>
      <c r="DM5" s="204">
        <v>0</v>
      </c>
      <c r="DN5" s="204">
        <v>0</v>
      </c>
      <c r="DO5" s="204">
        <v>0</v>
      </c>
      <c r="DP5" s="204">
        <v>69076</v>
      </c>
      <c r="DQ5" s="204">
        <v>214704.22499999998</v>
      </c>
      <c r="DR5" s="204">
        <v>1685471.8638694729</v>
      </c>
      <c r="DS5" s="204">
        <v>4338649</v>
      </c>
      <c r="DT5" s="204">
        <v>1783858.7856170668</v>
      </c>
      <c r="DU5" s="204">
        <v>1637106</v>
      </c>
      <c r="DV5" s="204">
        <v>7977.9759999999997</v>
      </c>
      <c r="DW5" s="204">
        <v>203560.76727282169</v>
      </c>
      <c r="DX5" s="204">
        <v>342144</v>
      </c>
      <c r="DY5" s="204">
        <v>153965.67342120491</v>
      </c>
      <c r="DZ5" s="207">
        <v>1706182</v>
      </c>
      <c r="EA5" s="207">
        <v>222682.20099999997</v>
      </c>
      <c r="EB5" s="207">
        <v>1889032.6311422945</v>
      </c>
      <c r="EC5" s="207">
        <v>4680793</v>
      </c>
      <c r="ED5" s="207"/>
      <c r="EE5" s="208">
        <v>0</v>
      </c>
      <c r="EF5" s="208">
        <v>0</v>
      </c>
      <c r="EG5" s="208">
        <v>0</v>
      </c>
      <c r="EH5" s="208">
        <v>0</v>
      </c>
      <c r="EI5" s="208">
        <v>0</v>
      </c>
      <c r="EJ5" s="208">
        <v>60046</v>
      </c>
      <c r="EK5" s="208">
        <v>71684.839000000007</v>
      </c>
      <c r="EL5" s="208">
        <v>2223744.9269974432</v>
      </c>
      <c r="EM5" s="208">
        <v>5197101</v>
      </c>
      <c r="EN5" s="208">
        <v>1932136.1249945215</v>
      </c>
      <c r="EO5" s="208">
        <v>2049337</v>
      </c>
      <c r="EP5" s="208">
        <v>4537.4080000000013</v>
      </c>
      <c r="EQ5" s="208">
        <v>300614.48037219571</v>
      </c>
      <c r="ER5" s="208">
        <v>456623</v>
      </c>
      <c r="ES5" s="208">
        <v>174779.55046261655</v>
      </c>
      <c r="ET5" s="208">
        <v>2109383</v>
      </c>
      <c r="EU5" s="208">
        <v>76222.247000000003</v>
      </c>
      <c r="EV5" s="208">
        <v>2524359.4073696388</v>
      </c>
      <c r="EW5" s="208">
        <v>5653724</v>
      </c>
      <c r="EX5" s="208">
        <v>2106915.6754571381</v>
      </c>
      <c r="EY5" s="209">
        <v>0</v>
      </c>
      <c r="EZ5" s="209">
        <v>0</v>
      </c>
      <c r="FA5" s="209">
        <v>0</v>
      </c>
      <c r="FB5" s="209">
        <v>0</v>
      </c>
      <c r="FC5" s="209">
        <v>0</v>
      </c>
      <c r="FD5" s="209">
        <v>79379</v>
      </c>
      <c r="FE5" s="209">
        <v>84541.726999999999</v>
      </c>
      <c r="FF5" s="209">
        <v>2765441.1778762108</v>
      </c>
      <c r="FG5" s="209">
        <v>6971394</v>
      </c>
      <c r="FH5" s="209">
        <v>2441145.8832424888</v>
      </c>
      <c r="FI5" s="209">
        <v>2448867</v>
      </c>
      <c r="FJ5" s="209">
        <v>5396.6080000000002</v>
      </c>
      <c r="FK5" s="209">
        <v>392622.6369813669</v>
      </c>
      <c r="FL5" s="209">
        <v>541807</v>
      </c>
      <c r="FM5" s="209">
        <v>220501.73406699003</v>
      </c>
      <c r="FN5" s="209">
        <v>2528246</v>
      </c>
      <c r="FO5" s="209">
        <v>89938.335000000006</v>
      </c>
      <c r="FP5" s="209">
        <v>3158063.814857577</v>
      </c>
      <c r="FQ5" s="209">
        <v>7513201</v>
      </c>
      <c r="FR5" s="477">
        <v>2661647.617309479</v>
      </c>
      <c r="FS5" s="480">
        <v>0</v>
      </c>
      <c r="FT5" s="480">
        <v>0</v>
      </c>
      <c r="FU5" s="480">
        <v>0</v>
      </c>
      <c r="FV5" s="480">
        <v>0</v>
      </c>
      <c r="FW5" s="480">
        <v>3997</v>
      </c>
      <c r="FX5" s="480">
        <v>202741</v>
      </c>
      <c r="FY5" s="480">
        <v>94150.18</v>
      </c>
      <c r="FZ5" s="480">
        <v>3255681.6712285141</v>
      </c>
      <c r="GA5" s="480">
        <v>9882126.9000000004</v>
      </c>
      <c r="GB5" s="480">
        <v>3004872.5103240237</v>
      </c>
      <c r="GC5" s="480">
        <v>3288653</v>
      </c>
      <c r="GD5" s="480">
        <v>7584.4150000000063</v>
      </c>
      <c r="GE5" s="480">
        <v>502089.58796290489</v>
      </c>
      <c r="GF5" s="480">
        <v>711714</v>
      </c>
      <c r="GG5" s="480">
        <v>282770.01202883909</v>
      </c>
      <c r="GH5" s="480">
        <v>3491394</v>
      </c>
      <c r="GI5" s="480">
        <v>101734.595</v>
      </c>
      <c r="GJ5" s="480">
        <v>3757771.2591914185</v>
      </c>
      <c r="GK5" s="480">
        <v>10593840.9</v>
      </c>
      <c r="GL5" s="480">
        <v>3291639.5223528622</v>
      </c>
    </row>
    <row r="6" spans="1:194" x14ac:dyDescent="0.2">
      <c r="A6" s="210" t="s">
        <v>338</v>
      </c>
      <c r="B6" s="211">
        <v>1552686</v>
      </c>
      <c r="C6" s="211">
        <v>3276.8389999999999</v>
      </c>
      <c r="D6" s="211">
        <v>101074.50022572794</v>
      </c>
      <c r="E6" s="211">
        <v>173062</v>
      </c>
      <c r="F6" s="211">
        <v>2703.0200000000004</v>
      </c>
      <c r="G6" s="211">
        <v>39878.475036555123</v>
      </c>
      <c r="H6" s="211">
        <v>1725748</v>
      </c>
      <c r="I6" s="211">
        <v>5980.8590000000013</v>
      </c>
      <c r="J6" s="211">
        <v>140952.97526228306</v>
      </c>
      <c r="K6" s="211">
        <v>1433492</v>
      </c>
      <c r="L6" s="211">
        <v>2972</v>
      </c>
      <c r="M6" s="211">
        <v>110746</v>
      </c>
      <c r="N6" s="211">
        <v>190837</v>
      </c>
      <c r="O6" s="211">
        <v>5877</v>
      </c>
      <c r="P6" s="211">
        <v>58572</v>
      </c>
      <c r="Q6" s="211">
        <v>1624329</v>
      </c>
      <c r="R6" s="211">
        <v>8850</v>
      </c>
      <c r="S6" s="211">
        <v>169318</v>
      </c>
      <c r="T6" s="212">
        <v>1676892</v>
      </c>
      <c r="U6" s="212">
        <v>3544.3090000000002</v>
      </c>
      <c r="V6" s="212">
        <v>135070.07126559969</v>
      </c>
      <c r="W6" s="212">
        <v>162491</v>
      </c>
      <c r="X6" s="212">
        <v>59394.405276081641</v>
      </c>
      <c r="Y6" s="212">
        <v>218548</v>
      </c>
      <c r="Z6" s="212">
        <v>5473.2060000000001</v>
      </c>
      <c r="AA6" s="212">
        <v>90248.973293873525</v>
      </c>
      <c r="AB6" s="212">
        <v>124112</v>
      </c>
      <c r="AC6" s="212">
        <v>44260.194187801011</v>
      </c>
      <c r="AD6" s="212">
        <v>1895440</v>
      </c>
      <c r="AE6" s="212">
        <v>9017.5149999999994</v>
      </c>
      <c r="AF6" s="212">
        <v>225319.04455947323</v>
      </c>
      <c r="AG6" s="212">
        <v>286603</v>
      </c>
      <c r="AH6" s="212">
        <v>103654.59946388265</v>
      </c>
      <c r="AI6" s="213"/>
      <c r="AJ6" s="214">
        <v>2.4470000000000001</v>
      </c>
      <c r="AK6" s="213"/>
      <c r="AL6" s="213"/>
      <c r="AM6" s="213"/>
      <c r="AN6" s="213">
        <v>318330</v>
      </c>
      <c r="AO6" s="213">
        <v>9920.2109999999993</v>
      </c>
      <c r="AP6" s="213">
        <v>140775.75994710933</v>
      </c>
      <c r="AQ6" s="213">
        <v>169215</v>
      </c>
      <c r="AR6" s="213">
        <v>64800.015710332053</v>
      </c>
      <c r="AS6" s="213">
        <v>2219115</v>
      </c>
      <c r="AT6" s="213">
        <v>3852.2789999999995</v>
      </c>
      <c r="AU6" s="213">
        <v>166209.94393866247</v>
      </c>
      <c r="AV6" s="213">
        <v>180245</v>
      </c>
      <c r="AW6" s="213">
        <v>69937.552857328774</v>
      </c>
      <c r="AX6" s="215">
        <v>2537445</v>
      </c>
      <c r="AY6" s="215">
        <v>13774.936999999998</v>
      </c>
      <c r="AZ6" s="215">
        <v>306985.7038857718</v>
      </c>
      <c r="BA6" s="215">
        <v>349460</v>
      </c>
      <c r="BB6" s="215">
        <v>134737.56856766081</v>
      </c>
      <c r="BC6" s="215">
        <v>0</v>
      </c>
      <c r="BD6" s="215">
        <v>0</v>
      </c>
      <c r="BE6" s="215">
        <v>0</v>
      </c>
      <c r="BF6" s="215">
        <v>0</v>
      </c>
      <c r="BG6" s="215">
        <v>0</v>
      </c>
      <c r="BH6" s="215">
        <v>416301</v>
      </c>
      <c r="BI6" s="215">
        <v>9047.1909999999989</v>
      </c>
      <c r="BJ6" s="215">
        <v>217064.85958932881</v>
      </c>
      <c r="BK6" s="215">
        <v>256069</v>
      </c>
      <c r="BL6" s="215">
        <v>97274.362534666157</v>
      </c>
      <c r="BM6" s="215">
        <v>902358</v>
      </c>
      <c r="BN6" s="215">
        <v>2211.2729999999997</v>
      </c>
      <c r="BO6" s="215">
        <v>46356.885283157986</v>
      </c>
      <c r="BP6" s="215">
        <v>247873</v>
      </c>
      <c r="BQ6" s="215">
        <v>101504.73665434329</v>
      </c>
      <c r="BR6" s="215">
        <v>1318659</v>
      </c>
      <c r="BS6" s="215">
        <v>11258.464000000002</v>
      </c>
      <c r="BT6" s="215">
        <v>263421.74487248674</v>
      </c>
      <c r="BU6" s="215">
        <v>503942</v>
      </c>
      <c r="BV6" s="215">
        <v>198779.09918900943</v>
      </c>
      <c r="BW6" s="213">
        <v>0</v>
      </c>
      <c r="BX6" s="213">
        <v>0</v>
      </c>
      <c r="BY6" s="213">
        <v>0</v>
      </c>
      <c r="BZ6" s="213">
        <v>0</v>
      </c>
      <c r="CA6" s="213">
        <v>0</v>
      </c>
      <c r="CB6" s="213">
        <v>478111</v>
      </c>
      <c r="CC6" s="213">
        <v>11482.046459999912</v>
      </c>
      <c r="CD6" s="213">
        <v>320018.27398269949</v>
      </c>
      <c r="CE6" s="213">
        <v>387580</v>
      </c>
      <c r="CF6" s="213">
        <v>152752.04900767095</v>
      </c>
      <c r="CG6" s="213">
        <v>2407894</v>
      </c>
      <c r="CH6" s="213">
        <v>6513.648000000001</v>
      </c>
      <c r="CI6" s="213">
        <v>160904.14579814169</v>
      </c>
      <c r="CJ6" s="213">
        <v>162091</v>
      </c>
      <c r="CK6" s="213">
        <v>75488.653270133771</v>
      </c>
      <c r="CL6" s="216">
        <v>2886005</v>
      </c>
      <c r="CM6" s="216">
        <v>17995.694459999911</v>
      </c>
      <c r="CN6" s="216">
        <v>480922.41978084121</v>
      </c>
      <c r="CO6" s="216">
        <v>549671</v>
      </c>
      <c r="CP6" s="216">
        <v>228240.70227780472</v>
      </c>
      <c r="CQ6" s="213">
        <v>0</v>
      </c>
      <c r="CR6" s="213">
        <v>0</v>
      </c>
      <c r="CS6" s="213">
        <v>0</v>
      </c>
      <c r="CT6" s="213">
        <v>0</v>
      </c>
      <c r="CU6" s="213">
        <v>0</v>
      </c>
      <c r="CV6" s="213">
        <v>533039</v>
      </c>
      <c r="CW6" s="213">
        <v>15586.893</v>
      </c>
      <c r="CX6" s="213">
        <v>333446.53393407428</v>
      </c>
      <c r="CY6" s="213">
        <v>307731</v>
      </c>
      <c r="CZ6" s="213">
        <v>181562.00893011104</v>
      </c>
      <c r="DA6" s="213">
        <v>2852405</v>
      </c>
      <c r="DB6" s="213">
        <v>6421.6450000000004</v>
      </c>
      <c r="DC6" s="213">
        <v>202699.20124904386</v>
      </c>
      <c r="DD6" s="213">
        <v>114050</v>
      </c>
      <c r="DE6" s="213">
        <v>63481.546026994802</v>
      </c>
      <c r="DF6" s="216">
        <v>3385444</v>
      </c>
      <c r="DG6" s="216">
        <v>22008.538</v>
      </c>
      <c r="DH6" s="216">
        <v>536145.73518311814</v>
      </c>
      <c r="DI6" s="216">
        <v>421781</v>
      </c>
      <c r="DJ6" s="216">
        <v>245043.55495710584</v>
      </c>
      <c r="DK6" s="213">
        <v>0</v>
      </c>
      <c r="DL6" s="213">
        <v>0</v>
      </c>
      <c r="DM6" s="213">
        <v>0</v>
      </c>
      <c r="DN6" s="213">
        <v>0</v>
      </c>
      <c r="DO6" s="213">
        <v>0</v>
      </c>
      <c r="DP6" s="213">
        <v>427379</v>
      </c>
      <c r="DQ6" s="213">
        <v>62677.367000000006</v>
      </c>
      <c r="DR6" s="213">
        <v>369216.15478883265</v>
      </c>
      <c r="DS6" s="213">
        <v>432340</v>
      </c>
      <c r="DT6" s="213">
        <v>275561.04872312385</v>
      </c>
      <c r="DU6" s="213">
        <v>2597280</v>
      </c>
      <c r="DV6" s="213">
        <v>118256.139</v>
      </c>
      <c r="DW6" s="213">
        <v>206187.95650563989</v>
      </c>
      <c r="DX6" s="213">
        <v>253371</v>
      </c>
      <c r="DY6" s="213">
        <v>133507.02891215059</v>
      </c>
      <c r="DZ6" s="216">
        <v>3024659</v>
      </c>
      <c r="EA6" s="216">
        <v>180933.50599999999</v>
      </c>
      <c r="EB6" s="216">
        <v>575404.11129447259</v>
      </c>
      <c r="EC6" s="216">
        <v>685711</v>
      </c>
      <c r="ED6" s="216"/>
      <c r="EE6" s="208">
        <v>0</v>
      </c>
      <c r="EF6" s="208">
        <v>0</v>
      </c>
      <c r="EG6" s="208">
        <v>0</v>
      </c>
      <c r="EH6" s="208">
        <v>0</v>
      </c>
      <c r="EI6" s="208">
        <v>0</v>
      </c>
      <c r="EJ6" s="208">
        <v>364836</v>
      </c>
      <c r="EK6" s="208">
        <v>22427.190000000002</v>
      </c>
      <c r="EL6" s="208">
        <v>537411.23407326289</v>
      </c>
      <c r="EM6" s="208">
        <v>518940</v>
      </c>
      <c r="EN6" s="208">
        <v>269786.91101751587</v>
      </c>
      <c r="EO6" s="208">
        <v>2424218</v>
      </c>
      <c r="EP6" s="208">
        <v>4795.6319999999996</v>
      </c>
      <c r="EQ6" s="208">
        <v>232034.88640858547</v>
      </c>
      <c r="ER6" s="208">
        <v>283646</v>
      </c>
      <c r="ES6" s="208">
        <v>125574.54128641039</v>
      </c>
      <c r="ET6" s="208">
        <v>2789054</v>
      </c>
      <c r="EU6" s="208">
        <v>27222.822000000004</v>
      </c>
      <c r="EV6" s="208">
        <v>769446.12048184825</v>
      </c>
      <c r="EW6" s="208">
        <v>802586</v>
      </c>
      <c r="EX6" s="208">
        <v>395361.45230392623</v>
      </c>
      <c r="EY6" s="217">
        <v>0</v>
      </c>
      <c r="EZ6" s="217">
        <v>0</v>
      </c>
      <c r="FA6" s="217">
        <v>0</v>
      </c>
      <c r="FB6" s="217">
        <v>0</v>
      </c>
      <c r="FC6" s="217">
        <v>0</v>
      </c>
      <c r="FD6" s="217">
        <v>419340</v>
      </c>
      <c r="FE6" s="217">
        <v>33451.752999999997</v>
      </c>
      <c r="FF6" s="217">
        <v>690322.98434025829</v>
      </c>
      <c r="FG6" s="217">
        <v>562396</v>
      </c>
      <c r="FH6" s="217">
        <v>300874.8759095713</v>
      </c>
      <c r="FI6" s="217">
        <v>1952093</v>
      </c>
      <c r="FJ6" s="217">
        <v>4679.6139999999996</v>
      </c>
      <c r="FK6" s="217">
        <v>262515.54295796517</v>
      </c>
      <c r="FL6" s="217">
        <v>266967</v>
      </c>
      <c r="FM6" s="217">
        <v>138540.02745343815</v>
      </c>
      <c r="FN6" s="217">
        <v>2371433</v>
      </c>
      <c r="FO6" s="217">
        <v>38131.367000000006</v>
      </c>
      <c r="FP6" s="217">
        <v>952838.52729822346</v>
      </c>
      <c r="FQ6" s="217">
        <v>829363</v>
      </c>
      <c r="FR6" s="478">
        <v>439414.90336300951</v>
      </c>
      <c r="FS6" s="480">
        <v>0</v>
      </c>
      <c r="FT6" s="480">
        <v>0</v>
      </c>
      <c r="FU6" s="480">
        <v>0</v>
      </c>
      <c r="FV6" s="480">
        <v>0</v>
      </c>
      <c r="FW6" s="480">
        <v>0</v>
      </c>
      <c r="FX6" s="480">
        <v>431875</v>
      </c>
      <c r="FY6" s="480">
        <v>47999.12700000091</v>
      </c>
      <c r="FZ6" s="480">
        <v>691445.07089694077</v>
      </c>
      <c r="GA6" s="480">
        <v>617688.55000000005</v>
      </c>
      <c r="GB6" s="480">
        <v>312835.19316228013</v>
      </c>
      <c r="GC6" s="480">
        <v>2049125</v>
      </c>
      <c r="GD6" s="480">
        <v>4547.1829999999964</v>
      </c>
      <c r="GE6" s="480">
        <v>272747.13680864067</v>
      </c>
      <c r="GF6" s="480">
        <v>299020</v>
      </c>
      <c r="GG6" s="480">
        <v>158538.62399406172</v>
      </c>
      <c r="GH6" s="480">
        <v>2481000</v>
      </c>
      <c r="GI6" s="480">
        <v>52546.310000000929</v>
      </c>
      <c r="GJ6" s="480">
        <v>964192.20770558121</v>
      </c>
      <c r="GK6" s="480">
        <v>916708.55</v>
      </c>
      <c r="GL6" s="480">
        <v>471373.81715634186</v>
      </c>
    </row>
    <row r="7" spans="1:194" x14ac:dyDescent="0.2">
      <c r="A7" s="210" t="s">
        <v>339</v>
      </c>
      <c r="B7" s="211">
        <v>246732</v>
      </c>
      <c r="C7" s="211">
        <v>630.33399999999995</v>
      </c>
      <c r="D7" s="211">
        <v>37594.374102141897</v>
      </c>
      <c r="E7" s="211">
        <v>35218</v>
      </c>
      <c r="F7" s="211">
        <v>538.26239860883425</v>
      </c>
      <c r="G7" s="211">
        <v>6804.0865304999998</v>
      </c>
      <c r="H7" s="211">
        <v>281950</v>
      </c>
      <c r="I7" s="211">
        <v>1168.5963986088341</v>
      </c>
      <c r="J7" s="211">
        <v>44398.460632641894</v>
      </c>
      <c r="K7" s="211">
        <v>336755</v>
      </c>
      <c r="L7" s="211">
        <v>772</v>
      </c>
      <c r="M7" s="211">
        <v>47103</v>
      </c>
      <c r="N7" s="211">
        <v>46692</v>
      </c>
      <c r="O7" s="211">
        <v>649</v>
      </c>
      <c r="P7" s="211">
        <v>13534</v>
      </c>
      <c r="Q7" s="211">
        <v>383447</v>
      </c>
      <c r="R7" s="211">
        <v>1421</v>
      </c>
      <c r="S7" s="211">
        <v>60637</v>
      </c>
      <c r="T7" s="212">
        <v>371263</v>
      </c>
      <c r="U7" s="212">
        <v>752.12700000000007</v>
      </c>
      <c r="V7" s="212">
        <v>47433.690254110967</v>
      </c>
      <c r="W7" s="212">
        <v>25030</v>
      </c>
      <c r="X7" s="212">
        <v>9983.0265002855067</v>
      </c>
      <c r="Y7" s="212">
        <v>57477</v>
      </c>
      <c r="Z7" s="212">
        <v>964.72600000000011</v>
      </c>
      <c r="AA7" s="212">
        <v>21712.921855158533</v>
      </c>
      <c r="AB7" s="212">
        <v>40444</v>
      </c>
      <c r="AC7" s="212">
        <v>14977.080059522463</v>
      </c>
      <c r="AD7" s="212">
        <v>428740</v>
      </c>
      <c r="AE7" s="212">
        <v>1716.8530000000001</v>
      </c>
      <c r="AF7" s="212">
        <v>69146.612109269496</v>
      </c>
      <c r="AG7" s="212">
        <v>65474</v>
      </c>
      <c r="AH7" s="212">
        <v>24960.106559807969</v>
      </c>
      <c r="AI7" s="213"/>
      <c r="AJ7" s="213"/>
      <c r="AK7" s="213"/>
      <c r="AL7" s="213"/>
      <c r="AM7" s="213"/>
      <c r="AN7" s="213">
        <v>125993</v>
      </c>
      <c r="AO7" s="213">
        <v>2213.25</v>
      </c>
      <c r="AP7" s="213">
        <v>43478.016329960032</v>
      </c>
      <c r="AQ7" s="213">
        <v>36657</v>
      </c>
      <c r="AR7" s="213">
        <v>14881.980117611667</v>
      </c>
      <c r="AS7" s="213">
        <v>400191</v>
      </c>
      <c r="AT7" s="213">
        <v>556.00200000000007</v>
      </c>
      <c r="AU7" s="213">
        <v>61272.137000795636</v>
      </c>
      <c r="AV7" s="213">
        <v>33608</v>
      </c>
      <c r="AW7" s="213">
        <v>18414.60081370459</v>
      </c>
      <c r="AX7" s="215">
        <v>526184</v>
      </c>
      <c r="AY7" s="215">
        <v>2769.252</v>
      </c>
      <c r="AZ7" s="215">
        <v>104750.15333075567</v>
      </c>
      <c r="BA7" s="215">
        <v>70265</v>
      </c>
      <c r="BB7" s="215">
        <v>33296.580931316261</v>
      </c>
      <c r="BC7" s="215">
        <v>0</v>
      </c>
      <c r="BD7" s="215">
        <v>0</v>
      </c>
      <c r="BE7" s="215">
        <v>0</v>
      </c>
      <c r="BF7" s="215">
        <v>0</v>
      </c>
      <c r="BG7" s="215">
        <v>0</v>
      </c>
      <c r="BH7" s="215">
        <v>257664</v>
      </c>
      <c r="BI7" s="215">
        <v>4364.3649999999998</v>
      </c>
      <c r="BJ7" s="215">
        <v>85028.729978556643</v>
      </c>
      <c r="BK7" s="215">
        <v>38377</v>
      </c>
      <c r="BL7" s="215">
        <v>13531.45371460756</v>
      </c>
      <c r="BM7" s="215">
        <v>2242691</v>
      </c>
      <c r="BN7" s="215">
        <v>3507.8599999999992</v>
      </c>
      <c r="BO7" s="215">
        <v>145855.79647475239</v>
      </c>
      <c r="BP7" s="215">
        <v>25372</v>
      </c>
      <c r="BQ7" s="215">
        <v>14191.223580802867</v>
      </c>
      <c r="BR7" s="215">
        <v>2500355</v>
      </c>
      <c r="BS7" s="215">
        <v>7872.2250000000004</v>
      </c>
      <c r="BT7" s="215">
        <v>230884.52645330899</v>
      </c>
      <c r="BU7" s="215">
        <v>63749</v>
      </c>
      <c r="BV7" s="215">
        <v>27722.677295410431</v>
      </c>
      <c r="BW7" s="213">
        <v>0</v>
      </c>
      <c r="BX7" s="213">
        <v>0</v>
      </c>
      <c r="BY7" s="213">
        <v>0</v>
      </c>
      <c r="BZ7" s="213">
        <v>0</v>
      </c>
      <c r="CA7" s="213">
        <v>0</v>
      </c>
      <c r="CB7" s="213">
        <v>73764</v>
      </c>
      <c r="CC7" s="213">
        <v>7930.4445000000014</v>
      </c>
      <c r="CD7" s="213">
        <v>105356.70568990393</v>
      </c>
      <c r="CE7" s="213">
        <v>33060</v>
      </c>
      <c r="CF7" s="213">
        <v>13161.344605072774</v>
      </c>
      <c r="CG7" s="213">
        <v>340101</v>
      </c>
      <c r="CH7" s="213">
        <v>598.83700000000147</v>
      </c>
      <c r="CI7" s="213">
        <v>16894.534380453086</v>
      </c>
      <c r="CJ7" s="213">
        <v>27638</v>
      </c>
      <c r="CK7" s="213">
        <v>11160.03554713526</v>
      </c>
      <c r="CL7" s="216">
        <v>413865</v>
      </c>
      <c r="CM7" s="216">
        <v>8529.2815000000028</v>
      </c>
      <c r="CN7" s="216">
        <v>122251.24007035702</v>
      </c>
      <c r="CO7" s="216">
        <v>60698</v>
      </c>
      <c r="CP7" s="216">
        <v>24321.380152208032</v>
      </c>
      <c r="CQ7" s="213">
        <v>0</v>
      </c>
      <c r="CR7" s="213">
        <v>0</v>
      </c>
      <c r="CS7" s="213">
        <v>0</v>
      </c>
      <c r="CT7" s="213">
        <v>0</v>
      </c>
      <c r="CU7" s="213">
        <v>0</v>
      </c>
      <c r="CV7" s="213">
        <v>197845</v>
      </c>
      <c r="CW7" s="213">
        <v>5234.3910000000014</v>
      </c>
      <c r="CX7" s="213">
        <v>92510.519651821</v>
      </c>
      <c r="CY7" s="213">
        <v>70573</v>
      </c>
      <c r="CZ7" s="213">
        <v>42358.783789895751</v>
      </c>
      <c r="DA7" s="213">
        <v>639259</v>
      </c>
      <c r="DB7" s="213">
        <v>1457.3699999999997</v>
      </c>
      <c r="DC7" s="213">
        <v>34157.445142930999</v>
      </c>
      <c r="DD7" s="213">
        <v>39963</v>
      </c>
      <c r="DE7" s="213">
        <v>23230.826566377535</v>
      </c>
      <c r="DF7" s="216">
        <v>837104</v>
      </c>
      <c r="DG7" s="216">
        <v>6691.7610000000013</v>
      </c>
      <c r="DH7" s="216">
        <v>126667.964794752</v>
      </c>
      <c r="DI7" s="216">
        <v>110536</v>
      </c>
      <c r="DJ7" s="216">
        <v>65589.61035627329</v>
      </c>
      <c r="DK7" s="213">
        <v>0</v>
      </c>
      <c r="DL7" s="213">
        <v>0</v>
      </c>
      <c r="DM7" s="213">
        <v>0</v>
      </c>
      <c r="DN7" s="213">
        <v>0</v>
      </c>
      <c r="DO7" s="213">
        <v>0</v>
      </c>
      <c r="DP7" s="213">
        <v>66458</v>
      </c>
      <c r="DQ7" s="213">
        <v>625758.22500000009</v>
      </c>
      <c r="DR7" s="213">
        <v>156216.91688140651</v>
      </c>
      <c r="DS7" s="213">
        <v>121345</v>
      </c>
      <c r="DT7" s="213">
        <v>70357.961038110981</v>
      </c>
      <c r="DU7" s="213">
        <v>390622</v>
      </c>
      <c r="DV7" s="213">
        <v>2637.0239999999999</v>
      </c>
      <c r="DW7" s="213">
        <v>29715.784256250001</v>
      </c>
      <c r="DX7" s="213">
        <v>56733</v>
      </c>
      <c r="DY7" s="213">
        <v>28874.716635746794</v>
      </c>
      <c r="DZ7" s="216">
        <v>457080</v>
      </c>
      <c r="EA7" s="216">
        <v>628395.24900000007</v>
      </c>
      <c r="EB7" s="216">
        <v>185932.70113765652</v>
      </c>
      <c r="EC7" s="216">
        <v>178078</v>
      </c>
      <c r="ED7" s="216"/>
      <c r="EE7" s="208">
        <v>0</v>
      </c>
      <c r="EF7" s="208">
        <v>0</v>
      </c>
      <c r="EG7" s="208">
        <v>-1167.75</v>
      </c>
      <c r="EH7" s="208">
        <v>0</v>
      </c>
      <c r="EI7" s="208">
        <v>0</v>
      </c>
      <c r="EJ7" s="208">
        <v>111859</v>
      </c>
      <c r="EK7" s="208">
        <v>15701.954000000002</v>
      </c>
      <c r="EL7" s="208">
        <v>201919.05814606365</v>
      </c>
      <c r="EM7" s="208">
        <v>140759</v>
      </c>
      <c r="EN7" s="208">
        <v>45847.781688466857</v>
      </c>
      <c r="EO7" s="208">
        <v>315868</v>
      </c>
      <c r="EP7" s="208">
        <v>625.33199999999988</v>
      </c>
      <c r="EQ7" s="208">
        <v>34909.486104302727</v>
      </c>
      <c r="ER7" s="208">
        <v>45223</v>
      </c>
      <c r="ES7" s="208">
        <v>20098.008902674032</v>
      </c>
      <c r="ET7" s="208">
        <v>427727</v>
      </c>
      <c r="EU7" s="208">
        <v>16327.286</v>
      </c>
      <c r="EV7" s="208">
        <v>235660.79425036639</v>
      </c>
      <c r="EW7" s="208">
        <v>185982</v>
      </c>
      <c r="EX7" s="208">
        <v>65945.790591140889</v>
      </c>
      <c r="EY7" s="217">
        <v>0</v>
      </c>
      <c r="EZ7" s="217">
        <v>0</v>
      </c>
      <c r="FA7" s="217">
        <v>0</v>
      </c>
      <c r="FB7" s="217">
        <v>0</v>
      </c>
      <c r="FC7" s="217">
        <v>0</v>
      </c>
      <c r="FD7" s="217">
        <v>587068</v>
      </c>
      <c r="FE7" s="217">
        <v>29628.422000000006</v>
      </c>
      <c r="FF7" s="217">
        <v>311044.59122935316</v>
      </c>
      <c r="FG7" s="217">
        <v>156982</v>
      </c>
      <c r="FH7" s="217">
        <v>67666.79643614855</v>
      </c>
      <c r="FI7" s="217">
        <v>506054</v>
      </c>
      <c r="FJ7" s="217">
        <v>907.97900000000004</v>
      </c>
      <c r="FK7" s="217">
        <v>45283.919244319914</v>
      </c>
      <c r="FL7" s="217">
        <v>55007</v>
      </c>
      <c r="FM7" s="217">
        <v>27347.854772085753</v>
      </c>
      <c r="FN7" s="217">
        <v>1093122</v>
      </c>
      <c r="FO7" s="217">
        <v>30536.401000000005</v>
      </c>
      <c r="FP7" s="217">
        <v>356328.51047367306</v>
      </c>
      <c r="FQ7" s="217">
        <v>211989</v>
      </c>
      <c r="FR7" s="478">
        <v>95014.651208234282</v>
      </c>
      <c r="FS7" s="480">
        <v>0</v>
      </c>
      <c r="FT7" s="480">
        <v>0</v>
      </c>
      <c r="FU7" s="480">
        <v>626.21798999999999</v>
      </c>
      <c r="FV7" s="480">
        <v>0</v>
      </c>
      <c r="FW7" s="480">
        <v>0</v>
      </c>
      <c r="FX7" s="480">
        <v>596675</v>
      </c>
      <c r="FY7" s="480">
        <v>45775.154999999999</v>
      </c>
      <c r="FZ7" s="480">
        <v>358104.22049035877</v>
      </c>
      <c r="GA7" s="480">
        <v>244267</v>
      </c>
      <c r="GB7" s="480">
        <v>85186.173410448624</v>
      </c>
      <c r="GC7" s="480">
        <v>435717</v>
      </c>
      <c r="GD7" s="480">
        <v>763.19900000000007</v>
      </c>
      <c r="GE7" s="480">
        <v>48707.127062059721</v>
      </c>
      <c r="GF7" s="480">
        <v>72720</v>
      </c>
      <c r="GG7" s="480">
        <v>37068.419298928085</v>
      </c>
      <c r="GH7" s="480">
        <v>1032392</v>
      </c>
      <c r="GI7" s="480">
        <v>46538.353999999992</v>
      </c>
      <c r="GJ7" s="480">
        <v>407437.56554241845</v>
      </c>
      <c r="GK7" s="480">
        <v>316987</v>
      </c>
      <c r="GL7" s="480">
        <v>122254.59270937674</v>
      </c>
    </row>
    <row r="8" spans="1:194" x14ac:dyDescent="0.2">
      <c r="A8" s="210" t="s">
        <v>340</v>
      </c>
      <c r="B8" s="211">
        <v>238162</v>
      </c>
      <c r="C8" s="211">
        <v>486.54600000000011</v>
      </c>
      <c r="D8" s="211">
        <v>22997.822449852305</v>
      </c>
      <c r="E8" s="211">
        <v>344</v>
      </c>
      <c r="F8" s="211">
        <v>431.53</v>
      </c>
      <c r="G8" s="211">
        <v>987.28379330000007</v>
      </c>
      <c r="H8" s="211">
        <v>238506</v>
      </c>
      <c r="I8" s="211">
        <v>918.07600000000002</v>
      </c>
      <c r="J8" s="211">
        <v>23985.106243152306</v>
      </c>
      <c r="K8" s="211">
        <v>215863</v>
      </c>
      <c r="L8" s="211">
        <v>485</v>
      </c>
      <c r="M8" s="211">
        <v>20781</v>
      </c>
      <c r="N8" s="211">
        <v>7005</v>
      </c>
      <c r="O8" s="211">
        <v>260</v>
      </c>
      <c r="P8" s="211">
        <v>24047</v>
      </c>
      <c r="Q8" s="211">
        <v>222868</v>
      </c>
      <c r="R8" s="211">
        <v>744</v>
      </c>
      <c r="S8" s="211">
        <v>44828</v>
      </c>
      <c r="T8" s="212">
        <v>292593</v>
      </c>
      <c r="U8" s="212">
        <v>679.32500000000005</v>
      </c>
      <c r="V8" s="212">
        <v>29376.378379796344</v>
      </c>
      <c r="W8" s="212">
        <v>34261</v>
      </c>
      <c r="X8" s="212">
        <v>10387.431029123325</v>
      </c>
      <c r="Y8" s="212">
        <v>8757</v>
      </c>
      <c r="Z8" s="212">
        <v>368.19099999999997</v>
      </c>
      <c r="AA8" s="212">
        <v>8047.0202161380239</v>
      </c>
      <c r="AB8" s="212">
        <v>17980</v>
      </c>
      <c r="AC8" s="212">
        <v>8155.5712578929306</v>
      </c>
      <c r="AD8" s="212">
        <v>301350</v>
      </c>
      <c r="AE8" s="212">
        <v>1047.5160000000001</v>
      </c>
      <c r="AF8" s="212">
        <v>37423.39859593437</v>
      </c>
      <c r="AG8" s="212">
        <v>52241</v>
      </c>
      <c r="AH8" s="212">
        <v>18543.002287016257</v>
      </c>
      <c r="AI8" s="213"/>
      <c r="AJ8" s="214">
        <v>0.25600000000000001</v>
      </c>
      <c r="AK8" s="213">
        <v>2147.0785550000001</v>
      </c>
      <c r="AL8" s="213"/>
      <c r="AM8" s="213"/>
      <c r="AN8" s="213">
        <v>10884</v>
      </c>
      <c r="AO8" s="213">
        <v>387.06699999999995</v>
      </c>
      <c r="AP8" s="213">
        <v>9565.3094301206547</v>
      </c>
      <c r="AQ8" s="213">
        <v>2402</v>
      </c>
      <c r="AR8" s="213">
        <v>1550.9130862473578</v>
      </c>
      <c r="AS8" s="213">
        <v>323217</v>
      </c>
      <c r="AT8" s="213">
        <v>737.61300000000006</v>
      </c>
      <c r="AU8" s="213">
        <v>35898.591397161967</v>
      </c>
      <c r="AV8" s="213">
        <v>45477</v>
      </c>
      <c r="AW8" s="213">
        <v>15082.641233510873</v>
      </c>
      <c r="AX8" s="215">
        <v>334101</v>
      </c>
      <c r="AY8" s="215">
        <v>1124.9360000000001</v>
      </c>
      <c r="AZ8" s="215">
        <v>47610.979382282618</v>
      </c>
      <c r="BA8" s="215">
        <v>47879</v>
      </c>
      <c r="BB8" s="215">
        <v>16633.55431975823</v>
      </c>
      <c r="BC8" s="215">
        <v>6</v>
      </c>
      <c r="BD8" s="215">
        <v>3849.4580000000001</v>
      </c>
      <c r="BE8" s="215">
        <v>454.08832999999998</v>
      </c>
      <c r="BF8" s="215">
        <v>0</v>
      </c>
      <c r="BG8" s="215">
        <v>0</v>
      </c>
      <c r="BH8" s="215">
        <v>13176</v>
      </c>
      <c r="BI8" s="215">
        <v>69.506</v>
      </c>
      <c r="BJ8" s="215">
        <v>3076.0727615157211</v>
      </c>
      <c r="BK8" s="215">
        <v>19527</v>
      </c>
      <c r="BL8" s="215">
        <v>8060.0074184619889</v>
      </c>
      <c r="BM8" s="215">
        <v>375458</v>
      </c>
      <c r="BN8" s="215">
        <v>1246.4560000000001</v>
      </c>
      <c r="BO8" s="215">
        <v>40205.221728500001</v>
      </c>
      <c r="BP8" s="215">
        <v>71690</v>
      </c>
      <c r="BQ8" s="215">
        <v>22813.414054073888</v>
      </c>
      <c r="BR8" s="215">
        <v>388640</v>
      </c>
      <c r="BS8" s="215">
        <v>5165.4199999999992</v>
      </c>
      <c r="BT8" s="215">
        <v>43735.382820015722</v>
      </c>
      <c r="BU8" s="215">
        <v>91217</v>
      </c>
      <c r="BV8" s="215">
        <v>30873.421472535876</v>
      </c>
      <c r="BW8" s="213">
        <v>0</v>
      </c>
      <c r="BX8" s="213">
        <v>0</v>
      </c>
      <c r="BY8" s="213">
        <v>0</v>
      </c>
      <c r="BZ8" s="213">
        <v>0</v>
      </c>
      <c r="CA8" s="213">
        <v>0</v>
      </c>
      <c r="CB8" s="213">
        <v>16124</v>
      </c>
      <c r="CC8" s="213">
        <v>1765.6880000000001</v>
      </c>
      <c r="CD8" s="213">
        <v>13595.687499635258</v>
      </c>
      <c r="CE8" s="213">
        <v>42267</v>
      </c>
      <c r="CF8" s="213">
        <v>11922.703634461102</v>
      </c>
      <c r="CG8" s="213">
        <v>472865</v>
      </c>
      <c r="CH8" s="213">
        <v>1114.8630000000007</v>
      </c>
      <c r="CI8" s="213">
        <v>42367.878314041845</v>
      </c>
      <c r="CJ8" s="213">
        <v>83940</v>
      </c>
      <c r="CK8" s="213">
        <v>24362.984993456303</v>
      </c>
      <c r="CL8" s="216">
        <v>488989</v>
      </c>
      <c r="CM8" s="216">
        <v>2880.5510000000008</v>
      </c>
      <c r="CN8" s="216">
        <v>55963.565813677102</v>
      </c>
      <c r="CO8" s="216">
        <v>126207</v>
      </c>
      <c r="CP8" s="216">
        <v>36285.688627917407</v>
      </c>
      <c r="CQ8" s="213">
        <v>0</v>
      </c>
      <c r="CR8" s="213">
        <v>0</v>
      </c>
      <c r="CS8" s="213">
        <v>0</v>
      </c>
      <c r="CT8" s="213">
        <v>0</v>
      </c>
      <c r="CU8" s="213">
        <v>0</v>
      </c>
      <c r="CV8" s="213">
        <v>21225</v>
      </c>
      <c r="CW8" s="213">
        <v>7797.8450000000012</v>
      </c>
      <c r="CX8" s="213">
        <v>9272.986443304897</v>
      </c>
      <c r="CY8" s="213">
        <v>20110</v>
      </c>
      <c r="CZ8" s="213">
        <v>6226.4065527898683</v>
      </c>
      <c r="DA8" s="213">
        <v>836212</v>
      </c>
      <c r="DB8" s="213">
        <v>1790.2710000000002</v>
      </c>
      <c r="DC8" s="213">
        <v>87276.217324913014</v>
      </c>
      <c r="DD8" s="213">
        <v>66788</v>
      </c>
      <c r="DE8" s="213">
        <v>30731.570446741709</v>
      </c>
      <c r="DF8" s="216">
        <v>857437</v>
      </c>
      <c r="DG8" s="216">
        <v>9588.1160000000018</v>
      </c>
      <c r="DH8" s="216">
        <v>96549.203768217907</v>
      </c>
      <c r="DI8" s="216">
        <v>86898</v>
      </c>
      <c r="DJ8" s="216">
        <v>36957.97699953158</v>
      </c>
      <c r="DK8" s="213">
        <v>0</v>
      </c>
      <c r="DL8" s="213">
        <v>0</v>
      </c>
      <c r="DM8" s="213">
        <v>0</v>
      </c>
      <c r="DN8" s="213">
        <v>0</v>
      </c>
      <c r="DO8" s="213">
        <v>0</v>
      </c>
      <c r="DP8" s="213">
        <v>24683</v>
      </c>
      <c r="DQ8" s="213">
        <v>66450.786999999997</v>
      </c>
      <c r="DR8" s="213">
        <v>20060.938754569237</v>
      </c>
      <c r="DS8" s="213">
        <v>79170</v>
      </c>
      <c r="DT8" s="213">
        <v>25515.0187113221</v>
      </c>
      <c r="DU8" s="213">
        <v>1280299</v>
      </c>
      <c r="DV8" s="213">
        <v>2376.1469999999999</v>
      </c>
      <c r="DW8" s="213">
        <v>132384.31983966043</v>
      </c>
      <c r="DX8" s="213">
        <v>174306</v>
      </c>
      <c r="DY8" s="213">
        <v>83019.507848042122</v>
      </c>
      <c r="DZ8" s="216">
        <v>1304982</v>
      </c>
      <c r="EA8" s="216">
        <v>68826.933999999994</v>
      </c>
      <c r="EB8" s="216">
        <v>152445.25859422967</v>
      </c>
      <c r="EC8" s="216">
        <v>253476</v>
      </c>
      <c r="ED8" s="216"/>
      <c r="EE8" s="208">
        <v>0</v>
      </c>
      <c r="EF8" s="208">
        <v>0</v>
      </c>
      <c r="EG8" s="208">
        <v>0</v>
      </c>
      <c r="EH8" s="208">
        <v>0</v>
      </c>
      <c r="EI8" s="208">
        <v>0</v>
      </c>
      <c r="EJ8" s="208">
        <v>24273</v>
      </c>
      <c r="EK8" s="208">
        <v>8642.3680000000004</v>
      </c>
      <c r="EL8" s="208">
        <v>18600.143317029513</v>
      </c>
      <c r="EM8" s="208">
        <v>59543</v>
      </c>
      <c r="EN8" s="208">
        <v>18987.182753737536</v>
      </c>
      <c r="EO8" s="208">
        <v>858075</v>
      </c>
      <c r="EP8" s="208">
        <v>1869.213</v>
      </c>
      <c r="EQ8" s="208">
        <v>128089.94074576063</v>
      </c>
      <c r="ER8" s="208">
        <v>148454</v>
      </c>
      <c r="ES8" s="208">
        <v>68504.678899613806</v>
      </c>
      <c r="ET8" s="208">
        <v>882348</v>
      </c>
      <c r="EU8" s="208">
        <v>10511.581000000002</v>
      </c>
      <c r="EV8" s="208">
        <v>146690.08406279012</v>
      </c>
      <c r="EW8" s="208">
        <v>207997</v>
      </c>
      <c r="EX8" s="208">
        <v>87491.861653351341</v>
      </c>
      <c r="EY8" s="217">
        <v>0</v>
      </c>
      <c r="EZ8" s="217">
        <v>0</v>
      </c>
      <c r="FA8" s="217">
        <v>0</v>
      </c>
      <c r="FB8" s="217">
        <v>0</v>
      </c>
      <c r="FC8" s="217">
        <v>0</v>
      </c>
      <c r="FD8" s="217">
        <v>2537024</v>
      </c>
      <c r="FE8" s="217">
        <v>11993.327999999998</v>
      </c>
      <c r="FF8" s="217">
        <v>16432.657044756346</v>
      </c>
      <c r="FG8" s="217">
        <v>59797</v>
      </c>
      <c r="FH8" s="217">
        <v>19722.553657981472</v>
      </c>
      <c r="FI8" s="217">
        <v>963803</v>
      </c>
      <c r="FJ8" s="217">
        <v>2124.4839999999999</v>
      </c>
      <c r="FK8" s="217">
        <v>161690.5589702134</v>
      </c>
      <c r="FL8" s="217">
        <v>171327</v>
      </c>
      <c r="FM8" s="217">
        <v>84525.900879809691</v>
      </c>
      <c r="FN8" s="217">
        <v>3500827</v>
      </c>
      <c r="FO8" s="217">
        <v>14117.812</v>
      </c>
      <c r="FP8" s="217">
        <v>178123.21601496974</v>
      </c>
      <c r="FQ8" s="217">
        <v>231124</v>
      </c>
      <c r="FR8" s="478">
        <v>104248.45453779117</v>
      </c>
      <c r="FS8" s="480">
        <v>0</v>
      </c>
      <c r="FT8" s="480">
        <v>0</v>
      </c>
      <c r="FU8" s="480">
        <v>0</v>
      </c>
      <c r="FV8" s="480">
        <v>0</v>
      </c>
      <c r="FW8" s="480">
        <v>0</v>
      </c>
      <c r="FX8" s="480">
        <v>24619</v>
      </c>
      <c r="FY8" s="480">
        <v>9688.8739999999998</v>
      </c>
      <c r="FZ8" s="480">
        <v>16150.020406908709</v>
      </c>
      <c r="GA8" s="480">
        <v>276058</v>
      </c>
      <c r="GB8" s="480">
        <v>44983.569613926593</v>
      </c>
      <c r="GC8" s="480">
        <v>1023502</v>
      </c>
      <c r="GD8" s="480">
        <v>2294.8620000000001</v>
      </c>
      <c r="GE8" s="480">
        <v>180811.9644318803</v>
      </c>
      <c r="GF8" s="480">
        <v>207715</v>
      </c>
      <c r="GG8" s="480">
        <v>109631.76716153906</v>
      </c>
      <c r="GH8" s="480">
        <v>1048121</v>
      </c>
      <c r="GI8" s="480">
        <v>11983.736000000001</v>
      </c>
      <c r="GJ8" s="480">
        <v>196961.98483878901</v>
      </c>
      <c r="GK8" s="480">
        <v>483773</v>
      </c>
      <c r="GL8" s="480">
        <v>154615.33677546566</v>
      </c>
    </row>
    <row r="9" spans="1:194" x14ac:dyDescent="0.2">
      <c r="A9" s="210" t="s">
        <v>341</v>
      </c>
      <c r="B9" s="211">
        <v>971248</v>
      </c>
      <c r="C9" s="211">
        <v>2434.4280000000012</v>
      </c>
      <c r="D9" s="211">
        <v>74813.146323368288</v>
      </c>
      <c r="E9" s="211">
        <v>58017</v>
      </c>
      <c r="F9" s="211">
        <v>228846.58797728649</v>
      </c>
      <c r="G9" s="211">
        <v>509299.31708724255</v>
      </c>
      <c r="H9" s="211">
        <v>1029265</v>
      </c>
      <c r="I9" s="211">
        <v>231281.0159772865</v>
      </c>
      <c r="J9" s="211">
        <v>584112.4634106108</v>
      </c>
      <c r="K9" s="211">
        <v>1089639</v>
      </c>
      <c r="L9" s="211">
        <v>2772</v>
      </c>
      <c r="M9" s="211">
        <v>85899</v>
      </c>
      <c r="N9" s="211">
        <v>12736</v>
      </c>
      <c r="O9" s="211">
        <v>225853</v>
      </c>
      <c r="P9" s="211">
        <v>602345</v>
      </c>
      <c r="Q9" s="211">
        <v>1102375</v>
      </c>
      <c r="R9" s="211">
        <v>228625</v>
      </c>
      <c r="S9" s="211">
        <v>688244</v>
      </c>
      <c r="T9" s="212">
        <v>1190661</v>
      </c>
      <c r="U9" s="212">
        <v>2441.6460000000038</v>
      </c>
      <c r="V9" s="212">
        <v>109943.93237803418</v>
      </c>
      <c r="W9" s="212">
        <v>140093</v>
      </c>
      <c r="X9" s="212">
        <v>52907.187776770515</v>
      </c>
      <c r="Y9" s="212">
        <v>14036</v>
      </c>
      <c r="Z9" s="212">
        <v>349629.68299999996</v>
      </c>
      <c r="AA9" s="212">
        <v>773084.05901377439</v>
      </c>
      <c r="AB9" s="212">
        <v>5920419</v>
      </c>
      <c r="AC9" s="212">
        <v>881948.31102428283</v>
      </c>
      <c r="AD9" s="212">
        <v>1204697</v>
      </c>
      <c r="AE9" s="212">
        <v>352071.32899999997</v>
      </c>
      <c r="AF9" s="212">
        <v>883027.99139180873</v>
      </c>
      <c r="AG9" s="212">
        <v>6060512</v>
      </c>
      <c r="AH9" s="212">
        <v>934855.49880105339</v>
      </c>
      <c r="AI9" s="213">
        <v>102</v>
      </c>
      <c r="AJ9" s="213">
        <v>294609.82500000001</v>
      </c>
      <c r="AK9" s="213">
        <v>275045.8150608</v>
      </c>
      <c r="AL9" s="213">
        <v>3721756</v>
      </c>
      <c r="AM9" s="213">
        <v>277476.25348790002</v>
      </c>
      <c r="AN9" s="213">
        <v>27913</v>
      </c>
      <c r="AO9" s="213">
        <v>27850.573100000001</v>
      </c>
      <c r="AP9" s="213">
        <v>613297.8662257843</v>
      </c>
      <c r="AQ9" s="213">
        <v>2910256</v>
      </c>
      <c r="AR9" s="213">
        <v>675275.19347560301</v>
      </c>
      <c r="AS9" s="213">
        <v>1814263</v>
      </c>
      <c r="AT9" s="213">
        <v>4041.5819999999999</v>
      </c>
      <c r="AU9" s="213">
        <v>171209.66648309003</v>
      </c>
      <c r="AV9" s="213">
        <v>298662</v>
      </c>
      <c r="AW9" s="213">
        <v>115763.07137883489</v>
      </c>
      <c r="AX9" s="215">
        <v>1842278</v>
      </c>
      <c r="AY9" s="215">
        <v>326501.98009999999</v>
      </c>
      <c r="AZ9" s="215">
        <v>1059553.3477696744</v>
      </c>
      <c r="BA9" s="215">
        <v>6930674</v>
      </c>
      <c r="BB9" s="215">
        <v>1068514.518342338</v>
      </c>
      <c r="BC9" s="215">
        <v>249</v>
      </c>
      <c r="BD9" s="215">
        <v>353267.52100000001</v>
      </c>
      <c r="BE9" s="215">
        <v>566756.11623480008</v>
      </c>
      <c r="BF9" s="215">
        <v>5176409</v>
      </c>
      <c r="BG9" s="215">
        <v>413562.73968294432</v>
      </c>
      <c r="BH9" s="215">
        <v>277162</v>
      </c>
      <c r="BI9" s="215">
        <v>21751.349000000002</v>
      </c>
      <c r="BJ9" s="215">
        <v>821880.60803200258</v>
      </c>
      <c r="BK9" s="215">
        <v>4035394</v>
      </c>
      <c r="BL9" s="215">
        <v>765259.74565330753</v>
      </c>
      <c r="BM9" s="215">
        <v>4663101</v>
      </c>
      <c r="BN9" s="215">
        <v>6354.2700000000023</v>
      </c>
      <c r="BO9" s="215">
        <v>132030.78260078956</v>
      </c>
      <c r="BP9" s="215">
        <v>160112</v>
      </c>
      <c r="BQ9" s="215">
        <v>69194.313721708852</v>
      </c>
      <c r="BR9" s="215">
        <v>4940512</v>
      </c>
      <c r="BS9" s="215">
        <v>381373.1399999999</v>
      </c>
      <c r="BT9" s="215">
        <v>1520667.5068675918</v>
      </c>
      <c r="BU9" s="215">
        <v>9371915</v>
      </c>
      <c r="BV9" s="215">
        <v>1248016.7990579607</v>
      </c>
      <c r="BW9" s="213">
        <v>243</v>
      </c>
      <c r="BX9" s="213">
        <v>361971.34369999997</v>
      </c>
      <c r="BY9" s="213">
        <v>492061.87099514995</v>
      </c>
      <c r="BZ9" s="213">
        <v>5627288</v>
      </c>
      <c r="CA9" s="213">
        <v>495350.65697355359</v>
      </c>
      <c r="CB9" s="213">
        <v>135470</v>
      </c>
      <c r="CC9" s="213">
        <v>26833.57099999889</v>
      </c>
      <c r="CD9" s="213">
        <v>841724.63792491879</v>
      </c>
      <c r="CE9" s="213">
        <v>3811271</v>
      </c>
      <c r="CF9" s="213">
        <v>803010.55155835894</v>
      </c>
      <c r="CG9" s="213">
        <v>1109302</v>
      </c>
      <c r="CH9" s="213">
        <v>2469.4305199999953</v>
      </c>
      <c r="CI9" s="213">
        <v>132923.844640686</v>
      </c>
      <c r="CJ9" s="213">
        <v>192813</v>
      </c>
      <c r="CK9" s="213">
        <v>79159.785435290527</v>
      </c>
      <c r="CL9" s="216">
        <v>1245015</v>
      </c>
      <c r="CM9" s="216">
        <v>391274.34521999885</v>
      </c>
      <c r="CN9" s="216">
        <v>1466710.3535607548</v>
      </c>
      <c r="CO9" s="216">
        <v>9631372</v>
      </c>
      <c r="CP9" s="216">
        <v>1377520.993967203</v>
      </c>
      <c r="CQ9" s="213">
        <v>113</v>
      </c>
      <c r="CR9" s="213">
        <v>342913.804</v>
      </c>
      <c r="CS9" s="213">
        <v>429000.05098</v>
      </c>
      <c r="CT9" s="213">
        <v>4497399</v>
      </c>
      <c r="CU9" s="213">
        <v>337517.48046930006</v>
      </c>
      <c r="CV9" s="213">
        <v>43267</v>
      </c>
      <c r="CW9" s="213">
        <v>34031.531999999992</v>
      </c>
      <c r="CX9" s="213">
        <v>976598.1300699797</v>
      </c>
      <c r="CY9" s="213">
        <v>3297337</v>
      </c>
      <c r="CZ9" s="213">
        <v>945040.62609876879</v>
      </c>
      <c r="DA9" s="213">
        <v>1232265</v>
      </c>
      <c r="DB9" s="213">
        <v>2629.9490000000001</v>
      </c>
      <c r="DC9" s="213">
        <v>139863.71389100497</v>
      </c>
      <c r="DD9" s="213">
        <v>162597.9</v>
      </c>
      <c r="DE9" s="213">
        <v>96522.299419986055</v>
      </c>
      <c r="DF9" s="216">
        <v>1275645</v>
      </c>
      <c r="DG9" s="216">
        <v>379575.28499999997</v>
      </c>
      <c r="DH9" s="216">
        <v>1545461.8949409847</v>
      </c>
      <c r="DI9" s="216">
        <v>7957333.9000000004</v>
      </c>
      <c r="DJ9" s="216">
        <v>1379080.4059880548</v>
      </c>
      <c r="DK9" s="213">
        <v>62</v>
      </c>
      <c r="DL9" s="213">
        <v>306507.973</v>
      </c>
      <c r="DM9" s="213">
        <v>607586.59703169996</v>
      </c>
      <c r="DN9" s="213">
        <v>7019404</v>
      </c>
      <c r="DO9" s="213">
        <v>622499.38663829991</v>
      </c>
      <c r="DP9" s="213">
        <v>41593</v>
      </c>
      <c r="DQ9" s="213">
        <v>1598275.689</v>
      </c>
      <c r="DR9" s="213">
        <v>1302921.1511315352</v>
      </c>
      <c r="DS9" s="213">
        <v>4976106</v>
      </c>
      <c r="DT9" s="213">
        <v>1436172.6615405071</v>
      </c>
      <c r="DU9" s="213">
        <v>1213950</v>
      </c>
      <c r="DV9" s="213">
        <v>24052.158000000003</v>
      </c>
      <c r="DW9" s="213">
        <v>245840.90598822996</v>
      </c>
      <c r="DX9" s="213">
        <v>235958</v>
      </c>
      <c r="DY9" s="213">
        <v>138672.87698700768</v>
      </c>
      <c r="DZ9" s="216">
        <v>1255605</v>
      </c>
      <c r="EA9" s="216">
        <v>1928835.82</v>
      </c>
      <c r="EB9" s="216">
        <v>2156348.6541514648</v>
      </c>
      <c r="EC9" s="216">
        <v>12231468</v>
      </c>
      <c r="ED9" s="216"/>
      <c r="EE9" s="208">
        <v>51</v>
      </c>
      <c r="EF9" s="208">
        <v>297748.245</v>
      </c>
      <c r="EG9" s="208">
        <v>849195.91729000001</v>
      </c>
      <c r="EH9" s="208">
        <v>7109851</v>
      </c>
      <c r="EI9" s="208">
        <v>876130.04769799998</v>
      </c>
      <c r="EJ9" s="208">
        <v>62591</v>
      </c>
      <c r="EK9" s="208">
        <v>74077.039000000004</v>
      </c>
      <c r="EL9" s="208">
        <v>1479045.7755044026</v>
      </c>
      <c r="EM9" s="208">
        <v>5443766</v>
      </c>
      <c r="EN9" s="208">
        <v>1447608.1844527368</v>
      </c>
      <c r="EO9" s="208">
        <v>1278694</v>
      </c>
      <c r="EP9" s="208">
        <v>2872.4720000000052</v>
      </c>
      <c r="EQ9" s="208">
        <v>203475.13085382545</v>
      </c>
      <c r="ER9" s="208">
        <v>277789</v>
      </c>
      <c r="ES9" s="208">
        <v>134643.08586887072</v>
      </c>
      <c r="ET9" s="208">
        <v>1341336</v>
      </c>
      <c r="EU9" s="208">
        <v>374697.75599999999</v>
      </c>
      <c r="EV9" s="208">
        <v>2531716.8236482278</v>
      </c>
      <c r="EW9" s="208">
        <v>12831406</v>
      </c>
      <c r="EX9" s="208">
        <v>2458381.3180196071</v>
      </c>
      <c r="EY9" s="217">
        <v>25</v>
      </c>
      <c r="EZ9" s="217">
        <v>261103.63471999997</v>
      </c>
      <c r="FA9" s="217">
        <v>1051366.7539914001</v>
      </c>
      <c r="FB9" s="217">
        <v>7053429</v>
      </c>
      <c r="FC9" s="217">
        <v>1014808.9164599099</v>
      </c>
      <c r="FD9" s="217">
        <v>65316</v>
      </c>
      <c r="FE9" s="217">
        <v>88697.025000000009</v>
      </c>
      <c r="FF9" s="217">
        <v>1577939.2547089572</v>
      </c>
      <c r="FG9" s="217">
        <v>6272002</v>
      </c>
      <c r="FH9" s="217">
        <v>1567158.0983987716</v>
      </c>
      <c r="FI9" s="217">
        <v>1333847</v>
      </c>
      <c r="FJ9" s="217">
        <v>3011.3100000000004</v>
      </c>
      <c r="FK9" s="217">
        <v>241407.87381957</v>
      </c>
      <c r="FL9" s="217">
        <v>362037</v>
      </c>
      <c r="FM9" s="217">
        <v>169030.78750658591</v>
      </c>
      <c r="FN9" s="217">
        <v>1399188</v>
      </c>
      <c r="FO9" s="217">
        <v>352811.96971999999</v>
      </c>
      <c r="FP9" s="217">
        <v>2870713.8825199278</v>
      </c>
      <c r="FQ9" s="217">
        <v>13687468</v>
      </c>
      <c r="FR9" s="478">
        <v>2750997.8023652676</v>
      </c>
      <c r="FS9" s="480">
        <v>26</v>
      </c>
      <c r="FT9" s="480">
        <v>245399.81099999999</v>
      </c>
      <c r="FU9" s="480">
        <v>945249.00579069997</v>
      </c>
      <c r="FV9" s="480">
        <v>8165989</v>
      </c>
      <c r="FW9" s="480">
        <v>913903.65472110012</v>
      </c>
      <c r="FX9" s="480">
        <v>20452</v>
      </c>
      <c r="FY9" s="480">
        <v>69650.760999999969</v>
      </c>
      <c r="FZ9" s="480">
        <v>1591052.4670670088</v>
      </c>
      <c r="GA9" s="480">
        <v>6857043.5499999998</v>
      </c>
      <c r="GB9" s="480">
        <v>1597994.4910872262</v>
      </c>
      <c r="GC9" s="480">
        <v>1488543</v>
      </c>
      <c r="GD9" s="480">
        <v>3371.5530000000035</v>
      </c>
      <c r="GE9" s="480">
        <v>247955.2438099742</v>
      </c>
      <c r="GF9" s="480">
        <v>427338</v>
      </c>
      <c r="GG9" s="480">
        <v>203007.87748179957</v>
      </c>
      <c r="GH9" s="480">
        <v>1509021</v>
      </c>
      <c r="GI9" s="480">
        <v>318422.12499999994</v>
      </c>
      <c r="GJ9" s="480">
        <v>2784256.7166676829</v>
      </c>
      <c r="GK9" s="480">
        <v>15450370.550000001</v>
      </c>
      <c r="GL9" s="480">
        <v>2714906.0232901257</v>
      </c>
    </row>
    <row r="10" spans="1:194" x14ac:dyDescent="0.2">
      <c r="A10" s="210" t="s">
        <v>50</v>
      </c>
      <c r="B10" s="211">
        <v>7295723</v>
      </c>
      <c r="C10" s="211">
        <v>17805.268000000004</v>
      </c>
      <c r="D10" s="211">
        <v>613553.66343105212</v>
      </c>
      <c r="E10" s="211">
        <v>43653</v>
      </c>
      <c r="F10" s="211">
        <v>6991.7573028786965</v>
      </c>
      <c r="G10" s="211">
        <v>85253.056997347245</v>
      </c>
      <c r="H10" s="211">
        <v>7339376</v>
      </c>
      <c r="I10" s="211">
        <v>24797.025302878701</v>
      </c>
      <c r="J10" s="211">
        <v>698806.72042839939</v>
      </c>
      <c r="K10" s="211">
        <v>7874217</v>
      </c>
      <c r="L10" s="211">
        <v>20269</v>
      </c>
      <c r="M10" s="211">
        <v>722446</v>
      </c>
      <c r="N10" s="211">
        <v>141503</v>
      </c>
      <c r="O10" s="211">
        <v>7607</v>
      </c>
      <c r="P10" s="211">
        <v>90474</v>
      </c>
      <c r="Q10" s="211">
        <v>8015720</v>
      </c>
      <c r="R10" s="211">
        <v>27876</v>
      </c>
      <c r="S10" s="211">
        <v>812920</v>
      </c>
      <c r="T10" s="212">
        <v>8632386</v>
      </c>
      <c r="U10" s="212">
        <v>23291.205999999998</v>
      </c>
      <c r="V10" s="212">
        <v>881024.57596581895</v>
      </c>
      <c r="W10" s="212">
        <v>1727030</v>
      </c>
      <c r="X10" s="212">
        <v>628723.47891146934</v>
      </c>
      <c r="Y10" s="212">
        <v>113414</v>
      </c>
      <c r="Z10" s="212">
        <v>4340.2139999999999</v>
      </c>
      <c r="AA10" s="212">
        <v>93883.607966149793</v>
      </c>
      <c r="AB10" s="212">
        <v>248503</v>
      </c>
      <c r="AC10" s="212">
        <v>86312.438115420897</v>
      </c>
      <c r="AD10" s="212">
        <v>8745800</v>
      </c>
      <c r="AE10" s="212">
        <v>27631.42</v>
      </c>
      <c r="AF10" s="212">
        <v>974908.18393196876</v>
      </c>
      <c r="AG10" s="212">
        <v>1975533</v>
      </c>
      <c r="AH10" s="212">
        <v>715035.91702689021</v>
      </c>
      <c r="AI10" s="213"/>
      <c r="AJ10" s="213"/>
      <c r="AK10" s="213"/>
      <c r="AL10" s="213">
        <v>1961</v>
      </c>
      <c r="AM10" s="213">
        <v>196.63866999999999</v>
      </c>
      <c r="AN10" s="213">
        <v>117647</v>
      </c>
      <c r="AO10" s="213">
        <v>9119.5769999999993</v>
      </c>
      <c r="AP10" s="213">
        <v>93044.830905444716</v>
      </c>
      <c r="AQ10" s="213">
        <v>253973</v>
      </c>
      <c r="AR10" s="213">
        <v>95834.596314369614</v>
      </c>
      <c r="AS10" s="213">
        <v>8698624</v>
      </c>
      <c r="AT10" s="213">
        <v>22611.715</v>
      </c>
      <c r="AU10" s="213">
        <v>1018713.2600502977</v>
      </c>
      <c r="AV10" s="213">
        <v>1584303</v>
      </c>
      <c r="AW10" s="213">
        <v>638293.47666935704</v>
      </c>
      <c r="AX10" s="215">
        <v>8816271</v>
      </c>
      <c r="AY10" s="215">
        <v>31731.292000000001</v>
      </c>
      <c r="AZ10" s="215">
        <v>1111758.0909557424</v>
      </c>
      <c r="BA10" s="215">
        <v>1840237</v>
      </c>
      <c r="BB10" s="215">
        <v>734324.71165372664</v>
      </c>
      <c r="BC10" s="215">
        <v>0</v>
      </c>
      <c r="BD10" s="215">
        <v>0</v>
      </c>
      <c r="BE10" s="215">
        <v>0</v>
      </c>
      <c r="BF10" s="215">
        <v>32841</v>
      </c>
      <c r="BG10" s="215">
        <v>1593.0299132000005</v>
      </c>
      <c r="BH10" s="215">
        <v>60416</v>
      </c>
      <c r="BI10" s="215">
        <v>4949.9720000000007</v>
      </c>
      <c r="BJ10" s="215">
        <v>109664.36819312887</v>
      </c>
      <c r="BK10" s="215">
        <v>224927</v>
      </c>
      <c r="BL10" s="215">
        <v>80808.028594864576</v>
      </c>
      <c r="BM10" s="215">
        <v>10517585</v>
      </c>
      <c r="BN10" s="215">
        <v>26439.916999999994</v>
      </c>
      <c r="BO10" s="215">
        <v>1282575.2923054043</v>
      </c>
      <c r="BP10" s="215">
        <v>2010390</v>
      </c>
      <c r="BQ10" s="215">
        <v>816531.15961147915</v>
      </c>
      <c r="BR10" s="215">
        <v>10578001</v>
      </c>
      <c r="BS10" s="215">
        <v>31389.889000000003</v>
      </c>
      <c r="BT10" s="215">
        <v>1392239.6604985332</v>
      </c>
      <c r="BU10" s="215">
        <v>2268158</v>
      </c>
      <c r="BV10" s="215">
        <v>898932.21811954374</v>
      </c>
      <c r="BW10" s="213">
        <v>0</v>
      </c>
      <c r="BX10" s="213">
        <v>0</v>
      </c>
      <c r="BY10" s="213">
        <v>0</v>
      </c>
      <c r="BZ10" s="213">
        <v>935</v>
      </c>
      <c r="CA10" s="213">
        <v>20.36</v>
      </c>
      <c r="CB10" s="213">
        <v>18990</v>
      </c>
      <c r="CC10" s="213">
        <v>5305.6250000000018</v>
      </c>
      <c r="CD10" s="213">
        <v>206686.71823278291</v>
      </c>
      <c r="CE10" s="213">
        <v>494787</v>
      </c>
      <c r="CF10" s="213">
        <v>212149.35676515338</v>
      </c>
      <c r="CG10" s="213">
        <v>11605507</v>
      </c>
      <c r="CH10" s="213">
        <v>29759.297480000001</v>
      </c>
      <c r="CI10" s="213">
        <v>1500916.8311407813</v>
      </c>
      <c r="CJ10" s="213">
        <v>2491720</v>
      </c>
      <c r="CK10" s="213">
        <v>998685.74897993775</v>
      </c>
      <c r="CL10" s="216">
        <v>11624497</v>
      </c>
      <c r="CM10" s="216">
        <v>35064.922480000001</v>
      </c>
      <c r="CN10" s="216">
        <v>1707603.5493735643</v>
      </c>
      <c r="CO10" s="216">
        <v>2987442</v>
      </c>
      <c r="CP10" s="216">
        <v>1210855.4657450912</v>
      </c>
      <c r="CQ10" s="213">
        <v>0</v>
      </c>
      <c r="CR10" s="213">
        <v>0</v>
      </c>
      <c r="CS10" s="213">
        <v>0</v>
      </c>
      <c r="CT10" s="213">
        <v>0</v>
      </c>
      <c r="CU10" s="213">
        <v>0</v>
      </c>
      <c r="CV10" s="213">
        <v>43530</v>
      </c>
      <c r="CW10" s="213">
        <v>5187.7330000000002</v>
      </c>
      <c r="CX10" s="213">
        <v>134533.26127339795</v>
      </c>
      <c r="CY10" s="213">
        <v>223160</v>
      </c>
      <c r="CZ10" s="213">
        <v>109953.68369556268</v>
      </c>
      <c r="DA10" s="213">
        <v>14752755</v>
      </c>
      <c r="DB10" s="213">
        <v>35897.858000000007</v>
      </c>
      <c r="DC10" s="213">
        <v>1909592.3629408113</v>
      </c>
      <c r="DD10" s="213">
        <v>2238867.58</v>
      </c>
      <c r="DE10" s="213">
        <v>1281130.2568043342</v>
      </c>
      <c r="DF10" s="216">
        <v>14796285</v>
      </c>
      <c r="DG10" s="216">
        <v>41085.591000000008</v>
      </c>
      <c r="DH10" s="216">
        <v>2044125.6242142092</v>
      </c>
      <c r="DI10" s="216">
        <v>2462027.58</v>
      </c>
      <c r="DJ10" s="216">
        <v>1391083.9404998969</v>
      </c>
      <c r="DK10" s="213">
        <v>0</v>
      </c>
      <c r="DL10" s="213">
        <v>0</v>
      </c>
      <c r="DM10" s="213">
        <v>0</v>
      </c>
      <c r="DN10" s="213">
        <v>0</v>
      </c>
      <c r="DO10" s="213">
        <v>-58.622970000000002</v>
      </c>
      <c r="DP10" s="213">
        <v>69841</v>
      </c>
      <c r="DQ10" s="213">
        <v>5518.4050000000007</v>
      </c>
      <c r="DR10" s="213">
        <v>147875.96601043449</v>
      </c>
      <c r="DS10" s="213">
        <v>286883</v>
      </c>
      <c r="DT10" s="213">
        <v>152051.88974090895</v>
      </c>
      <c r="DU10" s="213">
        <v>14289324</v>
      </c>
      <c r="DV10" s="213">
        <v>41709.686000000002</v>
      </c>
      <c r="DW10" s="213">
        <v>2140162.4440666027</v>
      </c>
      <c r="DX10" s="213">
        <v>3412739</v>
      </c>
      <c r="DY10" s="213">
        <v>1984534.3218813019</v>
      </c>
      <c r="DZ10" s="216">
        <v>14359165</v>
      </c>
      <c r="EA10" s="216">
        <v>47228.091</v>
      </c>
      <c r="EB10" s="216">
        <v>2288038.4100770373</v>
      </c>
      <c r="EC10" s="216">
        <v>3699622</v>
      </c>
      <c r="ED10" s="216"/>
      <c r="EE10" s="208">
        <v>0</v>
      </c>
      <c r="EF10" s="208">
        <v>0</v>
      </c>
      <c r="EG10" s="208">
        <v>0</v>
      </c>
      <c r="EH10" s="208">
        <v>0</v>
      </c>
      <c r="EI10" s="208">
        <v>0.06</v>
      </c>
      <c r="EJ10" s="208">
        <v>25713</v>
      </c>
      <c r="EK10" s="208">
        <v>4190.7280000000001</v>
      </c>
      <c r="EL10" s="208">
        <v>156431.42403248732</v>
      </c>
      <c r="EM10" s="208">
        <v>299213</v>
      </c>
      <c r="EN10" s="208">
        <v>137656.27103608003</v>
      </c>
      <c r="EO10" s="208">
        <v>14730688</v>
      </c>
      <c r="EP10" s="208">
        <v>37425.298000000017</v>
      </c>
      <c r="EQ10" s="208">
        <v>2535354.2410382209</v>
      </c>
      <c r="ER10" s="208">
        <v>3483784</v>
      </c>
      <c r="ES10" s="208">
        <v>1802658.5491688119</v>
      </c>
      <c r="ET10" s="208">
        <v>14756401</v>
      </c>
      <c r="EU10" s="208">
        <v>41616.02600000002</v>
      </c>
      <c r="EV10" s="208">
        <v>2691785.6650707088</v>
      </c>
      <c r="EW10" s="208">
        <v>3782997</v>
      </c>
      <c r="EX10" s="208">
        <v>1940314.8802048918</v>
      </c>
      <c r="EY10" s="217">
        <v>0</v>
      </c>
      <c r="EZ10" s="217">
        <v>0</v>
      </c>
      <c r="FA10" s="217">
        <v>0</v>
      </c>
      <c r="FB10" s="217">
        <v>0</v>
      </c>
      <c r="FC10" s="217">
        <v>0</v>
      </c>
      <c r="FD10" s="217">
        <v>40434</v>
      </c>
      <c r="FE10" s="217">
        <v>5799.259</v>
      </c>
      <c r="FF10" s="217">
        <v>198966.62434108733</v>
      </c>
      <c r="FG10" s="217">
        <v>299274</v>
      </c>
      <c r="FH10" s="217">
        <v>156604.95982897445</v>
      </c>
      <c r="FI10" s="217">
        <v>15562376</v>
      </c>
      <c r="FJ10" s="217">
        <v>38968.89</v>
      </c>
      <c r="FK10" s="217">
        <v>3001531.4625157882</v>
      </c>
      <c r="FL10" s="217">
        <v>3992750</v>
      </c>
      <c r="FM10" s="217">
        <v>2105024.2520820475</v>
      </c>
      <c r="FN10" s="217">
        <v>15602810</v>
      </c>
      <c r="FO10" s="217">
        <v>44768.14899999999</v>
      </c>
      <c r="FP10" s="217">
        <v>3200498.086856876</v>
      </c>
      <c r="FQ10" s="217">
        <v>4292024</v>
      </c>
      <c r="FR10" s="478">
        <v>2261629.2119110217</v>
      </c>
      <c r="FS10" s="480">
        <v>0</v>
      </c>
      <c r="FT10" s="480">
        <v>0</v>
      </c>
      <c r="FU10" s="480">
        <v>0</v>
      </c>
      <c r="FV10" s="480">
        <v>21853</v>
      </c>
      <c r="FW10" s="480">
        <v>1958.3068700000001</v>
      </c>
      <c r="FX10" s="480">
        <v>28377</v>
      </c>
      <c r="FY10" s="480">
        <v>6460.9550000000008</v>
      </c>
      <c r="FZ10" s="480">
        <v>227484.09700683993</v>
      </c>
      <c r="GA10" s="480">
        <v>344669</v>
      </c>
      <c r="GB10" s="480">
        <v>218561.5652229391</v>
      </c>
      <c r="GC10" s="480">
        <v>16606720</v>
      </c>
      <c r="GD10" s="480">
        <v>40904.944999999454</v>
      </c>
      <c r="GE10" s="480">
        <v>3364810.9292275934</v>
      </c>
      <c r="GF10" s="480">
        <v>4408454</v>
      </c>
      <c r="GG10" s="480">
        <v>2420799.3417531331</v>
      </c>
      <c r="GH10" s="480">
        <v>16635097</v>
      </c>
      <c r="GI10" s="480">
        <v>47365.899999999448</v>
      </c>
      <c r="GJ10" s="480">
        <v>3592295.0262344331</v>
      </c>
      <c r="GK10" s="480">
        <v>4774976</v>
      </c>
      <c r="GL10" s="480">
        <v>2641319.2138460721</v>
      </c>
    </row>
    <row r="11" spans="1:194" x14ac:dyDescent="0.2">
      <c r="A11" s="210" t="s">
        <v>342</v>
      </c>
      <c r="B11" s="211">
        <v>555</v>
      </c>
      <c r="C11" s="211">
        <v>1.9569999999999999</v>
      </c>
      <c r="D11" s="211">
        <v>2.7107899999999998</v>
      </c>
      <c r="E11" s="211">
        <v>818</v>
      </c>
      <c r="F11" s="211">
        <v>11.034872676985369</v>
      </c>
      <c r="G11" s="211">
        <v>87.247</v>
      </c>
      <c r="H11" s="211">
        <v>1373</v>
      </c>
      <c r="I11" s="211">
        <v>12.99187267698537</v>
      </c>
      <c r="J11" s="211">
        <v>89.957790000000003</v>
      </c>
      <c r="K11" s="211">
        <v>1913</v>
      </c>
      <c r="L11" s="211">
        <v>8</v>
      </c>
      <c r="M11" s="211">
        <v>18</v>
      </c>
      <c r="N11" s="211">
        <v>176</v>
      </c>
      <c r="O11" s="211">
        <v>2</v>
      </c>
      <c r="P11" s="211">
        <v>24</v>
      </c>
      <c r="Q11" s="211">
        <v>2089</v>
      </c>
      <c r="R11" s="211">
        <v>10</v>
      </c>
      <c r="S11" s="211">
        <v>41</v>
      </c>
      <c r="T11" s="212">
        <v>470</v>
      </c>
      <c r="U11" s="212">
        <v>1.337</v>
      </c>
      <c r="V11" s="212">
        <v>2.4910399999999999</v>
      </c>
      <c r="W11" s="212">
        <v>83</v>
      </c>
      <c r="X11" s="212">
        <v>5.3858635381600886</v>
      </c>
      <c r="Y11" s="212">
        <v>138</v>
      </c>
      <c r="Z11" s="212">
        <v>37.706999999999994</v>
      </c>
      <c r="AA11" s="212">
        <v>86.296540099999987</v>
      </c>
      <c r="AB11" s="212">
        <v>209</v>
      </c>
      <c r="AC11" s="212">
        <v>21.10304</v>
      </c>
      <c r="AD11" s="212">
        <v>608</v>
      </c>
      <c r="AE11" s="212">
        <v>39.043999999999997</v>
      </c>
      <c r="AF11" s="212">
        <v>88.787580099999985</v>
      </c>
      <c r="AG11" s="212">
        <v>292</v>
      </c>
      <c r="AH11" s="212">
        <v>26.488903538160088</v>
      </c>
      <c r="AI11" s="213"/>
      <c r="AJ11" s="213"/>
      <c r="AK11" s="213"/>
      <c r="AL11" s="213"/>
      <c r="AM11" s="213"/>
      <c r="AN11" s="213">
        <v>276</v>
      </c>
      <c r="AO11" s="213">
        <v>546.98799999999994</v>
      </c>
      <c r="AP11" s="213">
        <v>568.00669360000018</v>
      </c>
      <c r="AQ11" s="213">
        <v>1168</v>
      </c>
      <c r="AR11" s="213">
        <v>126.12289390000001</v>
      </c>
      <c r="AS11" s="213">
        <v>39</v>
      </c>
      <c r="AT11" s="213">
        <v>1.5810000000000002</v>
      </c>
      <c r="AU11" s="213">
        <v>6.8605799999999997</v>
      </c>
      <c r="AV11" s="213">
        <v>83</v>
      </c>
      <c r="AW11" s="213">
        <v>6.9237040205151494</v>
      </c>
      <c r="AX11" s="215">
        <v>315</v>
      </c>
      <c r="AY11" s="215">
        <v>548.56899999999996</v>
      </c>
      <c r="AZ11" s="215">
        <v>574.8672736000002</v>
      </c>
      <c r="BA11" s="215">
        <v>1251</v>
      </c>
      <c r="BB11" s="215">
        <v>133.04659792051515</v>
      </c>
      <c r="BC11" s="215">
        <v>0</v>
      </c>
      <c r="BD11" s="215">
        <v>0</v>
      </c>
      <c r="BE11" s="215">
        <v>0</v>
      </c>
      <c r="BF11" s="215">
        <v>0</v>
      </c>
      <c r="BG11" s="215">
        <v>0</v>
      </c>
      <c r="BH11" s="215">
        <v>6319</v>
      </c>
      <c r="BI11" s="215">
        <v>1316.1190000000001</v>
      </c>
      <c r="BJ11" s="215">
        <v>1496.4987121999909</v>
      </c>
      <c r="BK11" s="215">
        <v>2902</v>
      </c>
      <c r="BL11" s="215">
        <v>552.26381834831784</v>
      </c>
      <c r="BM11" s="215">
        <v>85</v>
      </c>
      <c r="BN11" s="215">
        <v>0.193</v>
      </c>
      <c r="BO11" s="215">
        <v>10.57433</v>
      </c>
      <c r="BP11" s="215">
        <v>33</v>
      </c>
      <c r="BQ11" s="215">
        <v>5.0419736348562818</v>
      </c>
      <c r="BR11" s="215">
        <v>6404</v>
      </c>
      <c r="BS11" s="215">
        <v>1316.3120000000001</v>
      </c>
      <c r="BT11" s="215">
        <v>1507.0730421999911</v>
      </c>
      <c r="BU11" s="215">
        <v>2935</v>
      </c>
      <c r="BV11" s="215">
        <v>557.30579198317423</v>
      </c>
      <c r="BW11" s="213">
        <v>0</v>
      </c>
      <c r="BX11" s="213">
        <v>0</v>
      </c>
      <c r="BY11" s="213">
        <v>0</v>
      </c>
      <c r="BZ11" s="213">
        <v>0</v>
      </c>
      <c r="CA11" s="213">
        <v>0</v>
      </c>
      <c r="CB11" s="213">
        <v>492</v>
      </c>
      <c r="CC11" s="213">
        <v>2953.2750000000001</v>
      </c>
      <c r="CD11" s="213">
        <v>4008.1378671011507</v>
      </c>
      <c r="CE11" s="213">
        <v>4698</v>
      </c>
      <c r="CF11" s="213">
        <v>874.62636478354409</v>
      </c>
      <c r="CG11" s="213">
        <v>1</v>
      </c>
      <c r="CH11" s="213">
        <v>1E-3</v>
      </c>
      <c r="CI11" s="213">
        <v>1.7000000000000001E-2</v>
      </c>
      <c r="CJ11" s="213">
        <v>0</v>
      </c>
      <c r="CK11" s="213">
        <v>0</v>
      </c>
      <c r="CL11" s="216">
        <v>493</v>
      </c>
      <c r="CM11" s="216">
        <v>2953.2760000000003</v>
      </c>
      <c r="CN11" s="216">
        <v>4008.1548671011506</v>
      </c>
      <c r="CO11" s="216">
        <v>4698</v>
      </c>
      <c r="CP11" s="216">
        <v>874.62636478354409</v>
      </c>
      <c r="CQ11" s="213">
        <v>0</v>
      </c>
      <c r="CR11" s="213">
        <v>0</v>
      </c>
      <c r="CS11" s="213">
        <v>0</v>
      </c>
      <c r="CT11" s="213">
        <v>0</v>
      </c>
      <c r="CU11" s="213">
        <v>0</v>
      </c>
      <c r="CV11" s="213">
        <v>7</v>
      </c>
      <c r="CW11" s="213">
        <v>1150.2730000000001</v>
      </c>
      <c r="CX11" s="213">
        <v>2490.9686607999988</v>
      </c>
      <c r="CY11" s="213">
        <v>8208</v>
      </c>
      <c r="CZ11" s="213">
        <v>1795.4185437355059</v>
      </c>
      <c r="DA11" s="213">
        <v>0</v>
      </c>
      <c r="DB11" s="213">
        <v>0</v>
      </c>
      <c r="DC11" s="213">
        <v>0</v>
      </c>
      <c r="DD11" s="213">
        <v>0</v>
      </c>
      <c r="DE11" s="213">
        <v>0.11</v>
      </c>
      <c r="DF11" s="216">
        <v>7</v>
      </c>
      <c r="DG11" s="216">
        <v>1150.2730000000001</v>
      </c>
      <c r="DH11" s="216">
        <v>2490.9686607999988</v>
      </c>
      <c r="DI11" s="216">
        <v>8208</v>
      </c>
      <c r="DJ11" s="216">
        <v>1795.5285437355058</v>
      </c>
      <c r="DK11" s="213">
        <v>0</v>
      </c>
      <c r="DL11" s="213">
        <v>0</v>
      </c>
      <c r="DM11" s="213">
        <v>0</v>
      </c>
      <c r="DN11" s="213">
        <v>0</v>
      </c>
      <c r="DO11" s="213">
        <v>0</v>
      </c>
      <c r="DP11" s="213">
        <v>18</v>
      </c>
      <c r="DQ11" s="213">
        <v>114392.423</v>
      </c>
      <c r="DR11" s="213">
        <v>4985.5942228998701</v>
      </c>
      <c r="DS11" s="213">
        <v>13699</v>
      </c>
      <c r="DT11" s="213">
        <v>4107.5254872872392</v>
      </c>
      <c r="DU11" s="213">
        <v>369</v>
      </c>
      <c r="DV11" s="213">
        <v>1.2849999999999999</v>
      </c>
      <c r="DW11" s="213">
        <v>1.5831650000000002</v>
      </c>
      <c r="DX11" s="213">
        <v>22</v>
      </c>
      <c r="DY11" s="213">
        <v>12.592700000000001</v>
      </c>
      <c r="DZ11" s="216">
        <v>387</v>
      </c>
      <c r="EA11" s="216">
        <v>114393.708</v>
      </c>
      <c r="EB11" s="216">
        <v>4987.1773878998702</v>
      </c>
      <c r="EC11" s="216">
        <v>13721</v>
      </c>
      <c r="ED11" s="216"/>
      <c r="EE11" s="208">
        <v>0</v>
      </c>
      <c r="EF11" s="208">
        <v>0</v>
      </c>
      <c r="EG11" s="208">
        <v>0</v>
      </c>
      <c r="EH11" s="208">
        <v>0</v>
      </c>
      <c r="EI11" s="208">
        <v>0</v>
      </c>
      <c r="EJ11" s="208">
        <v>15</v>
      </c>
      <c r="EK11" s="208">
        <v>2655.2429999999999</v>
      </c>
      <c r="EL11" s="208">
        <v>6478.7782012986891</v>
      </c>
      <c r="EM11" s="208">
        <v>20454</v>
      </c>
      <c r="EN11" s="208">
        <v>4654.6245410500906</v>
      </c>
      <c r="EO11" s="208">
        <v>1</v>
      </c>
      <c r="EP11" s="208">
        <v>1E-3</v>
      </c>
      <c r="EQ11" s="208">
        <v>2.31E-3</v>
      </c>
      <c r="ER11" s="208">
        <v>2320</v>
      </c>
      <c r="ES11" s="208">
        <v>992.67497015162689</v>
      </c>
      <c r="ET11" s="208">
        <v>16</v>
      </c>
      <c r="EU11" s="208">
        <v>2655.2440000000001</v>
      </c>
      <c r="EV11" s="208">
        <v>6478.7805112986889</v>
      </c>
      <c r="EW11" s="208">
        <v>22774</v>
      </c>
      <c r="EX11" s="208">
        <v>5647.299511201717</v>
      </c>
      <c r="EY11" s="217">
        <v>0</v>
      </c>
      <c r="EZ11" s="217">
        <v>0</v>
      </c>
      <c r="FA11" s="217">
        <v>0</v>
      </c>
      <c r="FB11" s="217">
        <v>0</v>
      </c>
      <c r="FC11" s="217">
        <v>0</v>
      </c>
      <c r="FD11" s="217">
        <v>14</v>
      </c>
      <c r="FE11" s="217">
        <v>1760.0349999999999</v>
      </c>
      <c r="FF11" s="217">
        <v>4981.873176500224</v>
      </c>
      <c r="FG11" s="217">
        <v>19703</v>
      </c>
      <c r="FH11" s="217">
        <v>3081.4058060966072</v>
      </c>
      <c r="FI11" s="217">
        <v>51</v>
      </c>
      <c r="FJ11" s="217">
        <v>5.0999999999999997E-2</v>
      </c>
      <c r="FK11" s="217">
        <v>0.9095932000000001</v>
      </c>
      <c r="FL11" s="217">
        <v>31</v>
      </c>
      <c r="FM11" s="217">
        <v>21.742230390108666</v>
      </c>
      <c r="FN11" s="217">
        <v>65</v>
      </c>
      <c r="FO11" s="217">
        <v>1760.0859999999998</v>
      </c>
      <c r="FP11" s="217">
        <v>4982.782769700224</v>
      </c>
      <c r="FQ11" s="217">
        <v>19734</v>
      </c>
      <c r="FR11" s="478">
        <v>3103.1480364867157</v>
      </c>
      <c r="FS11" s="480">
        <v>0</v>
      </c>
      <c r="FT11" s="480">
        <v>0</v>
      </c>
      <c r="FU11" s="480">
        <v>0</v>
      </c>
      <c r="FV11" s="480">
        <v>0</v>
      </c>
      <c r="FW11" s="480">
        <v>0</v>
      </c>
      <c r="FX11" s="480">
        <v>24</v>
      </c>
      <c r="FY11" s="480">
        <v>310.476</v>
      </c>
      <c r="FZ11" s="480">
        <v>1246.4264907999898</v>
      </c>
      <c r="GA11" s="480">
        <v>8790</v>
      </c>
      <c r="GB11" s="480">
        <v>990.79186321026668</v>
      </c>
      <c r="GC11" s="480">
        <v>1</v>
      </c>
      <c r="GD11" s="480">
        <v>1E-3</v>
      </c>
      <c r="GE11" s="480">
        <v>1.7749999999999998E-2</v>
      </c>
      <c r="GF11" s="480">
        <v>0</v>
      </c>
      <c r="GG11" s="480">
        <v>15.171433379999993</v>
      </c>
      <c r="GH11" s="480">
        <v>25</v>
      </c>
      <c r="GI11" s="480">
        <v>310.47699999999998</v>
      </c>
      <c r="GJ11" s="480">
        <v>1246.4442407999898</v>
      </c>
      <c r="GK11" s="480">
        <v>8790</v>
      </c>
      <c r="GL11" s="480">
        <v>1005.9632965902666</v>
      </c>
    </row>
    <row r="12" spans="1:194" x14ac:dyDescent="0.2">
      <c r="A12" s="210" t="s">
        <v>343</v>
      </c>
      <c r="B12" s="211"/>
      <c r="C12" s="211"/>
      <c r="D12" s="211"/>
      <c r="E12" s="211"/>
      <c r="F12" s="211"/>
      <c r="G12" s="211"/>
      <c r="H12" s="211"/>
      <c r="I12" s="211"/>
      <c r="J12" s="211"/>
      <c r="K12" s="211">
        <v>23838</v>
      </c>
      <c r="L12" s="211">
        <v>56</v>
      </c>
      <c r="M12" s="211">
        <v>2363</v>
      </c>
      <c r="N12" s="211">
        <v>7</v>
      </c>
      <c r="O12" s="218">
        <v>0.45</v>
      </c>
      <c r="P12" s="211">
        <v>13</v>
      </c>
      <c r="Q12" s="211">
        <v>23845</v>
      </c>
      <c r="R12" s="211">
        <v>57</v>
      </c>
      <c r="S12" s="211">
        <v>2375</v>
      </c>
      <c r="T12" s="212">
        <v>50409</v>
      </c>
      <c r="U12" s="212">
        <v>111.79900000000001</v>
      </c>
      <c r="V12" s="212">
        <v>5047.9947523998981</v>
      </c>
      <c r="W12" s="212">
        <v>3579</v>
      </c>
      <c r="X12" s="212">
        <v>614.86643866002601</v>
      </c>
      <c r="Y12" s="212">
        <v>66</v>
      </c>
      <c r="Z12" s="212">
        <v>6.569</v>
      </c>
      <c r="AA12" s="212">
        <v>143.83357348700008</v>
      </c>
      <c r="AB12" s="212">
        <v>47</v>
      </c>
      <c r="AC12" s="212">
        <v>14.20958375</v>
      </c>
      <c r="AD12" s="212">
        <v>50475</v>
      </c>
      <c r="AE12" s="212">
        <v>118.36800000000001</v>
      </c>
      <c r="AF12" s="212">
        <v>5191.8283258868978</v>
      </c>
      <c r="AG12" s="212">
        <v>3626</v>
      </c>
      <c r="AH12" s="212">
        <v>629.07602241002598</v>
      </c>
      <c r="AI12" s="213"/>
      <c r="AJ12" s="213"/>
      <c r="AK12" s="213"/>
      <c r="AL12" s="213"/>
      <c r="AM12" s="213"/>
      <c r="AN12" s="213">
        <v>188</v>
      </c>
      <c r="AO12" s="213">
        <v>20.491</v>
      </c>
      <c r="AP12" s="213">
        <v>497.8887523689998</v>
      </c>
      <c r="AQ12" s="213">
        <v>645</v>
      </c>
      <c r="AR12" s="213">
        <v>261.01391479195439</v>
      </c>
      <c r="AS12" s="213">
        <v>151603</v>
      </c>
      <c r="AT12" s="213">
        <v>342.57900000000001</v>
      </c>
      <c r="AU12" s="213">
        <v>16891.941748986457</v>
      </c>
      <c r="AV12" s="213">
        <v>11797</v>
      </c>
      <c r="AW12" s="213">
        <v>2533.3581822834244</v>
      </c>
      <c r="AX12" s="215">
        <v>151791</v>
      </c>
      <c r="AY12" s="215">
        <v>363.07</v>
      </c>
      <c r="AZ12" s="215">
        <v>17389.830501355456</v>
      </c>
      <c r="BA12" s="215">
        <v>12442</v>
      </c>
      <c r="BB12" s="215">
        <v>2794.3720970753789</v>
      </c>
      <c r="BC12" s="215">
        <v>0</v>
      </c>
      <c r="BD12" s="215">
        <v>0</v>
      </c>
      <c r="BE12" s="215">
        <v>0</v>
      </c>
      <c r="BF12" s="215">
        <v>0</v>
      </c>
      <c r="BG12" s="215">
        <v>0</v>
      </c>
      <c r="BH12" s="215">
        <v>504</v>
      </c>
      <c r="BI12" s="215">
        <v>34.183000000000007</v>
      </c>
      <c r="BJ12" s="215">
        <v>739.2167869719998</v>
      </c>
      <c r="BK12" s="215">
        <v>1533</v>
      </c>
      <c r="BL12" s="215">
        <v>588.7959657006021</v>
      </c>
      <c r="BM12" s="215">
        <v>266938</v>
      </c>
      <c r="BN12" s="215">
        <v>599.16399999999999</v>
      </c>
      <c r="BO12" s="215">
        <v>28662.35659543729</v>
      </c>
      <c r="BP12" s="215">
        <v>19535</v>
      </c>
      <c r="BQ12" s="215">
        <v>5175.8434302929509</v>
      </c>
      <c r="BR12" s="215">
        <v>267442</v>
      </c>
      <c r="BS12" s="215">
        <v>633.34699999999987</v>
      </c>
      <c r="BT12" s="215">
        <v>29401.573382409293</v>
      </c>
      <c r="BU12" s="215">
        <v>21068</v>
      </c>
      <c r="BV12" s="215">
        <v>5764.6393959935522</v>
      </c>
      <c r="BW12" s="213">
        <v>0</v>
      </c>
      <c r="BX12" s="213">
        <v>0</v>
      </c>
      <c r="BY12" s="213">
        <v>0</v>
      </c>
      <c r="BZ12" s="213">
        <v>0</v>
      </c>
      <c r="CA12" s="213">
        <v>0</v>
      </c>
      <c r="CB12" s="213">
        <v>599</v>
      </c>
      <c r="CC12" s="213">
        <v>54.471000000000004</v>
      </c>
      <c r="CD12" s="213">
        <v>1493.8963254</v>
      </c>
      <c r="CE12" s="213">
        <v>2479</v>
      </c>
      <c r="CF12" s="213">
        <v>1114.2980950177689</v>
      </c>
      <c r="CG12" s="213">
        <v>448136</v>
      </c>
      <c r="CH12" s="213">
        <v>995.31700000000262</v>
      </c>
      <c r="CI12" s="213">
        <v>48713.768121916895</v>
      </c>
      <c r="CJ12" s="213">
        <v>63635</v>
      </c>
      <c r="CK12" s="213">
        <v>12926.883971784919</v>
      </c>
      <c r="CL12" s="216">
        <v>448735</v>
      </c>
      <c r="CM12" s="216">
        <v>1049.7880000000027</v>
      </c>
      <c r="CN12" s="216">
        <v>50207.664447316893</v>
      </c>
      <c r="CO12" s="216">
        <v>66114</v>
      </c>
      <c r="CP12" s="216">
        <v>14041.182066802688</v>
      </c>
      <c r="CQ12" s="213">
        <v>0</v>
      </c>
      <c r="CR12" s="213">
        <v>0</v>
      </c>
      <c r="CS12" s="213">
        <v>0</v>
      </c>
      <c r="CT12" s="213">
        <v>0</v>
      </c>
      <c r="CU12" s="213">
        <v>0</v>
      </c>
      <c r="CV12" s="213">
        <v>1118</v>
      </c>
      <c r="CW12" s="213">
        <v>119.11799999999999</v>
      </c>
      <c r="CX12" s="213">
        <v>2758.8516642</v>
      </c>
      <c r="CY12" s="213">
        <v>2938</v>
      </c>
      <c r="CZ12" s="213">
        <v>1768.963295492274</v>
      </c>
      <c r="DA12" s="213">
        <v>595011</v>
      </c>
      <c r="DB12" s="213">
        <v>1300.567</v>
      </c>
      <c r="DC12" s="213">
        <v>66428.712952800008</v>
      </c>
      <c r="DD12" s="213">
        <v>68736</v>
      </c>
      <c r="DE12" s="213">
        <v>25292.861803431326</v>
      </c>
      <c r="DF12" s="216">
        <v>596129</v>
      </c>
      <c r="DG12" s="216">
        <v>1419.6849999999999</v>
      </c>
      <c r="DH12" s="216">
        <v>69187.564617000011</v>
      </c>
      <c r="DI12" s="216">
        <v>71674</v>
      </c>
      <c r="DJ12" s="216">
        <v>27061.8250989236</v>
      </c>
      <c r="DK12" s="213">
        <v>0</v>
      </c>
      <c r="DL12" s="213">
        <v>0</v>
      </c>
      <c r="DM12" s="213">
        <v>0</v>
      </c>
      <c r="DN12" s="213">
        <v>0</v>
      </c>
      <c r="DO12" s="213">
        <v>0</v>
      </c>
      <c r="DP12" s="213">
        <v>444</v>
      </c>
      <c r="DQ12" s="213">
        <v>210.67099999999999</v>
      </c>
      <c r="DR12" s="213">
        <v>1758.7276552000003</v>
      </c>
      <c r="DS12" s="213">
        <v>5393</v>
      </c>
      <c r="DT12" s="213">
        <v>3252.078782671013</v>
      </c>
      <c r="DU12" s="213">
        <v>283084</v>
      </c>
      <c r="DV12" s="213">
        <v>857.46399999999994</v>
      </c>
      <c r="DW12" s="213">
        <v>27057.885620700003</v>
      </c>
      <c r="DX12" s="213">
        <v>72660</v>
      </c>
      <c r="DY12" s="213">
        <v>36918.611756625971</v>
      </c>
      <c r="DZ12" s="216">
        <v>283528</v>
      </c>
      <c r="EA12" s="216">
        <v>1068.135</v>
      </c>
      <c r="EB12" s="216">
        <v>28816.613275900003</v>
      </c>
      <c r="EC12" s="216">
        <v>78053</v>
      </c>
      <c r="ED12" s="216"/>
      <c r="EE12" s="208">
        <v>0</v>
      </c>
      <c r="EF12" s="208">
        <v>0</v>
      </c>
      <c r="EG12" s="208">
        <v>0</v>
      </c>
      <c r="EH12" s="208">
        <v>0</v>
      </c>
      <c r="EI12" s="208">
        <v>0</v>
      </c>
      <c r="EJ12" s="208">
        <v>701</v>
      </c>
      <c r="EK12" s="208">
        <v>4.101</v>
      </c>
      <c r="EL12" s="208">
        <v>382.3420693559321</v>
      </c>
      <c r="EM12" s="208">
        <v>3386</v>
      </c>
      <c r="EN12" s="208">
        <v>1149.7469116248951</v>
      </c>
      <c r="EO12" s="208">
        <v>63185</v>
      </c>
      <c r="EP12" s="208">
        <v>140.05799999999999</v>
      </c>
      <c r="EQ12" s="208">
        <v>5990.9757148836879</v>
      </c>
      <c r="ER12" s="208">
        <v>35605</v>
      </c>
      <c r="ES12" s="208">
        <v>12033.04542646021</v>
      </c>
      <c r="ET12" s="208">
        <v>63886</v>
      </c>
      <c r="EU12" s="208">
        <v>144.15900000000002</v>
      </c>
      <c r="EV12" s="208">
        <v>6373.3177842396217</v>
      </c>
      <c r="EW12" s="208">
        <v>38991</v>
      </c>
      <c r="EX12" s="208">
        <v>13182.792338085106</v>
      </c>
      <c r="EY12" s="217">
        <v>0</v>
      </c>
      <c r="EZ12" s="217">
        <v>0</v>
      </c>
      <c r="FA12" s="217">
        <v>0</v>
      </c>
      <c r="FB12" s="217">
        <v>0</v>
      </c>
      <c r="FC12" s="217">
        <v>0</v>
      </c>
      <c r="FD12" s="217">
        <v>36</v>
      </c>
      <c r="FE12" s="217">
        <v>4.5979999999999999</v>
      </c>
      <c r="FF12" s="217">
        <v>387.72471115084761</v>
      </c>
      <c r="FG12" s="217">
        <v>4465</v>
      </c>
      <c r="FH12" s="217">
        <v>1188.3589415898018</v>
      </c>
      <c r="FI12" s="217">
        <v>45548</v>
      </c>
      <c r="FJ12" s="217">
        <v>101.03900000000002</v>
      </c>
      <c r="FK12" s="217">
        <v>5848.6813884000003</v>
      </c>
      <c r="FL12" s="217">
        <v>38831</v>
      </c>
      <c r="FM12" s="217">
        <v>16398.822951166709</v>
      </c>
      <c r="FN12" s="217">
        <v>45584</v>
      </c>
      <c r="FO12" s="217">
        <v>105.63700000000003</v>
      </c>
      <c r="FP12" s="217">
        <v>6236.406099550848</v>
      </c>
      <c r="FQ12" s="217">
        <v>43296</v>
      </c>
      <c r="FR12" s="478">
        <v>17587.181892756511</v>
      </c>
      <c r="FS12" s="480">
        <v>0</v>
      </c>
      <c r="FT12" s="480">
        <v>0</v>
      </c>
      <c r="FU12" s="480">
        <v>0</v>
      </c>
      <c r="FV12" s="480">
        <v>0</v>
      </c>
      <c r="FW12" s="480">
        <v>0</v>
      </c>
      <c r="FX12" s="480">
        <v>28</v>
      </c>
      <c r="FY12" s="480">
        <v>2.7629999999999999</v>
      </c>
      <c r="FZ12" s="480">
        <v>72.876475904448057</v>
      </c>
      <c r="GA12" s="480">
        <v>134</v>
      </c>
      <c r="GB12" s="480">
        <v>133.73179000000002</v>
      </c>
      <c r="GC12" s="480">
        <v>34569</v>
      </c>
      <c r="GD12" s="480">
        <v>75.900999999999996</v>
      </c>
      <c r="GE12" s="480">
        <v>5497.3094874982835</v>
      </c>
      <c r="GF12" s="480">
        <v>8271</v>
      </c>
      <c r="GG12" s="480">
        <v>3799.3412398</v>
      </c>
      <c r="GH12" s="480">
        <v>34597</v>
      </c>
      <c r="GI12" s="480">
        <v>78.664000000000001</v>
      </c>
      <c r="GJ12" s="480">
        <v>5570.1859634027314</v>
      </c>
      <c r="GK12" s="480">
        <v>8405</v>
      </c>
      <c r="GL12" s="480">
        <v>3933.0730297999999</v>
      </c>
    </row>
    <row r="13" spans="1:194" x14ac:dyDescent="0.2">
      <c r="A13" s="210" t="s">
        <v>344</v>
      </c>
      <c r="B13" s="211"/>
      <c r="C13" s="211"/>
      <c r="D13" s="211"/>
      <c r="E13" s="211"/>
      <c r="F13" s="211"/>
      <c r="G13" s="211"/>
      <c r="H13" s="211"/>
      <c r="I13" s="211"/>
      <c r="J13" s="211"/>
      <c r="K13" s="211"/>
      <c r="L13" s="211"/>
      <c r="M13" s="211"/>
      <c r="N13" s="211"/>
      <c r="O13" s="218"/>
      <c r="P13" s="211"/>
      <c r="Q13" s="211"/>
      <c r="R13" s="211"/>
      <c r="S13" s="211"/>
      <c r="T13" s="212">
        <v>520</v>
      </c>
      <c r="U13" s="219">
        <v>1.4390000000000001</v>
      </c>
      <c r="V13" s="219">
        <v>62.565810900000002</v>
      </c>
      <c r="W13" s="219">
        <v>6</v>
      </c>
      <c r="X13" s="219">
        <v>2.1949732599635827</v>
      </c>
      <c r="Y13" s="219">
        <v>1</v>
      </c>
      <c r="Z13" s="219">
        <v>5.6000000000000001E-2</v>
      </c>
      <c r="AA13" s="219">
        <v>0.74409999999999998</v>
      </c>
      <c r="AB13" s="219">
        <v>4</v>
      </c>
      <c r="AC13" s="219">
        <v>0.68426999999999993</v>
      </c>
      <c r="AD13" s="219">
        <v>521</v>
      </c>
      <c r="AE13" s="219">
        <v>1.4950000000000001</v>
      </c>
      <c r="AF13" s="219">
        <v>63.309910900000006</v>
      </c>
      <c r="AG13" s="219">
        <v>10</v>
      </c>
      <c r="AH13" s="219">
        <v>2.8792432599635829</v>
      </c>
      <c r="AI13" s="213"/>
      <c r="AJ13" s="213"/>
      <c r="AK13" s="213"/>
      <c r="AL13" s="213"/>
      <c r="AM13" s="213"/>
      <c r="AN13" s="213">
        <v>15</v>
      </c>
      <c r="AO13" s="213">
        <v>5.5939999999999994</v>
      </c>
      <c r="AP13" s="213">
        <v>135.54113669999998</v>
      </c>
      <c r="AQ13" s="213">
        <v>49</v>
      </c>
      <c r="AR13" s="213">
        <v>19.848174213329479</v>
      </c>
      <c r="AS13" s="213">
        <v>2243</v>
      </c>
      <c r="AT13" s="213">
        <v>5.4909999999999997</v>
      </c>
      <c r="AU13" s="213">
        <v>315.51157720000003</v>
      </c>
      <c r="AV13" s="213">
        <v>160</v>
      </c>
      <c r="AW13" s="213">
        <v>75.723996294578939</v>
      </c>
      <c r="AX13" s="215">
        <v>2258</v>
      </c>
      <c r="AY13" s="215">
        <v>11.084999999999999</v>
      </c>
      <c r="AZ13" s="215">
        <v>451.05271390000001</v>
      </c>
      <c r="BA13" s="215">
        <v>209</v>
      </c>
      <c r="BB13" s="215">
        <v>95.572170507908424</v>
      </c>
      <c r="BC13" s="215">
        <v>0</v>
      </c>
      <c r="BD13" s="215">
        <v>0</v>
      </c>
      <c r="BE13" s="215">
        <v>0</v>
      </c>
      <c r="BF13" s="215">
        <v>0</v>
      </c>
      <c r="BG13" s="215">
        <v>0</v>
      </c>
      <c r="BH13" s="215">
        <v>18</v>
      </c>
      <c r="BI13" s="215">
        <v>3.3000000000000003</v>
      </c>
      <c r="BJ13" s="215">
        <v>101.60252580000001</v>
      </c>
      <c r="BK13" s="215">
        <v>59</v>
      </c>
      <c r="BL13" s="215">
        <v>23.232798868904986</v>
      </c>
      <c r="BM13" s="215">
        <v>4336</v>
      </c>
      <c r="BN13" s="215">
        <v>10.203999999999999</v>
      </c>
      <c r="BO13" s="215">
        <v>601.60916199999997</v>
      </c>
      <c r="BP13" s="215">
        <v>414</v>
      </c>
      <c r="BQ13" s="215">
        <v>198.53025428094568</v>
      </c>
      <c r="BR13" s="215">
        <v>4354</v>
      </c>
      <c r="BS13" s="215">
        <v>13.504</v>
      </c>
      <c r="BT13" s="215">
        <v>703.21168780000005</v>
      </c>
      <c r="BU13" s="215">
        <v>473</v>
      </c>
      <c r="BV13" s="215">
        <v>221.76305314985066</v>
      </c>
      <c r="BW13" s="213">
        <v>0</v>
      </c>
      <c r="BX13" s="213">
        <v>0</v>
      </c>
      <c r="BY13" s="213">
        <v>0</v>
      </c>
      <c r="BZ13" s="213">
        <v>0</v>
      </c>
      <c r="CA13" s="213">
        <v>0</v>
      </c>
      <c r="CB13" s="213">
        <v>20</v>
      </c>
      <c r="CC13" s="213">
        <v>1.284</v>
      </c>
      <c r="CD13" s="213">
        <v>61.319895199999998</v>
      </c>
      <c r="CE13" s="213">
        <v>48</v>
      </c>
      <c r="CF13" s="213">
        <v>25.939963324046335</v>
      </c>
      <c r="CG13" s="213">
        <v>6973</v>
      </c>
      <c r="CH13" s="213">
        <v>16.095999999999997</v>
      </c>
      <c r="CI13" s="213">
        <v>892.28934319999996</v>
      </c>
      <c r="CJ13" s="213">
        <v>621</v>
      </c>
      <c r="CK13" s="213">
        <v>219.50975198833419</v>
      </c>
      <c r="CL13" s="216">
        <v>6993</v>
      </c>
      <c r="CM13" s="216">
        <v>17.379999999999995</v>
      </c>
      <c r="CN13" s="216">
        <v>953.60923839999998</v>
      </c>
      <c r="CO13" s="216">
        <v>669</v>
      </c>
      <c r="CP13" s="216">
        <v>245.44971531238053</v>
      </c>
      <c r="CQ13" s="213">
        <v>0</v>
      </c>
      <c r="CR13" s="213">
        <v>0</v>
      </c>
      <c r="CS13" s="213">
        <v>0</v>
      </c>
      <c r="CT13" s="213">
        <v>0</v>
      </c>
      <c r="CU13" s="213">
        <v>0</v>
      </c>
      <c r="CV13" s="213">
        <v>7749</v>
      </c>
      <c r="CW13" s="213">
        <v>20.187999999999999</v>
      </c>
      <c r="CX13" s="213">
        <v>1031.9757159000001</v>
      </c>
      <c r="CY13" s="213">
        <v>136</v>
      </c>
      <c r="CZ13" s="213">
        <v>70.197373345387589</v>
      </c>
      <c r="DA13" s="213">
        <v>15288</v>
      </c>
      <c r="DB13" s="213">
        <v>32.551000000000002</v>
      </c>
      <c r="DC13" s="213">
        <v>1832.9109965999999</v>
      </c>
      <c r="DD13" s="213">
        <v>1728</v>
      </c>
      <c r="DE13" s="213">
        <v>781.50870069407142</v>
      </c>
      <c r="DF13" s="216">
        <v>23037</v>
      </c>
      <c r="DG13" s="216">
        <v>52.739000000000004</v>
      </c>
      <c r="DH13" s="216">
        <v>2864.8867124999997</v>
      </c>
      <c r="DI13" s="216">
        <v>1864</v>
      </c>
      <c r="DJ13" s="216">
        <v>851.70607403945905</v>
      </c>
      <c r="DK13" s="213">
        <v>0</v>
      </c>
      <c r="DL13" s="213">
        <v>0</v>
      </c>
      <c r="DM13" s="213">
        <v>0</v>
      </c>
      <c r="DN13" s="213">
        <v>0</v>
      </c>
      <c r="DO13" s="213">
        <v>0</v>
      </c>
      <c r="DP13" s="213">
        <v>140</v>
      </c>
      <c r="DQ13" s="213">
        <v>13.03</v>
      </c>
      <c r="DR13" s="213">
        <v>433.98041230414844</v>
      </c>
      <c r="DS13" s="213">
        <v>462</v>
      </c>
      <c r="DT13" s="213">
        <v>234.09132337329271</v>
      </c>
      <c r="DU13" s="213">
        <v>20112</v>
      </c>
      <c r="DV13" s="213">
        <v>45.843000000000004</v>
      </c>
      <c r="DW13" s="213">
        <v>3273.2771107999997</v>
      </c>
      <c r="DX13" s="213">
        <v>2330</v>
      </c>
      <c r="DY13" s="213">
        <v>1275.4415334252985</v>
      </c>
      <c r="DZ13" s="216">
        <v>20252</v>
      </c>
      <c r="EA13" s="216">
        <v>58.873000000000005</v>
      </c>
      <c r="EB13" s="216">
        <v>3707.2575231041483</v>
      </c>
      <c r="EC13" s="216">
        <v>2792</v>
      </c>
      <c r="ED13" s="216"/>
      <c r="EE13" s="208">
        <v>0</v>
      </c>
      <c r="EF13" s="208">
        <v>0</v>
      </c>
      <c r="EG13" s="208">
        <v>0</v>
      </c>
      <c r="EH13" s="208">
        <v>0</v>
      </c>
      <c r="EI13" s="208">
        <v>0</v>
      </c>
      <c r="EJ13" s="208">
        <v>120</v>
      </c>
      <c r="EK13" s="208">
        <v>12.286999999999999</v>
      </c>
      <c r="EL13" s="208">
        <v>533.65097526492389</v>
      </c>
      <c r="EM13" s="208">
        <v>932</v>
      </c>
      <c r="EN13" s="208">
        <v>390.57852385625841</v>
      </c>
      <c r="EO13" s="208">
        <v>26619</v>
      </c>
      <c r="EP13" s="208">
        <v>62.375</v>
      </c>
      <c r="EQ13" s="208">
        <v>5524.7222515475278</v>
      </c>
      <c r="ER13" s="208">
        <v>4760</v>
      </c>
      <c r="ES13" s="208">
        <v>2363.4199076378318</v>
      </c>
      <c r="ET13" s="208">
        <v>26739</v>
      </c>
      <c r="EU13" s="208">
        <v>74.662000000000006</v>
      </c>
      <c r="EV13" s="208">
        <v>6058.3732268124513</v>
      </c>
      <c r="EW13" s="208">
        <v>5692</v>
      </c>
      <c r="EX13" s="208">
        <v>2753.9984314940907</v>
      </c>
      <c r="EY13" s="217">
        <v>0</v>
      </c>
      <c r="EZ13" s="217">
        <v>0</v>
      </c>
      <c r="FA13" s="217">
        <v>0</v>
      </c>
      <c r="FB13" s="217">
        <v>0</v>
      </c>
      <c r="FC13" s="217">
        <v>0</v>
      </c>
      <c r="FD13" s="217">
        <v>207</v>
      </c>
      <c r="FE13" s="217">
        <v>29.455999999999996</v>
      </c>
      <c r="FF13" s="217">
        <v>1051.0153321</v>
      </c>
      <c r="FG13" s="217">
        <v>913</v>
      </c>
      <c r="FH13" s="217">
        <v>550.33551095365203</v>
      </c>
      <c r="FI13" s="217">
        <v>42499</v>
      </c>
      <c r="FJ13" s="217">
        <v>102.65899999999999</v>
      </c>
      <c r="FK13" s="217">
        <v>8989.2051718999992</v>
      </c>
      <c r="FL13" s="217">
        <v>3435</v>
      </c>
      <c r="FM13" s="217">
        <v>1713.4350019760427</v>
      </c>
      <c r="FN13" s="217">
        <v>42706</v>
      </c>
      <c r="FO13" s="217">
        <v>132.11500000000001</v>
      </c>
      <c r="FP13" s="217">
        <v>10040.220504000001</v>
      </c>
      <c r="FQ13" s="217">
        <v>4348</v>
      </c>
      <c r="FR13" s="478">
        <v>2263.7705129296951</v>
      </c>
      <c r="FS13" s="480">
        <v>0</v>
      </c>
      <c r="FT13" s="480">
        <v>0</v>
      </c>
      <c r="FU13" s="480">
        <v>0</v>
      </c>
      <c r="FV13" s="480">
        <v>0</v>
      </c>
      <c r="FW13" s="480">
        <v>0</v>
      </c>
      <c r="FX13" s="480">
        <v>317</v>
      </c>
      <c r="FY13" s="480">
        <v>1056.4650000000001</v>
      </c>
      <c r="FZ13" s="480">
        <v>2213.9094086980044</v>
      </c>
      <c r="GA13" s="480">
        <v>2225</v>
      </c>
      <c r="GB13" s="480">
        <v>1302.8577926242333</v>
      </c>
      <c r="GC13" s="480">
        <v>59809</v>
      </c>
      <c r="GD13" s="480">
        <v>143.86599999999996</v>
      </c>
      <c r="GE13" s="480">
        <v>13481.257894187554</v>
      </c>
      <c r="GF13" s="480">
        <v>9192</v>
      </c>
      <c r="GG13" s="480">
        <v>4805.0992031126225</v>
      </c>
      <c r="GH13" s="480">
        <v>60126</v>
      </c>
      <c r="GI13" s="480">
        <v>1200.3310000000001</v>
      </c>
      <c r="GJ13" s="480">
        <v>15695.16730288556</v>
      </c>
      <c r="GK13" s="480">
        <v>11417</v>
      </c>
      <c r="GL13" s="480">
        <v>6107.9569957368567</v>
      </c>
    </row>
    <row r="14" spans="1:194" x14ac:dyDescent="0.2">
      <c r="A14" s="210" t="s">
        <v>51</v>
      </c>
      <c r="B14" s="211"/>
      <c r="C14" s="211"/>
      <c r="D14" s="211"/>
      <c r="E14" s="211"/>
      <c r="F14" s="211"/>
      <c r="G14" s="211"/>
      <c r="H14" s="211"/>
      <c r="I14" s="211"/>
      <c r="J14" s="211"/>
      <c r="K14" s="211"/>
      <c r="L14" s="211"/>
      <c r="M14" s="211"/>
      <c r="N14" s="211"/>
      <c r="O14" s="218"/>
      <c r="P14" s="211"/>
      <c r="Q14" s="211"/>
      <c r="R14" s="211"/>
      <c r="S14" s="211"/>
      <c r="T14" s="212"/>
      <c r="U14" s="219"/>
      <c r="V14" s="219"/>
      <c r="W14" s="219"/>
      <c r="X14" s="219"/>
      <c r="Y14" s="219"/>
      <c r="Z14" s="219"/>
      <c r="AA14" s="219"/>
      <c r="AB14" s="219"/>
      <c r="AC14" s="219"/>
      <c r="AD14" s="219"/>
      <c r="AE14" s="219"/>
      <c r="AF14" s="219"/>
      <c r="AG14" s="219"/>
      <c r="AH14" s="219"/>
      <c r="AI14" s="213"/>
      <c r="AJ14" s="213"/>
      <c r="AK14" s="213"/>
      <c r="AL14" s="213"/>
      <c r="AM14" s="213"/>
      <c r="AN14" s="213">
        <v>3</v>
      </c>
      <c r="AO14" s="214">
        <v>0.438</v>
      </c>
      <c r="AP14" s="213">
        <v>10.883449200000001</v>
      </c>
      <c r="AQ14" s="213"/>
      <c r="AR14" s="213"/>
      <c r="AS14" s="213">
        <v>1532</v>
      </c>
      <c r="AT14" s="213">
        <v>2.99</v>
      </c>
      <c r="AU14" s="213">
        <v>85.237317500000003</v>
      </c>
      <c r="AV14" s="213">
        <v>8</v>
      </c>
      <c r="AW14" s="213">
        <v>1.58571</v>
      </c>
      <c r="AX14" s="215">
        <v>1535</v>
      </c>
      <c r="AY14" s="215">
        <v>3.4280000000000004</v>
      </c>
      <c r="AZ14" s="215">
        <v>96.120766700000004</v>
      </c>
      <c r="BA14" s="215">
        <v>8</v>
      </c>
      <c r="BB14" s="215">
        <v>1.58571</v>
      </c>
      <c r="BC14" s="215">
        <v>0</v>
      </c>
      <c r="BD14" s="215">
        <v>0</v>
      </c>
      <c r="BE14" s="215">
        <v>0</v>
      </c>
      <c r="BF14" s="215">
        <v>0</v>
      </c>
      <c r="BG14" s="215">
        <v>0</v>
      </c>
      <c r="BH14" s="215">
        <v>97</v>
      </c>
      <c r="BI14" s="215">
        <v>10.435</v>
      </c>
      <c r="BJ14" s="215">
        <v>123.16729110000001</v>
      </c>
      <c r="BK14" s="215">
        <v>14</v>
      </c>
      <c r="BL14" s="215">
        <v>5.9313500000000001</v>
      </c>
      <c r="BM14" s="215">
        <v>26577</v>
      </c>
      <c r="BN14" s="215">
        <v>56.401000000000003</v>
      </c>
      <c r="BO14" s="215">
        <v>2336.2506182000002</v>
      </c>
      <c r="BP14" s="215">
        <v>796</v>
      </c>
      <c r="BQ14" s="215">
        <v>237.44488488496359</v>
      </c>
      <c r="BR14" s="215">
        <v>26674</v>
      </c>
      <c r="BS14" s="215">
        <v>66.836000000000013</v>
      </c>
      <c r="BT14" s="215">
        <v>2459.4179093000002</v>
      </c>
      <c r="BU14" s="215">
        <v>810</v>
      </c>
      <c r="BV14" s="215">
        <v>243.37623488496362</v>
      </c>
      <c r="BW14" s="213">
        <v>0</v>
      </c>
      <c r="BX14" s="213">
        <v>0</v>
      </c>
      <c r="BY14" s="213">
        <v>0</v>
      </c>
      <c r="BZ14" s="213">
        <v>0</v>
      </c>
      <c r="CA14" s="213">
        <v>0</v>
      </c>
      <c r="CB14" s="213">
        <v>27</v>
      </c>
      <c r="CC14" s="213">
        <v>0.86799999999999999</v>
      </c>
      <c r="CD14" s="213">
        <v>238.63047220000001</v>
      </c>
      <c r="CE14" s="213">
        <v>171</v>
      </c>
      <c r="CF14" s="213">
        <v>60.013747919739359</v>
      </c>
      <c r="CG14" s="213">
        <v>68253</v>
      </c>
      <c r="CH14" s="213">
        <v>145.16099999999997</v>
      </c>
      <c r="CI14" s="213">
        <v>6215.639087953653</v>
      </c>
      <c r="CJ14" s="213">
        <v>12919</v>
      </c>
      <c r="CK14" s="213">
        <v>4406.1858820567804</v>
      </c>
      <c r="CL14" s="216">
        <v>68280</v>
      </c>
      <c r="CM14" s="216">
        <v>146.02899999999997</v>
      </c>
      <c r="CN14" s="216">
        <v>6454.2695601536534</v>
      </c>
      <c r="CO14" s="216">
        <v>13090</v>
      </c>
      <c r="CP14" s="216">
        <v>4466.1996299765196</v>
      </c>
      <c r="CQ14" s="213">
        <v>0</v>
      </c>
      <c r="CR14" s="213">
        <v>0</v>
      </c>
      <c r="CS14" s="213">
        <v>0</v>
      </c>
      <c r="CT14" s="213">
        <v>0</v>
      </c>
      <c r="CU14" s="213">
        <v>0</v>
      </c>
      <c r="CV14" s="213">
        <v>21</v>
      </c>
      <c r="CW14" s="213">
        <v>1.349</v>
      </c>
      <c r="CX14" s="213">
        <v>31.282269900000003</v>
      </c>
      <c r="CY14" s="213">
        <v>86</v>
      </c>
      <c r="CZ14" s="213">
        <v>59.270555959189423</v>
      </c>
      <c r="DA14" s="213">
        <v>194225</v>
      </c>
      <c r="DB14" s="213">
        <v>364.89799999999997</v>
      </c>
      <c r="DC14" s="213">
        <v>14497.304307400014</v>
      </c>
      <c r="DD14" s="213">
        <v>11286</v>
      </c>
      <c r="DE14" s="213">
        <v>6249.1210614064348</v>
      </c>
      <c r="DF14" s="216">
        <v>194246</v>
      </c>
      <c r="DG14" s="216">
        <v>366.24699999999996</v>
      </c>
      <c r="DH14" s="216">
        <v>14528.586577300015</v>
      </c>
      <c r="DI14" s="216">
        <v>11372</v>
      </c>
      <c r="DJ14" s="216">
        <v>6308.3916173656244</v>
      </c>
      <c r="DK14" s="213">
        <v>0</v>
      </c>
      <c r="DL14" s="213">
        <v>0</v>
      </c>
      <c r="DM14" s="213">
        <v>0</v>
      </c>
      <c r="DN14" s="213">
        <v>0</v>
      </c>
      <c r="DO14" s="213">
        <v>0</v>
      </c>
      <c r="DP14" s="213">
        <v>17</v>
      </c>
      <c r="DQ14" s="213">
        <v>1.7949999999999999</v>
      </c>
      <c r="DR14" s="213">
        <v>114.38308620000001</v>
      </c>
      <c r="DS14" s="213">
        <v>95</v>
      </c>
      <c r="DT14" s="213">
        <v>69.242754298806531</v>
      </c>
      <c r="DU14" s="213">
        <v>189769</v>
      </c>
      <c r="DV14" s="213">
        <v>1333.86</v>
      </c>
      <c r="DW14" s="213">
        <v>19733.863920999996</v>
      </c>
      <c r="DX14" s="213">
        <v>27831</v>
      </c>
      <c r="DY14" s="213">
        <v>15084.836311122763</v>
      </c>
      <c r="DZ14" s="216">
        <v>189786</v>
      </c>
      <c r="EA14" s="216">
        <v>1335.655</v>
      </c>
      <c r="EB14" s="216">
        <v>19848.247007199996</v>
      </c>
      <c r="EC14" s="216">
        <v>27926</v>
      </c>
      <c r="ED14" s="216"/>
      <c r="EE14" s="208">
        <v>0</v>
      </c>
      <c r="EF14" s="208">
        <v>0</v>
      </c>
      <c r="EG14" s="208">
        <v>0</v>
      </c>
      <c r="EH14" s="208">
        <v>0</v>
      </c>
      <c r="EI14" s="208">
        <v>0</v>
      </c>
      <c r="EJ14" s="208">
        <v>17</v>
      </c>
      <c r="EK14" s="208">
        <v>1.0089999999999999</v>
      </c>
      <c r="EL14" s="208">
        <v>39.0912875</v>
      </c>
      <c r="EM14" s="208">
        <v>3233</v>
      </c>
      <c r="EN14" s="208">
        <v>1157.7624514646398</v>
      </c>
      <c r="EO14" s="208">
        <v>234497</v>
      </c>
      <c r="EP14" s="208">
        <v>545.7639999999941</v>
      </c>
      <c r="EQ14" s="208">
        <v>30133.308379354483</v>
      </c>
      <c r="ER14" s="208">
        <v>38839</v>
      </c>
      <c r="ES14" s="208">
        <v>15598.219196912181</v>
      </c>
      <c r="ET14" s="208">
        <v>234514</v>
      </c>
      <c r="EU14" s="208">
        <v>546.77299999999411</v>
      </c>
      <c r="EV14" s="208">
        <v>30172.399666854486</v>
      </c>
      <c r="EW14" s="208">
        <v>42072</v>
      </c>
      <c r="EX14" s="208">
        <v>16755.981648376819</v>
      </c>
      <c r="EY14" s="217">
        <v>0</v>
      </c>
      <c r="EZ14" s="217">
        <v>0</v>
      </c>
      <c r="FA14" s="217">
        <v>0</v>
      </c>
      <c r="FB14" s="217">
        <v>0</v>
      </c>
      <c r="FC14" s="217">
        <v>0</v>
      </c>
      <c r="FD14" s="217">
        <v>38</v>
      </c>
      <c r="FE14" s="217">
        <v>3.4780000000000002</v>
      </c>
      <c r="FF14" s="217">
        <v>20.0871</v>
      </c>
      <c r="FG14" s="217">
        <v>316</v>
      </c>
      <c r="FH14" s="217">
        <v>92.019885848332819</v>
      </c>
      <c r="FI14" s="217">
        <v>232967</v>
      </c>
      <c r="FJ14" s="217">
        <v>544.60900000000004</v>
      </c>
      <c r="FK14" s="217">
        <v>29612.371134190013</v>
      </c>
      <c r="FL14" s="217">
        <v>26514</v>
      </c>
      <c r="FM14" s="217">
        <v>12995.424230074308</v>
      </c>
      <c r="FN14" s="217">
        <v>233005</v>
      </c>
      <c r="FO14" s="217">
        <v>548.08699999999999</v>
      </c>
      <c r="FP14" s="217">
        <v>29632.45823419001</v>
      </c>
      <c r="FQ14" s="217">
        <v>26830</v>
      </c>
      <c r="FR14" s="478">
        <v>13087.444115922639</v>
      </c>
      <c r="FS14" s="480">
        <v>0</v>
      </c>
      <c r="FT14" s="480">
        <v>0</v>
      </c>
      <c r="FU14" s="480">
        <v>0</v>
      </c>
      <c r="FV14" s="480">
        <v>0</v>
      </c>
      <c r="FW14" s="480">
        <v>0</v>
      </c>
      <c r="FX14" s="480">
        <v>14</v>
      </c>
      <c r="FY14" s="480">
        <v>4.4859999999999998</v>
      </c>
      <c r="FZ14" s="480">
        <v>16.989126418225403</v>
      </c>
      <c r="GA14" s="480">
        <v>13</v>
      </c>
      <c r="GB14" s="480">
        <v>6.2589899999999998</v>
      </c>
      <c r="GC14" s="480">
        <v>183587</v>
      </c>
      <c r="GD14" s="480">
        <v>434.5139999999999</v>
      </c>
      <c r="GE14" s="480">
        <v>24130.932670189388</v>
      </c>
      <c r="GF14" s="480">
        <v>34474</v>
      </c>
      <c r="GG14" s="480">
        <v>17102.500747723523</v>
      </c>
      <c r="GH14" s="480">
        <v>183601</v>
      </c>
      <c r="GI14" s="480">
        <v>438.99999999999989</v>
      </c>
      <c r="GJ14" s="480">
        <v>24147.921796607614</v>
      </c>
      <c r="GK14" s="480">
        <v>34487</v>
      </c>
      <c r="GL14" s="480">
        <v>17108.759737723525</v>
      </c>
    </row>
    <row r="15" spans="1:194" x14ac:dyDescent="0.2">
      <c r="A15" s="210" t="s">
        <v>345</v>
      </c>
      <c r="B15" s="211"/>
      <c r="C15" s="211"/>
      <c r="D15" s="211"/>
      <c r="E15" s="211"/>
      <c r="F15" s="211"/>
      <c r="G15" s="211"/>
      <c r="H15" s="211"/>
      <c r="I15" s="211"/>
      <c r="J15" s="211"/>
      <c r="K15" s="211"/>
      <c r="L15" s="211"/>
      <c r="M15" s="211"/>
      <c r="N15" s="211"/>
      <c r="O15" s="218"/>
      <c r="P15" s="211"/>
      <c r="Q15" s="211"/>
      <c r="R15" s="211"/>
      <c r="S15" s="211"/>
      <c r="T15" s="212"/>
      <c r="U15" s="219"/>
      <c r="V15" s="219"/>
      <c r="W15" s="219"/>
      <c r="X15" s="219"/>
      <c r="Y15" s="219"/>
      <c r="Z15" s="219"/>
      <c r="AA15" s="219"/>
      <c r="AB15" s="219"/>
      <c r="AC15" s="219"/>
      <c r="AD15" s="219"/>
      <c r="AE15" s="219"/>
      <c r="AF15" s="219"/>
      <c r="AG15" s="219"/>
      <c r="AH15" s="219"/>
      <c r="AI15" s="213"/>
      <c r="AJ15" s="213"/>
      <c r="AK15" s="213"/>
      <c r="AL15" s="213"/>
      <c r="AM15" s="213"/>
      <c r="AN15" s="213"/>
      <c r="AO15" s="213"/>
      <c r="AP15" s="213"/>
      <c r="AQ15" s="213"/>
      <c r="AR15" s="213"/>
      <c r="AS15" s="213">
        <v>17</v>
      </c>
      <c r="AT15" s="214">
        <v>3.9E-2</v>
      </c>
      <c r="AU15" s="213">
        <v>0.65517999999999998</v>
      </c>
      <c r="AV15" s="213"/>
      <c r="AW15" s="213"/>
      <c r="AX15" s="215">
        <v>17</v>
      </c>
      <c r="AY15" s="220">
        <v>3.9E-2</v>
      </c>
      <c r="AZ15" s="220">
        <v>0.65517999999999998</v>
      </c>
      <c r="BA15" s="215"/>
      <c r="BB15" s="215"/>
      <c r="BC15" s="215">
        <v>0</v>
      </c>
      <c r="BD15" s="215">
        <v>0</v>
      </c>
      <c r="BE15" s="215">
        <v>0</v>
      </c>
      <c r="BF15" s="215">
        <v>0</v>
      </c>
      <c r="BG15" s="215">
        <v>0</v>
      </c>
      <c r="BH15" s="215">
        <v>0</v>
      </c>
      <c r="BI15" s="215">
        <v>0</v>
      </c>
      <c r="BJ15" s="215">
        <v>0</v>
      </c>
      <c r="BK15" s="215">
        <v>0</v>
      </c>
      <c r="BL15" s="215">
        <v>0</v>
      </c>
      <c r="BM15" s="215">
        <v>65</v>
      </c>
      <c r="BN15" s="215">
        <v>8.2882656269651619E-2</v>
      </c>
      <c r="BO15" s="215">
        <v>2.1661100000000002</v>
      </c>
      <c r="BP15" s="215">
        <v>0</v>
      </c>
      <c r="BQ15" s="215">
        <v>0</v>
      </c>
      <c r="BR15" s="215">
        <v>65</v>
      </c>
      <c r="BS15" s="215">
        <v>8.2882656269651619E-2</v>
      </c>
      <c r="BT15" s="215">
        <v>2.1661100000000002</v>
      </c>
      <c r="BU15" s="215">
        <v>0</v>
      </c>
      <c r="BV15" s="215">
        <v>0</v>
      </c>
      <c r="BW15" s="213">
        <v>0</v>
      </c>
      <c r="BX15" s="213">
        <v>0</v>
      </c>
      <c r="BY15" s="213">
        <v>0</v>
      </c>
      <c r="BZ15" s="213">
        <v>0</v>
      </c>
      <c r="CA15" s="213">
        <v>0</v>
      </c>
      <c r="CB15" s="213">
        <v>0</v>
      </c>
      <c r="CC15" s="213">
        <v>0</v>
      </c>
      <c r="CD15" s="213">
        <v>0</v>
      </c>
      <c r="CE15" s="213">
        <v>0</v>
      </c>
      <c r="CF15" s="213">
        <v>0</v>
      </c>
      <c r="CG15" s="213">
        <v>805</v>
      </c>
      <c r="CH15" s="213">
        <v>1.1400000000000001</v>
      </c>
      <c r="CI15" s="213">
        <v>11.544144200000002</v>
      </c>
      <c r="CJ15" s="213">
        <v>2</v>
      </c>
      <c r="CK15" s="213">
        <v>0.48083999999999999</v>
      </c>
      <c r="CL15" s="216">
        <v>805</v>
      </c>
      <c r="CM15" s="216">
        <v>1.1400000000000001</v>
      </c>
      <c r="CN15" s="216">
        <v>11.544144200000002</v>
      </c>
      <c r="CO15" s="216">
        <v>2</v>
      </c>
      <c r="CP15" s="216">
        <v>0.48083999999999999</v>
      </c>
      <c r="CQ15" s="213">
        <v>0</v>
      </c>
      <c r="CR15" s="213">
        <v>0</v>
      </c>
      <c r="CS15" s="213">
        <v>0</v>
      </c>
      <c r="CT15" s="213">
        <v>0</v>
      </c>
      <c r="CU15" s="213">
        <v>0</v>
      </c>
      <c r="CV15" s="213">
        <v>0</v>
      </c>
      <c r="CW15" s="213">
        <v>0</v>
      </c>
      <c r="CX15" s="213">
        <v>0</v>
      </c>
      <c r="CY15" s="213">
        <v>0</v>
      </c>
      <c r="CZ15" s="213">
        <v>0</v>
      </c>
      <c r="DA15" s="213">
        <v>12008</v>
      </c>
      <c r="DB15" s="213">
        <v>14.847820861967657</v>
      </c>
      <c r="DC15" s="213">
        <v>207.39538829999998</v>
      </c>
      <c r="DD15" s="213">
        <v>60</v>
      </c>
      <c r="DE15" s="213">
        <v>27.108229999999999</v>
      </c>
      <c r="DF15" s="216">
        <v>12008</v>
      </c>
      <c r="DG15" s="216">
        <v>14.847820861967657</v>
      </c>
      <c r="DH15" s="216">
        <v>207.39538829999998</v>
      </c>
      <c r="DI15" s="216">
        <v>60</v>
      </c>
      <c r="DJ15" s="216">
        <v>27.108229999999999</v>
      </c>
      <c r="DK15" s="213">
        <v>0</v>
      </c>
      <c r="DL15" s="213">
        <v>0</v>
      </c>
      <c r="DM15" s="213">
        <v>0</v>
      </c>
      <c r="DN15" s="213">
        <v>0</v>
      </c>
      <c r="DO15" s="213">
        <v>0</v>
      </c>
      <c r="DP15" s="213">
        <v>1</v>
      </c>
      <c r="DQ15" s="213">
        <v>0.125</v>
      </c>
      <c r="DR15" s="213">
        <v>2.6500001000000002</v>
      </c>
      <c r="DS15" s="213">
        <v>8</v>
      </c>
      <c r="DT15" s="213">
        <v>2.8467000000000002</v>
      </c>
      <c r="DU15" s="213">
        <v>23452</v>
      </c>
      <c r="DV15" s="213">
        <v>29.503000000000004</v>
      </c>
      <c r="DW15" s="213">
        <v>588.03209179999999</v>
      </c>
      <c r="DX15" s="213">
        <v>553</v>
      </c>
      <c r="DY15" s="213">
        <v>358.70819669999997</v>
      </c>
      <c r="DZ15" s="216">
        <v>23453</v>
      </c>
      <c r="EA15" s="216">
        <v>29.628000000000004</v>
      </c>
      <c r="EB15" s="216">
        <v>590.68209190000005</v>
      </c>
      <c r="EC15" s="216">
        <v>561</v>
      </c>
      <c r="ED15" s="216"/>
      <c r="EE15" s="208">
        <v>0</v>
      </c>
      <c r="EF15" s="208">
        <v>0</v>
      </c>
      <c r="EG15" s="208">
        <v>0</v>
      </c>
      <c r="EH15" s="208">
        <v>0</v>
      </c>
      <c r="EI15" s="208">
        <v>0</v>
      </c>
      <c r="EJ15" s="208">
        <v>3</v>
      </c>
      <c r="EK15" s="208">
        <v>0.27700000000000002</v>
      </c>
      <c r="EL15" s="208">
        <v>0.41699999999999998</v>
      </c>
      <c r="EM15" s="208">
        <v>283</v>
      </c>
      <c r="EN15" s="208">
        <v>6.5697950198324753</v>
      </c>
      <c r="EO15" s="208">
        <v>10389</v>
      </c>
      <c r="EP15" s="208">
        <v>17.114000000000001</v>
      </c>
      <c r="EQ15" s="208">
        <v>433.621059599999</v>
      </c>
      <c r="ER15" s="208">
        <v>544</v>
      </c>
      <c r="ES15" s="208">
        <v>223.10465202377296</v>
      </c>
      <c r="ET15" s="208">
        <v>10392</v>
      </c>
      <c r="EU15" s="208">
        <v>17.391000000000002</v>
      </c>
      <c r="EV15" s="208">
        <v>434.03805959999897</v>
      </c>
      <c r="EW15" s="208">
        <v>827</v>
      </c>
      <c r="EX15" s="208">
        <v>229.67444704360545</v>
      </c>
      <c r="EY15" s="217">
        <v>0</v>
      </c>
      <c r="EZ15" s="217">
        <v>0</v>
      </c>
      <c r="FA15" s="217">
        <v>0</v>
      </c>
      <c r="FB15" s="217">
        <v>0</v>
      </c>
      <c r="FC15" s="217">
        <v>0</v>
      </c>
      <c r="FD15" s="217">
        <v>4</v>
      </c>
      <c r="FE15" s="217">
        <v>0.60899999999999999</v>
      </c>
      <c r="FF15" s="217">
        <v>12.24629</v>
      </c>
      <c r="FG15" s="217">
        <v>19</v>
      </c>
      <c r="FH15" s="217">
        <v>11.538426345575843</v>
      </c>
      <c r="FI15" s="217">
        <v>11706</v>
      </c>
      <c r="FJ15" s="217">
        <v>20.398000000000003</v>
      </c>
      <c r="FK15" s="217">
        <v>602.50541729999975</v>
      </c>
      <c r="FL15" s="217">
        <v>578</v>
      </c>
      <c r="FM15" s="217">
        <v>312.19474697791156</v>
      </c>
      <c r="FN15" s="217">
        <v>11710</v>
      </c>
      <c r="FO15" s="217">
        <v>21.006999999999998</v>
      </c>
      <c r="FP15" s="217">
        <v>614.75170729999968</v>
      </c>
      <c r="FQ15" s="217">
        <v>597</v>
      </c>
      <c r="FR15" s="478">
        <v>323.73317332348739</v>
      </c>
      <c r="FS15" s="480">
        <v>0</v>
      </c>
      <c r="FT15" s="480">
        <v>0</v>
      </c>
      <c r="FU15" s="480">
        <v>0</v>
      </c>
      <c r="FV15" s="480">
        <v>0</v>
      </c>
      <c r="FW15" s="480">
        <v>0</v>
      </c>
      <c r="FX15" s="480">
        <v>0</v>
      </c>
      <c r="FY15" s="480">
        <v>2.23</v>
      </c>
      <c r="FZ15" s="480">
        <v>0</v>
      </c>
      <c r="GA15" s="480">
        <v>6</v>
      </c>
      <c r="GB15" s="480">
        <v>2.0678899999999998</v>
      </c>
      <c r="GC15" s="480">
        <v>14316</v>
      </c>
      <c r="GD15" s="480">
        <v>25.702999999999999</v>
      </c>
      <c r="GE15" s="480">
        <v>907.25194809419963</v>
      </c>
      <c r="GF15" s="480">
        <v>1151</v>
      </c>
      <c r="GG15" s="480">
        <v>494.26668062475687</v>
      </c>
      <c r="GH15" s="480">
        <v>14316</v>
      </c>
      <c r="GI15" s="480">
        <v>27.932999999999996</v>
      </c>
      <c r="GJ15" s="480">
        <v>907.25194809419963</v>
      </c>
      <c r="GK15" s="480">
        <v>1157</v>
      </c>
      <c r="GL15" s="480">
        <v>496.33457062475679</v>
      </c>
    </row>
    <row r="16" spans="1:194" x14ac:dyDescent="0.2">
      <c r="A16" s="210" t="s">
        <v>313</v>
      </c>
      <c r="B16" s="211"/>
      <c r="C16" s="211"/>
      <c r="D16" s="211"/>
      <c r="E16" s="211"/>
      <c r="F16" s="211"/>
      <c r="G16" s="211"/>
      <c r="H16" s="211"/>
      <c r="I16" s="211"/>
      <c r="J16" s="211"/>
      <c r="K16" s="211">
        <v>578</v>
      </c>
      <c r="L16" s="211">
        <v>2</v>
      </c>
      <c r="M16" s="211">
        <v>1527</v>
      </c>
      <c r="N16" s="211">
        <v>117</v>
      </c>
      <c r="O16" s="211">
        <v>65395</v>
      </c>
      <c r="P16" s="211">
        <v>67345</v>
      </c>
      <c r="Q16" s="211">
        <v>695</v>
      </c>
      <c r="R16" s="211">
        <v>65397</v>
      </c>
      <c r="S16" s="211">
        <v>68872</v>
      </c>
      <c r="T16" s="212"/>
      <c r="U16" s="219"/>
      <c r="V16" s="219"/>
      <c r="W16" s="219"/>
      <c r="X16" s="219"/>
      <c r="Y16" s="219"/>
      <c r="Z16" s="219"/>
      <c r="AA16" s="219"/>
      <c r="AB16" s="219"/>
      <c r="AC16" s="219"/>
      <c r="AD16" s="219"/>
      <c r="AE16" s="219"/>
      <c r="AF16" s="219"/>
      <c r="AG16" s="219"/>
      <c r="AH16" s="219"/>
      <c r="AI16" s="213">
        <v>161</v>
      </c>
      <c r="AJ16" s="213">
        <v>64650.307000000001</v>
      </c>
      <c r="AK16" s="213">
        <v>120930.23506000001</v>
      </c>
      <c r="AL16" s="213">
        <v>1774206</v>
      </c>
      <c r="AM16" s="213">
        <v>109950.00276</v>
      </c>
      <c r="AN16" s="213">
        <v>18</v>
      </c>
      <c r="AO16" s="213">
        <v>65.289000000000001</v>
      </c>
      <c r="AP16" s="213">
        <v>576.42561000000001</v>
      </c>
      <c r="AQ16" s="213">
        <v>3980</v>
      </c>
      <c r="AR16" s="213">
        <v>226.77927399999999</v>
      </c>
      <c r="AS16" s="213">
        <v>2</v>
      </c>
      <c r="AT16" s="221">
        <v>4.0000000000000001E-3</v>
      </c>
      <c r="AU16" s="214">
        <v>0.36495</v>
      </c>
      <c r="AV16" s="213">
        <v>792</v>
      </c>
      <c r="AW16" s="213">
        <v>49.107660000000003</v>
      </c>
      <c r="AX16" s="215">
        <v>181</v>
      </c>
      <c r="AY16" s="215">
        <v>64715.6</v>
      </c>
      <c r="AZ16" s="215">
        <v>121507.02562</v>
      </c>
      <c r="BA16" s="215">
        <v>1778978</v>
      </c>
      <c r="BB16" s="215">
        <v>110225.889694</v>
      </c>
      <c r="BC16" s="215">
        <v>0</v>
      </c>
      <c r="BD16" s="215">
        <v>0</v>
      </c>
      <c r="BE16" s="215">
        <v>0</v>
      </c>
      <c r="BF16" s="215">
        <v>0</v>
      </c>
      <c r="BG16" s="215">
        <v>0</v>
      </c>
      <c r="BH16" s="215">
        <v>0</v>
      </c>
      <c r="BI16" s="215">
        <v>0</v>
      </c>
      <c r="BJ16" s="215">
        <v>-2.2737367544323208E-18</v>
      </c>
      <c r="BK16" s="215">
        <v>0</v>
      </c>
      <c r="BL16" s="215">
        <v>0</v>
      </c>
      <c r="BM16" s="215">
        <v>0</v>
      </c>
      <c r="BN16" s="215">
        <v>0</v>
      </c>
      <c r="BO16" s="215">
        <v>0</v>
      </c>
      <c r="BP16" s="215">
        <v>0</v>
      </c>
      <c r="BQ16" s="215">
        <v>0</v>
      </c>
      <c r="BR16" s="215">
        <v>0</v>
      </c>
      <c r="BS16" s="215">
        <v>0</v>
      </c>
      <c r="BT16" s="215">
        <v>-2.2737367544323208E-18</v>
      </c>
      <c r="BU16" s="215">
        <v>0</v>
      </c>
      <c r="BV16" s="215">
        <v>0</v>
      </c>
      <c r="BW16" s="213">
        <v>0</v>
      </c>
      <c r="BX16" s="213">
        <v>0</v>
      </c>
      <c r="BY16" s="213">
        <v>0</v>
      </c>
      <c r="BZ16" s="213">
        <v>0</v>
      </c>
      <c r="CA16" s="213">
        <v>0</v>
      </c>
      <c r="CB16" s="213">
        <v>0</v>
      </c>
      <c r="CC16" s="213">
        <v>0</v>
      </c>
      <c r="CD16" s="213">
        <v>0</v>
      </c>
      <c r="CE16" s="213">
        <v>0</v>
      </c>
      <c r="CF16" s="213">
        <v>0</v>
      </c>
      <c r="CG16" s="213">
        <v>0</v>
      </c>
      <c r="CH16" s="213">
        <v>0</v>
      </c>
      <c r="CI16" s="213">
        <v>5.9889999999999997E-4</v>
      </c>
      <c r="CJ16" s="213">
        <v>0</v>
      </c>
      <c r="CK16" s="213">
        <v>3.5999999999999997E-2</v>
      </c>
      <c r="CL16" s="216">
        <v>0</v>
      </c>
      <c r="CM16" s="216">
        <v>0</v>
      </c>
      <c r="CN16" s="216">
        <v>5.9889999999999997E-4</v>
      </c>
      <c r="CO16" s="216">
        <v>0</v>
      </c>
      <c r="CP16" s="216">
        <v>3.5999999999999997E-2</v>
      </c>
      <c r="CQ16" s="213">
        <v>0</v>
      </c>
      <c r="CR16" s="213">
        <v>0</v>
      </c>
      <c r="CS16" s="213">
        <v>0</v>
      </c>
      <c r="CT16" s="213">
        <v>0</v>
      </c>
      <c r="CU16" s="213">
        <v>0</v>
      </c>
      <c r="CV16" s="213">
        <v>0</v>
      </c>
      <c r="CW16" s="213">
        <v>0</v>
      </c>
      <c r="CX16" s="213">
        <v>0</v>
      </c>
      <c r="CY16" s="213">
        <v>0</v>
      </c>
      <c r="CZ16" s="213">
        <v>0</v>
      </c>
      <c r="DA16" s="213">
        <v>0</v>
      </c>
      <c r="DB16" s="213">
        <v>0</v>
      </c>
      <c r="DC16" s="213">
        <v>0</v>
      </c>
      <c r="DD16" s="213">
        <v>0</v>
      </c>
      <c r="DE16" s="213">
        <v>0</v>
      </c>
      <c r="DF16" s="216">
        <v>0</v>
      </c>
      <c r="DG16" s="216">
        <v>0</v>
      </c>
      <c r="DH16" s="216">
        <v>0</v>
      </c>
      <c r="DI16" s="216">
        <v>0</v>
      </c>
      <c r="DJ16" s="216">
        <v>0</v>
      </c>
      <c r="DK16" s="213">
        <v>0</v>
      </c>
      <c r="DL16" s="213">
        <v>0</v>
      </c>
      <c r="DM16" s="213">
        <v>0</v>
      </c>
      <c r="DN16" s="213">
        <v>0</v>
      </c>
      <c r="DO16" s="213">
        <v>0</v>
      </c>
      <c r="DP16" s="213">
        <v>0</v>
      </c>
      <c r="DQ16" s="213">
        <v>0</v>
      </c>
      <c r="DR16" s="213">
        <v>0</v>
      </c>
      <c r="DS16" s="213">
        <v>0</v>
      </c>
      <c r="DT16" s="213">
        <v>0</v>
      </c>
      <c r="DU16" s="213">
        <v>0</v>
      </c>
      <c r="DV16" s="213">
        <v>0</v>
      </c>
      <c r="DW16" s="213">
        <v>0</v>
      </c>
      <c r="DX16" s="213">
        <v>0</v>
      </c>
      <c r="DY16" s="213">
        <v>0</v>
      </c>
      <c r="DZ16" s="216">
        <v>0</v>
      </c>
      <c r="EA16" s="216">
        <v>0</v>
      </c>
      <c r="EB16" s="216">
        <v>0</v>
      </c>
      <c r="EC16" s="216">
        <v>0</v>
      </c>
      <c r="ED16" s="216"/>
      <c r="EE16" s="208">
        <v>0</v>
      </c>
      <c r="EF16" s="208">
        <v>0</v>
      </c>
      <c r="EG16" s="208">
        <v>0</v>
      </c>
      <c r="EH16" s="208">
        <v>0</v>
      </c>
      <c r="EI16" s="208">
        <v>0</v>
      </c>
      <c r="EJ16" s="208">
        <v>0</v>
      </c>
      <c r="EK16" s="208">
        <v>0</v>
      </c>
      <c r="EL16" s="208">
        <v>0</v>
      </c>
      <c r="EM16" s="208">
        <v>0</v>
      </c>
      <c r="EN16" s="208">
        <v>0</v>
      </c>
      <c r="EO16" s="208">
        <v>0</v>
      </c>
      <c r="EP16" s="208">
        <v>0</v>
      </c>
      <c r="EQ16" s="208">
        <v>0</v>
      </c>
      <c r="ER16" s="208">
        <v>0</v>
      </c>
      <c r="ES16" s="208">
        <v>0</v>
      </c>
      <c r="ET16" s="208">
        <v>0</v>
      </c>
      <c r="EU16" s="208">
        <v>0</v>
      </c>
      <c r="EV16" s="208">
        <v>0</v>
      </c>
      <c r="EW16" s="208">
        <v>0</v>
      </c>
      <c r="EX16" s="208">
        <v>0</v>
      </c>
      <c r="EY16" s="222">
        <v>0</v>
      </c>
      <c r="EZ16" s="222">
        <v>0</v>
      </c>
      <c r="FA16" s="222">
        <v>0</v>
      </c>
      <c r="FB16" s="222">
        <v>0</v>
      </c>
      <c r="FC16" s="222">
        <v>0</v>
      </c>
      <c r="FD16" s="222">
        <v>0</v>
      </c>
      <c r="FE16" s="222">
        <v>0</v>
      </c>
      <c r="FF16" s="222">
        <v>0</v>
      </c>
      <c r="FG16" s="222">
        <v>0</v>
      </c>
      <c r="FH16" s="222">
        <v>0</v>
      </c>
      <c r="FI16" s="222">
        <v>0</v>
      </c>
      <c r="FJ16" s="222">
        <v>0</v>
      </c>
      <c r="FK16" s="222">
        <v>0</v>
      </c>
      <c r="FL16" s="222">
        <v>0</v>
      </c>
      <c r="FM16" s="222">
        <v>0</v>
      </c>
      <c r="FN16" s="222">
        <v>0</v>
      </c>
      <c r="FO16" s="222">
        <v>0</v>
      </c>
      <c r="FP16" s="222">
        <v>0</v>
      </c>
      <c r="FQ16" s="222">
        <v>0</v>
      </c>
      <c r="FR16" s="222">
        <v>0</v>
      </c>
      <c r="FS16" s="480">
        <v>0</v>
      </c>
      <c r="FT16" s="480">
        <v>0</v>
      </c>
      <c r="FU16" s="480">
        <v>0</v>
      </c>
      <c r="FV16" s="480">
        <v>0</v>
      </c>
      <c r="FW16" s="480">
        <v>0</v>
      </c>
      <c r="FX16" s="480">
        <v>0</v>
      </c>
      <c r="FY16" s="480">
        <v>0</v>
      </c>
      <c r="FZ16" s="480">
        <v>0</v>
      </c>
      <c r="GA16" s="480">
        <v>0</v>
      </c>
      <c r="GB16" s="480">
        <v>0</v>
      </c>
      <c r="GC16" s="480">
        <v>0</v>
      </c>
      <c r="GD16" s="480">
        <v>0</v>
      </c>
      <c r="GE16" s="480">
        <v>0</v>
      </c>
      <c r="GF16" s="480">
        <v>0</v>
      </c>
      <c r="GG16" s="480">
        <v>0</v>
      </c>
      <c r="GH16" s="480">
        <v>0</v>
      </c>
      <c r="GI16" s="480">
        <v>0</v>
      </c>
      <c r="GJ16" s="480">
        <v>0</v>
      </c>
      <c r="GK16" s="480">
        <v>0</v>
      </c>
      <c r="GL16" s="480">
        <v>0</v>
      </c>
    </row>
    <row r="17" spans="1:194" s="231" customFormat="1" x14ac:dyDescent="0.2">
      <c r="A17" s="223" t="s">
        <v>52</v>
      </c>
      <c r="B17" s="224">
        <v>10593257</v>
      </c>
      <c r="C17" s="224">
        <v>25364.425000000003</v>
      </c>
      <c r="D17" s="224">
        <v>877239.5167492138</v>
      </c>
      <c r="E17" s="224">
        <v>335948</v>
      </c>
      <c r="F17" s="224">
        <v>262667.21198000008</v>
      </c>
      <c r="G17" s="224">
        <v>1132382.0438822075</v>
      </c>
      <c r="H17" s="224">
        <v>10929205</v>
      </c>
      <c r="I17" s="224">
        <v>288031.63698000001</v>
      </c>
      <c r="J17" s="224">
        <v>2009621.5606314209</v>
      </c>
      <c r="K17" s="224">
        <v>11384636</v>
      </c>
      <c r="L17" s="224">
        <v>28748</v>
      </c>
      <c r="M17" s="224">
        <v>1036897</v>
      </c>
      <c r="N17" s="224">
        <v>431295</v>
      </c>
      <c r="O17" s="224">
        <v>330214</v>
      </c>
      <c r="P17" s="224">
        <v>1407857</v>
      </c>
      <c r="Q17" s="224">
        <v>11815931</v>
      </c>
      <c r="R17" s="224">
        <v>358962</v>
      </c>
      <c r="S17" s="224">
        <v>2444754</v>
      </c>
      <c r="T17" s="225">
        <v>12686593</v>
      </c>
      <c r="U17" s="225">
        <v>31971.337</v>
      </c>
      <c r="V17" s="225">
        <v>1258346.7391290274</v>
      </c>
      <c r="W17" s="225">
        <v>2165587</v>
      </c>
      <c r="X17" s="225">
        <v>790567.19005309348</v>
      </c>
      <c r="Y17" s="225">
        <v>450835</v>
      </c>
      <c r="Z17" s="225">
        <v>405483.995</v>
      </c>
      <c r="AA17" s="225">
        <v>1780825.0271727687</v>
      </c>
      <c r="AB17" s="225">
        <v>8873491</v>
      </c>
      <c r="AC17" s="225">
        <v>1964030.893538866</v>
      </c>
      <c r="AD17" s="225">
        <v>13137428</v>
      </c>
      <c r="AE17" s="225">
        <v>437455.33199999999</v>
      </c>
      <c r="AF17" s="225">
        <v>3039171.7663017958</v>
      </c>
      <c r="AG17" s="225">
        <v>11039078</v>
      </c>
      <c r="AH17" s="225">
        <v>2754598.0835919594</v>
      </c>
      <c r="AI17" s="226">
        <v>263</v>
      </c>
      <c r="AJ17" s="226">
        <v>359262.57999999996</v>
      </c>
      <c r="AK17" s="226">
        <v>398120.04896579997</v>
      </c>
      <c r="AL17" s="226">
        <v>5497923</v>
      </c>
      <c r="AM17" s="226">
        <v>387622.89491790003</v>
      </c>
      <c r="AN17" s="226">
        <v>645848</v>
      </c>
      <c r="AO17" s="226">
        <v>89446.889099463413</v>
      </c>
      <c r="AP17" s="226">
        <v>1775620.4520672399</v>
      </c>
      <c r="AQ17" s="226">
        <v>6799626</v>
      </c>
      <c r="AR17" s="226">
        <v>1741220.5442506738</v>
      </c>
      <c r="AS17" s="226">
        <v>14083645</v>
      </c>
      <c r="AT17" s="226">
        <v>33277.138999999996</v>
      </c>
      <c r="AU17" s="226">
        <v>1529122.7417417211</v>
      </c>
      <c r="AV17" s="226">
        <v>2247188</v>
      </c>
      <c r="AW17" s="226">
        <v>895560.26098208618</v>
      </c>
      <c r="AX17" s="227">
        <v>14729756</v>
      </c>
      <c r="AY17" s="227">
        <v>481986.6080994634</v>
      </c>
      <c r="AZ17" s="227">
        <v>3702864</v>
      </c>
      <c r="BA17" s="227">
        <v>14544737</v>
      </c>
      <c r="BB17" s="227">
        <v>3024403.7001506602</v>
      </c>
      <c r="BC17" s="227">
        <v>255</v>
      </c>
      <c r="BD17" s="227">
        <v>357116.97899999999</v>
      </c>
      <c r="BE17" s="227">
        <v>567210.20456480014</v>
      </c>
      <c r="BF17" s="227">
        <v>5209250</v>
      </c>
      <c r="BG17" s="227">
        <v>415155.76959614432</v>
      </c>
      <c r="BH17" s="227">
        <v>1090006</v>
      </c>
      <c r="BI17" s="227">
        <v>72853.958000000013</v>
      </c>
      <c r="BJ17" s="227">
        <v>2167601.3856588234</v>
      </c>
      <c r="BK17" s="227">
        <v>8051074</v>
      </c>
      <c r="BL17" s="227">
        <v>2008345.2098709268</v>
      </c>
      <c r="BM17" s="227">
        <v>19591305</v>
      </c>
      <c r="BN17" s="227">
        <v>42064.157882656262</v>
      </c>
      <c r="BO17" s="227">
        <v>1752464.4395826766</v>
      </c>
      <c r="BP17" s="227">
        <v>2652236</v>
      </c>
      <c r="BQ17" s="227">
        <v>1074782.0512796759</v>
      </c>
      <c r="BR17" s="227">
        <v>20681566</v>
      </c>
      <c r="BS17" s="227">
        <v>472035.09488265618</v>
      </c>
      <c r="BT17" s="227">
        <v>4487276.0298062982</v>
      </c>
      <c r="BU17" s="227">
        <v>15912560</v>
      </c>
      <c r="BV17" s="227">
        <v>3498283.0307467477</v>
      </c>
      <c r="BW17" s="226">
        <v>243</v>
      </c>
      <c r="BX17" s="226">
        <v>361971.34369999997</v>
      </c>
      <c r="BY17" s="226">
        <v>492061.87099514995</v>
      </c>
      <c r="BZ17" s="226">
        <v>5628223</v>
      </c>
      <c r="CA17" s="226">
        <v>495371.01697355357</v>
      </c>
      <c r="CB17" s="226">
        <v>760826</v>
      </c>
      <c r="CC17" s="226">
        <v>93516.682959998798</v>
      </c>
      <c r="CD17" s="226">
        <v>2588082.7904048124</v>
      </c>
      <c r="CE17" s="226">
        <v>7961454</v>
      </c>
      <c r="CF17" s="226">
        <v>2248768.8991581588</v>
      </c>
      <c r="CG17" s="226">
        <v>17171547</v>
      </c>
      <c r="CH17" s="226">
        <v>43225.363000000019</v>
      </c>
      <c r="CI17" s="226">
        <v>1995662.5853848741</v>
      </c>
      <c r="CJ17" s="226">
        <v>3181589</v>
      </c>
      <c r="CK17" s="226">
        <v>1258418.7459031099</v>
      </c>
      <c r="CL17" s="228">
        <v>17932616</v>
      </c>
      <c r="CM17" s="228">
        <v>498713.38965999882</v>
      </c>
      <c r="CN17" s="228">
        <v>5075807.246784837</v>
      </c>
      <c r="CO17" s="228">
        <v>16771266</v>
      </c>
      <c r="CP17" s="228">
        <v>4002558.6620348222</v>
      </c>
      <c r="CQ17" s="226">
        <v>113</v>
      </c>
      <c r="CR17" s="226">
        <v>342913.804</v>
      </c>
      <c r="CS17" s="226">
        <v>429000.05098</v>
      </c>
      <c r="CT17" s="226">
        <v>4497399</v>
      </c>
      <c r="CU17" s="226">
        <v>337517.48046930006</v>
      </c>
      <c r="CV17" s="226">
        <v>909074</v>
      </c>
      <c r="CW17" s="226">
        <v>118694.60900000001</v>
      </c>
      <c r="CX17" s="226">
        <v>2810808.7489255937</v>
      </c>
      <c r="CY17" s="226">
        <v>6670266</v>
      </c>
      <c r="CZ17" s="226">
        <v>2395210.7316766684</v>
      </c>
      <c r="DA17" s="226">
        <v>22830191</v>
      </c>
      <c r="DB17" s="226">
        <v>53138.731820861984</v>
      </c>
      <c r="DC17" s="226">
        <v>2583976.7028171415</v>
      </c>
      <c r="DD17" s="226">
        <v>2863096</v>
      </c>
      <c r="DE17" s="226">
        <v>1602732.5126026452</v>
      </c>
      <c r="DF17" s="228">
        <v>23739378</v>
      </c>
      <c r="DG17" s="228">
        <v>514747.14482086193</v>
      </c>
      <c r="DH17" s="228">
        <v>5823785.5027227327</v>
      </c>
      <c r="DI17" s="228">
        <v>14030761</v>
      </c>
      <c r="DJ17" s="228">
        <v>4335460.7247486133</v>
      </c>
      <c r="DK17" s="226">
        <v>62</v>
      </c>
      <c r="DL17" s="226">
        <v>306507.973</v>
      </c>
      <c r="DM17" s="226">
        <v>607586.59703169996</v>
      </c>
      <c r="DN17" s="226">
        <v>7019404</v>
      </c>
      <c r="DO17" s="226">
        <v>622440.76366829989</v>
      </c>
      <c r="DP17" s="226">
        <v>699650</v>
      </c>
      <c r="DQ17" s="226">
        <v>2688002.7420000001</v>
      </c>
      <c r="DR17" s="226">
        <v>3689058.3268129551</v>
      </c>
      <c r="DS17" s="226">
        <v>10254150</v>
      </c>
      <c r="DT17" s="226">
        <v>3751183.1504186704</v>
      </c>
      <c r="DU17" s="226">
        <v>21925367</v>
      </c>
      <c r="DV17" s="226">
        <v>199277.08499999999</v>
      </c>
      <c r="DW17" s="226">
        <v>3008506.8198385057</v>
      </c>
      <c r="DX17" s="226">
        <v>4578647</v>
      </c>
      <c r="DY17" s="226">
        <v>2576224.3161833286</v>
      </c>
      <c r="DZ17" s="228">
        <v>22625079</v>
      </c>
      <c r="EA17" s="228">
        <v>3193787.8</v>
      </c>
      <c r="EB17" s="228">
        <v>7305151.7436831612</v>
      </c>
      <c r="EC17" s="228">
        <v>21852201</v>
      </c>
      <c r="ED17" s="228"/>
      <c r="EE17" s="229">
        <f>SUM(EE5:EE16)</f>
        <v>51</v>
      </c>
      <c r="EF17" s="229">
        <f t="shared" ref="EF17:ET17" si="0">SUM(EF5:EF16)</f>
        <v>297748.245</v>
      </c>
      <c r="EG17" s="229">
        <f t="shared" si="0"/>
        <v>848028.16729000001</v>
      </c>
      <c r="EH17" s="229">
        <f t="shared" si="0"/>
        <v>7109851</v>
      </c>
      <c r="EI17" s="229">
        <f t="shared" si="0"/>
        <v>876130.10769800004</v>
      </c>
      <c r="EJ17" s="229">
        <f t="shared" si="0"/>
        <v>650174</v>
      </c>
      <c r="EK17" s="229">
        <f t="shared" si="0"/>
        <v>199397.035</v>
      </c>
      <c r="EL17" s="229">
        <f>SUM(EL5:EL16)</f>
        <v>4624586.8416041089</v>
      </c>
      <c r="EM17" s="229">
        <f t="shared" si="0"/>
        <v>11687610</v>
      </c>
      <c r="EN17" s="229">
        <f t="shared" si="0"/>
        <v>3859381.7381660743</v>
      </c>
      <c r="EO17" s="229">
        <f t="shared" si="0"/>
        <v>21991571</v>
      </c>
      <c r="EP17" s="229">
        <f t="shared" si="0"/>
        <v>52890.667000000016</v>
      </c>
      <c r="EQ17" s="229">
        <f>SUM(EQ5:EQ16)</f>
        <v>3476560.7952382765</v>
      </c>
      <c r="ER17" s="229">
        <f t="shared" si="0"/>
        <v>4777587</v>
      </c>
      <c r="ES17" s="229">
        <f>SUM(ES5:ES16)</f>
        <v>2357468.8787421831</v>
      </c>
      <c r="ET17" s="229">
        <f t="shared" si="0"/>
        <v>22641796</v>
      </c>
      <c r="EU17" s="229">
        <v>550035.94700000004</v>
      </c>
      <c r="EV17" s="229">
        <v>8949175.804132387</v>
      </c>
      <c r="EW17" s="229">
        <v>23575048</v>
      </c>
      <c r="EX17" s="229">
        <v>7092980.7246062579</v>
      </c>
      <c r="EY17" s="230">
        <v>25</v>
      </c>
      <c r="EZ17" s="230">
        <v>261103.63171999998</v>
      </c>
      <c r="FA17" s="230">
        <v>1051366.7572414</v>
      </c>
      <c r="FB17" s="230">
        <v>7053429</v>
      </c>
      <c r="FC17" s="230">
        <v>1014808.91744991</v>
      </c>
      <c r="FD17" s="230">
        <v>3728860</v>
      </c>
      <c r="FE17" s="230">
        <v>255909.70500000007</v>
      </c>
      <c r="FF17" s="230">
        <v>5566600.2333103735</v>
      </c>
      <c r="FG17" s="230">
        <v>14347261</v>
      </c>
      <c r="FH17" s="230">
        <v>4558096.8415300706</v>
      </c>
      <c r="FI17" s="230">
        <v>23099811</v>
      </c>
      <c r="FJ17" s="230">
        <v>55857.635999999991</v>
      </c>
      <c r="FK17" s="230">
        <v>4150105.5078815138</v>
      </c>
      <c r="FL17" s="230">
        <v>5459284</v>
      </c>
      <c r="FM17" s="230">
        <v>2776411.8155926419</v>
      </c>
      <c r="FN17" s="230">
        <v>26828696</v>
      </c>
      <c r="FO17" s="230">
        <v>572870.97271999996</v>
      </c>
      <c r="FP17" s="230">
        <v>10768072.982402887</v>
      </c>
      <c r="FQ17" s="230">
        <v>26859974</v>
      </c>
      <c r="FR17" s="479">
        <v>8349317.7290826226</v>
      </c>
      <c r="FS17" s="480">
        <v>26</v>
      </c>
      <c r="FT17" s="481">
        <v>245399.81099999999</v>
      </c>
      <c r="FU17" s="481">
        <v>945875.22378070001</v>
      </c>
      <c r="FV17" s="481">
        <v>8187842</v>
      </c>
      <c r="FW17" s="481">
        <v>919858.96159110009</v>
      </c>
      <c r="FX17" s="481">
        <v>1305122</v>
      </c>
      <c r="FY17" s="481">
        <v>275101.47200000088</v>
      </c>
      <c r="FZ17" s="481">
        <v>6143467.7485983912</v>
      </c>
      <c r="GA17" s="481">
        <v>18233021</v>
      </c>
      <c r="GB17" s="481">
        <v>5266869.2111466788</v>
      </c>
      <c r="GC17" s="481">
        <v>25184542</v>
      </c>
      <c r="GD17" s="481">
        <v>60146.141999999461</v>
      </c>
      <c r="GE17" s="481">
        <v>4661138.7590530226</v>
      </c>
      <c r="GF17" s="481">
        <v>6180049</v>
      </c>
      <c r="GG17" s="481">
        <v>3238032.4210229414</v>
      </c>
      <c r="GH17" s="481">
        <v>26489690</v>
      </c>
      <c r="GI17" s="481">
        <v>580647.42500000028</v>
      </c>
      <c r="GJ17" s="481">
        <v>11750481.731432114</v>
      </c>
      <c r="GK17" s="481">
        <v>32600912</v>
      </c>
      <c r="GL17" s="481">
        <v>9424760.5937607214</v>
      </c>
    </row>
    <row r="18" spans="1:194" ht="33" customHeight="1" x14ac:dyDescent="0.2">
      <c r="A18" s="362" t="s">
        <v>346</v>
      </c>
      <c r="B18" s="232"/>
      <c r="C18" s="232"/>
      <c r="D18" s="232"/>
      <c r="E18" s="232"/>
      <c r="F18" s="232"/>
      <c r="G18" s="232"/>
      <c r="H18" s="232"/>
      <c r="I18" s="232"/>
      <c r="J18" s="232"/>
      <c r="K18" s="232"/>
      <c r="L18" s="232"/>
      <c r="M18" s="232"/>
      <c r="N18" s="232"/>
      <c r="O18" s="232"/>
      <c r="P18" s="232"/>
      <c r="Q18" s="232"/>
      <c r="R18" s="232"/>
      <c r="S18" s="232"/>
      <c r="T18" s="233"/>
      <c r="U18" s="233"/>
      <c r="V18" s="233"/>
      <c r="W18" s="233"/>
      <c r="X18" s="233"/>
      <c r="Y18" s="233"/>
      <c r="Z18" s="233"/>
      <c r="AA18" s="233"/>
      <c r="AB18" s="233"/>
      <c r="AC18" s="233"/>
      <c r="AD18" s="233"/>
      <c r="AE18" s="233"/>
      <c r="AF18" s="233"/>
      <c r="AG18" s="233"/>
      <c r="AH18" s="233"/>
      <c r="AI18" s="195"/>
      <c r="AJ18" s="195"/>
      <c r="AK18" s="195"/>
      <c r="AL18" s="195"/>
      <c r="AM18" s="195"/>
      <c r="AN18" s="195"/>
      <c r="AO18" s="195"/>
      <c r="AP18" s="195"/>
      <c r="AQ18" s="195"/>
      <c r="AR18" s="195"/>
      <c r="AS18" s="195"/>
      <c r="AT18" s="195"/>
      <c r="AU18" s="195"/>
      <c r="AV18" s="195"/>
      <c r="AW18" s="195"/>
      <c r="AX18" s="195"/>
      <c r="AY18" s="195"/>
      <c r="AZ18" s="195"/>
      <c r="BA18" s="195"/>
      <c r="BB18" s="195"/>
      <c r="BC18" s="234"/>
      <c r="BD18" s="234"/>
      <c r="BE18" s="234"/>
      <c r="BF18" s="234"/>
      <c r="BG18" s="234"/>
      <c r="BH18" s="234"/>
      <c r="BI18" s="234"/>
      <c r="BJ18" s="234"/>
      <c r="BK18" s="234"/>
      <c r="BL18" s="234"/>
      <c r="BM18" s="234"/>
      <c r="BN18" s="234"/>
      <c r="BO18" s="234"/>
      <c r="BP18" s="234"/>
      <c r="BQ18" s="234"/>
      <c r="BR18" s="234"/>
      <c r="BS18" s="234"/>
      <c r="BT18" s="234"/>
      <c r="BU18" s="234"/>
      <c r="BV18" s="234"/>
      <c r="BW18" s="231"/>
      <c r="BX18" s="231"/>
      <c r="BY18" s="231"/>
      <c r="BZ18" s="231"/>
      <c r="CA18" s="231"/>
      <c r="CB18" s="231"/>
      <c r="CC18" s="231"/>
      <c r="CD18" s="231"/>
      <c r="CE18" s="231"/>
      <c r="CF18" s="231"/>
      <c r="CG18" s="231"/>
      <c r="CH18" s="231"/>
      <c r="CI18" s="231"/>
      <c r="CJ18" s="231"/>
      <c r="CK18" s="231"/>
      <c r="CQ18" s="231"/>
      <c r="CR18" s="231"/>
      <c r="CS18" s="231"/>
      <c r="CT18" s="231"/>
      <c r="CU18" s="231"/>
      <c r="CV18" s="231"/>
      <c r="CW18" s="231"/>
      <c r="CX18" s="231"/>
      <c r="CY18" s="231"/>
      <c r="CZ18" s="231"/>
      <c r="DA18" s="231"/>
      <c r="DB18" s="231"/>
      <c r="DC18" s="231"/>
      <c r="DD18" s="231"/>
      <c r="DE18" s="231"/>
      <c r="DK18" s="231"/>
      <c r="DL18" s="231"/>
      <c r="DM18" s="231"/>
      <c r="DN18" s="231"/>
      <c r="DO18" s="231"/>
      <c r="DP18" s="231"/>
      <c r="DQ18" s="231"/>
      <c r="DR18" s="231"/>
      <c r="DS18" s="231"/>
      <c r="DT18" s="231"/>
      <c r="DU18" s="231"/>
      <c r="DV18" s="231"/>
      <c r="DW18" s="231"/>
      <c r="DX18" s="231"/>
      <c r="DY18" s="231"/>
    </row>
    <row r="19" spans="1:194" x14ac:dyDescent="0.2">
      <c r="A19" s="648" t="s">
        <v>325</v>
      </c>
      <c r="B19" s="638" t="s">
        <v>33</v>
      </c>
      <c r="C19" s="639"/>
      <c r="D19" s="639"/>
      <c r="E19" s="639"/>
      <c r="F19" s="639"/>
      <c r="G19" s="639"/>
      <c r="H19" s="639"/>
      <c r="I19" s="639"/>
      <c r="J19" s="639"/>
      <c r="K19" s="638" t="s">
        <v>34</v>
      </c>
      <c r="L19" s="639"/>
      <c r="M19" s="639"/>
      <c r="N19" s="639"/>
      <c r="O19" s="639"/>
      <c r="P19" s="639"/>
      <c r="Q19" s="639"/>
      <c r="R19" s="639"/>
      <c r="S19" s="639"/>
      <c r="T19" s="638" t="s">
        <v>35</v>
      </c>
      <c r="U19" s="639"/>
      <c r="V19" s="639"/>
      <c r="W19" s="639"/>
      <c r="X19" s="639"/>
      <c r="Y19" s="639"/>
      <c r="Z19" s="639"/>
      <c r="AA19" s="639"/>
      <c r="AB19" s="639"/>
      <c r="AC19" s="639"/>
      <c r="AD19" s="639"/>
      <c r="AE19" s="639"/>
      <c r="AF19" s="639"/>
      <c r="AG19" s="639"/>
      <c r="AH19" s="640"/>
      <c r="AI19" s="631" t="s">
        <v>36</v>
      </c>
      <c r="AJ19" s="631"/>
      <c r="AK19" s="631"/>
      <c r="AL19" s="631"/>
      <c r="AM19" s="631"/>
      <c r="AN19" s="631"/>
      <c r="AO19" s="631"/>
      <c r="AP19" s="631"/>
      <c r="AQ19" s="631"/>
      <c r="AR19" s="631"/>
      <c r="AS19" s="631"/>
      <c r="AT19" s="631"/>
      <c r="AU19" s="631"/>
      <c r="AV19" s="631"/>
      <c r="AW19" s="631"/>
      <c r="AX19" s="631"/>
      <c r="AY19" s="631"/>
      <c r="AZ19" s="631"/>
      <c r="BA19" s="631"/>
      <c r="BB19" s="631"/>
      <c r="BC19" s="631" t="s">
        <v>37</v>
      </c>
      <c r="BD19" s="631"/>
      <c r="BE19" s="631"/>
      <c r="BF19" s="631"/>
      <c r="BG19" s="631"/>
      <c r="BH19" s="631"/>
      <c r="BI19" s="631"/>
      <c r="BJ19" s="631"/>
      <c r="BK19" s="631"/>
      <c r="BL19" s="631"/>
      <c r="BM19" s="631"/>
      <c r="BN19" s="631"/>
      <c r="BO19" s="631"/>
      <c r="BP19" s="631"/>
      <c r="BQ19" s="631"/>
      <c r="BR19" s="631"/>
      <c r="BS19" s="631"/>
      <c r="BT19" s="631"/>
      <c r="BU19" s="631"/>
      <c r="BV19" s="631"/>
      <c r="BW19" s="638" t="s">
        <v>38</v>
      </c>
      <c r="BX19" s="639"/>
      <c r="BY19" s="639"/>
      <c r="BZ19" s="639"/>
      <c r="CA19" s="639"/>
      <c r="CB19" s="639"/>
      <c r="CC19" s="639"/>
      <c r="CD19" s="639"/>
      <c r="CE19" s="639"/>
      <c r="CF19" s="639"/>
      <c r="CG19" s="639"/>
      <c r="CH19" s="639"/>
      <c r="CI19" s="639"/>
      <c r="CJ19" s="639"/>
      <c r="CK19" s="639"/>
      <c r="CL19" s="639"/>
      <c r="CM19" s="639"/>
      <c r="CN19" s="639"/>
      <c r="CO19" s="639"/>
      <c r="CP19" s="640"/>
      <c r="CQ19" s="631" t="s">
        <v>39</v>
      </c>
      <c r="CR19" s="631"/>
      <c r="CS19" s="631"/>
      <c r="CT19" s="631"/>
      <c r="CU19" s="631"/>
      <c r="CV19" s="631"/>
      <c r="CW19" s="631"/>
      <c r="CX19" s="631"/>
      <c r="CY19" s="631"/>
      <c r="CZ19" s="631"/>
      <c r="DA19" s="631"/>
      <c r="DB19" s="631"/>
      <c r="DC19" s="631"/>
      <c r="DD19" s="631"/>
      <c r="DE19" s="631"/>
      <c r="DF19" s="631"/>
      <c r="DG19" s="631"/>
      <c r="DH19" s="631"/>
      <c r="DI19" s="631"/>
      <c r="DJ19" s="631"/>
      <c r="DK19" s="631" t="s">
        <v>40</v>
      </c>
      <c r="DL19" s="631"/>
      <c r="DM19" s="631"/>
      <c r="DN19" s="631"/>
      <c r="DO19" s="631"/>
      <c r="DP19" s="631"/>
      <c r="DQ19" s="631"/>
      <c r="DR19" s="631"/>
      <c r="DS19" s="631"/>
      <c r="DT19" s="631"/>
      <c r="DU19" s="631"/>
      <c r="DV19" s="631"/>
      <c r="DW19" s="631"/>
      <c r="DX19" s="631"/>
      <c r="DY19" s="631"/>
      <c r="DZ19" s="631"/>
      <c r="EA19" s="631"/>
      <c r="EB19" s="631"/>
      <c r="EC19" s="631"/>
      <c r="ED19" s="631"/>
      <c r="EE19" s="631" t="s">
        <v>41</v>
      </c>
      <c r="EF19" s="631"/>
      <c r="EG19" s="631"/>
      <c r="EH19" s="631"/>
      <c r="EI19" s="631"/>
      <c r="EJ19" s="631"/>
      <c r="EK19" s="631"/>
      <c r="EL19" s="631"/>
      <c r="EM19" s="631"/>
      <c r="EN19" s="631"/>
      <c r="EO19" s="631"/>
      <c r="EP19" s="631"/>
      <c r="EQ19" s="631"/>
      <c r="ER19" s="631"/>
      <c r="ES19" s="631"/>
      <c r="ET19" s="631"/>
      <c r="EU19" s="631"/>
      <c r="EV19" s="631"/>
      <c r="EW19" s="631"/>
      <c r="EX19" s="631"/>
      <c r="EY19" s="631" t="s">
        <v>292</v>
      </c>
      <c r="EZ19" s="631"/>
      <c r="FA19" s="631"/>
      <c r="FB19" s="631"/>
      <c r="FC19" s="631"/>
      <c r="FD19" s="631"/>
      <c r="FE19" s="631"/>
      <c r="FF19" s="631"/>
      <c r="FG19" s="631"/>
      <c r="FH19" s="631"/>
      <c r="FI19" s="631"/>
      <c r="FJ19" s="631"/>
      <c r="FK19" s="631"/>
      <c r="FL19" s="631"/>
      <c r="FM19" s="631"/>
      <c r="FN19" s="631"/>
      <c r="FO19" s="631"/>
      <c r="FP19" s="631"/>
      <c r="FQ19" s="631"/>
      <c r="FR19" s="638"/>
      <c r="FS19" s="631" t="s">
        <v>399</v>
      </c>
      <c r="FT19" s="631"/>
      <c r="FU19" s="631"/>
      <c r="FV19" s="631"/>
      <c r="FW19" s="631"/>
      <c r="FX19" s="631"/>
      <c r="FY19" s="631"/>
      <c r="FZ19" s="631"/>
      <c r="GA19" s="631"/>
      <c r="GB19" s="631"/>
      <c r="GC19" s="631"/>
      <c r="GD19" s="631"/>
      <c r="GE19" s="631"/>
      <c r="GF19" s="631"/>
      <c r="GG19" s="631"/>
      <c r="GH19" s="631"/>
      <c r="GI19" s="631"/>
      <c r="GJ19" s="631"/>
      <c r="GK19" s="631"/>
      <c r="GL19" s="631"/>
    </row>
    <row r="20" spans="1:194" x14ac:dyDescent="0.2">
      <c r="A20" s="649"/>
      <c r="B20" s="651" t="s">
        <v>326</v>
      </c>
      <c r="C20" s="652"/>
      <c r="D20" s="653"/>
      <c r="E20" s="651" t="s">
        <v>327</v>
      </c>
      <c r="F20" s="652"/>
      <c r="G20" s="653"/>
      <c r="H20" s="654" t="s">
        <v>347</v>
      </c>
      <c r="I20" s="655"/>
      <c r="J20" s="656"/>
      <c r="K20" s="651" t="s">
        <v>326</v>
      </c>
      <c r="L20" s="652"/>
      <c r="M20" s="653"/>
      <c r="N20" s="651" t="s">
        <v>327</v>
      </c>
      <c r="O20" s="652"/>
      <c r="P20" s="653"/>
      <c r="Q20" s="641" t="s">
        <v>347</v>
      </c>
      <c r="R20" s="642"/>
      <c r="S20" s="643"/>
      <c r="T20" s="644" t="s">
        <v>328</v>
      </c>
      <c r="U20" s="644"/>
      <c r="V20" s="644"/>
      <c r="W20" s="644"/>
      <c r="X20" s="644"/>
      <c r="Y20" s="644" t="s">
        <v>329</v>
      </c>
      <c r="Z20" s="644"/>
      <c r="AA20" s="644"/>
      <c r="AB20" s="644"/>
      <c r="AC20" s="644"/>
      <c r="AD20" s="644" t="s">
        <v>347</v>
      </c>
      <c r="AE20" s="644"/>
      <c r="AF20" s="644"/>
      <c r="AG20" s="644"/>
      <c r="AH20" s="644"/>
      <c r="AI20" s="630" t="s">
        <v>330</v>
      </c>
      <c r="AJ20" s="630"/>
      <c r="AK20" s="630"/>
      <c r="AL20" s="630"/>
      <c r="AM20" s="630"/>
      <c r="AN20" s="630" t="s">
        <v>331</v>
      </c>
      <c r="AO20" s="630"/>
      <c r="AP20" s="630"/>
      <c r="AQ20" s="630"/>
      <c r="AR20" s="630"/>
      <c r="AS20" s="630" t="s">
        <v>332</v>
      </c>
      <c r="AT20" s="630"/>
      <c r="AU20" s="630"/>
      <c r="AV20" s="630"/>
      <c r="AW20" s="630"/>
      <c r="AX20" s="630" t="s">
        <v>28</v>
      </c>
      <c r="AY20" s="630"/>
      <c r="AZ20" s="630"/>
      <c r="BA20" s="630"/>
      <c r="BB20" s="630"/>
      <c r="BC20" s="630" t="s">
        <v>330</v>
      </c>
      <c r="BD20" s="630"/>
      <c r="BE20" s="630"/>
      <c r="BF20" s="630"/>
      <c r="BG20" s="630"/>
      <c r="BH20" s="630" t="s">
        <v>331</v>
      </c>
      <c r="BI20" s="630"/>
      <c r="BJ20" s="630"/>
      <c r="BK20" s="630"/>
      <c r="BL20" s="630"/>
      <c r="BM20" s="630" t="s">
        <v>332</v>
      </c>
      <c r="BN20" s="630"/>
      <c r="BO20" s="630"/>
      <c r="BP20" s="630"/>
      <c r="BQ20" s="630"/>
      <c r="BR20" s="630" t="s">
        <v>28</v>
      </c>
      <c r="BS20" s="630"/>
      <c r="BT20" s="630"/>
      <c r="BU20" s="630"/>
      <c r="BV20" s="630"/>
      <c r="BW20" s="630" t="s">
        <v>330</v>
      </c>
      <c r="BX20" s="630"/>
      <c r="BY20" s="630"/>
      <c r="BZ20" s="630"/>
      <c r="CA20" s="630"/>
      <c r="CB20" s="630" t="s">
        <v>331</v>
      </c>
      <c r="CC20" s="630"/>
      <c r="CD20" s="630"/>
      <c r="CE20" s="630"/>
      <c r="CF20" s="630"/>
      <c r="CG20" s="630" t="s">
        <v>332</v>
      </c>
      <c r="CH20" s="630"/>
      <c r="CI20" s="630"/>
      <c r="CJ20" s="630"/>
      <c r="CK20" s="630"/>
      <c r="CL20" s="630" t="s">
        <v>28</v>
      </c>
      <c r="CM20" s="630"/>
      <c r="CN20" s="630"/>
      <c r="CO20" s="630"/>
      <c r="CP20" s="630"/>
      <c r="CQ20" s="630" t="s">
        <v>330</v>
      </c>
      <c r="CR20" s="630"/>
      <c r="CS20" s="630"/>
      <c r="CT20" s="630"/>
      <c r="CU20" s="630"/>
      <c r="CV20" s="630" t="s">
        <v>331</v>
      </c>
      <c r="CW20" s="630"/>
      <c r="CX20" s="630"/>
      <c r="CY20" s="630"/>
      <c r="CZ20" s="630"/>
      <c r="DA20" s="630" t="s">
        <v>332</v>
      </c>
      <c r="DB20" s="630"/>
      <c r="DC20" s="630"/>
      <c r="DD20" s="630"/>
      <c r="DE20" s="630"/>
      <c r="DF20" s="630" t="s">
        <v>28</v>
      </c>
      <c r="DG20" s="630"/>
      <c r="DH20" s="630"/>
      <c r="DI20" s="630"/>
      <c r="DJ20" s="630"/>
      <c r="DK20" s="630" t="s">
        <v>330</v>
      </c>
      <c r="DL20" s="630"/>
      <c r="DM20" s="630"/>
      <c r="DN20" s="630"/>
      <c r="DO20" s="630"/>
      <c r="DP20" s="630" t="s">
        <v>331</v>
      </c>
      <c r="DQ20" s="630"/>
      <c r="DR20" s="630"/>
      <c r="DS20" s="630"/>
      <c r="DT20" s="630"/>
      <c r="DU20" s="630" t="s">
        <v>332</v>
      </c>
      <c r="DV20" s="630"/>
      <c r="DW20" s="630"/>
      <c r="DX20" s="630"/>
      <c r="DY20" s="630"/>
      <c r="DZ20" s="630" t="s">
        <v>28</v>
      </c>
      <c r="EA20" s="630"/>
      <c r="EB20" s="630"/>
      <c r="EC20" s="630"/>
      <c r="ED20" s="630"/>
      <c r="EE20" s="636" t="s">
        <v>330</v>
      </c>
      <c r="EF20" s="636"/>
      <c r="EG20" s="636"/>
      <c r="EH20" s="636"/>
      <c r="EI20" s="637"/>
      <c r="EJ20" s="636" t="s">
        <v>331</v>
      </c>
      <c r="EK20" s="636"/>
      <c r="EL20" s="636"/>
      <c r="EM20" s="636"/>
      <c r="EN20" s="637"/>
      <c r="EO20" s="636" t="s">
        <v>332</v>
      </c>
      <c r="EP20" s="636"/>
      <c r="EQ20" s="636"/>
      <c r="ER20" s="636"/>
      <c r="ES20" s="637"/>
      <c r="ET20" s="636" t="s">
        <v>28</v>
      </c>
      <c r="EU20" s="636"/>
      <c r="EV20" s="636"/>
      <c r="EW20" s="636"/>
      <c r="EX20" s="637"/>
      <c r="EY20" s="636" t="s">
        <v>330</v>
      </c>
      <c r="EZ20" s="636"/>
      <c r="FA20" s="636"/>
      <c r="FB20" s="636"/>
      <c r="FC20" s="637"/>
      <c r="FD20" s="636" t="s">
        <v>331</v>
      </c>
      <c r="FE20" s="636"/>
      <c r="FF20" s="636"/>
      <c r="FG20" s="636"/>
      <c r="FH20" s="637"/>
      <c r="FI20" s="636" t="s">
        <v>332</v>
      </c>
      <c r="FJ20" s="636"/>
      <c r="FK20" s="636"/>
      <c r="FL20" s="636"/>
      <c r="FM20" s="637"/>
      <c r="FN20" s="636" t="s">
        <v>28</v>
      </c>
      <c r="FO20" s="636"/>
      <c r="FP20" s="636"/>
      <c r="FQ20" s="636"/>
      <c r="FR20" s="636"/>
      <c r="FS20" s="630" t="s">
        <v>330</v>
      </c>
      <c r="FT20" s="630"/>
      <c r="FU20" s="630"/>
      <c r="FV20" s="630"/>
      <c r="FW20" s="630"/>
      <c r="FX20" s="630" t="s">
        <v>331</v>
      </c>
      <c r="FY20" s="630"/>
      <c r="FZ20" s="630"/>
      <c r="GA20" s="630"/>
      <c r="GB20" s="630"/>
      <c r="GC20" s="630" t="s">
        <v>332</v>
      </c>
      <c r="GD20" s="630"/>
      <c r="GE20" s="630"/>
      <c r="GF20" s="630"/>
      <c r="GG20" s="630"/>
      <c r="GH20" s="630" t="s">
        <v>28</v>
      </c>
      <c r="GI20" s="630"/>
      <c r="GJ20" s="630"/>
      <c r="GK20" s="630"/>
      <c r="GL20" s="630"/>
    </row>
    <row r="21" spans="1:194" ht="51" x14ac:dyDescent="0.2">
      <c r="A21" s="650"/>
      <c r="B21" s="235" t="s">
        <v>333</v>
      </c>
      <c r="C21" s="236" t="s">
        <v>348</v>
      </c>
      <c r="D21" s="236" t="s">
        <v>349</v>
      </c>
      <c r="E21" s="235" t="s">
        <v>333</v>
      </c>
      <c r="F21" s="236" t="s">
        <v>348</v>
      </c>
      <c r="G21" s="236" t="s">
        <v>349</v>
      </c>
      <c r="H21" s="235" t="s">
        <v>333</v>
      </c>
      <c r="I21" s="236" t="s">
        <v>348</v>
      </c>
      <c r="J21" s="236" t="s">
        <v>349</v>
      </c>
      <c r="K21" s="237" t="s">
        <v>333</v>
      </c>
      <c r="L21" s="238" t="s">
        <v>348</v>
      </c>
      <c r="M21" s="238" t="s">
        <v>349</v>
      </c>
      <c r="N21" s="237" t="s">
        <v>333</v>
      </c>
      <c r="O21" s="238" t="s">
        <v>348</v>
      </c>
      <c r="P21" s="238" t="s">
        <v>349</v>
      </c>
      <c r="Q21" s="237" t="s">
        <v>333</v>
      </c>
      <c r="R21" s="238" t="s">
        <v>348</v>
      </c>
      <c r="S21" s="238" t="s">
        <v>349</v>
      </c>
      <c r="T21" s="355" t="s">
        <v>333</v>
      </c>
      <c r="U21" s="355" t="s">
        <v>348</v>
      </c>
      <c r="V21" s="355" t="s">
        <v>349</v>
      </c>
      <c r="W21" s="239" t="s">
        <v>350</v>
      </c>
      <c r="X21" s="239" t="s">
        <v>351</v>
      </c>
      <c r="Y21" s="355" t="s">
        <v>333</v>
      </c>
      <c r="Z21" s="355" t="s">
        <v>348</v>
      </c>
      <c r="AA21" s="355" t="s">
        <v>349</v>
      </c>
      <c r="AB21" s="239" t="s">
        <v>350</v>
      </c>
      <c r="AC21" s="239" t="s">
        <v>351</v>
      </c>
      <c r="AD21" s="355" t="s">
        <v>333</v>
      </c>
      <c r="AE21" s="355" t="s">
        <v>348</v>
      </c>
      <c r="AF21" s="355" t="s">
        <v>349</v>
      </c>
      <c r="AG21" s="239" t="s">
        <v>350</v>
      </c>
      <c r="AH21" s="239" t="s">
        <v>352</v>
      </c>
      <c r="AI21" s="354" t="s">
        <v>333</v>
      </c>
      <c r="AJ21" s="354" t="s">
        <v>353</v>
      </c>
      <c r="AK21" s="354" t="s">
        <v>354</v>
      </c>
      <c r="AL21" s="240" t="s">
        <v>336</v>
      </c>
      <c r="AM21" s="240" t="s">
        <v>352</v>
      </c>
      <c r="AN21" s="354" t="s">
        <v>333</v>
      </c>
      <c r="AO21" s="354" t="s">
        <v>353</v>
      </c>
      <c r="AP21" s="354" t="s">
        <v>354</v>
      </c>
      <c r="AQ21" s="240" t="s">
        <v>336</v>
      </c>
      <c r="AR21" s="240" t="s">
        <v>352</v>
      </c>
      <c r="AS21" s="354" t="s">
        <v>333</v>
      </c>
      <c r="AT21" s="354" t="s">
        <v>353</v>
      </c>
      <c r="AU21" s="354" t="s">
        <v>354</v>
      </c>
      <c r="AV21" s="240" t="s">
        <v>336</v>
      </c>
      <c r="AW21" s="240" t="s">
        <v>352</v>
      </c>
      <c r="AX21" s="354" t="s">
        <v>333</v>
      </c>
      <c r="AY21" s="354" t="s">
        <v>353</v>
      </c>
      <c r="AZ21" s="354" t="s">
        <v>354</v>
      </c>
      <c r="BA21" s="240" t="s">
        <v>336</v>
      </c>
      <c r="BB21" s="240" t="s">
        <v>352</v>
      </c>
      <c r="BC21" s="240" t="s">
        <v>333</v>
      </c>
      <c r="BD21" s="240" t="s">
        <v>353</v>
      </c>
      <c r="BE21" s="240" t="s">
        <v>354</v>
      </c>
      <c r="BF21" s="240" t="s">
        <v>336</v>
      </c>
      <c r="BG21" s="240" t="s">
        <v>352</v>
      </c>
      <c r="BH21" s="240" t="s">
        <v>333</v>
      </c>
      <c r="BI21" s="240" t="s">
        <v>353</v>
      </c>
      <c r="BJ21" s="240" t="s">
        <v>354</v>
      </c>
      <c r="BK21" s="240" t="s">
        <v>336</v>
      </c>
      <c r="BL21" s="240" t="s">
        <v>352</v>
      </c>
      <c r="BM21" s="240" t="s">
        <v>333</v>
      </c>
      <c r="BN21" s="240" t="s">
        <v>353</v>
      </c>
      <c r="BO21" s="240" t="s">
        <v>354</v>
      </c>
      <c r="BP21" s="240" t="s">
        <v>336</v>
      </c>
      <c r="BQ21" s="240" t="s">
        <v>352</v>
      </c>
      <c r="BR21" s="240" t="s">
        <v>333</v>
      </c>
      <c r="BS21" s="240" t="s">
        <v>353</v>
      </c>
      <c r="BT21" s="240" t="s">
        <v>354</v>
      </c>
      <c r="BU21" s="240" t="s">
        <v>336</v>
      </c>
      <c r="BV21" s="240" t="s">
        <v>352</v>
      </c>
      <c r="BW21" s="240" t="s">
        <v>333</v>
      </c>
      <c r="BX21" s="240" t="s">
        <v>353</v>
      </c>
      <c r="BY21" s="240" t="s">
        <v>354</v>
      </c>
      <c r="BZ21" s="240" t="s">
        <v>336</v>
      </c>
      <c r="CA21" s="240" t="s">
        <v>352</v>
      </c>
      <c r="CB21" s="240" t="s">
        <v>333</v>
      </c>
      <c r="CC21" s="240" t="s">
        <v>353</v>
      </c>
      <c r="CD21" s="240" t="s">
        <v>354</v>
      </c>
      <c r="CE21" s="240" t="s">
        <v>336</v>
      </c>
      <c r="CF21" s="240" t="s">
        <v>352</v>
      </c>
      <c r="CG21" s="240" t="s">
        <v>333</v>
      </c>
      <c r="CH21" s="240" t="s">
        <v>353</v>
      </c>
      <c r="CI21" s="240" t="s">
        <v>354</v>
      </c>
      <c r="CJ21" s="240" t="s">
        <v>336</v>
      </c>
      <c r="CK21" s="240" t="s">
        <v>352</v>
      </c>
      <c r="CL21" s="240" t="s">
        <v>333</v>
      </c>
      <c r="CM21" s="240" t="s">
        <v>353</v>
      </c>
      <c r="CN21" s="240" t="s">
        <v>354</v>
      </c>
      <c r="CO21" s="240" t="s">
        <v>336</v>
      </c>
      <c r="CP21" s="240" t="s">
        <v>352</v>
      </c>
      <c r="CQ21" s="240" t="s">
        <v>333</v>
      </c>
      <c r="CR21" s="240" t="s">
        <v>353</v>
      </c>
      <c r="CS21" s="240" t="s">
        <v>354</v>
      </c>
      <c r="CT21" s="240" t="s">
        <v>336</v>
      </c>
      <c r="CU21" s="240" t="s">
        <v>352</v>
      </c>
      <c r="CV21" s="240" t="s">
        <v>333</v>
      </c>
      <c r="CW21" s="240" t="s">
        <v>353</v>
      </c>
      <c r="CX21" s="240" t="s">
        <v>354</v>
      </c>
      <c r="CY21" s="240" t="s">
        <v>336</v>
      </c>
      <c r="CZ21" s="240" t="s">
        <v>352</v>
      </c>
      <c r="DA21" s="240" t="s">
        <v>333</v>
      </c>
      <c r="DB21" s="240" t="s">
        <v>353</v>
      </c>
      <c r="DC21" s="240" t="s">
        <v>354</v>
      </c>
      <c r="DD21" s="240" t="s">
        <v>336</v>
      </c>
      <c r="DE21" s="240" t="s">
        <v>352</v>
      </c>
      <c r="DF21" s="240" t="s">
        <v>333</v>
      </c>
      <c r="DG21" s="240" t="s">
        <v>353</v>
      </c>
      <c r="DH21" s="240" t="s">
        <v>354</v>
      </c>
      <c r="DI21" s="240" t="s">
        <v>336</v>
      </c>
      <c r="DJ21" s="240" t="s">
        <v>352</v>
      </c>
      <c r="DK21" s="240" t="s">
        <v>333</v>
      </c>
      <c r="DL21" s="240" t="s">
        <v>353</v>
      </c>
      <c r="DM21" s="240" t="s">
        <v>354</v>
      </c>
      <c r="DN21" s="240" t="s">
        <v>336</v>
      </c>
      <c r="DO21" s="240" t="s">
        <v>352</v>
      </c>
      <c r="DP21" s="240" t="s">
        <v>333</v>
      </c>
      <c r="DQ21" s="240" t="s">
        <v>353</v>
      </c>
      <c r="DR21" s="240" t="s">
        <v>354</v>
      </c>
      <c r="DS21" s="240" t="s">
        <v>336</v>
      </c>
      <c r="DT21" s="240" t="s">
        <v>352</v>
      </c>
      <c r="DU21" s="240" t="s">
        <v>333</v>
      </c>
      <c r="DV21" s="240" t="s">
        <v>353</v>
      </c>
      <c r="DW21" s="240" t="s">
        <v>354</v>
      </c>
      <c r="DX21" s="240" t="s">
        <v>336</v>
      </c>
      <c r="DY21" s="240" t="s">
        <v>352</v>
      </c>
      <c r="DZ21" s="240" t="s">
        <v>333</v>
      </c>
      <c r="EA21" s="240" t="s">
        <v>353</v>
      </c>
      <c r="EB21" s="240" t="s">
        <v>354</v>
      </c>
      <c r="EC21" s="240" t="s">
        <v>336</v>
      </c>
      <c r="ED21" s="240" t="s">
        <v>352</v>
      </c>
      <c r="EE21" s="240" t="s">
        <v>333</v>
      </c>
      <c r="EF21" s="240" t="s">
        <v>353</v>
      </c>
      <c r="EG21" s="240" t="s">
        <v>354</v>
      </c>
      <c r="EH21" s="240" t="s">
        <v>336</v>
      </c>
      <c r="EI21" s="240" t="s">
        <v>352</v>
      </c>
      <c r="EJ21" s="240" t="s">
        <v>333</v>
      </c>
      <c r="EK21" s="240" t="s">
        <v>353</v>
      </c>
      <c r="EL21" s="240" t="s">
        <v>354</v>
      </c>
      <c r="EM21" s="240" t="s">
        <v>336</v>
      </c>
      <c r="EN21" s="240" t="s">
        <v>352</v>
      </c>
      <c r="EO21" s="240" t="s">
        <v>333</v>
      </c>
      <c r="EP21" s="240" t="s">
        <v>353</v>
      </c>
      <c r="EQ21" s="240" t="s">
        <v>354</v>
      </c>
      <c r="ER21" s="240" t="s">
        <v>336</v>
      </c>
      <c r="ES21" s="240" t="s">
        <v>352</v>
      </c>
      <c r="ET21" s="240" t="s">
        <v>333</v>
      </c>
      <c r="EU21" s="240" t="s">
        <v>353</v>
      </c>
      <c r="EV21" s="240" t="s">
        <v>354</v>
      </c>
      <c r="EW21" s="240" t="s">
        <v>336</v>
      </c>
      <c r="EX21" s="240" t="s">
        <v>352</v>
      </c>
      <c r="EY21" s="240" t="s">
        <v>333</v>
      </c>
      <c r="EZ21" s="240" t="s">
        <v>353</v>
      </c>
      <c r="FA21" s="240" t="s">
        <v>354</v>
      </c>
      <c r="FB21" s="240" t="s">
        <v>336</v>
      </c>
      <c r="FC21" s="240" t="s">
        <v>352</v>
      </c>
      <c r="FD21" s="240" t="s">
        <v>333</v>
      </c>
      <c r="FE21" s="240" t="s">
        <v>353</v>
      </c>
      <c r="FF21" s="240" t="s">
        <v>354</v>
      </c>
      <c r="FG21" s="240" t="s">
        <v>336</v>
      </c>
      <c r="FH21" s="240" t="s">
        <v>352</v>
      </c>
      <c r="FI21" s="240" t="s">
        <v>333</v>
      </c>
      <c r="FJ21" s="240" t="s">
        <v>353</v>
      </c>
      <c r="FK21" s="240" t="s">
        <v>354</v>
      </c>
      <c r="FL21" s="240" t="s">
        <v>336</v>
      </c>
      <c r="FM21" s="240" t="s">
        <v>352</v>
      </c>
      <c r="FN21" s="240" t="s">
        <v>333</v>
      </c>
      <c r="FO21" s="240" t="s">
        <v>353</v>
      </c>
      <c r="FP21" s="240" t="s">
        <v>354</v>
      </c>
      <c r="FQ21" s="240" t="s">
        <v>336</v>
      </c>
      <c r="FR21" s="482" t="s">
        <v>352</v>
      </c>
      <c r="FS21" s="240" t="s">
        <v>333</v>
      </c>
      <c r="FT21" s="240" t="s">
        <v>353</v>
      </c>
      <c r="FU21" s="240" t="s">
        <v>354</v>
      </c>
      <c r="FV21" s="240" t="s">
        <v>336</v>
      </c>
      <c r="FW21" s="240" t="s">
        <v>352</v>
      </c>
      <c r="FX21" s="240" t="s">
        <v>333</v>
      </c>
      <c r="FY21" s="240" t="s">
        <v>353</v>
      </c>
      <c r="FZ21" s="240" t="s">
        <v>354</v>
      </c>
      <c r="GA21" s="240" t="s">
        <v>336</v>
      </c>
      <c r="GB21" s="240" t="s">
        <v>352</v>
      </c>
      <c r="GC21" s="240" t="s">
        <v>333</v>
      </c>
      <c r="GD21" s="240" t="s">
        <v>353</v>
      </c>
      <c r="GE21" s="240" t="s">
        <v>354</v>
      </c>
      <c r="GF21" s="240" t="s">
        <v>336</v>
      </c>
      <c r="GG21" s="240" t="s">
        <v>352</v>
      </c>
      <c r="GH21" s="240" t="s">
        <v>333</v>
      </c>
      <c r="GI21" s="240" t="s">
        <v>353</v>
      </c>
      <c r="GJ21" s="240" t="s">
        <v>354</v>
      </c>
      <c r="GK21" s="240" t="s">
        <v>336</v>
      </c>
      <c r="GL21" s="240" t="s">
        <v>352</v>
      </c>
    </row>
    <row r="22" spans="1:194" x14ac:dyDescent="0.2">
      <c r="A22" s="201" t="s">
        <v>49</v>
      </c>
      <c r="B22" s="241">
        <v>2.7201360261532408E-2</v>
      </c>
      <c r="C22" s="241">
        <v>2.8743131373961752E-2</v>
      </c>
      <c r="D22" s="241">
        <v>3.1010116288284054E-2</v>
      </c>
      <c r="E22" s="241">
        <v>7.3928107921464037E-2</v>
      </c>
      <c r="F22" s="241">
        <v>8.8115373266730121E-2</v>
      </c>
      <c r="G22" s="241">
        <v>0.43278024416310934</v>
      </c>
      <c r="H22" s="241">
        <v>2.8637673096991043E-2</v>
      </c>
      <c r="I22" s="241">
        <v>0.09</v>
      </c>
      <c r="J22" s="241">
        <v>0.25739964528535725</v>
      </c>
      <c r="K22" s="241">
        <v>3.5900000000000001E-2</v>
      </c>
      <c r="L22" s="242">
        <v>4.9072528638257194E-2</v>
      </c>
      <c r="M22" s="241">
        <v>4.4400000000000002E-2</v>
      </c>
      <c r="N22" s="241">
        <v>7.4700000000000003E-2</v>
      </c>
      <c r="O22" s="241">
        <v>7.4700000000000003E-2</v>
      </c>
      <c r="P22" s="241">
        <v>0.39169999999999999</v>
      </c>
      <c r="Q22" s="241">
        <v>3.73E-2</v>
      </c>
      <c r="R22" s="242">
        <v>7.0000000000000007E-2</v>
      </c>
      <c r="S22" s="241">
        <v>0.24440000000000001</v>
      </c>
      <c r="T22" s="243">
        <v>3.71572572715149E-2</v>
      </c>
      <c r="U22" s="243">
        <v>3.5911823143336165E-2</v>
      </c>
      <c r="V22" s="243">
        <v>4.0040664242704395E-2</v>
      </c>
      <c r="W22" s="243">
        <v>3.3715569958630155E-2</v>
      </c>
      <c r="X22" s="243">
        <v>3.6110462555355508E-2</v>
      </c>
      <c r="Y22" s="243">
        <v>8.5170849645657506E-2</v>
      </c>
      <c r="Z22" s="243">
        <v>0.11014896654552296</v>
      </c>
      <c r="AA22" s="243">
        <v>0.44564601154220723</v>
      </c>
      <c r="AB22" s="243">
        <v>0.28419175722384798</v>
      </c>
      <c r="AC22" s="243">
        <v>0.47267143559410879</v>
      </c>
      <c r="AD22" s="243">
        <v>3.8804931985164826E-2</v>
      </c>
      <c r="AE22" s="243">
        <v>0.10472335950405103</v>
      </c>
      <c r="AF22" s="243">
        <v>0.27770809773067739</v>
      </c>
      <c r="AG22" s="243">
        <v>0.23505468482059824</v>
      </c>
      <c r="AH22" s="243">
        <v>0.34737882619388538</v>
      </c>
      <c r="AI22" s="244"/>
      <c r="AJ22" s="244">
        <v>-7.0978725365719983E-7</v>
      </c>
      <c r="AK22" s="244">
        <v>-7.735631521196158E-6</v>
      </c>
      <c r="AL22" s="244"/>
      <c r="AM22" s="244"/>
      <c r="AN22" s="244">
        <v>6.9027077578625307E-2</v>
      </c>
      <c r="AO22" s="244">
        <v>0.43956152522803921</v>
      </c>
      <c r="AP22" s="244">
        <v>0.49203641609883148</v>
      </c>
      <c r="AQ22" s="244">
        <v>0.50315723247131539</v>
      </c>
      <c r="AR22" s="244">
        <v>0.51012726918625717</v>
      </c>
      <c r="AS22" s="244">
        <v>3.3570783699816351E-2</v>
      </c>
      <c r="AT22" s="244">
        <v>3.3814926217064514E-2</v>
      </c>
      <c r="AU22" s="244">
        <v>3.82693749302115E-2</v>
      </c>
      <c r="AV22" s="244">
        <v>4.0963639891277458E-2</v>
      </c>
      <c r="AW22" s="244">
        <v>3.9530805819732069E-2</v>
      </c>
      <c r="AX22" s="244">
        <v>3.5124818089315259E-2</v>
      </c>
      <c r="AY22" s="244">
        <v>8.3907766979114215E-2</v>
      </c>
      <c r="AZ22" s="244">
        <v>0.25174713826783229</v>
      </c>
      <c r="BA22" s="244">
        <v>0.24155362864244298</v>
      </c>
      <c r="BB22" s="244">
        <v>0.30539782107142138</v>
      </c>
      <c r="BC22" s="244">
        <v>0</v>
      </c>
      <c r="BD22" s="244">
        <v>0</v>
      </c>
      <c r="BE22" s="244">
        <v>0</v>
      </c>
      <c r="BF22" s="244">
        <v>0</v>
      </c>
      <c r="BG22" s="244">
        <v>0</v>
      </c>
      <c r="BH22" s="244">
        <v>5.3530897995056906E-2</v>
      </c>
      <c r="BI22" s="244">
        <v>0.42973009098558512</v>
      </c>
      <c r="BJ22" s="244">
        <v>0.42831964766715247</v>
      </c>
      <c r="BK22" s="244">
        <v>0.43128059684956316</v>
      </c>
      <c r="BL22" s="244">
        <v>0.51895529857094858</v>
      </c>
      <c r="BM22" s="244">
        <v>3.0223152566916805E-2</v>
      </c>
      <c r="BN22" s="244">
        <v>3.8948527260913329E-2</v>
      </c>
      <c r="BO22" s="244">
        <v>4.2127818805850301E-2</v>
      </c>
      <c r="BP22" s="244">
        <v>4.3744598896930741E-2</v>
      </c>
      <c r="BQ22" s="244">
        <v>4.1804143510471292E-2</v>
      </c>
      <c r="BR22" s="244">
        <v>3.1451196684042206E-2</v>
      </c>
      <c r="BS22" s="244">
        <v>6.9795393090825289E-2</v>
      </c>
      <c r="BT22" s="244">
        <v>0.22335460522269626</v>
      </c>
      <c r="BU22" s="244">
        <v>0.22550067368167032</v>
      </c>
      <c r="BV22" s="244">
        <v>0.31077294820945539</v>
      </c>
      <c r="BW22" s="245">
        <v>0</v>
      </c>
      <c r="BX22" s="245">
        <v>0</v>
      </c>
      <c r="BY22" s="245">
        <v>0</v>
      </c>
      <c r="BZ22" s="245">
        <v>0</v>
      </c>
      <c r="CA22" s="245">
        <v>0</v>
      </c>
      <c r="CB22" s="245">
        <v>4.8932344583387001E-2</v>
      </c>
      <c r="CC22" s="245">
        <v>0.3976767441153527</v>
      </c>
      <c r="CD22" s="245">
        <v>0.4230540022035823</v>
      </c>
      <c r="CE22" s="245">
        <v>0.40006423449786938</v>
      </c>
      <c r="CF22" s="245">
        <v>0.46856660807202344</v>
      </c>
      <c r="CG22" s="245">
        <v>4.144705191675508E-2</v>
      </c>
      <c r="CH22" s="245">
        <v>3.7283018305711436E-2</v>
      </c>
      <c r="CI22" s="245">
        <v>4.3004310169020288E-2</v>
      </c>
      <c r="CJ22" s="245">
        <v>4.5955024360468937E-2</v>
      </c>
      <c r="CK22" s="245">
        <v>4.1328406304057264E-2</v>
      </c>
      <c r="CL22" s="245">
        <v>4.1764068332250021E-2</v>
      </c>
      <c r="CM22" s="245">
        <v>7.7802166142867862E-2</v>
      </c>
      <c r="CN22" s="245">
        <v>0.23261735876150022</v>
      </c>
      <c r="CO22" s="245">
        <v>0.19863157617320004</v>
      </c>
      <c r="CP22" s="245">
        <v>0.27624990662487958</v>
      </c>
      <c r="CQ22" s="245">
        <v>0</v>
      </c>
      <c r="CR22" s="245">
        <v>0</v>
      </c>
      <c r="CS22" s="245">
        <v>0</v>
      </c>
      <c r="CT22" s="245">
        <v>0</v>
      </c>
      <c r="CU22" s="245">
        <v>0</v>
      </c>
      <c r="CV22" s="245">
        <v>6.7401553668898245E-2</v>
      </c>
      <c r="CW22" s="245">
        <v>0.41758667405020894</v>
      </c>
      <c r="CX22" s="245">
        <v>0.44760577884323366</v>
      </c>
      <c r="CY22" s="245">
        <v>0.41077627189080618</v>
      </c>
      <c r="CZ22" s="245">
        <v>0.46191149622419042</v>
      </c>
      <c r="DA22" s="245">
        <v>7.4496223005755841E-2</v>
      </c>
      <c r="DB22" s="245">
        <v>6.0761235531262718E-2</v>
      </c>
      <c r="DC22" s="245">
        <v>4.9312146848854328E-2</v>
      </c>
      <c r="DD22" s="245">
        <v>5.5541106550391607E-2</v>
      </c>
      <c r="DE22" s="245">
        <v>4.6973093108609157E-2</v>
      </c>
      <c r="DF22" s="245">
        <v>7.4224185654737873E-2</v>
      </c>
      <c r="DG22" s="245">
        <v>0.10256309827298403</v>
      </c>
      <c r="DH22" s="245">
        <v>0.23791323997385871</v>
      </c>
      <c r="DI22" s="245">
        <v>0.20661791046116459</v>
      </c>
      <c r="DJ22" s="245">
        <v>0.27255711708752806</v>
      </c>
      <c r="DK22" s="245">
        <v>0</v>
      </c>
      <c r="DL22" s="245">
        <v>0</v>
      </c>
      <c r="DM22" s="245">
        <v>0</v>
      </c>
      <c r="DN22" s="245">
        <v>0</v>
      </c>
      <c r="DO22" s="245">
        <v>0</v>
      </c>
      <c r="DP22" s="245">
        <v>9.872936468234117E-2</v>
      </c>
      <c r="DQ22" s="245">
        <v>7.9875002225723177E-2</v>
      </c>
      <c r="DR22" s="245">
        <v>0.45688403775539727</v>
      </c>
      <c r="DS22" s="245">
        <v>0.42311152070137459</v>
      </c>
      <c r="DT22" s="245">
        <v>0.4755456382922732</v>
      </c>
      <c r="DU22" s="245">
        <v>7.4667210815672999E-2</v>
      </c>
      <c r="DV22" s="245">
        <v>4.0034588020995993E-2</v>
      </c>
      <c r="DW22" s="245">
        <v>6.7661727050280937E-2</v>
      </c>
      <c r="DX22" s="245">
        <v>7.472600530243978E-2</v>
      </c>
      <c r="DY22" s="245">
        <v>5.9764078948414227E-2</v>
      </c>
      <c r="DZ22" s="245">
        <v>7.5411095802140629E-2</v>
      </c>
      <c r="EA22" s="245">
        <v>6.9723542998066435E-2</v>
      </c>
      <c r="EB22" s="245">
        <v>0.25858910224223064</v>
      </c>
      <c r="EC22" s="245">
        <v>0.21420235883790378</v>
      </c>
      <c r="ED22" s="245"/>
      <c r="EE22" s="245">
        <f t="shared" ref="EE22:EE33" si="1">EE5/$EE$17</f>
        <v>0</v>
      </c>
      <c r="EF22" s="245">
        <f t="shared" ref="EF22:EX33" si="2">EF5/EF$17</f>
        <v>0</v>
      </c>
      <c r="EG22" s="245">
        <f t="shared" si="2"/>
        <v>0</v>
      </c>
      <c r="EH22" s="245">
        <f t="shared" si="2"/>
        <v>0</v>
      </c>
      <c r="EI22" s="245">
        <f t="shared" si="2"/>
        <v>0</v>
      </c>
      <c r="EJ22" s="245">
        <f t="shared" si="2"/>
        <v>9.235373915290368E-2</v>
      </c>
      <c r="EK22" s="245">
        <f t="shared" si="2"/>
        <v>0.35950804885338444</v>
      </c>
      <c r="EL22" s="245">
        <f t="shared" si="2"/>
        <v>0.48085266925728293</v>
      </c>
      <c r="EM22" s="245">
        <f t="shared" si="2"/>
        <v>0.44466755820907783</v>
      </c>
      <c r="EN22" s="245">
        <f t="shared" si="2"/>
        <v>0.50063358747006104</v>
      </c>
      <c r="EO22" s="245">
        <f t="shared" si="2"/>
        <v>9.3187385294120184E-2</v>
      </c>
      <c r="EP22" s="245">
        <f t="shared" si="2"/>
        <v>8.5788443545247783E-2</v>
      </c>
      <c r="EQ22" s="245">
        <f t="shared" si="2"/>
        <v>8.6468926642656971E-2</v>
      </c>
      <c r="ER22" s="245">
        <f t="shared" si="2"/>
        <v>9.5576072188742978E-2</v>
      </c>
      <c r="ES22" s="245">
        <f t="shared" si="2"/>
        <v>7.4138645917510224E-2</v>
      </c>
      <c r="ET22" s="245">
        <f t="shared" si="2"/>
        <v>9.3163236697300866E-2</v>
      </c>
      <c r="EU22" s="245">
        <f t="shared" si="2"/>
        <v>0.13857684650563393</v>
      </c>
      <c r="EV22" s="245">
        <f t="shared" si="2"/>
        <v>0.28207730662794511</v>
      </c>
      <c r="EW22" s="245">
        <f t="shared" si="2"/>
        <v>0.23981813313805342</v>
      </c>
      <c r="EX22" s="245">
        <f t="shared" si="2"/>
        <v>0.29704235176447574</v>
      </c>
      <c r="EY22" s="246">
        <f t="shared" ref="EY22:EY33" si="3">EY5/$EE$17</f>
        <v>0</v>
      </c>
      <c r="EZ22" s="246">
        <f t="shared" ref="EZ22:FR33" si="4">EZ5/EZ$17</f>
        <v>0</v>
      </c>
      <c r="FA22" s="246">
        <f t="shared" si="4"/>
        <v>0</v>
      </c>
      <c r="FB22" s="246">
        <f t="shared" si="4"/>
        <v>0</v>
      </c>
      <c r="FC22" s="246">
        <f t="shared" si="4"/>
        <v>0</v>
      </c>
      <c r="FD22" s="246">
        <f t="shared" si="4"/>
        <v>2.1287739416336361E-2</v>
      </c>
      <c r="FE22" s="246">
        <f t="shared" si="4"/>
        <v>0.33035764313823102</v>
      </c>
      <c r="FF22" s="246">
        <f t="shared" si="4"/>
        <v>0.49679176911751116</v>
      </c>
      <c r="FG22" s="246">
        <f t="shared" si="4"/>
        <v>0.48590417362589278</v>
      </c>
      <c r="FH22" s="246">
        <f t="shared" si="4"/>
        <v>0.53556253149352573</v>
      </c>
      <c r="FI22" s="246">
        <f t="shared" si="4"/>
        <v>0.10601242581595148</v>
      </c>
      <c r="FJ22" s="246">
        <f t="shared" si="4"/>
        <v>9.6613612505906998E-2</v>
      </c>
      <c r="FK22" s="246">
        <f t="shared" si="4"/>
        <v>9.4605459122842225E-2</v>
      </c>
      <c r="FL22" s="246">
        <f t="shared" si="4"/>
        <v>9.9245065836472329E-2</v>
      </c>
      <c r="FM22" s="246">
        <f t="shared" si="4"/>
        <v>7.9419678604098792E-2</v>
      </c>
      <c r="FN22" s="246">
        <f t="shared" si="4"/>
        <v>9.4236633789432034E-2</v>
      </c>
      <c r="FO22" s="246">
        <f t="shared" si="4"/>
        <v>0.15699579710413925</v>
      </c>
      <c r="FP22" s="246">
        <f t="shared" si="4"/>
        <v>0.29328031301593738</v>
      </c>
      <c r="FQ22" s="246">
        <f t="shared" si="4"/>
        <v>0.27971735936900011</v>
      </c>
      <c r="FR22" s="246">
        <f t="shared" si="4"/>
        <v>0.31878624142405543</v>
      </c>
      <c r="FS22" s="483">
        <f>FS5/$FS$17</f>
        <v>0</v>
      </c>
      <c r="FT22" s="483">
        <f>FT5/$FT$17</f>
        <v>0</v>
      </c>
      <c r="FU22" s="109">
        <f>FU5/$FU$17</f>
        <v>0</v>
      </c>
      <c r="FV22" s="483">
        <f>FV5/$FV$17</f>
        <v>0</v>
      </c>
      <c r="FW22" s="483">
        <f>FW5/$FW$17</f>
        <v>4.3452313527350996E-3</v>
      </c>
      <c r="FX22" s="483">
        <f>FX5/$FX$17</f>
        <v>0.15534256567585253</v>
      </c>
      <c r="FY22" s="483">
        <f>FY5/$FY$17</f>
        <v>0.34223800881734173</v>
      </c>
      <c r="FZ22" s="484">
        <f>FZ5/$FZ$17</f>
        <v>0.52994201393362661</v>
      </c>
      <c r="GA22" s="483">
        <f>GA5/$GA$17</f>
        <v>0.54199064982155176</v>
      </c>
      <c r="GB22" s="483">
        <f>GB5/$GB$17</f>
        <v>0.57052347226784783</v>
      </c>
      <c r="GC22" s="483">
        <f>GC5/$GC$17</f>
        <v>0.13058220395669692</v>
      </c>
      <c r="GD22" s="483">
        <f>GD5/$GD$17</f>
        <v>0.12609977544361989</v>
      </c>
      <c r="GE22" s="484">
        <f>GE5/$GE$17</f>
        <v>0.10771822378978299</v>
      </c>
      <c r="GF22" s="483">
        <f>GF5/$GF$17</f>
        <v>0.11516316456390556</v>
      </c>
      <c r="GG22" s="483">
        <f>GG5/$GG$17</f>
        <v>8.7327727231189353E-2</v>
      </c>
      <c r="GH22" s="483">
        <f>GH5/$GH$17</f>
        <v>0.13180199541783993</v>
      </c>
      <c r="GI22" s="483">
        <f>GI5/$GI$17</f>
        <v>0.17520889720642427</v>
      </c>
      <c r="GJ22" s="484">
        <f>GJ5/$GJ$17</f>
        <v>0.31979720875098389</v>
      </c>
      <c r="GK22" s="483">
        <f>GK5/$GK$17</f>
        <v>0.3249553540097283</v>
      </c>
      <c r="GL22" s="483">
        <f>GL5/$GL$17</f>
        <v>0.34925444414279955</v>
      </c>
    </row>
    <row r="23" spans="1:194" x14ac:dyDescent="0.2">
      <c r="A23" s="210" t="s">
        <v>338</v>
      </c>
      <c r="B23" s="247">
        <v>0.14657305113998462</v>
      </c>
      <c r="C23" s="247">
        <v>0.12919035223546363</v>
      </c>
      <c r="D23" s="247">
        <v>0.11</v>
      </c>
      <c r="E23" s="247">
        <v>0.51514520104301853</v>
      </c>
      <c r="F23" s="247">
        <v>1.0290663915090448E-2</v>
      </c>
      <c r="G23" s="247">
        <v>0.03</v>
      </c>
      <c r="H23" s="247">
        <v>0.1579024274867202</v>
      </c>
      <c r="I23" s="247">
        <v>2.0764590524530793E-2</v>
      </c>
      <c r="J23" s="247">
        <v>7.0139064002675097E-2</v>
      </c>
      <c r="K23" s="247">
        <v>0.12590000000000001</v>
      </c>
      <c r="L23" s="248">
        <v>0.10339267087972913</v>
      </c>
      <c r="M23" s="247">
        <v>0.10680000000000001</v>
      </c>
      <c r="N23" s="247">
        <v>0.4425</v>
      </c>
      <c r="O23" s="247">
        <v>0.4425</v>
      </c>
      <c r="P23" s="247">
        <v>4.1599999999999998E-2</v>
      </c>
      <c r="Q23" s="247">
        <v>0.13750000000000001</v>
      </c>
      <c r="R23" s="248">
        <v>0.02</v>
      </c>
      <c r="S23" s="247">
        <v>6.93E-2</v>
      </c>
      <c r="T23" s="249">
        <v>0.13217827670518004</v>
      </c>
      <c r="U23" s="249">
        <v>0.11085895469432512</v>
      </c>
      <c r="V23" s="249">
        <v>0.10733931043449065</v>
      </c>
      <c r="W23" s="249">
        <v>7.5033235792420258E-2</v>
      </c>
      <c r="X23" s="249">
        <v>7.5128851821048614E-2</v>
      </c>
      <c r="Y23" s="249">
        <v>0.4847627180675857</v>
      </c>
      <c r="Z23" s="249">
        <v>1.3497958162319083E-2</v>
      </c>
      <c r="AA23" s="249">
        <v>5.0678181133355066E-2</v>
      </c>
      <c r="AB23" s="249">
        <v>1.3986828859126582E-2</v>
      </c>
      <c r="AC23" s="249">
        <v>2.2535385941944784E-2</v>
      </c>
      <c r="AD23" s="249">
        <v>0.14427786017171701</v>
      </c>
      <c r="AE23" s="249">
        <v>2.0613567467043698E-2</v>
      </c>
      <c r="AF23" s="249">
        <v>7.4138305395503132E-2</v>
      </c>
      <c r="AG23" s="249">
        <v>2.5962584918776732E-2</v>
      </c>
      <c r="AH23" s="249">
        <v>3.7629663681722464E-2</v>
      </c>
      <c r="AI23" s="250"/>
      <c r="AJ23" s="250">
        <v>6.8111741556830114E-6</v>
      </c>
      <c r="AK23" s="250"/>
      <c r="AL23" s="250"/>
      <c r="AM23" s="250"/>
      <c r="AN23" s="250">
        <v>0.49288687121427954</v>
      </c>
      <c r="AO23" s="250">
        <v>0.11090616006744398</v>
      </c>
      <c r="AP23" s="250">
        <v>7.9282574033889525E-2</v>
      </c>
      <c r="AQ23" s="250">
        <v>2.4885927549544638E-2</v>
      </c>
      <c r="AR23" s="250">
        <v>3.7215283224342172E-2</v>
      </c>
      <c r="AS23" s="250">
        <v>0.15756680887653729</v>
      </c>
      <c r="AT23" s="250">
        <v>0.11576352762778075</v>
      </c>
      <c r="AU23" s="250">
        <v>0.10869627362244569</v>
      </c>
      <c r="AV23" s="250">
        <v>8.0209132480237519E-2</v>
      </c>
      <c r="AW23" s="250">
        <v>7.8093631332674468E-2</v>
      </c>
      <c r="AX23" s="250">
        <v>0.17226660102176844</v>
      </c>
      <c r="AY23" s="250">
        <v>2.8579501522493306E-2</v>
      </c>
      <c r="AZ23" s="250">
        <v>8.2904936256306419E-2</v>
      </c>
      <c r="BA23" s="250">
        <v>2.4026560260250837E-2</v>
      </c>
      <c r="BB23" s="250">
        <v>4.4550126876563761E-2</v>
      </c>
      <c r="BC23" s="250">
        <v>0</v>
      </c>
      <c r="BD23" s="250">
        <v>0</v>
      </c>
      <c r="BE23" s="250">
        <v>0</v>
      </c>
      <c r="BF23" s="250">
        <v>0</v>
      </c>
      <c r="BG23" s="250">
        <v>0</v>
      </c>
      <c r="BH23" s="250">
        <v>0.38192542059401507</v>
      </c>
      <c r="BI23" s="250">
        <v>0.12418255985488115</v>
      </c>
      <c r="BJ23" s="250">
        <v>0.10014057982499114</v>
      </c>
      <c r="BK23" s="250">
        <v>3.1805570287889544E-2</v>
      </c>
      <c r="BL23" s="250">
        <v>4.8435080810095309E-2</v>
      </c>
      <c r="BM23" s="250">
        <v>4.6059106322932544E-2</v>
      </c>
      <c r="BN23" s="250">
        <v>5.2569054304347398E-2</v>
      </c>
      <c r="BO23" s="250">
        <v>2.6452397113517004E-2</v>
      </c>
      <c r="BP23" s="250">
        <v>9.3458123636056517E-2</v>
      </c>
      <c r="BQ23" s="250">
        <v>9.4442158327344539E-2</v>
      </c>
      <c r="BR23" s="250">
        <v>6.3760113716727254E-2</v>
      </c>
      <c r="BS23" s="250">
        <v>2.3850904566319921E-2</v>
      </c>
      <c r="BT23" s="250">
        <v>5.8704154396282557E-2</v>
      </c>
      <c r="BU23" s="250">
        <v>3.1669448536250609E-2</v>
      </c>
      <c r="BV23" s="250">
        <v>5.6821903042698581E-2</v>
      </c>
      <c r="BW23" s="251">
        <v>0</v>
      </c>
      <c r="BX23" s="251">
        <v>0</v>
      </c>
      <c r="BY23" s="251">
        <v>0</v>
      </c>
      <c r="BZ23" s="251">
        <v>0</v>
      </c>
      <c r="CA23" s="251">
        <v>0</v>
      </c>
      <c r="CB23" s="251">
        <v>0.62841043812908604</v>
      </c>
      <c r="CC23" s="251">
        <v>0.12278072849216956</v>
      </c>
      <c r="CD23" s="251">
        <v>0.12365070977217238</v>
      </c>
      <c r="CE23" s="251">
        <v>4.8682062346902963E-2</v>
      </c>
      <c r="CF23" s="251">
        <v>6.7926966201308933E-2</v>
      </c>
      <c r="CG23" s="251">
        <v>0.14022580493184453</v>
      </c>
      <c r="CH23" s="251">
        <v>0.1506904175680375</v>
      </c>
      <c r="CI23" s="251">
        <v>8.0626929109416795E-2</v>
      </c>
      <c r="CJ23" s="251">
        <v>5.0946555321884759E-2</v>
      </c>
      <c r="CK23" s="251">
        <v>5.9986910967349739E-2</v>
      </c>
      <c r="CL23" s="251">
        <v>0.16093608428352005</v>
      </c>
      <c r="CM23" s="251">
        <v>3.6084241636801843E-2</v>
      </c>
      <c r="CN23" s="251">
        <v>9.474796744605922E-2</v>
      </c>
      <c r="CO23" s="251">
        <v>3.2774568121452491E-2</v>
      </c>
      <c r="CP23" s="251">
        <v>5.7023699475717775E-2</v>
      </c>
      <c r="CQ23" s="251">
        <v>0</v>
      </c>
      <c r="CR23" s="251">
        <v>0</v>
      </c>
      <c r="CS23" s="251">
        <v>0</v>
      </c>
      <c r="CT23" s="251">
        <v>0</v>
      </c>
      <c r="CU23" s="251">
        <v>0</v>
      </c>
      <c r="CV23" s="251">
        <v>0.58635380618079491</v>
      </c>
      <c r="CW23" s="251">
        <v>0.13131930027251701</v>
      </c>
      <c r="CX23" s="251">
        <v>0.11863010390213535</v>
      </c>
      <c r="CY23" s="251">
        <v>4.6134741852873633E-2</v>
      </c>
      <c r="CZ23" s="251">
        <v>7.5802102307305566E-2</v>
      </c>
      <c r="DA23" s="251">
        <v>0.1249400410184917</v>
      </c>
      <c r="DB23" s="251">
        <v>0.12084678689074203</v>
      </c>
      <c r="DC23" s="251">
        <v>7.8444670583931397E-2</v>
      </c>
      <c r="DD23" s="251">
        <v>3.9834500834062148E-2</v>
      </c>
      <c r="DE23" s="251">
        <v>3.9608322366848595E-2</v>
      </c>
      <c r="DF23" s="251">
        <v>0.1426087911823132</v>
      </c>
      <c r="DG23" s="251">
        <v>4.2756017632034134E-2</v>
      </c>
      <c r="DH23" s="251">
        <v>9.2061380854851133E-2</v>
      </c>
      <c r="DI23" s="251">
        <v>3.0061163467897428E-2</v>
      </c>
      <c r="DJ23" s="251">
        <v>5.6520764577175218E-2</v>
      </c>
      <c r="DK23" s="251">
        <v>0</v>
      </c>
      <c r="DL23" s="251">
        <v>0</v>
      </c>
      <c r="DM23" s="251">
        <v>0</v>
      </c>
      <c r="DN23" s="251">
        <v>0</v>
      </c>
      <c r="DO23" s="251">
        <v>0</v>
      </c>
      <c r="DP23" s="251">
        <v>0.61084685199742728</v>
      </c>
      <c r="DQ23" s="251">
        <v>2.3317449056381959E-2</v>
      </c>
      <c r="DR23" s="251">
        <v>0.10008411959910789</v>
      </c>
      <c r="DS23" s="251">
        <v>4.2162441548056151E-2</v>
      </c>
      <c r="DT23" s="251">
        <v>7.3459769271028111E-2</v>
      </c>
      <c r="DU23" s="251">
        <v>0.1184600467577122</v>
      </c>
      <c r="DV23" s="251">
        <v>0.59342567661505086</v>
      </c>
      <c r="DW23" s="251">
        <v>6.853498059103881E-2</v>
      </c>
      <c r="DX23" s="251">
        <v>5.533752656625418E-2</v>
      </c>
      <c r="DY23" s="251">
        <v>5.1822750089534519E-2</v>
      </c>
      <c r="DZ23" s="251">
        <v>0.13368611884183917</v>
      </c>
      <c r="EA23" s="251">
        <v>5.6651699276952593E-2</v>
      </c>
      <c r="EB23" s="251">
        <v>7.876689375987711E-2</v>
      </c>
      <c r="EC23" s="251">
        <v>3.137949353477025E-2</v>
      </c>
      <c r="ED23" s="251"/>
      <c r="EE23" s="251">
        <f t="shared" si="1"/>
        <v>0</v>
      </c>
      <c r="EF23" s="251">
        <f t="shared" si="2"/>
        <v>0</v>
      </c>
      <c r="EG23" s="251">
        <f t="shared" si="2"/>
        <v>0</v>
      </c>
      <c r="EH23" s="251">
        <f t="shared" si="2"/>
        <v>0</v>
      </c>
      <c r="EI23" s="251">
        <f t="shared" si="2"/>
        <v>0</v>
      </c>
      <c r="EJ23" s="251">
        <f t="shared" si="2"/>
        <v>0.56113594207089179</v>
      </c>
      <c r="EK23" s="251">
        <f t="shared" si="2"/>
        <v>0.11247504257021676</v>
      </c>
      <c r="EL23" s="251">
        <f t="shared" si="2"/>
        <v>0.1162074045704056</v>
      </c>
      <c r="EM23" s="251">
        <f t="shared" si="2"/>
        <v>4.4400865531960772E-2</v>
      </c>
      <c r="EN23" s="251">
        <f t="shared" si="2"/>
        <v>6.9904178783235613E-2</v>
      </c>
      <c r="EO23" s="251">
        <f t="shared" si="2"/>
        <v>0.11023396191204349</v>
      </c>
      <c r="EP23" s="251">
        <f t="shared" si="2"/>
        <v>9.0670665960782798E-2</v>
      </c>
      <c r="EQ23" s="251">
        <f t="shared" si="2"/>
        <v>6.6742651739729542E-2</v>
      </c>
      <c r="ER23" s="251">
        <f t="shared" si="2"/>
        <v>5.9370138105282015E-2</v>
      </c>
      <c r="ES23" s="251">
        <f t="shared" si="2"/>
        <v>5.3266680387064162E-2</v>
      </c>
      <c r="ET23" s="251">
        <f t="shared" si="2"/>
        <v>0.12318165926413258</v>
      </c>
      <c r="EU23" s="251">
        <f t="shared" si="2"/>
        <v>4.9492805240236422E-2</v>
      </c>
      <c r="EV23" s="251">
        <f t="shared" si="2"/>
        <v>8.5979551337738547E-2</v>
      </c>
      <c r="EW23" s="251">
        <f t="shared" si="2"/>
        <v>3.4043875541631984E-2</v>
      </c>
      <c r="EX23" s="251">
        <f t="shared" si="2"/>
        <v>5.5739817666834751E-2</v>
      </c>
      <c r="EY23" s="252">
        <f t="shared" si="3"/>
        <v>0</v>
      </c>
      <c r="EZ23" s="252">
        <f t="shared" si="4"/>
        <v>0</v>
      </c>
      <c r="FA23" s="252">
        <f t="shared" si="4"/>
        <v>0</v>
      </c>
      <c r="FB23" s="252">
        <f t="shared" si="4"/>
        <v>0</v>
      </c>
      <c r="FC23" s="252">
        <f t="shared" si="4"/>
        <v>0</v>
      </c>
      <c r="FD23" s="252">
        <f t="shared" si="4"/>
        <v>0.11245796302355143</v>
      </c>
      <c r="FE23" s="252">
        <f t="shared" si="4"/>
        <v>0.13071701598811966</v>
      </c>
      <c r="FF23" s="252">
        <f t="shared" si="4"/>
        <v>0.12401159691859776</v>
      </c>
      <c r="FG23" s="252">
        <f t="shared" si="4"/>
        <v>3.919884081010306E-2</v>
      </c>
      <c r="FH23" s="252">
        <f t="shared" si="4"/>
        <v>6.6008881857931967E-2</v>
      </c>
      <c r="FI23" s="252">
        <f t="shared" si="4"/>
        <v>8.4506881896133257E-2</v>
      </c>
      <c r="FJ23" s="252">
        <f t="shared" si="4"/>
        <v>8.3777516112568756E-2</v>
      </c>
      <c r="FK23" s="252">
        <f t="shared" si="4"/>
        <v>6.3255149166549826E-2</v>
      </c>
      <c r="FL23" s="252">
        <f t="shared" si="4"/>
        <v>4.8901467664990497E-2</v>
      </c>
      <c r="FM23" s="252">
        <f t="shared" si="4"/>
        <v>4.9898947510373541E-2</v>
      </c>
      <c r="FN23" s="252">
        <f t="shared" si="4"/>
        <v>8.8391660929029128E-2</v>
      </c>
      <c r="FO23" s="252">
        <f t="shared" si="4"/>
        <v>6.6561876610629622E-2</v>
      </c>
      <c r="FP23" s="252">
        <f t="shared" si="4"/>
        <v>8.8487376418728378E-2</v>
      </c>
      <c r="FQ23" s="252">
        <f t="shared" si="4"/>
        <v>3.0877282308612808E-2</v>
      </c>
      <c r="FR23" s="252">
        <f t="shared" si="4"/>
        <v>5.2628839579601197E-2</v>
      </c>
      <c r="FS23" s="483">
        <f t="shared" ref="FS23:FS34" si="5">FS6/$FS$17</f>
        <v>0</v>
      </c>
      <c r="FT23" s="483">
        <f t="shared" ref="FT23:FT34" si="6">FT6/$FT$17</f>
        <v>0</v>
      </c>
      <c r="FU23" s="109">
        <f t="shared" ref="FU23:FU34" si="7">FU6/$FU$17</f>
        <v>0</v>
      </c>
      <c r="FV23" s="483">
        <f t="shared" ref="FV23:FV34" si="8">FV6/$FV$17</f>
        <v>0</v>
      </c>
      <c r="FW23" s="483">
        <f t="shared" ref="FW23:FW34" si="9">FW6/$FW$17</f>
        <v>0</v>
      </c>
      <c r="FX23" s="483">
        <f t="shared" ref="FX23:FX34" si="10">FX6/$FX$17</f>
        <v>0.33090776187973231</v>
      </c>
      <c r="FY23" s="483">
        <f t="shared" ref="FY23:FY34" si="11">FY6/$FY$17</f>
        <v>0.17447789955846094</v>
      </c>
      <c r="FZ23" s="484">
        <f t="shared" ref="FZ23:FZ34" si="12">FZ6/$FZ$17</f>
        <v>0.11254963795564668</v>
      </c>
      <c r="GA23" s="483">
        <f t="shared" ref="GA23:GA34" si="13">GA6/$GA$17</f>
        <v>3.3877466054583055E-2</v>
      </c>
      <c r="GB23" s="483">
        <f t="shared" ref="GB23:GB34" si="14">GB6/$GB$17</f>
        <v>5.9396803038169819E-2</v>
      </c>
      <c r="GC23" s="483">
        <f t="shared" ref="GC23:GC34" si="15">GC6/$GC$17</f>
        <v>8.1364394079511154E-2</v>
      </c>
      <c r="GD23" s="483">
        <f t="shared" ref="GD23:GD34" si="16">GD6/$GD$17</f>
        <v>7.5602238959899329E-2</v>
      </c>
      <c r="GE23" s="484">
        <f t="shared" ref="GE23:GE34" si="17">GE6/$GE$17</f>
        <v>5.8515129222210319E-2</v>
      </c>
      <c r="GF23" s="483">
        <f t="shared" ref="GF23:GF34" si="18">GF6/$GF$17</f>
        <v>4.8384729635638814E-2</v>
      </c>
      <c r="GG23" s="483">
        <f t="shared" ref="GG23:GG34" si="19">GG6/$GG$17</f>
        <v>4.8961407231363385E-2</v>
      </c>
      <c r="GH23" s="483">
        <f t="shared" ref="GH23:GH34" si="20">GH6/$GH$17</f>
        <v>9.3659080193086441E-2</v>
      </c>
      <c r="GI23" s="483">
        <f t="shared" ref="GI23:GI34" si="21">GI6/$GI$17</f>
        <v>9.0496069968795445E-2</v>
      </c>
      <c r="GJ23" s="484">
        <f t="shared" ref="GJ23:GJ34" si="22">GJ6/$GJ$17</f>
        <v>8.2055547146326943E-2</v>
      </c>
      <c r="GK23" s="483">
        <f t="shared" ref="GK23:GK34" si="23">GK6/$GK$17</f>
        <v>2.8119107526807841E-2</v>
      </c>
      <c r="GL23" s="483">
        <f t="shared" ref="GL23:GL34" si="24">GL6/$GL$17</f>
        <v>5.0014407524409235E-2</v>
      </c>
    </row>
    <row r="24" spans="1:194" x14ac:dyDescent="0.2">
      <c r="A24" s="210" t="s">
        <v>339</v>
      </c>
      <c r="B24" s="247">
        <v>2.3291420193052997E-2</v>
      </c>
      <c r="C24" s="247">
        <v>2.485110543605857E-2</v>
      </c>
      <c r="D24" s="247">
        <v>4.2855313040907408E-2</v>
      </c>
      <c r="E24" s="247">
        <v>0.11</v>
      </c>
      <c r="F24" s="247">
        <v>2.0492180754171116E-3</v>
      </c>
      <c r="G24" s="247">
        <v>6.008649260432616E-3</v>
      </c>
      <c r="H24" s="247">
        <v>2.5797850804335724E-2</v>
      </c>
      <c r="I24" s="247">
        <v>4.0571807002227943E-3</v>
      </c>
      <c r="J24" s="247">
        <v>2.2092946006556549E-2</v>
      </c>
      <c r="K24" s="247">
        <v>2.9600000000000001E-2</v>
      </c>
      <c r="L24" s="248">
        <v>2.68630564064632E-2</v>
      </c>
      <c r="M24" s="247">
        <v>4.5400000000000003E-2</v>
      </c>
      <c r="N24" s="247">
        <v>0.10829999999999999</v>
      </c>
      <c r="O24" s="247">
        <v>0.10829999999999999</v>
      </c>
      <c r="P24" s="247">
        <v>9.5999999999999992E-3</v>
      </c>
      <c r="Q24" s="247">
        <v>3.2500000000000001E-2</v>
      </c>
      <c r="R24" s="248">
        <v>0</v>
      </c>
      <c r="S24" s="247">
        <v>2.4799999999999999E-2</v>
      </c>
      <c r="T24" s="249">
        <v>2.9264200404316588E-2</v>
      </c>
      <c r="U24" s="249">
        <v>2.3525040569933001E-2</v>
      </c>
      <c r="V24" s="249">
        <v>3.7695246293515644E-2</v>
      </c>
      <c r="W24" s="249">
        <v>1.1558067166084761E-2</v>
      </c>
      <c r="X24" s="249">
        <v>1.2627676212587395E-2</v>
      </c>
      <c r="Y24" s="249">
        <v>0.12749010170017855</v>
      </c>
      <c r="Z24" s="249">
        <v>2.3791962491639162E-3</v>
      </c>
      <c r="AA24" s="249">
        <v>1.219261944539823E-2</v>
      </c>
      <c r="AB24" s="249">
        <v>4.5578453846406106E-3</v>
      </c>
      <c r="AC24" s="249">
        <v>7.6256845596436558E-3</v>
      </c>
      <c r="AD24" s="249">
        <v>3.2635002833126849E-2</v>
      </c>
      <c r="AE24" s="249">
        <v>3.9246361271920672E-3</v>
      </c>
      <c r="AF24" s="249">
        <v>2.2751794708007003E-2</v>
      </c>
      <c r="AG24" s="249">
        <v>5.9311112757786475E-3</v>
      </c>
      <c r="AH24" s="249">
        <v>9.0612516971115883E-3</v>
      </c>
      <c r="AI24" s="250"/>
      <c r="AJ24" s="250"/>
      <c r="AK24" s="250"/>
      <c r="AL24" s="250"/>
      <c r="AM24" s="250"/>
      <c r="AN24" s="250">
        <v>0.19508150524581636</v>
      </c>
      <c r="AO24" s="250">
        <v>2.4743733653373946E-2</v>
      </c>
      <c r="AP24" s="250">
        <v>2.4486097960485526E-2</v>
      </c>
      <c r="AQ24" s="250">
        <v>5.3910318008666951E-3</v>
      </c>
      <c r="AR24" s="250">
        <v>8.5468668324356675E-3</v>
      </c>
      <c r="AS24" s="250">
        <v>2.8415300158446198E-2</v>
      </c>
      <c r="AT24" s="250">
        <v>1.6708227230712355E-2</v>
      </c>
      <c r="AU24" s="250">
        <v>4.0070123429728509E-2</v>
      </c>
      <c r="AV24" s="250">
        <v>1.4955580040477255E-2</v>
      </c>
      <c r="AW24" s="250">
        <v>2.056210130796875E-2</v>
      </c>
      <c r="AX24" s="250">
        <v>3.5722519775616107E-2</v>
      </c>
      <c r="AY24" s="250">
        <v>5.7454957325879345E-3</v>
      </c>
      <c r="AZ24" s="250">
        <v>2.8288955071197771E-2</v>
      </c>
      <c r="BA24" s="253">
        <v>4.8309570671508191E-3</v>
      </c>
      <c r="BB24" s="250">
        <v>1.1009304389376853E-2</v>
      </c>
      <c r="BC24" s="250">
        <v>0</v>
      </c>
      <c r="BD24" s="250">
        <v>0</v>
      </c>
      <c r="BE24" s="250">
        <v>0</v>
      </c>
      <c r="BF24" s="250">
        <v>0</v>
      </c>
      <c r="BG24" s="250">
        <v>0</v>
      </c>
      <c r="BH24" s="250">
        <v>0.23638768960904802</v>
      </c>
      <c r="BI24" s="250">
        <v>5.9905667719521827E-2</v>
      </c>
      <c r="BJ24" s="250">
        <v>3.9227106303363478E-2</v>
      </c>
      <c r="BK24" s="250">
        <v>4.766693238690888E-3</v>
      </c>
      <c r="BL24" s="250">
        <v>6.7376134581351209E-3</v>
      </c>
      <c r="BM24" s="250">
        <v>0.11447379334863093</v>
      </c>
      <c r="BN24" s="250">
        <v>8.3393087525623494E-2</v>
      </c>
      <c r="BO24" s="250">
        <v>8.3228962129174952E-2</v>
      </c>
      <c r="BP24" s="250">
        <v>9.566267858516362E-3</v>
      </c>
      <c r="BQ24" s="250">
        <v>1.320381519574714E-2</v>
      </c>
      <c r="BR24" s="250">
        <v>0.12089775986982804</v>
      </c>
      <c r="BS24" s="250">
        <v>1.6677202787129562E-2</v>
      </c>
      <c r="BT24" s="250">
        <v>5.1453158869586089E-2</v>
      </c>
      <c r="BU24" s="250">
        <v>4.0062064180747788E-3</v>
      </c>
      <c r="BV24" s="250">
        <v>7.924652480017523E-3</v>
      </c>
      <c r="BW24" s="251">
        <v>0</v>
      </c>
      <c r="BX24" s="251">
        <v>0</v>
      </c>
      <c r="BY24" s="251">
        <v>0</v>
      </c>
      <c r="BZ24" s="251">
        <v>0</v>
      </c>
      <c r="CA24" s="251">
        <v>0</v>
      </c>
      <c r="CB24" s="251">
        <v>9.6952522653011339E-2</v>
      </c>
      <c r="CC24" s="251">
        <v>8.4802457155074687E-2</v>
      </c>
      <c r="CD24" s="251">
        <v>4.0708398541386949E-2</v>
      </c>
      <c r="CE24" s="251">
        <v>4.1525078208076065E-3</v>
      </c>
      <c r="CF24" s="251">
        <v>5.8526888245385329E-3</v>
      </c>
      <c r="CG24" s="251">
        <v>1.9806078042939289E-2</v>
      </c>
      <c r="CH24" s="251">
        <v>1.3853833916906637E-2</v>
      </c>
      <c r="CI24" s="251">
        <v>8.4656266566198544E-3</v>
      </c>
      <c r="CJ24" s="251">
        <v>8.6868542731320733E-3</v>
      </c>
      <c r="CK24" s="251">
        <v>8.8683004631548226E-3</v>
      </c>
      <c r="CL24" s="251">
        <v>2.3078897133580512E-2</v>
      </c>
      <c r="CM24" s="251">
        <v>1.7102571691156913E-2</v>
      </c>
      <c r="CN24" s="251">
        <v>2.4085083244206031E-2</v>
      </c>
      <c r="CO24" s="251">
        <v>3.6191662573356121E-3</v>
      </c>
      <c r="CP24" s="251">
        <v>6.0764581373664419E-3</v>
      </c>
      <c r="CQ24" s="251">
        <v>0</v>
      </c>
      <c r="CR24" s="251">
        <v>0</v>
      </c>
      <c r="CS24" s="251">
        <v>0</v>
      </c>
      <c r="CT24" s="251">
        <v>0</v>
      </c>
      <c r="CU24" s="251">
        <v>0</v>
      </c>
      <c r="CV24" s="251">
        <v>0.21763354798399251</v>
      </c>
      <c r="CW24" s="251">
        <v>4.4099652411340777E-2</v>
      </c>
      <c r="CX24" s="251">
        <v>3.2912420557671282E-2</v>
      </c>
      <c r="CY24" s="251">
        <v>1.0580237729649762E-2</v>
      </c>
      <c r="CZ24" s="251">
        <v>1.768478373518485E-2</v>
      </c>
      <c r="DA24" s="251">
        <v>2.8000597980104503E-2</v>
      </c>
      <c r="DB24" s="251">
        <v>2.7425758012310033E-2</v>
      </c>
      <c r="DC24" s="251">
        <v>1.3218944700891211E-2</v>
      </c>
      <c r="DD24" s="251">
        <v>1.3957967179584618E-2</v>
      </c>
      <c r="DE24" s="251">
        <v>1.4494512580052089E-2</v>
      </c>
      <c r="DF24" s="251">
        <v>3.5262254975677962E-2</v>
      </c>
      <c r="DG24" s="251">
        <v>1.300009347760212E-2</v>
      </c>
      <c r="DH24" s="251">
        <v>2.1750108196040577E-2</v>
      </c>
      <c r="DI24" s="251">
        <v>7.8781186565718003E-3</v>
      </c>
      <c r="DJ24" s="251">
        <v>1.5128636728701175E-2</v>
      </c>
      <c r="DK24" s="251">
        <v>0</v>
      </c>
      <c r="DL24" s="251">
        <v>0</v>
      </c>
      <c r="DM24" s="251">
        <v>0</v>
      </c>
      <c r="DN24" s="251">
        <v>0</v>
      </c>
      <c r="DO24" s="251">
        <v>0</v>
      </c>
      <c r="DP24" s="251">
        <v>9.498749374687343E-2</v>
      </c>
      <c r="DQ24" s="251">
        <v>0.23279672123191614</v>
      </c>
      <c r="DR24" s="251">
        <v>4.2346014359812292E-2</v>
      </c>
      <c r="DS24" s="251">
        <v>1.183374536163407E-2</v>
      </c>
      <c r="DT24" s="251">
        <v>1.8756205233609644E-2</v>
      </c>
      <c r="DU24" s="251">
        <v>1.7815984562538908E-2</v>
      </c>
      <c r="DV24" s="251">
        <v>1.3232951495652397E-2</v>
      </c>
      <c r="DW24" s="251">
        <v>9.8772534136535948E-3</v>
      </c>
      <c r="DX24" s="251">
        <v>1.2390778323814874E-2</v>
      </c>
      <c r="DY24" s="251">
        <v>1.1208153131061441E-2</v>
      </c>
      <c r="DZ24" s="251">
        <v>2.0202360398388002E-2</v>
      </c>
      <c r="EA24" s="251">
        <v>0.1967554791836828</v>
      </c>
      <c r="EB24" s="251">
        <v>2.5452270898880972E-2</v>
      </c>
      <c r="EC24" s="251">
        <v>8.1492019957165873E-3</v>
      </c>
      <c r="ED24" s="251"/>
      <c r="EE24" s="251">
        <f t="shared" si="1"/>
        <v>0</v>
      </c>
      <c r="EF24" s="251">
        <f t="shared" si="2"/>
        <v>0</v>
      </c>
      <c r="EG24" s="251">
        <f t="shared" si="2"/>
        <v>-1.3770179400192787E-3</v>
      </c>
      <c r="EH24" s="251">
        <f t="shared" si="2"/>
        <v>0</v>
      </c>
      <c r="EI24" s="251">
        <f t="shared" si="2"/>
        <v>0</v>
      </c>
      <c r="EJ24" s="251">
        <f t="shared" si="2"/>
        <v>0.172044714184203</v>
      </c>
      <c r="EK24" s="251">
        <f t="shared" si="2"/>
        <v>7.8747178963819608E-2</v>
      </c>
      <c r="EL24" s="251">
        <f t="shared" si="2"/>
        <v>4.3662075134916253E-2</v>
      </c>
      <c r="EM24" s="251">
        <f t="shared" si="2"/>
        <v>1.2043437452139488E-2</v>
      </c>
      <c r="EN24" s="251">
        <f t="shared" si="2"/>
        <v>1.1879566417353962E-2</v>
      </c>
      <c r="EO24" s="251">
        <f t="shared" si="2"/>
        <v>1.4363139404638259E-2</v>
      </c>
      <c r="EP24" s="251">
        <f t="shared" si="2"/>
        <v>1.1823106711813631E-2</v>
      </c>
      <c r="EQ24" s="251">
        <f t="shared" si="2"/>
        <v>1.0041385196576175E-2</v>
      </c>
      <c r="ER24" s="251">
        <f t="shared" si="2"/>
        <v>9.4656570356541903E-3</v>
      </c>
      <c r="ES24" s="251">
        <f t="shared" si="2"/>
        <v>8.5252488734431277E-3</v>
      </c>
      <c r="ET24" s="251">
        <f t="shared" si="2"/>
        <v>1.8891036735778379E-2</v>
      </c>
      <c r="EU24" s="251">
        <f t="shared" si="2"/>
        <v>2.9684034450933802E-2</v>
      </c>
      <c r="EV24" s="251">
        <f t="shared" si="2"/>
        <v>2.6333239999771517E-2</v>
      </c>
      <c r="EW24" s="251">
        <f t="shared" si="2"/>
        <v>7.8889340967619667E-3</v>
      </c>
      <c r="EX24" s="251">
        <f t="shared" si="2"/>
        <v>9.2973311435019645E-3</v>
      </c>
      <c r="EY24" s="252">
        <f t="shared" si="3"/>
        <v>0</v>
      </c>
      <c r="EZ24" s="252">
        <f t="shared" si="4"/>
        <v>0</v>
      </c>
      <c r="FA24" s="252">
        <f t="shared" si="4"/>
        <v>0</v>
      </c>
      <c r="FB24" s="252">
        <f t="shared" si="4"/>
        <v>0</v>
      </c>
      <c r="FC24" s="252">
        <f t="shared" si="4"/>
        <v>0</v>
      </c>
      <c r="FD24" s="252">
        <f t="shared" si="4"/>
        <v>0.15743900280514689</v>
      </c>
      <c r="FE24" s="252">
        <f t="shared" si="4"/>
        <v>0.11577685965446288</v>
      </c>
      <c r="FF24" s="252">
        <f t="shared" si="4"/>
        <v>5.5876940716538509E-2</v>
      </c>
      <c r="FG24" s="252">
        <f t="shared" si="4"/>
        <v>1.0941600630252702E-2</v>
      </c>
      <c r="FH24" s="252">
        <f t="shared" si="4"/>
        <v>1.484540561306592E-2</v>
      </c>
      <c r="FI24" s="252">
        <f t="shared" si="4"/>
        <v>2.1907278808471636E-2</v>
      </c>
      <c r="FJ24" s="252">
        <f t="shared" si="4"/>
        <v>1.6255235004932901E-2</v>
      </c>
      <c r="FK24" s="252">
        <f t="shared" si="4"/>
        <v>1.0911510359994631E-2</v>
      </c>
      <c r="FL24" s="252">
        <f t="shared" si="4"/>
        <v>1.0075863428244437E-2</v>
      </c>
      <c r="FM24" s="252">
        <f t="shared" si="4"/>
        <v>9.8500714549970992E-3</v>
      </c>
      <c r="FN24" s="252">
        <f t="shared" si="4"/>
        <v>4.0744507299199338E-2</v>
      </c>
      <c r="FO24" s="252">
        <f t="shared" si="4"/>
        <v>5.330415129084428E-2</v>
      </c>
      <c r="FP24" s="252">
        <f t="shared" si="4"/>
        <v>3.3091204996101228E-2</v>
      </c>
      <c r="FQ24" s="252">
        <f t="shared" si="4"/>
        <v>7.892375472887651E-3</v>
      </c>
      <c r="FR24" s="252">
        <f t="shared" si="4"/>
        <v>1.1379929988443975E-2</v>
      </c>
      <c r="FS24" s="483">
        <f t="shared" si="5"/>
        <v>0</v>
      </c>
      <c r="FT24" s="483">
        <f t="shared" si="6"/>
        <v>0</v>
      </c>
      <c r="FU24" s="109">
        <f t="shared" si="7"/>
        <v>6.6205137237550465E-4</v>
      </c>
      <c r="FV24" s="483">
        <f t="shared" si="8"/>
        <v>0</v>
      </c>
      <c r="FW24" s="483">
        <f t="shared" si="9"/>
        <v>0</v>
      </c>
      <c r="FX24" s="483">
        <f t="shared" si="10"/>
        <v>0.45717948207140791</v>
      </c>
      <c r="FY24" s="483">
        <f t="shared" si="11"/>
        <v>0.1663937116265225</v>
      </c>
      <c r="FZ24" s="484">
        <f t="shared" si="12"/>
        <v>5.8290241789266152E-2</v>
      </c>
      <c r="GA24" s="483">
        <f t="shared" si="13"/>
        <v>1.3396957092299735E-2</v>
      </c>
      <c r="GB24" s="483">
        <f t="shared" si="14"/>
        <v>1.6173967872633442E-2</v>
      </c>
      <c r="GC24" s="483">
        <f t="shared" si="15"/>
        <v>1.7300969777413463E-2</v>
      </c>
      <c r="GD24" s="483">
        <f t="shared" si="16"/>
        <v>1.2689076549581632E-2</v>
      </c>
      <c r="GE24" s="484">
        <f t="shared" si="17"/>
        <v>1.0449619627276505E-2</v>
      </c>
      <c r="GF24" s="483">
        <f t="shared" si="18"/>
        <v>1.1766896993858786E-2</v>
      </c>
      <c r="GG24" s="483">
        <f t="shared" si="19"/>
        <v>1.1447822158376548E-2</v>
      </c>
      <c r="GH24" s="483">
        <f t="shared" si="20"/>
        <v>3.8973351519024951E-2</v>
      </c>
      <c r="GI24" s="483">
        <f t="shared" si="21"/>
        <v>8.0149074974370155E-2</v>
      </c>
      <c r="GJ24" s="484">
        <f t="shared" si="22"/>
        <v>3.4674115909013134E-2</v>
      </c>
      <c r="GK24" s="483">
        <f t="shared" si="23"/>
        <v>9.7232555948128085E-3</v>
      </c>
      <c r="GL24" s="483">
        <f t="shared" si="24"/>
        <v>1.2971639066387576E-2</v>
      </c>
    </row>
    <row r="25" spans="1:194" x14ac:dyDescent="0.2">
      <c r="A25" s="210" t="s">
        <v>340</v>
      </c>
      <c r="B25" s="247">
        <v>2.2482414992858194E-2</v>
      </c>
      <c r="C25" s="247">
        <v>1.9182220767866808E-2</v>
      </c>
      <c r="D25" s="247">
        <v>2.621612685105127E-2</v>
      </c>
      <c r="E25" s="247">
        <v>1.0239679950468524E-3</v>
      </c>
      <c r="F25" s="247">
        <v>1.64287729993821E-3</v>
      </c>
      <c r="G25" s="247">
        <v>8.7186457842023074E-4</v>
      </c>
      <c r="H25" s="247">
        <v>2.1822813278733449E-2</v>
      </c>
      <c r="I25" s="247">
        <v>3.187413749496373E-3</v>
      </c>
      <c r="J25" s="247">
        <v>1.1935135805179265E-2</v>
      </c>
      <c r="K25" s="247">
        <v>1.9E-2</v>
      </c>
      <c r="L25" s="248">
        <v>1.6865885846863618E-2</v>
      </c>
      <c r="M25" s="247">
        <v>0.02</v>
      </c>
      <c r="N25" s="247">
        <v>1.6199999999999999E-2</v>
      </c>
      <c r="O25" s="247">
        <v>1.6199999999999999E-2</v>
      </c>
      <c r="P25" s="247">
        <v>1.7100000000000001E-2</v>
      </c>
      <c r="Q25" s="247">
        <v>1.89E-2</v>
      </c>
      <c r="R25" s="248">
        <v>0</v>
      </c>
      <c r="S25" s="247">
        <v>1.83E-2</v>
      </c>
      <c r="T25" s="249">
        <v>2.3063165973717294E-2</v>
      </c>
      <c r="U25" s="249">
        <v>2.1247938426847773E-2</v>
      </c>
      <c r="V25" s="249">
        <v>2.3345217551188943E-2</v>
      </c>
      <c r="W25" s="249">
        <v>1.5820652783748702E-2</v>
      </c>
      <c r="X25" s="249">
        <v>1.3139213415150354E-2</v>
      </c>
      <c r="Y25" s="249">
        <v>1.9423957767254096E-2</v>
      </c>
      <c r="Z25" s="249">
        <v>9.0802844141850772E-4</v>
      </c>
      <c r="AA25" s="249">
        <v>4.5187034623572443E-3</v>
      </c>
      <c r="AB25" s="249">
        <v>2.026260014237914E-3</v>
      </c>
      <c r="AC25" s="249">
        <v>4.1524658724679782E-3</v>
      </c>
      <c r="AD25" s="249">
        <v>2.2938279852038009E-2</v>
      </c>
      <c r="AE25" s="249">
        <v>2.3945667668762126E-3</v>
      </c>
      <c r="AF25" s="249">
        <v>1.2313683290587055E-2</v>
      </c>
      <c r="AG25" s="249">
        <v>4.7323698591494687E-3</v>
      </c>
      <c r="AH25" s="249">
        <v>6.7316543917856891E-3</v>
      </c>
      <c r="AI25" s="250"/>
      <c r="AJ25" s="250">
        <v>7.1257073308330642E-7</v>
      </c>
      <c r="AK25" s="250">
        <v>5.3930430295522297E-3</v>
      </c>
      <c r="AL25" s="250"/>
      <c r="AM25" s="250"/>
      <c r="AN25" s="250">
        <v>1.6852262451846255E-2</v>
      </c>
      <c r="AO25" s="250">
        <v>4.3273388699923152E-3</v>
      </c>
      <c r="AP25" s="250">
        <v>5.3870236845855119E-3</v>
      </c>
      <c r="AQ25" s="253">
        <v>3.5325472312741906E-4</v>
      </c>
      <c r="AR25" s="253">
        <v>8.9070456431743173E-4</v>
      </c>
      <c r="AS25" s="250">
        <v>2.2949811643221622E-2</v>
      </c>
      <c r="AT25" s="250">
        <v>2.2165757699302218E-2</v>
      </c>
      <c r="AU25" s="250">
        <v>2.3476592439055803E-2</v>
      </c>
      <c r="AV25" s="250">
        <v>2.0237292117971439E-2</v>
      </c>
      <c r="AW25" s="250">
        <v>1.6841570456655814E-2</v>
      </c>
      <c r="AX25" s="250">
        <v>2.2682045785415592E-2</v>
      </c>
      <c r="AY25" s="253">
        <v>2.3339569629035354E-3</v>
      </c>
      <c r="AZ25" s="250">
        <v>1.2857879571672797E-2</v>
      </c>
      <c r="BA25" s="253">
        <v>3.2918436407616035E-3</v>
      </c>
      <c r="BB25" s="250">
        <v>5.499779781029111E-3</v>
      </c>
      <c r="BC25" s="250">
        <v>2.3529411764705882E-2</v>
      </c>
      <c r="BD25" s="250">
        <v>1.0779263452494652E-2</v>
      </c>
      <c r="BE25" s="250">
        <v>8.005644580185322E-4</v>
      </c>
      <c r="BF25" s="250">
        <v>0</v>
      </c>
      <c r="BG25" s="250">
        <v>0</v>
      </c>
      <c r="BH25" s="250">
        <v>1.2088006855008137E-2</v>
      </c>
      <c r="BI25" s="250">
        <v>9.5404562645724734E-4</v>
      </c>
      <c r="BJ25" s="250">
        <v>1.4191136718528974E-3</v>
      </c>
      <c r="BK25" s="250">
        <v>2.4253906994271819E-3</v>
      </c>
      <c r="BL25" s="250">
        <v>4.0132579692213335E-3</v>
      </c>
      <c r="BM25" s="250">
        <v>1.9164522220444222E-2</v>
      </c>
      <c r="BN25" s="250">
        <v>2.9632258500863373E-2</v>
      </c>
      <c r="BO25" s="250">
        <v>2.2942104170783788E-2</v>
      </c>
      <c r="BP25" s="250">
        <v>2.7030022969298358E-2</v>
      </c>
      <c r="BQ25" s="250">
        <v>2.1226083955264586E-2</v>
      </c>
      <c r="BR25" s="250">
        <v>1.8791613749171605E-2</v>
      </c>
      <c r="BS25" s="250">
        <v>1.0942872799074565E-2</v>
      </c>
      <c r="BT25" s="250">
        <v>9.7465327582942664E-3</v>
      </c>
      <c r="BU25" s="250">
        <v>5.7323900114123688E-3</v>
      </c>
      <c r="BV25" s="250">
        <v>8.8253069294812313E-3</v>
      </c>
      <c r="BW25" s="251">
        <v>0</v>
      </c>
      <c r="BX25" s="251">
        <v>0</v>
      </c>
      <c r="BY25" s="251">
        <v>0</v>
      </c>
      <c r="BZ25" s="251">
        <v>0</v>
      </c>
      <c r="CA25" s="251">
        <v>0</v>
      </c>
      <c r="CB25" s="251">
        <v>2.1192756293817509E-2</v>
      </c>
      <c r="CC25" s="251">
        <v>1.8880994749944913E-2</v>
      </c>
      <c r="CD25" s="251">
        <v>5.2531887890296981E-3</v>
      </c>
      <c r="CE25" s="251">
        <v>5.3089548718111036E-3</v>
      </c>
      <c r="CF25" s="251">
        <v>5.3018803483650297E-3</v>
      </c>
      <c r="CG25" s="251">
        <v>2.7537705251600219E-2</v>
      </c>
      <c r="CH25" s="251">
        <v>2.5791871314070867E-2</v>
      </c>
      <c r="CI25" s="251">
        <v>2.1229980771459406E-2</v>
      </c>
      <c r="CJ25" s="251">
        <v>2.6383043190053777E-2</v>
      </c>
      <c r="CK25" s="251">
        <v>1.9359998468532109E-2</v>
      </c>
      <c r="CL25" s="251">
        <v>2.7268135335078832E-2</v>
      </c>
      <c r="CM25" s="251">
        <v>5.7759648321530641E-3</v>
      </c>
      <c r="CN25" s="251">
        <v>1.1025549847095955E-2</v>
      </c>
      <c r="CO25" s="251">
        <v>7.525192194793166E-3</v>
      </c>
      <c r="CP25" s="251">
        <v>9.0656231905094625E-3</v>
      </c>
      <c r="CQ25" s="251">
        <v>0</v>
      </c>
      <c r="CR25" s="251">
        <v>0</v>
      </c>
      <c r="CS25" s="251">
        <v>0</v>
      </c>
      <c r="CT25" s="251">
        <v>0</v>
      </c>
      <c r="CU25" s="251">
        <v>0</v>
      </c>
      <c r="CV25" s="251">
        <v>2.3347934271577452E-2</v>
      </c>
      <c r="CW25" s="251">
        <v>6.5696707421648778E-2</v>
      </c>
      <c r="CX25" s="251">
        <v>3.2990456739005855E-3</v>
      </c>
      <c r="CY25" s="251">
        <v>3.0148722704611778E-3</v>
      </c>
      <c r="CZ25" s="251">
        <v>2.5995234867836991E-3</v>
      </c>
      <c r="DA25" s="251">
        <v>3.6627464045307374E-2</v>
      </c>
      <c r="DB25" s="251">
        <v>3.369051045544804E-2</v>
      </c>
      <c r="DC25" s="251">
        <v>3.3775930421416508E-2</v>
      </c>
      <c r="DD25" s="251">
        <v>2.3327195455548819E-2</v>
      </c>
      <c r="DE25" s="251">
        <v>1.9174484953098835E-2</v>
      </c>
      <c r="DF25" s="251">
        <v>3.6118764358527004E-2</v>
      </c>
      <c r="DG25" s="251">
        <v>1.8626846397247682E-2</v>
      </c>
      <c r="DH25" s="251">
        <v>1.6578427162724192E-2</v>
      </c>
      <c r="DI25" s="251">
        <v>6.1933917910796145E-3</v>
      </c>
      <c r="DJ25" s="251">
        <v>8.5245788962082097E-3</v>
      </c>
      <c r="DK25" s="251">
        <v>0</v>
      </c>
      <c r="DL25" s="251">
        <v>0</v>
      </c>
      <c r="DM25" s="251">
        <v>0</v>
      </c>
      <c r="DN25" s="251">
        <v>0</v>
      </c>
      <c r="DO25" s="251">
        <v>0</v>
      </c>
      <c r="DP25" s="251">
        <v>3.5279068105481315E-2</v>
      </c>
      <c r="DQ25" s="251">
        <v>2.4721249707713285E-2</v>
      </c>
      <c r="DR25" s="251">
        <v>5.4379565128481579E-3</v>
      </c>
      <c r="DS25" s="251">
        <v>7.72077646611372E-3</v>
      </c>
      <c r="DT25" s="251">
        <v>6.8018589570798121E-3</v>
      </c>
      <c r="DU25" s="251">
        <v>5.8393503743859793E-2</v>
      </c>
      <c r="DV25" s="251">
        <v>1.1923834594429158E-2</v>
      </c>
      <c r="DW25" s="251">
        <v>4.4003330478329016E-2</v>
      </c>
      <c r="DX25" s="251">
        <v>3.8069324846401131E-2</v>
      </c>
      <c r="DY25" s="251">
        <v>3.2225263664553624E-2</v>
      </c>
      <c r="DZ25" s="251">
        <v>5.7678561033974729E-2</v>
      </c>
      <c r="EA25" s="251">
        <v>2.1550252649847307E-2</v>
      </c>
      <c r="EB25" s="251">
        <v>2.0868185075833726E-2</v>
      </c>
      <c r="EC25" s="251">
        <v>1.159956381510494E-2</v>
      </c>
      <c r="ED25" s="251"/>
      <c r="EE25" s="251">
        <f t="shared" si="1"/>
        <v>0</v>
      </c>
      <c r="EF25" s="251">
        <f t="shared" si="2"/>
        <v>0</v>
      </c>
      <c r="EG25" s="251">
        <f t="shared" si="2"/>
        <v>0</v>
      </c>
      <c r="EH25" s="251">
        <f t="shared" si="2"/>
        <v>0</v>
      </c>
      <c r="EI25" s="251">
        <f t="shared" si="2"/>
        <v>0</v>
      </c>
      <c r="EJ25" s="251">
        <f t="shared" si="2"/>
        <v>3.7333083143896863E-2</v>
      </c>
      <c r="EK25" s="251">
        <f t="shared" si="2"/>
        <v>4.3342510082960861E-2</v>
      </c>
      <c r="EL25" s="251">
        <f t="shared" si="2"/>
        <v>4.0220119016248744E-3</v>
      </c>
      <c r="EM25" s="251">
        <f t="shared" si="2"/>
        <v>5.0945402866796547E-3</v>
      </c>
      <c r="EN25" s="251">
        <f t="shared" si="2"/>
        <v>4.9197472657265531E-3</v>
      </c>
      <c r="EO25" s="251">
        <f t="shared" si="2"/>
        <v>3.9018358442877953E-2</v>
      </c>
      <c r="EP25" s="251">
        <f t="shared" si="2"/>
        <v>3.5341074447028609E-2</v>
      </c>
      <c r="EQ25" s="251">
        <f t="shared" si="2"/>
        <v>3.6843866191323599E-2</v>
      </c>
      <c r="ER25" s="251">
        <f t="shared" si="2"/>
        <v>3.1073008194303944E-2</v>
      </c>
      <c r="ES25" s="251">
        <f t="shared" si="2"/>
        <v>2.9058571893497982E-2</v>
      </c>
      <c r="ET25" s="251">
        <f t="shared" si="2"/>
        <v>3.8969876771259668E-2</v>
      </c>
      <c r="EU25" s="251">
        <f t="shared" si="2"/>
        <v>1.9110716412867469E-2</v>
      </c>
      <c r="EV25" s="251">
        <f t="shared" si="2"/>
        <v>1.6391462998755064E-2</v>
      </c>
      <c r="EW25" s="251">
        <f t="shared" si="2"/>
        <v>8.8227604032874076E-3</v>
      </c>
      <c r="EX25" s="251">
        <f t="shared" si="2"/>
        <v>1.2334992163426208E-2</v>
      </c>
      <c r="EY25" s="252">
        <f t="shared" si="3"/>
        <v>0</v>
      </c>
      <c r="EZ25" s="252">
        <f t="shared" si="4"/>
        <v>0</v>
      </c>
      <c r="FA25" s="252">
        <f t="shared" si="4"/>
        <v>0</v>
      </c>
      <c r="FB25" s="252">
        <f t="shared" si="4"/>
        <v>0</v>
      </c>
      <c r="FC25" s="252">
        <f t="shared" si="4"/>
        <v>0</v>
      </c>
      <c r="FD25" s="252">
        <f t="shared" si="4"/>
        <v>0.68037523532661459</v>
      </c>
      <c r="FE25" s="252">
        <f t="shared" si="4"/>
        <v>4.6865467646098044E-2</v>
      </c>
      <c r="FF25" s="252">
        <f t="shared" si="4"/>
        <v>2.9520095491003297E-3</v>
      </c>
      <c r="FG25" s="252">
        <f t="shared" si="4"/>
        <v>4.1678338464742502E-3</v>
      </c>
      <c r="FH25" s="252">
        <f t="shared" si="4"/>
        <v>4.3269272996316966E-3</v>
      </c>
      <c r="FI25" s="252">
        <f t="shared" si="4"/>
        <v>4.1723414966468773E-2</v>
      </c>
      <c r="FJ25" s="252">
        <f t="shared" si="4"/>
        <v>3.8033904621384271E-2</v>
      </c>
      <c r="FK25" s="252">
        <f t="shared" si="4"/>
        <v>3.8960589956844462E-2</v>
      </c>
      <c r="FL25" s="252">
        <f t="shared" si="4"/>
        <v>3.1382686813875224E-2</v>
      </c>
      <c r="FM25" s="252">
        <f t="shared" si="4"/>
        <v>3.0444295188884696E-2</v>
      </c>
      <c r="FN25" s="252">
        <f t="shared" si="4"/>
        <v>0.13048815343093828</v>
      </c>
      <c r="FO25" s="252">
        <f t="shared" si="4"/>
        <v>2.4643964648738297E-2</v>
      </c>
      <c r="FP25" s="252">
        <f t="shared" si="4"/>
        <v>1.6541791303426111E-2</v>
      </c>
      <c r="FQ25" s="252">
        <f t="shared" si="4"/>
        <v>8.6047737797512389E-3</v>
      </c>
      <c r="FR25" s="252">
        <f t="shared" si="4"/>
        <v>1.2485865063521234E-2</v>
      </c>
      <c r="FS25" s="483">
        <f t="shared" si="5"/>
        <v>0</v>
      </c>
      <c r="FT25" s="483">
        <f t="shared" si="6"/>
        <v>0</v>
      </c>
      <c r="FU25" s="109">
        <f t="shared" si="7"/>
        <v>0</v>
      </c>
      <c r="FV25" s="483">
        <f t="shared" si="8"/>
        <v>0</v>
      </c>
      <c r="FW25" s="483">
        <f t="shared" si="9"/>
        <v>0</v>
      </c>
      <c r="FX25" s="483">
        <f t="shared" si="10"/>
        <v>1.8863370627420273E-2</v>
      </c>
      <c r="FY25" s="483">
        <f t="shared" si="11"/>
        <v>3.5219273563174426E-2</v>
      </c>
      <c r="FZ25" s="484">
        <f t="shared" si="12"/>
        <v>2.6288117831485768E-3</v>
      </c>
      <c r="GA25" s="483">
        <f t="shared" si="13"/>
        <v>1.5140551859179013E-2</v>
      </c>
      <c r="GB25" s="483">
        <f t="shared" si="14"/>
        <v>8.5408556412838992E-3</v>
      </c>
      <c r="GC25" s="483">
        <f t="shared" si="15"/>
        <v>4.0640087876126552E-2</v>
      </c>
      <c r="GD25" s="483">
        <f t="shared" si="16"/>
        <v>3.8154766435393658E-2</v>
      </c>
      <c r="GE25" s="484">
        <f t="shared" si="17"/>
        <v>3.8791371331887758E-2</v>
      </c>
      <c r="GF25" s="483">
        <f t="shared" si="18"/>
        <v>3.3610574932334679E-2</v>
      </c>
      <c r="GG25" s="483">
        <f t="shared" si="19"/>
        <v>3.3857526085827393E-2</v>
      </c>
      <c r="GH25" s="483">
        <f t="shared" si="20"/>
        <v>3.9567129702159594E-2</v>
      </c>
      <c r="GI25" s="483">
        <f t="shared" si="21"/>
        <v>2.0638575982662791E-2</v>
      </c>
      <c r="GJ25" s="484">
        <f t="shared" si="22"/>
        <v>1.6762034896996847E-2</v>
      </c>
      <c r="GK25" s="483">
        <f t="shared" si="23"/>
        <v>1.4839247441912054E-2</v>
      </c>
      <c r="GL25" s="483">
        <f t="shared" si="24"/>
        <v>1.6405226980282388E-2</v>
      </c>
    </row>
    <row r="26" spans="1:194" x14ac:dyDescent="0.2">
      <c r="A26" s="210" t="s">
        <v>355</v>
      </c>
      <c r="B26" s="247">
        <v>9.1685493894842734E-2</v>
      </c>
      <c r="C26" s="247">
        <v>9.5978047994385876E-2</v>
      </c>
      <c r="D26" s="247">
        <v>8.5282462651253263E-2</v>
      </c>
      <c r="E26" s="247">
        <v>0.17269636967625943</v>
      </c>
      <c r="F26" s="247">
        <v>0.87124154648853258</v>
      </c>
      <c r="G26" s="247">
        <v>0.44975926617591339</v>
      </c>
      <c r="H26" s="247">
        <v>9.4175651385439291E-2</v>
      </c>
      <c r="I26" s="247">
        <v>0.8029708764018374</v>
      </c>
      <c r="J26" s="247">
        <v>0.29065794020794805</v>
      </c>
      <c r="K26" s="247">
        <v>9.5699999999999993E-2</v>
      </c>
      <c r="L26" s="248">
        <v>9.6429930790371141E-2</v>
      </c>
      <c r="M26" s="247">
        <v>8.2799999999999999E-2</v>
      </c>
      <c r="N26" s="247">
        <v>2.9499999999999998E-2</v>
      </c>
      <c r="O26" s="247">
        <v>2.9499999999999998E-2</v>
      </c>
      <c r="P26" s="247">
        <v>0.42780000000000001</v>
      </c>
      <c r="Q26" s="247">
        <v>9.3299999999999994E-2</v>
      </c>
      <c r="R26" s="248">
        <v>0.64</v>
      </c>
      <c r="S26" s="247">
        <v>0.28149999999999997</v>
      </c>
      <c r="T26" s="249">
        <v>9.3851911226284321E-2</v>
      </c>
      <c r="U26" s="249">
        <v>7.6369843400668658E-2</v>
      </c>
      <c r="V26" s="249">
        <v>8.7371730667917938E-2</v>
      </c>
      <c r="W26" s="249">
        <v>6.4690543487747207E-2</v>
      </c>
      <c r="X26" s="249">
        <v>6.6923075536713506E-2</v>
      </c>
      <c r="Y26" s="249">
        <v>3.1133341466390144E-2</v>
      </c>
      <c r="Z26" s="249">
        <v>0.86225273330455365</v>
      </c>
      <c r="AA26" s="249">
        <v>0.43411567516047311</v>
      </c>
      <c r="AB26" s="249">
        <v>0.66720290807755367</v>
      </c>
      <c r="AC26" s="249">
        <v>0.44905012132225408</v>
      </c>
      <c r="AD26" s="249">
        <v>9.1699608172923955E-2</v>
      </c>
      <c r="AE26" s="249">
        <v>0.8048166366846341</v>
      </c>
      <c r="AF26" s="249">
        <v>0.29054889268937828</v>
      </c>
      <c r="AG26" s="249">
        <v>0.54900527018651379</v>
      </c>
      <c r="AH26" s="249">
        <v>0.33938000043259092</v>
      </c>
      <c r="AI26" s="250">
        <v>0.38783269961977185</v>
      </c>
      <c r="AJ26" s="250">
        <v>0.82004038661638523</v>
      </c>
      <c r="AK26" s="250">
        <v>0.6908615021405955</v>
      </c>
      <c r="AL26" s="250">
        <v>0.67693854570171319</v>
      </c>
      <c r="AM26" s="250">
        <v>0.71584072335735105</v>
      </c>
      <c r="AN26" s="250">
        <v>4.3219147539359105E-2</v>
      </c>
      <c r="AO26" s="250">
        <v>0.3113643568870309</v>
      </c>
      <c r="AP26" s="250">
        <v>0.34539919018828674</v>
      </c>
      <c r="AQ26" s="250">
        <v>0.42800236365941302</v>
      </c>
      <c r="AR26" s="250">
        <v>0.38781715257454913</v>
      </c>
      <c r="AS26" s="250">
        <v>0.12882055746221949</v>
      </c>
      <c r="AT26" s="250">
        <v>0.12145220777543407</v>
      </c>
      <c r="AU26" s="250">
        <v>0.11196594086886484</v>
      </c>
      <c r="AV26" s="250">
        <v>0.13290476809238924</v>
      </c>
      <c r="AW26" s="250">
        <v>0.12926329631005198</v>
      </c>
      <c r="AX26" s="250">
        <v>0.1250718613397262</v>
      </c>
      <c r="AY26" s="250">
        <v>0.67740882135178038</v>
      </c>
      <c r="AZ26" s="250">
        <v>0.28614427852864011</v>
      </c>
      <c r="BA26" s="250">
        <v>0.47650734420292373</v>
      </c>
      <c r="BB26" s="250">
        <v>0.35329758335142564</v>
      </c>
      <c r="BC26" s="250">
        <v>0.97647058823529409</v>
      </c>
      <c r="BD26" s="250">
        <v>0.98922073654750542</v>
      </c>
      <c r="BE26" s="250">
        <v>0.99919943554198132</v>
      </c>
      <c r="BF26" s="250">
        <v>0.99369563756778811</v>
      </c>
      <c r="BG26" s="250">
        <v>0.99616281398485762</v>
      </c>
      <c r="BH26" s="250">
        <v>0.2542756645376264</v>
      </c>
      <c r="BI26" s="250">
        <v>0.29856097866364373</v>
      </c>
      <c r="BJ26" s="250">
        <v>0.37916593589102138</v>
      </c>
      <c r="BK26" s="250">
        <v>0.50122430870713641</v>
      </c>
      <c r="BL26" s="250">
        <v>0.38103994367705818</v>
      </c>
      <c r="BM26" s="250">
        <v>0.23801890685689392</v>
      </c>
      <c r="BN26" s="250">
        <v>0.15106138622164053</v>
      </c>
      <c r="BO26" s="250">
        <v>7.534006375172482E-2</v>
      </c>
      <c r="BP26" s="250">
        <v>6.0368685139633123E-2</v>
      </c>
      <c r="BQ26" s="250">
        <v>6.4379856026925183E-2</v>
      </c>
      <c r="BR26" s="250">
        <v>0.23888481172073719</v>
      </c>
      <c r="BS26" s="250">
        <v>0.80793386791464294</v>
      </c>
      <c r="BT26" s="250">
        <v>0.33888432464744861</v>
      </c>
      <c r="BU26" s="250">
        <v>0.58896337232978224</v>
      </c>
      <c r="BV26" s="250">
        <v>0.3567512371323362</v>
      </c>
      <c r="BW26" s="251">
        <v>1</v>
      </c>
      <c r="BX26" s="251">
        <v>1</v>
      </c>
      <c r="BY26" s="251">
        <v>1</v>
      </c>
      <c r="BZ26" s="251">
        <v>0.99983387296487725</v>
      </c>
      <c r="CA26" s="251">
        <v>0.99995889949290051</v>
      </c>
      <c r="CB26" s="251">
        <v>0.17805648071963892</v>
      </c>
      <c r="CC26" s="251">
        <v>0.28693886642105121</v>
      </c>
      <c r="CD26" s="251">
        <v>0.32523095514779155</v>
      </c>
      <c r="CE26" s="251">
        <v>0.47871544569622582</v>
      </c>
      <c r="CF26" s="251">
        <v>0.35708896181327088</v>
      </c>
      <c r="CG26" s="251">
        <v>6.4601168432873293E-2</v>
      </c>
      <c r="CH26" s="251">
        <v>5.7129202593393935E-2</v>
      </c>
      <c r="CI26" s="251">
        <v>6.6606372046129694E-2</v>
      </c>
      <c r="CJ26" s="251">
        <v>6.06027365571103E-2</v>
      </c>
      <c r="CK26" s="251">
        <v>6.2904168976345903E-2</v>
      </c>
      <c r="CL26" s="251">
        <v>6.9427405349002061E-2</v>
      </c>
      <c r="CM26" s="251">
        <v>0.78456755589969773</v>
      </c>
      <c r="CN26" s="251">
        <v>0.28896100309754896</v>
      </c>
      <c r="CO26" s="251">
        <v>0.5742781731563974</v>
      </c>
      <c r="CP26" s="251">
        <v>0.34416010114562529</v>
      </c>
      <c r="CQ26" s="251">
        <v>1</v>
      </c>
      <c r="CR26" s="251">
        <v>1</v>
      </c>
      <c r="CS26" s="251">
        <v>1</v>
      </c>
      <c r="CT26" s="251">
        <v>1</v>
      </c>
      <c r="CU26" s="251">
        <v>1</v>
      </c>
      <c r="CV26" s="251">
        <v>4.7594585259285824E-2</v>
      </c>
      <c r="CW26" s="251">
        <v>0.28671506049613416</v>
      </c>
      <c r="CX26" s="251">
        <v>0.34744382037492788</v>
      </c>
      <c r="CY26" s="251">
        <v>0.49433365925736694</v>
      </c>
      <c r="CZ26" s="251">
        <v>0.39455427182276864</v>
      </c>
      <c r="DA26" s="251">
        <v>5.3975238314913791E-2</v>
      </c>
      <c r="DB26" s="251">
        <v>4.949212956127598E-2</v>
      </c>
      <c r="DC26" s="251">
        <v>5.412731226969681E-2</v>
      </c>
      <c r="DD26" s="251">
        <v>5.6790935406986001E-2</v>
      </c>
      <c r="DE26" s="251">
        <v>6.0223586070045729E-2</v>
      </c>
      <c r="DF26" s="251">
        <v>5.3735401154992347E-2</v>
      </c>
      <c r="DG26" s="251">
        <v>0.73740143839378969</v>
      </c>
      <c r="DH26" s="251">
        <v>0.26537067586339697</v>
      </c>
      <c r="DI26" s="251">
        <v>0.56713487600565649</v>
      </c>
      <c r="DJ26" s="251">
        <v>0.31809316092190393</v>
      </c>
      <c r="DK26" s="251">
        <v>1</v>
      </c>
      <c r="DL26" s="251">
        <v>1</v>
      </c>
      <c r="DM26" s="251">
        <v>1</v>
      </c>
      <c r="DN26" s="251">
        <v>1</v>
      </c>
      <c r="DO26" s="251">
        <v>1.0000941824080649</v>
      </c>
      <c r="DP26" s="251">
        <v>5.9448295576359611E-2</v>
      </c>
      <c r="DQ26" s="251">
        <v>0.59459600395005852</v>
      </c>
      <c r="DR26" s="251">
        <v>0.35318529437759055</v>
      </c>
      <c r="DS26" s="251">
        <v>0.48527727798013487</v>
      </c>
      <c r="DT26" s="251">
        <v>0.38285858193306704</v>
      </c>
      <c r="DU26" s="251">
        <v>5.5367374238251062E-2</v>
      </c>
      <c r="DV26" s="251">
        <v>0.12069705857048242</v>
      </c>
      <c r="DW26" s="251">
        <v>8.1715256341491863E-2</v>
      </c>
      <c r="DX26" s="251">
        <v>5.1534438011927981E-2</v>
      </c>
      <c r="DY26" s="251">
        <v>5.3827951283547885E-2</v>
      </c>
      <c r="DZ26" s="251">
        <v>5.54961598145138E-2</v>
      </c>
      <c r="EA26" s="251">
        <v>0.60393361763107745</v>
      </c>
      <c r="EB26" s="251">
        <v>0.29518191131567956</v>
      </c>
      <c r="EC26" s="251">
        <v>0.55973620231664534</v>
      </c>
      <c r="ED26" s="251"/>
      <c r="EE26" s="251">
        <f t="shared" si="1"/>
        <v>1</v>
      </c>
      <c r="EF26" s="251">
        <f t="shared" si="2"/>
        <v>1</v>
      </c>
      <c r="EG26" s="251">
        <f t="shared" si="2"/>
        <v>1.0013770179400192</v>
      </c>
      <c r="EH26" s="251">
        <f t="shared" si="2"/>
        <v>1</v>
      </c>
      <c r="EI26" s="251">
        <f t="shared" si="2"/>
        <v>0.99999993151702071</v>
      </c>
      <c r="EJ26" s="251">
        <f t="shared" si="2"/>
        <v>9.6268075930443231E-2</v>
      </c>
      <c r="EK26" s="251">
        <f t="shared" si="2"/>
        <v>0.37150521821951865</v>
      </c>
      <c r="EL26" s="251">
        <f t="shared" si="2"/>
        <v>0.31982225140600296</v>
      </c>
      <c r="EM26" s="251">
        <f t="shared" si="2"/>
        <v>0.46577238631336948</v>
      </c>
      <c r="EN26" s="251">
        <f t="shared" si="2"/>
        <v>0.37508810546961352</v>
      </c>
      <c r="EO26" s="251">
        <f t="shared" si="2"/>
        <v>5.8144731906601854E-2</v>
      </c>
      <c r="EP26" s="251">
        <f t="shared" si="2"/>
        <v>5.4309619502435173E-2</v>
      </c>
      <c r="EQ26" s="251">
        <f t="shared" si="2"/>
        <v>5.8527706787845683E-2</v>
      </c>
      <c r="ER26" s="251">
        <f t="shared" si="2"/>
        <v>5.8144205432575063E-2</v>
      </c>
      <c r="ES26" s="251">
        <f t="shared" si="2"/>
        <v>5.7113409675511366E-2</v>
      </c>
      <c r="ET26" s="251">
        <f t="shared" si="2"/>
        <v>5.9241590198940049E-2</v>
      </c>
      <c r="EU26" s="251">
        <f t="shared" si="2"/>
        <v>0.68122412370259133</v>
      </c>
      <c r="EV26" s="251">
        <f t="shared" si="2"/>
        <v>0.28289944002208312</v>
      </c>
      <c r="EW26" s="251">
        <f t="shared" si="2"/>
        <v>0.54427910390680856</v>
      </c>
      <c r="EX26" s="251">
        <f t="shared" si="2"/>
        <v>0.34659354275294124</v>
      </c>
      <c r="EY26" s="252">
        <f t="shared" si="3"/>
        <v>0.49019607843137253</v>
      </c>
      <c r="EZ26" s="252">
        <f t="shared" si="4"/>
        <v>1.0000000114896908</v>
      </c>
      <c r="FA26" s="252">
        <f t="shared" si="4"/>
        <v>0.99999999690878583</v>
      </c>
      <c r="FB26" s="252">
        <f t="shared" si="4"/>
        <v>1</v>
      </c>
      <c r="FC26" s="252">
        <f t="shared" si="4"/>
        <v>0.99999999902444681</v>
      </c>
      <c r="FD26" s="252">
        <f t="shared" si="4"/>
        <v>1.7516345478242681E-2</v>
      </c>
      <c r="FE26" s="252">
        <f t="shared" si="4"/>
        <v>0.34659500310861591</v>
      </c>
      <c r="FF26" s="252">
        <f t="shared" si="4"/>
        <v>0.28346552448056439</v>
      </c>
      <c r="FG26" s="252">
        <f t="shared" si="4"/>
        <v>0.43715675068572324</v>
      </c>
      <c r="FH26" s="252">
        <f t="shared" si="4"/>
        <v>0.34381851743911279</v>
      </c>
      <c r="FI26" s="252">
        <f t="shared" si="4"/>
        <v>5.7742766813113751E-2</v>
      </c>
      <c r="FJ26" s="252">
        <f t="shared" si="4"/>
        <v>5.3910444759960853E-2</v>
      </c>
      <c r="FK26" s="252">
        <f t="shared" si="4"/>
        <v>5.8169093137779147E-2</v>
      </c>
      <c r="FL26" s="252">
        <f t="shared" si="4"/>
        <v>6.6315839219941664E-2</v>
      </c>
      <c r="FM26" s="252">
        <f t="shared" si="4"/>
        <v>6.0881021524721204E-2</v>
      </c>
      <c r="FN26" s="252">
        <f t="shared" si="4"/>
        <v>5.2152665191032767E-2</v>
      </c>
      <c r="FO26" s="252">
        <f t="shared" si="4"/>
        <v>0.6158663757125683</v>
      </c>
      <c r="FP26" s="252">
        <f t="shared" si="4"/>
        <v>0.26659495038817338</v>
      </c>
      <c r="FQ26" s="252">
        <f t="shared" si="4"/>
        <v>0.50958604799840834</v>
      </c>
      <c r="FR26" s="252">
        <f t="shared" si="4"/>
        <v>0.32948773679828952</v>
      </c>
      <c r="FS26" s="483">
        <f t="shared" si="5"/>
        <v>1</v>
      </c>
      <c r="FT26" s="483">
        <f t="shared" si="6"/>
        <v>1</v>
      </c>
      <c r="FU26" s="109">
        <f t="shared" si="7"/>
        <v>0.99933794862762448</v>
      </c>
      <c r="FV26" s="483">
        <f t="shared" si="8"/>
        <v>0.99733104278270146</v>
      </c>
      <c r="FW26" s="483">
        <f t="shared" si="9"/>
        <v>0.99352584785422005</v>
      </c>
      <c r="FX26" s="483">
        <f t="shared" si="10"/>
        <v>1.5670565663593136E-2</v>
      </c>
      <c r="FY26" s="483">
        <f t="shared" si="11"/>
        <v>0.25318207312245766</v>
      </c>
      <c r="FZ26" s="484">
        <f t="shared" si="12"/>
        <v>0.25898279801826929</v>
      </c>
      <c r="GA26" s="483">
        <f t="shared" si="13"/>
        <v>0.37607830046375745</v>
      </c>
      <c r="GB26" s="483">
        <f t="shared" si="14"/>
        <v>0.30340500722996272</v>
      </c>
      <c r="GC26" s="483">
        <f t="shared" si="15"/>
        <v>5.9105422683485766E-2</v>
      </c>
      <c r="GD26" s="483">
        <f t="shared" si="16"/>
        <v>5.6056014365809759E-2</v>
      </c>
      <c r="GE26" s="484">
        <f t="shared" si="17"/>
        <v>5.319628027129359E-2</v>
      </c>
      <c r="GF26" s="483">
        <f t="shared" si="18"/>
        <v>6.9147995428515213E-2</v>
      </c>
      <c r="GG26" s="483">
        <f t="shared" si="19"/>
        <v>6.2694825463688972E-2</v>
      </c>
      <c r="GH26" s="483">
        <f t="shared" si="20"/>
        <v>5.6966351814611647E-2</v>
      </c>
      <c r="GI26" s="483">
        <f t="shared" si="21"/>
        <v>0.54839152175694195</v>
      </c>
      <c r="GJ26" s="484">
        <f t="shared" si="22"/>
        <v>0.23694830393377803</v>
      </c>
      <c r="GK26" s="483">
        <f t="shared" si="23"/>
        <v>0.47392448867688119</v>
      </c>
      <c r="GL26" s="483">
        <f t="shared" si="24"/>
        <v>0.28806100656683192</v>
      </c>
    </row>
    <row r="27" spans="1:194" s="258" customFormat="1" x14ac:dyDescent="0.2">
      <c r="A27" s="254" t="s">
        <v>50</v>
      </c>
      <c r="B27" s="255">
        <v>0.68871386769904663</v>
      </c>
      <c r="C27" s="255">
        <v>0.70197798688517488</v>
      </c>
      <c r="D27" s="255">
        <v>0.69941407302842185</v>
      </c>
      <c r="E27" s="255">
        <v>0.12993975258075655</v>
      </c>
      <c r="F27" s="255">
        <v>2.661831010492113E-2</v>
      </c>
      <c r="G27" s="255">
        <v>7.5286479027051253E-2</v>
      </c>
      <c r="H27" s="255">
        <v>0.67153795724391663</v>
      </c>
      <c r="I27" s="255">
        <v>8.6091325115791109E-2</v>
      </c>
      <c r="J27" s="255">
        <v>0.34773050514487669</v>
      </c>
      <c r="K27" s="255">
        <v>0.69169999999999998</v>
      </c>
      <c r="L27" s="248">
        <v>0.70506593667521766</v>
      </c>
      <c r="M27" s="255">
        <v>0.69669999999999999</v>
      </c>
      <c r="N27" s="255">
        <v>0.3281</v>
      </c>
      <c r="O27" s="255">
        <v>0.3281</v>
      </c>
      <c r="P27" s="255">
        <v>6.4299999999999996E-2</v>
      </c>
      <c r="Q27" s="255">
        <v>0.6784</v>
      </c>
      <c r="R27" s="248">
        <v>0.08</v>
      </c>
      <c r="S27" s="255">
        <v>0.33250000000000002</v>
      </c>
      <c r="T27" s="256">
        <v>0.68043374608139473</v>
      </c>
      <c r="U27" s="256">
        <v>0.72850272104666747</v>
      </c>
      <c r="V27" s="256">
        <v>0.70014452183157849</v>
      </c>
      <c r="W27" s="256">
        <v>0.79748816371727393</v>
      </c>
      <c r="X27" s="256">
        <v>0.79528152296485399</v>
      </c>
      <c r="Y27" s="256">
        <v>0.25156431954040837</v>
      </c>
      <c r="Z27" s="256">
        <v>1.0703786224657277E-2</v>
      </c>
      <c r="AA27" s="256">
        <v>5.2719164731865359E-2</v>
      </c>
      <c r="AB27" s="256">
        <v>2.8005099683991341E-2</v>
      </c>
      <c r="AC27" s="256">
        <v>4.3946578640573136E-2</v>
      </c>
      <c r="AD27" s="256">
        <v>0.66571630306936791</v>
      </c>
      <c r="AE27" s="256">
        <v>6.3163980362685349E-2</v>
      </c>
      <c r="AF27" s="256">
        <v>0.32078087679732625</v>
      </c>
      <c r="AG27" s="256">
        <v>0.17895815212103763</v>
      </c>
      <c r="AH27" s="256">
        <v>0.25957903669724941</v>
      </c>
      <c r="AI27" s="250"/>
      <c r="AJ27" s="250"/>
      <c r="AK27" s="250"/>
      <c r="AL27" s="250">
        <v>3.5668014994025927E-4</v>
      </c>
      <c r="AM27" s="250">
        <v>5.0729374497254299E-4</v>
      </c>
      <c r="AN27" s="250">
        <v>0.18215896000297283</v>
      </c>
      <c r="AO27" s="250">
        <v>0.10195521713291991</v>
      </c>
      <c r="AP27" s="250">
        <v>5.2401306144631669E-2</v>
      </c>
      <c r="AQ27" s="250">
        <v>3.7351024894604498E-2</v>
      </c>
      <c r="AR27" s="250">
        <v>5.503874660266634E-2</v>
      </c>
      <c r="AS27" s="250">
        <v>0.61764010666272828</v>
      </c>
      <c r="AT27" s="250">
        <v>0.67949696637081702</v>
      </c>
      <c r="AU27" s="250">
        <v>0.66620764458054549</v>
      </c>
      <c r="AV27" s="250">
        <v>0.70501577972114482</v>
      </c>
      <c r="AW27" s="250">
        <v>0.7127309065382087</v>
      </c>
      <c r="AX27" s="250">
        <v>0.59853476187928711</v>
      </c>
      <c r="AY27" s="250">
        <v>6.5834385160867148E-2</v>
      </c>
      <c r="AZ27" s="250">
        <v>0.3002427555955991</v>
      </c>
      <c r="BA27" s="250">
        <v>0.12652253526481777</v>
      </c>
      <c r="BB27" s="250">
        <v>0.2427998324486729</v>
      </c>
      <c r="BC27" s="250">
        <v>0</v>
      </c>
      <c r="BD27" s="250">
        <v>0</v>
      </c>
      <c r="BE27" s="250">
        <v>0</v>
      </c>
      <c r="BF27" s="250">
        <v>6.3043624322119303E-3</v>
      </c>
      <c r="BG27" s="250">
        <v>3.837186015142388E-3</v>
      </c>
      <c r="BH27" s="250">
        <v>5.5427217831828447E-2</v>
      </c>
      <c r="BI27" s="250">
        <v>6.794376223183371E-2</v>
      </c>
      <c r="BJ27" s="250">
        <v>5.0592497734447309E-2</v>
      </c>
      <c r="BK27" s="250">
        <v>2.7937514920369631E-2</v>
      </c>
      <c r="BL27" s="250">
        <v>4.0236124844322943E-2</v>
      </c>
      <c r="BM27" s="250">
        <v>0.53684963814304354</v>
      </c>
      <c r="BN27" s="250">
        <v>0.62856166225311749</v>
      </c>
      <c r="BO27" s="250">
        <v>0.73186951092190522</v>
      </c>
      <c r="BP27" s="250">
        <v>0.75799815702675022</v>
      </c>
      <c r="BQ27" s="250">
        <v>0.75971789688829139</v>
      </c>
      <c r="BR27" s="250">
        <v>0.51147002117731322</v>
      </c>
      <c r="BS27" s="250">
        <v>6.6499057676640036E-2</v>
      </c>
      <c r="BT27" s="250">
        <v>0.31026387751738815</v>
      </c>
      <c r="BU27" s="250">
        <v>0.14253884981423479</v>
      </c>
      <c r="BV27" s="250">
        <v>0.25696383346308505</v>
      </c>
      <c r="BW27" s="255">
        <v>0</v>
      </c>
      <c r="BX27" s="255">
        <v>0</v>
      </c>
      <c r="BY27" s="255">
        <v>0</v>
      </c>
      <c r="BZ27" s="255">
        <v>1.6612703512280873E-4</v>
      </c>
      <c r="CA27" s="255">
        <v>4.1100507099483698E-5</v>
      </c>
      <c r="CB27" s="255">
        <v>2.4959714836243766E-2</v>
      </c>
      <c r="CC27" s="255">
        <v>5.6734529412997371E-2</v>
      </c>
      <c r="CD27" s="255">
        <v>7.9860937601789084E-2</v>
      </c>
      <c r="CE27" s="255">
        <v>6.2147818727584181E-2</v>
      </c>
      <c r="CF27" s="255">
        <v>9.4340221818512732E-2</v>
      </c>
      <c r="CG27" s="255">
        <v>0.67585681127041142</v>
      </c>
      <c r="CH27" s="255">
        <v>0.68846842257866026</v>
      </c>
      <c r="CI27" s="255">
        <v>0.75208947751622124</v>
      </c>
      <c r="CJ27" s="255">
        <v>0.78316841050179642</v>
      </c>
      <c r="CK27" s="255">
        <v>0.79360368099350465</v>
      </c>
      <c r="CL27" s="255">
        <v>0.64823208169962487</v>
      </c>
      <c r="CM27" s="255">
        <v>7.0310770087616353E-2</v>
      </c>
      <c r="CN27" s="255">
        <v>0.33642009366199038</v>
      </c>
      <c r="CO27" s="255">
        <v>0.17812859208124182</v>
      </c>
      <c r="CP27" s="255">
        <v>0.30252035459975396</v>
      </c>
      <c r="CQ27" s="255">
        <v>0</v>
      </c>
      <c r="CR27" s="255">
        <v>0</v>
      </c>
      <c r="CS27" s="255">
        <v>0</v>
      </c>
      <c r="CT27" s="255">
        <v>0</v>
      </c>
      <c r="CU27" s="255">
        <v>0</v>
      </c>
      <c r="CV27" s="255">
        <v>4.7883890640365911E-2</v>
      </c>
      <c r="CW27" s="255">
        <v>4.3706559579298164E-2</v>
      </c>
      <c r="CX27" s="255">
        <v>4.7862829986146188E-2</v>
      </c>
      <c r="CY27" s="255">
        <v>3.3455937139538365E-2</v>
      </c>
      <c r="CZ27" s="255">
        <v>4.59056408863842E-2</v>
      </c>
      <c r="DA27" s="255">
        <v>0.64619498803141862</v>
      </c>
      <c r="DB27" s="255">
        <v>0.67554976887699636</v>
      </c>
      <c r="DC27" s="255">
        <v>0.73901299530251452</v>
      </c>
      <c r="DD27" s="255">
        <v>0.78197433128333804</v>
      </c>
      <c r="DE27" s="255">
        <v>0.79934127917822828</v>
      </c>
      <c r="DF27" s="255">
        <v>0.62328023084682338</v>
      </c>
      <c r="DG27" s="255">
        <v>7.9817035244164933E-2</v>
      </c>
      <c r="DH27" s="255">
        <v>0.350996035698523</v>
      </c>
      <c r="DI27" s="255">
        <v>0.17547355984468699</v>
      </c>
      <c r="DJ27" s="255">
        <v>0.32086184809817586</v>
      </c>
      <c r="DK27" s="255">
        <v>0</v>
      </c>
      <c r="DL27" s="255">
        <v>0</v>
      </c>
      <c r="DM27" s="255">
        <v>0</v>
      </c>
      <c r="DN27" s="255">
        <v>0</v>
      </c>
      <c r="DO27" s="255">
        <v>-9.4182408064842483E-5</v>
      </c>
      <c r="DP27" s="255">
        <v>9.98227685271207E-2</v>
      </c>
      <c r="DQ27" s="255">
        <v>2.0529759563764618E-3</v>
      </c>
      <c r="DR27" s="255">
        <v>4.0085017072144596E-2</v>
      </c>
      <c r="DS27" s="255">
        <v>2.7977257988229157E-2</v>
      </c>
      <c r="DT27" s="255">
        <v>4.0534381725386669E-2</v>
      </c>
      <c r="DU27" s="255">
        <v>0.65172564728334992</v>
      </c>
      <c r="DV27" s="255">
        <v>0.20930497854281641</v>
      </c>
      <c r="DW27" s="255">
        <v>0.71137031498618475</v>
      </c>
      <c r="DX27" s="255">
        <v>0.74535970997545786</v>
      </c>
      <c r="DY27" s="255">
        <v>0.77032667901426599</v>
      </c>
      <c r="DZ27" s="255">
        <v>0.63465701047938883</v>
      </c>
      <c r="EA27" s="255">
        <v>1.4787485568076878E-2</v>
      </c>
      <c r="EB27" s="255">
        <v>0.31320888194492708</v>
      </c>
      <c r="EC27" s="255">
        <v>0.1693020304911162</v>
      </c>
      <c r="ED27" s="255"/>
      <c r="EE27" s="255">
        <f t="shared" si="1"/>
        <v>0</v>
      </c>
      <c r="EF27" s="255">
        <f t="shared" si="2"/>
        <v>0</v>
      </c>
      <c r="EG27" s="255">
        <f t="shared" si="2"/>
        <v>0</v>
      </c>
      <c r="EH27" s="255">
        <f t="shared" si="2"/>
        <v>0</v>
      </c>
      <c r="EI27" s="255">
        <f t="shared" si="2"/>
        <v>6.8482979266227718E-8</v>
      </c>
      <c r="EJ27" s="255">
        <f t="shared" si="2"/>
        <v>3.95478748765715E-2</v>
      </c>
      <c r="EK27" s="255">
        <f t="shared" si="2"/>
        <v>2.1017002584817774E-2</v>
      </c>
      <c r="EL27" s="255">
        <f t="shared" si="2"/>
        <v>3.3826032333350388E-2</v>
      </c>
      <c r="EM27" s="255">
        <f t="shared" si="2"/>
        <v>2.5600871350087828E-2</v>
      </c>
      <c r="EN27" s="255">
        <f t="shared" si="2"/>
        <v>3.5667959371516435E-2</v>
      </c>
      <c r="EO27" s="255">
        <f t="shared" si="2"/>
        <v>0.66983336479235611</v>
      </c>
      <c r="EP27" s="255">
        <f t="shared" si="2"/>
        <v>0.70759739142635514</v>
      </c>
      <c r="EQ27" s="255">
        <f t="shared" si="2"/>
        <v>0.72927079098136494</v>
      </c>
      <c r="ER27" s="255">
        <f t="shared" si="2"/>
        <v>0.72919320987770608</v>
      </c>
      <c r="ES27" s="255">
        <f t="shared" si="2"/>
        <v>0.76465847139013443</v>
      </c>
      <c r="ET27" s="255">
        <f t="shared" si="2"/>
        <v>0.65173279540191953</v>
      </c>
      <c r="EU27" s="255">
        <f t="shared" si="2"/>
        <v>7.5660556781755248E-2</v>
      </c>
      <c r="EV27" s="255">
        <f t="shared" si="2"/>
        <v>0.30078587391564543</v>
      </c>
      <c r="EW27" s="255">
        <f t="shared" si="2"/>
        <v>0.16046614199894735</v>
      </c>
      <c r="EX27" s="255">
        <f t="shared" si="2"/>
        <v>0.27355422995493922</v>
      </c>
      <c r="EY27" s="257">
        <f t="shared" si="3"/>
        <v>0</v>
      </c>
      <c r="EZ27" s="257">
        <f t="shared" si="4"/>
        <v>0</v>
      </c>
      <c r="FA27" s="257">
        <f t="shared" si="4"/>
        <v>0</v>
      </c>
      <c r="FB27" s="257">
        <f t="shared" si="4"/>
        <v>0</v>
      </c>
      <c r="FC27" s="257">
        <f t="shared" si="4"/>
        <v>0</v>
      </c>
      <c r="FD27" s="257">
        <f t="shared" si="4"/>
        <v>1.0843528585143985E-2</v>
      </c>
      <c r="FE27" s="257">
        <f t="shared" si="4"/>
        <v>2.2661348462732191E-2</v>
      </c>
      <c r="FF27" s="257">
        <f t="shared" si="4"/>
        <v>3.5742933927691962E-2</v>
      </c>
      <c r="FG27" s="257">
        <f t="shared" si="4"/>
        <v>2.0859312449951248E-2</v>
      </c>
      <c r="FH27" s="257">
        <f t="shared" si="4"/>
        <v>3.435753238108144E-2</v>
      </c>
      <c r="FI27" s="257">
        <f t="shared" si="4"/>
        <v>0.67370144283864486</v>
      </c>
      <c r="FJ27" s="257">
        <f t="shared" si="4"/>
        <v>0.69764660287449343</v>
      </c>
      <c r="FK27" s="257">
        <f t="shared" si="4"/>
        <v>0.72324220596694344</v>
      </c>
      <c r="FL27" s="257">
        <f t="shared" si="4"/>
        <v>0.7313688022092274</v>
      </c>
      <c r="FM27" s="257">
        <f t="shared" si="4"/>
        <v>0.75818156379395663</v>
      </c>
      <c r="FN27" s="257">
        <f t="shared" si="4"/>
        <v>0.58157168727097286</v>
      </c>
      <c r="FO27" s="257">
        <f t="shared" si="4"/>
        <v>7.814700191116361E-2</v>
      </c>
      <c r="FP27" s="257">
        <f t="shared" si="4"/>
        <v>0.29722106193811171</v>
      </c>
      <c r="FQ27" s="257">
        <f t="shared" si="4"/>
        <v>0.15979255973963341</v>
      </c>
      <c r="FR27" s="257">
        <f t="shared" si="4"/>
        <v>0.27087593085998385</v>
      </c>
      <c r="FS27" s="485">
        <f t="shared" si="5"/>
        <v>0</v>
      </c>
      <c r="FT27" s="485">
        <f t="shared" si="6"/>
        <v>0</v>
      </c>
      <c r="FU27" s="109">
        <f t="shared" si="7"/>
        <v>0</v>
      </c>
      <c r="FV27" s="485">
        <f t="shared" si="8"/>
        <v>2.6689572172985264E-3</v>
      </c>
      <c r="FW27" s="485">
        <f t="shared" si="9"/>
        <v>2.1289207930449187E-3</v>
      </c>
      <c r="FX27" s="485">
        <f t="shared" si="10"/>
        <v>2.1742794926451321E-2</v>
      </c>
      <c r="FY27" s="485">
        <f t="shared" si="11"/>
        <v>2.3485715845242661E-2</v>
      </c>
      <c r="FZ27" s="484">
        <f t="shared" si="12"/>
        <v>3.7028614182721083E-2</v>
      </c>
      <c r="GA27" s="485">
        <f t="shared" si="13"/>
        <v>1.8903559645985162E-2</v>
      </c>
      <c r="GB27" s="485">
        <f t="shared" si="14"/>
        <v>4.1497435470844904E-2</v>
      </c>
      <c r="GC27" s="485">
        <f t="shared" si="15"/>
        <v>0.65940131053405693</v>
      </c>
      <c r="GD27" s="485">
        <f t="shared" si="16"/>
        <v>0.68009258183176269</v>
      </c>
      <c r="GE27" s="484">
        <f t="shared" si="17"/>
        <v>0.72188602467419427</v>
      </c>
      <c r="GF27" s="485">
        <f t="shared" si="18"/>
        <v>0.71333641529379455</v>
      </c>
      <c r="GG27" s="485">
        <f t="shared" si="19"/>
        <v>0.74761429997923479</v>
      </c>
      <c r="GH27" s="485">
        <f t="shared" si="20"/>
        <v>0.62798383069035535</v>
      </c>
      <c r="GI27" s="485">
        <f t="shared" si="21"/>
        <v>8.1574287529130818E-2</v>
      </c>
      <c r="GJ27" s="484">
        <f t="shared" si="22"/>
        <v>0.30571470245557453</v>
      </c>
      <c r="GK27" s="485">
        <f t="shared" si="23"/>
        <v>0.14646755894436328</v>
      </c>
      <c r="GL27" s="485">
        <f t="shared" si="24"/>
        <v>0.28025318919980308</v>
      </c>
    </row>
    <row r="28" spans="1:194" x14ac:dyDescent="0.2">
      <c r="A28" s="210" t="s">
        <v>342</v>
      </c>
      <c r="B28" s="247">
        <v>5.2391818682393904E-5</v>
      </c>
      <c r="C28" s="247">
        <v>7.7155307088569907E-5</v>
      </c>
      <c r="D28" s="247">
        <v>3.0901366710489441E-6</v>
      </c>
      <c r="E28" s="247">
        <v>2.4349006393846666E-3</v>
      </c>
      <c r="F28" s="247">
        <v>4.2010849370212157E-5</v>
      </c>
      <c r="G28" s="247">
        <v>7.7047318501171505E-5</v>
      </c>
      <c r="H28" s="247">
        <v>1.2562670386363875E-4</v>
      </c>
      <c r="I28" s="247">
        <v>4.5105714126422455E-5</v>
      </c>
      <c r="J28" s="247">
        <v>4.4763547407271725E-5</v>
      </c>
      <c r="K28" s="247">
        <v>2.0000000000000001E-4</v>
      </c>
      <c r="L28" s="248">
        <v>2.9313614770471992E-4</v>
      </c>
      <c r="M28" s="247">
        <v>0</v>
      </c>
      <c r="N28" s="247">
        <v>4.0000000000000002E-4</v>
      </c>
      <c r="O28" s="247">
        <v>4.0000000000000002E-4</v>
      </c>
      <c r="P28" s="247">
        <v>0</v>
      </c>
      <c r="Q28" s="247">
        <v>2.0000000000000001E-4</v>
      </c>
      <c r="R28" s="248">
        <v>0</v>
      </c>
      <c r="S28" s="247">
        <v>0</v>
      </c>
      <c r="T28" s="259">
        <v>3.704698337843738E-5</v>
      </c>
      <c r="U28" s="259">
        <v>4.1818707800677835E-5</v>
      </c>
      <c r="V28" s="259">
        <v>1.9796133470526485E-6</v>
      </c>
      <c r="W28" s="259">
        <v>3.8326790842390536E-5</v>
      </c>
      <c r="X28" s="259">
        <v>6.8126575526090084E-6</v>
      </c>
      <c r="Y28" s="259">
        <v>3.0609868355385006E-4</v>
      </c>
      <c r="Z28" s="259">
        <v>9.2992572986758687E-5</v>
      </c>
      <c r="AA28" s="259">
        <v>4.8458741753536593E-5</v>
      </c>
      <c r="AB28" s="259">
        <v>2.3553300499206007E-5</v>
      </c>
      <c r="AC28" s="259">
        <v>1.0744759702825109E-5</v>
      </c>
      <c r="AD28" s="259">
        <v>4.627998722428774E-5</v>
      </c>
      <c r="AE28" s="259">
        <v>8.9252541102870808E-5</v>
      </c>
      <c r="AF28" s="259">
        <v>2.9214400148248549E-5</v>
      </c>
      <c r="AG28" s="259">
        <v>2.6451484444624815E-5</v>
      </c>
      <c r="AH28" s="259">
        <v>9.6162498971969474E-6</v>
      </c>
      <c r="AI28" s="250"/>
      <c r="AJ28" s="250"/>
      <c r="AK28" s="250"/>
      <c r="AL28" s="250"/>
      <c r="AM28" s="250"/>
      <c r="AN28" s="260">
        <v>4.2734513383954121E-4</v>
      </c>
      <c r="AO28" s="260">
        <v>6.1152266502165174E-3</v>
      </c>
      <c r="AP28" s="260">
        <v>3.1989195266291664E-4</v>
      </c>
      <c r="AQ28" s="260">
        <v>1.7177415346079328E-4</v>
      </c>
      <c r="AR28" s="260">
        <v>7.2433612339599642E-5</v>
      </c>
      <c r="AS28" s="260">
        <v>2.7691694870184531E-6</v>
      </c>
      <c r="AT28" s="260">
        <v>4.7510093941669694E-5</v>
      </c>
      <c r="AU28" s="260">
        <v>4.4866117105717581E-6</v>
      </c>
      <c r="AV28" s="260">
        <v>3.6935049492966323E-5</v>
      </c>
      <c r="AW28" s="260">
        <v>7.7311425285022157E-6</v>
      </c>
      <c r="AX28" s="260">
        <v>2.1385282960559564E-5</v>
      </c>
      <c r="AY28" s="260">
        <v>1.1381415806615035E-3</v>
      </c>
      <c r="AZ28" s="260">
        <v>1.5524936200735437E-4</v>
      </c>
      <c r="BA28" s="260">
        <v>8.6010493005133054E-5</v>
      </c>
      <c r="BB28" s="260">
        <v>4.3991018101812088E-5</v>
      </c>
      <c r="BC28" s="260">
        <v>0</v>
      </c>
      <c r="BD28" s="260">
        <v>0</v>
      </c>
      <c r="BE28" s="260">
        <v>0</v>
      </c>
      <c r="BF28" s="260">
        <v>0</v>
      </c>
      <c r="BG28" s="260">
        <v>0</v>
      </c>
      <c r="BH28" s="260">
        <v>5.7972157951424116E-3</v>
      </c>
      <c r="BI28" s="260">
        <v>1.8065168127172994E-2</v>
      </c>
      <c r="BJ28" s="260">
        <v>6.9039387135524607E-4</v>
      </c>
      <c r="BK28" s="260">
        <v>3.6044880471847607E-4</v>
      </c>
      <c r="BL28" s="260">
        <v>2.7498450746115056E-4</v>
      </c>
      <c r="BM28" s="260">
        <v>4.3386594205950036E-6</v>
      </c>
      <c r="BN28" s="260">
        <v>4.58822926013163E-6</v>
      </c>
      <c r="BO28" s="260">
        <v>6.0339769305208381E-6</v>
      </c>
      <c r="BP28" s="260">
        <v>1.2442331677874819E-5</v>
      </c>
      <c r="BQ28" s="260">
        <v>4.6911591320799587E-6</v>
      </c>
      <c r="BR28" s="260">
        <v>3.0964773170464942E-4</v>
      </c>
      <c r="BS28" s="260">
        <v>2.7885892686161902E-3</v>
      </c>
      <c r="BT28" s="260">
        <v>3.3585476627455137E-4</v>
      </c>
      <c r="BU28" s="260">
        <v>1.8444549462814279E-4</v>
      </c>
      <c r="BV28" s="260">
        <v>1.5930837701951493E-4</v>
      </c>
      <c r="BW28" s="251">
        <v>0</v>
      </c>
      <c r="BX28" s="251">
        <v>0</v>
      </c>
      <c r="BY28" s="251">
        <v>0</v>
      </c>
      <c r="BZ28" s="251">
        <v>0</v>
      </c>
      <c r="CA28" s="251">
        <v>0</v>
      </c>
      <c r="CB28" s="251">
        <v>6.4666559765307703E-4</v>
      </c>
      <c r="CC28" s="251">
        <v>3.1580194105721715E-2</v>
      </c>
      <c r="CD28" s="251">
        <v>1.5486899731187585E-3</v>
      </c>
      <c r="CE28" s="251">
        <v>5.9009321664108092E-4</v>
      </c>
      <c r="CF28" s="251">
        <v>3.8893563723287267E-4</v>
      </c>
      <c r="CG28" s="251">
        <v>5.8235871235131001E-8</v>
      </c>
      <c r="CH28" s="251">
        <v>2.313456569468253E-8</v>
      </c>
      <c r="CI28" s="251">
        <v>8.5184740769800329E-9</v>
      </c>
      <c r="CJ28" s="251">
        <v>0</v>
      </c>
      <c r="CK28" s="251">
        <v>0</v>
      </c>
      <c r="CL28" s="251">
        <v>2.749180599194228E-5</v>
      </c>
      <c r="CM28" s="251">
        <v>5.9217900726776474E-3</v>
      </c>
      <c r="CN28" s="251">
        <v>7.8965860447912631E-4</v>
      </c>
      <c r="CO28" s="251">
        <v>2.8012196574784518E-4</v>
      </c>
      <c r="CP28" s="251">
        <v>2.1851681352720045E-4</v>
      </c>
      <c r="CQ28" s="251">
        <v>0</v>
      </c>
      <c r="CR28" s="251">
        <v>0</v>
      </c>
      <c r="CS28" s="251">
        <v>0</v>
      </c>
      <c r="CT28" s="251">
        <v>0</v>
      </c>
      <c r="CU28" s="251">
        <v>0</v>
      </c>
      <c r="CV28" s="251">
        <v>7.7001432226639422E-6</v>
      </c>
      <c r="CW28" s="251">
        <v>9.6910298596627927E-3</v>
      </c>
      <c r="CX28" s="251">
        <v>8.8621065440761459E-4</v>
      </c>
      <c r="CY28" s="251">
        <v>1.2305356338113054E-3</v>
      </c>
      <c r="CZ28" s="251">
        <v>7.4958688185180989E-4</v>
      </c>
      <c r="DA28" s="251">
        <v>0</v>
      </c>
      <c r="DB28" s="251">
        <v>0</v>
      </c>
      <c r="DC28" s="251">
        <v>0</v>
      </c>
      <c r="DD28" s="251">
        <v>0</v>
      </c>
      <c r="DE28" s="251">
        <v>6.8632787526954957E-8</v>
      </c>
      <c r="DF28" s="251">
        <v>2.9486871981228824E-7</v>
      </c>
      <c r="DG28" s="251">
        <v>2.2346369699637841E-3</v>
      </c>
      <c r="DH28" s="251">
        <v>4.2772328404530396E-4</v>
      </c>
      <c r="DI28" s="251">
        <v>5.8500034317454338E-4</v>
      </c>
      <c r="DJ28" s="251">
        <v>4.1414941980350136E-4</v>
      </c>
      <c r="DK28" s="251">
        <v>0</v>
      </c>
      <c r="DL28" s="251">
        <v>0</v>
      </c>
      <c r="DM28" s="251">
        <v>0</v>
      </c>
      <c r="DN28" s="251">
        <v>0</v>
      </c>
      <c r="DO28" s="251">
        <v>0</v>
      </c>
      <c r="DP28" s="251">
        <v>2.5727149288930179E-5</v>
      </c>
      <c r="DQ28" s="251">
        <v>4.2556661573524543E-2</v>
      </c>
      <c r="DR28" s="251">
        <v>1.3514544312469617E-3</v>
      </c>
      <c r="DS28" s="251">
        <v>1.3359469093001371E-3</v>
      </c>
      <c r="DT28" s="251">
        <v>1.0949946517084344E-3</v>
      </c>
      <c r="DU28" s="251">
        <v>1.6829820910181345E-5</v>
      </c>
      <c r="DV28" s="251">
        <v>6.4483078925005346E-6</v>
      </c>
      <c r="DW28" s="251">
        <v>5.2622948685387502E-7</v>
      </c>
      <c r="DX28" s="251">
        <v>4.8049128923893896E-6</v>
      </c>
      <c r="DY28" s="251">
        <v>4.8880448495479083E-6</v>
      </c>
      <c r="DZ28" s="251">
        <v>1.710491265024975E-5</v>
      </c>
      <c r="EA28" s="251">
        <v>3.5817566840226522E-2</v>
      </c>
      <c r="EB28" s="251">
        <v>6.826931955537177E-4</v>
      </c>
      <c r="EC28" s="251">
        <v>6.2790013692442235E-4</v>
      </c>
      <c r="ED28" s="251"/>
      <c r="EE28" s="251">
        <f t="shared" si="1"/>
        <v>0</v>
      </c>
      <c r="EF28" s="251">
        <f t="shared" si="2"/>
        <v>0</v>
      </c>
      <c r="EG28" s="251">
        <f t="shared" si="2"/>
        <v>0</v>
      </c>
      <c r="EH28" s="251">
        <f t="shared" si="2"/>
        <v>0</v>
      </c>
      <c r="EI28" s="251">
        <f t="shared" si="2"/>
        <v>0</v>
      </c>
      <c r="EJ28" s="251">
        <f t="shared" si="2"/>
        <v>2.3070747215360811E-5</v>
      </c>
      <c r="EK28" s="251">
        <f t="shared" si="2"/>
        <v>1.3316361499557904E-2</v>
      </c>
      <c r="EL28" s="251">
        <f t="shared" si="2"/>
        <v>1.4009420567073674E-3</v>
      </c>
      <c r="EM28" s="251">
        <f t="shared" si="2"/>
        <v>1.7500583951723235E-3</v>
      </c>
      <c r="EN28" s="251">
        <f t="shared" si="2"/>
        <v>1.206054455567255E-3</v>
      </c>
      <c r="EO28" s="251">
        <f t="shared" si="2"/>
        <v>4.5471967418789684E-8</v>
      </c>
      <c r="EP28" s="251">
        <f t="shared" si="2"/>
        <v>1.8906927379078046E-8</v>
      </c>
      <c r="EQ28" s="251">
        <f t="shared" si="2"/>
        <v>6.6444976402078918E-10</v>
      </c>
      <c r="ER28" s="251">
        <f t="shared" si="2"/>
        <v>4.8560078550113271E-4</v>
      </c>
      <c r="ES28" s="251">
        <f t="shared" si="2"/>
        <v>4.210765957942419E-4</v>
      </c>
      <c r="ET28" s="251">
        <f t="shared" si="2"/>
        <v>7.0665772273542259E-7</v>
      </c>
      <c r="EU28" s="251">
        <f t="shared" si="2"/>
        <v>4.8274008534936715E-3</v>
      </c>
      <c r="EV28" s="251">
        <f t="shared" si="2"/>
        <v>7.2395275867829481E-4</v>
      </c>
      <c r="EW28" s="251">
        <f t="shared" si="2"/>
        <v>9.6602136292575104E-4</v>
      </c>
      <c r="EX28" s="251">
        <f t="shared" si="2"/>
        <v>7.9618142646443004E-4</v>
      </c>
      <c r="EY28" s="252">
        <f t="shared" si="3"/>
        <v>0</v>
      </c>
      <c r="EZ28" s="252">
        <f t="shared" si="4"/>
        <v>0</v>
      </c>
      <c r="FA28" s="252">
        <f t="shared" si="4"/>
        <v>0</v>
      </c>
      <c r="FB28" s="252">
        <f t="shared" si="4"/>
        <v>0</v>
      </c>
      <c r="FC28" s="252">
        <f t="shared" si="4"/>
        <v>0</v>
      </c>
      <c r="FD28" s="252">
        <f t="shared" si="4"/>
        <v>3.7544986939708116E-6</v>
      </c>
      <c r="FE28" s="252">
        <f t="shared" si="4"/>
        <v>6.8775625371456676E-3</v>
      </c>
      <c r="FF28" s="252">
        <f t="shared" si="4"/>
        <v>8.9495795776546702E-4</v>
      </c>
      <c r="FG28" s="252">
        <f t="shared" si="4"/>
        <v>1.3732934808950643E-3</v>
      </c>
      <c r="FH28" s="252">
        <f t="shared" si="4"/>
        <v>6.7602903431561033E-4</v>
      </c>
      <c r="FI28" s="252">
        <f t="shared" si="4"/>
        <v>2.2078102716944306E-6</v>
      </c>
      <c r="FJ28" s="252">
        <f t="shared" si="4"/>
        <v>9.1303541739575235E-7</v>
      </c>
      <c r="FK28" s="252">
        <f t="shared" si="4"/>
        <v>2.1917351216073449E-7</v>
      </c>
      <c r="FL28" s="252">
        <f t="shared" si="4"/>
        <v>5.6784003176973393E-6</v>
      </c>
      <c r="FM28" s="252">
        <f t="shared" si="4"/>
        <v>7.8310538328650846E-6</v>
      </c>
      <c r="FN28" s="252">
        <f t="shared" si="4"/>
        <v>2.4227789528048624E-6</v>
      </c>
      <c r="FO28" s="252">
        <f t="shared" si="4"/>
        <v>3.0723951532106524E-3</v>
      </c>
      <c r="FP28" s="252">
        <f t="shared" si="4"/>
        <v>4.6273671973091695E-4</v>
      </c>
      <c r="FQ28" s="252">
        <f t="shared" si="4"/>
        <v>7.3469914751220537E-4</v>
      </c>
      <c r="FR28" s="252">
        <f t="shared" si="4"/>
        <v>3.7166486378614229E-4</v>
      </c>
      <c r="FS28" s="483">
        <f t="shared" si="5"/>
        <v>0</v>
      </c>
      <c r="FT28" s="483">
        <f t="shared" si="6"/>
        <v>0</v>
      </c>
      <c r="FU28" s="109">
        <f t="shared" si="7"/>
        <v>0</v>
      </c>
      <c r="FV28" s="483">
        <f t="shared" si="8"/>
        <v>0</v>
      </c>
      <c r="FW28" s="483">
        <f t="shared" si="9"/>
        <v>0</v>
      </c>
      <c r="FX28" s="483">
        <f t="shared" si="10"/>
        <v>1.8389085464807123E-5</v>
      </c>
      <c r="FY28" s="483">
        <f t="shared" si="11"/>
        <v>1.1285871999986935E-3</v>
      </c>
      <c r="FZ28" s="484">
        <f t="shared" si="12"/>
        <v>2.0288647093237482E-4</v>
      </c>
      <c r="GA28" s="483">
        <f t="shared" si="13"/>
        <v>4.8209235320904859E-4</v>
      </c>
      <c r="GB28" s="483">
        <f t="shared" si="14"/>
        <v>1.8811780271918999E-4</v>
      </c>
      <c r="GC28" s="483">
        <f t="shared" si="15"/>
        <v>3.9706896397004163E-8</v>
      </c>
      <c r="GD28" s="483">
        <f t="shared" si="16"/>
        <v>1.6626170303658195E-8</v>
      </c>
      <c r="GE28" s="484">
        <f t="shared" si="17"/>
        <v>3.8080822986711871E-9</v>
      </c>
      <c r="GF28" s="483">
        <f t="shared" si="18"/>
        <v>0</v>
      </c>
      <c r="GG28" s="483">
        <f t="shared" si="19"/>
        <v>4.6853864962868767E-6</v>
      </c>
      <c r="GH28" s="483">
        <f t="shared" si="20"/>
        <v>9.4376340379974245E-7</v>
      </c>
      <c r="GI28" s="483">
        <f t="shared" si="21"/>
        <v>5.3470830426915236E-4</v>
      </c>
      <c r="GJ28" s="484">
        <f t="shared" si="22"/>
        <v>1.0607601197028344E-4</v>
      </c>
      <c r="GK28" s="483">
        <f t="shared" si="23"/>
        <v>2.6962435897498818E-4</v>
      </c>
      <c r="GL28" s="483">
        <f t="shared" si="24"/>
        <v>1.0673621749673128E-4</v>
      </c>
    </row>
    <row r="29" spans="1:194" x14ac:dyDescent="0.2">
      <c r="A29" s="210" t="s">
        <v>343</v>
      </c>
      <c r="B29" s="247"/>
      <c r="C29" s="247"/>
      <c r="D29" s="247"/>
      <c r="E29" s="247"/>
      <c r="F29" s="247"/>
      <c r="G29" s="247"/>
      <c r="H29" s="247"/>
      <c r="I29" s="247"/>
      <c r="J29" s="247"/>
      <c r="K29" s="247">
        <v>2.0999999999999999E-3</v>
      </c>
      <c r="L29" s="248">
        <v>1.9610241280234469E-3</v>
      </c>
      <c r="M29" s="247">
        <v>2.3E-3</v>
      </c>
      <c r="N29" s="247">
        <v>0</v>
      </c>
      <c r="O29" s="247">
        <v>0</v>
      </c>
      <c r="P29" s="247">
        <v>0</v>
      </c>
      <c r="Q29" s="247">
        <v>2E-3</v>
      </c>
      <c r="R29" s="248">
        <v>0</v>
      </c>
      <c r="S29" s="247">
        <v>1E-3</v>
      </c>
      <c r="T29" s="259">
        <v>3.9734072023907439E-3</v>
      </c>
      <c r="U29" s="259">
        <v>3.4968509449573538E-3</v>
      </c>
      <c r="V29" s="259">
        <v>4.011608720736146E-3</v>
      </c>
      <c r="W29" s="259">
        <v>1.6526696918664546E-3</v>
      </c>
      <c r="X29" s="259">
        <v>7.7775355010461838E-4</v>
      </c>
      <c r="Y29" s="259">
        <v>1.4639502256923265E-4</v>
      </c>
      <c r="Z29" s="259">
        <v>1.620039281698406E-5</v>
      </c>
      <c r="AA29" s="259">
        <v>8.0767942550397399E-5</v>
      </c>
      <c r="AB29" s="259">
        <v>5.2966752318788628E-6</v>
      </c>
      <c r="AC29" s="259">
        <v>7.2349084715244115E-6</v>
      </c>
      <c r="AD29" s="259">
        <v>3.8420762420163217E-3</v>
      </c>
      <c r="AE29" s="259">
        <v>2.705830546374504E-4</v>
      </c>
      <c r="AF29" s="259">
        <v>1.7083036843964082E-3</v>
      </c>
      <c r="AG29" s="259">
        <v>3.2846946094592321E-4</v>
      </c>
      <c r="AH29" s="259">
        <v>2.2837307052421933E-4</v>
      </c>
      <c r="AI29" s="250"/>
      <c r="AJ29" s="250"/>
      <c r="AK29" s="250"/>
      <c r="AL29" s="250"/>
      <c r="AM29" s="250"/>
      <c r="AN29" s="260">
        <v>2.9109016362983243E-4</v>
      </c>
      <c r="AO29" s="260">
        <v>2.2908566420028713E-4</v>
      </c>
      <c r="AP29" s="260">
        <v>2.8040269067037394E-4</v>
      </c>
      <c r="AQ29" s="260">
        <v>9.4858158375181221E-5</v>
      </c>
      <c r="AR29" s="260">
        <v>1.4990284582489836E-4</v>
      </c>
      <c r="AS29" s="260">
        <v>1.0764471839498937E-2</v>
      </c>
      <c r="AT29" s="260">
        <v>1.0294725156510602E-2</v>
      </c>
      <c r="AU29" s="260">
        <v>1.1046818733299317E-2</v>
      </c>
      <c r="AV29" s="260">
        <v>5.2496720345605267E-3</v>
      </c>
      <c r="AW29" s="260">
        <v>2.8287970030127308E-3</v>
      </c>
      <c r="AX29" s="260">
        <v>1.0305058685289831E-2</v>
      </c>
      <c r="AY29" s="260">
        <v>7.5327819051162592E-4</v>
      </c>
      <c r="AZ29" s="260">
        <v>4.6963189848062085E-3</v>
      </c>
      <c r="BA29" s="260">
        <v>8.5542969941635935E-4</v>
      </c>
      <c r="BB29" s="260">
        <v>9.2394150190206999E-4</v>
      </c>
      <c r="BC29" s="260">
        <v>0</v>
      </c>
      <c r="BD29" s="260">
        <v>0</v>
      </c>
      <c r="BE29" s="260">
        <v>0</v>
      </c>
      <c r="BF29" s="260">
        <v>0</v>
      </c>
      <c r="BG29" s="260">
        <v>0</v>
      </c>
      <c r="BH29" s="260">
        <v>4.6238277587462822E-4</v>
      </c>
      <c r="BI29" s="260">
        <v>4.6919894180629142E-4</v>
      </c>
      <c r="BJ29" s="260">
        <v>3.4102985533353557E-4</v>
      </c>
      <c r="BK29" s="260">
        <v>1.9040937892261331E-4</v>
      </c>
      <c r="BL29" s="260">
        <v>2.9317468073053194E-4</v>
      </c>
      <c r="BM29" s="260">
        <v>1.3625330216644577E-2</v>
      </c>
      <c r="BN29" s="260">
        <v>1.4244050758639937E-2</v>
      </c>
      <c r="BO29" s="260">
        <v>1.6355456891474957E-2</v>
      </c>
      <c r="BP29" s="260">
        <v>7.3654833129480181E-3</v>
      </c>
      <c r="BQ29" s="260">
        <v>4.8157144270602557E-3</v>
      </c>
      <c r="BR29" s="260">
        <v>1.2931419216513876E-2</v>
      </c>
      <c r="BS29" s="260">
        <v>1.34173710147006E-3</v>
      </c>
      <c r="BT29" s="260">
        <v>6.5522096673153556E-3</v>
      </c>
      <c r="BU29" s="260">
        <v>1.3239855812012648E-3</v>
      </c>
      <c r="BV29" s="260">
        <v>1.6478482001963761E-3</v>
      </c>
      <c r="BW29" s="251">
        <v>0</v>
      </c>
      <c r="BX29" s="251">
        <v>0</v>
      </c>
      <c r="BY29" s="251">
        <v>0</v>
      </c>
      <c r="BZ29" s="251">
        <v>0</v>
      </c>
      <c r="CA29" s="251">
        <v>0</v>
      </c>
      <c r="CB29" s="251">
        <v>7.8730222153291292E-4</v>
      </c>
      <c r="CC29" s="251">
        <v>5.824736108668402E-4</v>
      </c>
      <c r="CD29" s="251">
        <v>5.7722122759694785E-4</v>
      </c>
      <c r="CE29" s="251">
        <v>3.1137528396194968E-4</v>
      </c>
      <c r="CF29" s="251">
        <v>4.9551472160385779E-4</v>
      </c>
      <c r="CG29" s="251">
        <v>2.6097590391826665E-2</v>
      </c>
      <c r="CH29" s="251">
        <v>2.3026226523534393E-2</v>
      </c>
      <c r="CI29" s="251">
        <v>2.4409821819915609E-2</v>
      </c>
      <c r="CJ29" s="251">
        <v>2.0001012072898165E-2</v>
      </c>
      <c r="CK29" s="251">
        <v>1.0272323114916635E-2</v>
      </c>
      <c r="CL29" s="251">
        <v>2.5023398705464946E-2</v>
      </c>
      <c r="CM29" s="251">
        <v>2.104992610516639E-3</v>
      </c>
      <c r="CN29" s="251">
        <v>9.8915624660727373E-3</v>
      </c>
      <c r="CO29" s="251">
        <v>3.9420995409648859E-3</v>
      </c>
      <c r="CP29" s="251">
        <v>3.5080515371296089E-3</v>
      </c>
      <c r="CQ29" s="251">
        <v>0</v>
      </c>
      <c r="CR29" s="251">
        <v>0</v>
      </c>
      <c r="CS29" s="251">
        <v>0</v>
      </c>
      <c r="CT29" s="251">
        <v>0</v>
      </c>
      <c r="CU29" s="251">
        <v>0</v>
      </c>
      <c r="CV29" s="251">
        <v>1.2298228747054695E-3</v>
      </c>
      <c r="CW29" s="251">
        <v>1.0035670617525687E-3</v>
      </c>
      <c r="CX29" s="251">
        <v>9.8151525437458029E-4</v>
      </c>
      <c r="CY29" s="251">
        <v>4.404621944612104E-4</v>
      </c>
      <c r="CZ29" s="251">
        <v>7.3854182101713622E-4</v>
      </c>
      <c r="DA29" s="251">
        <v>2.6062462639931484E-2</v>
      </c>
      <c r="DB29" s="251">
        <v>2.4474934862660842E-2</v>
      </c>
      <c r="DC29" s="251">
        <v>2.5707938032249713E-2</v>
      </c>
      <c r="DD29" s="251">
        <v>2.4007577810873263E-2</v>
      </c>
      <c r="DE29" s="251">
        <v>1.5781087364577607E-2</v>
      </c>
      <c r="DF29" s="251">
        <v>2.5111399296139942E-2</v>
      </c>
      <c r="DG29" s="251">
        <v>2.7580240401218099E-3</v>
      </c>
      <c r="DH29" s="251">
        <v>1.1880170480978992E-2</v>
      </c>
      <c r="DI29" s="251">
        <v>5.1083472949186434E-3</v>
      </c>
      <c r="DJ29" s="251">
        <v>6.2419721494519475E-3</v>
      </c>
      <c r="DK29" s="251">
        <v>0</v>
      </c>
      <c r="DL29" s="251">
        <v>0</v>
      </c>
      <c r="DM29" s="251">
        <v>0</v>
      </c>
      <c r="DN29" s="251">
        <v>0</v>
      </c>
      <c r="DO29" s="251">
        <v>0</v>
      </c>
      <c r="DP29" s="251">
        <v>6.3460301579361107E-4</v>
      </c>
      <c r="DQ29" s="251">
        <v>7.8374548027153773E-5</v>
      </c>
      <c r="DR29" s="251">
        <v>4.7674162330726749E-4</v>
      </c>
      <c r="DS29" s="251">
        <v>5.259334025735921E-4</v>
      </c>
      <c r="DT29" s="251">
        <v>8.6694748090560382E-4</v>
      </c>
      <c r="DU29" s="251">
        <v>1.2911254803625408E-2</v>
      </c>
      <c r="DV29" s="251">
        <v>4.302873057381384E-3</v>
      </c>
      <c r="DW29" s="251">
        <v>8.9937923498383324E-3</v>
      </c>
      <c r="DX29" s="251">
        <v>1.5869316852773319E-2</v>
      </c>
      <c r="DY29" s="251">
        <v>1.4330511331917255E-2</v>
      </c>
      <c r="DZ29" s="251">
        <v>1.2531580552713209E-2</v>
      </c>
      <c r="EA29" s="251">
        <v>3.3444144285352961E-4</v>
      </c>
      <c r="EB29" s="251">
        <v>3.9446974254597816E-3</v>
      </c>
      <c r="EC29" s="251">
        <v>3.5718598780964902E-3</v>
      </c>
      <c r="ED29" s="251"/>
      <c r="EE29" s="251">
        <f t="shared" si="1"/>
        <v>0</v>
      </c>
      <c r="EF29" s="251">
        <f t="shared" si="2"/>
        <v>0</v>
      </c>
      <c r="EG29" s="251">
        <f t="shared" si="2"/>
        <v>0</v>
      </c>
      <c r="EH29" s="251">
        <f t="shared" si="2"/>
        <v>0</v>
      </c>
      <c r="EI29" s="251">
        <f t="shared" si="2"/>
        <v>0</v>
      </c>
      <c r="EJ29" s="251">
        <f t="shared" si="2"/>
        <v>1.0781729198645286E-3</v>
      </c>
      <c r="EK29" s="251">
        <f t="shared" si="2"/>
        <v>2.056700592363372E-5</v>
      </c>
      <c r="EL29" s="251">
        <f t="shared" si="2"/>
        <v>8.2675941105975827E-5</v>
      </c>
      <c r="EM29" s="251">
        <f t="shared" si="2"/>
        <v>2.8970850327825789E-4</v>
      </c>
      <c r="EN29" s="251">
        <f t="shared" si="2"/>
        <v>2.9790961082052465E-4</v>
      </c>
      <c r="EO29" s="251">
        <f t="shared" si="2"/>
        <v>2.8731462613562262E-3</v>
      </c>
      <c r="EP29" s="251">
        <f t="shared" si="2"/>
        <v>2.6480664348589129E-3</v>
      </c>
      <c r="EQ29" s="251">
        <f t="shared" si="2"/>
        <v>1.723247792211578E-3</v>
      </c>
      <c r="ER29" s="251">
        <f t="shared" si="2"/>
        <v>7.4525068826585472E-3</v>
      </c>
      <c r="ES29" s="251">
        <f t="shared" si="2"/>
        <v>5.1042223865455172E-3</v>
      </c>
      <c r="ET29" s="251">
        <f t="shared" si="2"/>
        <v>2.8215959546672004E-3</v>
      </c>
      <c r="EU29" s="251">
        <f t="shared" si="2"/>
        <v>2.6209014299205432E-4</v>
      </c>
      <c r="EV29" s="251">
        <f t="shared" si="2"/>
        <v>7.1216812852158606E-4</v>
      </c>
      <c r="EW29" s="251">
        <f t="shared" si="2"/>
        <v>1.6539096760269587E-3</v>
      </c>
      <c r="EX29" s="251">
        <f t="shared" si="2"/>
        <v>1.8585687526758228E-3</v>
      </c>
      <c r="EY29" s="252">
        <f t="shared" si="3"/>
        <v>0</v>
      </c>
      <c r="EZ29" s="252">
        <f t="shared" si="4"/>
        <v>0</v>
      </c>
      <c r="FA29" s="252">
        <f t="shared" si="4"/>
        <v>0</v>
      </c>
      <c r="FB29" s="252">
        <f t="shared" si="4"/>
        <v>0</v>
      </c>
      <c r="FC29" s="252">
        <f t="shared" si="4"/>
        <v>0</v>
      </c>
      <c r="FD29" s="252">
        <f t="shared" si="4"/>
        <v>9.6544252130678009E-6</v>
      </c>
      <c r="FE29" s="252">
        <f t="shared" si="4"/>
        <v>1.7967274824532342E-5</v>
      </c>
      <c r="FF29" s="252">
        <f t="shared" si="4"/>
        <v>6.9651976951877063E-5</v>
      </c>
      <c r="FG29" s="252">
        <f t="shared" si="4"/>
        <v>3.1120922662520743E-4</v>
      </c>
      <c r="FH29" s="252">
        <f t="shared" si="4"/>
        <v>2.6071384240070056E-4</v>
      </c>
      <c r="FI29" s="252">
        <f t="shared" si="4"/>
        <v>1.9717910246105476E-3</v>
      </c>
      <c r="FJ29" s="252">
        <f t="shared" si="4"/>
        <v>1.8088663831029304E-3</v>
      </c>
      <c r="FK29" s="252">
        <f t="shared" si="4"/>
        <v>1.4092849874039832E-3</v>
      </c>
      <c r="FL29" s="252">
        <f t="shared" si="4"/>
        <v>7.1128375076292055E-3</v>
      </c>
      <c r="FM29" s="252">
        <f t="shared" si="4"/>
        <v>5.906480752988108E-3</v>
      </c>
      <c r="FN29" s="252">
        <f t="shared" si="4"/>
        <v>1.6990762428408745E-3</v>
      </c>
      <c r="FO29" s="252">
        <f t="shared" si="4"/>
        <v>1.8439928889822077E-4</v>
      </c>
      <c r="FP29" s="252">
        <f t="shared" si="4"/>
        <v>5.7915711657437142E-4</v>
      </c>
      <c r="FQ29" s="252">
        <f t="shared" si="4"/>
        <v>1.6119151865150725E-3</v>
      </c>
      <c r="FR29" s="252">
        <f t="shared" si="4"/>
        <v>2.1064214422570424E-3</v>
      </c>
      <c r="FS29" s="485">
        <f t="shared" si="5"/>
        <v>0</v>
      </c>
      <c r="FT29" s="485">
        <f t="shared" si="6"/>
        <v>0</v>
      </c>
      <c r="FU29" s="109">
        <f t="shared" si="7"/>
        <v>0</v>
      </c>
      <c r="FV29" s="485">
        <f t="shared" si="8"/>
        <v>0</v>
      </c>
      <c r="FW29" s="485">
        <f t="shared" si="9"/>
        <v>0</v>
      </c>
      <c r="FX29" s="485">
        <f t="shared" si="10"/>
        <v>2.1453933042274976E-5</v>
      </c>
      <c r="FY29" s="485">
        <f t="shared" si="11"/>
        <v>1.0043566760704178E-5</v>
      </c>
      <c r="FZ29" s="484">
        <f t="shared" si="12"/>
        <v>1.186243321958914E-5</v>
      </c>
      <c r="GA29" s="485">
        <f t="shared" si="13"/>
        <v>7.3493032229820832E-6</v>
      </c>
      <c r="GB29" s="485">
        <f t="shared" si="14"/>
        <v>2.539113553778271E-5</v>
      </c>
      <c r="GC29" s="485">
        <f t="shared" si="15"/>
        <v>1.3726277015480369E-3</v>
      </c>
      <c r="GD29" s="485">
        <f t="shared" si="16"/>
        <v>1.2619429522179606E-3</v>
      </c>
      <c r="GE29" s="484">
        <f t="shared" si="17"/>
        <v>1.1793919408258811E-3</v>
      </c>
      <c r="GF29" s="485">
        <f t="shared" si="18"/>
        <v>1.3383389031381466E-3</v>
      </c>
      <c r="GG29" s="485">
        <f t="shared" si="19"/>
        <v>1.17334873336436E-3</v>
      </c>
      <c r="GH29" s="485">
        <f t="shared" si="20"/>
        <v>1.3060552992503877E-3</v>
      </c>
      <c r="GI29" s="485">
        <f t="shared" si="21"/>
        <v>1.3547636071924363E-4</v>
      </c>
      <c r="GJ29" s="484">
        <f t="shared" si="22"/>
        <v>4.7403894501641455E-4</v>
      </c>
      <c r="GK29" s="485">
        <f t="shared" si="23"/>
        <v>2.5781487339986072E-4</v>
      </c>
      <c r="GL29" s="485">
        <f t="shared" si="24"/>
        <v>4.1731277847033385E-4</v>
      </c>
    </row>
    <row r="30" spans="1:194" x14ac:dyDescent="0.2">
      <c r="A30" s="210" t="s">
        <v>344</v>
      </c>
      <c r="B30" s="247"/>
      <c r="C30" s="247"/>
      <c r="D30" s="247"/>
      <c r="E30" s="247"/>
      <c r="F30" s="247"/>
      <c r="G30" s="247"/>
      <c r="H30" s="247"/>
      <c r="I30" s="247"/>
      <c r="J30" s="247"/>
      <c r="K30" s="247"/>
      <c r="L30" s="248"/>
      <c r="M30" s="247"/>
      <c r="N30" s="247"/>
      <c r="O30" s="247"/>
      <c r="P30" s="247"/>
      <c r="Q30" s="247"/>
      <c r="R30" s="248"/>
      <c r="S30" s="247"/>
      <c r="T30" s="259">
        <v>4.0988151822951991E-5</v>
      </c>
      <c r="U30" s="259">
        <v>4.5009065463855957E-5</v>
      </c>
      <c r="V30" s="259">
        <v>4.9720644520686982E-5</v>
      </c>
      <c r="W30" s="259">
        <v>2.7706113861969066E-6</v>
      </c>
      <c r="X30" s="259">
        <v>2.7764537759480901E-6</v>
      </c>
      <c r="Y30" s="259">
        <v>2.2181064025641309E-6</v>
      </c>
      <c r="Z30" s="259">
        <v>1.3810656077806474E-7</v>
      </c>
      <c r="AA30" s="259">
        <v>4.1784003967045005E-7</v>
      </c>
      <c r="AB30" s="259">
        <v>4.5078087079820107E-7</v>
      </c>
      <c r="AC30" s="259">
        <v>3.4840083333264485E-7</v>
      </c>
      <c r="AD30" s="259">
        <v>3.9657686420812351E-5</v>
      </c>
      <c r="AE30" s="259">
        <v>3.4174917771947515E-6</v>
      </c>
      <c r="AF30" s="259">
        <v>2.0831303976292994E-5</v>
      </c>
      <c r="AG30" s="259">
        <v>9.0587275495290458E-7</v>
      </c>
      <c r="AH30" s="259">
        <v>1.045249859539976E-6</v>
      </c>
      <c r="AI30" s="250"/>
      <c r="AJ30" s="250"/>
      <c r="AK30" s="250"/>
      <c r="AL30" s="250"/>
      <c r="AM30" s="250"/>
      <c r="AN30" s="260">
        <v>2.3225279013018543E-5</v>
      </c>
      <c r="AO30" s="260">
        <v>6.2539905594475919E-5</v>
      </c>
      <c r="AP30" s="260">
        <v>7.6334521007683941E-5</v>
      </c>
      <c r="AQ30" s="260">
        <v>7.2062786982695813E-6</v>
      </c>
      <c r="AR30" s="260">
        <v>1.1399000706065669E-5</v>
      </c>
      <c r="AS30" s="260">
        <v>1.5926274767647154E-4</v>
      </c>
      <c r="AT30" s="260">
        <v>1.6500817573289581E-4</v>
      </c>
      <c r="AU30" s="260">
        <v>2.0633502372780223E-4</v>
      </c>
      <c r="AV30" s="260">
        <v>7.1200095408127846E-5</v>
      </c>
      <c r="AW30" s="260">
        <v>8.455488658187976E-5</v>
      </c>
      <c r="AX30" s="260">
        <v>1.5329513944426507E-4</v>
      </c>
      <c r="AY30" s="260">
        <v>2.299856430391212E-5</v>
      </c>
      <c r="AZ30" s="260">
        <v>1.2181184993561741E-4</v>
      </c>
      <c r="BA30" s="260">
        <v>1.4369458863367553E-5</v>
      </c>
      <c r="BB30" s="260">
        <v>3.1600335134872208E-5</v>
      </c>
      <c r="BC30" s="260">
        <v>0</v>
      </c>
      <c r="BD30" s="260">
        <v>0</v>
      </c>
      <c r="BE30" s="260">
        <v>0</v>
      </c>
      <c r="BF30" s="260">
        <v>0</v>
      </c>
      <c r="BG30" s="260">
        <v>0</v>
      </c>
      <c r="BH30" s="260">
        <v>1.6513670566951009E-5</v>
      </c>
      <c r="BI30" s="260">
        <v>4.5296097708239816E-5</v>
      </c>
      <c r="BJ30" s="260">
        <v>4.6873251914405294E-5</v>
      </c>
      <c r="BK30" s="260">
        <v>7.3282148443797685E-6</v>
      </c>
      <c r="BL30" s="260">
        <v>1.1568130197297168E-5</v>
      </c>
      <c r="BM30" s="260">
        <v>2.213226735023522E-4</v>
      </c>
      <c r="BN30" s="260">
        <v>2.4258182057193339E-4</v>
      </c>
      <c r="BO30" s="260">
        <v>3.4329322091309554E-4</v>
      </c>
      <c r="BP30" s="260">
        <v>1.5609470650424772E-4</v>
      </c>
      <c r="BQ30" s="260">
        <v>1.847167563363829E-4</v>
      </c>
      <c r="BR30" s="260">
        <v>2.1052564394785192E-4</v>
      </c>
      <c r="BS30" s="260">
        <v>2.8608042381588125E-5</v>
      </c>
      <c r="BT30" s="260">
        <v>1.5671237586655786E-4</v>
      </c>
      <c r="BU30" s="260">
        <v>2.9724946834450269E-5</v>
      </c>
      <c r="BV30" s="260">
        <v>6.3391970060956696E-5</v>
      </c>
      <c r="BW30" s="251">
        <v>0</v>
      </c>
      <c r="BX30" s="251">
        <v>0</v>
      </c>
      <c r="BY30" s="251">
        <v>0</v>
      </c>
      <c r="BZ30" s="251">
        <v>0</v>
      </c>
      <c r="CA30" s="251">
        <v>0</v>
      </c>
      <c r="CB30" s="251">
        <v>2.628721941679175E-5</v>
      </c>
      <c r="CC30" s="251">
        <v>1.3730170482514049E-5</v>
      </c>
      <c r="CD30" s="251">
        <v>2.3693173737463284E-5</v>
      </c>
      <c r="CE30" s="251">
        <v>6.0290494675972507E-6</v>
      </c>
      <c r="CF30" s="251">
        <v>1.1535184132863598E-5</v>
      </c>
      <c r="CG30" s="251">
        <v>4.0607873012256845E-4</v>
      </c>
      <c r="CH30" s="251">
        <v>3.7237396942160994E-4</v>
      </c>
      <c r="CI30" s="251">
        <v>4.4711433171851401E-4</v>
      </c>
      <c r="CJ30" s="251">
        <v>1.9518548750325701E-4</v>
      </c>
      <c r="CK30" s="251">
        <v>1.7443299593475304E-4</v>
      </c>
      <c r="CL30" s="251">
        <v>3.8995983631166808E-4</v>
      </c>
      <c r="CM30" s="251">
        <v>3.4849675906734578E-5</v>
      </c>
      <c r="CN30" s="251">
        <v>1.8787341442172447E-4</v>
      </c>
      <c r="CO30" s="251">
        <v>3.9889654126289569E-5</v>
      </c>
      <c r="CP30" s="251">
        <v>6.132320249057854E-5</v>
      </c>
      <c r="CQ30" s="251">
        <v>0</v>
      </c>
      <c r="CR30" s="251">
        <v>0</v>
      </c>
      <c r="CS30" s="251">
        <v>0</v>
      </c>
      <c r="CT30" s="251">
        <v>0</v>
      </c>
      <c r="CU30" s="251">
        <v>0</v>
      </c>
      <c r="CV30" s="251">
        <v>8.524058547488984E-3</v>
      </c>
      <c r="CW30" s="251">
        <v>1.7008354608590519E-4</v>
      </c>
      <c r="CX30" s="251">
        <v>3.6714547593978545E-4</v>
      </c>
      <c r="CY30" s="251">
        <v>2.0388991983228255E-5</v>
      </c>
      <c r="CZ30" s="251">
        <v>2.9307389290231184E-5</v>
      </c>
      <c r="DA30" s="251">
        <v>6.6963960135068515E-4</v>
      </c>
      <c r="DB30" s="251">
        <v>6.1256636891023151E-4</v>
      </c>
      <c r="DC30" s="251">
        <v>7.093372763778003E-4</v>
      </c>
      <c r="DD30" s="251">
        <v>6.0354245893256815E-4</v>
      </c>
      <c r="DE30" s="251">
        <v>4.8761018732002578E-4</v>
      </c>
      <c r="DF30" s="251">
        <v>9.7041295690224064E-4</v>
      </c>
      <c r="DG30" s="251">
        <v>1.0245612924837843E-4</v>
      </c>
      <c r="DH30" s="251">
        <v>4.9192861089417009E-4</v>
      </c>
      <c r="DI30" s="251">
        <v>1.3285095512638266E-4</v>
      </c>
      <c r="DJ30" s="251">
        <v>1.9645111053078314E-4</v>
      </c>
      <c r="DK30" s="251">
        <v>0</v>
      </c>
      <c r="DL30" s="251">
        <v>0</v>
      </c>
      <c r="DM30" s="251">
        <v>0</v>
      </c>
      <c r="DN30" s="251">
        <v>0</v>
      </c>
      <c r="DO30" s="251">
        <v>0</v>
      </c>
      <c r="DP30" s="251">
        <v>2.0010005002501252E-4</v>
      </c>
      <c r="DQ30" s="251">
        <v>4.8474652932478299E-6</v>
      </c>
      <c r="DR30" s="251">
        <v>1.17639889060543E-4</v>
      </c>
      <c r="DS30" s="251">
        <v>4.505492897997396E-5</v>
      </c>
      <c r="DT30" s="251">
        <v>6.2404663805115917E-5</v>
      </c>
      <c r="DU30" s="251">
        <v>9.1729365351102222E-4</v>
      </c>
      <c r="DV30" s="251">
        <v>2.3004652040148021E-4</v>
      </c>
      <c r="DW30" s="251">
        <v>1.0880072098276667E-3</v>
      </c>
      <c r="DX30" s="251">
        <v>5.088839563303308E-4</v>
      </c>
      <c r="DY30" s="251">
        <v>4.9508170752571063E-4</v>
      </c>
      <c r="DZ30" s="251">
        <v>8.9511289662237204E-4</v>
      </c>
      <c r="EA30" s="251">
        <v>1.8433597873972719E-5</v>
      </c>
      <c r="EB30" s="251">
        <v>5.0748535460743186E-4</v>
      </c>
      <c r="EC30" s="251">
        <v>1.2776745006143776E-4</v>
      </c>
      <c r="ED30" s="251"/>
      <c r="EE30" s="251">
        <f t="shared" si="1"/>
        <v>0</v>
      </c>
      <c r="EF30" s="251">
        <f t="shared" si="2"/>
        <v>0</v>
      </c>
      <c r="EG30" s="251">
        <f t="shared" si="2"/>
        <v>0</v>
      </c>
      <c r="EH30" s="251">
        <f t="shared" si="2"/>
        <v>0</v>
      </c>
      <c r="EI30" s="251">
        <f t="shared" si="2"/>
        <v>0</v>
      </c>
      <c r="EJ30" s="251">
        <f t="shared" si="2"/>
        <v>1.8456597772288649E-4</v>
      </c>
      <c r="EK30" s="251">
        <f t="shared" si="2"/>
        <v>6.1620775855568765E-5</v>
      </c>
      <c r="EL30" s="251">
        <f t="shared" si="2"/>
        <v>1.1539430300325355E-4</v>
      </c>
      <c r="EM30" s="251">
        <f t="shared" si="2"/>
        <v>7.9742564989762667E-5</v>
      </c>
      <c r="EN30" s="251">
        <f t="shared" si="2"/>
        <v>1.0120235580579184E-4</v>
      </c>
      <c r="EO30" s="251">
        <f t="shared" si="2"/>
        <v>1.2104183007207625E-3</v>
      </c>
      <c r="EP30" s="251">
        <f t="shared" si="2"/>
        <v>1.1793195952699931E-3</v>
      </c>
      <c r="EQ30" s="251">
        <f t="shared" si="2"/>
        <v>1.5891343707018001E-3</v>
      </c>
      <c r="ER30" s="251">
        <f t="shared" si="2"/>
        <v>9.9631885301094459E-4</v>
      </c>
      <c r="ES30" s="251">
        <f t="shared" si="2"/>
        <v>1.0025243297798374E-3</v>
      </c>
      <c r="ET30" s="251">
        <f t="shared" si="2"/>
        <v>1.180957553013904E-3</v>
      </c>
      <c r="EU30" s="251">
        <f t="shared" si="2"/>
        <v>1.3574021917516602E-4</v>
      </c>
      <c r="EV30" s="251">
        <f t="shared" si="2"/>
        <v>6.769755516496755E-4</v>
      </c>
      <c r="EW30" s="251">
        <f t="shared" si="2"/>
        <v>2.4144171413776125E-4</v>
      </c>
      <c r="EX30" s="251">
        <f t="shared" si="2"/>
        <v>3.882709594769087E-4</v>
      </c>
      <c r="EY30" s="252">
        <f t="shared" si="3"/>
        <v>0</v>
      </c>
      <c r="EZ30" s="252">
        <f t="shared" si="4"/>
        <v>0</v>
      </c>
      <c r="FA30" s="252">
        <f t="shared" si="4"/>
        <v>0</v>
      </c>
      <c r="FB30" s="252">
        <f t="shared" si="4"/>
        <v>0</v>
      </c>
      <c r="FC30" s="252">
        <f t="shared" si="4"/>
        <v>0</v>
      </c>
      <c r="FD30" s="252">
        <f t="shared" si="4"/>
        <v>5.5512944975139852E-5</v>
      </c>
      <c r="FE30" s="252">
        <f t="shared" si="4"/>
        <v>1.1510309857142771E-4</v>
      </c>
      <c r="FF30" s="252">
        <f t="shared" si="4"/>
        <v>1.8880740273223771E-4</v>
      </c>
      <c r="FG30" s="252">
        <f t="shared" si="4"/>
        <v>6.3635839621235016E-5</v>
      </c>
      <c r="FH30" s="252">
        <f t="shared" si="4"/>
        <v>1.207380031813704E-4</v>
      </c>
      <c r="FI30" s="252">
        <f t="shared" si="4"/>
        <v>1.839798602681208E-3</v>
      </c>
      <c r="FJ30" s="252">
        <f t="shared" si="4"/>
        <v>1.8378686845966774E-3</v>
      </c>
      <c r="FK30" s="252">
        <f t="shared" si="4"/>
        <v>2.1660184674410074E-3</v>
      </c>
      <c r="FL30" s="252">
        <f t="shared" si="4"/>
        <v>6.2920339004162449E-4</v>
      </c>
      <c r="FM30" s="252">
        <f t="shared" si="4"/>
        <v>6.1714007711435263E-4</v>
      </c>
      <c r="FN30" s="252">
        <f t="shared" si="4"/>
        <v>1.5918030455151454E-3</v>
      </c>
      <c r="FO30" s="252">
        <f t="shared" si="4"/>
        <v>2.3061912069434416E-4</v>
      </c>
      <c r="FP30" s="252">
        <f t="shared" si="4"/>
        <v>9.3240643153214714E-4</v>
      </c>
      <c r="FQ30" s="252">
        <f t="shared" si="4"/>
        <v>1.618765528216818E-4</v>
      </c>
      <c r="FR30" s="252">
        <f t="shared" si="4"/>
        <v>2.7113239505120929E-4</v>
      </c>
      <c r="FS30" s="483">
        <f t="shared" si="5"/>
        <v>0</v>
      </c>
      <c r="FT30" s="483">
        <f t="shared" si="6"/>
        <v>0</v>
      </c>
      <c r="FU30" s="109">
        <f t="shared" si="7"/>
        <v>0</v>
      </c>
      <c r="FV30" s="483">
        <f t="shared" si="8"/>
        <v>0</v>
      </c>
      <c r="FW30" s="483">
        <f t="shared" si="9"/>
        <v>0</v>
      </c>
      <c r="FX30" s="483">
        <f t="shared" si="10"/>
        <v>2.4288917051432739E-4</v>
      </c>
      <c r="FY30" s="483">
        <f t="shared" si="11"/>
        <v>3.8402738899194142E-3</v>
      </c>
      <c r="FZ30" s="484">
        <f t="shared" si="12"/>
        <v>3.6036803631029062E-4</v>
      </c>
      <c r="GA30" s="483">
        <f t="shared" si="13"/>
        <v>1.2203134082936668E-4</v>
      </c>
      <c r="GB30" s="483">
        <f t="shared" si="14"/>
        <v>2.4736854863737558E-4</v>
      </c>
      <c r="GC30" s="483">
        <f t="shared" si="15"/>
        <v>2.3748297666084219E-3</v>
      </c>
      <c r="GD30" s="483">
        <f t="shared" si="16"/>
        <v>2.3919406169060891E-3</v>
      </c>
      <c r="GE30" s="484">
        <f t="shared" si="17"/>
        <v>2.8922670169395401E-3</v>
      </c>
      <c r="GF30" s="483">
        <f t="shared" si="18"/>
        <v>1.4873668477385859E-3</v>
      </c>
      <c r="GG30" s="483">
        <f t="shared" si="19"/>
        <v>1.4839564829294148E-3</v>
      </c>
      <c r="GH30" s="483">
        <f t="shared" si="20"/>
        <v>2.2697887366745326E-3</v>
      </c>
      <c r="GI30" s="483">
        <f t="shared" si="21"/>
        <v>2.0672286629015869E-3</v>
      </c>
      <c r="GJ30" s="484">
        <f t="shared" si="22"/>
        <v>1.3357041576347933E-3</v>
      </c>
      <c r="GK30" s="483">
        <f t="shared" si="23"/>
        <v>3.5020492678241639E-4</v>
      </c>
      <c r="GL30" s="483">
        <f t="shared" si="24"/>
        <v>6.4807555958295432E-4</v>
      </c>
    </row>
    <row r="31" spans="1:194" x14ac:dyDescent="0.2">
      <c r="A31" s="210" t="s">
        <v>51</v>
      </c>
      <c r="B31" s="247"/>
      <c r="C31" s="247"/>
      <c r="D31" s="247"/>
      <c r="E31" s="247"/>
      <c r="F31" s="247"/>
      <c r="G31" s="247"/>
      <c r="H31" s="247"/>
      <c r="I31" s="247"/>
      <c r="J31" s="247"/>
      <c r="K31" s="247"/>
      <c r="L31" s="248"/>
      <c r="M31" s="247"/>
      <c r="N31" s="247"/>
      <c r="O31" s="247"/>
      <c r="P31" s="247"/>
      <c r="Q31" s="247"/>
      <c r="R31" s="248"/>
      <c r="S31" s="247"/>
      <c r="T31" s="259"/>
      <c r="U31" s="259"/>
      <c r="V31" s="259"/>
      <c r="W31" s="259"/>
      <c r="X31" s="259"/>
      <c r="Y31" s="259"/>
      <c r="Z31" s="259"/>
      <c r="AA31" s="259"/>
      <c r="AB31" s="259"/>
      <c r="AC31" s="259"/>
      <c r="AD31" s="259"/>
      <c r="AE31" s="259"/>
      <c r="AF31" s="259"/>
      <c r="AG31" s="259"/>
      <c r="AH31" s="259"/>
      <c r="AI31" s="250"/>
      <c r="AJ31" s="250"/>
      <c r="AK31" s="250"/>
      <c r="AL31" s="250"/>
      <c r="AM31" s="250"/>
      <c r="AN31" s="260">
        <v>4.6450558026037085E-6</v>
      </c>
      <c r="AO31" s="260">
        <v>4.8967605738971141E-6</v>
      </c>
      <c r="AP31" s="260">
        <v>6.1293781491022508E-6</v>
      </c>
      <c r="AQ31" s="260"/>
      <c r="AR31" s="260"/>
      <c r="AS31" s="260">
        <v>1.0877865779775051E-4</v>
      </c>
      <c r="AT31" s="260">
        <v>8.985147431093763E-5</v>
      </c>
      <c r="AU31" s="260">
        <v>5.574262626093174E-5</v>
      </c>
      <c r="AV31" s="260">
        <v>3.5600047704063924E-6</v>
      </c>
      <c r="AW31" s="260">
        <v>1.7706346173300321E-6</v>
      </c>
      <c r="AX31" s="260">
        <v>1.0421082331574264E-4</v>
      </c>
      <c r="AY31" s="260">
        <v>7.1122308014263207E-6</v>
      </c>
      <c r="AZ31" s="260">
        <v>2.5958492318378425E-5</v>
      </c>
      <c r="BA31" s="260">
        <v>5.5002713352603074E-7</v>
      </c>
      <c r="BB31" s="260">
        <v>5.2430500594910926E-7</v>
      </c>
      <c r="BC31" s="260">
        <v>0</v>
      </c>
      <c r="BD31" s="260">
        <v>0</v>
      </c>
      <c r="BE31" s="260">
        <v>0</v>
      </c>
      <c r="BF31" s="260">
        <v>0</v>
      </c>
      <c r="BG31" s="260">
        <v>0</v>
      </c>
      <c r="BH31" s="260">
        <v>8.8990335833013769E-5</v>
      </c>
      <c r="BI31" s="260">
        <v>1.4323175138954014E-4</v>
      </c>
      <c r="BJ31" s="260">
        <v>5.6821928568090668E-5</v>
      </c>
      <c r="BK31" s="260">
        <v>1.7388984376494366E-6</v>
      </c>
      <c r="BL31" s="260">
        <v>2.9533518295797356E-6</v>
      </c>
      <c r="BM31" s="260">
        <v>1.3565711931900401E-3</v>
      </c>
      <c r="BN31" s="260">
        <v>1.3408327383455133E-3</v>
      </c>
      <c r="BO31" s="260">
        <v>1.3331229812322718E-3</v>
      </c>
      <c r="BP31" s="260">
        <v>3.0012412168449562E-4</v>
      </c>
      <c r="BQ31" s="260">
        <v>2.209237534272672E-4</v>
      </c>
      <c r="BR31" s="260">
        <v>1.2897475945486913E-3</v>
      </c>
      <c r="BS31" s="260">
        <v>1.4159116710721448E-4</v>
      </c>
      <c r="BT31" s="260">
        <v>5.4808705614799581E-4</v>
      </c>
      <c r="BU31" s="260">
        <v>5.0903185911003637E-5</v>
      </c>
      <c r="BV31" s="260">
        <v>6.9570195649095964E-5</v>
      </c>
      <c r="BW31" s="261">
        <v>0</v>
      </c>
      <c r="BX31" s="261">
        <v>0</v>
      </c>
      <c r="BY31" s="261">
        <v>0</v>
      </c>
      <c r="BZ31" s="261">
        <v>0</v>
      </c>
      <c r="CA31" s="261">
        <v>0</v>
      </c>
      <c r="CB31" s="261">
        <v>3.548774621266886E-5</v>
      </c>
      <c r="CC31" s="261">
        <v>9.2817663386465693E-6</v>
      </c>
      <c r="CD31" s="261">
        <v>9.220356979487308E-5</v>
      </c>
      <c r="CE31" s="261">
        <v>2.1478488728315206E-5</v>
      </c>
      <c r="CF31" s="261">
        <v>2.6687379010891645E-5</v>
      </c>
      <c r="CG31" s="261">
        <v>3.9747729194113957E-3</v>
      </c>
      <c r="CH31" s="261">
        <v>3.3582366908058102E-3</v>
      </c>
      <c r="CI31" s="261">
        <v>3.1145741436821766E-3</v>
      </c>
      <c r="CJ31" s="261">
        <v>4.060549618445374E-3</v>
      </c>
      <c r="CK31" s="261">
        <v>3.5013670103067811E-3</v>
      </c>
      <c r="CL31" s="261">
        <v>3.8075872477278273E-3</v>
      </c>
      <c r="CM31" s="261">
        <v>2.9281146852615328E-4</v>
      </c>
      <c r="CN31" s="261">
        <v>1.2715749921831596E-3</v>
      </c>
      <c r="CO31" s="261">
        <v>7.8050160315864051E-4</v>
      </c>
      <c r="CP31" s="261">
        <v>1.1158361455984238E-3</v>
      </c>
      <c r="CQ31" s="261">
        <v>0</v>
      </c>
      <c r="CR31" s="261">
        <v>0</v>
      </c>
      <c r="CS31" s="261">
        <v>0</v>
      </c>
      <c r="CT31" s="261">
        <v>0</v>
      </c>
      <c r="CU31" s="261">
        <v>0</v>
      </c>
      <c r="CV31" s="261">
        <v>2.3100429667991825E-5</v>
      </c>
      <c r="CW31" s="261">
        <v>1.1365301350796815E-5</v>
      </c>
      <c r="CX31" s="261">
        <v>1.1129277262978981E-5</v>
      </c>
      <c r="CY31" s="261">
        <v>1.2893039048217867E-5</v>
      </c>
      <c r="CZ31" s="261">
        <v>2.4745445223393568E-5</v>
      </c>
      <c r="DA31" s="261">
        <v>8.5073751682585574E-3</v>
      </c>
      <c r="DB31" s="261">
        <v>6.8668932715617225E-3</v>
      </c>
      <c r="DC31" s="261">
        <v>5.6104624672484657E-3</v>
      </c>
      <c r="DD31" s="261">
        <v>3.9418866849033358E-3</v>
      </c>
      <c r="DE31" s="261">
        <v>3.8990418003429731E-3</v>
      </c>
      <c r="DF31" s="261">
        <v>8.1824384783796781E-3</v>
      </c>
      <c r="DG31" s="261">
        <v>7.1150856043593639E-4</v>
      </c>
      <c r="DH31" s="261">
        <v>2.4946980912170648E-3</v>
      </c>
      <c r="DI31" s="261">
        <v>8.1050486142554914E-4</v>
      </c>
      <c r="DJ31" s="261">
        <v>1.4550683348034273E-3</v>
      </c>
      <c r="DK31" s="261">
        <v>0</v>
      </c>
      <c r="DL31" s="261">
        <v>0</v>
      </c>
      <c r="DM31" s="261">
        <v>0</v>
      </c>
      <c r="DN31" s="261">
        <v>0</v>
      </c>
      <c r="DO31" s="261">
        <v>0</v>
      </c>
      <c r="DP31" s="261">
        <v>2.4297863217322947E-5</v>
      </c>
      <c r="DQ31" s="261">
        <v>6.6778205689791677E-7</v>
      </c>
      <c r="DR31" s="261">
        <v>3.1006038958136414E-5</v>
      </c>
      <c r="DS31" s="261">
        <v>9.2645416733712688E-6</v>
      </c>
      <c r="DT31" s="261">
        <v>1.8458910568277194E-5</v>
      </c>
      <c r="DU31" s="261">
        <v>8.6552257027214183E-3</v>
      </c>
      <c r="DV31" s="261">
        <v>6.6934941365686873E-3</v>
      </c>
      <c r="DW31" s="261">
        <v>6.5593548902306608E-3</v>
      </c>
      <c r="DX31" s="261">
        <v>6.07843321400405E-3</v>
      </c>
      <c r="DY31" s="261">
        <v>5.8554048327091792E-3</v>
      </c>
      <c r="DZ31" s="261">
        <v>8.3883022021713164E-3</v>
      </c>
      <c r="EA31" s="261">
        <v>4.1820405225419173E-4</v>
      </c>
      <c r="EB31" s="261">
        <v>2.7170204950722585E-3</v>
      </c>
      <c r="EC31" s="261">
        <v>1.2779490724984636E-3</v>
      </c>
      <c r="ED31" s="261"/>
      <c r="EE31" s="261">
        <f t="shared" si="1"/>
        <v>0</v>
      </c>
      <c r="EF31" s="261">
        <f t="shared" si="2"/>
        <v>0</v>
      </c>
      <c r="EG31" s="261">
        <f t="shared" si="2"/>
        <v>0</v>
      </c>
      <c r="EH31" s="261">
        <f t="shared" si="2"/>
        <v>0</v>
      </c>
      <c r="EI31" s="261">
        <f t="shared" si="2"/>
        <v>0</v>
      </c>
      <c r="EJ31" s="261">
        <f t="shared" si="2"/>
        <v>2.6146846844075587E-5</v>
      </c>
      <c r="EK31" s="261">
        <f t="shared" si="2"/>
        <v>5.0602557856489684E-6</v>
      </c>
      <c r="EL31" s="261">
        <f t="shared" si="2"/>
        <v>8.4529253831550031E-6</v>
      </c>
      <c r="EM31" s="261">
        <f t="shared" si="2"/>
        <v>2.7661771739474539E-4</v>
      </c>
      <c r="EN31" s="261">
        <f t="shared" si="2"/>
        <v>2.9998650820553259E-4</v>
      </c>
      <c r="EO31" s="261">
        <f t="shared" si="2"/>
        <v>1.0663039943803923E-2</v>
      </c>
      <c r="EP31" s="261">
        <f t="shared" si="2"/>
        <v>1.031872031411504E-2</v>
      </c>
      <c r="EQ31" s="261">
        <f t="shared" si="2"/>
        <v>8.6675626155098516E-3</v>
      </c>
      <c r="ER31" s="261">
        <f t="shared" si="2"/>
        <v>8.1294176327924537E-3</v>
      </c>
      <c r="ES31" s="261">
        <f t="shared" si="2"/>
        <v>6.6165111817868584E-3</v>
      </c>
      <c r="ET31" s="261">
        <f t="shared" si="2"/>
        <v>1.035757057434843E-2</v>
      </c>
      <c r="EU31" s="261">
        <f t="shared" si="2"/>
        <v>9.9406775681152725E-4</v>
      </c>
      <c r="EV31" s="261">
        <f t="shared" si="2"/>
        <v>3.3715283202864366E-3</v>
      </c>
      <c r="EW31" s="261">
        <f t="shared" si="2"/>
        <v>1.7845986994384912E-3</v>
      </c>
      <c r="EX31" s="261">
        <f t="shared" si="2"/>
        <v>2.3623328892250681E-3</v>
      </c>
      <c r="EY31" s="262">
        <f t="shared" si="3"/>
        <v>0</v>
      </c>
      <c r="EZ31" s="262">
        <f t="shared" si="4"/>
        <v>0</v>
      </c>
      <c r="FA31" s="262">
        <f t="shared" si="4"/>
        <v>0</v>
      </c>
      <c r="FB31" s="262">
        <f t="shared" si="4"/>
        <v>0</v>
      </c>
      <c r="FC31" s="262">
        <f t="shared" si="4"/>
        <v>0</v>
      </c>
      <c r="FD31" s="262">
        <f t="shared" si="4"/>
        <v>1.0190782169349345E-5</v>
      </c>
      <c r="FE31" s="262">
        <f t="shared" si="4"/>
        <v>1.3590731152614941E-5</v>
      </c>
      <c r="FF31" s="262">
        <f t="shared" si="4"/>
        <v>3.6085041422229999E-6</v>
      </c>
      <c r="FG31" s="262">
        <f t="shared" si="4"/>
        <v>2.2025109879857905E-5</v>
      </c>
      <c r="FH31" s="262">
        <f t="shared" si="4"/>
        <v>2.0188225271985098E-5</v>
      </c>
      <c r="FI31" s="262">
        <f t="shared" si="4"/>
        <v>1.0085234030702675E-2</v>
      </c>
      <c r="FJ31" s="262">
        <f t="shared" si="4"/>
        <v>9.7499471692643804E-3</v>
      </c>
      <c r="FK31" s="262">
        <f t="shared" si="4"/>
        <v>7.13532971100441E-3</v>
      </c>
      <c r="FL31" s="262">
        <f t="shared" si="4"/>
        <v>4.8566808394653951E-3</v>
      </c>
      <c r="FM31" s="262">
        <f t="shared" si="4"/>
        <v>4.6806544177238184E-3</v>
      </c>
      <c r="FN31" s="262">
        <f t="shared" si="4"/>
        <v>8.6849170753584143E-3</v>
      </c>
      <c r="FO31" s="262">
        <f t="shared" si="4"/>
        <v>9.5673725166711568E-4</v>
      </c>
      <c r="FP31" s="262">
        <f t="shared" si="4"/>
        <v>2.7518812588487444E-3</v>
      </c>
      <c r="FQ31" s="262">
        <f t="shared" si="4"/>
        <v>9.988840644447384E-4</v>
      </c>
      <c r="FR31" s="262">
        <f t="shared" si="4"/>
        <v>1.5674866546683229E-3</v>
      </c>
      <c r="FS31" s="483">
        <f t="shared" si="5"/>
        <v>0</v>
      </c>
      <c r="FT31" s="483">
        <f t="shared" si="6"/>
        <v>0</v>
      </c>
      <c r="FU31" s="109">
        <f t="shared" si="7"/>
        <v>0</v>
      </c>
      <c r="FV31" s="483">
        <f t="shared" si="8"/>
        <v>0</v>
      </c>
      <c r="FW31" s="483">
        <f t="shared" si="9"/>
        <v>0</v>
      </c>
      <c r="FX31" s="483">
        <f t="shared" si="10"/>
        <v>1.0726966521137488E-5</v>
      </c>
      <c r="FY31" s="483">
        <f t="shared" si="11"/>
        <v>1.6306710274527303E-5</v>
      </c>
      <c r="FZ31" s="484">
        <f t="shared" si="12"/>
        <v>2.7653968594693782E-6</v>
      </c>
      <c r="GA31" s="483">
        <f t="shared" si="13"/>
        <v>7.1299210372214232E-7</v>
      </c>
      <c r="GB31" s="483">
        <f t="shared" si="14"/>
        <v>1.1883701206693381E-6</v>
      </c>
      <c r="GC31" s="483">
        <f t="shared" si="15"/>
        <v>7.2896699888368027E-3</v>
      </c>
      <c r="GD31" s="483">
        <f t="shared" si="16"/>
        <v>7.2243037633237354E-3</v>
      </c>
      <c r="GE31" s="484">
        <f t="shared" si="17"/>
        <v>5.1770466226351806E-3</v>
      </c>
      <c r="GF31" s="483">
        <f t="shared" si="18"/>
        <v>5.5782729230787649E-3</v>
      </c>
      <c r="GG31" s="483">
        <f t="shared" si="19"/>
        <v>5.2817571055451618E-3</v>
      </c>
      <c r="GH31" s="483">
        <f t="shared" si="20"/>
        <v>6.9310361880414607E-3</v>
      </c>
      <c r="GI31" s="483">
        <f t="shared" si="21"/>
        <v>7.5605260800045684E-4</v>
      </c>
      <c r="GJ31" s="484">
        <f t="shared" si="22"/>
        <v>2.0550580264307628E-3</v>
      </c>
      <c r="GK31" s="483">
        <f t="shared" si="23"/>
        <v>1.0578538416348598E-3</v>
      </c>
      <c r="GL31" s="483">
        <f t="shared" si="24"/>
        <v>1.8152991333328595E-3</v>
      </c>
    </row>
    <row r="32" spans="1:194" x14ac:dyDescent="0.2">
      <c r="A32" s="210" t="s">
        <v>345</v>
      </c>
      <c r="B32" s="247"/>
      <c r="C32" s="247"/>
      <c r="D32" s="247"/>
      <c r="E32" s="247"/>
      <c r="F32" s="247"/>
      <c r="G32" s="247"/>
      <c r="H32" s="247"/>
      <c r="I32" s="247"/>
      <c r="J32" s="247"/>
      <c r="K32" s="247"/>
      <c r="L32" s="248"/>
      <c r="M32" s="247"/>
      <c r="N32" s="247"/>
      <c r="O32" s="247"/>
      <c r="P32" s="247"/>
      <c r="Q32" s="247"/>
      <c r="R32" s="248"/>
      <c r="S32" s="247"/>
      <c r="T32" s="259"/>
      <c r="U32" s="259"/>
      <c r="V32" s="259"/>
      <c r="W32" s="259"/>
      <c r="X32" s="259"/>
      <c r="Y32" s="259"/>
      <c r="Z32" s="259"/>
      <c r="AA32" s="259"/>
      <c r="AB32" s="259"/>
      <c r="AC32" s="259"/>
      <c r="AD32" s="259"/>
      <c r="AE32" s="259"/>
      <c r="AF32" s="259"/>
      <c r="AG32" s="259"/>
      <c r="AH32" s="259"/>
      <c r="AI32" s="250"/>
      <c r="AJ32" s="250"/>
      <c r="AK32" s="250"/>
      <c r="AL32" s="250"/>
      <c r="AM32" s="250"/>
      <c r="AN32" s="250"/>
      <c r="AO32" s="250"/>
      <c r="AP32" s="250"/>
      <c r="AQ32" s="250"/>
      <c r="AR32" s="260"/>
      <c r="AS32" s="260">
        <v>1.2070738789567616E-6</v>
      </c>
      <c r="AT32" s="260">
        <v>1.1719757518817949E-6</v>
      </c>
      <c r="AU32" s="260">
        <v>4.2846789346271081E-7</v>
      </c>
      <c r="AV32" s="260"/>
      <c r="AW32" s="260"/>
      <c r="AX32" s="260">
        <v>1.1541263819984526E-6</v>
      </c>
      <c r="AY32" s="260">
        <v>8.0915111218094069E-8</v>
      </c>
      <c r="AZ32" s="260">
        <v>1.769387155455885E-7</v>
      </c>
      <c r="BA32" s="260"/>
      <c r="BB32" s="260"/>
      <c r="BC32" s="260">
        <v>0</v>
      </c>
      <c r="BD32" s="260">
        <v>0</v>
      </c>
      <c r="BE32" s="260">
        <v>0</v>
      </c>
      <c r="BF32" s="260">
        <v>0</v>
      </c>
      <c r="BG32" s="260">
        <v>0</v>
      </c>
      <c r="BH32" s="260">
        <v>0</v>
      </c>
      <c r="BI32" s="260">
        <v>0</v>
      </c>
      <c r="BJ32" s="260">
        <v>0</v>
      </c>
      <c r="BK32" s="260">
        <v>0</v>
      </c>
      <c r="BL32" s="260">
        <v>0</v>
      </c>
      <c r="BM32" s="260">
        <v>3.3177983804550027E-6</v>
      </c>
      <c r="BN32" s="260">
        <v>1.970386676962942E-6</v>
      </c>
      <c r="BO32" s="260">
        <v>1.2360364929948748E-6</v>
      </c>
      <c r="BP32" s="260">
        <v>0</v>
      </c>
      <c r="BQ32" s="260">
        <v>0</v>
      </c>
      <c r="BR32" s="260">
        <v>3.1428954654594336E-6</v>
      </c>
      <c r="BS32" s="260">
        <v>1.7558579259928868E-7</v>
      </c>
      <c r="BT32" s="260">
        <v>4.8272269983210825E-7</v>
      </c>
      <c r="BU32" s="260">
        <v>0</v>
      </c>
      <c r="BV32" s="260">
        <v>0</v>
      </c>
      <c r="BW32" s="263">
        <v>0</v>
      </c>
      <c r="BX32" s="263">
        <v>0</v>
      </c>
      <c r="BY32" s="263">
        <v>0</v>
      </c>
      <c r="BZ32" s="263">
        <v>0</v>
      </c>
      <c r="CA32" s="263">
        <v>0</v>
      </c>
      <c r="CB32" s="263">
        <v>0</v>
      </c>
      <c r="CC32" s="263">
        <v>0</v>
      </c>
      <c r="CD32" s="263">
        <v>0</v>
      </c>
      <c r="CE32" s="263">
        <v>0</v>
      </c>
      <c r="CF32" s="263">
        <v>0</v>
      </c>
      <c r="CG32" s="263">
        <v>4.6879876344280457E-5</v>
      </c>
      <c r="CH32" s="263">
        <v>2.6373404891938089E-5</v>
      </c>
      <c r="CI32" s="263">
        <v>5.7846172416834944E-6</v>
      </c>
      <c r="CJ32" s="263">
        <v>6.2861670693480519E-7</v>
      </c>
      <c r="CK32" s="263">
        <v>3.8209856740088767E-7</v>
      </c>
      <c r="CL32" s="263">
        <v>4.4890271447289118E-5</v>
      </c>
      <c r="CM32" s="263">
        <v>2.2858820790378271E-6</v>
      </c>
      <c r="CN32" s="263">
        <v>2.274346451456051E-6</v>
      </c>
      <c r="CO32" s="263">
        <v>1.1925158184242025E-7</v>
      </c>
      <c r="CP32" s="263">
        <v>1.2013315496431735E-7</v>
      </c>
      <c r="CQ32" s="263">
        <v>0</v>
      </c>
      <c r="CR32" s="263">
        <v>0</v>
      </c>
      <c r="CS32" s="263">
        <v>0</v>
      </c>
      <c r="CT32" s="263">
        <v>0</v>
      </c>
      <c r="CU32" s="263">
        <v>0</v>
      </c>
      <c r="CV32" s="263">
        <v>0</v>
      </c>
      <c r="CW32" s="263">
        <v>0</v>
      </c>
      <c r="CX32" s="263">
        <v>0</v>
      </c>
      <c r="CY32" s="263">
        <v>0</v>
      </c>
      <c r="CZ32" s="263">
        <v>0</v>
      </c>
      <c r="DA32" s="263">
        <v>5.2597019446749263E-4</v>
      </c>
      <c r="DB32" s="263">
        <v>2.7941616883183653E-4</v>
      </c>
      <c r="DC32" s="263">
        <v>8.0262096819174218E-5</v>
      </c>
      <c r="DD32" s="263">
        <v>2.095633537960306E-5</v>
      </c>
      <c r="DE32" s="263">
        <v>1.6913758089289327E-5</v>
      </c>
      <c r="DF32" s="263">
        <v>5.0582622678656535E-4</v>
      </c>
      <c r="DG32" s="263">
        <v>2.884488240752627E-5</v>
      </c>
      <c r="DH32" s="263">
        <v>3.5611783470225445E-5</v>
      </c>
      <c r="DI32" s="263">
        <v>4.2763182980595279E-6</v>
      </c>
      <c r="DJ32" s="263">
        <v>6.2526757180049963E-6</v>
      </c>
      <c r="DK32" s="263">
        <v>0</v>
      </c>
      <c r="DL32" s="263">
        <v>0</v>
      </c>
      <c r="DM32" s="263">
        <v>0</v>
      </c>
      <c r="DN32" s="263">
        <v>0</v>
      </c>
      <c r="DO32" s="263">
        <v>0</v>
      </c>
      <c r="DP32" s="263">
        <v>1.4292860716072322E-6</v>
      </c>
      <c r="DQ32" s="263">
        <v>4.6502928753336823E-8</v>
      </c>
      <c r="DR32" s="263">
        <v>7.1834052629072523E-7</v>
      </c>
      <c r="DS32" s="263">
        <v>7.8017193038915954E-7</v>
      </c>
      <c r="DT32" s="263">
        <v>7.5888056803685512E-7</v>
      </c>
      <c r="DU32" s="263">
        <v>1.069628617847081E-3</v>
      </c>
      <c r="DV32" s="263">
        <v>1.4805013832874965E-4</v>
      </c>
      <c r="DW32" s="263">
        <v>1.9545645963719806E-4</v>
      </c>
      <c r="DX32" s="263">
        <v>1.2077803770415146E-4</v>
      </c>
      <c r="DY32" s="263">
        <v>1.3923795162038743E-4</v>
      </c>
      <c r="DZ32" s="263">
        <v>1.0365930655976937E-3</v>
      </c>
      <c r="EA32" s="263">
        <v>9.2767590883777577E-6</v>
      </c>
      <c r="EB32" s="263">
        <v>8.0858291877477947E-5</v>
      </c>
      <c r="EC32" s="263">
        <v>2.5672471162058229E-5</v>
      </c>
      <c r="ED32" s="263"/>
      <c r="EE32" s="263">
        <f t="shared" si="1"/>
        <v>0</v>
      </c>
      <c r="EF32" s="263">
        <f t="shared" si="2"/>
        <v>0</v>
      </c>
      <c r="EG32" s="263">
        <f t="shared" si="2"/>
        <v>0</v>
      </c>
      <c r="EH32" s="263">
        <f t="shared" si="2"/>
        <v>0</v>
      </c>
      <c r="EI32" s="263">
        <f t="shared" si="2"/>
        <v>0</v>
      </c>
      <c r="EJ32" s="263">
        <f t="shared" si="2"/>
        <v>4.6141494430721624E-6</v>
      </c>
      <c r="EK32" s="263">
        <f t="shared" si="2"/>
        <v>1.3891881591920362E-6</v>
      </c>
      <c r="EL32" s="263">
        <f t="shared" si="2"/>
        <v>9.0170217206983432E-8</v>
      </c>
      <c r="EM32" s="263">
        <f t="shared" si="2"/>
        <v>2.4213675849895746E-5</v>
      </c>
      <c r="EN32" s="263">
        <f t="shared" si="2"/>
        <v>1.7022920937990322E-6</v>
      </c>
      <c r="EO32" s="263">
        <f t="shared" si="2"/>
        <v>4.7240826951380597E-4</v>
      </c>
      <c r="EP32" s="263">
        <f t="shared" si="2"/>
        <v>3.2357315516554167E-4</v>
      </c>
      <c r="EQ32" s="263">
        <f t="shared" si="2"/>
        <v>1.2472701763015752E-4</v>
      </c>
      <c r="ER32" s="263">
        <f t="shared" si="2"/>
        <v>1.1386501177267938E-4</v>
      </c>
      <c r="ES32" s="263">
        <f t="shared" si="2"/>
        <v>9.4637368932229312E-5</v>
      </c>
      <c r="ET32" s="263">
        <f t="shared" si="2"/>
        <v>4.5897419091665695E-4</v>
      </c>
      <c r="EU32" s="263">
        <f t="shared" si="2"/>
        <v>3.1617933509352981E-5</v>
      </c>
      <c r="EV32" s="263">
        <f t="shared" si="2"/>
        <v>4.8500338925018862E-5</v>
      </c>
      <c r="EW32" s="263">
        <f t="shared" si="2"/>
        <v>3.507946198031071E-5</v>
      </c>
      <c r="EX32" s="263">
        <f t="shared" si="2"/>
        <v>3.2380526038487866E-5</v>
      </c>
      <c r="EY32" s="264">
        <f t="shared" si="3"/>
        <v>0</v>
      </c>
      <c r="EZ32" s="264">
        <f t="shared" si="4"/>
        <v>0</v>
      </c>
      <c r="FA32" s="264">
        <f t="shared" si="4"/>
        <v>0</v>
      </c>
      <c r="FB32" s="264">
        <f t="shared" si="4"/>
        <v>0</v>
      </c>
      <c r="FC32" s="264">
        <f t="shared" si="4"/>
        <v>0</v>
      </c>
      <c r="FD32" s="264">
        <f t="shared" si="4"/>
        <v>1.0727139125630891E-6</v>
      </c>
      <c r="FE32" s="264">
        <f t="shared" si="4"/>
        <v>2.3797456216050886E-6</v>
      </c>
      <c r="FF32" s="264">
        <f t="shared" si="4"/>
        <v>2.1999585899340424E-6</v>
      </c>
      <c r="FG32" s="264">
        <f t="shared" si="4"/>
        <v>1.3242945813838613E-6</v>
      </c>
      <c r="FH32" s="264">
        <f t="shared" si="4"/>
        <v>2.531413163591891E-6</v>
      </c>
      <c r="FI32" s="264">
        <f t="shared" si="4"/>
        <v>5.0675739295009817E-4</v>
      </c>
      <c r="FJ32" s="264">
        <f t="shared" si="4"/>
        <v>3.651783616478149E-4</v>
      </c>
      <c r="FK32" s="264">
        <f t="shared" si="4"/>
        <v>1.4517833731112972E-4</v>
      </c>
      <c r="FL32" s="264">
        <f t="shared" si="4"/>
        <v>1.0587468979448586E-4</v>
      </c>
      <c r="FM32" s="264">
        <f t="shared" si="4"/>
        <v>1.1244540353293076E-4</v>
      </c>
      <c r="FN32" s="264">
        <f t="shared" si="4"/>
        <v>4.3647294672838365E-4</v>
      </c>
      <c r="FO32" s="264">
        <f t="shared" si="4"/>
        <v>3.6669688289945022E-5</v>
      </c>
      <c r="FP32" s="264">
        <f t="shared" si="4"/>
        <v>5.7090224806669012E-5</v>
      </c>
      <c r="FQ32" s="264">
        <f t="shared" si="4"/>
        <v>2.2226380412728621E-5</v>
      </c>
      <c r="FR32" s="264">
        <f t="shared" si="4"/>
        <v>3.8773608075286104E-5</v>
      </c>
      <c r="FS32" s="483">
        <f t="shared" si="5"/>
        <v>0</v>
      </c>
      <c r="FT32" s="483">
        <f t="shared" si="6"/>
        <v>0</v>
      </c>
      <c r="FU32" s="109">
        <f t="shared" si="7"/>
        <v>0</v>
      </c>
      <c r="FV32" s="483">
        <f t="shared" si="8"/>
        <v>0</v>
      </c>
      <c r="FW32" s="483">
        <f t="shared" si="9"/>
        <v>0</v>
      </c>
      <c r="FX32" s="483">
        <f t="shared" si="10"/>
        <v>0</v>
      </c>
      <c r="FY32" s="483">
        <f t="shared" si="11"/>
        <v>8.1060998466776398E-6</v>
      </c>
      <c r="FZ32" s="484">
        <f t="shared" si="12"/>
        <v>0</v>
      </c>
      <c r="GA32" s="483">
        <f t="shared" si="13"/>
        <v>3.290732786409888E-7</v>
      </c>
      <c r="GB32" s="483">
        <f t="shared" si="14"/>
        <v>3.9262224237950809E-7</v>
      </c>
      <c r="GC32" s="483">
        <f t="shared" si="15"/>
        <v>5.6844392881951161E-4</v>
      </c>
      <c r="GD32" s="483">
        <f t="shared" si="16"/>
        <v>4.2734245531492659E-4</v>
      </c>
      <c r="GE32" s="484">
        <f t="shared" si="17"/>
        <v>1.946416948716886E-4</v>
      </c>
      <c r="GF32" s="483">
        <f t="shared" si="18"/>
        <v>1.8624447799685731E-4</v>
      </c>
      <c r="GG32" s="483">
        <f t="shared" si="19"/>
        <v>1.5264414198441252E-4</v>
      </c>
      <c r="GH32" s="483">
        <f t="shared" si="20"/>
        <v>5.4043667555188455E-4</v>
      </c>
      <c r="GI32" s="483">
        <f t="shared" si="21"/>
        <v>4.8106645784229534E-5</v>
      </c>
      <c r="GJ32" s="484">
        <f t="shared" si="22"/>
        <v>7.7209766274290994E-5</v>
      </c>
      <c r="GK32" s="483">
        <f t="shared" si="23"/>
        <v>3.5489804702396059E-5</v>
      </c>
      <c r="GL32" s="483">
        <f t="shared" si="24"/>
        <v>5.2662830603181034E-5</v>
      </c>
    </row>
    <row r="33" spans="1:194" x14ac:dyDescent="0.2">
      <c r="A33" s="210" t="s">
        <v>313</v>
      </c>
      <c r="B33" s="247"/>
      <c r="C33" s="247"/>
      <c r="D33" s="247"/>
      <c r="E33" s="247"/>
      <c r="F33" s="247"/>
      <c r="G33" s="247"/>
      <c r="H33" s="247"/>
      <c r="I33" s="247"/>
      <c r="J33" s="247"/>
      <c r="K33" s="247">
        <v>1E-4</v>
      </c>
      <c r="L33" s="248">
        <v>5.5830487369891473E-5</v>
      </c>
      <c r="M33" s="247">
        <v>1.5E-3</v>
      </c>
      <c r="N33" s="247">
        <v>2.9999999999999997E-4</v>
      </c>
      <c r="O33" s="247">
        <v>2.9999999999999997E-4</v>
      </c>
      <c r="P33" s="247">
        <v>4.7800000000000002E-2</v>
      </c>
      <c r="Q33" s="247">
        <v>1E-4</v>
      </c>
      <c r="R33" s="248">
        <v>0.18</v>
      </c>
      <c r="S33" s="247">
        <v>2.8199999999999999E-2</v>
      </c>
      <c r="T33" s="259"/>
      <c r="U33" s="259"/>
      <c r="V33" s="259"/>
      <c r="W33" s="259"/>
      <c r="X33" s="259"/>
      <c r="Y33" s="259"/>
      <c r="Z33" s="259"/>
      <c r="AA33" s="259"/>
      <c r="AB33" s="259"/>
      <c r="AC33" s="259"/>
      <c r="AD33" s="259"/>
      <c r="AE33" s="259"/>
      <c r="AF33" s="259"/>
      <c r="AG33" s="259"/>
      <c r="AH33" s="259"/>
      <c r="AI33" s="250">
        <v>0.61216730038022815</v>
      </c>
      <c r="AJ33" s="250">
        <v>0.17995279942597975</v>
      </c>
      <c r="AK33" s="250">
        <v>0.30375319046137356</v>
      </c>
      <c r="AL33" s="250">
        <v>0.32270477414834658</v>
      </c>
      <c r="AM33" s="250">
        <v>0.2836519828976764</v>
      </c>
      <c r="AN33" s="260">
        <v>2.7870334815622251E-5</v>
      </c>
      <c r="AO33" s="260">
        <v>7.2991918061454046E-4</v>
      </c>
      <c r="AP33" s="260">
        <v>3.2463334679937091E-4</v>
      </c>
      <c r="AQ33" s="260">
        <v>5.853263105941415E-4</v>
      </c>
      <c r="AR33" s="260">
        <v>1.3024155656145983E-4</v>
      </c>
      <c r="AS33" s="260">
        <v>1.4200869164197194E-7</v>
      </c>
      <c r="AT33" s="260">
        <v>1.2020264121864565E-7</v>
      </c>
      <c r="AU33" s="260">
        <v>2.3866625617267971E-7</v>
      </c>
      <c r="AV33" s="260">
        <v>3.5244047227023283E-4</v>
      </c>
      <c r="AW33" s="260">
        <v>5.4834567967707422E-5</v>
      </c>
      <c r="AX33" s="260">
        <v>1.2288051478924701E-5</v>
      </c>
      <c r="AY33" s="250">
        <v>0.13426846080886382</v>
      </c>
      <c r="AZ33" s="250">
        <v>3.281433658379028E-2</v>
      </c>
      <c r="BA33" s="250">
        <v>0.12231077124323389</v>
      </c>
      <c r="BB33" s="250">
        <v>3.6445494921365527E-2</v>
      </c>
      <c r="BC33" s="250">
        <v>0</v>
      </c>
      <c r="BD33" s="250">
        <v>0</v>
      </c>
      <c r="BE33" s="250">
        <v>0</v>
      </c>
      <c r="BF33" s="250">
        <v>0</v>
      </c>
      <c r="BG33" s="250">
        <v>0</v>
      </c>
      <c r="BH33" s="250">
        <v>0</v>
      </c>
      <c r="BI33" s="250">
        <v>0</v>
      </c>
      <c r="BJ33" s="250">
        <v>-1.048964431133743E-24</v>
      </c>
      <c r="BK33" s="250">
        <v>0</v>
      </c>
      <c r="BL33" s="250">
        <v>0</v>
      </c>
      <c r="BM33" s="250">
        <v>0</v>
      </c>
      <c r="BN33" s="250">
        <v>0</v>
      </c>
      <c r="BO33" s="250">
        <v>0</v>
      </c>
      <c r="BP33" s="250">
        <v>0</v>
      </c>
      <c r="BQ33" s="250">
        <v>0</v>
      </c>
      <c r="BR33" s="250">
        <v>0</v>
      </c>
      <c r="BS33" s="250">
        <v>0</v>
      </c>
      <c r="BT33" s="250">
        <v>-5.0670757478016591E-25</v>
      </c>
      <c r="BU33" s="250">
        <v>0</v>
      </c>
      <c r="BV33" s="250">
        <v>0</v>
      </c>
      <c r="BW33" s="263">
        <v>0</v>
      </c>
      <c r="BX33" s="263">
        <v>0</v>
      </c>
      <c r="BY33" s="263">
        <v>0</v>
      </c>
      <c r="BZ33" s="263">
        <v>0</v>
      </c>
      <c r="CA33" s="263">
        <v>0</v>
      </c>
      <c r="CB33" s="263">
        <v>0</v>
      </c>
      <c r="CC33" s="263">
        <v>0</v>
      </c>
      <c r="CD33" s="263">
        <v>0</v>
      </c>
      <c r="CE33" s="263">
        <v>0</v>
      </c>
      <c r="CF33" s="263">
        <v>0</v>
      </c>
      <c r="CG33" s="263">
        <v>0</v>
      </c>
      <c r="CH33" s="263">
        <v>0</v>
      </c>
      <c r="CI33" s="263">
        <v>3.0010083086490243E-10</v>
      </c>
      <c r="CJ33" s="263">
        <v>0</v>
      </c>
      <c r="CK33" s="263">
        <v>2.8607329728042502E-8</v>
      </c>
      <c r="CL33" s="263">
        <v>0</v>
      </c>
      <c r="CM33" s="263">
        <v>0</v>
      </c>
      <c r="CN33" s="263">
        <v>1.1799108415304E-10</v>
      </c>
      <c r="CO33" s="263">
        <v>0</v>
      </c>
      <c r="CP33" s="263">
        <v>8.9942466906152242E-9</v>
      </c>
      <c r="CQ33" s="263">
        <v>0</v>
      </c>
      <c r="CR33" s="263">
        <v>0</v>
      </c>
      <c r="CS33" s="263">
        <v>0</v>
      </c>
      <c r="CT33" s="263">
        <v>0</v>
      </c>
      <c r="CU33" s="263">
        <v>0</v>
      </c>
      <c r="CV33" s="263">
        <v>0</v>
      </c>
      <c r="CW33" s="263">
        <v>0</v>
      </c>
      <c r="CX33" s="263">
        <v>0</v>
      </c>
      <c r="CY33" s="263">
        <v>0</v>
      </c>
      <c r="CZ33" s="263">
        <v>0</v>
      </c>
      <c r="DA33" s="263">
        <v>0</v>
      </c>
      <c r="DB33" s="263">
        <v>0</v>
      </c>
      <c r="DC33" s="263">
        <v>0</v>
      </c>
      <c r="DD33" s="263">
        <v>0</v>
      </c>
      <c r="DE33" s="263">
        <v>0</v>
      </c>
      <c r="DF33" s="263">
        <v>0</v>
      </c>
      <c r="DG33" s="263">
        <v>0</v>
      </c>
      <c r="DH33" s="263">
        <v>0</v>
      </c>
      <c r="DI33" s="263">
        <v>0</v>
      </c>
      <c r="DJ33" s="263">
        <v>0</v>
      </c>
      <c r="DK33" s="263">
        <v>0</v>
      </c>
      <c r="DL33" s="263">
        <v>0</v>
      </c>
      <c r="DM33" s="263">
        <v>0</v>
      </c>
      <c r="DN33" s="263">
        <v>0</v>
      </c>
      <c r="DO33" s="263">
        <v>0</v>
      </c>
      <c r="DP33" s="263">
        <v>0</v>
      </c>
      <c r="DQ33" s="263">
        <v>0</v>
      </c>
      <c r="DR33" s="263">
        <v>0</v>
      </c>
      <c r="DS33" s="263">
        <v>0</v>
      </c>
      <c r="DT33" s="263">
        <v>0</v>
      </c>
      <c r="DU33" s="263">
        <v>0</v>
      </c>
      <c r="DV33" s="263">
        <v>0</v>
      </c>
      <c r="DW33" s="263">
        <v>0</v>
      </c>
      <c r="DX33" s="263">
        <v>0</v>
      </c>
      <c r="DY33" s="263">
        <v>0</v>
      </c>
      <c r="DZ33" s="263">
        <v>0</v>
      </c>
      <c r="EA33" s="263">
        <v>0</v>
      </c>
      <c r="EB33" s="263">
        <v>0</v>
      </c>
      <c r="EC33" s="263">
        <v>0</v>
      </c>
      <c r="ED33" s="263"/>
      <c r="EE33" s="263">
        <f t="shared" si="1"/>
        <v>0</v>
      </c>
      <c r="EF33" s="263">
        <f t="shared" si="2"/>
        <v>0</v>
      </c>
      <c r="EG33" s="263">
        <f t="shared" si="2"/>
        <v>0</v>
      </c>
      <c r="EH33" s="263">
        <f t="shared" si="2"/>
        <v>0</v>
      </c>
      <c r="EI33" s="263">
        <f t="shared" si="2"/>
        <v>0</v>
      </c>
      <c r="EJ33" s="263">
        <f t="shared" si="2"/>
        <v>0</v>
      </c>
      <c r="EK33" s="263">
        <f t="shared" si="2"/>
        <v>0</v>
      </c>
      <c r="EL33" s="263">
        <f t="shared" si="2"/>
        <v>0</v>
      </c>
      <c r="EM33" s="263">
        <f t="shared" si="2"/>
        <v>0</v>
      </c>
      <c r="EN33" s="263">
        <f t="shared" si="2"/>
        <v>0</v>
      </c>
      <c r="EO33" s="263">
        <f t="shared" si="2"/>
        <v>0</v>
      </c>
      <c r="EP33" s="263">
        <f t="shared" si="2"/>
        <v>0</v>
      </c>
      <c r="EQ33" s="263">
        <f t="shared" si="2"/>
        <v>0</v>
      </c>
      <c r="ER33" s="263">
        <f t="shared" si="2"/>
        <v>0</v>
      </c>
      <c r="ES33" s="263">
        <f t="shared" si="2"/>
        <v>0</v>
      </c>
      <c r="ET33" s="263">
        <f t="shared" si="2"/>
        <v>0</v>
      </c>
      <c r="EU33" s="263">
        <f t="shared" si="2"/>
        <v>0</v>
      </c>
      <c r="EV33" s="263">
        <f t="shared" si="2"/>
        <v>0</v>
      </c>
      <c r="EW33" s="263">
        <f t="shared" si="2"/>
        <v>0</v>
      </c>
      <c r="EX33" s="263">
        <f t="shared" si="2"/>
        <v>0</v>
      </c>
      <c r="EY33" s="264">
        <f t="shared" si="3"/>
        <v>0</v>
      </c>
      <c r="EZ33" s="264">
        <f t="shared" si="4"/>
        <v>0</v>
      </c>
      <c r="FA33" s="264">
        <f t="shared" si="4"/>
        <v>0</v>
      </c>
      <c r="FB33" s="264">
        <f t="shared" si="4"/>
        <v>0</v>
      </c>
      <c r="FC33" s="264">
        <f t="shared" si="4"/>
        <v>0</v>
      </c>
      <c r="FD33" s="264">
        <f t="shared" si="4"/>
        <v>0</v>
      </c>
      <c r="FE33" s="264">
        <f t="shared" si="4"/>
        <v>0</v>
      </c>
      <c r="FF33" s="264">
        <f t="shared" si="4"/>
        <v>0</v>
      </c>
      <c r="FG33" s="264">
        <f t="shared" si="4"/>
        <v>0</v>
      </c>
      <c r="FH33" s="264">
        <f t="shared" si="4"/>
        <v>0</v>
      </c>
      <c r="FI33" s="264">
        <f t="shared" si="4"/>
        <v>0</v>
      </c>
      <c r="FJ33" s="264">
        <f t="shared" si="4"/>
        <v>0</v>
      </c>
      <c r="FK33" s="264">
        <f t="shared" si="4"/>
        <v>0</v>
      </c>
      <c r="FL33" s="264">
        <f t="shared" si="4"/>
        <v>0</v>
      </c>
      <c r="FM33" s="264">
        <f t="shared" si="4"/>
        <v>0</v>
      </c>
      <c r="FN33" s="264">
        <f t="shared" si="4"/>
        <v>0</v>
      </c>
      <c r="FO33" s="264">
        <f t="shared" si="4"/>
        <v>0</v>
      </c>
      <c r="FP33" s="264">
        <f t="shared" si="4"/>
        <v>0</v>
      </c>
      <c r="FQ33" s="264">
        <f t="shared" si="4"/>
        <v>0</v>
      </c>
      <c r="FR33" s="264">
        <f t="shared" si="4"/>
        <v>0</v>
      </c>
      <c r="FS33" s="483">
        <f t="shared" si="5"/>
        <v>0</v>
      </c>
      <c r="FT33" s="483">
        <f t="shared" si="6"/>
        <v>0</v>
      </c>
      <c r="FU33" s="109">
        <f t="shared" si="7"/>
        <v>0</v>
      </c>
      <c r="FV33" s="483">
        <f t="shared" si="8"/>
        <v>0</v>
      </c>
      <c r="FW33" s="483">
        <f t="shared" si="9"/>
        <v>0</v>
      </c>
      <c r="FX33" s="483">
        <f t="shared" si="10"/>
        <v>0</v>
      </c>
      <c r="FY33" s="483">
        <f t="shared" si="11"/>
        <v>0</v>
      </c>
      <c r="FZ33" s="484">
        <f t="shared" si="12"/>
        <v>0</v>
      </c>
      <c r="GA33" s="483">
        <f t="shared" si="13"/>
        <v>0</v>
      </c>
      <c r="GB33" s="483">
        <f t="shared" si="14"/>
        <v>0</v>
      </c>
      <c r="GC33" s="483">
        <f t="shared" si="15"/>
        <v>0</v>
      </c>
      <c r="GD33" s="483">
        <f t="shared" si="16"/>
        <v>0</v>
      </c>
      <c r="GE33" s="484">
        <f t="shared" si="17"/>
        <v>0</v>
      </c>
      <c r="GF33" s="483">
        <f t="shared" si="18"/>
        <v>0</v>
      </c>
      <c r="GG33" s="483">
        <f t="shared" si="19"/>
        <v>0</v>
      </c>
      <c r="GH33" s="483">
        <f t="shared" si="20"/>
        <v>0</v>
      </c>
      <c r="GI33" s="483">
        <f t="shared" si="21"/>
        <v>0</v>
      </c>
      <c r="GJ33" s="484">
        <f t="shared" si="22"/>
        <v>0</v>
      </c>
      <c r="GK33" s="483">
        <f t="shared" si="23"/>
        <v>0</v>
      </c>
      <c r="GL33" s="483">
        <f t="shared" si="24"/>
        <v>0</v>
      </c>
    </row>
    <row r="34" spans="1:194" s="231" customFormat="1" x14ac:dyDescent="0.2">
      <c r="A34" s="223" t="s">
        <v>52</v>
      </c>
      <c r="B34" s="265">
        <v>1</v>
      </c>
      <c r="C34" s="265">
        <v>1</v>
      </c>
      <c r="D34" s="265">
        <v>1</v>
      </c>
      <c r="E34" s="265">
        <v>1</v>
      </c>
      <c r="F34" s="265">
        <v>1</v>
      </c>
      <c r="G34" s="265">
        <v>1</v>
      </c>
      <c r="H34" s="265">
        <v>1</v>
      </c>
      <c r="I34" s="265">
        <v>1</v>
      </c>
      <c r="J34" s="265">
        <v>1</v>
      </c>
      <c r="K34" s="265">
        <v>1</v>
      </c>
      <c r="L34" s="265">
        <v>1</v>
      </c>
      <c r="M34" s="265">
        <v>1</v>
      </c>
      <c r="N34" s="266">
        <v>1</v>
      </c>
      <c r="O34" s="265">
        <v>1</v>
      </c>
      <c r="P34" s="266">
        <v>1</v>
      </c>
      <c r="Q34" s="266">
        <v>1</v>
      </c>
      <c r="R34" s="265">
        <v>1</v>
      </c>
      <c r="S34" s="266">
        <v>1</v>
      </c>
      <c r="T34" s="267">
        <v>1</v>
      </c>
      <c r="U34" s="267">
        <v>1</v>
      </c>
      <c r="V34" s="267">
        <v>0.99999999999999989</v>
      </c>
      <c r="W34" s="267">
        <v>1</v>
      </c>
      <c r="X34" s="267">
        <v>0.99999814516714258</v>
      </c>
      <c r="Y34" s="267">
        <v>0.99999999999999989</v>
      </c>
      <c r="Z34" s="267">
        <v>1</v>
      </c>
      <c r="AA34" s="267">
        <v>0.99999999999999978</v>
      </c>
      <c r="AB34" s="267">
        <v>1</v>
      </c>
      <c r="AC34" s="267">
        <v>1.0000000000000002</v>
      </c>
      <c r="AD34" s="267">
        <v>0.99999999999999989</v>
      </c>
      <c r="AE34" s="267">
        <v>1</v>
      </c>
      <c r="AF34" s="267">
        <v>1.0000000000000002</v>
      </c>
      <c r="AG34" s="267">
        <v>0.99999999999999989</v>
      </c>
      <c r="AH34" s="267">
        <v>0.99999946766462644</v>
      </c>
      <c r="AI34" s="268">
        <v>1</v>
      </c>
      <c r="AJ34" s="268">
        <v>1</v>
      </c>
      <c r="AK34" s="268">
        <v>1</v>
      </c>
      <c r="AL34" s="268">
        <v>1</v>
      </c>
      <c r="AM34" s="268">
        <v>1</v>
      </c>
      <c r="AN34" s="268">
        <v>1</v>
      </c>
      <c r="AO34" s="268">
        <v>1</v>
      </c>
      <c r="AP34" s="268">
        <v>1</v>
      </c>
      <c r="AQ34" s="268">
        <v>1</v>
      </c>
      <c r="AR34" s="268">
        <v>1</v>
      </c>
      <c r="AS34" s="268">
        <v>1</v>
      </c>
      <c r="AT34" s="268">
        <v>1</v>
      </c>
      <c r="AU34" s="268">
        <v>1</v>
      </c>
      <c r="AV34" s="268">
        <v>1</v>
      </c>
      <c r="AW34" s="268">
        <v>1</v>
      </c>
      <c r="AX34" s="268">
        <v>1</v>
      </c>
      <c r="AY34" s="268">
        <v>1</v>
      </c>
      <c r="AZ34" s="268">
        <v>1</v>
      </c>
      <c r="BA34" s="268">
        <v>1</v>
      </c>
      <c r="BB34" s="268">
        <v>1</v>
      </c>
      <c r="BC34" s="268">
        <v>1</v>
      </c>
      <c r="BD34" s="268">
        <v>1</v>
      </c>
      <c r="BE34" s="268">
        <v>0.99999999999999989</v>
      </c>
      <c r="BF34" s="268">
        <v>1</v>
      </c>
      <c r="BG34" s="268">
        <v>1</v>
      </c>
      <c r="BH34" s="268">
        <v>0.99999999999999989</v>
      </c>
      <c r="BI34" s="268">
        <v>0.99999999999999989</v>
      </c>
      <c r="BJ34" s="268">
        <v>0.99999999999999989</v>
      </c>
      <c r="BK34" s="268">
        <v>1</v>
      </c>
      <c r="BL34" s="268">
        <v>1</v>
      </c>
      <c r="BM34" s="268">
        <v>1</v>
      </c>
      <c r="BN34" s="268">
        <v>0.99999999999999989</v>
      </c>
      <c r="BO34" s="268">
        <v>1</v>
      </c>
      <c r="BP34" s="268">
        <v>0.99999999999999989</v>
      </c>
      <c r="BQ34" s="268">
        <v>1</v>
      </c>
      <c r="BR34" s="268">
        <v>1</v>
      </c>
      <c r="BS34" s="268">
        <v>0.99999999999999978</v>
      </c>
      <c r="BT34" s="268">
        <v>1.0000000000000002</v>
      </c>
      <c r="BU34" s="268">
        <v>0.99999999999999989</v>
      </c>
      <c r="BV34" s="268">
        <v>1</v>
      </c>
      <c r="BW34" s="269">
        <v>1</v>
      </c>
      <c r="BX34" s="269">
        <v>1</v>
      </c>
      <c r="BY34" s="269">
        <v>1</v>
      </c>
      <c r="BZ34" s="269">
        <v>1</v>
      </c>
      <c r="CA34" s="269">
        <v>1</v>
      </c>
      <c r="CB34" s="269">
        <v>1</v>
      </c>
      <c r="CC34" s="269">
        <v>1.0000000000000002</v>
      </c>
      <c r="CD34" s="269">
        <v>1</v>
      </c>
      <c r="CE34" s="269">
        <v>1</v>
      </c>
      <c r="CF34" s="269">
        <v>0.99999999999999989</v>
      </c>
      <c r="CG34" s="269">
        <v>1</v>
      </c>
      <c r="CH34" s="269">
        <v>1</v>
      </c>
      <c r="CI34" s="269">
        <v>1</v>
      </c>
      <c r="CJ34" s="269">
        <v>1</v>
      </c>
      <c r="CK34" s="269">
        <v>0.99999999999999989</v>
      </c>
      <c r="CL34" s="269">
        <v>1</v>
      </c>
      <c r="CM34" s="269">
        <v>1</v>
      </c>
      <c r="CN34" s="269">
        <v>1</v>
      </c>
      <c r="CO34" s="269">
        <v>1.0000000000000002</v>
      </c>
      <c r="CP34" s="269">
        <v>1</v>
      </c>
      <c r="CQ34" s="269">
        <v>1</v>
      </c>
      <c r="CR34" s="269">
        <v>1</v>
      </c>
      <c r="CS34" s="269">
        <v>1</v>
      </c>
      <c r="CT34" s="269">
        <v>1</v>
      </c>
      <c r="CU34" s="269">
        <v>1</v>
      </c>
      <c r="CV34" s="269">
        <v>1</v>
      </c>
      <c r="CW34" s="269">
        <v>0.99999999999999978</v>
      </c>
      <c r="CX34" s="269">
        <v>1</v>
      </c>
      <c r="CY34" s="269">
        <v>0.99999999999999989</v>
      </c>
      <c r="CZ34" s="269">
        <v>1</v>
      </c>
      <c r="DA34" s="269">
        <v>1.0000000000000002</v>
      </c>
      <c r="DB34" s="269">
        <v>0.99999999999999989</v>
      </c>
      <c r="DC34" s="269">
        <v>1</v>
      </c>
      <c r="DD34" s="269">
        <v>1</v>
      </c>
      <c r="DE34" s="269">
        <v>1.0000000000000002</v>
      </c>
      <c r="DF34" s="269">
        <v>0.99999999999999989</v>
      </c>
      <c r="DG34" s="269">
        <v>1</v>
      </c>
      <c r="DH34" s="269">
        <v>1.0000000000000004</v>
      </c>
      <c r="DI34" s="269">
        <v>1.0000000000000002</v>
      </c>
      <c r="DJ34" s="269">
        <v>1.0000000000000002</v>
      </c>
      <c r="DK34" s="269">
        <v>1</v>
      </c>
      <c r="DL34" s="269">
        <v>1</v>
      </c>
      <c r="DM34" s="269">
        <v>1</v>
      </c>
      <c r="DN34" s="269">
        <v>1</v>
      </c>
      <c r="DO34" s="269">
        <v>1</v>
      </c>
      <c r="DP34" s="269">
        <v>1</v>
      </c>
      <c r="DQ34" s="269">
        <v>1.0000000000000002</v>
      </c>
      <c r="DR34" s="269">
        <v>0.99999999999999989</v>
      </c>
      <c r="DS34" s="269">
        <v>1</v>
      </c>
      <c r="DT34" s="269">
        <v>1.0000000000000002</v>
      </c>
      <c r="DU34" s="269">
        <v>1</v>
      </c>
      <c r="DV34" s="269">
        <v>1.0000000000000002</v>
      </c>
      <c r="DW34" s="269">
        <v>0.99999999999999967</v>
      </c>
      <c r="DX34" s="269">
        <v>1</v>
      </c>
      <c r="DY34" s="269">
        <v>0.99999999999999967</v>
      </c>
      <c r="DZ34" s="269">
        <v>1</v>
      </c>
      <c r="EA34" s="269">
        <v>1.0000000000000002</v>
      </c>
      <c r="EB34" s="269">
        <v>0.99999999999999967</v>
      </c>
      <c r="EC34" s="269">
        <v>1</v>
      </c>
      <c r="ED34" s="269"/>
      <c r="EE34" s="269">
        <f>SUM(EE22:EE33)</f>
        <v>1</v>
      </c>
      <c r="EF34" s="269">
        <f t="shared" ref="EF34:EX34" si="25">SUM(EF22:EF33)</f>
        <v>1</v>
      </c>
      <c r="EG34" s="269">
        <f t="shared" si="25"/>
        <v>0.99999999999999989</v>
      </c>
      <c r="EH34" s="269">
        <f t="shared" si="25"/>
        <v>1</v>
      </c>
      <c r="EI34" s="269">
        <f t="shared" si="25"/>
        <v>1</v>
      </c>
      <c r="EJ34" s="269">
        <f t="shared" si="25"/>
        <v>1</v>
      </c>
      <c r="EK34" s="269">
        <f t="shared" si="25"/>
        <v>1.0000000000000002</v>
      </c>
      <c r="EL34" s="269">
        <f t="shared" si="25"/>
        <v>1</v>
      </c>
      <c r="EM34" s="269">
        <f t="shared" si="25"/>
        <v>1</v>
      </c>
      <c r="EN34" s="269">
        <f t="shared" si="25"/>
        <v>1</v>
      </c>
      <c r="EO34" s="269">
        <f t="shared" si="25"/>
        <v>1</v>
      </c>
      <c r="EP34" s="269">
        <f t="shared" si="25"/>
        <v>1</v>
      </c>
      <c r="EQ34" s="269">
        <f t="shared" si="25"/>
        <v>1</v>
      </c>
      <c r="ER34" s="269">
        <f t="shared" si="25"/>
        <v>1</v>
      </c>
      <c r="ES34" s="269">
        <f t="shared" si="25"/>
        <v>1</v>
      </c>
      <c r="ET34" s="269">
        <f t="shared" si="25"/>
        <v>1</v>
      </c>
      <c r="EU34" s="269">
        <f t="shared" si="25"/>
        <v>0.99999999999999989</v>
      </c>
      <c r="EV34" s="269">
        <f t="shared" si="25"/>
        <v>0.99999999999999978</v>
      </c>
      <c r="EW34" s="269">
        <f t="shared" si="25"/>
        <v>1</v>
      </c>
      <c r="EX34" s="269">
        <f t="shared" si="25"/>
        <v>0.99999999999999978</v>
      </c>
      <c r="EY34" s="270">
        <f>SUM(EY22:EY33)</f>
        <v>0.49019607843137253</v>
      </c>
      <c r="EZ34" s="270">
        <f t="shared" ref="EZ34:FR34" si="26">SUM(EZ22:EZ33)</f>
        <v>1.0000000114896908</v>
      </c>
      <c r="FA34" s="270">
        <f t="shared" si="26"/>
        <v>0.99999999690878583</v>
      </c>
      <c r="FB34" s="270">
        <f t="shared" si="26"/>
        <v>1</v>
      </c>
      <c r="FC34" s="270">
        <f t="shared" si="26"/>
        <v>0.99999999902444681</v>
      </c>
      <c r="FD34" s="270">
        <f t="shared" si="26"/>
        <v>1</v>
      </c>
      <c r="FE34" s="270">
        <f t="shared" si="26"/>
        <v>0.99999994138557546</v>
      </c>
      <c r="FF34" s="270">
        <f t="shared" si="26"/>
        <v>1.0000000005101859</v>
      </c>
      <c r="FG34" s="270">
        <f t="shared" si="26"/>
        <v>0.99999999999999989</v>
      </c>
      <c r="FH34" s="270">
        <f t="shared" si="26"/>
        <v>0.99999999660268268</v>
      </c>
      <c r="FI34" s="270">
        <f t="shared" si="26"/>
        <v>1</v>
      </c>
      <c r="FJ34" s="270">
        <f t="shared" si="26"/>
        <v>1.0000000895132763</v>
      </c>
      <c r="FK34" s="270">
        <f t="shared" si="26"/>
        <v>1.0000000383876264</v>
      </c>
      <c r="FL34" s="270">
        <f t="shared" si="26"/>
        <v>1</v>
      </c>
      <c r="FM34" s="270">
        <f t="shared" si="26"/>
        <v>1.0000001297822241</v>
      </c>
      <c r="FN34" s="270">
        <f t="shared" si="26"/>
        <v>1</v>
      </c>
      <c r="FO34" s="270">
        <f t="shared" si="26"/>
        <v>0.99999998778084376</v>
      </c>
      <c r="FP34" s="270">
        <f t="shared" si="26"/>
        <v>0.99999996981197115</v>
      </c>
      <c r="FQ34" s="270">
        <f t="shared" si="26"/>
        <v>0.99999999999999978</v>
      </c>
      <c r="FR34" s="270">
        <f t="shared" si="26"/>
        <v>1.000000022677733</v>
      </c>
      <c r="FS34" s="483">
        <f t="shared" si="5"/>
        <v>1</v>
      </c>
      <c r="FT34" s="483">
        <f t="shared" si="6"/>
        <v>1</v>
      </c>
      <c r="FU34" s="109">
        <f t="shared" si="7"/>
        <v>1</v>
      </c>
      <c r="FV34" s="483">
        <f t="shared" si="8"/>
        <v>1</v>
      </c>
      <c r="FW34" s="483">
        <f t="shared" si="9"/>
        <v>1</v>
      </c>
      <c r="FX34" s="483">
        <f t="shared" si="10"/>
        <v>1</v>
      </c>
      <c r="FY34" s="483">
        <f t="shared" si="11"/>
        <v>1</v>
      </c>
      <c r="FZ34" s="484">
        <f t="shared" si="12"/>
        <v>1</v>
      </c>
      <c r="GA34" s="483">
        <f t="shared" si="13"/>
        <v>1</v>
      </c>
      <c r="GB34" s="483">
        <f t="shared" si="14"/>
        <v>1</v>
      </c>
      <c r="GC34" s="483">
        <f t="shared" si="15"/>
        <v>1</v>
      </c>
      <c r="GD34" s="483">
        <f t="shared" si="16"/>
        <v>1</v>
      </c>
      <c r="GE34" s="484">
        <f t="shared" si="17"/>
        <v>1</v>
      </c>
      <c r="GF34" s="483">
        <f t="shared" si="18"/>
        <v>1</v>
      </c>
      <c r="GG34" s="483">
        <f t="shared" si="19"/>
        <v>1</v>
      </c>
      <c r="GH34" s="483">
        <f t="shared" si="20"/>
        <v>1</v>
      </c>
      <c r="GI34" s="483">
        <f t="shared" si="21"/>
        <v>1</v>
      </c>
      <c r="GJ34" s="484">
        <f t="shared" si="22"/>
        <v>1</v>
      </c>
      <c r="GK34" s="483">
        <f t="shared" si="23"/>
        <v>1</v>
      </c>
      <c r="GL34" s="483">
        <f t="shared" si="24"/>
        <v>1</v>
      </c>
    </row>
  </sheetData>
  <mergeCells count="106">
    <mergeCell ref="BW20:CA20"/>
    <mergeCell ref="AX20:BB20"/>
    <mergeCell ref="BC20:BG20"/>
    <mergeCell ref="BH20:BL20"/>
    <mergeCell ref="BM20:BQ20"/>
    <mergeCell ref="BR20:BV20"/>
    <mergeCell ref="BC19:BV19"/>
    <mergeCell ref="BW19:CP19"/>
    <mergeCell ref="FN20:FR20"/>
    <mergeCell ref="EJ20:EN20"/>
    <mergeCell ref="EO20:ES20"/>
    <mergeCell ref="ET20:EX20"/>
    <mergeCell ref="EY20:FC20"/>
    <mergeCell ref="FD20:FH20"/>
    <mergeCell ref="FI20:FM20"/>
    <mergeCell ref="DF20:DJ20"/>
    <mergeCell ref="DK20:DO20"/>
    <mergeCell ref="DP20:DT20"/>
    <mergeCell ref="DU20:DY20"/>
    <mergeCell ref="DZ20:ED20"/>
    <mergeCell ref="EE20:EI20"/>
    <mergeCell ref="CQ19:DJ19"/>
    <mergeCell ref="DK19:ED19"/>
    <mergeCell ref="EE19:EX19"/>
    <mergeCell ref="CB20:CF20"/>
    <mergeCell ref="CG20:CK20"/>
    <mergeCell ref="CL20:CP20"/>
    <mergeCell ref="CQ20:CU20"/>
    <mergeCell ref="CV20:CZ20"/>
    <mergeCell ref="DA20:DE20"/>
    <mergeCell ref="EO3:ES3"/>
    <mergeCell ref="ET3:EX3"/>
    <mergeCell ref="CQ3:CU3"/>
    <mergeCell ref="CV3:CZ3"/>
    <mergeCell ref="DA3:DE3"/>
    <mergeCell ref="DF3:DJ3"/>
    <mergeCell ref="AS20:AW20"/>
    <mergeCell ref="A19:A21"/>
    <mergeCell ref="B19:J19"/>
    <mergeCell ref="K19:S19"/>
    <mergeCell ref="T19:AH19"/>
    <mergeCell ref="AI19:BB19"/>
    <mergeCell ref="B20:D20"/>
    <mergeCell ref="E20:G20"/>
    <mergeCell ref="H20:J20"/>
    <mergeCell ref="K20:M20"/>
    <mergeCell ref="T20:X20"/>
    <mergeCell ref="Y20:AC20"/>
    <mergeCell ref="AD20:AH20"/>
    <mergeCell ref="AI20:AM20"/>
    <mergeCell ref="AN20:AR20"/>
    <mergeCell ref="N20:P20"/>
    <mergeCell ref="Q20:S20"/>
    <mergeCell ref="AX3:BB3"/>
    <mergeCell ref="A2:A4"/>
    <mergeCell ref="B2:J2"/>
    <mergeCell ref="K2:S2"/>
    <mergeCell ref="T2:AH2"/>
    <mergeCell ref="AI2:BB2"/>
    <mergeCell ref="BC2:BV2"/>
    <mergeCell ref="Q3:S3"/>
    <mergeCell ref="T3:X3"/>
    <mergeCell ref="Y3:AC3"/>
    <mergeCell ref="AD3:AH3"/>
    <mergeCell ref="B3:D3"/>
    <mergeCell ref="E3:G3"/>
    <mergeCell ref="H3:J3"/>
    <mergeCell ref="K3:M3"/>
    <mergeCell ref="N3:P3"/>
    <mergeCell ref="BM3:BQ3"/>
    <mergeCell ref="BR3:BV3"/>
    <mergeCell ref="BC3:BG3"/>
    <mergeCell ref="BH3:BL3"/>
    <mergeCell ref="BW2:CP2"/>
    <mergeCell ref="CQ2:DJ2"/>
    <mergeCell ref="DK2:ED2"/>
    <mergeCell ref="EE2:EX2"/>
    <mergeCell ref="EY2:FR2"/>
    <mergeCell ref="AI3:AM3"/>
    <mergeCell ref="AN3:AR3"/>
    <mergeCell ref="AS3:AW3"/>
    <mergeCell ref="FS19:GL19"/>
    <mergeCell ref="EY19:FR19"/>
    <mergeCell ref="FI3:FM3"/>
    <mergeCell ref="DK3:DO3"/>
    <mergeCell ref="DP3:DT3"/>
    <mergeCell ref="BW3:CA3"/>
    <mergeCell ref="CB3:CF3"/>
    <mergeCell ref="CG3:CK3"/>
    <mergeCell ref="CL3:CP3"/>
    <mergeCell ref="FN3:FR3"/>
    <mergeCell ref="EY3:FC3"/>
    <mergeCell ref="FD3:FH3"/>
    <mergeCell ref="DU3:DY3"/>
    <mergeCell ref="DZ3:ED3"/>
    <mergeCell ref="EE3:EI3"/>
    <mergeCell ref="EJ3:EN3"/>
    <mergeCell ref="FS20:FW20"/>
    <mergeCell ref="FX20:GB20"/>
    <mergeCell ref="GC20:GG20"/>
    <mergeCell ref="GH20:GL20"/>
    <mergeCell ref="FS2:GL2"/>
    <mergeCell ref="FS3:FW3"/>
    <mergeCell ref="FX3:GB3"/>
    <mergeCell ref="GC3:GG3"/>
    <mergeCell ref="GH3:GL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Index</vt:lpstr>
      <vt:lpstr>90</vt:lpstr>
      <vt:lpstr>91</vt:lpstr>
      <vt:lpstr>92</vt:lpstr>
      <vt:lpstr>93</vt:lpstr>
      <vt:lpstr>94</vt:lpstr>
      <vt:lpstr>95</vt:lpstr>
      <vt:lpstr>96</vt:lpstr>
      <vt:lpstr>97</vt:lpstr>
      <vt:lpstr>98</vt:lpstr>
      <vt:lpstr>99</vt:lpstr>
      <vt:lpstr>100</vt:lpstr>
      <vt:lpstr>101</vt:lpstr>
      <vt:lpstr>102</vt:lpstr>
      <vt:lpstr>103</vt:lpstr>
      <vt:lpstr>104</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Arundhati Chakravarty</dc:creator>
  <cp:lastModifiedBy>Arundhati Chakravarty</cp:lastModifiedBy>
  <cp:lastPrinted>2024-12-24T10:53:39Z</cp:lastPrinted>
  <dcterms:created xsi:type="dcterms:W3CDTF">2023-12-14T09:00:46Z</dcterms:created>
  <dcterms:modified xsi:type="dcterms:W3CDTF">2026-01-22T05:27:48Z</dcterms:modified>
</cp:coreProperties>
</file>